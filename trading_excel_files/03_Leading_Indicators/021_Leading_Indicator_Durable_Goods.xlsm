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tables/table2.xml" ContentType="application/vnd.openxmlformats-officedocument.spreadsheetml.tab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4.xml" ContentType="application/vnd.openxmlformats-officedocument.drawing+xml"/>
  <Override PartName="/xl/tables/table3.xml" ContentType="application/vnd.openxmlformats-officedocument.spreadsheetml.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5.xml" ContentType="application/vnd.openxmlformats-officedocument.drawing+xml"/>
  <Override PartName="/xl/tables/table4.xml" ContentType="application/vnd.openxmlformats-officedocument.spreadsheetml.tab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30C5F508-2106-0C4E-A17B-7FA2D017CAE9}" xr6:coauthVersionLast="47" xr6:coauthVersionMax="47" xr10:uidLastSave="{00000000-0000-0000-0000-000000000000}"/>
  <bookViews>
    <workbookView xWindow="-67600" yWindow="-580" windowWidth="39720" windowHeight="28300" xr2:uid="{00000000-000D-0000-FFFF-FFFF00000000}"/>
  </bookViews>
  <sheets>
    <sheet name="Note" sheetId="18" r:id="rId1"/>
    <sheet name="Official Data" sheetId="17" r:id="rId2"/>
    <sheet name="Database" sheetId="2" r:id="rId3"/>
    <sheet name="Recap" sheetId="23" r:id="rId4"/>
    <sheet name="New Orders ex Aircraft" sheetId="6" r:id="rId5"/>
    <sheet name="New Orders" sheetId="19" r:id="rId6"/>
    <sheet name="New Orders ex Transport" sheetId="20" r:id="rId7"/>
    <sheet name="Other" sheetId="21"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59" i="21" l="1"/>
  <c r="C360" i="21" s="1"/>
  <c r="C359" i="21"/>
  <c r="B360" i="21"/>
  <c r="B359" i="20"/>
  <c r="C360" i="20" s="1"/>
  <c r="C359" i="20"/>
  <c r="B360" i="20"/>
  <c r="B359" i="19"/>
  <c r="C360" i="19" s="1"/>
  <c r="C359" i="19"/>
  <c r="B360" i="19"/>
  <c r="B359" i="6"/>
  <c r="C360" i="6" s="1"/>
  <c r="C359" i="6"/>
  <c r="B360" i="6"/>
  <c r="C73" i="23"/>
  <c r="D73" i="23" s="1"/>
  <c r="E73" i="23"/>
  <c r="F73" i="23" s="1"/>
  <c r="G73" i="23"/>
  <c r="H73" i="23" s="1"/>
  <c r="I73" i="23"/>
  <c r="J73" i="23"/>
  <c r="K73" i="23"/>
  <c r="L73" i="23" s="1"/>
  <c r="M73" i="23"/>
  <c r="N73" i="23"/>
  <c r="O73" i="23"/>
  <c r="P73" i="23" s="1"/>
  <c r="Q73" i="23"/>
  <c r="R73" i="23" s="1"/>
  <c r="S73" i="23"/>
  <c r="T73" i="23" s="1"/>
  <c r="U73" i="23"/>
  <c r="V73" i="23"/>
  <c r="C74" i="23"/>
  <c r="D74" i="23" s="1"/>
  <c r="E74" i="23"/>
  <c r="F74" i="23"/>
  <c r="G74" i="23"/>
  <c r="H74" i="23" s="1"/>
  <c r="I74" i="23"/>
  <c r="J74" i="23" s="1"/>
  <c r="K74" i="23"/>
  <c r="L74" i="23" s="1"/>
  <c r="M74" i="23"/>
  <c r="N74" i="23"/>
  <c r="O74" i="23"/>
  <c r="P74" i="23" s="1"/>
  <c r="Q74" i="23"/>
  <c r="R74" i="23" s="1"/>
  <c r="S74" i="23"/>
  <c r="T74" i="23" s="1"/>
  <c r="U74" i="23"/>
  <c r="V74" i="23" s="1"/>
  <c r="B358" i="21"/>
  <c r="B358" i="20"/>
  <c r="C358" i="20" s="1"/>
  <c r="B358" i="19"/>
  <c r="C358" i="19"/>
  <c r="B358" i="6"/>
  <c r="C72" i="23"/>
  <c r="E72" i="23"/>
  <c r="G72" i="23"/>
  <c r="I72" i="23"/>
  <c r="J72" i="23" s="1"/>
  <c r="K72" i="23"/>
  <c r="M72" i="23"/>
  <c r="O72" i="23"/>
  <c r="Q72" i="23"/>
  <c r="R72" i="23" s="1"/>
  <c r="S72" i="23"/>
  <c r="U72" i="23"/>
  <c r="B356" i="21"/>
  <c r="B357" i="21"/>
  <c r="C358" i="21" s="1"/>
  <c r="B356" i="20"/>
  <c r="C357" i="20" s="1"/>
  <c r="B357" i="20"/>
  <c r="B357" i="19"/>
  <c r="B356" i="19"/>
  <c r="C357" i="19" s="1"/>
  <c r="B356" i="6"/>
  <c r="B357" i="6"/>
  <c r="C358" i="6" s="1"/>
  <c r="C70" i="23"/>
  <c r="E70" i="23"/>
  <c r="G70" i="23"/>
  <c r="I70" i="23"/>
  <c r="K70" i="23"/>
  <c r="L70" i="23" s="1"/>
  <c r="M70" i="23"/>
  <c r="O70" i="23"/>
  <c r="Q70" i="23"/>
  <c r="R70" i="23" s="1"/>
  <c r="S70" i="23"/>
  <c r="U70" i="23"/>
  <c r="C71" i="23"/>
  <c r="D71" i="23" s="1"/>
  <c r="E71" i="23"/>
  <c r="F71" i="23" s="1"/>
  <c r="G71" i="23"/>
  <c r="I71" i="23"/>
  <c r="J71" i="23" s="1"/>
  <c r="K71" i="23"/>
  <c r="M71" i="23"/>
  <c r="N71" i="23" s="1"/>
  <c r="O71" i="23"/>
  <c r="P71" i="23" s="1"/>
  <c r="Q71" i="23"/>
  <c r="S71" i="23"/>
  <c r="U71" i="23"/>
  <c r="B354" i="21"/>
  <c r="B355" i="21"/>
  <c r="C356" i="21" s="1"/>
  <c r="B354" i="20"/>
  <c r="B355" i="20"/>
  <c r="C356" i="20" s="1"/>
  <c r="B354" i="19"/>
  <c r="B355" i="19"/>
  <c r="C356" i="19" s="1"/>
  <c r="B354" i="6"/>
  <c r="B355" i="6"/>
  <c r="C356" i="6" s="1"/>
  <c r="C68" i="23"/>
  <c r="E68" i="23"/>
  <c r="G68" i="23"/>
  <c r="I68" i="23"/>
  <c r="K68" i="23"/>
  <c r="M68" i="23"/>
  <c r="O68" i="23"/>
  <c r="Q68" i="23"/>
  <c r="S68" i="23"/>
  <c r="U68" i="23"/>
  <c r="C69" i="23"/>
  <c r="E69" i="23"/>
  <c r="F69" i="23" s="1"/>
  <c r="G69" i="23"/>
  <c r="I69" i="23"/>
  <c r="K69" i="23"/>
  <c r="M69" i="23"/>
  <c r="O69" i="23"/>
  <c r="Q69" i="23"/>
  <c r="S69" i="23"/>
  <c r="U69" i="23"/>
  <c r="V69" i="23" s="1"/>
  <c r="B352" i="21"/>
  <c r="B353" i="21"/>
  <c r="B352" i="20"/>
  <c r="B353" i="20"/>
  <c r="C354" i="20" s="1"/>
  <c r="B352" i="19"/>
  <c r="B353" i="19"/>
  <c r="B352" i="6"/>
  <c r="B353" i="6"/>
  <c r="C354" i="6" s="1"/>
  <c r="C66" i="23"/>
  <c r="E66" i="23"/>
  <c r="G66" i="23"/>
  <c r="I66" i="23"/>
  <c r="K66" i="23"/>
  <c r="M66" i="23"/>
  <c r="O66" i="23"/>
  <c r="Q66" i="23"/>
  <c r="S66" i="23"/>
  <c r="U66" i="23"/>
  <c r="C67" i="23"/>
  <c r="E67" i="23"/>
  <c r="F67" i="23" s="1"/>
  <c r="G67" i="23"/>
  <c r="I67" i="23"/>
  <c r="K67" i="23"/>
  <c r="M67" i="23"/>
  <c r="O67" i="23"/>
  <c r="Q67" i="23"/>
  <c r="S67" i="23"/>
  <c r="U67" i="23"/>
  <c r="B348" i="21"/>
  <c r="B349" i="21"/>
  <c r="B350" i="21"/>
  <c r="B351" i="21"/>
  <c r="C352" i="21" s="1"/>
  <c r="B348" i="20"/>
  <c r="B349" i="20"/>
  <c r="B350" i="20"/>
  <c r="B351" i="20"/>
  <c r="C352" i="20" s="1"/>
  <c r="B348" i="19"/>
  <c r="B349" i="19"/>
  <c r="B350" i="19"/>
  <c r="B351" i="19"/>
  <c r="B351" i="6"/>
  <c r="B348" i="6"/>
  <c r="B349" i="6"/>
  <c r="B350" i="6"/>
  <c r="C62" i="23"/>
  <c r="E62" i="23"/>
  <c r="G62" i="23"/>
  <c r="I62" i="23"/>
  <c r="K62" i="23"/>
  <c r="M62" i="23"/>
  <c r="O62" i="23"/>
  <c r="Q62" i="23"/>
  <c r="S62" i="23"/>
  <c r="U62" i="23"/>
  <c r="C63" i="23"/>
  <c r="E63" i="23"/>
  <c r="G63" i="23"/>
  <c r="I63" i="23"/>
  <c r="K63" i="23"/>
  <c r="M63" i="23"/>
  <c r="O63" i="23"/>
  <c r="Q63" i="23"/>
  <c r="S63" i="23"/>
  <c r="U63" i="23"/>
  <c r="V63" i="23" s="1"/>
  <c r="C64" i="23"/>
  <c r="E64" i="23"/>
  <c r="G64" i="23"/>
  <c r="I64" i="23"/>
  <c r="K64" i="23"/>
  <c r="M64" i="23"/>
  <c r="O64" i="23"/>
  <c r="Q64" i="23"/>
  <c r="S64" i="23"/>
  <c r="U64" i="23"/>
  <c r="C65" i="23"/>
  <c r="E65" i="23"/>
  <c r="F65" i="23" s="1"/>
  <c r="G65" i="23"/>
  <c r="I65" i="23"/>
  <c r="K65" i="23"/>
  <c r="M65" i="23"/>
  <c r="O65" i="23"/>
  <c r="Q65" i="23"/>
  <c r="S65" i="23"/>
  <c r="U65" i="23"/>
  <c r="H72" i="23" l="1"/>
  <c r="F72" i="23"/>
  <c r="D72" i="23"/>
  <c r="C353" i="20"/>
  <c r="L71" i="23"/>
  <c r="C357" i="21"/>
  <c r="V72" i="23"/>
  <c r="P67" i="23"/>
  <c r="H71" i="23"/>
  <c r="T72" i="23"/>
  <c r="C355" i="20"/>
  <c r="P72" i="23"/>
  <c r="V70" i="23"/>
  <c r="C357" i="6"/>
  <c r="N72" i="23"/>
  <c r="C349" i="20"/>
  <c r="P69" i="23"/>
  <c r="C355" i="21"/>
  <c r="T70" i="23"/>
  <c r="L72" i="23"/>
  <c r="V71" i="23"/>
  <c r="C354" i="19"/>
  <c r="J69" i="23"/>
  <c r="R71" i="23"/>
  <c r="P70" i="23"/>
  <c r="D64" i="23"/>
  <c r="H69" i="23"/>
  <c r="N70" i="23"/>
  <c r="C351" i="21"/>
  <c r="T71" i="23"/>
  <c r="C352" i="19"/>
  <c r="L69" i="23"/>
  <c r="D65" i="23"/>
  <c r="D69" i="23"/>
  <c r="C352" i="6"/>
  <c r="C354" i="21"/>
  <c r="J70" i="23"/>
  <c r="H70" i="23"/>
  <c r="R68" i="23"/>
  <c r="F70" i="23"/>
  <c r="L63" i="23"/>
  <c r="L68" i="23"/>
  <c r="T69" i="23"/>
  <c r="D70" i="23"/>
  <c r="C350" i="20"/>
  <c r="L67" i="23"/>
  <c r="C353" i="21"/>
  <c r="V68" i="23"/>
  <c r="J63" i="23"/>
  <c r="J67" i="23"/>
  <c r="T68" i="23"/>
  <c r="C355" i="6"/>
  <c r="J64" i="23"/>
  <c r="F63" i="23"/>
  <c r="F66" i="23"/>
  <c r="R69" i="23"/>
  <c r="P68" i="23"/>
  <c r="N67" i="23"/>
  <c r="H64" i="23"/>
  <c r="D66" i="23"/>
  <c r="N68" i="23"/>
  <c r="C355" i="19"/>
  <c r="D67" i="23"/>
  <c r="N69" i="23"/>
  <c r="H66" i="23"/>
  <c r="V67" i="23"/>
  <c r="T66" i="23"/>
  <c r="J68" i="23"/>
  <c r="R66" i="23"/>
  <c r="H68" i="23"/>
  <c r="R67" i="23"/>
  <c r="P66" i="23"/>
  <c r="F68" i="23"/>
  <c r="N66" i="23"/>
  <c r="D68" i="23"/>
  <c r="T63" i="23"/>
  <c r="T64" i="23"/>
  <c r="R63" i="23"/>
  <c r="C351" i="19"/>
  <c r="L66" i="23"/>
  <c r="C353" i="6"/>
  <c r="C350" i="21"/>
  <c r="T65" i="23"/>
  <c r="P64" i="23"/>
  <c r="N63" i="23"/>
  <c r="C349" i="19"/>
  <c r="V66" i="23"/>
  <c r="J66" i="23"/>
  <c r="C349" i="21"/>
  <c r="R65" i="23"/>
  <c r="C353" i="19"/>
  <c r="V65" i="23"/>
  <c r="L64" i="23"/>
  <c r="T67" i="23"/>
  <c r="H67" i="23"/>
  <c r="C351" i="6"/>
  <c r="C350" i="6"/>
  <c r="N64" i="23"/>
  <c r="P63" i="23"/>
  <c r="C351" i="20"/>
  <c r="H65" i="23"/>
  <c r="F64" i="23"/>
  <c r="H63" i="23"/>
  <c r="C349" i="6"/>
  <c r="P65" i="23"/>
  <c r="L65" i="23"/>
  <c r="V64" i="23"/>
  <c r="D63" i="23"/>
  <c r="C350" i="19"/>
  <c r="J65" i="23"/>
  <c r="R64" i="23"/>
  <c r="N65" i="23"/>
  <c r="B345" i="21"/>
  <c r="B346" i="21"/>
  <c r="B347" i="21"/>
  <c r="C348" i="21" s="1"/>
  <c r="B345" i="20"/>
  <c r="B346" i="20"/>
  <c r="B347" i="20"/>
  <c r="C348" i="20" s="1"/>
  <c r="B345" i="19"/>
  <c r="B346" i="19"/>
  <c r="B347" i="19"/>
  <c r="C348" i="19" s="1"/>
  <c r="B347" i="6"/>
  <c r="C348" i="6" s="1"/>
  <c r="B345" i="6"/>
  <c r="B346" i="6"/>
  <c r="C61" i="23"/>
  <c r="D62" i="23" s="1"/>
  <c r="E61" i="23"/>
  <c r="G61" i="23"/>
  <c r="H62" i="23" s="1"/>
  <c r="I61" i="23"/>
  <c r="J62" i="23" s="1"/>
  <c r="K61" i="23"/>
  <c r="L62" i="23" s="1"/>
  <c r="M61" i="23"/>
  <c r="O61" i="23"/>
  <c r="P62" i="23" s="1"/>
  <c r="Q61" i="23"/>
  <c r="R62" i="23" s="1"/>
  <c r="S61" i="23"/>
  <c r="T62" i="23" s="1"/>
  <c r="U61" i="23"/>
  <c r="V62" i="23" s="1"/>
  <c r="C59" i="23"/>
  <c r="E59" i="23"/>
  <c r="G59" i="23"/>
  <c r="I59" i="23"/>
  <c r="K59" i="23"/>
  <c r="M59" i="23"/>
  <c r="O59" i="23"/>
  <c r="Q59" i="23"/>
  <c r="S59" i="23"/>
  <c r="U59" i="23"/>
  <c r="C60" i="23"/>
  <c r="E60" i="23"/>
  <c r="G60" i="23"/>
  <c r="I60" i="23"/>
  <c r="K60" i="23"/>
  <c r="M60" i="23"/>
  <c r="O60" i="23"/>
  <c r="Q60" i="23"/>
  <c r="S60" i="23"/>
  <c r="U60" i="23"/>
  <c r="C347" i="20" l="1"/>
  <c r="C346" i="20"/>
  <c r="C347" i="21"/>
  <c r="C347" i="6"/>
  <c r="F61" i="23"/>
  <c r="D60" i="23"/>
  <c r="C347" i="19"/>
  <c r="N61" i="23"/>
  <c r="N62" i="23"/>
  <c r="L61" i="23"/>
  <c r="J61" i="23"/>
  <c r="F62" i="23"/>
  <c r="H61" i="23"/>
  <c r="C346" i="19"/>
  <c r="T60" i="23"/>
  <c r="R60" i="23"/>
  <c r="N60" i="23"/>
  <c r="P60" i="23"/>
  <c r="J60" i="23"/>
  <c r="C346" i="6"/>
  <c r="C346" i="21"/>
  <c r="T61" i="23"/>
  <c r="R61" i="23"/>
  <c r="L60" i="23"/>
  <c r="P61" i="23"/>
  <c r="V60" i="23"/>
  <c r="V61" i="23"/>
  <c r="H60" i="23"/>
  <c r="F60" i="23"/>
  <c r="D61" i="23"/>
  <c r="B342" i="21"/>
  <c r="B343" i="21"/>
  <c r="B344" i="21"/>
  <c r="C345" i="21" s="1"/>
  <c r="B342" i="20"/>
  <c r="B343" i="20"/>
  <c r="B344" i="20"/>
  <c r="C345" i="20" s="1"/>
  <c r="B342" i="19"/>
  <c r="B343" i="19"/>
  <c r="B344" i="19"/>
  <c r="C345" i="19" s="1"/>
  <c r="B342" i="6"/>
  <c r="B343" i="6"/>
  <c r="B344" i="6"/>
  <c r="C345" i="6" s="1"/>
  <c r="C56" i="23"/>
  <c r="E56" i="23"/>
  <c r="G56" i="23"/>
  <c r="I56" i="23"/>
  <c r="K56" i="23"/>
  <c r="M56" i="23"/>
  <c r="O56" i="23"/>
  <c r="Q56" i="23"/>
  <c r="S56" i="23"/>
  <c r="U56" i="23"/>
  <c r="C57" i="23"/>
  <c r="E57" i="23"/>
  <c r="G57" i="23"/>
  <c r="I57" i="23"/>
  <c r="K57" i="23"/>
  <c r="M57" i="23"/>
  <c r="O57" i="23"/>
  <c r="Q57" i="23"/>
  <c r="S57" i="23"/>
  <c r="U57" i="23"/>
  <c r="C58" i="23"/>
  <c r="D59" i="23" s="1"/>
  <c r="E58" i="23"/>
  <c r="G58" i="23"/>
  <c r="H59" i="23" s="1"/>
  <c r="I58" i="23"/>
  <c r="K58" i="23"/>
  <c r="M58" i="23"/>
  <c r="O58" i="23"/>
  <c r="Q58" i="23"/>
  <c r="S58" i="23"/>
  <c r="U58" i="23"/>
  <c r="V59" i="23" s="1"/>
  <c r="T58" i="23" l="1"/>
  <c r="R57" i="23"/>
  <c r="L58" i="23"/>
  <c r="H57" i="23"/>
  <c r="N58" i="23"/>
  <c r="J57" i="23"/>
  <c r="C343" i="20"/>
  <c r="D58" i="23"/>
  <c r="V57" i="23"/>
  <c r="C344" i="19"/>
  <c r="C343" i="19"/>
  <c r="P58" i="23"/>
  <c r="N57" i="23"/>
  <c r="L57" i="23"/>
  <c r="N59" i="23"/>
  <c r="R58" i="23"/>
  <c r="J58" i="23"/>
  <c r="J59" i="23"/>
  <c r="F58" i="23"/>
  <c r="R59" i="23"/>
  <c r="F57" i="23"/>
  <c r="P59" i="23"/>
  <c r="F59" i="23"/>
  <c r="L59" i="23"/>
  <c r="T59" i="23"/>
  <c r="T57" i="23"/>
  <c r="D57" i="23"/>
  <c r="P57" i="23"/>
  <c r="C344" i="20"/>
  <c r="H58" i="23"/>
  <c r="C344" i="21"/>
  <c r="C344" i="6"/>
  <c r="V58" i="23"/>
  <c r="C343" i="6"/>
  <c r="C343" i="21"/>
  <c r="B341" i="21"/>
  <c r="C342" i="21" s="1"/>
  <c r="B341" i="20"/>
  <c r="C342" i="20" s="1"/>
  <c r="B341" i="19"/>
  <c r="C342" i="19" s="1"/>
  <c r="B341" i="6"/>
  <c r="C342" i="6" s="1"/>
  <c r="C55" i="23"/>
  <c r="D56" i="23" s="1"/>
  <c r="E55" i="23"/>
  <c r="F56" i="23" s="1"/>
  <c r="G55" i="23"/>
  <c r="H56" i="23" s="1"/>
  <c r="I55" i="23"/>
  <c r="J56" i="23" s="1"/>
  <c r="K55" i="23"/>
  <c r="L56" i="23" s="1"/>
  <c r="M55" i="23"/>
  <c r="N56" i="23" s="1"/>
  <c r="O55" i="23"/>
  <c r="P56" i="23" s="1"/>
  <c r="Q55" i="23"/>
  <c r="R56" i="23" s="1"/>
  <c r="S55" i="23"/>
  <c r="T56" i="23" s="1"/>
  <c r="U55" i="23"/>
  <c r="V56" i="23" s="1"/>
  <c r="B339" i="21" l="1"/>
  <c r="B340" i="21"/>
  <c r="C341" i="21" s="1"/>
  <c r="B339" i="20"/>
  <c r="B340" i="20"/>
  <c r="C341" i="20" s="1"/>
  <c r="B339" i="19"/>
  <c r="B340" i="19"/>
  <c r="C341" i="19" s="1"/>
  <c r="B339" i="6"/>
  <c r="B340" i="6"/>
  <c r="C341" i="6" s="1"/>
  <c r="C53" i="23"/>
  <c r="E53" i="23"/>
  <c r="G53" i="23"/>
  <c r="I53" i="23"/>
  <c r="K53" i="23"/>
  <c r="M53" i="23"/>
  <c r="O53" i="23"/>
  <c r="Q53" i="23"/>
  <c r="S53" i="23"/>
  <c r="U53" i="23"/>
  <c r="C54" i="23"/>
  <c r="E54" i="23"/>
  <c r="G54" i="23"/>
  <c r="H55" i="23" s="1"/>
  <c r="I54" i="23"/>
  <c r="K54" i="23"/>
  <c r="M54" i="23"/>
  <c r="N55" i="23" s="1"/>
  <c r="O54" i="23"/>
  <c r="Q54" i="23"/>
  <c r="S54" i="23"/>
  <c r="U54" i="23"/>
  <c r="V55" i="23" s="1"/>
  <c r="C340" i="21" l="1"/>
  <c r="T54" i="23"/>
  <c r="J54" i="23"/>
  <c r="F54" i="23"/>
  <c r="D54" i="23"/>
  <c r="L54" i="23"/>
  <c r="R54" i="23"/>
  <c r="L55" i="23"/>
  <c r="P54" i="23"/>
  <c r="P55" i="23"/>
  <c r="R55" i="23"/>
  <c r="H54" i="23"/>
  <c r="T55" i="23"/>
  <c r="D55" i="23"/>
  <c r="C340" i="19"/>
  <c r="F55" i="23"/>
  <c r="C340" i="6"/>
  <c r="C340" i="20"/>
  <c r="J55" i="23"/>
  <c r="V54" i="23"/>
  <c r="N54" i="23"/>
  <c r="C50" i="23"/>
  <c r="E50" i="23"/>
  <c r="G50" i="23"/>
  <c r="I50" i="23"/>
  <c r="K50" i="23"/>
  <c r="M50" i="23"/>
  <c r="O50" i="23"/>
  <c r="Q50" i="23"/>
  <c r="S50" i="23"/>
  <c r="U50" i="23"/>
  <c r="C51" i="23"/>
  <c r="E51" i="23"/>
  <c r="G51" i="23"/>
  <c r="I51" i="23"/>
  <c r="K51" i="23"/>
  <c r="M51" i="23"/>
  <c r="O51" i="23"/>
  <c r="Q51" i="23"/>
  <c r="S51" i="23"/>
  <c r="U51" i="23"/>
  <c r="C52" i="23"/>
  <c r="D53" i="23" s="1"/>
  <c r="E52" i="23"/>
  <c r="F53" i="23" s="1"/>
  <c r="G52" i="23"/>
  <c r="I52" i="23"/>
  <c r="J53" i="23" s="1"/>
  <c r="K52" i="23"/>
  <c r="L53" i="23" s="1"/>
  <c r="M52" i="23"/>
  <c r="N53" i="23" s="1"/>
  <c r="O52" i="23"/>
  <c r="P53" i="23" s="1"/>
  <c r="Q52" i="23"/>
  <c r="R53" i="23" s="1"/>
  <c r="S52" i="23"/>
  <c r="U52" i="23"/>
  <c r="B336" i="21"/>
  <c r="B337" i="21"/>
  <c r="B338" i="21"/>
  <c r="C339" i="21" s="1"/>
  <c r="B336" i="20"/>
  <c r="B337" i="20"/>
  <c r="B338" i="20"/>
  <c r="C339" i="20" s="1"/>
  <c r="B336" i="19"/>
  <c r="B337" i="19"/>
  <c r="B338" i="19"/>
  <c r="C339" i="19" s="1"/>
  <c r="B338" i="6"/>
  <c r="C339" i="6" s="1"/>
  <c r="B334" i="6"/>
  <c r="B335" i="6"/>
  <c r="B336" i="6"/>
  <c r="B337" i="6"/>
  <c r="D51" i="23" l="1"/>
  <c r="H52" i="23"/>
  <c r="H53" i="23"/>
  <c r="R51" i="23"/>
  <c r="P51" i="23"/>
  <c r="V52" i="23"/>
  <c r="L52" i="23"/>
  <c r="J51" i="23"/>
  <c r="T52" i="23"/>
  <c r="L51" i="23"/>
  <c r="C338" i="21"/>
  <c r="V53" i="23"/>
  <c r="T53" i="23"/>
  <c r="C338" i="19"/>
  <c r="J52" i="23"/>
  <c r="F51" i="23"/>
  <c r="D52" i="23"/>
  <c r="C338" i="6"/>
  <c r="V51" i="23"/>
  <c r="C337" i="20"/>
  <c r="C337" i="6"/>
  <c r="C335" i="6"/>
  <c r="R52" i="23"/>
  <c r="C337" i="21"/>
  <c r="T51" i="23"/>
  <c r="P52" i="23"/>
  <c r="C337" i="19"/>
  <c r="C338" i="20"/>
  <c r="N52" i="23"/>
  <c r="N51" i="23"/>
  <c r="C336" i="6"/>
  <c r="H51" i="23"/>
  <c r="F52" i="23"/>
  <c r="C49" i="23"/>
  <c r="D50" i="23" s="1"/>
  <c r="E49" i="23"/>
  <c r="F50" i="23" s="1"/>
  <c r="G49" i="23"/>
  <c r="H50" i="23" s="1"/>
  <c r="I49" i="23"/>
  <c r="J50" i="23" s="1"/>
  <c r="K49" i="23"/>
  <c r="L50" i="23" s="1"/>
  <c r="M49" i="23"/>
  <c r="N50" i="23" s="1"/>
  <c r="O49" i="23"/>
  <c r="P50" i="23" s="1"/>
  <c r="Q49" i="23"/>
  <c r="R50" i="23" s="1"/>
  <c r="S49" i="23"/>
  <c r="T50" i="23" s="1"/>
  <c r="U49" i="23"/>
  <c r="V50" i="23" s="1"/>
  <c r="I16" i="23"/>
  <c r="K16" i="23"/>
  <c r="M16" i="23"/>
  <c r="O16" i="23"/>
  <c r="Q16" i="23"/>
  <c r="S16" i="23"/>
  <c r="U16" i="23"/>
  <c r="I17" i="23"/>
  <c r="K17" i="23"/>
  <c r="M17" i="23"/>
  <c r="O17" i="23"/>
  <c r="Q17" i="23"/>
  <c r="S17" i="23"/>
  <c r="U17" i="23"/>
  <c r="I18" i="23"/>
  <c r="K18" i="23"/>
  <c r="M18" i="23"/>
  <c r="O18" i="23"/>
  <c r="Q18" i="23"/>
  <c r="S18" i="23"/>
  <c r="U18" i="23"/>
  <c r="I19" i="23"/>
  <c r="K19" i="23"/>
  <c r="M19" i="23"/>
  <c r="O19" i="23"/>
  <c r="Q19" i="23"/>
  <c r="S19" i="23"/>
  <c r="U19" i="23"/>
  <c r="I20" i="23"/>
  <c r="K20" i="23"/>
  <c r="M20" i="23"/>
  <c r="O20" i="23"/>
  <c r="Q20" i="23"/>
  <c r="S20" i="23"/>
  <c r="U20" i="23"/>
  <c r="I21" i="23"/>
  <c r="K21" i="23"/>
  <c r="M21" i="23"/>
  <c r="O21" i="23"/>
  <c r="Q21" i="23"/>
  <c r="S21" i="23"/>
  <c r="U21" i="23"/>
  <c r="I22" i="23"/>
  <c r="K22" i="23"/>
  <c r="M22" i="23"/>
  <c r="O22" i="23"/>
  <c r="Q22" i="23"/>
  <c r="S22" i="23"/>
  <c r="U22" i="23"/>
  <c r="I23" i="23"/>
  <c r="K23" i="23"/>
  <c r="M23" i="23"/>
  <c r="O23" i="23"/>
  <c r="Q23" i="23"/>
  <c r="S23" i="23"/>
  <c r="U23" i="23"/>
  <c r="I24" i="23"/>
  <c r="K24" i="23"/>
  <c r="M24" i="23"/>
  <c r="O24" i="23"/>
  <c r="Q24" i="23"/>
  <c r="S24" i="23"/>
  <c r="U24" i="23"/>
  <c r="I25" i="23"/>
  <c r="K25" i="23"/>
  <c r="M25" i="23"/>
  <c r="O25" i="23"/>
  <c r="Q25" i="23"/>
  <c r="S25" i="23"/>
  <c r="U25" i="23"/>
  <c r="I26" i="23"/>
  <c r="K26" i="23"/>
  <c r="M26" i="23"/>
  <c r="O26" i="23"/>
  <c r="Q26" i="23"/>
  <c r="S26" i="23"/>
  <c r="U26" i="23"/>
  <c r="I27" i="23"/>
  <c r="K27" i="23"/>
  <c r="M27" i="23"/>
  <c r="O27" i="23"/>
  <c r="Q27" i="23"/>
  <c r="S27" i="23"/>
  <c r="U27" i="23"/>
  <c r="I28" i="23"/>
  <c r="K28" i="23"/>
  <c r="M28" i="23"/>
  <c r="O28" i="23"/>
  <c r="Q28" i="23"/>
  <c r="S28" i="23"/>
  <c r="U28" i="23"/>
  <c r="I29" i="23"/>
  <c r="K29" i="23"/>
  <c r="M29" i="23"/>
  <c r="O29" i="23"/>
  <c r="Q29" i="23"/>
  <c r="S29" i="23"/>
  <c r="U29" i="23"/>
  <c r="I30" i="23"/>
  <c r="K30" i="23"/>
  <c r="M30" i="23"/>
  <c r="O30" i="23"/>
  <c r="Q30" i="23"/>
  <c r="S30" i="23"/>
  <c r="U30" i="23"/>
  <c r="I31" i="23"/>
  <c r="K31" i="23"/>
  <c r="M31" i="23"/>
  <c r="O31" i="23"/>
  <c r="Q31" i="23"/>
  <c r="S31" i="23"/>
  <c r="U31" i="23"/>
  <c r="I32" i="23"/>
  <c r="K32" i="23"/>
  <c r="M32" i="23"/>
  <c r="O32" i="23"/>
  <c r="Q32" i="23"/>
  <c r="S32" i="23"/>
  <c r="U32" i="23"/>
  <c r="I33" i="23"/>
  <c r="K33" i="23"/>
  <c r="M33" i="23"/>
  <c r="O33" i="23"/>
  <c r="Q33" i="23"/>
  <c r="S33" i="23"/>
  <c r="U33" i="23"/>
  <c r="I34" i="23"/>
  <c r="K34" i="23"/>
  <c r="M34" i="23"/>
  <c r="O34" i="23"/>
  <c r="Q34" i="23"/>
  <c r="S34" i="23"/>
  <c r="U34" i="23"/>
  <c r="I35" i="23"/>
  <c r="K35" i="23"/>
  <c r="M35" i="23"/>
  <c r="O35" i="23"/>
  <c r="Q35" i="23"/>
  <c r="S35" i="23"/>
  <c r="U35" i="23"/>
  <c r="I36" i="23"/>
  <c r="K36" i="23"/>
  <c r="M36" i="23"/>
  <c r="O36" i="23"/>
  <c r="Q36" i="23"/>
  <c r="S36" i="23"/>
  <c r="U36" i="23"/>
  <c r="I37" i="23"/>
  <c r="K37" i="23"/>
  <c r="M37" i="23"/>
  <c r="O37" i="23"/>
  <c r="Q37" i="23"/>
  <c r="S37" i="23"/>
  <c r="U37" i="23"/>
  <c r="I38" i="23"/>
  <c r="K38" i="23"/>
  <c r="M38" i="23"/>
  <c r="O38" i="23"/>
  <c r="Q38" i="23"/>
  <c r="S38" i="23"/>
  <c r="U38" i="23"/>
  <c r="I39" i="23"/>
  <c r="K39" i="23"/>
  <c r="M39" i="23"/>
  <c r="O39" i="23"/>
  <c r="Q39" i="23"/>
  <c r="S39" i="23"/>
  <c r="U39" i="23"/>
  <c r="I40" i="23"/>
  <c r="K40" i="23"/>
  <c r="M40" i="23"/>
  <c r="O40" i="23"/>
  <c r="Q40" i="23"/>
  <c r="S40" i="23"/>
  <c r="U40" i="23"/>
  <c r="I41" i="23"/>
  <c r="K41" i="23"/>
  <c r="M41" i="23"/>
  <c r="O41" i="23"/>
  <c r="Q41" i="23"/>
  <c r="S41" i="23"/>
  <c r="U41" i="23"/>
  <c r="I42" i="23"/>
  <c r="K42" i="23"/>
  <c r="M42" i="23"/>
  <c r="O42" i="23"/>
  <c r="Q42" i="23"/>
  <c r="S42" i="23"/>
  <c r="U42" i="23"/>
  <c r="I43" i="23"/>
  <c r="K43" i="23"/>
  <c r="M43" i="23"/>
  <c r="O43" i="23"/>
  <c r="Q43" i="23"/>
  <c r="S43" i="23"/>
  <c r="U43" i="23"/>
  <c r="I44" i="23"/>
  <c r="K44" i="23"/>
  <c r="M44" i="23"/>
  <c r="O44" i="23"/>
  <c r="Q44" i="23"/>
  <c r="S44" i="23"/>
  <c r="U44" i="23"/>
  <c r="I45" i="23"/>
  <c r="K45" i="23"/>
  <c r="M45" i="23"/>
  <c r="O45" i="23"/>
  <c r="Q45" i="23"/>
  <c r="S45" i="23"/>
  <c r="U45" i="23"/>
  <c r="I46" i="23"/>
  <c r="K46" i="23"/>
  <c r="M46" i="23"/>
  <c r="O46" i="23"/>
  <c r="Q46" i="23"/>
  <c r="S46" i="23"/>
  <c r="U46" i="23"/>
  <c r="I47" i="23"/>
  <c r="K47" i="23"/>
  <c r="M47" i="23"/>
  <c r="O47" i="23"/>
  <c r="Q47" i="23"/>
  <c r="S47" i="23"/>
  <c r="U47" i="23"/>
  <c r="I48" i="23"/>
  <c r="K48" i="23"/>
  <c r="M48" i="23"/>
  <c r="N49" i="23" s="1"/>
  <c r="O48" i="23"/>
  <c r="Q48" i="23"/>
  <c r="S48" i="23"/>
  <c r="U48" i="23"/>
  <c r="I9" i="23"/>
  <c r="K9" i="23"/>
  <c r="M9" i="23"/>
  <c r="O9" i="23"/>
  <c r="Q9" i="23"/>
  <c r="S9" i="23"/>
  <c r="U9" i="23"/>
  <c r="I10" i="23"/>
  <c r="K10" i="23"/>
  <c r="M10" i="23"/>
  <c r="O10" i="23"/>
  <c r="Q10" i="23"/>
  <c r="S10" i="23"/>
  <c r="U10" i="23"/>
  <c r="I11" i="23"/>
  <c r="K11" i="23"/>
  <c r="M11" i="23"/>
  <c r="O11" i="23"/>
  <c r="Q11" i="23"/>
  <c r="S11" i="23"/>
  <c r="U11" i="23"/>
  <c r="I12" i="23"/>
  <c r="K12" i="23"/>
  <c r="M12" i="23"/>
  <c r="O12" i="23"/>
  <c r="Q12" i="23"/>
  <c r="S12" i="23"/>
  <c r="U12" i="23"/>
  <c r="I13" i="23"/>
  <c r="K13" i="23"/>
  <c r="M13" i="23"/>
  <c r="O13" i="23"/>
  <c r="Q13" i="23"/>
  <c r="S13" i="23"/>
  <c r="U13" i="23"/>
  <c r="I14" i="23"/>
  <c r="K14" i="23"/>
  <c r="M14" i="23"/>
  <c r="O14" i="23"/>
  <c r="Q14" i="23"/>
  <c r="S14" i="23"/>
  <c r="U14" i="23"/>
  <c r="I15" i="23"/>
  <c r="K15" i="23"/>
  <c r="L16" i="23" s="1"/>
  <c r="M15" i="23"/>
  <c r="O15" i="23"/>
  <c r="Q15" i="23"/>
  <c r="S15" i="23"/>
  <c r="U15" i="23"/>
  <c r="E9" i="23"/>
  <c r="G9" i="23"/>
  <c r="E10" i="23"/>
  <c r="G10" i="23"/>
  <c r="E11" i="23"/>
  <c r="G11" i="23"/>
  <c r="E12" i="23"/>
  <c r="G12" i="23"/>
  <c r="E13" i="23"/>
  <c r="G13" i="23"/>
  <c r="E14" i="23"/>
  <c r="G14" i="23"/>
  <c r="E15" i="23"/>
  <c r="G15" i="23"/>
  <c r="E16" i="23"/>
  <c r="G16" i="23"/>
  <c r="E17" i="23"/>
  <c r="G17" i="23"/>
  <c r="E18" i="23"/>
  <c r="G18" i="23"/>
  <c r="E19" i="23"/>
  <c r="G19" i="23"/>
  <c r="E20" i="23"/>
  <c r="G20" i="23"/>
  <c r="E21" i="23"/>
  <c r="G21" i="23"/>
  <c r="E22" i="23"/>
  <c r="G22" i="23"/>
  <c r="E23" i="23"/>
  <c r="G23" i="23"/>
  <c r="E24" i="23"/>
  <c r="G24" i="23"/>
  <c r="E25" i="23"/>
  <c r="G25" i="23"/>
  <c r="E26" i="23"/>
  <c r="G26" i="23"/>
  <c r="E27" i="23"/>
  <c r="G27" i="23"/>
  <c r="E28" i="23"/>
  <c r="G28" i="23"/>
  <c r="E29" i="23"/>
  <c r="G29" i="23"/>
  <c r="E30" i="23"/>
  <c r="G30" i="23"/>
  <c r="E31" i="23"/>
  <c r="G31" i="23"/>
  <c r="E32" i="23"/>
  <c r="G32" i="23"/>
  <c r="E33" i="23"/>
  <c r="G33" i="23"/>
  <c r="E34" i="23"/>
  <c r="G34" i="23"/>
  <c r="E35" i="23"/>
  <c r="G35" i="23"/>
  <c r="E36" i="23"/>
  <c r="G36" i="23"/>
  <c r="E37" i="23"/>
  <c r="G37" i="23"/>
  <c r="E38" i="23"/>
  <c r="G38" i="23"/>
  <c r="E39" i="23"/>
  <c r="G39" i="23"/>
  <c r="E40" i="23"/>
  <c r="G40" i="23"/>
  <c r="E41" i="23"/>
  <c r="G41" i="23"/>
  <c r="E42" i="23"/>
  <c r="G42" i="23"/>
  <c r="E43" i="23"/>
  <c r="G43" i="23"/>
  <c r="E44" i="23"/>
  <c r="G44" i="23"/>
  <c r="E45" i="23"/>
  <c r="G45" i="23"/>
  <c r="E46" i="23"/>
  <c r="G46" i="23"/>
  <c r="E47" i="23"/>
  <c r="G47" i="23"/>
  <c r="E48" i="23"/>
  <c r="G48" i="23"/>
  <c r="E8" i="23"/>
  <c r="G8" i="23"/>
  <c r="I8" i="23"/>
  <c r="K8" i="23"/>
  <c r="M8" i="23"/>
  <c r="O8" i="23"/>
  <c r="Q8" i="23"/>
  <c r="S8" i="23"/>
  <c r="U8" i="23"/>
  <c r="U7" i="23"/>
  <c r="S7" i="23"/>
  <c r="Q7" i="23"/>
  <c r="O7" i="23"/>
  <c r="M7" i="23"/>
  <c r="K7" i="23"/>
  <c r="I7" i="23"/>
  <c r="G7" i="23"/>
  <c r="E7" i="23"/>
  <c r="C10" i="23"/>
  <c r="C11" i="23"/>
  <c r="C12" i="23"/>
  <c r="C13" i="23"/>
  <c r="C14" i="23"/>
  <c r="C15" i="23"/>
  <c r="C16" i="23"/>
  <c r="C17" i="23"/>
  <c r="C18" i="23"/>
  <c r="C19" i="23"/>
  <c r="C20" i="23"/>
  <c r="C21" i="23"/>
  <c r="C22" i="23"/>
  <c r="C23" i="23"/>
  <c r="C24" i="23"/>
  <c r="C25" i="23"/>
  <c r="C26" i="23"/>
  <c r="C27" i="23"/>
  <c r="C28" i="23"/>
  <c r="C29" i="23"/>
  <c r="C30" i="23"/>
  <c r="C31" i="23"/>
  <c r="C32" i="23"/>
  <c r="C33" i="23"/>
  <c r="C34" i="23"/>
  <c r="C35" i="23"/>
  <c r="C36" i="23"/>
  <c r="C37" i="23"/>
  <c r="C38" i="23"/>
  <c r="C39" i="23"/>
  <c r="C40" i="23"/>
  <c r="C41" i="23"/>
  <c r="C42" i="23"/>
  <c r="C43" i="23"/>
  <c r="C44" i="23"/>
  <c r="C45" i="23"/>
  <c r="C46" i="23"/>
  <c r="C47" i="23"/>
  <c r="C48" i="23"/>
  <c r="C8" i="23"/>
  <c r="C9" i="23"/>
  <c r="C7" i="23"/>
  <c r="H43" i="23" l="1"/>
  <c r="H31" i="23"/>
  <c r="H25" i="23"/>
  <c r="H19" i="23"/>
  <c r="P16" i="23"/>
  <c r="F49" i="23"/>
  <c r="D47" i="23"/>
  <c r="D23" i="23"/>
  <c r="D11" i="23"/>
  <c r="D41" i="23"/>
  <c r="D29" i="23"/>
  <c r="D17" i="23"/>
  <c r="H37" i="23"/>
  <c r="H13" i="23"/>
  <c r="H42" i="23"/>
  <c r="H30" i="23"/>
  <c r="V47" i="23"/>
  <c r="D43" i="23"/>
  <c r="D31" i="23"/>
  <c r="D19" i="23"/>
  <c r="L9" i="23"/>
  <c r="N33" i="23"/>
  <c r="V22" i="23"/>
  <c r="P8" i="23"/>
  <c r="P43" i="23"/>
  <c r="H49" i="23"/>
  <c r="D9" i="23"/>
  <c r="D38" i="23"/>
  <c r="D26" i="23"/>
  <c r="D14" i="23"/>
  <c r="V27" i="23"/>
  <c r="P24" i="23"/>
  <c r="J21" i="23"/>
  <c r="N20" i="23"/>
  <c r="R18" i="23"/>
  <c r="J26" i="23"/>
  <c r="H46" i="23"/>
  <c r="H34" i="23"/>
  <c r="H28" i="23"/>
  <c r="H22" i="23"/>
  <c r="H16" i="23"/>
  <c r="H10" i="23"/>
  <c r="L34" i="23"/>
  <c r="P37" i="23"/>
  <c r="T30" i="23"/>
  <c r="D33" i="23"/>
  <c r="D21" i="23"/>
  <c r="R47" i="23"/>
  <c r="T40" i="23"/>
  <c r="N37" i="23"/>
  <c r="N32" i="23"/>
  <c r="R30" i="23"/>
  <c r="R34" i="23"/>
  <c r="T43" i="23"/>
  <c r="V31" i="23"/>
  <c r="F8" i="23"/>
  <c r="F43" i="23"/>
  <c r="F37" i="23"/>
  <c r="F31" i="23"/>
  <c r="F25" i="23"/>
  <c r="F19" i="23"/>
  <c r="F13" i="23"/>
  <c r="D39" i="23"/>
  <c r="D27" i="23"/>
  <c r="D15" i="23"/>
  <c r="L38" i="23"/>
  <c r="V23" i="23"/>
  <c r="L32" i="23"/>
  <c r="V15" i="23"/>
  <c r="R44" i="23"/>
  <c r="P39" i="23"/>
  <c r="N29" i="23"/>
  <c r="R27" i="23"/>
  <c r="R43" i="23"/>
  <c r="P40" i="23"/>
  <c r="R28" i="23"/>
  <c r="V26" i="23"/>
  <c r="J35" i="23"/>
  <c r="V12" i="23"/>
  <c r="T42" i="23"/>
  <c r="P17" i="23"/>
  <c r="L24" i="23"/>
  <c r="J19" i="23"/>
  <c r="N17" i="23"/>
  <c r="D25" i="23"/>
  <c r="L26" i="23"/>
  <c r="J48" i="23"/>
  <c r="V37" i="23"/>
  <c r="T27" i="23"/>
  <c r="D36" i="23"/>
  <c r="P33" i="23"/>
  <c r="P23" i="23"/>
  <c r="P13" i="23"/>
  <c r="J27" i="23"/>
  <c r="L22" i="23"/>
  <c r="D24" i="23"/>
  <c r="J15" i="23"/>
  <c r="N48" i="23"/>
  <c r="L45" i="23"/>
  <c r="V41" i="23"/>
  <c r="L41" i="23"/>
  <c r="L33" i="23"/>
  <c r="T26" i="23"/>
  <c r="T22" i="23"/>
  <c r="J14" i="23"/>
  <c r="R9" i="23"/>
  <c r="T34" i="23"/>
  <c r="D44" i="23"/>
  <c r="D32" i="23"/>
  <c r="D20" i="23"/>
  <c r="L11" i="23"/>
  <c r="P10" i="23"/>
  <c r="J43" i="23"/>
  <c r="R39" i="23"/>
  <c r="V30" i="23"/>
  <c r="L28" i="23"/>
  <c r="F45" i="23"/>
  <c r="F39" i="23"/>
  <c r="F33" i="23"/>
  <c r="F27" i="23"/>
  <c r="F21" i="23"/>
  <c r="F15" i="23"/>
  <c r="J12" i="23"/>
  <c r="P32" i="23"/>
  <c r="H44" i="23"/>
  <c r="H38" i="23"/>
  <c r="H32" i="23"/>
  <c r="H26" i="23"/>
  <c r="H20" i="23"/>
  <c r="H14" i="23"/>
  <c r="L15" i="23"/>
  <c r="J42" i="23"/>
  <c r="V24" i="23"/>
  <c r="J22" i="23"/>
  <c r="P20" i="23"/>
  <c r="J17" i="23"/>
  <c r="F26" i="23"/>
  <c r="P29" i="23"/>
  <c r="N24" i="23"/>
  <c r="V21" i="23"/>
  <c r="T9" i="23"/>
  <c r="R11" i="23"/>
  <c r="L21" i="23"/>
  <c r="T16" i="23"/>
  <c r="L13" i="23"/>
  <c r="V39" i="23"/>
  <c r="R48" i="23"/>
  <c r="F36" i="23"/>
  <c r="P48" i="23"/>
  <c r="P28" i="23"/>
  <c r="D48" i="23"/>
  <c r="D12" i="23"/>
  <c r="N8" i="23"/>
  <c r="H8" i="23"/>
  <c r="L14" i="23"/>
  <c r="P12" i="23"/>
  <c r="V9" i="23"/>
  <c r="V43" i="23"/>
  <c r="N28" i="23"/>
  <c r="N21" i="23"/>
  <c r="R19" i="23"/>
  <c r="V16" i="23"/>
  <c r="D10" i="23"/>
  <c r="H36" i="23"/>
  <c r="H24" i="23"/>
  <c r="H18" i="23"/>
  <c r="H12" i="23"/>
  <c r="N45" i="23"/>
  <c r="P42" i="23"/>
  <c r="L42" i="23"/>
  <c r="J39" i="23"/>
  <c r="R37" i="23"/>
  <c r="V34" i="23"/>
  <c r="J28" i="23"/>
  <c r="R26" i="23"/>
  <c r="L25" i="23"/>
  <c r="P21" i="23"/>
  <c r="L48" i="23"/>
  <c r="L18" i="23"/>
  <c r="D35" i="23"/>
  <c r="R15" i="23"/>
  <c r="J46" i="23"/>
  <c r="V38" i="23"/>
  <c r="R22" i="23"/>
  <c r="F48" i="23"/>
  <c r="F41" i="23"/>
  <c r="F29" i="23"/>
  <c r="F24" i="23"/>
  <c r="F12" i="23"/>
  <c r="N10" i="23"/>
  <c r="H48" i="23"/>
  <c r="L37" i="23"/>
  <c r="R35" i="23"/>
  <c r="P30" i="23"/>
  <c r="L17" i="23"/>
  <c r="D49" i="23"/>
  <c r="H41" i="23"/>
  <c r="N15" i="23"/>
  <c r="V14" i="23"/>
  <c r="T11" i="23"/>
  <c r="L10" i="23"/>
  <c r="P46" i="23"/>
  <c r="J36" i="23"/>
  <c r="J25" i="23"/>
  <c r="T23" i="23"/>
  <c r="N22" i="23"/>
  <c r="P19" i="23"/>
  <c r="F34" i="23"/>
  <c r="F22" i="23"/>
  <c r="F16" i="23"/>
  <c r="F10" i="23"/>
  <c r="F40" i="23"/>
  <c r="F28" i="23"/>
  <c r="D40" i="23"/>
  <c r="D28" i="23"/>
  <c r="D16" i="23"/>
  <c r="H45" i="23"/>
  <c r="H39" i="23"/>
  <c r="H33" i="23"/>
  <c r="H27" i="23"/>
  <c r="H21" i="23"/>
  <c r="H15" i="23"/>
  <c r="H9" i="23"/>
  <c r="R14" i="23"/>
  <c r="P11" i="23"/>
  <c r="V48" i="23"/>
  <c r="T47" i="23"/>
  <c r="L47" i="23"/>
  <c r="N40" i="23"/>
  <c r="V32" i="23"/>
  <c r="T31" i="23"/>
  <c r="J30" i="23"/>
  <c r="P27" i="23"/>
  <c r="L20" i="23"/>
  <c r="V46" i="23"/>
  <c r="V42" i="23"/>
  <c r="P36" i="23"/>
  <c r="R32" i="23"/>
  <c r="P49" i="23"/>
  <c r="D8" i="23"/>
  <c r="D37" i="23"/>
  <c r="D13" i="23"/>
  <c r="J8" i="23"/>
  <c r="F44" i="23"/>
  <c r="F38" i="23"/>
  <c r="F32" i="23"/>
  <c r="F20" i="23"/>
  <c r="F14" i="23"/>
  <c r="N14" i="23"/>
  <c r="R12" i="23"/>
  <c r="T46" i="23"/>
  <c r="J44" i="23"/>
  <c r="R42" i="23"/>
  <c r="N38" i="23"/>
  <c r="N36" i="23"/>
  <c r="J23" i="23"/>
  <c r="F17" i="23"/>
  <c r="P15" i="23"/>
  <c r="N13" i="23"/>
  <c r="J11" i="23"/>
  <c r="L36" i="23"/>
  <c r="J18" i="23"/>
  <c r="V44" i="23"/>
  <c r="J38" i="23"/>
  <c r="J37" i="23"/>
  <c r="V35" i="23"/>
  <c r="P31" i="23"/>
  <c r="N30" i="23"/>
  <c r="L29" i="23"/>
  <c r="V25" i="23"/>
  <c r="R16" i="23"/>
  <c r="L49" i="23"/>
  <c r="T44" i="23"/>
  <c r="T35" i="23"/>
  <c r="L30" i="23"/>
  <c r="J29" i="23"/>
  <c r="V17" i="23"/>
  <c r="F9" i="23"/>
  <c r="P41" i="23"/>
  <c r="L40" i="23"/>
  <c r="V36" i="23"/>
  <c r="P34" i="23"/>
  <c r="J20" i="23"/>
  <c r="T18" i="23"/>
  <c r="J49" i="23"/>
  <c r="R31" i="23"/>
  <c r="N41" i="23"/>
  <c r="N34" i="23"/>
  <c r="V28" i="23"/>
  <c r="V19" i="23"/>
  <c r="V8" i="23"/>
  <c r="P44" i="23"/>
  <c r="J40" i="23"/>
  <c r="P35" i="23"/>
  <c r="J31" i="23"/>
  <c r="V29" i="23"/>
  <c r="T28" i="23"/>
  <c r="T19" i="23"/>
  <c r="P47" i="23"/>
  <c r="D46" i="23"/>
  <c r="J33" i="23"/>
  <c r="N25" i="23"/>
  <c r="V20" i="23"/>
  <c r="P18" i="23"/>
  <c r="V49" i="23"/>
  <c r="F47" i="23"/>
  <c r="V10" i="23"/>
  <c r="P22" i="23"/>
  <c r="V45" i="23"/>
  <c r="T12" i="23"/>
  <c r="J47" i="23"/>
  <c r="R8" i="23"/>
  <c r="N11" i="23"/>
  <c r="R46" i="23"/>
  <c r="L44" i="23"/>
  <c r="J41" i="23"/>
  <c r="T38" i="23"/>
  <c r="J34" i="23"/>
  <c r="P26" i="23"/>
  <c r="J24" i="23"/>
  <c r="N18" i="23"/>
  <c r="T49" i="23"/>
  <c r="T24" i="23"/>
  <c r="N44" i="23"/>
  <c r="P9" i="23"/>
  <c r="F42" i="23"/>
  <c r="F30" i="23"/>
  <c r="F18" i="23"/>
  <c r="P45" i="23"/>
  <c r="T39" i="23"/>
  <c r="R38" i="23"/>
  <c r="T32" i="23"/>
  <c r="R21" i="23"/>
  <c r="R49" i="23"/>
  <c r="R23" i="23"/>
  <c r="V11" i="23"/>
  <c r="L8" i="23"/>
  <c r="T8" i="23"/>
  <c r="J9" i="23"/>
  <c r="D42" i="23"/>
  <c r="D30" i="23"/>
  <c r="D18" i="23"/>
  <c r="N9" i="23"/>
  <c r="H35" i="23"/>
  <c r="H17" i="23"/>
  <c r="H11" i="23"/>
  <c r="T15" i="23"/>
  <c r="P14" i="23"/>
  <c r="T48" i="23"/>
  <c r="V40" i="23"/>
  <c r="P38" i="23"/>
  <c r="V33" i="23"/>
  <c r="N42" i="23"/>
  <c r="R36" i="23"/>
  <c r="N26" i="23"/>
  <c r="R20" i="23"/>
  <c r="R17" i="23"/>
  <c r="D34" i="23"/>
  <c r="R33" i="23"/>
  <c r="J45" i="23"/>
  <c r="L23" i="23"/>
  <c r="H47" i="23"/>
  <c r="L39" i="23"/>
  <c r="N16" i="23"/>
  <c r="D22" i="23"/>
  <c r="H29" i="23"/>
  <c r="R29" i="23"/>
  <c r="H23" i="23"/>
  <c r="L19" i="23"/>
  <c r="D45" i="23"/>
  <c r="J13" i="23"/>
  <c r="R45" i="23"/>
  <c r="L35" i="23"/>
  <c r="L43" i="23"/>
  <c r="L27" i="23"/>
  <c r="F46" i="23"/>
  <c r="H40" i="23"/>
  <c r="L12" i="23"/>
  <c r="J10" i="23"/>
  <c r="R40" i="23"/>
  <c r="R24" i="23"/>
  <c r="F35" i="23"/>
  <c r="F23" i="23"/>
  <c r="F11" i="23"/>
  <c r="T13" i="23"/>
  <c r="V13" i="23"/>
  <c r="N46" i="23"/>
  <c r="R41" i="23"/>
  <c r="P25" i="23"/>
  <c r="R25" i="23"/>
  <c r="V18" i="23"/>
  <c r="J16" i="23"/>
  <c r="R10" i="23"/>
  <c r="R13" i="23"/>
  <c r="L46" i="23"/>
  <c r="T36" i="23"/>
  <c r="J32" i="23"/>
  <c r="L31" i="23"/>
  <c r="T20" i="23"/>
  <c r="T45" i="23"/>
  <c r="T41" i="23"/>
  <c r="T37" i="23"/>
  <c r="N35" i="23"/>
  <c r="T33" i="23"/>
  <c r="N31" i="23"/>
  <c r="T29" i="23"/>
  <c r="N27" i="23"/>
  <c r="T25" i="23"/>
  <c r="N23" i="23"/>
  <c r="T21" i="23"/>
  <c r="N19" i="23"/>
  <c r="T17" i="23"/>
  <c r="N47" i="23"/>
  <c r="N43" i="23"/>
  <c r="N39" i="23"/>
  <c r="N12" i="23"/>
  <c r="T14" i="23"/>
  <c r="T10" i="23"/>
  <c r="B1" i="21" l="1"/>
  <c r="B335" i="21"/>
  <c r="C336" i="21" s="1"/>
  <c r="B334" i="21"/>
  <c r="B333" i="21"/>
  <c r="B332" i="21"/>
  <c r="B331" i="21"/>
  <c r="B330" i="21"/>
  <c r="B329" i="21"/>
  <c r="B328" i="21"/>
  <c r="B327" i="21"/>
  <c r="B326" i="21"/>
  <c r="B325" i="21"/>
  <c r="B324" i="21"/>
  <c r="B323" i="21"/>
  <c r="B322" i="21"/>
  <c r="B321" i="21"/>
  <c r="B320" i="21"/>
  <c r="B319" i="21"/>
  <c r="B318" i="21"/>
  <c r="B317" i="21"/>
  <c r="B316" i="21"/>
  <c r="B315" i="21"/>
  <c r="B314" i="21"/>
  <c r="B313" i="21"/>
  <c r="B312" i="21"/>
  <c r="B311" i="21"/>
  <c r="B310" i="21"/>
  <c r="B309" i="21"/>
  <c r="B308" i="21"/>
  <c r="B307" i="21"/>
  <c r="B306" i="21"/>
  <c r="B305" i="21"/>
  <c r="B304" i="21"/>
  <c r="B303" i="21"/>
  <c r="B302" i="21"/>
  <c r="B301" i="21"/>
  <c r="B300" i="21"/>
  <c r="B299" i="21"/>
  <c r="B298" i="21"/>
  <c r="B297" i="21"/>
  <c r="B296" i="21"/>
  <c r="B295" i="21"/>
  <c r="B294" i="21"/>
  <c r="B293" i="21"/>
  <c r="B292" i="21"/>
  <c r="B291" i="21"/>
  <c r="B290" i="21"/>
  <c r="B289" i="21"/>
  <c r="B288" i="21"/>
  <c r="B287" i="21"/>
  <c r="B286" i="21"/>
  <c r="B285" i="21"/>
  <c r="B284" i="21"/>
  <c r="B283" i="21"/>
  <c r="B282" i="21"/>
  <c r="B281" i="21"/>
  <c r="B280" i="21"/>
  <c r="B279" i="21"/>
  <c r="B278" i="21"/>
  <c r="B277" i="21"/>
  <c r="B276" i="21"/>
  <c r="B275" i="21"/>
  <c r="B274" i="21"/>
  <c r="B273" i="21"/>
  <c r="B272" i="21"/>
  <c r="B271" i="21"/>
  <c r="B270" i="21"/>
  <c r="B269" i="21"/>
  <c r="B268" i="21"/>
  <c r="B267" i="21"/>
  <c r="B266" i="21"/>
  <c r="B265" i="21"/>
  <c r="B264" i="21"/>
  <c r="B263" i="21"/>
  <c r="B262" i="21"/>
  <c r="B261" i="21"/>
  <c r="B260" i="21"/>
  <c r="B259" i="21"/>
  <c r="B258" i="21"/>
  <c r="B257" i="21"/>
  <c r="B256" i="21"/>
  <c r="B255" i="21"/>
  <c r="B254" i="21"/>
  <c r="B253" i="21"/>
  <c r="B252" i="21"/>
  <c r="B251" i="21"/>
  <c r="B250" i="21"/>
  <c r="B249" i="21"/>
  <c r="B248" i="21"/>
  <c r="B247" i="21"/>
  <c r="B246" i="21"/>
  <c r="B245" i="21"/>
  <c r="B244" i="21"/>
  <c r="B243" i="21"/>
  <c r="B242" i="21"/>
  <c r="B241" i="21"/>
  <c r="B240" i="21"/>
  <c r="B239" i="21"/>
  <c r="B238" i="21"/>
  <c r="B237" i="21"/>
  <c r="B236" i="21"/>
  <c r="B235" i="21"/>
  <c r="B234" i="21"/>
  <c r="B233" i="21"/>
  <c r="B232" i="21"/>
  <c r="B231" i="21"/>
  <c r="B230" i="21"/>
  <c r="B229" i="21"/>
  <c r="B228" i="21"/>
  <c r="B227" i="21"/>
  <c r="B226" i="21"/>
  <c r="B225" i="21"/>
  <c r="B224" i="21"/>
  <c r="B223" i="21"/>
  <c r="B222" i="21"/>
  <c r="B221" i="21"/>
  <c r="B220" i="21"/>
  <c r="B219" i="21"/>
  <c r="B218" i="21"/>
  <c r="B217" i="21"/>
  <c r="B216" i="21"/>
  <c r="B215" i="21"/>
  <c r="B214" i="21"/>
  <c r="B213" i="21"/>
  <c r="B212" i="21"/>
  <c r="B211" i="21"/>
  <c r="B210" i="21"/>
  <c r="B209" i="21"/>
  <c r="B208" i="21"/>
  <c r="B207" i="21"/>
  <c r="B206" i="21"/>
  <c r="B205" i="21"/>
  <c r="B204" i="21"/>
  <c r="B203" i="21"/>
  <c r="B202" i="21"/>
  <c r="B201" i="21"/>
  <c r="B200" i="21"/>
  <c r="B199" i="21"/>
  <c r="B198" i="21"/>
  <c r="B197" i="21"/>
  <c r="B196" i="21"/>
  <c r="B195" i="21"/>
  <c r="B194" i="21"/>
  <c r="B193" i="21"/>
  <c r="B192" i="21"/>
  <c r="B191" i="21"/>
  <c r="B190" i="21"/>
  <c r="B189" i="21"/>
  <c r="B188" i="21"/>
  <c r="B187" i="21"/>
  <c r="B186" i="21"/>
  <c r="B185" i="21"/>
  <c r="B184" i="21"/>
  <c r="B183" i="21"/>
  <c r="B182" i="21"/>
  <c r="B181" i="21"/>
  <c r="B180" i="21"/>
  <c r="B179" i="21"/>
  <c r="B178" i="21"/>
  <c r="B177" i="21"/>
  <c r="B176" i="21"/>
  <c r="B175" i="21"/>
  <c r="B174" i="21"/>
  <c r="B173" i="21"/>
  <c r="B172" i="21"/>
  <c r="B171" i="21"/>
  <c r="B170" i="21"/>
  <c r="B169" i="21"/>
  <c r="B168" i="21"/>
  <c r="B167" i="21"/>
  <c r="B166" i="21"/>
  <c r="B165" i="21"/>
  <c r="B164" i="21"/>
  <c r="B163" i="21"/>
  <c r="B162" i="21"/>
  <c r="B161" i="21"/>
  <c r="B160" i="21"/>
  <c r="B159" i="21"/>
  <c r="B158" i="21"/>
  <c r="B157" i="21"/>
  <c r="B156" i="21"/>
  <c r="B155" i="21"/>
  <c r="B154" i="21"/>
  <c r="B153" i="21"/>
  <c r="B152" i="21"/>
  <c r="B151" i="21"/>
  <c r="B150" i="21"/>
  <c r="B149" i="21"/>
  <c r="B148" i="21"/>
  <c r="B147" i="21"/>
  <c r="B146" i="21"/>
  <c r="B145" i="21"/>
  <c r="B144" i="21"/>
  <c r="B143" i="21"/>
  <c r="B142" i="21"/>
  <c r="B141" i="21"/>
  <c r="B140" i="21"/>
  <c r="B139" i="21"/>
  <c r="B138" i="21"/>
  <c r="B137" i="21"/>
  <c r="B136" i="21"/>
  <c r="B135" i="21"/>
  <c r="B134" i="21"/>
  <c r="B133" i="21"/>
  <c r="B132" i="21"/>
  <c r="B131" i="21"/>
  <c r="B130" i="21"/>
  <c r="B129" i="21"/>
  <c r="B128" i="21"/>
  <c r="B127" i="21"/>
  <c r="B126" i="21"/>
  <c r="B125" i="21"/>
  <c r="B124" i="21"/>
  <c r="B123" i="21"/>
  <c r="B122" i="21"/>
  <c r="B121" i="21"/>
  <c r="B120" i="21"/>
  <c r="B119" i="21"/>
  <c r="B118" i="21"/>
  <c r="B117" i="21"/>
  <c r="B116" i="21"/>
  <c r="B115" i="21"/>
  <c r="B114" i="21"/>
  <c r="B113" i="21"/>
  <c r="B112" i="21"/>
  <c r="B111" i="21"/>
  <c r="B110" i="21"/>
  <c r="B109" i="21"/>
  <c r="B108" i="21"/>
  <c r="B107" i="21"/>
  <c r="B106" i="21"/>
  <c r="B105" i="21"/>
  <c r="B104" i="21"/>
  <c r="B103" i="21"/>
  <c r="B102" i="21"/>
  <c r="B101" i="21"/>
  <c r="B100" i="21"/>
  <c r="B99" i="21"/>
  <c r="B98" i="21"/>
  <c r="B97" i="21"/>
  <c r="B96" i="21"/>
  <c r="B95" i="21"/>
  <c r="B94" i="21"/>
  <c r="B93" i="21"/>
  <c r="B92" i="21"/>
  <c r="B91" i="21"/>
  <c r="B90" i="21"/>
  <c r="B89" i="21"/>
  <c r="B88" i="21"/>
  <c r="B87" i="21"/>
  <c r="B86" i="21"/>
  <c r="B85" i="21"/>
  <c r="B84" i="21"/>
  <c r="B83" i="21"/>
  <c r="B82" i="21"/>
  <c r="B81" i="21"/>
  <c r="B80" i="21"/>
  <c r="B79" i="21"/>
  <c r="B78" i="21"/>
  <c r="B77" i="21"/>
  <c r="B76" i="21"/>
  <c r="B75" i="21"/>
  <c r="B74" i="21"/>
  <c r="B73" i="21"/>
  <c r="B72" i="21"/>
  <c r="B71" i="21"/>
  <c r="B70" i="21"/>
  <c r="B69" i="21"/>
  <c r="B68" i="21"/>
  <c r="B67" i="21"/>
  <c r="B66" i="21"/>
  <c r="B65" i="21"/>
  <c r="B64" i="21"/>
  <c r="B63" i="21"/>
  <c r="B62" i="21"/>
  <c r="B61" i="21"/>
  <c r="B60" i="21"/>
  <c r="B59" i="21"/>
  <c r="B58" i="21"/>
  <c r="B57" i="21"/>
  <c r="B56" i="21"/>
  <c r="B55" i="21"/>
  <c r="B54" i="21"/>
  <c r="B53" i="21"/>
  <c r="B52" i="21"/>
  <c r="B51" i="21"/>
  <c r="B50" i="21"/>
  <c r="B49" i="21"/>
  <c r="B48" i="21"/>
  <c r="B47" i="21"/>
  <c r="B46" i="21"/>
  <c r="B45" i="21"/>
  <c r="B44" i="21"/>
  <c r="B43" i="21"/>
  <c r="B42" i="21"/>
  <c r="B41" i="21"/>
  <c r="B40" i="21"/>
  <c r="B39" i="21"/>
  <c r="B38" i="21"/>
  <c r="B37" i="21"/>
  <c r="B36" i="21"/>
  <c r="B35" i="21"/>
  <c r="B34" i="21"/>
  <c r="B33" i="21"/>
  <c r="B32" i="21"/>
  <c r="B31" i="21"/>
  <c r="B30" i="21"/>
  <c r="B29" i="21"/>
  <c r="B28" i="21"/>
  <c r="B27" i="21"/>
  <c r="B26" i="21"/>
  <c r="B25" i="21"/>
  <c r="B24" i="21"/>
  <c r="B23" i="21"/>
  <c r="B22" i="21"/>
  <c r="B21" i="21"/>
  <c r="B20" i="21"/>
  <c r="B19" i="21"/>
  <c r="B18" i="21"/>
  <c r="B17" i="21"/>
  <c r="B16" i="21"/>
  <c r="B15" i="21"/>
  <c r="B14" i="21"/>
  <c r="B13" i="21"/>
  <c r="B12" i="21"/>
  <c r="B11" i="21"/>
  <c r="B10" i="21"/>
  <c r="B9" i="21"/>
  <c r="B8" i="21"/>
  <c r="B7" i="21"/>
  <c r="B6" i="21"/>
  <c r="B335" i="20"/>
  <c r="C336" i="20" s="1"/>
  <c r="B334" i="20"/>
  <c r="B333" i="20"/>
  <c r="B332" i="20"/>
  <c r="B331" i="20"/>
  <c r="B330" i="20"/>
  <c r="B329" i="20"/>
  <c r="B328" i="20"/>
  <c r="B327" i="20"/>
  <c r="B326" i="20"/>
  <c r="B325" i="20"/>
  <c r="B324" i="20"/>
  <c r="B323" i="20"/>
  <c r="B322" i="20"/>
  <c r="B321" i="20"/>
  <c r="B320" i="20"/>
  <c r="B319" i="20"/>
  <c r="B318" i="20"/>
  <c r="B317" i="20"/>
  <c r="B316" i="20"/>
  <c r="B315" i="20"/>
  <c r="B314" i="20"/>
  <c r="B313" i="20"/>
  <c r="B312" i="20"/>
  <c r="B311" i="20"/>
  <c r="B310" i="20"/>
  <c r="B309" i="20"/>
  <c r="B308" i="20"/>
  <c r="B307" i="20"/>
  <c r="B306" i="20"/>
  <c r="B305" i="20"/>
  <c r="B304" i="20"/>
  <c r="B303" i="20"/>
  <c r="B302" i="20"/>
  <c r="B301" i="20"/>
  <c r="B300" i="20"/>
  <c r="B299" i="20"/>
  <c r="B298" i="20"/>
  <c r="B297" i="20"/>
  <c r="B296" i="20"/>
  <c r="B295" i="20"/>
  <c r="B294" i="20"/>
  <c r="B293" i="20"/>
  <c r="B292" i="20"/>
  <c r="B291" i="20"/>
  <c r="B290" i="20"/>
  <c r="B289" i="20"/>
  <c r="B288" i="20"/>
  <c r="B287" i="20"/>
  <c r="B286" i="20"/>
  <c r="B285" i="20"/>
  <c r="B284" i="20"/>
  <c r="B283" i="20"/>
  <c r="B282" i="20"/>
  <c r="B281" i="20"/>
  <c r="B280" i="20"/>
  <c r="B279" i="20"/>
  <c r="B278" i="20"/>
  <c r="B277" i="20"/>
  <c r="B276" i="20"/>
  <c r="B275" i="20"/>
  <c r="B274" i="20"/>
  <c r="B273" i="20"/>
  <c r="B272" i="20"/>
  <c r="B271" i="20"/>
  <c r="B270" i="20"/>
  <c r="B269" i="20"/>
  <c r="B268" i="20"/>
  <c r="B267" i="20"/>
  <c r="B266" i="20"/>
  <c r="B265" i="20"/>
  <c r="B264" i="20"/>
  <c r="B263" i="20"/>
  <c r="B262" i="20"/>
  <c r="B261" i="20"/>
  <c r="B260" i="20"/>
  <c r="B259" i="20"/>
  <c r="B258" i="20"/>
  <c r="B257" i="20"/>
  <c r="B256" i="20"/>
  <c r="B255" i="20"/>
  <c r="B254" i="20"/>
  <c r="B253" i="20"/>
  <c r="B252" i="20"/>
  <c r="B251" i="20"/>
  <c r="B250" i="20"/>
  <c r="B249" i="20"/>
  <c r="B248" i="20"/>
  <c r="B247" i="20"/>
  <c r="B246" i="20"/>
  <c r="B245" i="20"/>
  <c r="B244" i="20"/>
  <c r="B243" i="20"/>
  <c r="B242" i="20"/>
  <c r="B241" i="20"/>
  <c r="B240" i="20"/>
  <c r="B239" i="20"/>
  <c r="B238" i="20"/>
  <c r="B237" i="20"/>
  <c r="B236" i="20"/>
  <c r="B235" i="20"/>
  <c r="B234" i="20"/>
  <c r="B233" i="20"/>
  <c r="B232" i="20"/>
  <c r="B231" i="20"/>
  <c r="B230" i="20"/>
  <c r="B229" i="20"/>
  <c r="B228" i="20"/>
  <c r="B227" i="20"/>
  <c r="B226" i="20"/>
  <c r="B225" i="20"/>
  <c r="B224" i="20"/>
  <c r="B223" i="20"/>
  <c r="B222" i="20"/>
  <c r="B221" i="20"/>
  <c r="B220" i="20"/>
  <c r="B219" i="20"/>
  <c r="B218" i="20"/>
  <c r="B217" i="20"/>
  <c r="B216" i="20"/>
  <c r="B215" i="20"/>
  <c r="B214" i="20"/>
  <c r="B213" i="20"/>
  <c r="B212" i="20"/>
  <c r="B211" i="20"/>
  <c r="B210" i="20"/>
  <c r="B209" i="20"/>
  <c r="B208" i="20"/>
  <c r="B207" i="20"/>
  <c r="B206" i="20"/>
  <c r="B205" i="20"/>
  <c r="B204" i="20"/>
  <c r="B203" i="20"/>
  <c r="B202" i="20"/>
  <c r="B201" i="20"/>
  <c r="B200" i="20"/>
  <c r="B199" i="20"/>
  <c r="B198" i="20"/>
  <c r="B197" i="20"/>
  <c r="B196" i="20"/>
  <c r="B195" i="20"/>
  <c r="B194" i="20"/>
  <c r="B193" i="20"/>
  <c r="B192" i="20"/>
  <c r="B191" i="20"/>
  <c r="B190" i="20"/>
  <c r="B189" i="20"/>
  <c r="B188" i="20"/>
  <c r="B187" i="20"/>
  <c r="B186" i="20"/>
  <c r="B185" i="20"/>
  <c r="B184" i="20"/>
  <c r="B183" i="20"/>
  <c r="B182" i="20"/>
  <c r="B181" i="20"/>
  <c r="B180" i="20"/>
  <c r="B179" i="20"/>
  <c r="B178" i="20"/>
  <c r="B177" i="20"/>
  <c r="B176" i="20"/>
  <c r="B175" i="20"/>
  <c r="B174" i="20"/>
  <c r="B173" i="20"/>
  <c r="B172" i="20"/>
  <c r="B171" i="20"/>
  <c r="B170" i="20"/>
  <c r="B169" i="20"/>
  <c r="B168" i="20"/>
  <c r="B167" i="20"/>
  <c r="B166" i="20"/>
  <c r="B165" i="20"/>
  <c r="B164" i="20"/>
  <c r="B163" i="20"/>
  <c r="B162" i="20"/>
  <c r="B161" i="20"/>
  <c r="B160" i="20"/>
  <c r="B159" i="20"/>
  <c r="B158" i="20"/>
  <c r="B157" i="20"/>
  <c r="B156" i="20"/>
  <c r="B155" i="20"/>
  <c r="B154" i="20"/>
  <c r="B153" i="20"/>
  <c r="B152" i="20"/>
  <c r="B151" i="20"/>
  <c r="B150" i="20"/>
  <c r="B149" i="20"/>
  <c r="B148" i="20"/>
  <c r="B147" i="20"/>
  <c r="B146" i="20"/>
  <c r="B145" i="20"/>
  <c r="B144" i="20"/>
  <c r="B143" i="20"/>
  <c r="B142" i="20"/>
  <c r="B141" i="20"/>
  <c r="B140" i="20"/>
  <c r="B139" i="20"/>
  <c r="B138" i="20"/>
  <c r="B137" i="20"/>
  <c r="B136" i="20"/>
  <c r="B135" i="20"/>
  <c r="B134" i="20"/>
  <c r="B133" i="20"/>
  <c r="B132" i="20"/>
  <c r="B131" i="20"/>
  <c r="B130" i="20"/>
  <c r="B129" i="20"/>
  <c r="B128" i="20"/>
  <c r="B127" i="20"/>
  <c r="B126" i="20"/>
  <c r="B125" i="20"/>
  <c r="B124" i="20"/>
  <c r="B123" i="20"/>
  <c r="B122" i="20"/>
  <c r="B121" i="20"/>
  <c r="B120" i="20"/>
  <c r="B119" i="20"/>
  <c r="B118" i="20"/>
  <c r="B117" i="20"/>
  <c r="B116" i="20"/>
  <c r="B115" i="20"/>
  <c r="B114" i="20"/>
  <c r="B113" i="20"/>
  <c r="B112" i="20"/>
  <c r="B111" i="20"/>
  <c r="B110" i="20"/>
  <c r="B109" i="20"/>
  <c r="B108" i="20"/>
  <c r="B107" i="20"/>
  <c r="B106" i="20"/>
  <c r="B105" i="20"/>
  <c r="B104" i="20"/>
  <c r="B103" i="20"/>
  <c r="B102" i="20"/>
  <c r="B101" i="20"/>
  <c r="B100" i="20"/>
  <c r="B99" i="20"/>
  <c r="B98" i="20"/>
  <c r="B97" i="20"/>
  <c r="B96" i="20"/>
  <c r="B95" i="20"/>
  <c r="B94" i="20"/>
  <c r="B93" i="20"/>
  <c r="B92" i="20"/>
  <c r="B91" i="20"/>
  <c r="B90" i="20"/>
  <c r="B89" i="20"/>
  <c r="B88" i="20"/>
  <c r="B87" i="20"/>
  <c r="B86" i="20"/>
  <c r="B85" i="20"/>
  <c r="B84" i="20"/>
  <c r="B83" i="20"/>
  <c r="B82" i="20"/>
  <c r="B81" i="20"/>
  <c r="B80" i="20"/>
  <c r="B79" i="20"/>
  <c r="B78" i="20"/>
  <c r="B77" i="20"/>
  <c r="B76" i="20"/>
  <c r="B75" i="20"/>
  <c r="B74" i="20"/>
  <c r="B73" i="20"/>
  <c r="B72" i="20"/>
  <c r="B71" i="20"/>
  <c r="B70" i="20"/>
  <c r="B69" i="20"/>
  <c r="B68" i="20"/>
  <c r="B67" i="20"/>
  <c r="B66" i="20"/>
  <c r="B65" i="20"/>
  <c r="B64" i="20"/>
  <c r="B63" i="20"/>
  <c r="B62" i="20"/>
  <c r="B61" i="20"/>
  <c r="B60" i="20"/>
  <c r="B59" i="20"/>
  <c r="B58" i="20"/>
  <c r="B57" i="20"/>
  <c r="B56" i="20"/>
  <c r="B55" i="20"/>
  <c r="B54" i="20"/>
  <c r="B53" i="20"/>
  <c r="B52" i="20"/>
  <c r="B51" i="20"/>
  <c r="B50" i="20"/>
  <c r="B49" i="20"/>
  <c r="B48" i="20"/>
  <c r="B47" i="20"/>
  <c r="B46" i="20"/>
  <c r="B45" i="20"/>
  <c r="B44" i="20"/>
  <c r="B43" i="20"/>
  <c r="B42" i="20"/>
  <c r="B41" i="20"/>
  <c r="B40" i="20"/>
  <c r="B39" i="20"/>
  <c r="B38" i="20"/>
  <c r="B37" i="20"/>
  <c r="B36" i="20"/>
  <c r="B35" i="20"/>
  <c r="B34" i="20"/>
  <c r="B33" i="20"/>
  <c r="B32" i="20"/>
  <c r="B31" i="20"/>
  <c r="B30" i="20"/>
  <c r="B29" i="20"/>
  <c r="B28" i="20"/>
  <c r="B27" i="20"/>
  <c r="B26" i="20"/>
  <c r="B25" i="20"/>
  <c r="B24" i="20"/>
  <c r="B23" i="20"/>
  <c r="B22" i="20"/>
  <c r="B21" i="20"/>
  <c r="B20" i="20"/>
  <c r="B19" i="20"/>
  <c r="B18" i="20"/>
  <c r="B17" i="20"/>
  <c r="B16" i="20"/>
  <c r="B15" i="20"/>
  <c r="B14" i="20"/>
  <c r="B13" i="20"/>
  <c r="B12" i="20"/>
  <c r="B11" i="20"/>
  <c r="B10" i="20"/>
  <c r="B9" i="20"/>
  <c r="B8" i="20"/>
  <c r="B7" i="20"/>
  <c r="B6" i="20"/>
  <c r="B334" i="19"/>
  <c r="B335" i="19"/>
  <c r="P17" i="18"/>
  <c r="P18" i="18"/>
  <c r="P19" i="18"/>
  <c r="P20" i="18"/>
  <c r="P21" i="18"/>
  <c r="P22" i="18"/>
  <c r="P23" i="18"/>
  <c r="P24" i="18"/>
  <c r="P25" i="18"/>
  <c r="P16" i="18"/>
  <c r="Q14" i="18"/>
  <c r="Q19" i="18" s="1"/>
  <c r="B300" i="19"/>
  <c r="C268" i="21" l="1"/>
  <c r="C280" i="21"/>
  <c r="C292" i="21"/>
  <c r="C304" i="21"/>
  <c r="C328" i="21"/>
  <c r="C13" i="20"/>
  <c r="C25" i="20"/>
  <c r="C37" i="20"/>
  <c r="C49" i="20"/>
  <c r="C61" i="20"/>
  <c r="C73" i="20"/>
  <c r="C85" i="20"/>
  <c r="C97" i="20"/>
  <c r="C109" i="20"/>
  <c r="C121" i="20"/>
  <c r="C133" i="20"/>
  <c r="C11" i="21"/>
  <c r="C23" i="21"/>
  <c r="C35" i="21"/>
  <c r="C47" i="21"/>
  <c r="C59" i="21"/>
  <c r="C71" i="21"/>
  <c r="C83" i="21"/>
  <c r="C95" i="21"/>
  <c r="C107" i="21"/>
  <c r="C119" i="21"/>
  <c r="C131" i="21"/>
  <c r="C143" i="21"/>
  <c r="C335" i="21"/>
  <c r="C145" i="20"/>
  <c r="C157" i="20"/>
  <c r="C235" i="21"/>
  <c r="C247" i="21"/>
  <c r="C259" i="21"/>
  <c r="C327" i="21"/>
  <c r="C155" i="21"/>
  <c r="C167" i="21"/>
  <c r="Q18" i="18"/>
  <c r="R18" i="18" s="1"/>
  <c r="C8" i="20"/>
  <c r="C20" i="20"/>
  <c r="C32" i="20"/>
  <c r="C44" i="20"/>
  <c r="C56" i="20"/>
  <c r="C68" i="20"/>
  <c r="C80" i="20"/>
  <c r="C92" i="20"/>
  <c r="C104" i="20"/>
  <c r="C116" i="20"/>
  <c r="C128" i="20"/>
  <c r="C140" i="20"/>
  <c r="C152" i="20"/>
  <c r="C164" i="20"/>
  <c r="C176" i="20"/>
  <c r="C188" i="20"/>
  <c r="C200" i="20"/>
  <c r="C212" i="20"/>
  <c r="C224" i="20"/>
  <c r="C236" i="20"/>
  <c r="C248" i="20"/>
  <c r="C260" i="20"/>
  <c r="C272" i="20"/>
  <c r="C284" i="20"/>
  <c r="C230" i="21"/>
  <c r="C294" i="21"/>
  <c r="R19" i="18"/>
  <c r="C283" i="21"/>
  <c r="C15" i="20"/>
  <c r="C27" i="20"/>
  <c r="C39" i="20"/>
  <c r="C51" i="20"/>
  <c r="C297" i="21"/>
  <c r="C309" i="21"/>
  <c r="C321" i="21"/>
  <c r="C333" i="21"/>
  <c r="C17" i="20"/>
  <c r="C29" i="20"/>
  <c r="C41" i="20"/>
  <c r="C179" i="21"/>
  <c r="C191" i="21"/>
  <c r="C203" i="21"/>
  <c r="C215" i="21"/>
  <c r="C227" i="21"/>
  <c r="C239" i="21"/>
  <c r="C287" i="21"/>
  <c r="C299" i="21"/>
  <c r="C311" i="21"/>
  <c r="C323" i="21"/>
  <c r="C252" i="21"/>
  <c r="C264" i="21"/>
  <c r="C10" i="20"/>
  <c r="C22" i="20"/>
  <c r="C34" i="20"/>
  <c r="C46" i="20"/>
  <c r="C58" i="20"/>
  <c r="C70" i="20"/>
  <c r="C11" i="20"/>
  <c r="C23" i="20"/>
  <c r="C35" i="20"/>
  <c r="C47" i="20"/>
  <c r="C59" i="20"/>
  <c r="C71" i="20"/>
  <c r="C83" i="20"/>
  <c r="C95" i="20"/>
  <c r="C107" i="20"/>
  <c r="C119" i="20"/>
  <c r="C131" i="20"/>
  <c r="C143" i="20"/>
  <c r="C155" i="20"/>
  <c r="C167" i="20"/>
  <c r="C179" i="20"/>
  <c r="C191" i="20"/>
  <c r="C203" i="20"/>
  <c r="C215" i="20"/>
  <c r="C227" i="20"/>
  <c r="C239" i="20"/>
  <c r="C251" i="20"/>
  <c r="C263" i="20"/>
  <c r="C275" i="20"/>
  <c r="C287" i="20"/>
  <c r="C299" i="20"/>
  <c r="C311" i="20"/>
  <c r="C323" i="20"/>
  <c r="C335" i="20"/>
  <c r="C245" i="21"/>
  <c r="C257" i="21"/>
  <c r="C269" i="21"/>
  <c r="C317" i="21"/>
  <c r="C329" i="21"/>
  <c r="C14" i="20"/>
  <c r="C26" i="20"/>
  <c r="C38" i="20"/>
  <c r="C50" i="20"/>
  <c r="C62" i="20"/>
  <c r="C74" i="20"/>
  <c r="C86" i="20"/>
  <c r="C98" i="20"/>
  <c r="C110" i="20"/>
  <c r="C122" i="20"/>
  <c r="C134" i="20"/>
  <c r="C146" i="20"/>
  <c r="C158" i="20"/>
  <c r="C170" i="20"/>
  <c r="C182" i="20"/>
  <c r="C194" i="20"/>
  <c r="C206" i="20"/>
  <c r="C218" i="20"/>
  <c r="C230" i="20"/>
  <c r="C242" i="20"/>
  <c r="C254" i="20"/>
  <c r="C266" i="20"/>
  <c r="C278" i="20"/>
  <c r="C290" i="20"/>
  <c r="C302" i="20"/>
  <c r="C314" i="20"/>
  <c r="C326" i="20"/>
  <c r="C8" i="21"/>
  <c r="C20" i="21"/>
  <c r="C32" i="21"/>
  <c r="C44" i="21"/>
  <c r="C56" i="21"/>
  <c r="C68" i="21"/>
  <c r="C80" i="21"/>
  <c r="C92" i="21"/>
  <c r="C104" i="21"/>
  <c r="C116" i="21"/>
  <c r="C128" i="21"/>
  <c r="C140" i="21"/>
  <c r="C152" i="21"/>
  <c r="C164" i="21"/>
  <c r="C176" i="21"/>
  <c r="C188" i="21"/>
  <c r="C200" i="21"/>
  <c r="C212" i="21"/>
  <c r="C224" i="21"/>
  <c r="C236" i="21"/>
  <c r="C248" i="21"/>
  <c r="C260" i="21"/>
  <c r="C296" i="21"/>
  <c r="C308" i="21"/>
  <c r="C320" i="21"/>
  <c r="C332" i="21"/>
  <c r="Q17" i="18"/>
  <c r="C16" i="20"/>
  <c r="C28" i="20"/>
  <c r="C40" i="20"/>
  <c r="C52" i="20"/>
  <c r="C64" i="20"/>
  <c r="C76" i="20"/>
  <c r="C88" i="20"/>
  <c r="C100" i="20"/>
  <c r="C112" i="20"/>
  <c r="C124" i="20"/>
  <c r="C136" i="20"/>
  <c r="C148" i="20"/>
  <c r="C160" i="20"/>
  <c r="C172" i="20"/>
  <c r="C184" i="20"/>
  <c r="C196" i="20"/>
  <c r="C208" i="20"/>
  <c r="C220" i="20"/>
  <c r="C232" i="20"/>
  <c r="C244" i="20"/>
  <c r="C256" i="20"/>
  <c r="C268" i="20"/>
  <c r="C280" i="20"/>
  <c r="C292" i="20"/>
  <c r="C304" i="20"/>
  <c r="C316" i="20"/>
  <c r="C328" i="20"/>
  <c r="C10" i="21"/>
  <c r="C22" i="21"/>
  <c r="C34" i="21"/>
  <c r="C46" i="21"/>
  <c r="C58" i="21"/>
  <c r="C70" i="21"/>
  <c r="C82" i="21"/>
  <c r="C94" i="21"/>
  <c r="C106" i="21"/>
  <c r="C118" i="21"/>
  <c r="C130" i="21"/>
  <c r="C142" i="21"/>
  <c r="C154" i="21"/>
  <c r="C166" i="21"/>
  <c r="C178" i="21"/>
  <c r="C190" i="21"/>
  <c r="C202" i="21"/>
  <c r="C214" i="21"/>
  <c r="C226" i="21"/>
  <c r="C238" i="21"/>
  <c r="C250" i="21"/>
  <c r="C262" i="21"/>
  <c r="C286" i="21"/>
  <c r="C298" i="21"/>
  <c r="C310" i="21"/>
  <c r="C322" i="21"/>
  <c r="C334" i="21"/>
  <c r="C335" i="19"/>
  <c r="C336" i="19"/>
  <c r="C7" i="20"/>
  <c r="C19" i="20"/>
  <c r="C31" i="20"/>
  <c r="C43" i="20"/>
  <c r="C55" i="20"/>
  <c r="C67" i="20"/>
  <c r="C79" i="20"/>
  <c r="C91" i="20"/>
  <c r="C103" i="20"/>
  <c r="C115" i="20"/>
  <c r="C127" i="20"/>
  <c r="C139" i="20"/>
  <c r="C151" i="20"/>
  <c r="C163" i="20"/>
  <c r="C175" i="20"/>
  <c r="C187" i="20"/>
  <c r="C199" i="20"/>
  <c r="C211" i="20"/>
  <c r="C223" i="20"/>
  <c r="C235" i="20"/>
  <c r="C247" i="20"/>
  <c r="C259" i="20"/>
  <c r="C271" i="20"/>
  <c r="C283" i="20"/>
  <c r="C295" i="20"/>
  <c r="C307" i="20"/>
  <c r="C319" i="20"/>
  <c r="C331" i="20"/>
  <c r="C157" i="21"/>
  <c r="C229" i="21"/>
  <c r="C241" i="21"/>
  <c r="C277" i="21"/>
  <c r="C289" i="21"/>
  <c r="Q22" i="18"/>
  <c r="R22" i="18" s="1"/>
  <c r="Q21" i="18"/>
  <c r="R21" i="18" s="1"/>
  <c r="Q25" i="18"/>
  <c r="R25" i="18" s="1"/>
  <c r="Q23" i="18"/>
  <c r="R23" i="18" s="1"/>
  <c r="Q20" i="18"/>
  <c r="R20" i="18" s="1"/>
  <c r="Q16" i="18"/>
  <c r="Q24" i="18"/>
  <c r="R24" i="18" s="1"/>
  <c r="C82" i="20"/>
  <c r="C94" i="20"/>
  <c r="C106" i="20"/>
  <c r="C118" i="20"/>
  <c r="C130" i="20"/>
  <c r="C142" i="20"/>
  <c r="C154" i="20"/>
  <c r="C166" i="20"/>
  <c r="C178" i="20"/>
  <c r="C190" i="20"/>
  <c r="C202" i="20"/>
  <c r="C214" i="20"/>
  <c r="C226" i="20"/>
  <c r="C238" i="20"/>
  <c r="C250" i="20"/>
  <c r="C262" i="20"/>
  <c r="C274" i="20"/>
  <c r="C286" i="20"/>
  <c r="C298" i="20"/>
  <c r="C310" i="20"/>
  <c r="C322" i="20"/>
  <c r="C334" i="20"/>
  <c r="C16" i="21"/>
  <c r="C28" i="21"/>
  <c r="C40" i="21"/>
  <c r="C52" i="21"/>
  <c r="C64" i="21"/>
  <c r="C76" i="21"/>
  <c r="C88" i="21"/>
  <c r="C100" i="21"/>
  <c r="C112" i="21"/>
  <c r="C124" i="21"/>
  <c r="C136" i="21"/>
  <c r="C148" i="21"/>
  <c r="C160" i="21"/>
  <c r="C172" i="21"/>
  <c r="C184" i="21"/>
  <c r="C196" i="21"/>
  <c r="C208" i="21"/>
  <c r="C220" i="21"/>
  <c r="C256" i="21"/>
  <c r="C267" i="21"/>
  <c r="C279" i="21"/>
  <c r="C302" i="21"/>
  <c r="C314" i="21"/>
  <c r="C7" i="21"/>
  <c r="C18" i="21"/>
  <c r="C30" i="21"/>
  <c r="C42" i="21"/>
  <c r="C54" i="21"/>
  <c r="C67" i="21"/>
  <c r="C78" i="21"/>
  <c r="C90" i="21"/>
  <c r="C102" i="21"/>
  <c r="C114" i="21"/>
  <c r="C126" i="21"/>
  <c r="C138" i="21"/>
  <c r="C150" i="21"/>
  <c r="C162" i="21"/>
  <c r="C174" i="21"/>
  <c r="C186" i="21"/>
  <c r="C198" i="21"/>
  <c r="C210" i="21"/>
  <c r="C222" i="21"/>
  <c r="C63" i="20"/>
  <c r="C75" i="20"/>
  <c r="C87" i="20"/>
  <c r="C99" i="20"/>
  <c r="C111" i="20"/>
  <c r="C123" i="20"/>
  <c r="C135" i="20"/>
  <c r="C147" i="20"/>
  <c r="C159" i="20"/>
  <c r="C171" i="20"/>
  <c r="C183" i="20"/>
  <c r="C195" i="20"/>
  <c r="C207" i="20"/>
  <c r="C219" i="20"/>
  <c r="C231" i="20"/>
  <c r="C243" i="20"/>
  <c r="C255" i="20"/>
  <c r="C267" i="20"/>
  <c r="C279" i="20"/>
  <c r="C291" i="20"/>
  <c r="C303" i="20"/>
  <c r="C315" i="20"/>
  <c r="C327" i="20"/>
  <c r="C9" i="21"/>
  <c r="C21" i="21"/>
  <c r="C33" i="21"/>
  <c r="C45" i="21"/>
  <c r="C57" i="21"/>
  <c r="C69" i="21"/>
  <c r="C81" i="21"/>
  <c r="C93" i="21"/>
  <c r="C105" i="21"/>
  <c r="C117" i="21"/>
  <c r="C129" i="21"/>
  <c r="C141" i="21"/>
  <c r="C153" i="21"/>
  <c r="C165" i="21"/>
  <c r="C177" i="21"/>
  <c r="C189" i="21"/>
  <c r="C201" i="21"/>
  <c r="C213" i="21"/>
  <c r="C225" i="21"/>
  <c r="C237" i="21"/>
  <c r="C249" i="21"/>
  <c r="C272" i="21"/>
  <c r="C307" i="21"/>
  <c r="C319" i="21"/>
  <c r="C331" i="21"/>
  <c r="C296" i="20"/>
  <c r="C308" i="20"/>
  <c r="C332" i="20"/>
  <c r="C15" i="21"/>
  <c r="C27" i="21"/>
  <c r="C39" i="21"/>
  <c r="C51" i="21"/>
  <c r="C63" i="21"/>
  <c r="C75" i="21"/>
  <c r="C87" i="21"/>
  <c r="C99" i="21"/>
  <c r="C111" i="21"/>
  <c r="C123" i="21"/>
  <c r="C135" i="21"/>
  <c r="C147" i="21"/>
  <c r="C159" i="21"/>
  <c r="C171" i="21"/>
  <c r="C183" i="21"/>
  <c r="C195" i="21"/>
  <c r="C207" i="21"/>
  <c r="C219" i="21"/>
  <c r="C231" i="21"/>
  <c r="C255" i="21"/>
  <c r="C266" i="21"/>
  <c r="C278" i="21"/>
  <c r="C290" i="21"/>
  <c r="C301" i="21"/>
  <c r="C313" i="21"/>
  <c r="C244" i="21"/>
  <c r="C254" i="21"/>
  <c r="C265" i="21"/>
  <c r="C275" i="21"/>
  <c r="C285" i="21"/>
  <c r="C316" i="21"/>
  <c r="C326" i="21"/>
  <c r="C306" i="21"/>
  <c r="C276" i="21"/>
  <c r="C246" i="21"/>
  <c r="C318" i="21"/>
  <c r="C288" i="21"/>
  <c r="C108" i="21"/>
  <c r="C258" i="21"/>
  <c r="C330" i="21"/>
  <c r="C234" i="21"/>
  <c r="C12" i="21"/>
  <c r="C60" i="21"/>
  <c r="C14" i="21"/>
  <c r="C26" i="21"/>
  <c r="C38" i="21"/>
  <c r="C50" i="21"/>
  <c r="C62" i="21"/>
  <c r="C74" i="21"/>
  <c r="C86" i="21"/>
  <c r="C98" i="21"/>
  <c r="C110" i="21"/>
  <c r="C122" i="21"/>
  <c r="C134" i="21"/>
  <c r="C146" i="21"/>
  <c r="C158" i="21"/>
  <c r="C170" i="21"/>
  <c r="C182" i="21"/>
  <c r="C194" i="21"/>
  <c r="C206" i="21"/>
  <c r="C218" i="21"/>
  <c r="C228" i="21"/>
  <c r="C271" i="21"/>
  <c r="C281" i="21"/>
  <c r="C291" i="21"/>
  <c r="C300" i="21"/>
  <c r="C48" i="21"/>
  <c r="C72" i="21"/>
  <c r="C132" i="21"/>
  <c r="C192" i="21"/>
  <c r="C251" i="21"/>
  <c r="C261" i="21"/>
  <c r="C270" i="21"/>
  <c r="C96" i="21"/>
  <c r="C168" i="21"/>
  <c r="C204" i="21"/>
  <c r="C240" i="21"/>
  <c r="C293" i="21"/>
  <c r="C303" i="21"/>
  <c r="C312" i="21"/>
  <c r="C36" i="21"/>
  <c r="C84" i="21"/>
  <c r="C144" i="21"/>
  <c r="C216" i="21"/>
  <c r="C17" i="21"/>
  <c r="C29" i="21"/>
  <c r="C41" i="21"/>
  <c r="C53" i="21"/>
  <c r="C65" i="21"/>
  <c r="C77" i="21"/>
  <c r="C89" i="21"/>
  <c r="C101" i="21"/>
  <c r="C113" i="21"/>
  <c r="C125" i="21"/>
  <c r="C137" i="21"/>
  <c r="C149" i="21"/>
  <c r="C161" i="21"/>
  <c r="C173" i="21"/>
  <c r="C185" i="21"/>
  <c r="C197" i="21"/>
  <c r="C209" i="21"/>
  <c r="C221" i="21"/>
  <c r="C232" i="21"/>
  <c r="C242" i="21"/>
  <c r="C253" i="21"/>
  <c r="C263" i="21"/>
  <c r="C273" i="21"/>
  <c r="C282" i="21"/>
  <c r="C325" i="21"/>
  <c r="C24" i="21"/>
  <c r="C120" i="21"/>
  <c r="C180" i="21"/>
  <c r="C233" i="21"/>
  <c r="C243" i="21"/>
  <c r="C274" i="21"/>
  <c r="C284" i="21"/>
  <c r="C295" i="21"/>
  <c r="C305" i="21"/>
  <c r="C315" i="21"/>
  <c r="C324" i="21"/>
  <c r="C66" i="21"/>
  <c r="C156" i="21"/>
  <c r="C13" i="21"/>
  <c r="C19" i="21"/>
  <c r="C25" i="21"/>
  <c r="C31" i="21"/>
  <c r="C37" i="21"/>
  <c r="C43" i="21"/>
  <c r="C49" i="21"/>
  <c r="C55" i="21"/>
  <c r="C61" i="21"/>
  <c r="C73" i="21"/>
  <c r="C79" i="21"/>
  <c r="C85" i="21"/>
  <c r="C91" i="21"/>
  <c r="C97" i="21"/>
  <c r="C103" i="21"/>
  <c r="C109" i="21"/>
  <c r="C115" i="21"/>
  <c r="C121" i="21"/>
  <c r="C127" i="21"/>
  <c r="C133" i="21"/>
  <c r="C139" i="21"/>
  <c r="C145" i="21"/>
  <c r="C151" i="21"/>
  <c r="C163" i="21"/>
  <c r="C169" i="21"/>
  <c r="C175" i="21"/>
  <c r="C181" i="21"/>
  <c r="C187" i="21"/>
  <c r="C193" i="21"/>
  <c r="C199" i="21"/>
  <c r="C205" i="21"/>
  <c r="C211" i="21"/>
  <c r="C217" i="21"/>
  <c r="C223" i="21"/>
  <c r="C169" i="20"/>
  <c r="C181" i="20"/>
  <c r="C193" i="20"/>
  <c r="C205" i="20"/>
  <c r="C217" i="20"/>
  <c r="C229" i="20"/>
  <c r="C241" i="20"/>
  <c r="C253" i="20"/>
  <c r="C265" i="20"/>
  <c r="C277" i="20"/>
  <c r="C289" i="20"/>
  <c r="C301" i="20"/>
  <c r="C313" i="20"/>
  <c r="C325" i="20"/>
  <c r="C53" i="20"/>
  <c r="C65" i="20"/>
  <c r="C77" i="20"/>
  <c r="C89" i="20"/>
  <c r="C101" i="20"/>
  <c r="C113" i="20"/>
  <c r="C125" i="20"/>
  <c r="C137" i="20"/>
  <c r="C149" i="20"/>
  <c r="C161" i="20"/>
  <c r="C173" i="20"/>
  <c r="C185" i="20"/>
  <c r="C197" i="20"/>
  <c r="C209" i="20"/>
  <c r="C221" i="20"/>
  <c r="C233" i="20"/>
  <c r="C245" i="20"/>
  <c r="C257" i="20"/>
  <c r="C269" i="20"/>
  <c r="C281" i="20"/>
  <c r="C293" i="20"/>
  <c r="C305" i="20"/>
  <c r="C317" i="20"/>
  <c r="C329" i="20"/>
  <c r="C320" i="20"/>
  <c r="C9" i="20"/>
  <c r="C21" i="20"/>
  <c r="C33" i="20"/>
  <c r="C45" i="20"/>
  <c r="C57" i="20"/>
  <c r="C69" i="20"/>
  <c r="C81" i="20"/>
  <c r="C93" i="20"/>
  <c r="C105" i="20"/>
  <c r="C117" i="20"/>
  <c r="C129" i="20"/>
  <c r="C141" i="20"/>
  <c r="C153" i="20"/>
  <c r="C165" i="20"/>
  <c r="C177" i="20"/>
  <c r="C189" i="20"/>
  <c r="C201" i="20"/>
  <c r="C213" i="20"/>
  <c r="C225" i="20"/>
  <c r="C237" i="20"/>
  <c r="C249" i="20"/>
  <c r="C261" i="20"/>
  <c r="C273" i="20"/>
  <c r="C285" i="20"/>
  <c r="C297" i="20"/>
  <c r="C309" i="20"/>
  <c r="C321" i="20"/>
  <c r="C333" i="20"/>
  <c r="C12" i="20"/>
  <c r="C18" i="20"/>
  <c r="C24" i="20"/>
  <c r="C30" i="20"/>
  <c r="C36" i="20"/>
  <c r="C42" i="20"/>
  <c r="C48" i="20"/>
  <c r="C54" i="20"/>
  <c r="C60" i="20"/>
  <c r="C66" i="20"/>
  <c r="C72" i="20"/>
  <c r="C78" i="20"/>
  <c r="C84" i="20"/>
  <c r="C90" i="20"/>
  <c r="C96" i="20"/>
  <c r="C102" i="20"/>
  <c r="C108" i="20"/>
  <c r="C114" i="20"/>
  <c r="C120" i="20"/>
  <c r="C126" i="20"/>
  <c r="C132" i="20"/>
  <c r="C138" i="20"/>
  <c r="C144" i="20"/>
  <c r="C150" i="20"/>
  <c r="C156" i="20"/>
  <c r="C162" i="20"/>
  <c r="C168" i="20"/>
  <c r="C174" i="20"/>
  <c r="C180" i="20"/>
  <c r="C186" i="20"/>
  <c r="C192" i="20"/>
  <c r="C198" i="20"/>
  <c r="C204" i="20"/>
  <c r="C210" i="20"/>
  <c r="C216" i="20"/>
  <c r="C222" i="20"/>
  <c r="C228" i="20"/>
  <c r="C234" i="20"/>
  <c r="C240" i="20"/>
  <c r="C246" i="20"/>
  <c r="C252" i="20"/>
  <c r="C258" i="20"/>
  <c r="C264" i="20"/>
  <c r="C270" i="20"/>
  <c r="C276" i="20"/>
  <c r="C282" i="20"/>
  <c r="C288" i="20"/>
  <c r="C294" i="20"/>
  <c r="C300" i="20"/>
  <c r="C306" i="20"/>
  <c r="C312" i="20"/>
  <c r="C318" i="20"/>
  <c r="C324" i="20"/>
  <c r="C330" i="20"/>
  <c r="B333" i="19" l="1"/>
  <c r="C334" i="19" s="1"/>
  <c r="B332" i="19"/>
  <c r="B331" i="19"/>
  <c r="B330" i="19"/>
  <c r="B329" i="19"/>
  <c r="B328" i="19"/>
  <c r="B327" i="19"/>
  <c r="B326" i="19"/>
  <c r="B325" i="19"/>
  <c r="B324" i="19"/>
  <c r="B323" i="19"/>
  <c r="B322" i="19"/>
  <c r="B321" i="19"/>
  <c r="B320" i="19"/>
  <c r="B319" i="19"/>
  <c r="B318" i="19"/>
  <c r="B317" i="19"/>
  <c r="B316" i="19"/>
  <c r="B315" i="19"/>
  <c r="B314" i="19"/>
  <c r="B313" i="19"/>
  <c r="B312" i="19"/>
  <c r="B311" i="19"/>
  <c r="B310" i="19"/>
  <c r="B309" i="19"/>
  <c r="B308" i="19"/>
  <c r="B307" i="19"/>
  <c r="B306" i="19"/>
  <c r="B305" i="19"/>
  <c r="B304" i="19"/>
  <c r="B303" i="19"/>
  <c r="B302" i="19"/>
  <c r="B301" i="19"/>
  <c r="B299" i="19"/>
  <c r="B298" i="19"/>
  <c r="B297" i="19"/>
  <c r="B296" i="19"/>
  <c r="B295" i="19"/>
  <c r="B294" i="19"/>
  <c r="B293" i="19"/>
  <c r="B292" i="19"/>
  <c r="B291" i="19"/>
  <c r="B290" i="19"/>
  <c r="B289" i="19"/>
  <c r="B288" i="19"/>
  <c r="B287" i="19"/>
  <c r="B286" i="19"/>
  <c r="B285" i="19"/>
  <c r="B284" i="19"/>
  <c r="B283" i="19"/>
  <c r="B282" i="19"/>
  <c r="B281" i="19"/>
  <c r="B280" i="19"/>
  <c r="B279" i="19"/>
  <c r="B278" i="19"/>
  <c r="B277" i="19"/>
  <c r="B276" i="19"/>
  <c r="B275" i="19"/>
  <c r="B274" i="19"/>
  <c r="B273" i="19"/>
  <c r="B272" i="19"/>
  <c r="B271" i="19"/>
  <c r="B270" i="19"/>
  <c r="B269" i="19"/>
  <c r="B268" i="19"/>
  <c r="B267" i="19"/>
  <c r="B266" i="19"/>
  <c r="B265" i="19"/>
  <c r="B264" i="19"/>
  <c r="B263" i="19"/>
  <c r="B262" i="19"/>
  <c r="B261" i="19"/>
  <c r="B260" i="19"/>
  <c r="B259" i="19"/>
  <c r="B258" i="19"/>
  <c r="B257" i="19"/>
  <c r="B256" i="19"/>
  <c r="B255" i="19"/>
  <c r="B254" i="19"/>
  <c r="B253" i="19"/>
  <c r="B252" i="19"/>
  <c r="B251" i="19"/>
  <c r="B250" i="19"/>
  <c r="B249" i="19"/>
  <c r="B248" i="19"/>
  <c r="B247" i="19"/>
  <c r="B246" i="19"/>
  <c r="B245" i="19"/>
  <c r="B244" i="19"/>
  <c r="B243" i="19"/>
  <c r="B242" i="19"/>
  <c r="B241" i="19"/>
  <c r="B240" i="19"/>
  <c r="B239" i="19"/>
  <c r="B238" i="19"/>
  <c r="B237" i="19"/>
  <c r="B236" i="19"/>
  <c r="B235" i="19"/>
  <c r="B234" i="19"/>
  <c r="B233" i="19"/>
  <c r="B232" i="19"/>
  <c r="B231" i="19"/>
  <c r="B230" i="19"/>
  <c r="B229" i="19"/>
  <c r="B228" i="19"/>
  <c r="B227" i="19"/>
  <c r="B226" i="19"/>
  <c r="B225" i="19"/>
  <c r="B224" i="19"/>
  <c r="B223" i="19"/>
  <c r="B222" i="19"/>
  <c r="B221" i="19"/>
  <c r="B220" i="19"/>
  <c r="B219" i="19"/>
  <c r="B218" i="19"/>
  <c r="B217" i="19"/>
  <c r="B216" i="19"/>
  <c r="B215" i="19"/>
  <c r="B214" i="19"/>
  <c r="B213" i="19"/>
  <c r="B212" i="19"/>
  <c r="B211" i="19"/>
  <c r="B210" i="19"/>
  <c r="B209" i="19"/>
  <c r="B208" i="19"/>
  <c r="B207" i="19"/>
  <c r="B206" i="19"/>
  <c r="B205" i="19"/>
  <c r="B204" i="19"/>
  <c r="B203" i="19"/>
  <c r="B202" i="19"/>
  <c r="B201" i="19"/>
  <c r="B200" i="19"/>
  <c r="B199" i="19"/>
  <c r="B198" i="19"/>
  <c r="B197" i="19"/>
  <c r="B196" i="19"/>
  <c r="B195" i="19"/>
  <c r="B194" i="19"/>
  <c r="B193" i="19"/>
  <c r="B192" i="19"/>
  <c r="B191" i="19"/>
  <c r="B190" i="19"/>
  <c r="B189" i="19"/>
  <c r="B188" i="19"/>
  <c r="B187" i="19"/>
  <c r="B186" i="19"/>
  <c r="B185" i="19"/>
  <c r="B184" i="19"/>
  <c r="B183" i="19"/>
  <c r="B182" i="19"/>
  <c r="B181" i="19"/>
  <c r="B180" i="19"/>
  <c r="B179" i="19"/>
  <c r="B178" i="19"/>
  <c r="B177" i="19"/>
  <c r="B176" i="19"/>
  <c r="B175" i="19"/>
  <c r="B174" i="19"/>
  <c r="B173" i="19"/>
  <c r="B172" i="19"/>
  <c r="B171" i="19"/>
  <c r="B170" i="19"/>
  <c r="B169" i="19"/>
  <c r="B168" i="19"/>
  <c r="B167" i="19"/>
  <c r="B166" i="19"/>
  <c r="B165" i="19"/>
  <c r="B164" i="19"/>
  <c r="B163" i="19"/>
  <c r="B162" i="19"/>
  <c r="B161" i="19"/>
  <c r="B160" i="19"/>
  <c r="B159" i="19"/>
  <c r="B158" i="19"/>
  <c r="B157" i="19"/>
  <c r="B156" i="19"/>
  <c r="B155" i="19"/>
  <c r="B154" i="19"/>
  <c r="B153" i="19"/>
  <c r="B152" i="19"/>
  <c r="B151" i="19"/>
  <c r="B150" i="19"/>
  <c r="B149" i="19"/>
  <c r="B148" i="19"/>
  <c r="B147" i="19"/>
  <c r="B146" i="19"/>
  <c r="B145" i="19"/>
  <c r="B144" i="19"/>
  <c r="B143" i="19"/>
  <c r="B142" i="19"/>
  <c r="B141" i="19"/>
  <c r="B140" i="19"/>
  <c r="B139" i="19"/>
  <c r="B138" i="19"/>
  <c r="B137" i="19"/>
  <c r="B136" i="19"/>
  <c r="B135" i="19"/>
  <c r="B134" i="19"/>
  <c r="B133" i="19"/>
  <c r="B132" i="19"/>
  <c r="B131" i="19"/>
  <c r="B130" i="19"/>
  <c r="B129" i="19"/>
  <c r="B128" i="19"/>
  <c r="B127" i="19"/>
  <c r="B126" i="19"/>
  <c r="B125" i="19"/>
  <c r="B124" i="19"/>
  <c r="B123" i="19"/>
  <c r="B122" i="19"/>
  <c r="B121" i="19"/>
  <c r="B120" i="19"/>
  <c r="B119" i="19"/>
  <c r="B118" i="19"/>
  <c r="B117" i="19"/>
  <c r="B116" i="19"/>
  <c r="B115" i="19"/>
  <c r="B114" i="19"/>
  <c r="B113" i="19"/>
  <c r="B112" i="19"/>
  <c r="B111" i="19"/>
  <c r="B110" i="19"/>
  <c r="B109" i="19"/>
  <c r="B108" i="19"/>
  <c r="B107" i="19"/>
  <c r="B106" i="19"/>
  <c r="B105" i="19"/>
  <c r="B104" i="19"/>
  <c r="B103" i="19"/>
  <c r="B102" i="19"/>
  <c r="B101" i="19"/>
  <c r="B100" i="19"/>
  <c r="B99" i="19"/>
  <c r="B98" i="19"/>
  <c r="B97" i="19"/>
  <c r="B96" i="19"/>
  <c r="B95" i="19"/>
  <c r="B94" i="19"/>
  <c r="B93" i="19"/>
  <c r="B92" i="19"/>
  <c r="B91" i="19"/>
  <c r="B90" i="19"/>
  <c r="B89" i="19"/>
  <c r="B88" i="19"/>
  <c r="B87" i="19"/>
  <c r="B86" i="19"/>
  <c r="B85" i="19"/>
  <c r="B84" i="19"/>
  <c r="B83" i="19"/>
  <c r="B82" i="19"/>
  <c r="B81" i="19"/>
  <c r="B80" i="19"/>
  <c r="B79" i="19"/>
  <c r="B78" i="19"/>
  <c r="B77" i="19"/>
  <c r="B76" i="19"/>
  <c r="B75" i="19"/>
  <c r="B74" i="19"/>
  <c r="B73" i="19"/>
  <c r="B72" i="19"/>
  <c r="B71" i="19"/>
  <c r="B70" i="19"/>
  <c r="B69" i="19"/>
  <c r="B68" i="19"/>
  <c r="B67" i="19"/>
  <c r="B66" i="19"/>
  <c r="B65" i="19"/>
  <c r="B64" i="19"/>
  <c r="B63" i="19"/>
  <c r="B62" i="19"/>
  <c r="B61" i="19"/>
  <c r="B60" i="19"/>
  <c r="B59" i="19"/>
  <c r="B58" i="19"/>
  <c r="B57" i="19"/>
  <c r="B56" i="19"/>
  <c r="B55" i="19"/>
  <c r="B54" i="19"/>
  <c r="B53" i="19"/>
  <c r="B52" i="19"/>
  <c r="B51" i="19"/>
  <c r="B50" i="19"/>
  <c r="B49" i="19"/>
  <c r="B48" i="19"/>
  <c r="B47" i="19"/>
  <c r="B46" i="19"/>
  <c r="B45" i="19"/>
  <c r="B44" i="19"/>
  <c r="B43" i="19"/>
  <c r="B42" i="19"/>
  <c r="B41" i="19"/>
  <c r="B40" i="19"/>
  <c r="B39" i="19"/>
  <c r="B38" i="19"/>
  <c r="B37" i="19"/>
  <c r="B36" i="19"/>
  <c r="B35" i="19"/>
  <c r="B34" i="19"/>
  <c r="B33" i="19"/>
  <c r="B32" i="19"/>
  <c r="B31" i="19"/>
  <c r="B30" i="19"/>
  <c r="B29" i="19"/>
  <c r="B28" i="19"/>
  <c r="B27" i="19"/>
  <c r="B26" i="19"/>
  <c r="B25" i="19"/>
  <c r="B24" i="19"/>
  <c r="B23" i="19"/>
  <c r="B22" i="19"/>
  <c r="B21" i="19"/>
  <c r="B20" i="19"/>
  <c r="B19" i="19"/>
  <c r="B18" i="19"/>
  <c r="B17" i="19"/>
  <c r="B16" i="19"/>
  <c r="B15" i="19"/>
  <c r="B14" i="19"/>
  <c r="B13" i="19"/>
  <c r="B12" i="19"/>
  <c r="B11" i="19"/>
  <c r="B10" i="19"/>
  <c r="B9" i="19"/>
  <c r="B8" i="19"/>
  <c r="B7" i="19"/>
  <c r="B6" i="19"/>
  <c r="C95" i="19" l="1"/>
  <c r="C119" i="19"/>
  <c r="C167" i="19"/>
  <c r="C179" i="19"/>
  <c r="C13" i="19"/>
  <c r="C25" i="19"/>
  <c r="C37" i="19"/>
  <c r="C49" i="19"/>
  <c r="C61" i="19"/>
  <c r="C73" i="19"/>
  <c r="C85" i="19"/>
  <c r="C181" i="19"/>
  <c r="C193" i="19"/>
  <c r="C205" i="19"/>
  <c r="C217" i="19"/>
  <c r="C241" i="19"/>
  <c r="C265" i="19"/>
  <c r="C277" i="19"/>
  <c r="C289" i="19"/>
  <c r="C52" i="19"/>
  <c r="C244" i="19"/>
  <c r="C99" i="19"/>
  <c r="C147" i="19"/>
  <c r="C159" i="19"/>
  <c r="C171" i="19"/>
  <c r="C195" i="19"/>
  <c r="C207" i="19"/>
  <c r="C219" i="19"/>
  <c r="C231" i="19"/>
  <c r="C243" i="19"/>
  <c r="C12" i="19"/>
  <c r="C24" i="19"/>
  <c r="C36" i="19"/>
  <c r="C48" i="19"/>
  <c r="C60" i="19"/>
  <c r="C84" i="19"/>
  <c r="C96" i="19"/>
  <c r="C144" i="19"/>
  <c r="C156" i="19"/>
  <c r="C192" i="19"/>
  <c r="C204" i="19"/>
  <c r="C216" i="19"/>
  <c r="C228" i="19"/>
  <c r="C252" i="19"/>
  <c r="C325" i="19"/>
  <c r="C14" i="19"/>
  <c r="C26" i="19"/>
  <c r="C38" i="19"/>
  <c r="C50" i="19"/>
  <c r="C110" i="19"/>
  <c r="C122" i="19"/>
  <c r="C170" i="19"/>
  <c r="C182" i="19"/>
  <c r="C254" i="19"/>
  <c r="C315" i="19"/>
  <c r="C327" i="19"/>
  <c r="C113" i="19"/>
  <c r="C149" i="19"/>
  <c r="C173" i="19"/>
  <c r="C185" i="19"/>
  <c r="C257" i="19"/>
  <c r="C271" i="19"/>
  <c r="C283" i="19"/>
  <c r="C308" i="19"/>
  <c r="C320" i="19"/>
  <c r="C332" i="19"/>
  <c r="C92" i="19"/>
  <c r="C224" i="19"/>
  <c r="C248" i="19"/>
  <c r="C260" i="19"/>
  <c r="C309" i="19"/>
  <c r="C275" i="19"/>
  <c r="C287" i="19"/>
  <c r="C304" i="19"/>
  <c r="C316" i="19"/>
  <c r="C328" i="19"/>
  <c r="C19" i="19"/>
  <c r="C70" i="19"/>
  <c r="C72" i="19"/>
  <c r="C292" i="19"/>
  <c r="C294" i="19"/>
  <c r="C88" i="19"/>
  <c r="C8" i="19"/>
  <c r="C57" i="19"/>
  <c r="C69" i="19"/>
  <c r="C81" i="19"/>
  <c r="C201" i="19"/>
  <c r="C213" i="19"/>
  <c r="C249" i="19"/>
  <c r="C31" i="19"/>
  <c r="C79" i="19"/>
  <c r="C90" i="19"/>
  <c r="C102" i="19"/>
  <c r="C114" i="19"/>
  <c r="C126" i="19"/>
  <c r="C138" i="19"/>
  <c r="C150" i="19"/>
  <c r="C162" i="19"/>
  <c r="C174" i="19"/>
  <c r="C124" i="19"/>
  <c r="C100" i="19"/>
  <c r="C160" i="19"/>
  <c r="C59" i="19"/>
  <c r="C83" i="19"/>
  <c r="C142" i="19"/>
  <c r="C190" i="19"/>
  <c r="C262" i="19"/>
  <c r="C310" i="19"/>
  <c r="C42" i="19"/>
  <c r="C65" i="19"/>
  <c r="C183" i="19"/>
  <c r="C194" i="19"/>
  <c r="C230" i="19"/>
  <c r="C242" i="19"/>
  <c r="C253" i="19"/>
  <c r="C264" i="19"/>
  <c r="C276" i="19"/>
  <c r="C288" i="19"/>
  <c r="C298" i="19"/>
  <c r="C322" i="19"/>
  <c r="C45" i="19"/>
  <c r="C56" i="19"/>
  <c r="C68" i="19"/>
  <c r="C80" i="19"/>
  <c r="C91" i="19"/>
  <c r="C103" i="19"/>
  <c r="C115" i="19"/>
  <c r="C127" i="19"/>
  <c r="C139" i="19"/>
  <c r="C151" i="19"/>
  <c r="C163" i="19"/>
  <c r="C175" i="19"/>
  <c r="C186" i="19"/>
  <c r="C197" i="19"/>
  <c r="C209" i="19"/>
  <c r="C220" i="19"/>
  <c r="C233" i="19"/>
  <c r="C245" i="19"/>
  <c r="C302" i="19"/>
  <c r="C326" i="19"/>
  <c r="C104" i="19"/>
  <c r="C116" i="19"/>
  <c r="C128" i="19"/>
  <c r="C140" i="19"/>
  <c r="C152" i="19"/>
  <c r="C164" i="19"/>
  <c r="C176" i="19"/>
  <c r="C187" i="19"/>
  <c r="C198" i="19"/>
  <c r="C210" i="19"/>
  <c r="C10" i="19"/>
  <c r="C23" i="19"/>
  <c r="C34" i="19"/>
  <c r="C47" i="19"/>
  <c r="C93" i="19"/>
  <c r="C105" i="19"/>
  <c r="C117" i="19"/>
  <c r="C129" i="19"/>
  <c r="C141" i="19"/>
  <c r="C153" i="19"/>
  <c r="C235" i="19"/>
  <c r="C154" i="19"/>
  <c r="C261" i="19"/>
  <c r="C272" i="19"/>
  <c r="C284" i="19"/>
  <c r="C295" i="19"/>
  <c r="C319" i="19"/>
  <c r="C15" i="19"/>
  <c r="C27" i="19"/>
  <c r="C39" i="19"/>
  <c r="C51" i="19"/>
  <c r="C62" i="19"/>
  <c r="C133" i="19"/>
  <c r="C227" i="19"/>
  <c r="C239" i="19"/>
  <c r="C273" i="19"/>
  <c r="C285" i="19"/>
  <c r="C296" i="19"/>
  <c r="C333" i="19"/>
  <c r="C106" i="19"/>
  <c r="C178" i="19"/>
  <c r="C16" i="19"/>
  <c r="R16" i="18"/>
  <c r="C21" i="19"/>
  <c r="C33" i="19"/>
  <c r="C44" i="19"/>
  <c r="C55" i="19"/>
  <c r="C67" i="19"/>
  <c r="C78" i="19"/>
  <c r="C135" i="19"/>
  <c r="C146" i="19"/>
  <c r="C158" i="19"/>
  <c r="C169" i="19"/>
  <c r="C203" i="19"/>
  <c r="C215" i="19"/>
  <c r="C237" i="19"/>
  <c r="C247" i="19"/>
  <c r="C259" i="19"/>
  <c r="C270" i="19"/>
  <c r="C282" i="19"/>
  <c r="C314" i="19"/>
  <c r="C206" i="19"/>
  <c r="C218" i="19"/>
  <c r="C229" i="19"/>
  <c r="C238" i="19"/>
  <c r="C240" i="19"/>
  <c r="C297" i="19"/>
  <c r="C307" i="19"/>
  <c r="C136" i="19"/>
  <c r="C29" i="19"/>
  <c r="C63" i="19"/>
  <c r="C74" i="19"/>
  <c r="C86" i="19"/>
  <c r="C97" i="19"/>
  <c r="C108" i="19"/>
  <c r="C120" i="19"/>
  <c r="C131" i="19"/>
  <c r="C165" i="19"/>
  <c r="C177" i="19"/>
  <c r="C188" i="19"/>
  <c r="C199" i="19"/>
  <c r="C211" i="19"/>
  <c r="C222" i="19"/>
  <c r="C232" i="19"/>
  <c r="C255" i="19"/>
  <c r="C266" i="19"/>
  <c r="C278" i="19"/>
  <c r="C290" i="19"/>
  <c r="C321" i="19"/>
  <c r="C331" i="19"/>
  <c r="C7" i="19"/>
  <c r="C18" i="19"/>
  <c r="C30" i="19"/>
  <c r="C41" i="19"/>
  <c r="C75" i="19"/>
  <c r="C87" i="19"/>
  <c r="C98" i="19"/>
  <c r="C109" i="19"/>
  <c r="C121" i="19"/>
  <c r="C132" i="19"/>
  <c r="C189" i="19"/>
  <c r="C200" i="19"/>
  <c r="C212" i="19"/>
  <c r="C223" i="19"/>
  <c r="C234" i="19"/>
  <c r="C267" i="19"/>
  <c r="C279" i="19"/>
  <c r="C291" i="19"/>
  <c r="C301" i="19"/>
  <c r="C9" i="19"/>
  <c r="C20" i="19"/>
  <c r="C32" i="19"/>
  <c r="C43" i="19"/>
  <c r="C54" i="19"/>
  <c r="C66" i="19"/>
  <c r="C77" i="19"/>
  <c r="C111" i="19"/>
  <c r="C123" i="19"/>
  <c r="C134" i="19"/>
  <c r="C145" i="19"/>
  <c r="C157" i="19"/>
  <c r="C168" i="19"/>
  <c r="C180" i="19"/>
  <c r="C225" i="19"/>
  <c r="C236" i="19"/>
  <c r="C246" i="19"/>
  <c r="C258" i="19"/>
  <c r="C269" i="19"/>
  <c r="C281" i="19"/>
  <c r="C303" i="19"/>
  <c r="C313" i="19"/>
  <c r="C17" i="19"/>
  <c r="C53" i="19"/>
  <c r="C107" i="19"/>
  <c r="C125" i="19"/>
  <c r="C143" i="19"/>
  <c r="C161" i="19"/>
  <c r="C191" i="19"/>
  <c r="C263" i="19"/>
  <c r="C323" i="19"/>
  <c r="C324" i="19"/>
  <c r="C89" i="19"/>
  <c r="C172" i="19"/>
  <c r="C274" i="19"/>
  <c r="C82" i="19"/>
  <c r="C318" i="19"/>
  <c r="C317" i="19"/>
  <c r="C71" i="19"/>
  <c r="C64" i="19"/>
  <c r="C118" i="19"/>
  <c r="C11" i="19"/>
  <c r="C101" i="19"/>
  <c r="C137" i="19"/>
  <c r="C155" i="19"/>
  <c r="C184" i="19"/>
  <c r="C306" i="19"/>
  <c r="C305" i="19"/>
  <c r="C329" i="19"/>
  <c r="C330" i="19"/>
  <c r="C22" i="19"/>
  <c r="C40" i="19"/>
  <c r="C58" i="19"/>
  <c r="C76" i="19"/>
  <c r="C94" i="19"/>
  <c r="C112" i="19"/>
  <c r="C130" i="19"/>
  <c r="C148" i="19"/>
  <c r="C166" i="19"/>
  <c r="C196" i="19"/>
  <c r="C268" i="19"/>
  <c r="C299" i="19"/>
  <c r="C300" i="19"/>
  <c r="C202" i="19"/>
  <c r="C28" i="19"/>
  <c r="C46" i="19"/>
  <c r="C214" i="19"/>
  <c r="C286" i="19"/>
  <c r="C256" i="19"/>
  <c r="C208" i="19"/>
  <c r="C251" i="19"/>
  <c r="C280" i="19"/>
  <c r="C311" i="19"/>
  <c r="C312" i="19"/>
  <c r="C35" i="19"/>
  <c r="C226" i="19"/>
  <c r="C221" i="19"/>
  <c r="C250" i="19"/>
  <c r="C293" i="19"/>
  <c r="R17" i="18"/>
  <c r="R32" i="17" l="1"/>
  <c r="B328" i="6" l="1"/>
  <c r="B329" i="6"/>
  <c r="B330" i="6"/>
  <c r="B331" i="6"/>
  <c r="B332" i="6"/>
  <c r="B333" i="6"/>
  <c r="C334" i="6" s="1"/>
  <c r="C332" i="6" l="1"/>
  <c r="C329" i="6"/>
  <c r="C333" i="6"/>
  <c r="C331" i="6"/>
  <c r="C330" i="6"/>
  <c r="B326" i="6"/>
  <c r="B327" i="6"/>
  <c r="C328" i="6" s="1"/>
  <c r="C327" i="6" l="1"/>
  <c r="B324" i="6"/>
  <c r="B325" i="6"/>
  <c r="C325" i="6" l="1"/>
  <c r="C326" i="6"/>
  <c r="B323" i="6"/>
  <c r="C324" i="6" l="1"/>
  <c r="B322" i="6"/>
  <c r="C323" i="6" s="1"/>
  <c r="B321" i="6" l="1"/>
  <c r="C322" i="6" l="1"/>
  <c r="B320" i="6" l="1"/>
  <c r="C321" i="6" l="1"/>
  <c r="B6" i="6" l="1"/>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C222" i="6" l="1"/>
  <c r="C224" i="6"/>
  <c r="C116" i="6"/>
  <c r="C80" i="6"/>
  <c r="C44" i="6"/>
  <c r="C32" i="6"/>
  <c r="C150" i="6"/>
  <c r="C168" i="6"/>
  <c r="C215" i="6"/>
  <c r="C72" i="6"/>
  <c r="C12" i="6"/>
  <c r="C165" i="6"/>
  <c r="C179" i="6"/>
  <c r="C283" i="6"/>
  <c r="C211" i="6"/>
  <c r="C276" i="6"/>
  <c r="C108" i="6"/>
  <c r="C48" i="6"/>
  <c r="C156" i="6"/>
  <c r="C84" i="6"/>
  <c r="C94" i="6"/>
  <c r="C10" i="6"/>
  <c r="C82" i="6"/>
  <c r="C272" i="6"/>
  <c r="C235" i="6"/>
  <c r="C200" i="6"/>
  <c r="C152" i="6"/>
  <c r="C8" i="6"/>
  <c r="C286" i="6"/>
  <c r="C154" i="6"/>
  <c r="C58" i="6"/>
  <c r="C22" i="6"/>
  <c r="C201" i="6"/>
  <c r="C129" i="6"/>
  <c r="C81" i="6"/>
  <c r="C21" i="6"/>
  <c r="C274" i="6"/>
  <c r="C238" i="6"/>
  <c r="C118" i="6"/>
  <c r="C70" i="6"/>
  <c r="C34" i="6"/>
  <c r="C105" i="6"/>
  <c r="C69" i="6"/>
  <c r="C9" i="6"/>
  <c r="C217" i="6"/>
  <c r="C145" i="6"/>
  <c r="C97" i="6"/>
  <c r="C37" i="6"/>
  <c r="C13" i="6"/>
  <c r="C250" i="6"/>
  <c r="C202" i="6"/>
  <c r="C106" i="6"/>
  <c r="C46" i="6"/>
  <c r="C57" i="6"/>
  <c r="C45" i="6"/>
  <c r="C213" i="6"/>
  <c r="C163" i="6"/>
  <c r="C139" i="6"/>
  <c r="C268" i="6"/>
  <c r="C172" i="6"/>
  <c r="C261" i="6"/>
  <c r="C33" i="6"/>
  <c r="C290" i="6"/>
  <c r="C254" i="6"/>
  <c r="C242" i="6"/>
  <c r="C182" i="6"/>
  <c r="C170" i="6"/>
  <c r="C120" i="6"/>
  <c r="C109" i="6"/>
  <c r="C96" i="6"/>
  <c r="C73" i="6"/>
  <c r="C61" i="6"/>
  <c r="C36" i="6"/>
  <c r="C93" i="6"/>
  <c r="C206" i="6"/>
  <c r="C296" i="6"/>
  <c r="C141" i="6"/>
  <c r="C320" i="6"/>
  <c r="C304" i="6"/>
  <c r="C231" i="6"/>
  <c r="C160" i="6"/>
  <c r="C310" i="6"/>
  <c r="C312" i="6"/>
  <c r="C228" i="6"/>
  <c r="C308" i="6"/>
  <c r="C298" i="6"/>
  <c r="C314" i="6"/>
  <c r="C306" i="6"/>
  <c r="C270" i="6"/>
  <c r="C198" i="6"/>
  <c r="C317" i="6"/>
  <c r="C294" i="6"/>
  <c r="C258" i="6"/>
  <c r="C126" i="6"/>
  <c r="C195" i="6"/>
  <c r="C183" i="6"/>
  <c r="C159" i="6"/>
  <c r="C68" i="6"/>
  <c r="C265" i="6"/>
  <c r="C241" i="6"/>
  <c r="C205" i="6"/>
  <c r="C133" i="6"/>
  <c r="C121" i="6"/>
  <c r="C85" i="6"/>
  <c r="C49" i="6"/>
  <c r="C25" i="6"/>
  <c r="C20" i="6"/>
  <c r="C56" i="6"/>
  <c r="C92" i="6"/>
  <c r="C300" i="6"/>
  <c r="C288" i="6"/>
  <c r="C252" i="6"/>
  <c r="C60" i="6"/>
  <c r="C24" i="6"/>
  <c r="C297" i="6"/>
  <c r="C104" i="6"/>
  <c r="C260" i="6"/>
  <c r="C269" i="6"/>
  <c r="C305" i="6"/>
  <c r="C148" i="6"/>
  <c r="C193" i="6"/>
  <c r="C279" i="6"/>
  <c r="C137" i="6"/>
  <c r="C239" i="6"/>
  <c r="C280" i="6"/>
  <c r="C117" i="6"/>
  <c r="C128" i="6"/>
  <c r="C240" i="6"/>
  <c r="C251" i="6"/>
  <c r="C292" i="6"/>
  <c r="C197" i="6"/>
  <c r="C220" i="6"/>
  <c r="C262" i="6"/>
  <c r="C142" i="6"/>
  <c r="C164" i="6"/>
  <c r="C175" i="6"/>
  <c r="C209" i="6"/>
  <c r="C315" i="6"/>
  <c r="C143" i="6"/>
  <c r="C233" i="6"/>
  <c r="C15" i="6"/>
  <c r="C27" i="6"/>
  <c r="C39" i="6"/>
  <c r="C51" i="6"/>
  <c r="C63" i="6"/>
  <c r="C75" i="6"/>
  <c r="C87" i="6"/>
  <c r="C99" i="6"/>
  <c r="C111" i="6"/>
  <c r="C123" i="6"/>
  <c r="C134" i="6"/>
  <c r="C167" i="6"/>
  <c r="C236" i="6"/>
  <c r="C247" i="6"/>
  <c r="C256" i="6"/>
  <c r="C287" i="6"/>
  <c r="C318" i="6"/>
  <c r="C16" i="6"/>
  <c r="C28" i="6"/>
  <c r="C40" i="6"/>
  <c r="C52" i="6"/>
  <c r="C64" i="6"/>
  <c r="C76" i="6"/>
  <c r="C88" i="6"/>
  <c r="C100" i="6"/>
  <c r="C112" i="6"/>
  <c r="C124" i="6"/>
  <c r="C169" i="6"/>
  <c r="C237" i="6"/>
  <c r="C278" i="6"/>
  <c r="C7" i="6"/>
  <c r="C19" i="6"/>
  <c r="C31" i="6"/>
  <c r="C43" i="6"/>
  <c r="C55" i="6"/>
  <c r="C67" i="6"/>
  <c r="C79" i="6"/>
  <c r="C91" i="6"/>
  <c r="C103" i="6"/>
  <c r="C115" i="6"/>
  <c r="C127" i="6"/>
  <c r="C147" i="6"/>
  <c r="C178" i="6"/>
  <c r="C188" i="6"/>
  <c r="C199" i="6"/>
  <c r="C219" i="6"/>
  <c r="C259" i="6"/>
  <c r="C277" i="6"/>
  <c r="C158" i="6"/>
  <c r="C189" i="6"/>
  <c r="C230" i="6"/>
  <c r="C138" i="6"/>
  <c r="C149" i="6"/>
  <c r="C181" i="6"/>
  <c r="C190" i="6"/>
  <c r="C210" i="6"/>
  <c r="C221" i="6"/>
  <c r="C11" i="6"/>
  <c r="C23" i="6"/>
  <c r="C35" i="6"/>
  <c r="C47" i="6"/>
  <c r="C59" i="6"/>
  <c r="C71" i="6"/>
  <c r="C83" i="6"/>
  <c r="C95" i="6"/>
  <c r="C107" i="6"/>
  <c r="C119" i="6"/>
  <c r="C130" i="6"/>
  <c r="C140" i="6"/>
  <c r="C151" i="6"/>
  <c r="C161" i="6"/>
  <c r="C171" i="6"/>
  <c r="C180" i="6"/>
  <c r="C191" i="6"/>
  <c r="C212" i="6"/>
  <c r="C223" i="6"/>
  <c r="C232" i="6"/>
  <c r="C243" i="6"/>
  <c r="C253" i="6"/>
  <c r="C271" i="6"/>
  <c r="C289" i="6"/>
  <c r="C192" i="6"/>
  <c r="C131" i="6"/>
  <c r="C203" i="6"/>
  <c r="C244" i="6"/>
  <c r="C316" i="6"/>
  <c r="C14" i="6"/>
  <c r="C26" i="6"/>
  <c r="C38" i="6"/>
  <c r="C50" i="6"/>
  <c r="C62" i="6"/>
  <c r="C74" i="6"/>
  <c r="C86" i="6"/>
  <c r="C98" i="6"/>
  <c r="C110" i="6"/>
  <c r="C122" i="6"/>
  <c r="C153" i="6"/>
  <c r="C162" i="6"/>
  <c r="C173" i="6"/>
  <c r="C184" i="6"/>
  <c r="C194" i="6"/>
  <c r="C214" i="6"/>
  <c r="C225" i="6"/>
  <c r="C234" i="6"/>
  <c r="C245" i="6"/>
  <c r="C255" i="6"/>
  <c r="C263" i="6"/>
  <c r="C273" i="6"/>
  <c r="C281" i="6"/>
  <c r="C291" i="6"/>
  <c r="C299" i="6"/>
  <c r="C309" i="6"/>
  <c r="C174" i="6"/>
  <c r="C185" i="6"/>
  <c r="C226" i="6"/>
  <c r="C246" i="6"/>
  <c r="C264" i="6"/>
  <c r="C282" i="6"/>
  <c r="C132" i="6"/>
  <c r="C204" i="6"/>
  <c r="C17" i="6"/>
  <c r="C29" i="6"/>
  <c r="C41" i="6"/>
  <c r="C53" i="6"/>
  <c r="C65" i="6"/>
  <c r="C77" i="6"/>
  <c r="C89" i="6"/>
  <c r="C101" i="6"/>
  <c r="C113" i="6"/>
  <c r="C125" i="6"/>
  <c r="C135" i="6"/>
  <c r="C144" i="6"/>
  <c r="C155" i="6"/>
  <c r="C166" i="6"/>
  <c r="C176" i="6"/>
  <c r="C187" i="6"/>
  <c r="C196" i="6"/>
  <c r="C207" i="6"/>
  <c r="C216" i="6"/>
  <c r="C227" i="6"/>
  <c r="C248" i="6"/>
  <c r="C266" i="6"/>
  <c r="C284" i="6"/>
  <c r="C302" i="6"/>
  <c r="C18" i="6"/>
  <c r="C30" i="6"/>
  <c r="C42" i="6"/>
  <c r="C54" i="6"/>
  <c r="C66" i="6"/>
  <c r="C78" i="6"/>
  <c r="C90" i="6"/>
  <c r="C102" i="6"/>
  <c r="C114" i="6"/>
  <c r="C136" i="6"/>
  <c r="C146" i="6"/>
  <c r="C157" i="6"/>
  <c r="C177" i="6"/>
  <c r="C186" i="6"/>
  <c r="C208" i="6"/>
  <c r="C218" i="6"/>
  <c r="C229" i="6"/>
  <c r="C249" i="6"/>
  <c r="C257" i="6"/>
  <c r="C267" i="6"/>
  <c r="C275" i="6"/>
  <c r="C285" i="6"/>
  <c r="C293" i="6"/>
  <c r="C303" i="6"/>
  <c r="C311" i="6"/>
  <c r="C319" i="6"/>
  <c r="C301" i="6"/>
  <c r="C313" i="6"/>
  <c r="C295" i="6"/>
  <c r="C307" i="6"/>
</calcChain>
</file>

<file path=xl/sharedStrings.xml><?xml version="1.0" encoding="utf-8"?>
<sst xmlns="http://schemas.openxmlformats.org/spreadsheetml/2006/main" count="251" uniqueCount="116">
  <si>
    <t>DATE</t>
  </si>
  <si>
    <t>A31SNO</t>
  </si>
  <si>
    <t>A32SNO</t>
  </si>
  <si>
    <t>A33SNO</t>
  </si>
  <si>
    <t>A34SNO</t>
  </si>
  <si>
    <t>A35SNO</t>
  </si>
  <si>
    <t>A36SNO</t>
  </si>
  <si>
    <t>ADXTNO</t>
  </si>
  <si>
    <t>AMTUNO</t>
  </si>
  <si>
    <t>DGORDER</t>
  </si>
  <si>
    <t>Date</t>
  </si>
  <si>
    <t>New Orders</t>
  </si>
  <si>
    <t>Primary Metals</t>
  </si>
  <si>
    <t>Fabricated Metal Products</t>
  </si>
  <si>
    <t>Durable Goods</t>
  </si>
  <si>
    <t>ADXDNO</t>
  </si>
  <si>
    <t>NEWORDER</t>
  </si>
  <si>
    <t>CORE ORDERS</t>
  </si>
  <si>
    <t>ANXAVS</t>
  </si>
  <si>
    <t>Computers</t>
  </si>
  <si>
    <t>Change</t>
  </si>
  <si>
    <t>New Orders ex Transport</t>
  </si>
  <si>
    <t>Manufacturing</t>
  </si>
  <si>
    <r>
      <t xml:space="preserve">Table 1.  Durable Goods Manufacturers' Shipments and New Orders </t>
    </r>
    <r>
      <rPr>
        <b/>
        <vertAlign val="superscript"/>
        <sz val="13"/>
        <rFont val="Calibri"/>
        <family val="2"/>
      </rPr>
      <t>1</t>
    </r>
  </si>
  <si>
    <t>[Estimates are shown in millions of dollars and are based on data from the Manufacturers' Shipments, Inventories, and Orders Survey.]</t>
  </si>
  <si>
    <t>Seasonally Adjusted</t>
  </si>
  <si>
    <t xml:space="preserve">Not Seasonally Adjusted </t>
  </si>
  <si>
    <t>Monthly</t>
  </si>
  <si>
    <t>Percent Change</t>
  </si>
  <si>
    <t>Year to Date</t>
  </si>
  <si>
    <t>Item</t>
  </si>
  <si>
    <t xml:space="preserve"> </t>
  </si>
  <si>
    <t>Percent</t>
  </si>
  <si>
    <t>May</t>
  </si>
  <si>
    <t>Apr</t>
  </si>
  <si>
    <t>Mar</t>
  </si>
  <si>
    <t>Apr -</t>
  </si>
  <si>
    <t>Mar -</t>
  </si>
  <si>
    <t>Feb -</t>
  </si>
  <si>
    <r>
      <t xml:space="preserve">2019 </t>
    </r>
    <r>
      <rPr>
        <vertAlign val="superscript"/>
        <sz val="13"/>
        <rFont val="Calibri"/>
        <family val="2"/>
      </rPr>
      <t>2</t>
    </r>
  </si>
  <si>
    <r>
      <t xml:space="preserve">2019 </t>
    </r>
    <r>
      <rPr>
        <vertAlign val="superscript"/>
        <sz val="13"/>
        <rFont val="Calibri"/>
        <family val="2"/>
      </rPr>
      <t>r</t>
    </r>
  </si>
  <si>
    <r>
      <t xml:space="preserve">May </t>
    </r>
    <r>
      <rPr>
        <vertAlign val="superscript"/>
        <sz val="13"/>
        <rFont val="Calibri"/>
        <family val="2"/>
      </rPr>
      <t>2</t>
    </r>
  </si>
  <si>
    <r>
      <t xml:space="preserve">Apr </t>
    </r>
    <r>
      <rPr>
        <vertAlign val="superscript"/>
        <sz val="13"/>
        <rFont val="Calibri"/>
        <family val="2"/>
      </rPr>
      <t>r</t>
    </r>
  </si>
  <si>
    <t>2019/2018</t>
  </si>
  <si>
    <t>DURABLE GOODS</t>
  </si>
  <si>
    <t xml:space="preserve">   Total:</t>
  </si>
  <si>
    <t xml:space="preserve">               Shipments…………………………..</t>
  </si>
  <si>
    <r>
      <t xml:space="preserve">               New Orders</t>
    </r>
    <r>
      <rPr>
        <vertAlign val="superscript"/>
        <sz val="13"/>
        <rFont val="Calibri"/>
        <family val="2"/>
      </rPr>
      <t>4</t>
    </r>
    <r>
      <rPr>
        <sz val="13"/>
        <rFont val="Calibri"/>
        <family val="2"/>
      </rPr>
      <t>…………………………</t>
    </r>
  </si>
  <si>
    <t xml:space="preserve">         Excluding transportation:</t>
  </si>
  <si>
    <t xml:space="preserve">         Excluding defense:</t>
  </si>
  <si>
    <t xml:space="preserve">    Manufacturing with unfilled orders:</t>
  </si>
  <si>
    <t xml:space="preserve">               New Orders…………………………</t>
  </si>
  <si>
    <t xml:space="preserve">    Primary metals:</t>
  </si>
  <si>
    <r>
      <t xml:space="preserve">    </t>
    </r>
    <r>
      <rPr>
        <b/>
        <sz val="13"/>
        <rFont val="Calibri"/>
        <family val="2"/>
      </rPr>
      <t>Fabricated metal products:</t>
    </r>
  </si>
  <si>
    <r>
      <t xml:space="preserve">    </t>
    </r>
    <r>
      <rPr>
        <b/>
        <sz val="13"/>
        <rFont val="Calibri"/>
        <family val="2"/>
      </rPr>
      <t>Machinery:</t>
    </r>
  </si>
  <si>
    <r>
      <t xml:space="preserve">    </t>
    </r>
    <r>
      <rPr>
        <b/>
        <sz val="13"/>
        <rFont val="Calibri"/>
        <family val="2"/>
      </rPr>
      <t>Computers and electronic products</t>
    </r>
    <r>
      <rPr>
        <b/>
        <vertAlign val="superscript"/>
        <sz val="13"/>
        <rFont val="Calibri"/>
        <family val="2"/>
      </rPr>
      <t>4</t>
    </r>
    <r>
      <rPr>
        <b/>
        <sz val="13"/>
        <rFont val="Calibri"/>
        <family val="2"/>
      </rPr>
      <t>:</t>
    </r>
  </si>
  <si>
    <t xml:space="preserve">         Computers and related products:</t>
  </si>
  <si>
    <t xml:space="preserve">       </t>
  </si>
  <si>
    <r>
      <t xml:space="preserve">         </t>
    </r>
    <r>
      <rPr>
        <b/>
        <sz val="13"/>
        <rFont val="Calibri"/>
        <family val="2"/>
      </rPr>
      <t>Communications equipment:</t>
    </r>
  </si>
  <si>
    <t xml:space="preserve">    Electrical equipment, appliances,    </t>
  </si>
  <si>
    <r>
      <t xml:space="preserve">       </t>
    </r>
    <r>
      <rPr>
        <b/>
        <sz val="13"/>
        <rFont val="Calibri"/>
        <family val="2"/>
      </rPr>
      <t>and components:</t>
    </r>
    <r>
      <rPr>
        <sz val="13"/>
        <rFont val="Calibri"/>
        <family val="2"/>
      </rPr>
      <t xml:space="preserve">                   </t>
    </r>
  </si>
  <si>
    <t xml:space="preserve">    Transportation equipment:    </t>
  </si>
  <si>
    <r>
      <t xml:space="preserve">         </t>
    </r>
    <r>
      <rPr>
        <b/>
        <sz val="13"/>
        <rFont val="Calibri"/>
        <family val="2"/>
      </rPr>
      <t>Motor vehicles and parts:</t>
    </r>
  </si>
  <si>
    <t xml:space="preserve">           </t>
  </si>
  <si>
    <r>
      <t xml:space="preserve">         </t>
    </r>
    <r>
      <rPr>
        <b/>
        <sz val="13"/>
        <rFont val="Calibri"/>
        <family val="2"/>
      </rPr>
      <t>Nondefense aircraft and parts:</t>
    </r>
  </si>
  <si>
    <r>
      <t xml:space="preserve">         </t>
    </r>
    <r>
      <rPr>
        <b/>
        <sz val="13"/>
        <rFont val="Calibri"/>
        <family val="2"/>
      </rPr>
      <t>Defense aircraft and parts:</t>
    </r>
  </si>
  <si>
    <r>
      <t xml:space="preserve">    </t>
    </r>
    <r>
      <rPr>
        <b/>
        <sz val="13"/>
        <rFont val="Calibri"/>
        <family val="2"/>
      </rPr>
      <t>All other durable goods:</t>
    </r>
    <r>
      <rPr>
        <sz val="13"/>
        <rFont val="Calibri"/>
        <family val="2"/>
      </rPr>
      <t xml:space="preserve">           </t>
    </r>
  </si>
  <si>
    <r>
      <t xml:space="preserve">    </t>
    </r>
    <r>
      <rPr>
        <b/>
        <sz val="13"/>
        <rFont val="Calibri"/>
        <family val="2"/>
      </rPr>
      <t>Capital goods</t>
    </r>
    <r>
      <rPr>
        <b/>
        <vertAlign val="superscript"/>
        <sz val="13"/>
        <rFont val="Calibri"/>
        <family val="2"/>
      </rPr>
      <t>3</t>
    </r>
    <r>
      <rPr>
        <b/>
        <sz val="13"/>
        <rFont val="Calibri"/>
        <family val="2"/>
      </rPr>
      <t>:</t>
    </r>
  </si>
  <si>
    <r>
      <t xml:space="preserve">           </t>
    </r>
    <r>
      <rPr>
        <b/>
        <sz val="13"/>
        <rFont val="Calibri"/>
        <family val="2"/>
      </rPr>
      <t>Nondefense capital goods:</t>
    </r>
  </si>
  <si>
    <r>
      <t xml:space="preserve">               </t>
    </r>
    <r>
      <rPr>
        <b/>
        <sz val="13"/>
        <rFont val="Calibri"/>
        <family val="2"/>
      </rPr>
      <t xml:space="preserve"> Excluding aircraft:</t>
    </r>
  </si>
  <si>
    <t xml:space="preserve">                    Shipments………………………</t>
  </si>
  <si>
    <t xml:space="preserve">                    New Orders……………………..</t>
  </si>
  <si>
    <r>
      <t xml:space="preserve">           </t>
    </r>
    <r>
      <rPr>
        <b/>
        <sz val="13"/>
        <rFont val="Calibri"/>
        <family val="2"/>
      </rPr>
      <t>Defense capital goods:</t>
    </r>
  </si>
  <si>
    <r>
      <rPr>
        <b/>
        <vertAlign val="superscript"/>
        <sz val="11"/>
        <rFont val="Calibri"/>
        <family val="2"/>
      </rPr>
      <t xml:space="preserve">r </t>
    </r>
    <r>
      <rPr>
        <b/>
        <vertAlign val="subscript"/>
        <sz val="11"/>
        <rFont val="Calibri"/>
        <family val="2"/>
      </rPr>
      <t xml:space="preserve"> </t>
    </r>
    <r>
      <rPr>
        <b/>
        <sz val="11"/>
        <rFont val="Calibri"/>
        <family val="2"/>
      </rPr>
      <t xml:space="preserve">Revised data due to late receipts and concurrent seasonal adjustment.     
</t>
    </r>
    <r>
      <rPr>
        <b/>
        <vertAlign val="superscript"/>
        <sz val="11"/>
        <rFont val="Calibri"/>
        <family val="2"/>
      </rPr>
      <t xml:space="preserve">1 </t>
    </r>
    <r>
      <rPr>
        <b/>
        <sz val="11"/>
        <rFont val="Calibri"/>
        <family val="2"/>
      </rPr>
      <t xml:space="preserve">Estimates of shipments and new orders are for the duration of the period, while estimates of unfilled orders and total inventories are for the end of the period. Not seasonally adjusted estimates of    
shipments and new orders include adjusted data for non-calendar reporters. Seasonally adjusted estimates include concurrent adjustments for holiday and trading-day differences, where appropriate,  
as well as seasonal variation, based on the results of the latest annual review of the model parameters. Estimates are not adjusted for price changes.        
</t>
    </r>
    <r>
      <rPr>
        <b/>
        <vertAlign val="superscript"/>
        <sz val="11"/>
        <rFont val="Calibri"/>
        <family val="2"/>
      </rPr>
      <t xml:space="preserve">2 </t>
    </r>
    <r>
      <rPr>
        <b/>
        <sz val="11"/>
        <rFont val="Calibri"/>
        <family val="2"/>
      </rPr>
      <t xml:space="preserve">Based on advance sample. Estimates of manufacturers' shipments, inventories, and orders are subject to survey error and revision. One major component of survey error is nonsampling error, which includes errors of coverage, response and nonreporting. Since the survey panel is not a probability sample, estimates of sampling error cannot be calculated. For further details on survey design, methodology, and data limitations, see http://www.census.gov/manufacturing/m3.     
</t>
    </r>
    <r>
      <rPr>
        <b/>
        <vertAlign val="superscript"/>
        <sz val="11"/>
        <rFont val="Calibri"/>
        <family val="2"/>
      </rPr>
      <t>3</t>
    </r>
    <r>
      <rPr>
        <b/>
        <sz val="11"/>
        <rFont val="Calibri"/>
        <family val="2"/>
      </rPr>
      <t xml:space="preserve"> The Capital Goods Industries include Nondefense : small arms and ordnance; farm machinery and equipment; construction machinery; mining, oil, and gas field machinery; industrial machinery; vending, laundry, and other machinery; photographic equipment; metalworking machinery; turbines and generators; other power transmission equipment; pumps and compressors; material handling equipment; all other machinery; electronic computers; computer storage devices; other computer peripheral equipment; communications equipment; search and navigation equipment; electromedical, measuring, and  control instruments; electrical equipment; other electrical equipment, appliances, and components; heavy duty trucks; aircraft; railroad rolling stock; ships and boats; office and institutional furniture; and medical equipment and supplies. Defense Capital Goods include : small arms and ordnance, communications equipment, aircraft; missiles, space vehicles, and parts, ships and boats, and search and navigation equipment.   
</t>
    </r>
    <r>
      <rPr>
        <b/>
        <vertAlign val="superscript"/>
        <sz val="11"/>
        <rFont val="Calibri"/>
        <family val="2"/>
      </rPr>
      <t>4</t>
    </r>
    <r>
      <rPr>
        <b/>
        <sz val="11"/>
        <rFont val="Calibri"/>
        <family val="2"/>
      </rPr>
      <t xml:space="preserve"> Estimates and percent changes of shipments and inventories for the semiconductor industry are included in computers and electronic products, and all other applicable aggregate totals.  Estimates and percent changes for new orders and unfilled orders exclude semiconductor industry data.   
Source: U.S. Census Bureau, Manufacturers’ Shipments, Inventories, and Orders (M3) Survey, May Advance Report, June 26, 2019. Information on data sources and methodology can be found on our website at &lt;www.census.gov/manufacturing/m3/how_the_data_are_collected/index.html&gt;.  </t>
    </r>
  </si>
  <si>
    <t>New Orders - Nondefense Capital Goods Excluding Aircraft</t>
  </si>
  <si>
    <t>Definition</t>
  </si>
  <si>
    <t>Process / TO DO LIST</t>
  </si>
  <si>
    <t>Summary</t>
  </si>
  <si>
    <t>TO DO LIST</t>
  </si>
  <si>
    <t>Comments</t>
  </si>
  <si>
    <t>mom</t>
  </si>
  <si>
    <t>Last</t>
  </si>
  <si>
    <t>Var.</t>
  </si>
  <si>
    <t>Released every month by the Bureau of Census.
The survey has been conducted monthly by the US Census Bureau since 1957 and data are collected with the North American Industry Classification System – NAICS.
The purpose of the Manufacturers' Shipments, Inventories, and Orders survey is to provide broad-based monthly statistical data on current economic conditions and indications of future production commitments in the manufacturing sector.
The M3 is based upon data reported from manufacturing establishments with $500 million or more in annual shipments. Units may be divisions of diversified large companies, large homogenous companies, or single-unit manufacturers in 89 industry categories. Those large tickets last three years or more.</t>
  </si>
  <si>
    <t>Durable Good Orders</t>
  </si>
  <si>
    <t>https://www.census.gov/manufacturing/m3/definitions/index.html</t>
  </si>
  <si>
    <t>Manufacturers' New Orders: Nondefense Capital Goods Excluding Aircraft</t>
  </si>
  <si>
    <t>mom %</t>
  </si>
  <si>
    <t>https://fred.stlouisfed.org/series/NEWORDER</t>
  </si>
  <si>
    <t>Manufacturers' New Orders: Durable Goods</t>
  </si>
  <si>
    <t>https://fred.stlouisfed.org/series/DGORDER</t>
  </si>
  <si>
    <t>https://fred.stlouisfed.org/series/ADXTNO</t>
  </si>
  <si>
    <t>Durable Goods New Orders</t>
  </si>
  <si>
    <t>New Orders Nondefense Ex Aircraft &amp; Parts= Core</t>
  </si>
  <si>
    <t>New Orders - Manufacturing</t>
  </si>
  <si>
    <t>New Orders - Primary Metals</t>
  </si>
  <si>
    <t>New Orders - Fabricated Metal Products</t>
  </si>
  <si>
    <t>New Orders - Machinery</t>
  </si>
  <si>
    <t>New Orders - Computers</t>
  </si>
  <si>
    <t>New Orders - Electrical Equipment</t>
  </si>
  <si>
    <t>New Orders - Transportation Equipment</t>
  </si>
  <si>
    <t>https://fred.stlouisfed.org/series/AMTUNO</t>
  </si>
  <si>
    <t>https://fred.stlouisfed.org/series/A36SNO</t>
  </si>
  <si>
    <t>https://fred.stlouisfed.org/series/A32SNO</t>
  </si>
  <si>
    <t>https://fred.stlouisfed.org/series/A33SNO</t>
  </si>
  <si>
    <t>https://fred.stlouisfed.org/series/A34SNO</t>
  </si>
  <si>
    <t>https://fred.stlouisfed.org/series/A31SNO</t>
  </si>
  <si>
    <t>https://fred.stlouisfed.org/series/A35SNO</t>
  </si>
  <si>
    <t>* Month to modify after having downloaded data in Database</t>
  </si>
  <si>
    <t>New Orders Nondefense Ex Aircraft &amp; Parts = Core</t>
  </si>
  <si>
    <t>*Modify name from Note List</t>
  </si>
  <si>
    <t>New Orders Nondefense = Core</t>
  </si>
  <si>
    <t>Transportation Equipment</t>
  </si>
  <si>
    <t xml:space="preserve"> Machinery</t>
  </si>
  <si>
    <t>Electrical Equipment</t>
  </si>
  <si>
    <t>example AMTUNO for Manufacturing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</si>
</sst>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yyyy\-mm\-dd"/>
    <numFmt numFmtId="165" formatCode="0.0"/>
    <numFmt numFmtId="166" formatCode="0.0%"/>
    <numFmt numFmtId="167" formatCode="#,##0.0"/>
  </numFmts>
  <fonts count="42">
    <font>
      <sz val="11"/>
      <color theme="1"/>
      <name val="Calibri"/>
      <family val="2"/>
      <scheme val="minor"/>
    </font>
    <font>
      <b/>
      <sz val="11"/>
      <color theme="1"/>
      <name val="Calibri"/>
      <family val="2"/>
      <scheme val="minor"/>
    </font>
    <font>
      <sz val="8"/>
      <color theme="1"/>
      <name val="Calibri"/>
      <family val="2"/>
      <scheme val="minor"/>
    </font>
    <font>
      <sz val="10"/>
      <name val="Arial"/>
      <family val="2"/>
    </font>
    <font>
      <sz val="10"/>
      <color rgb="FF333333"/>
      <name val="Verdana"/>
      <family val="2"/>
    </font>
    <font>
      <sz val="9"/>
      <color theme="1"/>
      <name val="Calibri"/>
      <family val="2"/>
      <scheme val="minor"/>
    </font>
    <font>
      <sz val="10"/>
      <name val="Arial"/>
      <family val="2"/>
    </font>
    <font>
      <sz val="10"/>
      <name val="Arial"/>
      <family val="2"/>
    </font>
    <font>
      <sz val="11"/>
      <color theme="1"/>
      <name val="Calibri"/>
      <family val="2"/>
      <scheme val="minor"/>
    </font>
    <font>
      <sz val="10"/>
      <name val="Calibri"/>
      <family val="2"/>
      <scheme val="minor"/>
    </font>
    <font>
      <b/>
      <sz val="20"/>
      <name val="Calibri"/>
      <family val="2"/>
      <scheme val="minor"/>
    </font>
    <font>
      <b/>
      <vertAlign val="superscript"/>
      <sz val="13"/>
      <name val="Calibri"/>
      <family val="2"/>
    </font>
    <font>
      <b/>
      <sz val="14"/>
      <name val="Calibri"/>
      <family val="2"/>
      <scheme val="minor"/>
    </font>
    <font>
      <b/>
      <sz val="13"/>
      <name val="Calibri"/>
      <family val="2"/>
      <scheme val="minor"/>
    </font>
    <font>
      <sz val="13"/>
      <name val="Calibri"/>
      <family val="2"/>
      <scheme val="minor"/>
    </font>
    <font>
      <vertAlign val="superscript"/>
      <sz val="13"/>
      <name val="Calibri"/>
      <family val="2"/>
    </font>
    <font>
      <b/>
      <u/>
      <sz val="13"/>
      <name val="Calibri"/>
      <family val="2"/>
      <scheme val="minor"/>
    </font>
    <font>
      <sz val="12"/>
      <name val="Calibri"/>
      <family val="2"/>
      <scheme val="minor"/>
    </font>
    <font>
      <sz val="13"/>
      <name val="Calibri"/>
      <family val="2"/>
    </font>
    <font>
      <b/>
      <sz val="13"/>
      <name val="Calibri"/>
      <family val="2"/>
    </font>
    <font>
      <b/>
      <sz val="11"/>
      <name val="Calibri"/>
      <family val="2"/>
      <scheme val="minor"/>
    </font>
    <font>
      <b/>
      <vertAlign val="superscript"/>
      <sz val="11"/>
      <name val="Calibri"/>
      <family val="2"/>
    </font>
    <font>
      <b/>
      <vertAlign val="subscript"/>
      <sz val="11"/>
      <name val="Calibri"/>
      <family val="2"/>
    </font>
    <font>
      <b/>
      <sz val="11"/>
      <name val="Calibri"/>
      <family val="2"/>
    </font>
    <font>
      <b/>
      <sz val="11"/>
      <name val="Arial"/>
      <family val="2"/>
    </font>
    <font>
      <b/>
      <sz val="11"/>
      <name val="Lucida Sans"/>
      <family val="2"/>
    </font>
    <font>
      <sz val="10"/>
      <name val="Lucida Sans"/>
      <family val="2"/>
    </font>
    <font>
      <b/>
      <vertAlign val="superscript"/>
      <sz val="11"/>
      <name val="Lucida Sans"/>
      <family val="2"/>
    </font>
    <font>
      <b/>
      <sz val="18"/>
      <name val="Lucida Sans"/>
      <family val="2"/>
    </font>
    <font>
      <b/>
      <i/>
      <sz val="14"/>
      <name val="Lucida Sans"/>
      <family val="2"/>
    </font>
    <font>
      <u/>
      <sz val="11"/>
      <color theme="10"/>
      <name val="Calibri"/>
      <family val="2"/>
      <scheme val="minor"/>
    </font>
    <font>
      <b/>
      <sz val="11"/>
      <color theme="0"/>
      <name val="Calibri"/>
      <family val="2"/>
      <scheme val="minor"/>
    </font>
    <font>
      <b/>
      <sz val="11"/>
      <color rgb="FF00B0F0"/>
      <name val="Calibri"/>
      <family val="2"/>
      <scheme val="minor"/>
    </font>
    <font>
      <sz val="11"/>
      <color rgb="FF333333"/>
      <name val="Calibri"/>
      <family val="2"/>
      <scheme val="minor"/>
    </font>
    <font>
      <sz val="12"/>
      <color theme="1"/>
      <name val="Calibri"/>
      <family val="2"/>
      <scheme val="minor"/>
    </font>
    <font>
      <b/>
      <sz val="11"/>
      <color rgb="FFFF0000"/>
      <name val="Calibri"/>
      <family val="2"/>
      <scheme val="minor"/>
    </font>
    <font>
      <sz val="11"/>
      <color rgb="FF00B0F0"/>
      <name val="Calibri"/>
      <family val="2"/>
      <scheme val="minor"/>
    </font>
    <font>
      <sz val="8"/>
      <color rgb="FF00B0F0"/>
      <name val="Calibri"/>
      <family val="2"/>
      <scheme val="minor"/>
    </font>
    <font>
      <sz val="9"/>
      <color theme="0"/>
      <name val="Calibri"/>
      <family val="2"/>
      <scheme val="minor"/>
    </font>
    <font>
      <b/>
      <sz val="14"/>
      <color theme="0"/>
      <name val="Calibri"/>
      <family val="2"/>
      <scheme val="minor"/>
    </font>
    <font>
      <sz val="14"/>
      <color theme="0"/>
      <name val="Calibri"/>
      <family val="2"/>
      <scheme val="minor"/>
    </font>
    <font>
      <sz val="10"/>
      <name val="Arial"/>
      <family val="2"/>
    </font>
  </fonts>
  <fills count="7">
    <fill>
      <patternFill patternType="none"/>
    </fill>
    <fill>
      <patternFill patternType="gray125"/>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rgb="FF00B050"/>
        <bgColor indexed="64"/>
      </patternFill>
    </fill>
    <fill>
      <patternFill patternType="solid">
        <fgColor theme="4" tint="0.79998168889431442"/>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style="hair">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hair">
        <color indexed="64"/>
      </left>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s>
  <cellStyleXfs count="7">
    <xf numFmtId="0" fontId="0" fillId="0" borderId="0"/>
    <xf numFmtId="0" fontId="3" fillId="0" borderId="0"/>
    <xf numFmtId="0" fontId="6" fillId="0" borderId="0"/>
    <xf numFmtId="0" fontId="7" fillId="0" borderId="0"/>
    <xf numFmtId="9" fontId="8" fillId="0" borderId="0" applyFont="0" applyFill="0" applyBorder="0" applyAlignment="0" applyProtection="0"/>
    <xf numFmtId="0" fontId="30" fillId="0" borderId="0" applyNumberFormat="0" applyFill="0" applyBorder="0" applyAlignment="0" applyProtection="0"/>
    <xf numFmtId="0" fontId="41" fillId="0" borderId="0"/>
  </cellStyleXfs>
  <cellXfs count="160">
    <xf numFmtId="0" fontId="0" fillId="0" borderId="0" xfId="0"/>
    <xf numFmtId="0" fontId="2" fillId="0" borderId="0" xfId="0" applyFont="1" applyAlignment="1">
      <alignment horizontal="center" vertical="center"/>
    </xf>
    <xf numFmtId="0" fontId="0" fillId="3" borderId="0" xfId="0" applyFill="1"/>
    <xf numFmtId="14" fontId="0" fillId="3" borderId="0" xfId="0" applyNumberFormat="1" applyFill="1"/>
    <xf numFmtId="0" fontId="9" fillId="0" borderId="0" xfId="0" applyFont="1"/>
    <xf numFmtId="0" fontId="9" fillId="0" borderId="0" xfId="0" applyFont="1" applyAlignment="1">
      <alignment horizontal="centerContinuous"/>
    </xf>
    <xf numFmtId="0" fontId="9" fillId="0" borderId="0" xfId="0" applyFont="1" applyAlignment="1">
      <alignment horizontal="right"/>
    </xf>
    <xf numFmtId="0" fontId="10" fillId="0" borderId="0" xfId="0" applyFont="1" applyAlignment="1">
      <alignment horizontal="left" vertical="center"/>
    </xf>
    <xf numFmtId="0" fontId="12" fillId="0" borderId="0" xfId="0" quotePrefix="1" applyFont="1" applyAlignment="1">
      <alignment horizontal="left" vertical="center"/>
    </xf>
    <xf numFmtId="0" fontId="13" fillId="0" borderId="6" xfId="0" applyFont="1" applyBorder="1"/>
    <xf numFmtId="0" fontId="13" fillId="0" borderId="7" xfId="0" applyFont="1" applyBorder="1"/>
    <xf numFmtId="0" fontId="13" fillId="0" borderId="8" xfId="0" applyFont="1" applyBorder="1" applyAlignment="1">
      <alignment horizontal="centerContinuous" vertical="center"/>
    </xf>
    <xf numFmtId="0" fontId="13" fillId="0" borderId="8" xfId="0" applyFont="1" applyBorder="1" applyAlignment="1">
      <alignment horizontal="centerContinuous"/>
    </xf>
    <xf numFmtId="0" fontId="13" fillId="0" borderId="9" xfId="0" applyFont="1" applyBorder="1" applyAlignment="1">
      <alignment horizontal="centerContinuous"/>
    </xf>
    <xf numFmtId="0" fontId="13" fillId="0" borderId="2" xfId="0" applyFont="1" applyBorder="1" applyAlignment="1">
      <alignment horizontal="centerContinuous" vertical="center"/>
    </xf>
    <xf numFmtId="0" fontId="13" fillId="0" borderId="10" xfId="0" applyFont="1" applyBorder="1" applyAlignment="1">
      <alignment horizontal="centerContinuous"/>
    </xf>
    <xf numFmtId="0" fontId="13" fillId="0" borderId="10" xfId="0" applyFont="1" applyBorder="1" applyAlignment="1">
      <alignment horizontal="right"/>
    </xf>
    <xf numFmtId="0" fontId="13" fillId="0" borderId="0" xfId="0" applyFont="1"/>
    <xf numFmtId="0" fontId="13" fillId="0" borderId="11" xfId="0" applyFont="1" applyBorder="1" applyAlignment="1">
      <alignment horizontal="centerContinuous"/>
    </xf>
    <xf numFmtId="0" fontId="13" fillId="0" borderId="9" xfId="0" applyFont="1" applyBorder="1" applyAlignment="1">
      <alignment horizontal="centerContinuous" vertical="center"/>
    </xf>
    <xf numFmtId="0" fontId="13" fillId="0" borderId="3" xfId="0" applyFont="1" applyBorder="1" applyAlignment="1">
      <alignment horizontal="centerContinuous"/>
    </xf>
    <xf numFmtId="0" fontId="13" fillId="0" borderId="2" xfId="0" applyFont="1" applyBorder="1" applyAlignment="1">
      <alignment horizontal="centerContinuous"/>
    </xf>
    <xf numFmtId="0" fontId="13" fillId="0" borderId="0" xfId="0" applyFont="1" applyAlignment="1">
      <alignment horizontal="centerContinuous" vertical="center"/>
    </xf>
    <xf numFmtId="0" fontId="14" fillId="0" borderId="5" xfId="0" applyFont="1" applyBorder="1" applyAlignment="1">
      <alignment horizontal="center" vertical="center"/>
    </xf>
    <xf numFmtId="49" fontId="14" fillId="0" borderId="5" xfId="0" applyNumberFormat="1" applyFont="1" applyBorder="1" applyAlignment="1">
      <alignment horizontal="center" vertical="center"/>
    </xf>
    <xf numFmtId="0" fontId="14" fillId="0" borderId="0" xfId="0" applyFont="1" applyAlignment="1">
      <alignment horizontal="center" vertical="center"/>
    </xf>
    <xf numFmtId="49" fontId="13" fillId="0" borderId="4" xfId="0" applyNumberFormat="1" applyFont="1" applyBorder="1" applyAlignment="1">
      <alignment horizontal="center" vertical="center"/>
    </xf>
    <xf numFmtId="0" fontId="13" fillId="0" borderId="11" xfId="0" applyFont="1" applyBorder="1"/>
    <xf numFmtId="0" fontId="14" fillId="0" borderId="5" xfId="0" applyFont="1" applyBorder="1" applyAlignment="1" applyProtection="1">
      <alignment horizontal="center" vertical="center"/>
      <protection locked="0"/>
    </xf>
    <xf numFmtId="0" fontId="14" fillId="0" borderId="0" xfId="0" quotePrefix="1" applyFont="1" applyAlignment="1" applyProtection="1">
      <alignment horizontal="center" vertical="center"/>
      <protection locked="0"/>
    </xf>
    <xf numFmtId="49" fontId="14" fillId="0" borderId="4" xfId="0" applyNumberFormat="1" applyFont="1" applyBorder="1" applyAlignment="1" applyProtection="1">
      <alignment horizontal="center" vertical="center"/>
      <protection locked="0"/>
    </xf>
    <xf numFmtId="0" fontId="9" fillId="0" borderId="12" xfId="0" applyFont="1" applyBorder="1"/>
    <xf numFmtId="0" fontId="9" fillId="0" borderId="13" xfId="0" applyFont="1" applyBorder="1"/>
    <xf numFmtId="0" fontId="9" fillId="0" borderId="14" xfId="0" applyFont="1" applyBorder="1" applyAlignment="1">
      <alignment horizontal="right"/>
    </xf>
    <xf numFmtId="0" fontId="9" fillId="0" borderId="11" xfId="0" applyFont="1" applyBorder="1"/>
    <xf numFmtId="3" fontId="9" fillId="0" borderId="11" xfId="0" applyNumberFormat="1" applyFont="1" applyBorder="1" applyAlignment="1">
      <alignment horizontal="center"/>
    </xf>
    <xf numFmtId="165" fontId="9" fillId="0" borderId="11" xfId="0" applyNumberFormat="1" applyFont="1" applyBorder="1" applyAlignment="1">
      <alignment horizontal="center"/>
    </xf>
    <xf numFmtId="165" fontId="9" fillId="0" borderId="0" xfId="0" applyNumberFormat="1" applyFont="1" applyAlignment="1">
      <alignment horizontal="right"/>
    </xf>
    <xf numFmtId="0" fontId="16" fillId="0" borderId="0" xfId="0" applyFont="1" applyAlignment="1">
      <alignment horizontal="centerContinuous" vertical="center"/>
    </xf>
    <xf numFmtId="0" fontId="16" fillId="0" borderId="11" xfId="0" applyFont="1" applyBorder="1" applyAlignment="1">
      <alignment horizontal="centerContinuous"/>
    </xf>
    <xf numFmtId="3" fontId="17" fillId="0" borderId="11" xfId="0" applyNumberFormat="1" applyFont="1" applyBorder="1" applyAlignment="1">
      <alignment horizontal="right" vertical="center"/>
    </xf>
    <xf numFmtId="165" fontId="17" fillId="0" borderId="11" xfId="0" applyNumberFormat="1" applyFont="1" applyBorder="1" applyAlignment="1">
      <alignment horizontal="right" vertical="center"/>
    </xf>
    <xf numFmtId="165" fontId="17" fillId="0" borderId="0" xfId="0" applyNumberFormat="1" applyFont="1" applyAlignment="1">
      <alignment horizontal="right" vertical="center"/>
    </xf>
    <xf numFmtId="0" fontId="17" fillId="0" borderId="0" xfId="0" applyFont="1" applyAlignment="1">
      <alignment vertical="center"/>
    </xf>
    <xf numFmtId="0" fontId="13" fillId="0" borderId="0" xfId="0" quotePrefix="1" applyFont="1" applyAlignment="1">
      <alignment vertical="center"/>
    </xf>
    <xf numFmtId="0" fontId="14" fillId="0" borderId="0" xfId="0" quotePrefix="1" applyFont="1" applyAlignment="1">
      <alignment vertical="center"/>
    </xf>
    <xf numFmtId="3" fontId="14" fillId="0" borderId="11" xfId="0" applyNumberFormat="1" applyFont="1" applyBorder="1" applyAlignment="1">
      <alignment horizontal="right" vertical="center"/>
    </xf>
    <xf numFmtId="165" fontId="14" fillId="0" borderId="11" xfId="0" applyNumberFormat="1" applyFont="1" applyBorder="1" applyAlignment="1">
      <alignment horizontal="right" vertical="center"/>
    </xf>
    <xf numFmtId="165" fontId="14" fillId="0" borderId="4" xfId="0" applyNumberFormat="1" applyFont="1" applyBorder="1" applyAlignment="1">
      <alignment horizontal="right" vertical="center"/>
    </xf>
    <xf numFmtId="0" fontId="13" fillId="0" borderId="0" xfId="0" quotePrefix="1" applyFont="1" applyAlignment="1">
      <alignment horizontal="left" vertical="center"/>
    </xf>
    <xf numFmtId="0" fontId="14" fillId="0" borderId="0" xfId="0" applyFont="1"/>
    <xf numFmtId="0" fontId="14" fillId="0" borderId="0" xfId="0" quotePrefix="1" applyFont="1" applyAlignment="1">
      <alignment horizontal="left" vertical="center"/>
    </xf>
    <xf numFmtId="0" fontId="14" fillId="0" borderId="0" xfId="0" applyFont="1" applyAlignment="1">
      <alignment vertical="center"/>
    </xf>
    <xf numFmtId="165" fontId="14" fillId="0" borderId="0" xfId="0" applyNumberFormat="1" applyFont="1" applyAlignment="1">
      <alignment horizontal="right" vertical="center"/>
    </xf>
    <xf numFmtId="167" fontId="14" fillId="0" borderId="11" xfId="0" applyNumberFormat="1" applyFont="1" applyBorder="1" applyAlignment="1">
      <alignment horizontal="right" vertical="center"/>
    </xf>
    <xf numFmtId="3" fontId="9" fillId="0" borderId="13" xfId="0" applyNumberFormat="1" applyFont="1" applyBorder="1" applyAlignment="1">
      <alignment horizontal="center"/>
    </xf>
    <xf numFmtId="165" fontId="9" fillId="0" borderId="13" xfId="0" applyNumberFormat="1" applyFont="1" applyBorder="1" applyAlignment="1">
      <alignment horizontal="center"/>
    </xf>
    <xf numFmtId="165" fontId="9" fillId="0" borderId="12" xfId="0" applyNumberFormat="1" applyFont="1" applyBorder="1" applyAlignment="1">
      <alignment horizontal="right"/>
    </xf>
    <xf numFmtId="3" fontId="9" fillId="0" borderId="0" xfId="0" applyNumberFormat="1" applyFont="1" applyAlignment="1">
      <alignment horizontal="center"/>
    </xf>
    <xf numFmtId="165" fontId="9" fillId="0" borderId="0" xfId="0" applyNumberFormat="1" applyFont="1" applyAlignment="1">
      <alignment horizontal="center"/>
    </xf>
    <xf numFmtId="0" fontId="24" fillId="0" borderId="0" xfId="0" quotePrefix="1" applyFont="1" applyAlignment="1">
      <alignment horizontal="left" vertical="center" wrapText="1"/>
    </xf>
    <xf numFmtId="0" fontId="24" fillId="0" borderId="0" xfId="0" applyFont="1" applyAlignment="1">
      <alignment horizontal="left" vertical="center"/>
    </xf>
    <xf numFmtId="0" fontId="25" fillId="0" borderId="0" xfId="0" applyFont="1" applyAlignment="1">
      <alignment vertical="center"/>
    </xf>
    <xf numFmtId="0" fontId="26" fillId="0" borderId="0" xfId="0" applyFont="1"/>
    <xf numFmtId="0" fontId="27" fillId="0" borderId="0" xfId="0" quotePrefix="1" applyFont="1" applyAlignment="1">
      <alignment vertical="center"/>
    </xf>
    <xf numFmtId="0" fontId="0" fillId="0" borderId="0" xfId="0" applyAlignment="1">
      <alignment horizontal="right"/>
    </xf>
    <xf numFmtId="0" fontId="0" fillId="0" borderId="0" xfId="0" applyAlignment="1">
      <alignment horizontal="centerContinuous"/>
    </xf>
    <xf numFmtId="0" fontId="28" fillId="0" borderId="0" xfId="0" applyFont="1" applyAlignment="1">
      <alignment horizontal="centerContinuous" vertical="center"/>
    </xf>
    <xf numFmtId="0" fontId="29" fillId="0" borderId="0" xfId="0" quotePrefix="1" applyFont="1" applyAlignment="1">
      <alignment horizontal="centerContinuous" vertical="center"/>
    </xf>
    <xf numFmtId="0" fontId="0" fillId="0" borderId="0" xfId="0" applyAlignment="1">
      <alignment horizontal="center"/>
    </xf>
    <xf numFmtId="49" fontId="0" fillId="0" borderId="0" xfId="0" applyNumberFormat="1"/>
    <xf numFmtId="3" fontId="0" fillId="0" borderId="0" xfId="0" applyNumberFormat="1"/>
    <xf numFmtId="3" fontId="14" fillId="4" borderId="11" xfId="0" applyNumberFormat="1" applyFont="1" applyFill="1" applyBorder="1" applyAlignment="1">
      <alignment horizontal="right" vertical="center"/>
    </xf>
    <xf numFmtId="3" fontId="0" fillId="4" borderId="0" xfId="0" applyNumberFormat="1" applyFill="1"/>
    <xf numFmtId="0" fontId="0" fillId="3" borderId="0" xfId="0" applyFill="1" applyAlignment="1">
      <alignment vertical="center"/>
    </xf>
    <xf numFmtId="0" fontId="30" fillId="3" borderId="0" xfId="5" applyFill="1"/>
    <xf numFmtId="0" fontId="0" fillId="3" borderId="0" xfId="0" applyFill="1"/>
    <xf numFmtId="14" fontId="32" fillId="3" borderId="18" xfId="0" applyNumberFormat="1" applyFont="1" applyFill="1" applyBorder="1" applyAlignment="1">
      <alignment horizontal="center"/>
    </xf>
    <xf numFmtId="0" fontId="1" fillId="3" borderId="7" xfId="0" applyFont="1" applyFill="1" applyBorder="1" applyAlignment="1">
      <alignment horizontal="center"/>
    </xf>
    <xf numFmtId="0" fontId="1" fillId="3" borderId="20" xfId="0" applyFont="1" applyFill="1" applyBorder="1" applyAlignment="1">
      <alignment horizontal="center"/>
    </xf>
    <xf numFmtId="0" fontId="1" fillId="3" borderId="11" xfId="0" applyFont="1" applyFill="1" applyBorder="1" applyAlignment="1">
      <alignment horizontal="center"/>
    </xf>
    <xf numFmtId="0" fontId="1" fillId="3" borderId="0" xfId="0" applyFont="1" applyFill="1"/>
    <xf numFmtId="0" fontId="0" fillId="0" borderId="0" xfId="0" applyAlignment="1">
      <alignment vertical="center"/>
    </xf>
    <xf numFmtId="0" fontId="2" fillId="3" borderId="0" xfId="0" applyFont="1" applyFill="1" applyAlignment="1">
      <alignment horizontal="center" vertical="center"/>
    </xf>
    <xf numFmtId="3" fontId="2" fillId="3" borderId="0" xfId="0" applyNumberFormat="1" applyFont="1" applyFill="1" applyAlignment="1">
      <alignment horizontal="center" vertical="center"/>
    </xf>
    <xf numFmtId="0" fontId="4" fillId="3" borderId="0" xfId="0" applyFont="1" applyFill="1"/>
    <xf numFmtId="165" fontId="2" fillId="3" borderId="0" xfId="0" applyNumberFormat="1" applyFont="1" applyFill="1" applyAlignment="1">
      <alignment horizontal="center" vertical="center"/>
    </xf>
    <xf numFmtId="0" fontId="2" fillId="3" borderId="0" xfId="0" applyFont="1" applyFill="1" applyAlignment="1">
      <alignment vertical="center"/>
    </xf>
    <xf numFmtId="0" fontId="34" fillId="5" borderId="19" xfId="0" applyFont="1" applyFill="1" applyBorder="1" applyAlignment="1">
      <alignment vertical="center" wrapText="1"/>
    </xf>
    <xf numFmtId="3" fontId="34" fillId="5" borderId="6" xfId="0" applyNumberFormat="1" applyFont="1" applyFill="1" applyBorder="1" applyAlignment="1">
      <alignment horizontal="center" vertical="center" wrapText="1"/>
    </xf>
    <xf numFmtId="165" fontId="34" fillId="5" borderId="6" xfId="0" applyNumberFormat="1" applyFont="1" applyFill="1" applyBorder="1" applyAlignment="1">
      <alignment horizontal="center" vertical="center" wrapText="1"/>
    </xf>
    <xf numFmtId="14" fontId="0" fillId="3" borderId="1" xfId="0" applyNumberFormat="1" applyFill="1" applyBorder="1"/>
    <xf numFmtId="3" fontId="2" fillId="3" borderId="1" xfId="0" applyNumberFormat="1" applyFont="1" applyFill="1" applyBorder="1" applyAlignment="1" applyProtection="1">
      <alignment horizontal="center" vertical="center"/>
    </xf>
    <xf numFmtId="165" fontId="2" fillId="3" borderId="1" xfId="0" applyNumberFormat="1" applyFont="1" applyFill="1" applyBorder="1" applyAlignment="1" applyProtection="1">
      <alignment horizontal="center" vertical="center"/>
    </xf>
    <xf numFmtId="166" fontId="2" fillId="3" borderId="1" xfId="0" applyNumberFormat="1" applyFont="1" applyFill="1" applyBorder="1" applyAlignment="1" applyProtection="1">
      <alignment horizontal="center" vertical="center"/>
    </xf>
    <xf numFmtId="0" fontId="1" fillId="3" borderId="5" xfId="0" applyFont="1" applyFill="1" applyBorder="1" applyAlignment="1">
      <alignment horizontal="center"/>
    </xf>
    <xf numFmtId="3" fontId="0" fillId="3" borderId="1" xfId="0" applyNumberFormat="1" applyFont="1" applyFill="1" applyBorder="1" applyAlignment="1">
      <alignment horizontal="center"/>
    </xf>
    <xf numFmtId="166" fontId="0" fillId="3" borderId="1" xfId="4" applyNumberFormat="1" applyFont="1" applyFill="1" applyBorder="1" applyAlignment="1">
      <alignment horizontal="center"/>
    </xf>
    <xf numFmtId="3" fontId="0" fillId="3" borderId="22" xfId="0" applyNumberFormat="1" applyFont="1" applyFill="1" applyBorder="1" applyAlignment="1">
      <alignment horizontal="center"/>
    </xf>
    <xf numFmtId="166" fontId="0" fillId="3" borderId="22" xfId="4" applyNumberFormat="1" applyFont="1" applyFill="1" applyBorder="1" applyAlignment="1">
      <alignment horizontal="center"/>
    </xf>
    <xf numFmtId="0" fontId="5" fillId="3" borderId="23" xfId="0" applyFont="1" applyFill="1" applyBorder="1" applyAlignment="1">
      <alignment horizontal="center"/>
    </xf>
    <xf numFmtId="0" fontId="5" fillId="3" borderId="24" xfId="0" applyFont="1" applyFill="1" applyBorder="1" applyAlignment="1">
      <alignment horizontal="center"/>
    </xf>
    <xf numFmtId="0" fontId="5" fillId="3" borderId="24" xfId="0" applyFont="1" applyFill="1" applyBorder="1" applyAlignment="1">
      <alignment horizontal="center" vertical="center"/>
    </xf>
    <xf numFmtId="3" fontId="0" fillId="3" borderId="25" xfId="0" applyNumberFormat="1" applyFont="1" applyFill="1" applyBorder="1" applyAlignment="1">
      <alignment horizontal="center"/>
    </xf>
    <xf numFmtId="166" fontId="0" fillId="3" borderId="25" xfId="4" applyNumberFormat="1" applyFont="1" applyFill="1" applyBorder="1" applyAlignment="1">
      <alignment horizontal="center"/>
    </xf>
    <xf numFmtId="0" fontId="5" fillId="3" borderId="26" xfId="0" applyFont="1" applyFill="1" applyBorder="1" applyAlignment="1">
      <alignment horizontal="center" vertical="center"/>
    </xf>
    <xf numFmtId="14" fontId="1" fillId="3" borderId="18" xfId="0" applyNumberFormat="1" applyFont="1" applyFill="1" applyBorder="1" applyAlignment="1">
      <alignment horizontal="center"/>
    </xf>
    <xf numFmtId="0" fontId="36" fillId="3" borderId="0" xfId="0" applyFont="1" applyFill="1"/>
    <xf numFmtId="0" fontId="37" fillId="0" borderId="0" xfId="0" applyFont="1" applyAlignment="1">
      <alignment horizontal="center" vertical="center"/>
    </xf>
    <xf numFmtId="14" fontId="0" fillId="3" borderId="32" xfId="0" applyNumberFormat="1" applyFill="1" applyBorder="1"/>
    <xf numFmtId="3" fontId="2" fillId="3" borderId="32" xfId="0" applyNumberFormat="1" applyFont="1" applyFill="1" applyBorder="1" applyAlignment="1" applyProtection="1">
      <alignment horizontal="center" vertical="center"/>
    </xf>
    <xf numFmtId="165" fontId="2" fillId="3" borderId="32" xfId="0" applyNumberFormat="1" applyFont="1" applyFill="1" applyBorder="1" applyAlignment="1" applyProtection="1">
      <alignment horizontal="center" vertical="center"/>
    </xf>
    <xf numFmtId="0" fontId="34" fillId="5" borderId="2" xfId="0" applyFont="1" applyFill="1" applyBorder="1" applyAlignment="1">
      <alignment vertical="center" wrapText="1"/>
    </xf>
    <xf numFmtId="3" fontId="34" fillId="5" borderId="10" xfId="0" applyNumberFormat="1" applyFont="1" applyFill="1" applyBorder="1" applyAlignment="1">
      <alignment horizontal="center" vertical="center" wrapText="1"/>
    </xf>
    <xf numFmtId="165" fontId="34" fillId="5" borderId="9" xfId="0" applyNumberFormat="1" applyFont="1" applyFill="1" applyBorder="1" applyAlignment="1">
      <alignment horizontal="center" vertical="center" wrapText="1"/>
    </xf>
    <xf numFmtId="0" fontId="38" fillId="5" borderId="21" xfId="0" applyFont="1" applyFill="1" applyBorder="1" applyAlignment="1">
      <alignment horizontal="center"/>
    </xf>
    <xf numFmtId="0" fontId="31" fillId="5" borderId="13" xfId="0" applyFont="1" applyFill="1" applyBorder="1" applyAlignment="1">
      <alignment horizontal="center"/>
    </xf>
    <xf numFmtId="0" fontId="38" fillId="5" borderId="21" xfId="0" applyFont="1" applyFill="1" applyBorder="1" applyAlignment="1">
      <alignment horizontal="center" vertical="center"/>
    </xf>
    <xf numFmtId="14" fontId="0" fillId="3" borderId="1" xfId="0" applyNumberFormat="1" applyFill="1" applyBorder="1" applyAlignment="1">
      <alignment horizontal="center"/>
    </xf>
    <xf numFmtId="3" fontId="0" fillId="3" borderId="1" xfId="0" applyNumberFormat="1" applyFill="1" applyBorder="1" applyAlignment="1">
      <alignment horizontal="center"/>
    </xf>
    <xf numFmtId="0" fontId="0" fillId="3" borderId="1" xfId="0" applyFill="1" applyBorder="1" applyAlignment="1">
      <alignment horizontal="center"/>
    </xf>
    <xf numFmtId="10" fontId="0" fillId="3" borderId="1" xfId="4" applyNumberFormat="1" applyFont="1" applyFill="1" applyBorder="1" applyAlignment="1">
      <alignment horizontal="center"/>
    </xf>
    <xf numFmtId="164" fontId="0" fillId="0" borderId="0" xfId="0" applyNumberFormat="1"/>
    <xf numFmtId="1" fontId="0" fillId="0" borderId="0" xfId="0" applyNumberFormat="1"/>
    <xf numFmtId="0" fontId="0" fillId="0" borderId="0" xfId="0"/>
    <xf numFmtId="0" fontId="0" fillId="0" borderId="0" xfId="0"/>
    <xf numFmtId="0" fontId="30" fillId="3" borderId="0" xfId="5" applyFill="1"/>
    <xf numFmtId="0" fontId="0" fillId="0" borderId="0" xfId="0"/>
    <xf numFmtId="0" fontId="0" fillId="3" borderId="0" xfId="0" applyFill="1" applyAlignment="1">
      <alignment wrapText="1"/>
    </xf>
    <xf numFmtId="0" fontId="0" fillId="0" borderId="0" xfId="0" applyAlignment="1">
      <alignment wrapText="1"/>
    </xf>
    <xf numFmtId="0" fontId="33" fillId="3" borderId="0" xfId="0" applyFont="1" applyFill="1" applyAlignment="1">
      <alignment wrapText="1"/>
    </xf>
    <xf numFmtId="0" fontId="1" fillId="6" borderId="15" xfId="0" applyFont="1" applyFill="1" applyBorder="1" applyAlignment="1">
      <alignment horizontal="center"/>
    </xf>
    <xf numFmtId="0" fontId="1" fillId="6" borderId="16" xfId="0" applyFont="1" applyFill="1" applyBorder="1" applyAlignment="1">
      <alignment horizontal="center"/>
    </xf>
    <xf numFmtId="0" fontId="1" fillId="6" borderId="17" xfId="0" applyFont="1" applyFill="1" applyBorder="1" applyAlignment="1">
      <alignment horizontal="center"/>
    </xf>
    <xf numFmtId="0" fontId="0" fillId="3" borderId="0" xfId="0" applyFill="1"/>
    <xf numFmtId="0" fontId="0" fillId="6" borderId="16" xfId="0" applyFill="1" applyBorder="1" applyAlignment="1">
      <alignment horizontal="center"/>
    </xf>
    <xf numFmtId="0" fontId="0" fillId="6" borderId="17" xfId="0" applyFill="1" applyBorder="1" applyAlignment="1">
      <alignment horizontal="center"/>
    </xf>
    <xf numFmtId="0" fontId="1" fillId="3" borderId="0" xfId="0" applyFont="1" applyFill="1" applyAlignment="1">
      <alignment horizontal="center" vertical="center"/>
    </xf>
    <xf numFmtId="0" fontId="1" fillId="3" borderId="12" xfId="0" applyFont="1" applyFill="1" applyBorder="1" applyAlignment="1">
      <alignment horizontal="center" vertical="center"/>
    </xf>
    <xf numFmtId="0" fontId="31" fillId="5" borderId="2" xfId="0" applyFont="1" applyFill="1" applyBorder="1" applyAlignment="1">
      <alignment horizontal="center"/>
    </xf>
    <xf numFmtId="0" fontId="0" fillId="0" borderId="10" xfId="0" applyBorder="1" applyAlignment="1">
      <alignment horizontal="center"/>
    </xf>
    <xf numFmtId="0" fontId="0" fillId="0" borderId="9"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3" borderId="0" xfId="0" applyFill="1" applyAlignment="1">
      <alignment vertical="center" wrapText="1"/>
    </xf>
    <xf numFmtId="0" fontId="35" fillId="3" borderId="27" xfId="0" applyFont="1" applyFill="1" applyBorder="1" applyAlignment="1">
      <alignment wrapText="1"/>
    </xf>
    <xf numFmtId="0" fontId="35" fillId="3" borderId="17" xfId="0" applyFont="1" applyFill="1" applyBorder="1" applyAlignment="1">
      <alignment wrapText="1"/>
    </xf>
    <xf numFmtId="0" fontId="1" fillId="3" borderId="27" xfId="0" applyFont="1" applyFill="1" applyBorder="1" applyAlignment="1">
      <alignment wrapText="1"/>
    </xf>
    <xf numFmtId="0" fontId="0" fillId="0" borderId="17" xfId="0" applyBorder="1" applyAlignment="1">
      <alignment wrapText="1"/>
    </xf>
    <xf numFmtId="0" fontId="1" fillId="3" borderId="30" xfId="0" applyFont="1" applyFill="1" applyBorder="1" applyAlignment="1">
      <alignment wrapText="1"/>
    </xf>
    <xf numFmtId="0" fontId="0" fillId="0" borderId="31" xfId="0" applyBorder="1" applyAlignment="1">
      <alignment wrapText="1"/>
    </xf>
    <xf numFmtId="0" fontId="0" fillId="3" borderId="17" xfId="0" applyFill="1" applyBorder="1" applyAlignment="1">
      <alignment wrapText="1"/>
    </xf>
    <xf numFmtId="0" fontId="1" fillId="3" borderId="28" xfId="0" applyFont="1" applyFill="1" applyBorder="1" applyAlignment="1">
      <alignment wrapText="1"/>
    </xf>
    <xf numFmtId="0" fontId="0" fillId="3" borderId="29" xfId="0" applyFill="1" applyBorder="1" applyAlignment="1">
      <alignment wrapText="1"/>
    </xf>
    <xf numFmtId="0" fontId="20" fillId="0" borderId="0" xfId="0" quotePrefix="1" applyFont="1" applyAlignment="1">
      <alignment horizontal="left" vertical="center" wrapText="1"/>
    </xf>
    <xf numFmtId="0" fontId="20" fillId="0" borderId="0" xfId="0" applyFont="1" applyAlignment="1">
      <alignment horizontal="left" vertical="center"/>
    </xf>
    <xf numFmtId="0" fontId="39" fillId="5" borderId="19" xfId="0" applyFont="1" applyFill="1" applyBorder="1" applyAlignment="1">
      <alignment horizontal="center" wrapText="1"/>
    </xf>
    <xf numFmtId="0" fontId="40" fillId="5" borderId="7" xfId="0" applyFont="1" applyFill="1" applyBorder="1" applyAlignment="1">
      <alignment horizontal="center" wrapText="1"/>
    </xf>
    <xf numFmtId="0" fontId="39" fillId="2" borderId="19" xfId="0" applyFont="1" applyFill="1" applyBorder="1" applyAlignment="1">
      <alignment horizontal="center" wrapText="1"/>
    </xf>
    <xf numFmtId="0" fontId="40" fillId="2" borderId="7" xfId="0" applyFont="1" applyFill="1" applyBorder="1" applyAlignment="1">
      <alignment horizontal="center" wrapText="1"/>
    </xf>
  </cellXfs>
  <cellStyles count="7">
    <cellStyle name="Hyperlink" xfId="5" builtinId="8"/>
    <cellStyle name="Normal" xfId="0" builtinId="0"/>
    <cellStyle name="Normal 2" xfId="1" xr:uid="{00000000-0005-0000-0000-000001000000}"/>
    <cellStyle name="Normal 3" xfId="2" xr:uid="{00000000-0005-0000-0000-000002000000}"/>
    <cellStyle name="Normal 4" xfId="3" xr:uid="{00000000-0005-0000-0000-000003000000}"/>
    <cellStyle name="Normal 5" xfId="6" xr:uid="{72E38507-FB9E-4009-9C89-F2389FA00223}"/>
    <cellStyle name="Per cent" xfId="4" builtinId="5"/>
  </cellStyles>
  <dxfs count="26">
    <dxf>
      <font>
        <color rgb="FF00B050"/>
      </font>
      <fill>
        <patternFill>
          <bgColor theme="0"/>
        </patternFill>
      </fill>
    </dxf>
    <dxf>
      <font>
        <color rgb="FFFF0000"/>
      </font>
    </dxf>
    <dxf>
      <font>
        <b val="0"/>
        <i val="0"/>
        <strike val="0"/>
        <condense val="0"/>
        <extend val="0"/>
        <outline val="0"/>
        <shadow val="0"/>
        <u val="none"/>
        <vertAlign val="baseline"/>
        <sz val="8"/>
        <color theme="1"/>
        <name val="Calibri"/>
        <scheme val="minor"/>
      </font>
      <numFmt numFmtId="165" formatCode="0.0"/>
      <fill>
        <patternFill patternType="none">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8"/>
        <color theme="1"/>
        <name val="Calibri"/>
        <scheme val="minor"/>
      </font>
      <numFmt numFmtId="3" formatCode="#,##0"/>
      <fill>
        <patternFill patternType="none">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8"/>
        <color theme="1"/>
        <name val="Calibri"/>
        <scheme val="minor"/>
      </font>
      <numFmt numFmtId="168" formatCode="[$-409]mmm\-yy;@"/>
      <fill>
        <patternFill patternType="none">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b val="0"/>
        <i val="0"/>
        <strike val="0"/>
        <condense val="0"/>
        <extend val="0"/>
        <outline val="0"/>
        <shadow val="0"/>
        <u val="none"/>
        <vertAlign val="baseline"/>
        <sz val="12"/>
        <color theme="1"/>
        <name val="Calibri"/>
        <family val="2"/>
        <scheme val="minor"/>
      </font>
      <fill>
        <patternFill patternType="solid">
          <fgColor indexed="64"/>
          <bgColor rgb="FF00B050"/>
        </patternFill>
      </fill>
      <alignment horizontal="general" vertical="center" textRotation="0" wrapText="1" indent="0" justifyLastLine="0" shrinkToFit="0" readingOrder="0"/>
      <border diagonalUp="0" diagonalDown="0">
        <left/>
        <right/>
        <top/>
        <bottom/>
        <vertical/>
        <horizontal/>
      </border>
    </dxf>
    <dxf>
      <font>
        <b val="0"/>
        <i val="0"/>
        <strike val="0"/>
        <condense val="0"/>
        <extend val="0"/>
        <outline val="0"/>
        <shadow val="0"/>
        <u val="none"/>
        <vertAlign val="baseline"/>
        <sz val="8"/>
        <color theme="1"/>
        <name val="Calibri"/>
        <scheme val="minor"/>
      </font>
      <numFmt numFmtId="165" formatCode="0.0"/>
      <fill>
        <patternFill patternType="none">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8"/>
        <color theme="1"/>
        <name val="Calibri"/>
        <scheme val="minor"/>
      </font>
      <numFmt numFmtId="3" formatCode="#,##0"/>
      <fill>
        <patternFill patternType="none">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8"/>
        <color theme="1"/>
        <name val="Calibri"/>
        <scheme val="minor"/>
      </font>
      <numFmt numFmtId="168" formatCode="[$-409]mmm\-yy;@"/>
      <fill>
        <patternFill patternType="none">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b val="0"/>
        <i val="0"/>
        <strike val="0"/>
        <condense val="0"/>
        <extend val="0"/>
        <outline val="0"/>
        <shadow val="0"/>
        <u val="none"/>
        <vertAlign val="baseline"/>
        <sz val="12"/>
        <color theme="1"/>
        <name val="Calibri"/>
        <family val="2"/>
        <scheme val="minor"/>
      </font>
      <fill>
        <patternFill patternType="solid">
          <fgColor indexed="64"/>
          <bgColor rgb="FF00B050"/>
        </patternFill>
      </fill>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8"/>
        <color theme="1"/>
        <name val="Calibri"/>
        <scheme val="minor"/>
      </font>
      <numFmt numFmtId="165" formatCode="0.0"/>
      <fill>
        <patternFill patternType="none">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8"/>
        <color theme="1"/>
        <name val="Calibri"/>
        <scheme val="minor"/>
      </font>
      <numFmt numFmtId="3" formatCode="#,##0"/>
      <fill>
        <patternFill patternType="none">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8"/>
        <color theme="1"/>
        <name val="Calibri"/>
        <scheme val="minor"/>
      </font>
      <numFmt numFmtId="168" formatCode="[$-409]mmm\-yy;@"/>
      <fill>
        <patternFill patternType="none">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b val="0"/>
        <i val="0"/>
        <strike val="0"/>
        <condense val="0"/>
        <extend val="0"/>
        <outline val="0"/>
        <shadow val="0"/>
        <u val="none"/>
        <vertAlign val="baseline"/>
        <sz val="12"/>
        <color theme="1"/>
        <name val="Calibri"/>
        <family val="2"/>
        <scheme val="minor"/>
      </font>
      <fill>
        <patternFill patternType="solid">
          <fgColor indexed="64"/>
          <bgColor rgb="FF00B050"/>
        </patternFill>
      </fill>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8"/>
        <color theme="1"/>
        <name val="Calibri"/>
        <scheme val="minor"/>
      </font>
      <numFmt numFmtId="165" formatCode="0.0"/>
      <fill>
        <patternFill patternType="none">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8"/>
        <color theme="1"/>
        <name val="Calibri"/>
        <scheme val="minor"/>
      </font>
      <numFmt numFmtId="3" formatCode="#,##0"/>
      <fill>
        <patternFill patternType="none">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8"/>
        <color theme="1"/>
        <name val="Calibri"/>
        <scheme val="minor"/>
      </font>
      <numFmt numFmtId="168" formatCode="[$-409]mmm\-yy;@"/>
      <fill>
        <patternFill patternType="none">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b val="0"/>
        <i val="0"/>
        <strike val="0"/>
        <condense val="0"/>
        <extend val="0"/>
        <outline val="0"/>
        <shadow val="0"/>
        <u val="none"/>
        <vertAlign val="baseline"/>
        <sz val="12"/>
        <color theme="1"/>
        <name val="Calibri"/>
        <family val="2"/>
        <scheme val="minor"/>
      </font>
      <fill>
        <patternFill patternType="solid">
          <fgColor indexed="64"/>
          <bgColor rgb="FF00B050"/>
        </patternFill>
      </fill>
      <alignment horizontal="general" vertical="center" textRotation="0" wrapText="1" indent="0" justifyLastLine="0" shrinkToFit="0" readingOrder="0"/>
      <border diagonalUp="0" diagonalDown="0" outline="0">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2009</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'New Orders ex Aircraft'!$B$5</c:f>
              <c:strCache>
                <c:ptCount val="1"/>
                <c:pt idx="0">
                  <c:v>New Orders - Nondefense Capital Goods Excluding Aircraft</c:v>
                </c:pt>
              </c:strCache>
            </c:strRef>
          </c:tx>
          <c:spPr>
            <a:ln w="28575" cap="rnd">
              <a:solidFill>
                <a:schemeClr val="accent1"/>
              </a:solidFill>
              <a:round/>
            </a:ln>
            <a:effectLst/>
          </c:spPr>
          <c:marker>
            <c:symbol val="none"/>
          </c:marker>
          <c:cat>
            <c:numRef>
              <c:f>'New Orders ex Aircraft'!$A$209:$A$350</c:f>
              <c:numCache>
                <c:formatCode>m/d/yy</c:formatCode>
                <c:ptCount val="142"/>
                <c:pt idx="0">
                  <c:v>39814</c:v>
                </c:pt>
                <c:pt idx="1">
                  <c:v>39845</c:v>
                </c:pt>
                <c:pt idx="2">
                  <c:v>39873</c:v>
                </c:pt>
                <c:pt idx="3">
                  <c:v>39904</c:v>
                </c:pt>
                <c:pt idx="4">
                  <c:v>39934</c:v>
                </c:pt>
                <c:pt idx="5">
                  <c:v>39965</c:v>
                </c:pt>
                <c:pt idx="6">
                  <c:v>39995</c:v>
                </c:pt>
                <c:pt idx="7">
                  <c:v>40026</c:v>
                </c:pt>
                <c:pt idx="8">
                  <c:v>40057</c:v>
                </c:pt>
                <c:pt idx="9">
                  <c:v>40087</c:v>
                </c:pt>
                <c:pt idx="10">
                  <c:v>40118</c:v>
                </c:pt>
                <c:pt idx="11">
                  <c:v>40148</c:v>
                </c:pt>
                <c:pt idx="12">
                  <c:v>40179</c:v>
                </c:pt>
                <c:pt idx="13">
                  <c:v>40210</c:v>
                </c:pt>
                <c:pt idx="14">
                  <c:v>40238</c:v>
                </c:pt>
                <c:pt idx="15">
                  <c:v>40269</c:v>
                </c:pt>
                <c:pt idx="16">
                  <c:v>40299</c:v>
                </c:pt>
                <c:pt idx="17">
                  <c:v>40330</c:v>
                </c:pt>
                <c:pt idx="18">
                  <c:v>40360</c:v>
                </c:pt>
                <c:pt idx="19">
                  <c:v>40391</c:v>
                </c:pt>
                <c:pt idx="20">
                  <c:v>40422</c:v>
                </c:pt>
                <c:pt idx="21">
                  <c:v>40452</c:v>
                </c:pt>
                <c:pt idx="22">
                  <c:v>40483</c:v>
                </c:pt>
                <c:pt idx="23">
                  <c:v>40513</c:v>
                </c:pt>
                <c:pt idx="24">
                  <c:v>40544</c:v>
                </c:pt>
                <c:pt idx="25">
                  <c:v>40575</c:v>
                </c:pt>
                <c:pt idx="26">
                  <c:v>40603</c:v>
                </c:pt>
                <c:pt idx="27">
                  <c:v>40634</c:v>
                </c:pt>
                <c:pt idx="28">
                  <c:v>40664</c:v>
                </c:pt>
                <c:pt idx="29">
                  <c:v>40695</c:v>
                </c:pt>
                <c:pt idx="30">
                  <c:v>40725</c:v>
                </c:pt>
                <c:pt idx="31">
                  <c:v>40756</c:v>
                </c:pt>
                <c:pt idx="32">
                  <c:v>40787</c:v>
                </c:pt>
                <c:pt idx="33">
                  <c:v>40817</c:v>
                </c:pt>
                <c:pt idx="34">
                  <c:v>40848</c:v>
                </c:pt>
                <c:pt idx="35">
                  <c:v>40878</c:v>
                </c:pt>
                <c:pt idx="36">
                  <c:v>40909</c:v>
                </c:pt>
                <c:pt idx="37">
                  <c:v>40940</c:v>
                </c:pt>
                <c:pt idx="38">
                  <c:v>40969</c:v>
                </c:pt>
                <c:pt idx="39">
                  <c:v>41000</c:v>
                </c:pt>
                <c:pt idx="40">
                  <c:v>41030</c:v>
                </c:pt>
                <c:pt idx="41">
                  <c:v>41061</c:v>
                </c:pt>
                <c:pt idx="42">
                  <c:v>41091</c:v>
                </c:pt>
                <c:pt idx="43">
                  <c:v>41122</c:v>
                </c:pt>
                <c:pt idx="44">
                  <c:v>41153</c:v>
                </c:pt>
                <c:pt idx="45">
                  <c:v>41183</c:v>
                </c:pt>
                <c:pt idx="46">
                  <c:v>41214</c:v>
                </c:pt>
                <c:pt idx="47">
                  <c:v>41244</c:v>
                </c:pt>
                <c:pt idx="48">
                  <c:v>41275</c:v>
                </c:pt>
                <c:pt idx="49">
                  <c:v>41306</c:v>
                </c:pt>
                <c:pt idx="50">
                  <c:v>41334</c:v>
                </c:pt>
                <c:pt idx="51">
                  <c:v>41365</c:v>
                </c:pt>
                <c:pt idx="52">
                  <c:v>41395</c:v>
                </c:pt>
                <c:pt idx="53">
                  <c:v>41426</c:v>
                </c:pt>
                <c:pt idx="54">
                  <c:v>41456</c:v>
                </c:pt>
                <c:pt idx="55">
                  <c:v>41487</c:v>
                </c:pt>
                <c:pt idx="56">
                  <c:v>41518</c:v>
                </c:pt>
                <c:pt idx="57">
                  <c:v>41548</c:v>
                </c:pt>
                <c:pt idx="58">
                  <c:v>41579</c:v>
                </c:pt>
                <c:pt idx="59">
                  <c:v>41609</c:v>
                </c:pt>
                <c:pt idx="60">
                  <c:v>41640</c:v>
                </c:pt>
                <c:pt idx="61">
                  <c:v>41671</c:v>
                </c:pt>
                <c:pt idx="62">
                  <c:v>41699</c:v>
                </c:pt>
                <c:pt idx="63">
                  <c:v>41730</c:v>
                </c:pt>
                <c:pt idx="64">
                  <c:v>41760</c:v>
                </c:pt>
                <c:pt idx="65">
                  <c:v>41791</c:v>
                </c:pt>
                <c:pt idx="66">
                  <c:v>41821</c:v>
                </c:pt>
                <c:pt idx="67">
                  <c:v>41852</c:v>
                </c:pt>
                <c:pt idx="68">
                  <c:v>41883</c:v>
                </c:pt>
                <c:pt idx="69">
                  <c:v>41913</c:v>
                </c:pt>
                <c:pt idx="70">
                  <c:v>41944</c:v>
                </c:pt>
                <c:pt idx="71">
                  <c:v>41974</c:v>
                </c:pt>
                <c:pt idx="72">
                  <c:v>42005</c:v>
                </c:pt>
                <c:pt idx="73">
                  <c:v>42036</c:v>
                </c:pt>
                <c:pt idx="74">
                  <c:v>42064</c:v>
                </c:pt>
                <c:pt idx="75">
                  <c:v>42095</c:v>
                </c:pt>
                <c:pt idx="76">
                  <c:v>42125</c:v>
                </c:pt>
                <c:pt idx="77">
                  <c:v>42156</c:v>
                </c:pt>
                <c:pt idx="78">
                  <c:v>42186</c:v>
                </c:pt>
                <c:pt idx="79">
                  <c:v>42217</c:v>
                </c:pt>
                <c:pt idx="80">
                  <c:v>42248</c:v>
                </c:pt>
                <c:pt idx="81">
                  <c:v>42278</c:v>
                </c:pt>
                <c:pt idx="82">
                  <c:v>42309</c:v>
                </c:pt>
                <c:pt idx="83">
                  <c:v>42339</c:v>
                </c:pt>
                <c:pt idx="84">
                  <c:v>42370</c:v>
                </c:pt>
                <c:pt idx="85">
                  <c:v>42401</c:v>
                </c:pt>
                <c:pt idx="86">
                  <c:v>42430</c:v>
                </c:pt>
                <c:pt idx="87">
                  <c:v>42461</c:v>
                </c:pt>
                <c:pt idx="88">
                  <c:v>42491</c:v>
                </c:pt>
                <c:pt idx="89">
                  <c:v>42522</c:v>
                </c:pt>
                <c:pt idx="90">
                  <c:v>42552</c:v>
                </c:pt>
                <c:pt idx="91">
                  <c:v>42583</c:v>
                </c:pt>
                <c:pt idx="92">
                  <c:v>42614</c:v>
                </c:pt>
                <c:pt idx="93">
                  <c:v>42644</c:v>
                </c:pt>
                <c:pt idx="94">
                  <c:v>42675</c:v>
                </c:pt>
                <c:pt idx="95">
                  <c:v>42705</c:v>
                </c:pt>
                <c:pt idx="96">
                  <c:v>42736</c:v>
                </c:pt>
                <c:pt idx="97">
                  <c:v>42767</c:v>
                </c:pt>
                <c:pt idx="98">
                  <c:v>42795</c:v>
                </c:pt>
                <c:pt idx="99">
                  <c:v>42826</c:v>
                </c:pt>
                <c:pt idx="100">
                  <c:v>42856</c:v>
                </c:pt>
                <c:pt idx="101">
                  <c:v>42887</c:v>
                </c:pt>
                <c:pt idx="102">
                  <c:v>42917</c:v>
                </c:pt>
                <c:pt idx="103">
                  <c:v>42948</c:v>
                </c:pt>
                <c:pt idx="104">
                  <c:v>42979</c:v>
                </c:pt>
                <c:pt idx="105">
                  <c:v>43009</c:v>
                </c:pt>
                <c:pt idx="106">
                  <c:v>43040</c:v>
                </c:pt>
                <c:pt idx="107">
                  <c:v>43070</c:v>
                </c:pt>
                <c:pt idx="108">
                  <c:v>43101</c:v>
                </c:pt>
                <c:pt idx="109">
                  <c:v>43132</c:v>
                </c:pt>
                <c:pt idx="110">
                  <c:v>43160</c:v>
                </c:pt>
                <c:pt idx="111">
                  <c:v>43191</c:v>
                </c:pt>
                <c:pt idx="112">
                  <c:v>43221</c:v>
                </c:pt>
                <c:pt idx="113">
                  <c:v>43252</c:v>
                </c:pt>
                <c:pt idx="114">
                  <c:v>43282</c:v>
                </c:pt>
                <c:pt idx="115">
                  <c:v>43313</c:v>
                </c:pt>
                <c:pt idx="116">
                  <c:v>43344</c:v>
                </c:pt>
                <c:pt idx="117">
                  <c:v>43374</c:v>
                </c:pt>
                <c:pt idx="118">
                  <c:v>43405</c:v>
                </c:pt>
                <c:pt idx="119">
                  <c:v>43435</c:v>
                </c:pt>
                <c:pt idx="120">
                  <c:v>43466</c:v>
                </c:pt>
                <c:pt idx="121">
                  <c:v>43497</c:v>
                </c:pt>
                <c:pt idx="122">
                  <c:v>43525</c:v>
                </c:pt>
                <c:pt idx="123">
                  <c:v>43556</c:v>
                </c:pt>
                <c:pt idx="124">
                  <c:v>43586</c:v>
                </c:pt>
                <c:pt idx="125">
                  <c:v>43617</c:v>
                </c:pt>
                <c:pt idx="126">
                  <c:v>43647</c:v>
                </c:pt>
                <c:pt idx="127">
                  <c:v>43678</c:v>
                </c:pt>
                <c:pt idx="128">
                  <c:v>43709</c:v>
                </c:pt>
                <c:pt idx="129">
                  <c:v>43739</c:v>
                </c:pt>
                <c:pt idx="130">
                  <c:v>43770</c:v>
                </c:pt>
                <c:pt idx="131">
                  <c:v>43800</c:v>
                </c:pt>
                <c:pt idx="132">
                  <c:v>43831</c:v>
                </c:pt>
                <c:pt idx="133">
                  <c:v>43862</c:v>
                </c:pt>
                <c:pt idx="134">
                  <c:v>43891</c:v>
                </c:pt>
                <c:pt idx="135">
                  <c:v>43922</c:v>
                </c:pt>
                <c:pt idx="136">
                  <c:v>43952</c:v>
                </c:pt>
                <c:pt idx="137">
                  <c:v>43983</c:v>
                </c:pt>
                <c:pt idx="138">
                  <c:v>44013</c:v>
                </c:pt>
                <c:pt idx="139">
                  <c:v>44044</c:v>
                </c:pt>
                <c:pt idx="140">
                  <c:v>44075</c:v>
                </c:pt>
                <c:pt idx="141">
                  <c:v>44105</c:v>
                </c:pt>
              </c:numCache>
            </c:numRef>
          </c:cat>
          <c:val>
            <c:numRef>
              <c:f>'New Orders ex Aircraft'!$B$209:$B$350</c:f>
              <c:numCache>
                <c:formatCode>#,##0</c:formatCode>
                <c:ptCount val="142"/>
                <c:pt idx="0">
                  <c:v>49530</c:v>
                </c:pt>
                <c:pt idx="1">
                  <c:v>50163</c:v>
                </c:pt>
                <c:pt idx="2">
                  <c:v>49254</c:v>
                </c:pt>
                <c:pt idx="3">
                  <c:v>47096</c:v>
                </c:pt>
                <c:pt idx="4">
                  <c:v>48652</c:v>
                </c:pt>
                <c:pt idx="5">
                  <c:v>50533</c:v>
                </c:pt>
                <c:pt idx="6">
                  <c:v>50984</c:v>
                </c:pt>
                <c:pt idx="7">
                  <c:v>49900</c:v>
                </c:pt>
                <c:pt idx="8">
                  <c:v>53034</c:v>
                </c:pt>
                <c:pt idx="9">
                  <c:v>51978</c:v>
                </c:pt>
                <c:pt idx="10">
                  <c:v>52771</c:v>
                </c:pt>
                <c:pt idx="11">
                  <c:v>54616</c:v>
                </c:pt>
                <c:pt idx="12">
                  <c:v>52331</c:v>
                </c:pt>
                <c:pt idx="13">
                  <c:v>53488</c:v>
                </c:pt>
                <c:pt idx="14">
                  <c:v>56487</c:v>
                </c:pt>
                <c:pt idx="15">
                  <c:v>52283</c:v>
                </c:pt>
                <c:pt idx="16">
                  <c:v>57262</c:v>
                </c:pt>
                <c:pt idx="17">
                  <c:v>59605</c:v>
                </c:pt>
                <c:pt idx="18">
                  <c:v>56474</c:v>
                </c:pt>
                <c:pt idx="19">
                  <c:v>58224</c:v>
                </c:pt>
                <c:pt idx="20">
                  <c:v>60134</c:v>
                </c:pt>
                <c:pt idx="21">
                  <c:v>57479</c:v>
                </c:pt>
                <c:pt idx="22">
                  <c:v>60405</c:v>
                </c:pt>
                <c:pt idx="23">
                  <c:v>61939</c:v>
                </c:pt>
                <c:pt idx="24">
                  <c:v>60963</c:v>
                </c:pt>
                <c:pt idx="25">
                  <c:v>59078</c:v>
                </c:pt>
                <c:pt idx="26">
                  <c:v>62497</c:v>
                </c:pt>
                <c:pt idx="27">
                  <c:v>61562</c:v>
                </c:pt>
                <c:pt idx="28">
                  <c:v>63711</c:v>
                </c:pt>
                <c:pt idx="29">
                  <c:v>63751</c:v>
                </c:pt>
                <c:pt idx="30">
                  <c:v>64756</c:v>
                </c:pt>
                <c:pt idx="31">
                  <c:v>64464</c:v>
                </c:pt>
                <c:pt idx="32">
                  <c:v>65581</c:v>
                </c:pt>
                <c:pt idx="33">
                  <c:v>67427</c:v>
                </c:pt>
                <c:pt idx="34">
                  <c:v>64660</c:v>
                </c:pt>
                <c:pt idx="35">
                  <c:v>68881</c:v>
                </c:pt>
                <c:pt idx="36">
                  <c:v>67525</c:v>
                </c:pt>
                <c:pt idx="37">
                  <c:v>70075</c:v>
                </c:pt>
                <c:pt idx="38">
                  <c:v>69719</c:v>
                </c:pt>
                <c:pt idx="39">
                  <c:v>67645</c:v>
                </c:pt>
                <c:pt idx="40">
                  <c:v>69182</c:v>
                </c:pt>
                <c:pt idx="41">
                  <c:v>66971</c:v>
                </c:pt>
                <c:pt idx="42">
                  <c:v>65070</c:v>
                </c:pt>
                <c:pt idx="43">
                  <c:v>63645</c:v>
                </c:pt>
                <c:pt idx="44">
                  <c:v>63932</c:v>
                </c:pt>
                <c:pt idx="45">
                  <c:v>66051</c:v>
                </c:pt>
                <c:pt idx="46">
                  <c:v>66204</c:v>
                </c:pt>
                <c:pt idx="47">
                  <c:v>66840</c:v>
                </c:pt>
                <c:pt idx="48">
                  <c:v>69879</c:v>
                </c:pt>
                <c:pt idx="49">
                  <c:v>66361</c:v>
                </c:pt>
                <c:pt idx="50">
                  <c:v>66318</c:v>
                </c:pt>
                <c:pt idx="51">
                  <c:v>67762</c:v>
                </c:pt>
                <c:pt idx="52">
                  <c:v>69035</c:v>
                </c:pt>
                <c:pt idx="53">
                  <c:v>69343</c:v>
                </c:pt>
                <c:pt idx="54">
                  <c:v>66316</c:v>
                </c:pt>
                <c:pt idx="55">
                  <c:v>65933</c:v>
                </c:pt>
                <c:pt idx="56">
                  <c:v>66371</c:v>
                </c:pt>
                <c:pt idx="57">
                  <c:v>65016</c:v>
                </c:pt>
                <c:pt idx="58">
                  <c:v>68053</c:v>
                </c:pt>
                <c:pt idx="59">
                  <c:v>67775</c:v>
                </c:pt>
                <c:pt idx="60">
                  <c:v>68237</c:v>
                </c:pt>
                <c:pt idx="61">
                  <c:v>67386</c:v>
                </c:pt>
                <c:pt idx="62">
                  <c:v>68683</c:v>
                </c:pt>
                <c:pt idx="63">
                  <c:v>66486</c:v>
                </c:pt>
                <c:pt idx="64">
                  <c:v>65819</c:v>
                </c:pt>
                <c:pt idx="65">
                  <c:v>69618</c:v>
                </c:pt>
                <c:pt idx="66">
                  <c:v>67842</c:v>
                </c:pt>
                <c:pt idx="67">
                  <c:v>68514</c:v>
                </c:pt>
                <c:pt idx="68">
                  <c:v>69207</c:v>
                </c:pt>
                <c:pt idx="69">
                  <c:v>65557</c:v>
                </c:pt>
                <c:pt idx="70">
                  <c:v>63687</c:v>
                </c:pt>
                <c:pt idx="71">
                  <c:v>66300</c:v>
                </c:pt>
                <c:pt idx="72">
                  <c:v>64791</c:v>
                </c:pt>
                <c:pt idx="73">
                  <c:v>64232</c:v>
                </c:pt>
                <c:pt idx="74">
                  <c:v>64712</c:v>
                </c:pt>
                <c:pt idx="75">
                  <c:v>64365</c:v>
                </c:pt>
                <c:pt idx="76">
                  <c:v>62596</c:v>
                </c:pt>
                <c:pt idx="77">
                  <c:v>63739</c:v>
                </c:pt>
                <c:pt idx="78">
                  <c:v>63551</c:v>
                </c:pt>
                <c:pt idx="79">
                  <c:v>63525</c:v>
                </c:pt>
                <c:pt idx="80">
                  <c:v>63188</c:v>
                </c:pt>
                <c:pt idx="81">
                  <c:v>62996</c:v>
                </c:pt>
                <c:pt idx="82">
                  <c:v>61848</c:v>
                </c:pt>
                <c:pt idx="83">
                  <c:v>60613</c:v>
                </c:pt>
                <c:pt idx="84">
                  <c:v>61637</c:v>
                </c:pt>
                <c:pt idx="85">
                  <c:v>61150</c:v>
                </c:pt>
                <c:pt idx="86">
                  <c:v>60583</c:v>
                </c:pt>
                <c:pt idx="87">
                  <c:v>60924</c:v>
                </c:pt>
                <c:pt idx="88">
                  <c:v>59566</c:v>
                </c:pt>
                <c:pt idx="89">
                  <c:v>59608</c:v>
                </c:pt>
                <c:pt idx="90">
                  <c:v>59809</c:v>
                </c:pt>
                <c:pt idx="91">
                  <c:v>61691</c:v>
                </c:pt>
                <c:pt idx="92">
                  <c:v>59308</c:v>
                </c:pt>
                <c:pt idx="93">
                  <c:v>59351</c:v>
                </c:pt>
                <c:pt idx="94">
                  <c:v>59244</c:v>
                </c:pt>
                <c:pt idx="95">
                  <c:v>59539</c:v>
                </c:pt>
                <c:pt idx="96">
                  <c:v>60419</c:v>
                </c:pt>
                <c:pt idx="97">
                  <c:v>60740</c:v>
                </c:pt>
                <c:pt idx="98">
                  <c:v>61013</c:v>
                </c:pt>
                <c:pt idx="99">
                  <c:v>61308</c:v>
                </c:pt>
                <c:pt idx="100">
                  <c:v>61404</c:v>
                </c:pt>
                <c:pt idx="101">
                  <c:v>60378</c:v>
                </c:pt>
                <c:pt idx="102">
                  <c:v>61535</c:v>
                </c:pt>
                <c:pt idx="103">
                  <c:v>61552</c:v>
                </c:pt>
                <c:pt idx="104">
                  <c:v>64088</c:v>
                </c:pt>
                <c:pt idx="105">
                  <c:v>63703</c:v>
                </c:pt>
                <c:pt idx="106">
                  <c:v>63645</c:v>
                </c:pt>
                <c:pt idx="107">
                  <c:v>63795</c:v>
                </c:pt>
                <c:pt idx="108">
                  <c:v>63324</c:v>
                </c:pt>
                <c:pt idx="109">
                  <c:v>64087</c:v>
                </c:pt>
                <c:pt idx="110">
                  <c:v>63553</c:v>
                </c:pt>
                <c:pt idx="111">
                  <c:v>64909</c:v>
                </c:pt>
                <c:pt idx="112">
                  <c:v>66231</c:v>
                </c:pt>
                <c:pt idx="113">
                  <c:v>67247</c:v>
                </c:pt>
                <c:pt idx="114">
                  <c:v>68749</c:v>
                </c:pt>
                <c:pt idx="115">
                  <c:v>66798</c:v>
                </c:pt>
                <c:pt idx="116">
                  <c:v>66399</c:v>
                </c:pt>
                <c:pt idx="117">
                  <c:v>67104</c:v>
                </c:pt>
                <c:pt idx="118">
                  <c:v>64292</c:v>
                </c:pt>
                <c:pt idx="119">
                  <c:v>64894</c:v>
                </c:pt>
                <c:pt idx="120">
                  <c:v>65841</c:v>
                </c:pt>
                <c:pt idx="121">
                  <c:v>65221</c:v>
                </c:pt>
                <c:pt idx="122">
                  <c:v>66457</c:v>
                </c:pt>
                <c:pt idx="123">
                  <c:v>65737</c:v>
                </c:pt>
                <c:pt idx="124">
                  <c:v>65271</c:v>
                </c:pt>
                <c:pt idx="125">
                  <c:v>66139</c:v>
                </c:pt>
                <c:pt idx="126">
                  <c:v>65823</c:v>
                </c:pt>
                <c:pt idx="127">
                  <c:v>65593</c:v>
                </c:pt>
                <c:pt idx="128">
                  <c:v>65187</c:v>
                </c:pt>
                <c:pt idx="129">
                  <c:v>65642</c:v>
                </c:pt>
                <c:pt idx="130">
                  <c:v>65189</c:v>
                </c:pt>
                <c:pt idx="131">
                  <c:v>65045</c:v>
                </c:pt>
                <c:pt idx="132">
                  <c:v>65765</c:v>
                </c:pt>
                <c:pt idx="133">
                  <c:v>64885</c:v>
                </c:pt>
                <c:pt idx="134">
                  <c:v>64103</c:v>
                </c:pt>
                <c:pt idx="135">
                  <c:v>59872</c:v>
                </c:pt>
                <c:pt idx="136">
                  <c:v>61297</c:v>
                </c:pt>
                <c:pt idx="137">
                  <c:v>64300</c:v>
                </c:pt>
                <c:pt idx="138">
                  <c:v>66189</c:v>
                </c:pt>
                <c:pt idx="139">
                  <c:v>67791</c:v>
                </c:pt>
                <c:pt idx="140">
                  <c:v>68646</c:v>
                </c:pt>
                <c:pt idx="141">
                  <c:v>69626</c:v>
                </c:pt>
              </c:numCache>
            </c:numRef>
          </c:val>
          <c:smooth val="0"/>
          <c:extLst>
            <c:ext xmlns:c16="http://schemas.microsoft.com/office/drawing/2014/chart" uri="{C3380CC4-5D6E-409C-BE32-E72D297353CC}">
              <c16:uniqueId val="{00000000-2254-4FA4-97C2-CB9BA3D0294F}"/>
            </c:ext>
          </c:extLst>
        </c:ser>
        <c:dLbls>
          <c:showLegendKey val="0"/>
          <c:showVal val="0"/>
          <c:showCatName val="0"/>
          <c:showSerName val="0"/>
          <c:showPercent val="0"/>
          <c:showBubbleSize val="0"/>
        </c:dLbls>
        <c:smooth val="0"/>
        <c:axId val="504146408"/>
        <c:axId val="504146800"/>
      </c:lineChart>
      <c:dateAx>
        <c:axId val="504146408"/>
        <c:scaling>
          <c:orientation val="minMax"/>
          <c:max val="44470"/>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46800"/>
        <c:crosses val="autoZero"/>
        <c:auto val="1"/>
        <c:lblOffset val="100"/>
        <c:baseTimeUnit val="months"/>
      </c:dateAx>
      <c:valAx>
        <c:axId val="504146800"/>
        <c:scaling>
          <c:orientation val="minMax"/>
          <c:min val="400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464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'New Orders ex Aircraft'!$C$5</c:f>
              <c:strCache>
                <c:ptCount val="1"/>
                <c:pt idx="0">
                  <c:v>mom %</c:v>
                </c:pt>
              </c:strCache>
            </c:strRef>
          </c:tx>
          <c:spPr>
            <a:solidFill>
              <a:srgbClr val="92D050"/>
            </a:solidFill>
            <a:ln w="6350">
              <a:solidFill>
                <a:schemeClr val="tx1"/>
              </a:solidFill>
            </a:ln>
            <a:effectLst/>
          </c:spPr>
          <c:invertIfNegative val="1"/>
          <c:cat>
            <c:numRef>
              <c:f>'New Orders ex Aircraft'!$A$251:$A$360</c:f>
              <c:numCache>
                <c:formatCode>m/d/yy</c:formatCode>
                <c:ptCount val="110"/>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numCache>
            </c:numRef>
          </c:cat>
          <c:val>
            <c:numRef>
              <c:f>'New Orders ex Aircraft'!$C$251:$C$360</c:f>
              <c:numCache>
                <c:formatCode>0.0%</c:formatCode>
                <c:ptCount val="110"/>
                <c:pt idx="0">
                  <c:v>-2.8385420555165668E-2</c:v>
                </c:pt>
                <c:pt idx="1">
                  <c:v>-2.1899492853849699E-2</c:v>
                </c:pt>
                <c:pt idx="2">
                  <c:v>4.5093880116269932E-3</c:v>
                </c:pt>
                <c:pt idx="3">
                  <c:v>3.3144591128073581E-2</c:v>
                </c:pt>
                <c:pt idx="4">
                  <c:v>2.3163918790025887E-3</c:v>
                </c:pt>
                <c:pt idx="5">
                  <c:v>9.6066702918252665E-3</c:v>
                </c:pt>
                <c:pt idx="6">
                  <c:v>4.5466786355475762E-2</c:v>
                </c:pt>
                <c:pt idx="7">
                  <c:v>-5.0344166344681522E-2</c:v>
                </c:pt>
                <c:pt idx="8">
                  <c:v>-6.4797094679103695E-4</c:v>
                </c:pt>
                <c:pt idx="9">
                  <c:v>2.1773877378690552E-2</c:v>
                </c:pt>
                <c:pt idx="10">
                  <c:v>1.8786340426787874E-2</c:v>
                </c:pt>
                <c:pt idx="11">
                  <c:v>4.4615050336785688E-3</c:v>
                </c:pt>
                <c:pt idx="12">
                  <c:v>-4.3652567670853584E-2</c:v>
                </c:pt>
                <c:pt idx="13">
                  <c:v>-5.7753784908619338E-3</c:v>
                </c:pt>
                <c:pt idx="14">
                  <c:v>6.6431073969029164E-3</c:v>
                </c:pt>
                <c:pt idx="15">
                  <c:v>-2.0415542932907444E-2</c:v>
                </c:pt>
                <c:pt idx="16">
                  <c:v>4.6711578688322875E-2</c:v>
                </c:pt>
                <c:pt idx="17">
                  <c:v>-4.0850513570305494E-3</c:v>
                </c:pt>
                <c:pt idx="18">
                  <c:v>6.8166728144596093E-3</c:v>
                </c:pt>
                <c:pt idx="19">
                  <c:v>-1.2471239943139353E-2</c:v>
                </c:pt>
                <c:pt idx="20">
                  <c:v>1.9247321402071648E-2</c:v>
                </c:pt>
                <c:pt idx="21">
                  <c:v>-3.1987536945095582E-2</c:v>
                </c:pt>
                <c:pt idx="22">
                  <c:v>-1.0032187227386217E-2</c:v>
                </c:pt>
                <c:pt idx="23">
                  <c:v>5.7718895759583097E-2</c:v>
                </c:pt>
                <c:pt idx="24">
                  <c:v>-2.5510643799017494E-2</c:v>
                </c:pt>
                <c:pt idx="25">
                  <c:v>9.9053683558857353E-3</c:v>
                </c:pt>
                <c:pt idx="26">
                  <c:v>1.0114721078903582E-2</c:v>
                </c:pt>
                <c:pt idx="27">
                  <c:v>-5.2740329735431385E-2</c:v>
                </c:pt>
                <c:pt idx="28">
                  <c:v>-2.8524795216376589E-2</c:v>
                </c:pt>
                <c:pt idx="29">
                  <c:v>4.1028781383955909E-2</c:v>
                </c:pt>
                <c:pt idx="30">
                  <c:v>-2.2760180995475113E-2</c:v>
                </c:pt>
                <c:pt idx="31">
                  <c:v>-8.6277415073081135E-3</c:v>
                </c:pt>
                <c:pt idx="32">
                  <c:v>7.4729106987171503E-3</c:v>
                </c:pt>
                <c:pt idx="33">
                  <c:v>-5.3622202991717143E-3</c:v>
                </c:pt>
                <c:pt idx="34">
                  <c:v>-2.7483880991221937E-2</c:v>
                </c:pt>
                <c:pt idx="35">
                  <c:v>1.8259952712633396E-2</c:v>
                </c:pt>
                <c:pt idx="36">
                  <c:v>-2.9495285461020727E-3</c:v>
                </c:pt>
                <c:pt idx="37">
                  <c:v>-4.091202341426571E-4</c:v>
                </c:pt>
                <c:pt idx="38">
                  <c:v>-5.3049980322707599E-3</c:v>
                </c:pt>
                <c:pt idx="39">
                  <c:v>-3.038551623726024E-3</c:v>
                </c:pt>
                <c:pt idx="40">
                  <c:v>-1.8223379262175377E-2</c:v>
                </c:pt>
                <c:pt idx="41">
                  <c:v>-1.9968309403699393E-2</c:v>
                </c:pt>
                <c:pt idx="42">
                  <c:v>1.6894065629485425E-2</c:v>
                </c:pt>
                <c:pt idx="43">
                  <c:v>-7.9010983662410571E-3</c:v>
                </c:pt>
                <c:pt idx="44">
                  <c:v>-9.2722812755519218E-3</c:v>
                </c:pt>
                <c:pt idx="45">
                  <c:v>5.6286416981661518E-3</c:v>
                </c:pt>
                <c:pt idx="46">
                  <c:v>-2.2290066312126582E-2</c:v>
                </c:pt>
                <c:pt idx="47">
                  <c:v>7.0510022496054797E-4</c:v>
                </c:pt>
                <c:pt idx="48">
                  <c:v>3.3720305999194737E-3</c:v>
                </c:pt>
                <c:pt idx="49">
                  <c:v>3.1466836094902105E-2</c:v>
                </c:pt>
                <c:pt idx="50">
                  <c:v>-3.8628000842910633E-2</c:v>
                </c:pt>
                <c:pt idx="51">
                  <c:v>7.2502866392392252E-4</c:v>
                </c:pt>
                <c:pt idx="52">
                  <c:v>-1.8028339876328958E-3</c:v>
                </c:pt>
                <c:pt idx="53">
                  <c:v>4.9794071973533185E-3</c:v>
                </c:pt>
                <c:pt idx="54">
                  <c:v>1.4780228085792506E-2</c:v>
                </c:pt>
                <c:pt idx="55">
                  <c:v>5.3128982604809744E-3</c:v>
                </c:pt>
                <c:pt idx="56">
                  <c:v>4.4945670069147185E-3</c:v>
                </c:pt>
                <c:pt idx="57">
                  <c:v>4.8350351564420699E-3</c:v>
                </c:pt>
                <c:pt idx="58">
                  <c:v>1.5658641612840086E-3</c:v>
                </c:pt>
                <c:pt idx="59">
                  <c:v>-1.6709009185069377E-2</c:v>
                </c:pt>
                <c:pt idx="60">
                  <c:v>1.9162608897280466E-2</c:v>
                </c:pt>
                <c:pt idx="61">
                  <c:v>2.7626553993662144E-4</c:v>
                </c:pt>
                <c:pt idx="62">
                  <c:v>4.1200935794125294E-2</c:v>
                </c:pt>
                <c:pt idx="63">
                  <c:v>-6.0073648732992136E-3</c:v>
                </c:pt>
                <c:pt idx="64">
                  <c:v>-9.1047517385366465E-4</c:v>
                </c:pt>
                <c:pt idx="65">
                  <c:v>2.3568230025925053E-3</c:v>
                </c:pt>
                <c:pt idx="66">
                  <c:v>-7.3830237479426287E-3</c:v>
                </c:pt>
                <c:pt idx="67">
                  <c:v>1.2049144084391384E-2</c:v>
                </c:pt>
                <c:pt idx="68">
                  <c:v>-8.3324231123316737E-3</c:v>
                </c:pt>
                <c:pt idx="69">
                  <c:v>2.133652227274873E-2</c:v>
                </c:pt>
                <c:pt idx="70">
                  <c:v>2.0366975303886981E-2</c:v>
                </c:pt>
                <c:pt idx="71">
                  <c:v>1.5340248524105026E-2</c:v>
                </c:pt>
                <c:pt idx="72">
                  <c:v>2.2335568872960877E-2</c:v>
                </c:pt>
                <c:pt idx="73">
                  <c:v>-2.8378594597739604E-2</c:v>
                </c:pt>
                <c:pt idx="74">
                  <c:v>-5.9732327315189081E-3</c:v>
                </c:pt>
                <c:pt idx="75">
                  <c:v>1.0617629783581078E-2</c:v>
                </c:pt>
                <c:pt idx="76">
                  <c:v>-4.1905102527420121E-2</c:v>
                </c:pt>
                <c:pt idx="77">
                  <c:v>9.3635288993965029E-3</c:v>
                </c:pt>
                <c:pt idx="78">
                  <c:v>1.4593028631306439E-2</c:v>
                </c:pt>
                <c:pt idx="79">
                  <c:v>-9.416624899378806E-3</c:v>
                </c:pt>
                <c:pt idx="80">
                  <c:v>1.8950951380690268E-2</c:v>
                </c:pt>
                <c:pt idx="81">
                  <c:v>-1.0834073160088479E-2</c:v>
                </c:pt>
                <c:pt idx="82">
                  <c:v>-7.0888540700062373E-3</c:v>
                </c:pt>
                <c:pt idx="83">
                  <c:v>1.3298402046850823E-2</c:v>
                </c:pt>
                <c:pt idx="84">
                  <c:v>-4.7778164169400804E-3</c:v>
                </c:pt>
                <c:pt idx="85">
                  <c:v>-3.4942193458213696E-3</c:v>
                </c:pt>
                <c:pt idx="86">
                  <c:v>-6.1896848749104323E-3</c:v>
                </c:pt>
                <c:pt idx="87">
                  <c:v>6.9799193090646907E-3</c:v>
                </c:pt>
                <c:pt idx="88">
                  <c:v>-6.9010694372505406E-3</c:v>
                </c:pt>
                <c:pt idx="89">
                  <c:v>-2.2089616346316096E-3</c:v>
                </c:pt>
                <c:pt idx="90">
                  <c:v>1.1069259743254669E-2</c:v>
                </c:pt>
                <c:pt idx="91">
                  <c:v>-1.3380977723713222E-2</c:v>
                </c:pt>
                <c:pt idx="92">
                  <c:v>-1.2052092163057717E-2</c:v>
                </c:pt>
                <c:pt idx="93">
                  <c:v>-6.6003151178571987E-2</c:v>
                </c:pt>
                <c:pt idx="94">
                  <c:v>2.380077498663816E-2</c:v>
                </c:pt>
                <c:pt idx="95">
                  <c:v>4.8990978351305933E-2</c:v>
                </c:pt>
                <c:pt idx="96">
                  <c:v>2.937791601866252E-2</c:v>
                </c:pt>
                <c:pt idx="97">
                  <c:v>2.4203417486289264E-2</c:v>
                </c:pt>
                <c:pt idx="98">
                  <c:v>1.261229366730097E-2</c:v>
                </c:pt>
                <c:pt idx="99">
                  <c:v>1.4276141362934475E-2</c:v>
                </c:pt>
                <c:pt idx="100">
                  <c:v>1.3457616407663804E-2</c:v>
                </c:pt>
                <c:pt idx="101">
                  <c:v>1.4965350112665279E-2</c:v>
                </c:pt>
                <c:pt idx="102">
                  <c:v>1.0709448610005725E-2</c:v>
                </c:pt>
                <c:pt idx="103">
                  <c:v>-3.2602989528361837E-3</c:v>
                </c:pt>
                <c:pt idx="104">
                  <c:v>1.6188496188496188E-2</c:v>
                </c:pt>
                <c:pt idx="105">
                  <c:v>2.7237513298235084E-2</c:v>
                </c:pt>
                <c:pt idx="106">
                  <c:v>5.6695213436898364E-3</c:v>
                </c:pt>
                <c:pt idx="107">
                  <c:v>1.0403739008740196E-2</c:v>
                </c:pt>
                <c:pt idx="108">
                  <c:v>2.6917548673722723E-3</c:v>
                </c:pt>
                <c:pt idx="109">
                  <c:v>6.1248957464553793E-3</c:v>
                </c:pt>
              </c:numCache>
            </c:numRef>
          </c:val>
          <c:extLst>
            <c:ext xmlns:c14="http://schemas.microsoft.com/office/drawing/2007/8/2/chart" uri="{6F2FDCE9-48DA-4B69-8628-5D25D57E5C99}">
              <c14:invertSolidFillFmt>
                <c14:spPr xmlns:c14="http://schemas.microsoft.com/office/drawing/2007/8/2/chart">
                  <a:solidFill>
                    <a:srgbClr val="FF0000"/>
                  </a:solidFill>
                  <a:ln w="6350">
                    <a:solidFill>
                      <a:schemeClr val="tx1"/>
                    </a:solidFill>
                  </a:ln>
                  <a:effectLst/>
                </c14:spPr>
              </c14:invertSolidFillFmt>
            </c:ext>
            <c:ext xmlns:c16="http://schemas.microsoft.com/office/drawing/2014/chart" uri="{C3380CC4-5D6E-409C-BE32-E72D297353CC}">
              <c16:uniqueId val="{00000000-B01C-42F3-AF17-FEA61DA859DD}"/>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max val="44470"/>
          <c:min val="42552"/>
        </c:scaling>
        <c:delete val="0"/>
        <c:axPos val="b"/>
        <c:numFmt formatCode="m/d/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50720"/>
        <c:crosses val="autoZero"/>
        <c:auto val="1"/>
        <c:lblOffset val="100"/>
        <c:baseTimeUnit val="months"/>
        <c:majorUnit val="6"/>
        <c:majorTimeUnit val="months"/>
      </c:dateAx>
      <c:valAx>
        <c:axId val="50415072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New Orders - Nondefense Capital Goods Excluding Aircraft since 1992</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'New Orders ex Aircraft'!$B$5</c:f>
              <c:strCache>
                <c:ptCount val="1"/>
                <c:pt idx="0">
                  <c:v>New Orders - Nondefense Capital Goods Excluding Aircraft</c:v>
                </c:pt>
              </c:strCache>
            </c:strRef>
          </c:tx>
          <c:spPr>
            <a:ln w="28575" cap="rnd">
              <a:solidFill>
                <a:schemeClr val="accent1"/>
              </a:solidFill>
              <a:round/>
            </a:ln>
            <a:effectLst/>
          </c:spPr>
          <c:marker>
            <c:symbol val="none"/>
          </c:marker>
          <c:cat>
            <c:numRef>
              <c:f>'New Orders ex Aircraft'!$A$6:$A$360</c:f>
              <c:numCache>
                <c:formatCode>m/d/yy</c:formatCode>
                <c:ptCount val="355"/>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numCache>
            </c:numRef>
          </c:cat>
          <c:val>
            <c:numRef>
              <c:f>'New Orders ex Aircraft'!$B$6:$B$360</c:f>
              <c:numCache>
                <c:formatCode>#,##0</c:formatCode>
                <c:ptCount val="355"/>
                <c:pt idx="0">
                  <c:v>33857</c:v>
                </c:pt>
                <c:pt idx="1">
                  <c:v>35258</c:v>
                </c:pt>
                <c:pt idx="2">
                  <c:v>35992</c:v>
                </c:pt>
                <c:pt idx="3">
                  <c:v>36811</c:v>
                </c:pt>
                <c:pt idx="4">
                  <c:v>36666</c:v>
                </c:pt>
                <c:pt idx="5">
                  <c:v>36629</c:v>
                </c:pt>
                <c:pt idx="6">
                  <c:v>36131</c:v>
                </c:pt>
                <c:pt idx="7">
                  <c:v>37629</c:v>
                </c:pt>
                <c:pt idx="8">
                  <c:v>36668</c:v>
                </c:pt>
                <c:pt idx="9">
                  <c:v>37573</c:v>
                </c:pt>
                <c:pt idx="10">
                  <c:v>38374</c:v>
                </c:pt>
                <c:pt idx="11">
                  <c:v>37041</c:v>
                </c:pt>
                <c:pt idx="12">
                  <c:v>36962</c:v>
                </c:pt>
                <c:pt idx="13">
                  <c:v>36895</c:v>
                </c:pt>
                <c:pt idx="14">
                  <c:v>37729</c:v>
                </c:pt>
                <c:pt idx="15">
                  <c:v>37869</c:v>
                </c:pt>
                <c:pt idx="16">
                  <c:v>38381</c:v>
                </c:pt>
                <c:pt idx="17">
                  <c:v>38915</c:v>
                </c:pt>
                <c:pt idx="18">
                  <c:v>39309</c:v>
                </c:pt>
                <c:pt idx="19">
                  <c:v>39307</c:v>
                </c:pt>
                <c:pt idx="20">
                  <c:v>40550</c:v>
                </c:pt>
                <c:pt idx="21">
                  <c:v>40301</c:v>
                </c:pt>
                <c:pt idx="22">
                  <c:v>43296</c:v>
                </c:pt>
                <c:pt idx="23">
                  <c:v>39801</c:v>
                </c:pt>
                <c:pt idx="24">
                  <c:v>41736</c:v>
                </c:pt>
                <c:pt idx="25">
                  <c:v>41245</c:v>
                </c:pt>
                <c:pt idx="26">
                  <c:v>42992</c:v>
                </c:pt>
                <c:pt idx="27">
                  <c:v>42849</c:v>
                </c:pt>
                <c:pt idx="28">
                  <c:v>44555</c:v>
                </c:pt>
                <c:pt idx="29">
                  <c:v>44016</c:v>
                </c:pt>
                <c:pt idx="30">
                  <c:v>44406</c:v>
                </c:pt>
                <c:pt idx="31">
                  <c:v>44507</c:v>
                </c:pt>
                <c:pt idx="32">
                  <c:v>45959</c:v>
                </c:pt>
                <c:pt idx="33">
                  <c:v>45942</c:v>
                </c:pt>
                <c:pt idx="34">
                  <c:v>46186</c:v>
                </c:pt>
                <c:pt idx="35">
                  <c:v>47317</c:v>
                </c:pt>
                <c:pt idx="36">
                  <c:v>46200</c:v>
                </c:pt>
                <c:pt idx="37">
                  <c:v>46095</c:v>
                </c:pt>
                <c:pt idx="38">
                  <c:v>46776</c:v>
                </c:pt>
                <c:pt idx="39">
                  <c:v>48401</c:v>
                </c:pt>
                <c:pt idx="40">
                  <c:v>47970</c:v>
                </c:pt>
                <c:pt idx="41">
                  <c:v>45962</c:v>
                </c:pt>
                <c:pt idx="42">
                  <c:v>47502</c:v>
                </c:pt>
                <c:pt idx="43">
                  <c:v>49431</c:v>
                </c:pt>
                <c:pt idx="44">
                  <c:v>50283</c:v>
                </c:pt>
                <c:pt idx="45">
                  <c:v>49798</c:v>
                </c:pt>
                <c:pt idx="46">
                  <c:v>51221</c:v>
                </c:pt>
                <c:pt idx="47">
                  <c:v>47931</c:v>
                </c:pt>
                <c:pt idx="48">
                  <c:v>49183</c:v>
                </c:pt>
                <c:pt idx="49">
                  <c:v>49780</c:v>
                </c:pt>
                <c:pt idx="50">
                  <c:v>48102</c:v>
                </c:pt>
                <c:pt idx="51">
                  <c:v>50505</c:v>
                </c:pt>
                <c:pt idx="52">
                  <c:v>51556</c:v>
                </c:pt>
                <c:pt idx="53">
                  <c:v>51047</c:v>
                </c:pt>
                <c:pt idx="54">
                  <c:v>50780</c:v>
                </c:pt>
                <c:pt idx="55">
                  <c:v>49824</c:v>
                </c:pt>
                <c:pt idx="56">
                  <c:v>52556</c:v>
                </c:pt>
                <c:pt idx="57">
                  <c:v>52664</c:v>
                </c:pt>
                <c:pt idx="58">
                  <c:v>50765</c:v>
                </c:pt>
                <c:pt idx="59">
                  <c:v>51958</c:v>
                </c:pt>
                <c:pt idx="60">
                  <c:v>54285</c:v>
                </c:pt>
                <c:pt idx="61">
                  <c:v>54195</c:v>
                </c:pt>
                <c:pt idx="62">
                  <c:v>55044</c:v>
                </c:pt>
                <c:pt idx="63">
                  <c:v>53924</c:v>
                </c:pt>
                <c:pt idx="64">
                  <c:v>55972</c:v>
                </c:pt>
                <c:pt idx="65">
                  <c:v>58969</c:v>
                </c:pt>
                <c:pt idx="66">
                  <c:v>58232</c:v>
                </c:pt>
                <c:pt idx="67">
                  <c:v>60143</c:v>
                </c:pt>
                <c:pt idx="68">
                  <c:v>57582</c:v>
                </c:pt>
                <c:pt idx="69">
                  <c:v>57967</c:v>
                </c:pt>
                <c:pt idx="70">
                  <c:v>58401</c:v>
                </c:pt>
                <c:pt idx="71">
                  <c:v>56811</c:v>
                </c:pt>
                <c:pt idx="72">
                  <c:v>59362</c:v>
                </c:pt>
                <c:pt idx="73">
                  <c:v>57672</c:v>
                </c:pt>
                <c:pt idx="74">
                  <c:v>55909</c:v>
                </c:pt>
                <c:pt idx="75">
                  <c:v>58575</c:v>
                </c:pt>
                <c:pt idx="76">
                  <c:v>59020</c:v>
                </c:pt>
                <c:pt idx="77">
                  <c:v>56670</c:v>
                </c:pt>
                <c:pt idx="78">
                  <c:v>57658</c:v>
                </c:pt>
                <c:pt idx="79">
                  <c:v>60257</c:v>
                </c:pt>
                <c:pt idx="80">
                  <c:v>56319</c:v>
                </c:pt>
                <c:pt idx="81">
                  <c:v>58162</c:v>
                </c:pt>
                <c:pt idx="82">
                  <c:v>60818</c:v>
                </c:pt>
                <c:pt idx="83">
                  <c:v>57160</c:v>
                </c:pt>
                <c:pt idx="84">
                  <c:v>58576</c:v>
                </c:pt>
                <c:pt idx="85">
                  <c:v>59657</c:v>
                </c:pt>
                <c:pt idx="86">
                  <c:v>58929</c:v>
                </c:pt>
                <c:pt idx="87">
                  <c:v>59814</c:v>
                </c:pt>
                <c:pt idx="88">
                  <c:v>59045</c:v>
                </c:pt>
                <c:pt idx="89">
                  <c:v>62074</c:v>
                </c:pt>
                <c:pt idx="90">
                  <c:v>61732</c:v>
                </c:pt>
                <c:pt idx="91">
                  <c:v>63231</c:v>
                </c:pt>
                <c:pt idx="92">
                  <c:v>61451</c:v>
                </c:pt>
                <c:pt idx="93">
                  <c:v>61849</c:v>
                </c:pt>
                <c:pt idx="94">
                  <c:v>65451</c:v>
                </c:pt>
                <c:pt idx="95">
                  <c:v>63975</c:v>
                </c:pt>
                <c:pt idx="96">
                  <c:v>58497</c:v>
                </c:pt>
                <c:pt idx="97">
                  <c:v>63642</c:v>
                </c:pt>
                <c:pt idx="98">
                  <c:v>64414</c:v>
                </c:pt>
                <c:pt idx="99">
                  <c:v>63753</c:v>
                </c:pt>
                <c:pt idx="100">
                  <c:v>68292</c:v>
                </c:pt>
                <c:pt idx="101">
                  <c:v>63581</c:v>
                </c:pt>
                <c:pt idx="102">
                  <c:v>64759</c:v>
                </c:pt>
                <c:pt idx="103">
                  <c:v>66733</c:v>
                </c:pt>
                <c:pt idx="104">
                  <c:v>63580</c:v>
                </c:pt>
                <c:pt idx="105">
                  <c:v>62569</c:v>
                </c:pt>
                <c:pt idx="106">
                  <c:v>62554</c:v>
                </c:pt>
                <c:pt idx="107">
                  <c:v>60808</c:v>
                </c:pt>
                <c:pt idx="108">
                  <c:v>60697</c:v>
                </c:pt>
                <c:pt idx="109">
                  <c:v>58146</c:v>
                </c:pt>
                <c:pt idx="110">
                  <c:v>54841</c:v>
                </c:pt>
                <c:pt idx="111">
                  <c:v>56599</c:v>
                </c:pt>
                <c:pt idx="112">
                  <c:v>55428</c:v>
                </c:pt>
                <c:pt idx="113">
                  <c:v>53436</c:v>
                </c:pt>
                <c:pt idx="114">
                  <c:v>54169</c:v>
                </c:pt>
                <c:pt idx="115">
                  <c:v>50735</c:v>
                </c:pt>
                <c:pt idx="116">
                  <c:v>49736</c:v>
                </c:pt>
                <c:pt idx="117">
                  <c:v>51335</c:v>
                </c:pt>
                <c:pt idx="118">
                  <c:v>51290</c:v>
                </c:pt>
                <c:pt idx="119">
                  <c:v>47643</c:v>
                </c:pt>
                <c:pt idx="120">
                  <c:v>50422</c:v>
                </c:pt>
                <c:pt idx="121">
                  <c:v>47371</c:v>
                </c:pt>
                <c:pt idx="122">
                  <c:v>49964</c:v>
                </c:pt>
                <c:pt idx="123">
                  <c:v>50680</c:v>
                </c:pt>
                <c:pt idx="124">
                  <c:v>48847</c:v>
                </c:pt>
                <c:pt idx="125">
                  <c:v>49531</c:v>
                </c:pt>
                <c:pt idx="126">
                  <c:v>51112</c:v>
                </c:pt>
                <c:pt idx="127">
                  <c:v>48089</c:v>
                </c:pt>
                <c:pt idx="128">
                  <c:v>49106</c:v>
                </c:pt>
                <c:pt idx="129">
                  <c:v>49620</c:v>
                </c:pt>
                <c:pt idx="130">
                  <c:v>48744</c:v>
                </c:pt>
                <c:pt idx="131">
                  <c:v>48896</c:v>
                </c:pt>
                <c:pt idx="132">
                  <c:v>49128</c:v>
                </c:pt>
                <c:pt idx="133">
                  <c:v>51757</c:v>
                </c:pt>
                <c:pt idx="134">
                  <c:v>49199</c:v>
                </c:pt>
                <c:pt idx="135">
                  <c:v>50849</c:v>
                </c:pt>
                <c:pt idx="136">
                  <c:v>49941</c:v>
                </c:pt>
                <c:pt idx="137">
                  <c:v>49408</c:v>
                </c:pt>
                <c:pt idx="138">
                  <c:v>50447</c:v>
                </c:pt>
                <c:pt idx="139">
                  <c:v>51971</c:v>
                </c:pt>
                <c:pt idx="140">
                  <c:v>51088</c:v>
                </c:pt>
                <c:pt idx="141">
                  <c:v>52318</c:v>
                </c:pt>
                <c:pt idx="142">
                  <c:v>53325</c:v>
                </c:pt>
                <c:pt idx="143">
                  <c:v>50190</c:v>
                </c:pt>
                <c:pt idx="144">
                  <c:v>51210</c:v>
                </c:pt>
                <c:pt idx="145">
                  <c:v>54995</c:v>
                </c:pt>
                <c:pt idx="146">
                  <c:v>52065</c:v>
                </c:pt>
                <c:pt idx="147">
                  <c:v>52405</c:v>
                </c:pt>
                <c:pt idx="148">
                  <c:v>53213</c:v>
                </c:pt>
                <c:pt idx="149">
                  <c:v>53699</c:v>
                </c:pt>
                <c:pt idx="150">
                  <c:v>51950</c:v>
                </c:pt>
                <c:pt idx="151">
                  <c:v>56227</c:v>
                </c:pt>
                <c:pt idx="152">
                  <c:v>53948</c:v>
                </c:pt>
                <c:pt idx="153">
                  <c:v>55318</c:v>
                </c:pt>
                <c:pt idx="154">
                  <c:v>56631</c:v>
                </c:pt>
                <c:pt idx="155">
                  <c:v>57884</c:v>
                </c:pt>
                <c:pt idx="156">
                  <c:v>57580</c:v>
                </c:pt>
                <c:pt idx="157">
                  <c:v>56576</c:v>
                </c:pt>
                <c:pt idx="158">
                  <c:v>58138</c:v>
                </c:pt>
                <c:pt idx="159">
                  <c:v>57105</c:v>
                </c:pt>
                <c:pt idx="160">
                  <c:v>58903</c:v>
                </c:pt>
                <c:pt idx="161">
                  <c:v>57606</c:v>
                </c:pt>
                <c:pt idx="162">
                  <c:v>60352</c:v>
                </c:pt>
                <c:pt idx="163">
                  <c:v>58344</c:v>
                </c:pt>
                <c:pt idx="164">
                  <c:v>59751</c:v>
                </c:pt>
                <c:pt idx="165">
                  <c:v>60459</c:v>
                </c:pt>
                <c:pt idx="166">
                  <c:v>61271</c:v>
                </c:pt>
                <c:pt idx="167">
                  <c:v>62469</c:v>
                </c:pt>
                <c:pt idx="168">
                  <c:v>62592</c:v>
                </c:pt>
                <c:pt idx="169">
                  <c:v>65096</c:v>
                </c:pt>
                <c:pt idx="170">
                  <c:v>63272</c:v>
                </c:pt>
                <c:pt idx="171">
                  <c:v>64145</c:v>
                </c:pt>
                <c:pt idx="172">
                  <c:v>63601</c:v>
                </c:pt>
                <c:pt idx="173">
                  <c:v>63922</c:v>
                </c:pt>
                <c:pt idx="174">
                  <c:v>64379</c:v>
                </c:pt>
                <c:pt idx="175">
                  <c:v>66981</c:v>
                </c:pt>
                <c:pt idx="176">
                  <c:v>66492</c:v>
                </c:pt>
                <c:pt idx="177">
                  <c:v>66484</c:v>
                </c:pt>
                <c:pt idx="178">
                  <c:v>65935</c:v>
                </c:pt>
                <c:pt idx="179">
                  <c:v>64155</c:v>
                </c:pt>
                <c:pt idx="180">
                  <c:v>63735</c:v>
                </c:pt>
                <c:pt idx="181">
                  <c:v>66936</c:v>
                </c:pt>
                <c:pt idx="182">
                  <c:v>66118</c:v>
                </c:pt>
                <c:pt idx="183">
                  <c:v>64975</c:v>
                </c:pt>
                <c:pt idx="184">
                  <c:v>64874</c:v>
                </c:pt>
                <c:pt idx="185">
                  <c:v>64902</c:v>
                </c:pt>
                <c:pt idx="186">
                  <c:v>66265</c:v>
                </c:pt>
                <c:pt idx="187">
                  <c:v>65393</c:v>
                </c:pt>
                <c:pt idx="188">
                  <c:v>64974</c:v>
                </c:pt>
                <c:pt idx="189">
                  <c:v>65466</c:v>
                </c:pt>
                <c:pt idx="190">
                  <c:v>68096</c:v>
                </c:pt>
                <c:pt idx="191">
                  <c:v>68408</c:v>
                </c:pt>
                <c:pt idx="192">
                  <c:v>66568</c:v>
                </c:pt>
                <c:pt idx="193">
                  <c:v>66526</c:v>
                </c:pt>
                <c:pt idx="194">
                  <c:v>69373</c:v>
                </c:pt>
                <c:pt idx="195">
                  <c:v>68443</c:v>
                </c:pt>
                <c:pt idx="196">
                  <c:v>67754</c:v>
                </c:pt>
                <c:pt idx="197">
                  <c:v>67856</c:v>
                </c:pt>
                <c:pt idx="198">
                  <c:v>66142</c:v>
                </c:pt>
                <c:pt idx="199">
                  <c:v>63854</c:v>
                </c:pt>
                <c:pt idx="200">
                  <c:v>59330</c:v>
                </c:pt>
                <c:pt idx="201">
                  <c:v>60759</c:v>
                </c:pt>
                <c:pt idx="202">
                  <c:v>55512</c:v>
                </c:pt>
                <c:pt idx="203">
                  <c:v>49530</c:v>
                </c:pt>
                <c:pt idx="204">
                  <c:v>50163</c:v>
                </c:pt>
                <c:pt idx="205">
                  <c:v>49254</c:v>
                </c:pt>
                <c:pt idx="206">
                  <c:v>47096</c:v>
                </c:pt>
                <c:pt idx="207">
                  <c:v>48652</c:v>
                </c:pt>
                <c:pt idx="208">
                  <c:v>50533</c:v>
                </c:pt>
                <c:pt idx="209">
                  <c:v>50984</c:v>
                </c:pt>
                <c:pt idx="210">
                  <c:v>49900</c:v>
                </c:pt>
                <c:pt idx="211">
                  <c:v>53034</c:v>
                </c:pt>
                <c:pt idx="212">
                  <c:v>51978</c:v>
                </c:pt>
                <c:pt idx="213">
                  <c:v>52771</c:v>
                </c:pt>
                <c:pt idx="214">
                  <c:v>54616</c:v>
                </c:pt>
                <c:pt idx="215">
                  <c:v>52331</c:v>
                </c:pt>
                <c:pt idx="216">
                  <c:v>53488</c:v>
                </c:pt>
                <c:pt idx="217">
                  <c:v>56487</c:v>
                </c:pt>
                <c:pt idx="218">
                  <c:v>52283</c:v>
                </c:pt>
                <c:pt idx="219">
                  <c:v>57262</c:v>
                </c:pt>
                <c:pt idx="220">
                  <c:v>59605</c:v>
                </c:pt>
                <c:pt idx="221">
                  <c:v>56474</c:v>
                </c:pt>
                <c:pt idx="222">
                  <c:v>58224</c:v>
                </c:pt>
                <c:pt idx="223">
                  <c:v>60134</c:v>
                </c:pt>
                <c:pt idx="224">
                  <c:v>57479</c:v>
                </c:pt>
                <c:pt idx="225">
                  <c:v>60405</c:v>
                </c:pt>
                <c:pt idx="226">
                  <c:v>61939</c:v>
                </c:pt>
                <c:pt idx="227">
                  <c:v>60963</c:v>
                </c:pt>
                <c:pt idx="228">
                  <c:v>59078</c:v>
                </c:pt>
                <c:pt idx="229">
                  <c:v>62497</c:v>
                </c:pt>
                <c:pt idx="230">
                  <c:v>61562</c:v>
                </c:pt>
                <c:pt idx="231">
                  <c:v>63711</c:v>
                </c:pt>
                <c:pt idx="232">
                  <c:v>63751</c:v>
                </c:pt>
                <c:pt idx="233">
                  <c:v>64756</c:v>
                </c:pt>
                <c:pt idx="234">
                  <c:v>64464</c:v>
                </c:pt>
                <c:pt idx="235">
                  <c:v>65581</c:v>
                </c:pt>
                <c:pt idx="236">
                  <c:v>67427</c:v>
                </c:pt>
                <c:pt idx="237">
                  <c:v>64660</c:v>
                </c:pt>
                <c:pt idx="238">
                  <c:v>68881</c:v>
                </c:pt>
                <c:pt idx="239">
                  <c:v>67525</c:v>
                </c:pt>
                <c:pt idx="240">
                  <c:v>70075</c:v>
                </c:pt>
                <c:pt idx="241">
                  <c:v>69719</c:v>
                </c:pt>
                <c:pt idx="242">
                  <c:v>67645</c:v>
                </c:pt>
                <c:pt idx="243">
                  <c:v>69182</c:v>
                </c:pt>
                <c:pt idx="244">
                  <c:v>66971</c:v>
                </c:pt>
                <c:pt idx="245">
                  <c:v>65070</c:v>
                </c:pt>
                <c:pt idx="246">
                  <c:v>63645</c:v>
                </c:pt>
                <c:pt idx="247">
                  <c:v>63932</c:v>
                </c:pt>
                <c:pt idx="248">
                  <c:v>66051</c:v>
                </c:pt>
                <c:pt idx="249">
                  <c:v>66204</c:v>
                </c:pt>
                <c:pt idx="250">
                  <c:v>66840</c:v>
                </c:pt>
                <c:pt idx="251">
                  <c:v>69879</c:v>
                </c:pt>
                <c:pt idx="252">
                  <c:v>66361</c:v>
                </c:pt>
                <c:pt idx="253">
                  <c:v>66318</c:v>
                </c:pt>
                <c:pt idx="254">
                  <c:v>67762</c:v>
                </c:pt>
                <c:pt idx="255">
                  <c:v>69035</c:v>
                </c:pt>
                <c:pt idx="256">
                  <c:v>69343</c:v>
                </c:pt>
                <c:pt idx="257">
                  <c:v>66316</c:v>
                </c:pt>
                <c:pt idx="258">
                  <c:v>65933</c:v>
                </c:pt>
                <c:pt idx="259">
                  <c:v>66371</c:v>
                </c:pt>
                <c:pt idx="260">
                  <c:v>65016</c:v>
                </c:pt>
                <c:pt idx="261">
                  <c:v>68053</c:v>
                </c:pt>
                <c:pt idx="262">
                  <c:v>67775</c:v>
                </c:pt>
                <c:pt idx="263">
                  <c:v>68237</c:v>
                </c:pt>
                <c:pt idx="264">
                  <c:v>67386</c:v>
                </c:pt>
                <c:pt idx="265">
                  <c:v>68683</c:v>
                </c:pt>
                <c:pt idx="266">
                  <c:v>66486</c:v>
                </c:pt>
                <c:pt idx="267">
                  <c:v>65819</c:v>
                </c:pt>
                <c:pt idx="268">
                  <c:v>69618</c:v>
                </c:pt>
                <c:pt idx="269">
                  <c:v>67842</c:v>
                </c:pt>
                <c:pt idx="270">
                  <c:v>68514</c:v>
                </c:pt>
                <c:pt idx="271">
                  <c:v>69207</c:v>
                </c:pt>
                <c:pt idx="272">
                  <c:v>65557</c:v>
                </c:pt>
                <c:pt idx="273">
                  <c:v>63687</c:v>
                </c:pt>
                <c:pt idx="274">
                  <c:v>66300</c:v>
                </c:pt>
                <c:pt idx="275">
                  <c:v>64791</c:v>
                </c:pt>
                <c:pt idx="276">
                  <c:v>64232</c:v>
                </c:pt>
                <c:pt idx="277">
                  <c:v>64712</c:v>
                </c:pt>
                <c:pt idx="278">
                  <c:v>64365</c:v>
                </c:pt>
                <c:pt idx="279">
                  <c:v>62596</c:v>
                </c:pt>
                <c:pt idx="280">
                  <c:v>63739</c:v>
                </c:pt>
                <c:pt idx="281">
                  <c:v>63551</c:v>
                </c:pt>
                <c:pt idx="282">
                  <c:v>63525</c:v>
                </c:pt>
                <c:pt idx="283">
                  <c:v>63188</c:v>
                </c:pt>
                <c:pt idx="284">
                  <c:v>62996</c:v>
                </c:pt>
                <c:pt idx="285">
                  <c:v>61848</c:v>
                </c:pt>
                <c:pt idx="286">
                  <c:v>60613</c:v>
                </c:pt>
                <c:pt idx="287">
                  <c:v>61637</c:v>
                </c:pt>
                <c:pt idx="288">
                  <c:v>61150</c:v>
                </c:pt>
                <c:pt idx="289">
                  <c:v>60583</c:v>
                </c:pt>
                <c:pt idx="290">
                  <c:v>60924</c:v>
                </c:pt>
                <c:pt idx="291">
                  <c:v>59566</c:v>
                </c:pt>
                <c:pt idx="292">
                  <c:v>59608</c:v>
                </c:pt>
                <c:pt idx="293">
                  <c:v>59809</c:v>
                </c:pt>
                <c:pt idx="294">
                  <c:v>61691</c:v>
                </c:pt>
                <c:pt idx="295">
                  <c:v>59308</c:v>
                </c:pt>
                <c:pt idx="296">
                  <c:v>59351</c:v>
                </c:pt>
                <c:pt idx="297">
                  <c:v>59244</c:v>
                </c:pt>
                <c:pt idx="298">
                  <c:v>59539</c:v>
                </c:pt>
                <c:pt idx="299">
                  <c:v>60419</c:v>
                </c:pt>
                <c:pt idx="300">
                  <c:v>60740</c:v>
                </c:pt>
                <c:pt idx="301">
                  <c:v>61013</c:v>
                </c:pt>
                <c:pt idx="302">
                  <c:v>61308</c:v>
                </c:pt>
                <c:pt idx="303">
                  <c:v>61404</c:v>
                </c:pt>
                <c:pt idx="304">
                  <c:v>60378</c:v>
                </c:pt>
                <c:pt idx="305">
                  <c:v>61535</c:v>
                </c:pt>
                <c:pt idx="306">
                  <c:v>61552</c:v>
                </c:pt>
                <c:pt idx="307">
                  <c:v>64088</c:v>
                </c:pt>
                <c:pt idx="308">
                  <c:v>63703</c:v>
                </c:pt>
                <c:pt idx="309">
                  <c:v>63645</c:v>
                </c:pt>
                <c:pt idx="310">
                  <c:v>63795</c:v>
                </c:pt>
                <c:pt idx="311">
                  <c:v>63324</c:v>
                </c:pt>
                <c:pt idx="312">
                  <c:v>64087</c:v>
                </c:pt>
                <c:pt idx="313">
                  <c:v>63553</c:v>
                </c:pt>
                <c:pt idx="314">
                  <c:v>64909</c:v>
                </c:pt>
                <c:pt idx="315">
                  <c:v>66231</c:v>
                </c:pt>
                <c:pt idx="316">
                  <c:v>67247</c:v>
                </c:pt>
                <c:pt idx="317">
                  <c:v>68749</c:v>
                </c:pt>
                <c:pt idx="318">
                  <c:v>66798</c:v>
                </c:pt>
                <c:pt idx="319">
                  <c:v>66399</c:v>
                </c:pt>
                <c:pt idx="320">
                  <c:v>67104</c:v>
                </c:pt>
                <c:pt idx="321">
                  <c:v>64292</c:v>
                </c:pt>
                <c:pt idx="322">
                  <c:v>64894</c:v>
                </c:pt>
                <c:pt idx="323">
                  <c:v>65841</c:v>
                </c:pt>
                <c:pt idx="324">
                  <c:v>65221</c:v>
                </c:pt>
                <c:pt idx="325">
                  <c:v>66457</c:v>
                </c:pt>
                <c:pt idx="326">
                  <c:v>65737</c:v>
                </c:pt>
                <c:pt idx="327">
                  <c:v>65271</c:v>
                </c:pt>
                <c:pt idx="328">
                  <c:v>66139</c:v>
                </c:pt>
                <c:pt idx="329">
                  <c:v>65823</c:v>
                </c:pt>
                <c:pt idx="330">
                  <c:v>65593</c:v>
                </c:pt>
                <c:pt idx="331">
                  <c:v>65187</c:v>
                </c:pt>
                <c:pt idx="332">
                  <c:v>65642</c:v>
                </c:pt>
                <c:pt idx="333">
                  <c:v>65189</c:v>
                </c:pt>
                <c:pt idx="334">
                  <c:v>65045</c:v>
                </c:pt>
                <c:pt idx="335">
                  <c:v>65765</c:v>
                </c:pt>
                <c:pt idx="336">
                  <c:v>64885</c:v>
                </c:pt>
                <c:pt idx="337">
                  <c:v>64103</c:v>
                </c:pt>
                <c:pt idx="338">
                  <c:v>59872</c:v>
                </c:pt>
                <c:pt idx="339">
                  <c:v>61297</c:v>
                </c:pt>
                <c:pt idx="340">
                  <c:v>64300</c:v>
                </c:pt>
                <c:pt idx="341">
                  <c:v>66189</c:v>
                </c:pt>
                <c:pt idx="342">
                  <c:v>67791</c:v>
                </c:pt>
                <c:pt idx="343">
                  <c:v>68646</c:v>
                </c:pt>
                <c:pt idx="344">
                  <c:v>69626</c:v>
                </c:pt>
                <c:pt idx="345">
                  <c:v>70563</c:v>
                </c:pt>
                <c:pt idx="346">
                  <c:v>71619</c:v>
                </c:pt>
                <c:pt idx="347">
                  <c:v>72386</c:v>
                </c:pt>
                <c:pt idx="348">
                  <c:v>72150</c:v>
                </c:pt>
                <c:pt idx="349">
                  <c:v>73318</c:v>
                </c:pt>
                <c:pt idx="350">
                  <c:v>75315</c:v>
                </c:pt>
                <c:pt idx="351">
                  <c:v>75742</c:v>
                </c:pt>
                <c:pt idx="352">
                  <c:v>76530</c:v>
                </c:pt>
                <c:pt idx="353">
                  <c:v>76736</c:v>
                </c:pt>
                <c:pt idx="354">
                  <c:v>77206</c:v>
                </c:pt>
              </c:numCache>
            </c:numRef>
          </c:val>
          <c:smooth val="0"/>
          <c:extLst>
            <c:ext xmlns:c16="http://schemas.microsoft.com/office/drawing/2014/chart" uri="{C3380CC4-5D6E-409C-BE32-E72D297353CC}">
              <c16:uniqueId val="{00000000-768F-4AB7-AD08-CFCDDB66DF9B}"/>
            </c:ext>
          </c:extLst>
        </c:ser>
        <c:dLbls>
          <c:showLegendKey val="0"/>
          <c:showVal val="0"/>
          <c:showCatName val="0"/>
          <c:showSerName val="0"/>
          <c:showPercent val="0"/>
          <c:showBubbleSize val="0"/>
        </c:dLbls>
        <c:smooth val="0"/>
        <c:axId val="504145232"/>
        <c:axId val="504145624"/>
      </c:lineChart>
      <c:dateAx>
        <c:axId val="50414523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45624"/>
        <c:crosses val="autoZero"/>
        <c:auto val="1"/>
        <c:lblOffset val="100"/>
        <c:baseTimeUnit val="months"/>
      </c:dateAx>
      <c:valAx>
        <c:axId val="504145624"/>
        <c:scaling>
          <c:orientation val="minMax"/>
          <c:min val="300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2009</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'New Orders ex Aircraft'!$B$5</c:f>
              <c:strCache>
                <c:ptCount val="1"/>
                <c:pt idx="0">
                  <c:v>New Orders - Nondefense Capital Goods Excluding Aircraft</c:v>
                </c:pt>
              </c:strCache>
            </c:strRef>
          </c:tx>
          <c:spPr>
            <a:ln w="28575" cap="rnd">
              <a:solidFill>
                <a:schemeClr val="accent1"/>
              </a:solidFill>
              <a:round/>
            </a:ln>
            <a:effectLst/>
          </c:spPr>
          <c:marker>
            <c:symbol val="none"/>
          </c:marker>
          <c:cat>
            <c:numRef>
              <c:f>'New Orders ex Aircraft'!$A$209:$A$350</c:f>
              <c:numCache>
                <c:formatCode>m/d/yy</c:formatCode>
                <c:ptCount val="142"/>
                <c:pt idx="0">
                  <c:v>39814</c:v>
                </c:pt>
                <c:pt idx="1">
                  <c:v>39845</c:v>
                </c:pt>
                <c:pt idx="2">
                  <c:v>39873</c:v>
                </c:pt>
                <c:pt idx="3">
                  <c:v>39904</c:v>
                </c:pt>
                <c:pt idx="4">
                  <c:v>39934</c:v>
                </c:pt>
                <c:pt idx="5">
                  <c:v>39965</c:v>
                </c:pt>
                <c:pt idx="6">
                  <c:v>39995</c:v>
                </c:pt>
                <c:pt idx="7">
                  <c:v>40026</c:v>
                </c:pt>
                <c:pt idx="8">
                  <c:v>40057</c:v>
                </c:pt>
                <c:pt idx="9">
                  <c:v>40087</c:v>
                </c:pt>
                <c:pt idx="10">
                  <c:v>40118</c:v>
                </c:pt>
                <c:pt idx="11">
                  <c:v>40148</c:v>
                </c:pt>
                <c:pt idx="12">
                  <c:v>40179</c:v>
                </c:pt>
                <c:pt idx="13">
                  <c:v>40210</c:v>
                </c:pt>
                <c:pt idx="14">
                  <c:v>40238</c:v>
                </c:pt>
                <c:pt idx="15">
                  <c:v>40269</c:v>
                </c:pt>
                <c:pt idx="16">
                  <c:v>40299</c:v>
                </c:pt>
                <c:pt idx="17">
                  <c:v>40330</c:v>
                </c:pt>
                <c:pt idx="18">
                  <c:v>40360</c:v>
                </c:pt>
                <c:pt idx="19">
                  <c:v>40391</c:v>
                </c:pt>
                <c:pt idx="20">
                  <c:v>40422</c:v>
                </c:pt>
                <c:pt idx="21">
                  <c:v>40452</c:v>
                </c:pt>
                <c:pt idx="22">
                  <c:v>40483</c:v>
                </c:pt>
                <c:pt idx="23">
                  <c:v>40513</c:v>
                </c:pt>
                <c:pt idx="24">
                  <c:v>40544</c:v>
                </c:pt>
                <c:pt idx="25">
                  <c:v>40575</c:v>
                </c:pt>
                <c:pt idx="26">
                  <c:v>40603</c:v>
                </c:pt>
                <c:pt idx="27">
                  <c:v>40634</c:v>
                </c:pt>
                <c:pt idx="28">
                  <c:v>40664</c:v>
                </c:pt>
                <c:pt idx="29">
                  <c:v>40695</c:v>
                </c:pt>
                <c:pt idx="30">
                  <c:v>40725</c:v>
                </c:pt>
                <c:pt idx="31">
                  <c:v>40756</c:v>
                </c:pt>
                <c:pt idx="32">
                  <c:v>40787</c:v>
                </c:pt>
                <c:pt idx="33">
                  <c:v>40817</c:v>
                </c:pt>
                <c:pt idx="34">
                  <c:v>40848</c:v>
                </c:pt>
                <c:pt idx="35">
                  <c:v>40878</c:v>
                </c:pt>
                <c:pt idx="36">
                  <c:v>40909</c:v>
                </c:pt>
                <c:pt idx="37">
                  <c:v>40940</c:v>
                </c:pt>
                <c:pt idx="38">
                  <c:v>40969</c:v>
                </c:pt>
                <c:pt idx="39">
                  <c:v>41000</c:v>
                </c:pt>
                <c:pt idx="40">
                  <c:v>41030</c:v>
                </c:pt>
                <c:pt idx="41">
                  <c:v>41061</c:v>
                </c:pt>
                <c:pt idx="42">
                  <c:v>41091</c:v>
                </c:pt>
                <c:pt idx="43">
                  <c:v>41122</c:v>
                </c:pt>
                <c:pt idx="44">
                  <c:v>41153</c:v>
                </c:pt>
                <c:pt idx="45">
                  <c:v>41183</c:v>
                </c:pt>
                <c:pt idx="46">
                  <c:v>41214</c:v>
                </c:pt>
                <c:pt idx="47">
                  <c:v>41244</c:v>
                </c:pt>
                <c:pt idx="48">
                  <c:v>41275</c:v>
                </c:pt>
                <c:pt idx="49">
                  <c:v>41306</c:v>
                </c:pt>
                <c:pt idx="50">
                  <c:v>41334</c:v>
                </c:pt>
                <c:pt idx="51">
                  <c:v>41365</c:v>
                </c:pt>
                <c:pt idx="52">
                  <c:v>41395</c:v>
                </c:pt>
                <c:pt idx="53">
                  <c:v>41426</c:v>
                </c:pt>
                <c:pt idx="54">
                  <c:v>41456</c:v>
                </c:pt>
                <c:pt idx="55">
                  <c:v>41487</c:v>
                </c:pt>
                <c:pt idx="56">
                  <c:v>41518</c:v>
                </c:pt>
                <c:pt idx="57">
                  <c:v>41548</c:v>
                </c:pt>
                <c:pt idx="58">
                  <c:v>41579</c:v>
                </c:pt>
                <c:pt idx="59">
                  <c:v>41609</c:v>
                </c:pt>
                <c:pt idx="60">
                  <c:v>41640</c:v>
                </c:pt>
                <c:pt idx="61">
                  <c:v>41671</c:v>
                </c:pt>
                <c:pt idx="62">
                  <c:v>41699</c:v>
                </c:pt>
                <c:pt idx="63">
                  <c:v>41730</c:v>
                </c:pt>
                <c:pt idx="64">
                  <c:v>41760</c:v>
                </c:pt>
                <c:pt idx="65">
                  <c:v>41791</c:v>
                </c:pt>
                <c:pt idx="66">
                  <c:v>41821</c:v>
                </c:pt>
                <c:pt idx="67">
                  <c:v>41852</c:v>
                </c:pt>
                <c:pt idx="68">
                  <c:v>41883</c:v>
                </c:pt>
                <c:pt idx="69">
                  <c:v>41913</c:v>
                </c:pt>
                <c:pt idx="70">
                  <c:v>41944</c:v>
                </c:pt>
                <c:pt idx="71">
                  <c:v>41974</c:v>
                </c:pt>
                <c:pt idx="72">
                  <c:v>42005</c:v>
                </c:pt>
                <c:pt idx="73">
                  <c:v>42036</c:v>
                </c:pt>
                <c:pt idx="74">
                  <c:v>42064</c:v>
                </c:pt>
                <c:pt idx="75">
                  <c:v>42095</c:v>
                </c:pt>
                <c:pt idx="76">
                  <c:v>42125</c:v>
                </c:pt>
                <c:pt idx="77">
                  <c:v>42156</c:v>
                </c:pt>
                <c:pt idx="78">
                  <c:v>42186</c:v>
                </c:pt>
                <c:pt idx="79">
                  <c:v>42217</c:v>
                </c:pt>
                <c:pt idx="80">
                  <c:v>42248</c:v>
                </c:pt>
                <c:pt idx="81">
                  <c:v>42278</c:v>
                </c:pt>
                <c:pt idx="82">
                  <c:v>42309</c:v>
                </c:pt>
                <c:pt idx="83">
                  <c:v>42339</c:v>
                </c:pt>
                <c:pt idx="84">
                  <c:v>42370</c:v>
                </c:pt>
                <c:pt idx="85">
                  <c:v>42401</c:v>
                </c:pt>
                <c:pt idx="86">
                  <c:v>42430</c:v>
                </c:pt>
                <c:pt idx="87">
                  <c:v>42461</c:v>
                </c:pt>
                <c:pt idx="88">
                  <c:v>42491</c:v>
                </c:pt>
                <c:pt idx="89">
                  <c:v>42522</c:v>
                </c:pt>
                <c:pt idx="90">
                  <c:v>42552</c:v>
                </c:pt>
                <c:pt idx="91">
                  <c:v>42583</c:v>
                </c:pt>
                <c:pt idx="92">
                  <c:v>42614</c:v>
                </c:pt>
                <c:pt idx="93">
                  <c:v>42644</c:v>
                </c:pt>
                <c:pt idx="94">
                  <c:v>42675</c:v>
                </c:pt>
                <c:pt idx="95">
                  <c:v>42705</c:v>
                </c:pt>
                <c:pt idx="96">
                  <c:v>42736</c:v>
                </c:pt>
                <c:pt idx="97">
                  <c:v>42767</c:v>
                </c:pt>
                <c:pt idx="98">
                  <c:v>42795</c:v>
                </c:pt>
                <c:pt idx="99">
                  <c:v>42826</c:v>
                </c:pt>
                <c:pt idx="100">
                  <c:v>42856</c:v>
                </c:pt>
                <c:pt idx="101">
                  <c:v>42887</c:v>
                </c:pt>
                <c:pt idx="102">
                  <c:v>42917</c:v>
                </c:pt>
                <c:pt idx="103">
                  <c:v>42948</c:v>
                </c:pt>
                <c:pt idx="104">
                  <c:v>42979</c:v>
                </c:pt>
                <c:pt idx="105">
                  <c:v>43009</c:v>
                </c:pt>
                <c:pt idx="106">
                  <c:v>43040</c:v>
                </c:pt>
                <c:pt idx="107">
                  <c:v>43070</c:v>
                </c:pt>
                <c:pt idx="108">
                  <c:v>43101</c:v>
                </c:pt>
                <c:pt idx="109">
                  <c:v>43132</c:v>
                </c:pt>
                <c:pt idx="110">
                  <c:v>43160</c:v>
                </c:pt>
                <c:pt idx="111">
                  <c:v>43191</c:v>
                </c:pt>
                <c:pt idx="112">
                  <c:v>43221</c:v>
                </c:pt>
                <c:pt idx="113">
                  <c:v>43252</c:v>
                </c:pt>
                <c:pt idx="114">
                  <c:v>43282</c:v>
                </c:pt>
                <c:pt idx="115">
                  <c:v>43313</c:v>
                </c:pt>
                <c:pt idx="116">
                  <c:v>43344</c:v>
                </c:pt>
                <c:pt idx="117">
                  <c:v>43374</c:v>
                </c:pt>
                <c:pt idx="118">
                  <c:v>43405</c:v>
                </c:pt>
                <c:pt idx="119">
                  <c:v>43435</c:v>
                </c:pt>
                <c:pt idx="120">
                  <c:v>43466</c:v>
                </c:pt>
                <c:pt idx="121">
                  <c:v>43497</c:v>
                </c:pt>
                <c:pt idx="122">
                  <c:v>43525</c:v>
                </c:pt>
                <c:pt idx="123">
                  <c:v>43556</c:v>
                </c:pt>
                <c:pt idx="124">
                  <c:v>43586</c:v>
                </c:pt>
                <c:pt idx="125">
                  <c:v>43617</c:v>
                </c:pt>
                <c:pt idx="126">
                  <c:v>43647</c:v>
                </c:pt>
                <c:pt idx="127">
                  <c:v>43678</c:v>
                </c:pt>
                <c:pt idx="128">
                  <c:v>43709</c:v>
                </c:pt>
                <c:pt idx="129">
                  <c:v>43739</c:v>
                </c:pt>
                <c:pt idx="130">
                  <c:v>43770</c:v>
                </c:pt>
                <c:pt idx="131">
                  <c:v>43800</c:v>
                </c:pt>
                <c:pt idx="132">
                  <c:v>43831</c:v>
                </c:pt>
                <c:pt idx="133">
                  <c:v>43862</c:v>
                </c:pt>
                <c:pt idx="134">
                  <c:v>43891</c:v>
                </c:pt>
                <c:pt idx="135">
                  <c:v>43922</c:v>
                </c:pt>
                <c:pt idx="136">
                  <c:v>43952</c:v>
                </c:pt>
                <c:pt idx="137">
                  <c:v>43983</c:v>
                </c:pt>
                <c:pt idx="138">
                  <c:v>44013</c:v>
                </c:pt>
                <c:pt idx="139">
                  <c:v>44044</c:v>
                </c:pt>
                <c:pt idx="140">
                  <c:v>44075</c:v>
                </c:pt>
                <c:pt idx="141">
                  <c:v>44105</c:v>
                </c:pt>
              </c:numCache>
            </c:numRef>
          </c:cat>
          <c:val>
            <c:numRef>
              <c:f>'New Orders ex Aircraft'!$B$209:$B$350</c:f>
              <c:numCache>
                <c:formatCode>#,##0</c:formatCode>
                <c:ptCount val="142"/>
                <c:pt idx="0">
                  <c:v>49530</c:v>
                </c:pt>
                <c:pt idx="1">
                  <c:v>50163</c:v>
                </c:pt>
                <c:pt idx="2">
                  <c:v>49254</c:v>
                </c:pt>
                <c:pt idx="3">
                  <c:v>47096</c:v>
                </c:pt>
                <c:pt idx="4">
                  <c:v>48652</c:v>
                </c:pt>
                <c:pt idx="5">
                  <c:v>50533</c:v>
                </c:pt>
                <c:pt idx="6">
                  <c:v>50984</c:v>
                </c:pt>
                <c:pt idx="7">
                  <c:v>49900</c:v>
                </c:pt>
                <c:pt idx="8">
                  <c:v>53034</c:v>
                </c:pt>
                <c:pt idx="9">
                  <c:v>51978</c:v>
                </c:pt>
                <c:pt idx="10">
                  <c:v>52771</c:v>
                </c:pt>
                <c:pt idx="11">
                  <c:v>54616</c:v>
                </c:pt>
                <c:pt idx="12">
                  <c:v>52331</c:v>
                </c:pt>
                <c:pt idx="13">
                  <c:v>53488</c:v>
                </c:pt>
                <c:pt idx="14">
                  <c:v>56487</c:v>
                </c:pt>
                <c:pt idx="15">
                  <c:v>52283</c:v>
                </c:pt>
                <c:pt idx="16">
                  <c:v>57262</c:v>
                </c:pt>
                <c:pt idx="17">
                  <c:v>59605</c:v>
                </c:pt>
                <c:pt idx="18">
                  <c:v>56474</c:v>
                </c:pt>
                <c:pt idx="19">
                  <c:v>58224</c:v>
                </c:pt>
                <c:pt idx="20">
                  <c:v>60134</c:v>
                </c:pt>
                <c:pt idx="21">
                  <c:v>57479</c:v>
                </c:pt>
                <c:pt idx="22">
                  <c:v>60405</c:v>
                </c:pt>
                <c:pt idx="23">
                  <c:v>61939</c:v>
                </c:pt>
                <c:pt idx="24">
                  <c:v>60963</c:v>
                </c:pt>
                <c:pt idx="25">
                  <c:v>59078</c:v>
                </c:pt>
                <c:pt idx="26">
                  <c:v>62497</c:v>
                </c:pt>
                <c:pt idx="27">
                  <c:v>61562</c:v>
                </c:pt>
                <c:pt idx="28">
                  <c:v>63711</c:v>
                </c:pt>
                <c:pt idx="29">
                  <c:v>63751</c:v>
                </c:pt>
                <c:pt idx="30">
                  <c:v>64756</c:v>
                </c:pt>
                <c:pt idx="31">
                  <c:v>64464</c:v>
                </c:pt>
                <c:pt idx="32">
                  <c:v>65581</c:v>
                </c:pt>
                <c:pt idx="33">
                  <c:v>67427</c:v>
                </c:pt>
                <c:pt idx="34">
                  <c:v>64660</c:v>
                </c:pt>
                <c:pt idx="35">
                  <c:v>68881</c:v>
                </c:pt>
                <c:pt idx="36">
                  <c:v>67525</c:v>
                </c:pt>
                <c:pt idx="37">
                  <c:v>70075</c:v>
                </c:pt>
                <c:pt idx="38">
                  <c:v>69719</c:v>
                </c:pt>
                <c:pt idx="39">
                  <c:v>67645</c:v>
                </c:pt>
                <c:pt idx="40">
                  <c:v>69182</c:v>
                </c:pt>
                <c:pt idx="41">
                  <c:v>66971</c:v>
                </c:pt>
                <c:pt idx="42">
                  <c:v>65070</c:v>
                </c:pt>
                <c:pt idx="43">
                  <c:v>63645</c:v>
                </c:pt>
                <c:pt idx="44">
                  <c:v>63932</c:v>
                </c:pt>
                <c:pt idx="45">
                  <c:v>66051</c:v>
                </c:pt>
                <c:pt idx="46">
                  <c:v>66204</c:v>
                </c:pt>
                <c:pt idx="47">
                  <c:v>66840</c:v>
                </c:pt>
                <c:pt idx="48">
                  <c:v>69879</c:v>
                </c:pt>
                <c:pt idx="49">
                  <c:v>66361</c:v>
                </c:pt>
                <c:pt idx="50">
                  <c:v>66318</c:v>
                </c:pt>
                <c:pt idx="51">
                  <c:v>67762</c:v>
                </c:pt>
                <c:pt idx="52">
                  <c:v>69035</c:v>
                </c:pt>
                <c:pt idx="53">
                  <c:v>69343</c:v>
                </c:pt>
                <c:pt idx="54">
                  <c:v>66316</c:v>
                </c:pt>
                <c:pt idx="55">
                  <c:v>65933</c:v>
                </c:pt>
                <c:pt idx="56">
                  <c:v>66371</c:v>
                </c:pt>
                <c:pt idx="57">
                  <c:v>65016</c:v>
                </c:pt>
                <c:pt idx="58">
                  <c:v>68053</c:v>
                </c:pt>
                <c:pt idx="59">
                  <c:v>67775</c:v>
                </c:pt>
                <c:pt idx="60">
                  <c:v>68237</c:v>
                </c:pt>
                <c:pt idx="61">
                  <c:v>67386</c:v>
                </c:pt>
                <c:pt idx="62">
                  <c:v>68683</c:v>
                </c:pt>
                <c:pt idx="63">
                  <c:v>66486</c:v>
                </c:pt>
                <c:pt idx="64">
                  <c:v>65819</c:v>
                </c:pt>
                <c:pt idx="65">
                  <c:v>69618</c:v>
                </c:pt>
                <c:pt idx="66">
                  <c:v>67842</c:v>
                </c:pt>
                <c:pt idx="67">
                  <c:v>68514</c:v>
                </c:pt>
                <c:pt idx="68">
                  <c:v>69207</c:v>
                </c:pt>
                <c:pt idx="69">
                  <c:v>65557</c:v>
                </c:pt>
                <c:pt idx="70">
                  <c:v>63687</c:v>
                </c:pt>
                <c:pt idx="71">
                  <c:v>66300</c:v>
                </c:pt>
                <c:pt idx="72">
                  <c:v>64791</c:v>
                </c:pt>
                <c:pt idx="73">
                  <c:v>64232</c:v>
                </c:pt>
                <c:pt idx="74">
                  <c:v>64712</c:v>
                </c:pt>
                <c:pt idx="75">
                  <c:v>64365</c:v>
                </c:pt>
                <c:pt idx="76">
                  <c:v>62596</c:v>
                </c:pt>
                <c:pt idx="77">
                  <c:v>63739</c:v>
                </c:pt>
                <c:pt idx="78">
                  <c:v>63551</c:v>
                </c:pt>
                <c:pt idx="79">
                  <c:v>63525</c:v>
                </c:pt>
                <c:pt idx="80">
                  <c:v>63188</c:v>
                </c:pt>
                <c:pt idx="81">
                  <c:v>62996</c:v>
                </c:pt>
                <c:pt idx="82">
                  <c:v>61848</c:v>
                </c:pt>
                <c:pt idx="83">
                  <c:v>60613</c:v>
                </c:pt>
                <c:pt idx="84">
                  <c:v>61637</c:v>
                </c:pt>
                <c:pt idx="85">
                  <c:v>61150</c:v>
                </c:pt>
                <c:pt idx="86">
                  <c:v>60583</c:v>
                </c:pt>
                <c:pt idx="87">
                  <c:v>60924</c:v>
                </c:pt>
                <c:pt idx="88">
                  <c:v>59566</c:v>
                </c:pt>
                <c:pt idx="89">
                  <c:v>59608</c:v>
                </c:pt>
                <c:pt idx="90">
                  <c:v>59809</c:v>
                </c:pt>
                <c:pt idx="91">
                  <c:v>61691</c:v>
                </c:pt>
                <c:pt idx="92">
                  <c:v>59308</c:v>
                </c:pt>
                <c:pt idx="93">
                  <c:v>59351</c:v>
                </c:pt>
                <c:pt idx="94">
                  <c:v>59244</c:v>
                </c:pt>
                <c:pt idx="95">
                  <c:v>59539</c:v>
                </c:pt>
                <c:pt idx="96">
                  <c:v>60419</c:v>
                </c:pt>
                <c:pt idx="97">
                  <c:v>60740</c:v>
                </c:pt>
                <c:pt idx="98">
                  <c:v>61013</c:v>
                </c:pt>
                <c:pt idx="99">
                  <c:v>61308</c:v>
                </c:pt>
                <c:pt idx="100">
                  <c:v>61404</c:v>
                </c:pt>
                <c:pt idx="101">
                  <c:v>60378</c:v>
                </c:pt>
                <c:pt idx="102">
                  <c:v>61535</c:v>
                </c:pt>
                <c:pt idx="103">
                  <c:v>61552</c:v>
                </c:pt>
                <c:pt idx="104">
                  <c:v>64088</c:v>
                </c:pt>
                <c:pt idx="105">
                  <c:v>63703</c:v>
                </c:pt>
                <c:pt idx="106">
                  <c:v>63645</c:v>
                </c:pt>
                <c:pt idx="107">
                  <c:v>63795</c:v>
                </c:pt>
                <c:pt idx="108">
                  <c:v>63324</c:v>
                </c:pt>
                <c:pt idx="109">
                  <c:v>64087</c:v>
                </c:pt>
                <c:pt idx="110">
                  <c:v>63553</c:v>
                </c:pt>
                <c:pt idx="111">
                  <c:v>64909</c:v>
                </c:pt>
                <c:pt idx="112">
                  <c:v>66231</c:v>
                </c:pt>
                <c:pt idx="113">
                  <c:v>67247</c:v>
                </c:pt>
                <c:pt idx="114">
                  <c:v>68749</c:v>
                </c:pt>
                <c:pt idx="115">
                  <c:v>66798</c:v>
                </c:pt>
                <c:pt idx="116">
                  <c:v>66399</c:v>
                </c:pt>
                <c:pt idx="117">
                  <c:v>67104</c:v>
                </c:pt>
                <c:pt idx="118">
                  <c:v>64292</c:v>
                </c:pt>
                <c:pt idx="119">
                  <c:v>64894</c:v>
                </c:pt>
                <c:pt idx="120">
                  <c:v>65841</c:v>
                </c:pt>
                <c:pt idx="121">
                  <c:v>65221</c:v>
                </c:pt>
                <c:pt idx="122">
                  <c:v>66457</c:v>
                </c:pt>
                <c:pt idx="123">
                  <c:v>65737</c:v>
                </c:pt>
                <c:pt idx="124">
                  <c:v>65271</c:v>
                </c:pt>
                <c:pt idx="125">
                  <c:v>66139</c:v>
                </c:pt>
                <c:pt idx="126">
                  <c:v>65823</c:v>
                </c:pt>
                <c:pt idx="127">
                  <c:v>65593</c:v>
                </c:pt>
                <c:pt idx="128">
                  <c:v>65187</c:v>
                </c:pt>
                <c:pt idx="129">
                  <c:v>65642</c:v>
                </c:pt>
                <c:pt idx="130">
                  <c:v>65189</c:v>
                </c:pt>
                <c:pt idx="131">
                  <c:v>65045</c:v>
                </c:pt>
                <c:pt idx="132">
                  <c:v>65765</c:v>
                </c:pt>
                <c:pt idx="133">
                  <c:v>64885</c:v>
                </c:pt>
                <c:pt idx="134">
                  <c:v>64103</c:v>
                </c:pt>
                <c:pt idx="135">
                  <c:v>59872</c:v>
                </c:pt>
                <c:pt idx="136">
                  <c:v>61297</c:v>
                </c:pt>
                <c:pt idx="137">
                  <c:v>64300</c:v>
                </c:pt>
                <c:pt idx="138">
                  <c:v>66189</c:v>
                </c:pt>
                <c:pt idx="139">
                  <c:v>67791</c:v>
                </c:pt>
                <c:pt idx="140">
                  <c:v>68646</c:v>
                </c:pt>
                <c:pt idx="141">
                  <c:v>69626</c:v>
                </c:pt>
              </c:numCache>
            </c:numRef>
          </c:val>
          <c:smooth val="0"/>
          <c:extLst>
            <c:ext xmlns:c16="http://schemas.microsoft.com/office/drawing/2014/chart" uri="{C3380CC4-5D6E-409C-BE32-E72D297353CC}">
              <c16:uniqueId val="{00000000-4619-4E85-86A2-C9EEC9C9C1E8}"/>
            </c:ext>
          </c:extLst>
        </c:ser>
        <c:dLbls>
          <c:showLegendKey val="0"/>
          <c:showVal val="0"/>
          <c:showCatName val="0"/>
          <c:showSerName val="0"/>
          <c:showPercent val="0"/>
          <c:showBubbleSize val="0"/>
        </c:dLbls>
        <c:smooth val="0"/>
        <c:axId val="504146408"/>
        <c:axId val="504146800"/>
      </c:lineChart>
      <c:dateAx>
        <c:axId val="50414640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46800"/>
        <c:crosses val="autoZero"/>
        <c:auto val="1"/>
        <c:lblOffset val="100"/>
        <c:baseTimeUnit val="months"/>
      </c:dateAx>
      <c:valAx>
        <c:axId val="504146800"/>
        <c:scaling>
          <c:orientation val="minMax"/>
          <c:min val="400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464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'New Orders ex Aircraft'!$C$5</c:f>
              <c:strCache>
                <c:ptCount val="1"/>
                <c:pt idx="0">
                  <c:v>mom %</c:v>
                </c:pt>
              </c:strCache>
            </c:strRef>
          </c:tx>
          <c:spPr>
            <a:solidFill>
              <a:srgbClr val="92D050"/>
            </a:solidFill>
            <a:ln>
              <a:noFill/>
            </a:ln>
            <a:effectLst/>
          </c:spPr>
          <c:invertIfNegative val="1"/>
          <c:cat>
            <c:numRef>
              <c:f>'New Orders ex Aircraft'!$A$6:$A$360</c:f>
              <c:numCache>
                <c:formatCode>m/d/yy</c:formatCode>
                <c:ptCount val="355"/>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numCache>
            </c:numRef>
          </c:cat>
          <c:val>
            <c:numRef>
              <c:f>'New Orders ex Aircraft'!$C$6:$C$360</c:f>
              <c:numCache>
                <c:formatCode>0.0%</c:formatCode>
                <c:ptCount val="355"/>
                <c:pt idx="1">
                  <c:v>4.1379921434267657E-2</c:v>
                </c:pt>
                <c:pt idx="2">
                  <c:v>2.0817970389698792E-2</c:v>
                </c:pt>
                <c:pt idx="3">
                  <c:v>2.2755056679262059E-2</c:v>
                </c:pt>
                <c:pt idx="4">
                  <c:v>-3.9390399608812583E-3</c:v>
                </c:pt>
                <c:pt idx="5">
                  <c:v>-1.009109256531937E-3</c:v>
                </c:pt>
                <c:pt idx="6">
                  <c:v>-1.3595784760708728E-2</c:v>
                </c:pt>
                <c:pt idx="7">
                  <c:v>4.146024189753951E-2</c:v>
                </c:pt>
                <c:pt idx="8">
                  <c:v>-2.553881314943262E-2</c:v>
                </c:pt>
                <c:pt idx="9">
                  <c:v>2.4680920693792952E-2</c:v>
                </c:pt>
                <c:pt idx="10">
                  <c:v>2.1318499986692573E-2</c:v>
                </c:pt>
                <c:pt idx="11">
                  <c:v>-3.4737061552092566E-2</c:v>
                </c:pt>
                <c:pt idx="12">
                  <c:v>-2.1327717934181041E-3</c:v>
                </c:pt>
                <c:pt idx="13">
                  <c:v>-1.8126724744332017E-3</c:v>
                </c:pt>
                <c:pt idx="14">
                  <c:v>2.2604688982246917E-2</c:v>
                </c:pt>
                <c:pt idx="15">
                  <c:v>3.7106734872379339E-3</c:v>
                </c:pt>
                <c:pt idx="16">
                  <c:v>1.3520293643877577E-2</c:v>
                </c:pt>
                <c:pt idx="17">
                  <c:v>1.3913134102811286E-2</c:v>
                </c:pt>
                <c:pt idx="18">
                  <c:v>1.0124630605165103E-2</c:v>
                </c:pt>
                <c:pt idx="19">
                  <c:v>-5.0878933577552216E-5</c:v>
                </c:pt>
                <c:pt idx="20">
                  <c:v>3.1622866156155394E-2</c:v>
                </c:pt>
                <c:pt idx="21">
                  <c:v>-6.1405672009864362E-3</c:v>
                </c:pt>
                <c:pt idx="22">
                  <c:v>7.4315773802138899E-2</c:v>
                </c:pt>
                <c:pt idx="23">
                  <c:v>-8.0723392461197335E-2</c:v>
                </c:pt>
                <c:pt idx="24">
                  <c:v>4.8616868922891382E-2</c:v>
                </c:pt>
                <c:pt idx="25">
                  <c:v>-1.1764423998466552E-2</c:v>
                </c:pt>
                <c:pt idx="26">
                  <c:v>4.2356649290823133E-2</c:v>
                </c:pt>
                <c:pt idx="27">
                  <c:v>-3.3262002232973577E-3</c:v>
                </c:pt>
                <c:pt idx="28">
                  <c:v>3.9814231370627083E-2</c:v>
                </c:pt>
                <c:pt idx="29">
                  <c:v>-1.2097407698350354E-2</c:v>
                </c:pt>
                <c:pt idx="30">
                  <c:v>8.8604143947655402E-3</c:v>
                </c:pt>
                <c:pt idx="31">
                  <c:v>2.274467414313381E-3</c:v>
                </c:pt>
                <c:pt idx="32">
                  <c:v>3.2624081605140763E-2</c:v>
                </c:pt>
                <c:pt idx="33">
                  <c:v>-3.698949063295546E-4</c:v>
                </c:pt>
                <c:pt idx="34">
                  <c:v>5.3110443602803533E-3</c:v>
                </c:pt>
                <c:pt idx="35">
                  <c:v>2.4487940068419003E-2</c:v>
                </c:pt>
                <c:pt idx="36">
                  <c:v>-2.3606737536192066E-2</c:v>
                </c:pt>
                <c:pt idx="37">
                  <c:v>-2.2727272727272726E-3</c:v>
                </c:pt>
                <c:pt idx="38">
                  <c:v>1.4773836641718191E-2</c:v>
                </c:pt>
                <c:pt idx="39">
                  <c:v>3.4740037626133057E-2</c:v>
                </c:pt>
                <c:pt idx="40">
                  <c:v>-8.9047746947377125E-3</c:v>
                </c:pt>
                <c:pt idx="41">
                  <c:v>-4.1859495518032107E-2</c:v>
                </c:pt>
                <c:pt idx="42">
                  <c:v>3.350593968930856E-2</c:v>
                </c:pt>
                <c:pt idx="43">
                  <c:v>4.0608816470885434E-2</c:v>
                </c:pt>
                <c:pt idx="44">
                  <c:v>1.723614735692177E-2</c:v>
                </c:pt>
                <c:pt idx="45">
                  <c:v>-9.6454069964003741E-3</c:v>
                </c:pt>
                <c:pt idx="46">
                  <c:v>2.85754447969798E-2</c:v>
                </c:pt>
                <c:pt idx="47">
                  <c:v>-6.4231467562132716E-2</c:v>
                </c:pt>
                <c:pt idx="48">
                  <c:v>2.6120882101354031E-2</c:v>
                </c:pt>
                <c:pt idx="49">
                  <c:v>1.2138340483500397E-2</c:v>
                </c:pt>
                <c:pt idx="50">
                  <c:v>-3.3708316593009241E-2</c:v>
                </c:pt>
                <c:pt idx="51">
                  <c:v>4.9956342771610325E-2</c:v>
                </c:pt>
                <c:pt idx="52">
                  <c:v>2.0809820809820811E-2</c:v>
                </c:pt>
                <c:pt idx="53">
                  <c:v>-9.8727597175886413E-3</c:v>
                </c:pt>
                <c:pt idx="54">
                  <c:v>-5.2304738770153E-3</c:v>
                </c:pt>
                <c:pt idx="55">
                  <c:v>-1.8826309570697124E-2</c:v>
                </c:pt>
                <c:pt idx="56">
                  <c:v>5.4833012202954397E-2</c:v>
                </c:pt>
                <c:pt idx="57">
                  <c:v>2.0549509095060506E-3</c:v>
                </c:pt>
                <c:pt idx="58">
                  <c:v>-3.6058787786723376E-2</c:v>
                </c:pt>
                <c:pt idx="59">
                  <c:v>2.3500443218753077E-2</c:v>
                </c:pt>
                <c:pt idx="60">
                  <c:v>4.4786173447784752E-2</c:v>
                </c:pt>
                <c:pt idx="61">
                  <c:v>-1.6579165515335729E-3</c:v>
                </c:pt>
                <c:pt idx="62">
                  <c:v>1.566565181289787E-2</c:v>
                </c:pt>
                <c:pt idx="63">
                  <c:v>-2.0347358476854881E-2</c:v>
                </c:pt>
                <c:pt idx="64">
                  <c:v>3.7979378384392852E-2</c:v>
                </c:pt>
                <c:pt idx="65">
                  <c:v>5.3544629457585938E-2</c:v>
                </c:pt>
                <c:pt idx="66">
                  <c:v>-1.2498092217945022E-2</c:v>
                </c:pt>
                <c:pt idx="67">
                  <c:v>3.2817007830745981E-2</c:v>
                </c:pt>
                <c:pt idx="68">
                  <c:v>-4.2581846598939196E-2</c:v>
                </c:pt>
                <c:pt idx="69">
                  <c:v>6.686117189399465E-3</c:v>
                </c:pt>
                <c:pt idx="70">
                  <c:v>7.4870184760294648E-3</c:v>
                </c:pt>
                <c:pt idx="71">
                  <c:v>-2.7225561206143729E-2</c:v>
                </c:pt>
                <c:pt idx="72">
                  <c:v>4.4903275774057838E-2</c:v>
                </c:pt>
                <c:pt idx="73">
                  <c:v>-2.8469391193019104E-2</c:v>
                </c:pt>
                <c:pt idx="74">
                  <c:v>-3.0569427105007631E-2</c:v>
                </c:pt>
                <c:pt idx="75">
                  <c:v>4.7684630381512813E-2</c:v>
                </c:pt>
                <c:pt idx="76">
                  <c:v>7.5970977379428081E-3</c:v>
                </c:pt>
                <c:pt idx="77">
                  <c:v>-3.981701118264995E-2</c:v>
                </c:pt>
                <c:pt idx="78">
                  <c:v>1.7434268572436917E-2</c:v>
                </c:pt>
                <c:pt idx="79">
                  <c:v>4.5076138610427002E-2</c:v>
                </c:pt>
                <c:pt idx="80">
                  <c:v>-6.5353402924141588E-2</c:v>
                </c:pt>
                <c:pt idx="81">
                  <c:v>3.2724302633214367E-2</c:v>
                </c:pt>
                <c:pt idx="82">
                  <c:v>4.566555482961384E-2</c:v>
                </c:pt>
                <c:pt idx="83">
                  <c:v>-6.0146667105133347E-2</c:v>
                </c:pt>
                <c:pt idx="84">
                  <c:v>2.4772568229531142E-2</c:v>
                </c:pt>
                <c:pt idx="85">
                  <c:v>1.8454657197487026E-2</c:v>
                </c:pt>
                <c:pt idx="86">
                  <c:v>-1.220309435606886E-2</c:v>
                </c:pt>
                <c:pt idx="87">
                  <c:v>1.5018072595835666E-2</c:v>
                </c:pt>
                <c:pt idx="88">
                  <c:v>-1.2856521884508643E-2</c:v>
                </c:pt>
                <c:pt idx="89">
                  <c:v>5.1299856042001865E-2</c:v>
                </c:pt>
                <c:pt idx="90">
                  <c:v>-5.5095531140251959E-3</c:v>
                </c:pt>
                <c:pt idx="91">
                  <c:v>2.4282381908896519E-2</c:v>
                </c:pt>
                <c:pt idx="92">
                  <c:v>-2.815074884154924E-2</c:v>
                </c:pt>
                <c:pt idx="93">
                  <c:v>6.4767050170054189E-3</c:v>
                </c:pt>
                <c:pt idx="94">
                  <c:v>5.8238613397144659E-2</c:v>
                </c:pt>
                <c:pt idx="95">
                  <c:v>-2.2551221524499242E-2</c:v>
                </c:pt>
                <c:pt idx="96">
                  <c:v>-8.5627198124267292E-2</c:v>
                </c:pt>
                <c:pt idx="97">
                  <c:v>8.7953228370685671E-2</c:v>
                </c:pt>
                <c:pt idx="98">
                  <c:v>1.2130354168630779E-2</c:v>
                </c:pt>
                <c:pt idx="99">
                  <c:v>-1.0261744341292265E-2</c:v>
                </c:pt>
                <c:pt idx="100">
                  <c:v>7.119664956943203E-2</c:v>
                </c:pt>
                <c:pt idx="101">
                  <c:v>-6.8983189831898314E-2</c:v>
                </c:pt>
                <c:pt idx="102">
                  <c:v>1.8527547537786446E-2</c:v>
                </c:pt>
                <c:pt idx="103">
                  <c:v>3.0482249571488134E-2</c:v>
                </c:pt>
                <c:pt idx="104">
                  <c:v>-4.724798825168957E-2</c:v>
                </c:pt>
                <c:pt idx="105">
                  <c:v>-1.5901226800880779E-2</c:v>
                </c:pt>
                <c:pt idx="106">
                  <c:v>-2.3973533219325864E-4</c:v>
                </c:pt>
                <c:pt idx="107">
                  <c:v>-2.7911884132109856E-2</c:v>
                </c:pt>
                <c:pt idx="108">
                  <c:v>-1.82541770819629E-3</c:v>
                </c:pt>
                <c:pt idx="109">
                  <c:v>-4.2028436331284905E-2</c:v>
                </c:pt>
                <c:pt idx="110">
                  <c:v>-5.6839679427647644E-2</c:v>
                </c:pt>
                <c:pt idx="111">
                  <c:v>3.2056308236538357E-2</c:v>
                </c:pt>
                <c:pt idx="112">
                  <c:v>-2.0689411473700948E-2</c:v>
                </c:pt>
                <c:pt idx="113">
                  <c:v>-3.5938514830049798E-2</c:v>
                </c:pt>
                <c:pt idx="114">
                  <c:v>1.3717344112583277E-2</c:v>
                </c:pt>
                <c:pt idx="115">
                  <c:v>-6.339419225017999E-2</c:v>
                </c:pt>
                <c:pt idx="116">
                  <c:v>-1.9690548930718439E-2</c:v>
                </c:pt>
                <c:pt idx="117">
                  <c:v>3.2149750683609458E-2</c:v>
                </c:pt>
                <c:pt idx="118">
                  <c:v>-8.7659491574948868E-4</c:v>
                </c:pt>
                <c:pt idx="119">
                  <c:v>-7.1105478650809129E-2</c:v>
                </c:pt>
                <c:pt idx="120">
                  <c:v>5.8329660180928992E-2</c:v>
                </c:pt>
                <c:pt idx="121">
                  <c:v>-6.0509301495379003E-2</c:v>
                </c:pt>
                <c:pt idx="122">
                  <c:v>5.4738130923983025E-2</c:v>
                </c:pt>
                <c:pt idx="123">
                  <c:v>1.4330317828836762E-2</c:v>
                </c:pt>
                <c:pt idx="124">
                  <c:v>-3.6168113654301497E-2</c:v>
                </c:pt>
                <c:pt idx="125">
                  <c:v>1.4002907036256064E-2</c:v>
                </c:pt>
                <c:pt idx="126">
                  <c:v>3.1919404009610144E-2</c:v>
                </c:pt>
                <c:pt idx="127">
                  <c:v>-5.914462357176397E-2</c:v>
                </c:pt>
                <c:pt idx="128">
                  <c:v>2.1148287550167399E-2</c:v>
                </c:pt>
                <c:pt idx="129">
                  <c:v>1.046715269009897E-2</c:v>
                </c:pt>
                <c:pt idx="130">
                  <c:v>-1.7654171704957679E-2</c:v>
                </c:pt>
                <c:pt idx="131">
                  <c:v>3.1183325127195141E-3</c:v>
                </c:pt>
                <c:pt idx="132">
                  <c:v>4.744764397905759E-3</c:v>
                </c:pt>
                <c:pt idx="133">
                  <c:v>5.3513271454160558E-2</c:v>
                </c:pt>
                <c:pt idx="134">
                  <c:v>-4.9423266418069052E-2</c:v>
                </c:pt>
                <c:pt idx="135">
                  <c:v>3.3537267017622309E-2</c:v>
                </c:pt>
                <c:pt idx="136">
                  <c:v>-1.7856791677319121E-2</c:v>
                </c:pt>
                <c:pt idx="137">
                  <c:v>-1.0672593660519413E-2</c:v>
                </c:pt>
                <c:pt idx="138">
                  <c:v>2.102898316062176E-2</c:v>
                </c:pt>
                <c:pt idx="139">
                  <c:v>3.0209923285824728E-2</c:v>
                </c:pt>
                <c:pt idx="140">
                  <c:v>-1.6990244559465857E-2</c:v>
                </c:pt>
                <c:pt idx="141">
                  <c:v>2.4076103977450674E-2</c:v>
                </c:pt>
                <c:pt idx="142">
                  <c:v>1.9247677663519248E-2</c:v>
                </c:pt>
                <c:pt idx="143">
                  <c:v>-5.8790436005625876E-2</c:v>
                </c:pt>
                <c:pt idx="144">
                  <c:v>2.0322773460848775E-2</c:v>
                </c:pt>
                <c:pt idx="145">
                  <c:v>7.3911345440343681E-2</c:v>
                </c:pt>
                <c:pt idx="146">
                  <c:v>-5.3277570688244388E-2</c:v>
                </c:pt>
                <c:pt idx="147">
                  <c:v>6.5302986651301258E-3</c:v>
                </c:pt>
                <c:pt idx="148">
                  <c:v>1.541837610914989E-2</c:v>
                </c:pt>
                <c:pt idx="149">
                  <c:v>9.1331065717024044E-3</c:v>
                </c:pt>
                <c:pt idx="150">
                  <c:v>-3.2570438928099223E-2</c:v>
                </c:pt>
                <c:pt idx="151">
                  <c:v>8.232916265640039E-2</c:v>
                </c:pt>
                <c:pt idx="152">
                  <c:v>-4.0532128692620982E-2</c:v>
                </c:pt>
                <c:pt idx="153">
                  <c:v>2.5394824645955365E-2</c:v>
                </c:pt>
                <c:pt idx="154">
                  <c:v>2.3735492967930871E-2</c:v>
                </c:pt>
                <c:pt idx="155">
                  <c:v>2.2125690876021967E-2</c:v>
                </c:pt>
                <c:pt idx="156">
                  <c:v>-5.2518830764978234E-3</c:v>
                </c:pt>
                <c:pt idx="157">
                  <c:v>-1.7436609934004862E-2</c:v>
                </c:pt>
                <c:pt idx="158">
                  <c:v>2.7608880090497737E-2</c:v>
                </c:pt>
                <c:pt idx="159">
                  <c:v>-1.7768069077023635E-2</c:v>
                </c:pt>
                <c:pt idx="160">
                  <c:v>3.1485859381840467E-2</c:v>
                </c:pt>
                <c:pt idx="161">
                  <c:v>-2.2019251990560752E-2</c:v>
                </c:pt>
                <c:pt idx="162">
                  <c:v>4.7668645627191614E-2</c:v>
                </c:pt>
                <c:pt idx="163">
                  <c:v>-3.3271474019088018E-2</c:v>
                </c:pt>
                <c:pt idx="164">
                  <c:v>2.4115590292060882E-2</c:v>
                </c:pt>
                <c:pt idx="165">
                  <c:v>1.1849174072400461E-2</c:v>
                </c:pt>
                <c:pt idx="166">
                  <c:v>1.3430589324997105E-2</c:v>
                </c:pt>
                <c:pt idx="167">
                  <c:v>1.9552479966052454E-2</c:v>
                </c:pt>
                <c:pt idx="168">
                  <c:v>1.9689766123997502E-3</c:v>
                </c:pt>
                <c:pt idx="169">
                  <c:v>4.000511247443763E-2</c:v>
                </c:pt>
                <c:pt idx="170">
                  <c:v>-2.802015484822416E-2</c:v>
                </c:pt>
                <c:pt idx="171">
                  <c:v>1.3797572385889493E-2</c:v>
                </c:pt>
                <c:pt idx="172">
                  <c:v>-8.4807857198534575E-3</c:v>
                </c:pt>
                <c:pt idx="173">
                  <c:v>5.047090454552601E-3</c:v>
                </c:pt>
                <c:pt idx="174">
                  <c:v>7.1493382559994993E-3</c:v>
                </c:pt>
                <c:pt idx="175">
                  <c:v>4.0416906133987789E-2</c:v>
                </c:pt>
                <c:pt idx="176">
                  <c:v>-7.3005777757871636E-3</c:v>
                </c:pt>
                <c:pt idx="177">
                  <c:v>-1.2031522589183661E-4</c:v>
                </c:pt>
                <c:pt idx="178">
                  <c:v>-8.257625894952169E-3</c:v>
                </c:pt>
                <c:pt idx="179">
                  <c:v>-2.6996284219306894E-2</c:v>
                </c:pt>
                <c:pt idx="180">
                  <c:v>-6.5466448445171853E-3</c:v>
                </c:pt>
                <c:pt idx="181">
                  <c:v>5.0223582019298656E-2</c:v>
                </c:pt>
                <c:pt idx="182">
                  <c:v>-1.2220628660212741E-2</c:v>
                </c:pt>
                <c:pt idx="183">
                  <c:v>-1.7287274267219214E-2</c:v>
                </c:pt>
                <c:pt idx="184">
                  <c:v>-1.5544440169295883E-3</c:v>
                </c:pt>
                <c:pt idx="185">
                  <c:v>4.3160588217159418E-4</c:v>
                </c:pt>
                <c:pt idx="186">
                  <c:v>2.100089365504915E-2</c:v>
                </c:pt>
                <c:pt idx="187">
                  <c:v>-1.3159284690258809E-2</c:v>
                </c:pt>
                <c:pt idx="188">
                  <c:v>-6.4074136375453028E-3</c:v>
                </c:pt>
                <c:pt idx="189">
                  <c:v>7.5722596731000093E-3</c:v>
                </c:pt>
                <c:pt idx="190">
                  <c:v>4.0173525188647544E-2</c:v>
                </c:pt>
                <c:pt idx="191">
                  <c:v>4.5817669172932328E-3</c:v>
                </c:pt>
                <c:pt idx="192">
                  <c:v>-2.6897438896035551E-2</c:v>
                </c:pt>
                <c:pt idx="193">
                  <c:v>-6.3093378199735606E-4</c:v>
                </c:pt>
                <c:pt idx="194">
                  <c:v>4.2795298078946574E-2</c:v>
                </c:pt>
                <c:pt idx="195">
                  <c:v>-1.340579187868479E-2</c:v>
                </c:pt>
                <c:pt idx="196">
                  <c:v>-1.0066770889645398E-2</c:v>
                </c:pt>
                <c:pt idx="197">
                  <c:v>1.50544617291968E-3</c:v>
                </c:pt>
                <c:pt idx="198">
                  <c:v>-2.5259372789436452E-2</c:v>
                </c:pt>
                <c:pt idx="199">
                  <c:v>-3.459224093616764E-2</c:v>
                </c:pt>
                <c:pt idx="200">
                  <c:v>-7.0849124565414853E-2</c:v>
                </c:pt>
                <c:pt idx="201">
                  <c:v>2.4085622787797068E-2</c:v>
                </c:pt>
                <c:pt idx="202">
                  <c:v>-8.6357576655310325E-2</c:v>
                </c:pt>
                <c:pt idx="203">
                  <c:v>-0.10776048421962819</c:v>
                </c:pt>
                <c:pt idx="204">
                  <c:v>1.2780133252574197E-2</c:v>
                </c:pt>
                <c:pt idx="205">
                  <c:v>-1.812092578195084E-2</c:v>
                </c:pt>
                <c:pt idx="206">
                  <c:v>-4.3813700410118978E-2</c:v>
                </c:pt>
                <c:pt idx="207">
                  <c:v>3.3038899269577031E-2</c:v>
                </c:pt>
                <c:pt idx="208">
                  <c:v>3.8662336594590153E-2</c:v>
                </c:pt>
                <c:pt idx="209">
                  <c:v>8.9248609819325992E-3</c:v>
                </c:pt>
                <c:pt idx="210">
                  <c:v>-2.1261572257963282E-2</c:v>
                </c:pt>
                <c:pt idx="211">
                  <c:v>6.2805611222444893E-2</c:v>
                </c:pt>
                <c:pt idx="212">
                  <c:v>-1.9911754723384998E-2</c:v>
                </c:pt>
                <c:pt idx="213">
                  <c:v>1.5256454653892032E-2</c:v>
                </c:pt>
                <c:pt idx="214">
                  <c:v>3.4962384643080477E-2</c:v>
                </c:pt>
                <c:pt idx="215">
                  <c:v>-4.183755675992383E-2</c:v>
                </c:pt>
                <c:pt idx="216">
                  <c:v>2.2109266018230111E-2</c:v>
                </c:pt>
                <c:pt idx="217">
                  <c:v>5.6068650912354176E-2</c:v>
                </c:pt>
                <c:pt idx="218">
                  <c:v>-7.4424203799104222E-2</c:v>
                </c:pt>
                <c:pt idx="219">
                  <c:v>9.5231719679436916E-2</c:v>
                </c:pt>
                <c:pt idx="220">
                  <c:v>4.0917187663721141E-2</c:v>
                </c:pt>
                <c:pt idx="221">
                  <c:v>-5.2529150239073903E-2</c:v>
                </c:pt>
                <c:pt idx="222">
                  <c:v>3.098771115911747E-2</c:v>
                </c:pt>
                <c:pt idx="223">
                  <c:v>3.2804341852157186E-2</c:v>
                </c:pt>
                <c:pt idx="224">
                  <c:v>-4.415139521734792E-2</c:v>
                </c:pt>
                <c:pt idx="225">
                  <c:v>5.090554811322396E-2</c:v>
                </c:pt>
                <c:pt idx="226">
                  <c:v>2.5395248737687278E-2</c:v>
                </c:pt>
                <c:pt idx="227">
                  <c:v>-1.5757438770403139E-2</c:v>
                </c:pt>
                <c:pt idx="228">
                  <c:v>-3.0920394337549006E-2</c:v>
                </c:pt>
                <c:pt idx="229">
                  <c:v>5.787264294661295E-2</c:v>
                </c:pt>
                <c:pt idx="230">
                  <c:v>-1.4960718114469494E-2</c:v>
                </c:pt>
                <c:pt idx="231">
                  <c:v>3.4907897729118613E-2</c:v>
                </c:pt>
                <c:pt idx="232">
                  <c:v>6.2783506772770797E-4</c:v>
                </c:pt>
                <c:pt idx="233">
                  <c:v>1.5764458596727895E-2</c:v>
                </c:pt>
                <c:pt idx="234">
                  <c:v>-4.5092346655136208E-3</c:v>
                </c:pt>
                <c:pt idx="235">
                  <c:v>1.7327500620501365E-2</c:v>
                </c:pt>
                <c:pt idx="236">
                  <c:v>2.8148396639270521E-2</c:v>
                </c:pt>
                <c:pt idx="237">
                  <c:v>-4.1036973319293457E-2</c:v>
                </c:pt>
                <c:pt idx="238">
                  <c:v>6.527992576554284E-2</c:v>
                </c:pt>
                <c:pt idx="239">
                  <c:v>-1.9686125346612272E-2</c:v>
                </c:pt>
                <c:pt idx="240">
                  <c:v>3.776379118844872E-2</c:v>
                </c:pt>
                <c:pt idx="241">
                  <c:v>-5.0802711380663577E-3</c:v>
                </c:pt>
                <c:pt idx="242">
                  <c:v>-2.9747988353246605E-2</c:v>
                </c:pt>
                <c:pt idx="243">
                  <c:v>2.2721561090989727E-2</c:v>
                </c:pt>
                <c:pt idx="244">
                  <c:v>-3.1959180133560749E-2</c:v>
                </c:pt>
                <c:pt idx="245">
                  <c:v>-2.8385420555165668E-2</c:v>
                </c:pt>
                <c:pt idx="246">
                  <c:v>-2.1899492853849699E-2</c:v>
                </c:pt>
                <c:pt idx="247">
                  <c:v>4.5093880116269932E-3</c:v>
                </c:pt>
                <c:pt idx="248">
                  <c:v>3.3144591128073581E-2</c:v>
                </c:pt>
                <c:pt idx="249">
                  <c:v>2.3163918790025887E-3</c:v>
                </c:pt>
                <c:pt idx="250">
                  <c:v>9.6066702918252665E-3</c:v>
                </c:pt>
                <c:pt idx="251">
                  <c:v>4.5466786355475762E-2</c:v>
                </c:pt>
                <c:pt idx="252">
                  <c:v>-5.0344166344681522E-2</c:v>
                </c:pt>
                <c:pt idx="253">
                  <c:v>-6.4797094679103695E-4</c:v>
                </c:pt>
                <c:pt idx="254">
                  <c:v>2.1773877378690552E-2</c:v>
                </c:pt>
                <c:pt idx="255">
                  <c:v>1.8786340426787874E-2</c:v>
                </c:pt>
                <c:pt idx="256">
                  <c:v>4.4615050336785688E-3</c:v>
                </c:pt>
                <c:pt idx="257">
                  <c:v>-4.3652567670853584E-2</c:v>
                </c:pt>
                <c:pt idx="258">
                  <c:v>-5.7753784908619338E-3</c:v>
                </c:pt>
                <c:pt idx="259">
                  <c:v>6.6431073969029164E-3</c:v>
                </c:pt>
                <c:pt idx="260">
                  <c:v>-2.0415542932907444E-2</c:v>
                </c:pt>
                <c:pt idx="261">
                  <c:v>4.6711578688322875E-2</c:v>
                </c:pt>
                <c:pt idx="262">
                  <c:v>-4.0850513570305494E-3</c:v>
                </c:pt>
                <c:pt idx="263">
                  <c:v>6.8166728144596093E-3</c:v>
                </c:pt>
                <c:pt idx="264">
                  <c:v>-1.2471239943139353E-2</c:v>
                </c:pt>
                <c:pt idx="265">
                  <c:v>1.9247321402071648E-2</c:v>
                </c:pt>
                <c:pt idx="266">
                  <c:v>-3.1987536945095582E-2</c:v>
                </c:pt>
                <c:pt idx="267">
                  <c:v>-1.0032187227386217E-2</c:v>
                </c:pt>
                <c:pt idx="268">
                  <c:v>5.7718895759583097E-2</c:v>
                </c:pt>
                <c:pt idx="269">
                  <c:v>-2.5510643799017494E-2</c:v>
                </c:pt>
                <c:pt idx="270">
                  <c:v>9.9053683558857353E-3</c:v>
                </c:pt>
                <c:pt idx="271">
                  <c:v>1.0114721078903582E-2</c:v>
                </c:pt>
                <c:pt idx="272">
                  <c:v>-5.2740329735431385E-2</c:v>
                </c:pt>
                <c:pt idx="273">
                  <c:v>-2.8524795216376589E-2</c:v>
                </c:pt>
                <c:pt idx="274">
                  <c:v>4.1028781383955909E-2</c:v>
                </c:pt>
                <c:pt idx="275">
                  <c:v>-2.2760180995475113E-2</c:v>
                </c:pt>
                <c:pt idx="276">
                  <c:v>-8.6277415073081135E-3</c:v>
                </c:pt>
                <c:pt idx="277">
                  <c:v>7.4729106987171503E-3</c:v>
                </c:pt>
                <c:pt idx="278">
                  <c:v>-5.3622202991717143E-3</c:v>
                </c:pt>
                <c:pt idx="279">
                  <c:v>-2.7483880991221937E-2</c:v>
                </c:pt>
                <c:pt idx="280">
                  <c:v>1.8259952712633396E-2</c:v>
                </c:pt>
                <c:pt idx="281">
                  <c:v>-2.9495285461020727E-3</c:v>
                </c:pt>
                <c:pt idx="282">
                  <c:v>-4.091202341426571E-4</c:v>
                </c:pt>
                <c:pt idx="283">
                  <c:v>-5.3049980322707599E-3</c:v>
                </c:pt>
                <c:pt idx="284">
                  <c:v>-3.038551623726024E-3</c:v>
                </c:pt>
                <c:pt idx="285">
                  <c:v>-1.8223379262175377E-2</c:v>
                </c:pt>
                <c:pt idx="286">
                  <c:v>-1.9968309403699393E-2</c:v>
                </c:pt>
                <c:pt idx="287">
                  <c:v>1.6894065629485425E-2</c:v>
                </c:pt>
                <c:pt idx="288">
                  <c:v>-7.9010983662410571E-3</c:v>
                </c:pt>
                <c:pt idx="289">
                  <c:v>-9.2722812755519218E-3</c:v>
                </c:pt>
                <c:pt idx="290">
                  <c:v>5.6286416981661518E-3</c:v>
                </c:pt>
                <c:pt idx="291">
                  <c:v>-2.2290066312126582E-2</c:v>
                </c:pt>
                <c:pt idx="292">
                  <c:v>7.0510022496054797E-4</c:v>
                </c:pt>
                <c:pt idx="293">
                  <c:v>3.3720305999194737E-3</c:v>
                </c:pt>
                <c:pt idx="294">
                  <c:v>3.1466836094902105E-2</c:v>
                </c:pt>
                <c:pt idx="295">
                  <c:v>-3.8628000842910633E-2</c:v>
                </c:pt>
                <c:pt idx="296">
                  <c:v>7.2502866392392252E-4</c:v>
                </c:pt>
                <c:pt idx="297">
                  <c:v>-1.8028339876328958E-3</c:v>
                </c:pt>
                <c:pt idx="298">
                  <c:v>4.9794071973533185E-3</c:v>
                </c:pt>
                <c:pt idx="299">
                  <c:v>1.4780228085792506E-2</c:v>
                </c:pt>
                <c:pt idx="300">
                  <c:v>5.3128982604809744E-3</c:v>
                </c:pt>
                <c:pt idx="301">
                  <c:v>4.4945670069147185E-3</c:v>
                </c:pt>
                <c:pt idx="302">
                  <c:v>4.8350351564420699E-3</c:v>
                </c:pt>
                <c:pt idx="303">
                  <c:v>1.5658641612840086E-3</c:v>
                </c:pt>
                <c:pt idx="304">
                  <c:v>-1.6709009185069377E-2</c:v>
                </c:pt>
                <c:pt idx="305">
                  <c:v>1.9162608897280466E-2</c:v>
                </c:pt>
                <c:pt idx="306">
                  <c:v>2.7626553993662144E-4</c:v>
                </c:pt>
                <c:pt idx="307">
                  <c:v>4.1200935794125294E-2</c:v>
                </c:pt>
                <c:pt idx="308">
                  <c:v>-6.0073648732992136E-3</c:v>
                </c:pt>
                <c:pt idx="309">
                  <c:v>-9.1047517385366465E-4</c:v>
                </c:pt>
                <c:pt idx="310">
                  <c:v>2.3568230025925053E-3</c:v>
                </c:pt>
                <c:pt idx="311">
                  <c:v>-7.3830237479426287E-3</c:v>
                </c:pt>
                <c:pt idx="312">
                  <c:v>1.2049144084391384E-2</c:v>
                </c:pt>
                <c:pt idx="313">
                  <c:v>-8.3324231123316737E-3</c:v>
                </c:pt>
                <c:pt idx="314">
                  <c:v>2.133652227274873E-2</c:v>
                </c:pt>
                <c:pt idx="315">
                  <c:v>2.0366975303886981E-2</c:v>
                </c:pt>
                <c:pt idx="316">
                  <c:v>1.5340248524105026E-2</c:v>
                </c:pt>
                <c:pt idx="317">
                  <c:v>2.2335568872960877E-2</c:v>
                </c:pt>
                <c:pt idx="318">
                  <c:v>-2.8378594597739604E-2</c:v>
                </c:pt>
                <c:pt idx="319">
                  <c:v>-5.9732327315189081E-3</c:v>
                </c:pt>
                <c:pt idx="320">
                  <c:v>1.0617629783581078E-2</c:v>
                </c:pt>
                <c:pt idx="321">
                  <c:v>-4.1905102527420121E-2</c:v>
                </c:pt>
                <c:pt idx="322">
                  <c:v>9.3635288993965029E-3</c:v>
                </c:pt>
                <c:pt idx="323">
                  <c:v>1.4593028631306439E-2</c:v>
                </c:pt>
                <c:pt idx="324">
                  <c:v>-9.416624899378806E-3</c:v>
                </c:pt>
                <c:pt idx="325">
                  <c:v>1.8950951380690268E-2</c:v>
                </c:pt>
                <c:pt idx="326">
                  <c:v>-1.0834073160088479E-2</c:v>
                </c:pt>
                <c:pt idx="327">
                  <c:v>-7.0888540700062373E-3</c:v>
                </c:pt>
                <c:pt idx="328">
                  <c:v>1.3298402046850823E-2</c:v>
                </c:pt>
                <c:pt idx="329">
                  <c:v>-4.7778164169400804E-3</c:v>
                </c:pt>
                <c:pt idx="330">
                  <c:v>-3.4942193458213696E-3</c:v>
                </c:pt>
                <c:pt idx="331">
                  <c:v>-6.1896848749104323E-3</c:v>
                </c:pt>
                <c:pt idx="332">
                  <c:v>6.9799193090646907E-3</c:v>
                </c:pt>
                <c:pt idx="333">
                  <c:v>-6.9010694372505406E-3</c:v>
                </c:pt>
                <c:pt idx="334">
                  <c:v>-2.2089616346316096E-3</c:v>
                </c:pt>
                <c:pt idx="335">
                  <c:v>1.1069259743254669E-2</c:v>
                </c:pt>
                <c:pt idx="336">
                  <c:v>-1.3380977723713222E-2</c:v>
                </c:pt>
                <c:pt idx="337">
                  <c:v>-1.2052092163057717E-2</c:v>
                </c:pt>
                <c:pt idx="338">
                  <c:v>-6.6003151178571987E-2</c:v>
                </c:pt>
                <c:pt idx="339">
                  <c:v>2.380077498663816E-2</c:v>
                </c:pt>
                <c:pt idx="340">
                  <c:v>4.8990978351305933E-2</c:v>
                </c:pt>
                <c:pt idx="341">
                  <c:v>2.937791601866252E-2</c:v>
                </c:pt>
                <c:pt idx="342">
                  <c:v>2.4203417486289264E-2</c:v>
                </c:pt>
                <c:pt idx="343">
                  <c:v>1.261229366730097E-2</c:v>
                </c:pt>
                <c:pt idx="344">
                  <c:v>1.4276141362934475E-2</c:v>
                </c:pt>
                <c:pt idx="345">
                  <c:v>1.3457616407663804E-2</c:v>
                </c:pt>
                <c:pt idx="346">
                  <c:v>1.4965350112665279E-2</c:v>
                </c:pt>
                <c:pt idx="347">
                  <c:v>1.0709448610005725E-2</c:v>
                </c:pt>
                <c:pt idx="348">
                  <c:v>-3.2602989528361837E-3</c:v>
                </c:pt>
                <c:pt idx="349">
                  <c:v>1.6188496188496188E-2</c:v>
                </c:pt>
                <c:pt idx="350">
                  <c:v>2.7237513298235084E-2</c:v>
                </c:pt>
                <c:pt idx="351">
                  <c:v>5.6695213436898364E-3</c:v>
                </c:pt>
                <c:pt idx="352">
                  <c:v>1.0403739008740196E-2</c:v>
                </c:pt>
                <c:pt idx="353">
                  <c:v>2.6917548673722723E-3</c:v>
                </c:pt>
                <c:pt idx="354">
                  <c:v>6.1248957464553793E-3</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861F-49C3-8AF5-440FA7A07769}"/>
            </c:ext>
          </c:extLst>
        </c:ser>
        <c:dLbls>
          <c:showLegendKey val="0"/>
          <c:showVal val="0"/>
          <c:showCatName val="0"/>
          <c:showSerName val="0"/>
          <c:showPercent val="0"/>
          <c:showBubbleSize val="0"/>
        </c:dLbls>
        <c:gapWidth val="219"/>
        <c:overlap val="-27"/>
        <c:axId val="504147584"/>
        <c:axId val="504147976"/>
      </c:barChart>
      <c:dateAx>
        <c:axId val="504147584"/>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47976"/>
        <c:crosses val="autoZero"/>
        <c:auto val="1"/>
        <c:lblOffset val="100"/>
        <c:baseTimeUnit val="months"/>
      </c:dateAx>
      <c:valAx>
        <c:axId val="50414797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47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'New Orders ex Aircraft'!$C$5</c:f>
              <c:strCache>
                <c:ptCount val="1"/>
                <c:pt idx="0">
                  <c:v>mom %</c:v>
                </c:pt>
              </c:strCache>
            </c:strRef>
          </c:tx>
          <c:spPr>
            <a:solidFill>
              <a:srgbClr val="92D050"/>
            </a:solidFill>
            <a:ln w="6350">
              <a:solidFill>
                <a:schemeClr val="tx1"/>
              </a:solidFill>
            </a:ln>
            <a:effectLst/>
          </c:spPr>
          <c:invertIfNegative val="1"/>
          <c:cat>
            <c:numRef>
              <c:f>'New Orders ex Aircraft'!$A$251:$A$350</c:f>
              <c:numCache>
                <c:formatCode>m/d/yy</c:formatCode>
                <c:ptCount val="100"/>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numCache>
            </c:numRef>
          </c:cat>
          <c:val>
            <c:numRef>
              <c:f>'New Orders ex Aircraft'!$C$251:$C$350</c:f>
              <c:numCache>
                <c:formatCode>0.0%</c:formatCode>
                <c:ptCount val="100"/>
                <c:pt idx="0">
                  <c:v>-2.8385420555165668E-2</c:v>
                </c:pt>
                <c:pt idx="1">
                  <c:v>-2.1899492853849699E-2</c:v>
                </c:pt>
                <c:pt idx="2">
                  <c:v>4.5093880116269932E-3</c:v>
                </c:pt>
                <c:pt idx="3">
                  <c:v>3.3144591128073581E-2</c:v>
                </c:pt>
                <c:pt idx="4">
                  <c:v>2.3163918790025887E-3</c:v>
                </c:pt>
                <c:pt idx="5">
                  <c:v>9.6066702918252665E-3</c:v>
                </c:pt>
                <c:pt idx="6">
                  <c:v>4.5466786355475762E-2</c:v>
                </c:pt>
                <c:pt idx="7">
                  <c:v>-5.0344166344681522E-2</c:v>
                </c:pt>
                <c:pt idx="8">
                  <c:v>-6.4797094679103695E-4</c:v>
                </c:pt>
                <c:pt idx="9">
                  <c:v>2.1773877378690552E-2</c:v>
                </c:pt>
                <c:pt idx="10">
                  <c:v>1.8786340426787874E-2</c:v>
                </c:pt>
                <c:pt idx="11">
                  <c:v>4.4615050336785688E-3</c:v>
                </c:pt>
                <c:pt idx="12">
                  <c:v>-4.3652567670853584E-2</c:v>
                </c:pt>
                <c:pt idx="13">
                  <c:v>-5.7753784908619338E-3</c:v>
                </c:pt>
                <c:pt idx="14">
                  <c:v>6.6431073969029164E-3</c:v>
                </c:pt>
                <c:pt idx="15">
                  <c:v>-2.0415542932907444E-2</c:v>
                </c:pt>
                <c:pt idx="16">
                  <c:v>4.6711578688322875E-2</c:v>
                </c:pt>
                <c:pt idx="17">
                  <c:v>-4.0850513570305494E-3</c:v>
                </c:pt>
                <c:pt idx="18">
                  <c:v>6.8166728144596093E-3</c:v>
                </c:pt>
                <c:pt idx="19">
                  <c:v>-1.2471239943139353E-2</c:v>
                </c:pt>
                <c:pt idx="20">
                  <c:v>1.9247321402071648E-2</c:v>
                </c:pt>
                <c:pt idx="21">
                  <c:v>-3.1987536945095582E-2</c:v>
                </c:pt>
                <c:pt idx="22">
                  <c:v>-1.0032187227386217E-2</c:v>
                </c:pt>
                <c:pt idx="23">
                  <c:v>5.7718895759583097E-2</c:v>
                </c:pt>
                <c:pt idx="24">
                  <c:v>-2.5510643799017494E-2</c:v>
                </c:pt>
                <c:pt idx="25">
                  <c:v>9.9053683558857353E-3</c:v>
                </c:pt>
                <c:pt idx="26">
                  <c:v>1.0114721078903582E-2</c:v>
                </c:pt>
                <c:pt idx="27">
                  <c:v>-5.2740329735431385E-2</c:v>
                </c:pt>
                <c:pt idx="28">
                  <c:v>-2.8524795216376589E-2</c:v>
                </c:pt>
                <c:pt idx="29">
                  <c:v>4.1028781383955909E-2</c:v>
                </c:pt>
                <c:pt idx="30">
                  <c:v>-2.2760180995475113E-2</c:v>
                </c:pt>
                <c:pt idx="31">
                  <c:v>-8.6277415073081135E-3</c:v>
                </c:pt>
                <c:pt idx="32">
                  <c:v>7.4729106987171503E-3</c:v>
                </c:pt>
                <c:pt idx="33">
                  <c:v>-5.3622202991717143E-3</c:v>
                </c:pt>
                <c:pt idx="34">
                  <c:v>-2.7483880991221937E-2</c:v>
                </c:pt>
                <c:pt idx="35">
                  <c:v>1.8259952712633396E-2</c:v>
                </c:pt>
                <c:pt idx="36">
                  <c:v>-2.9495285461020727E-3</c:v>
                </c:pt>
                <c:pt idx="37">
                  <c:v>-4.091202341426571E-4</c:v>
                </c:pt>
                <c:pt idx="38">
                  <c:v>-5.3049980322707599E-3</c:v>
                </c:pt>
                <c:pt idx="39">
                  <c:v>-3.038551623726024E-3</c:v>
                </c:pt>
                <c:pt idx="40">
                  <c:v>-1.8223379262175377E-2</c:v>
                </c:pt>
                <c:pt idx="41">
                  <c:v>-1.9968309403699393E-2</c:v>
                </c:pt>
                <c:pt idx="42">
                  <c:v>1.6894065629485425E-2</c:v>
                </c:pt>
                <c:pt idx="43">
                  <c:v>-7.9010983662410571E-3</c:v>
                </c:pt>
                <c:pt idx="44">
                  <c:v>-9.2722812755519218E-3</c:v>
                </c:pt>
                <c:pt idx="45">
                  <c:v>5.6286416981661518E-3</c:v>
                </c:pt>
                <c:pt idx="46">
                  <c:v>-2.2290066312126582E-2</c:v>
                </c:pt>
                <c:pt idx="47">
                  <c:v>7.0510022496054797E-4</c:v>
                </c:pt>
                <c:pt idx="48">
                  <c:v>3.3720305999194737E-3</c:v>
                </c:pt>
                <c:pt idx="49">
                  <c:v>3.1466836094902105E-2</c:v>
                </c:pt>
                <c:pt idx="50">
                  <c:v>-3.8628000842910633E-2</c:v>
                </c:pt>
                <c:pt idx="51">
                  <c:v>7.2502866392392252E-4</c:v>
                </c:pt>
                <c:pt idx="52">
                  <c:v>-1.8028339876328958E-3</c:v>
                </c:pt>
                <c:pt idx="53">
                  <c:v>4.9794071973533185E-3</c:v>
                </c:pt>
                <c:pt idx="54">
                  <c:v>1.4780228085792506E-2</c:v>
                </c:pt>
                <c:pt idx="55">
                  <c:v>5.3128982604809744E-3</c:v>
                </c:pt>
                <c:pt idx="56">
                  <c:v>4.4945670069147185E-3</c:v>
                </c:pt>
                <c:pt idx="57">
                  <c:v>4.8350351564420699E-3</c:v>
                </c:pt>
                <c:pt idx="58">
                  <c:v>1.5658641612840086E-3</c:v>
                </c:pt>
                <c:pt idx="59">
                  <c:v>-1.6709009185069377E-2</c:v>
                </c:pt>
                <c:pt idx="60">
                  <c:v>1.9162608897280466E-2</c:v>
                </c:pt>
                <c:pt idx="61">
                  <c:v>2.7626553993662144E-4</c:v>
                </c:pt>
                <c:pt idx="62">
                  <c:v>4.1200935794125294E-2</c:v>
                </c:pt>
                <c:pt idx="63">
                  <c:v>-6.0073648732992136E-3</c:v>
                </c:pt>
                <c:pt idx="64">
                  <c:v>-9.1047517385366465E-4</c:v>
                </c:pt>
                <c:pt idx="65">
                  <c:v>2.3568230025925053E-3</c:v>
                </c:pt>
                <c:pt idx="66">
                  <c:v>-7.3830237479426287E-3</c:v>
                </c:pt>
                <c:pt idx="67">
                  <c:v>1.2049144084391384E-2</c:v>
                </c:pt>
                <c:pt idx="68">
                  <c:v>-8.3324231123316737E-3</c:v>
                </c:pt>
                <c:pt idx="69">
                  <c:v>2.133652227274873E-2</c:v>
                </c:pt>
                <c:pt idx="70">
                  <c:v>2.0366975303886981E-2</c:v>
                </c:pt>
                <c:pt idx="71">
                  <c:v>1.5340248524105026E-2</c:v>
                </c:pt>
                <c:pt idx="72">
                  <c:v>2.2335568872960877E-2</c:v>
                </c:pt>
                <c:pt idx="73">
                  <c:v>-2.8378594597739604E-2</c:v>
                </c:pt>
                <c:pt idx="74">
                  <c:v>-5.9732327315189081E-3</c:v>
                </c:pt>
                <c:pt idx="75">
                  <c:v>1.0617629783581078E-2</c:v>
                </c:pt>
                <c:pt idx="76">
                  <c:v>-4.1905102527420121E-2</c:v>
                </c:pt>
                <c:pt idx="77">
                  <c:v>9.3635288993965029E-3</c:v>
                </c:pt>
                <c:pt idx="78">
                  <c:v>1.4593028631306439E-2</c:v>
                </c:pt>
                <c:pt idx="79">
                  <c:v>-9.416624899378806E-3</c:v>
                </c:pt>
                <c:pt idx="80">
                  <c:v>1.8950951380690268E-2</c:v>
                </c:pt>
                <c:pt idx="81">
                  <c:v>-1.0834073160088479E-2</c:v>
                </c:pt>
                <c:pt idx="82">
                  <c:v>-7.0888540700062373E-3</c:v>
                </c:pt>
                <c:pt idx="83">
                  <c:v>1.3298402046850823E-2</c:v>
                </c:pt>
                <c:pt idx="84">
                  <c:v>-4.7778164169400804E-3</c:v>
                </c:pt>
                <c:pt idx="85">
                  <c:v>-3.4942193458213696E-3</c:v>
                </c:pt>
                <c:pt idx="86">
                  <c:v>-6.1896848749104323E-3</c:v>
                </c:pt>
                <c:pt idx="87">
                  <c:v>6.9799193090646907E-3</c:v>
                </c:pt>
                <c:pt idx="88">
                  <c:v>-6.9010694372505406E-3</c:v>
                </c:pt>
                <c:pt idx="89">
                  <c:v>-2.2089616346316096E-3</c:v>
                </c:pt>
                <c:pt idx="90">
                  <c:v>1.1069259743254669E-2</c:v>
                </c:pt>
                <c:pt idx="91">
                  <c:v>-1.3380977723713222E-2</c:v>
                </c:pt>
                <c:pt idx="92">
                  <c:v>-1.2052092163057717E-2</c:v>
                </c:pt>
                <c:pt idx="93">
                  <c:v>-6.6003151178571987E-2</c:v>
                </c:pt>
                <c:pt idx="94">
                  <c:v>2.380077498663816E-2</c:v>
                </c:pt>
                <c:pt idx="95">
                  <c:v>4.8990978351305933E-2</c:v>
                </c:pt>
                <c:pt idx="96">
                  <c:v>2.937791601866252E-2</c:v>
                </c:pt>
                <c:pt idx="97">
                  <c:v>2.4203417486289264E-2</c:v>
                </c:pt>
                <c:pt idx="98">
                  <c:v>1.261229366730097E-2</c:v>
                </c:pt>
                <c:pt idx="99">
                  <c:v>1.4276141362934475E-2</c:v>
                </c:pt>
              </c:numCache>
            </c:numRef>
          </c:val>
          <c:extLst>
            <c:ext xmlns:c14="http://schemas.microsoft.com/office/drawing/2007/8/2/chart" uri="{6F2FDCE9-48DA-4B69-8628-5D25D57E5C99}">
              <c14:invertSolidFillFmt>
                <c14:spPr xmlns:c14="http://schemas.microsoft.com/office/drawing/2007/8/2/chart">
                  <a:solidFill>
                    <a:srgbClr val="FF0000"/>
                  </a:solidFill>
                  <a:ln w="6350">
                    <a:solidFill>
                      <a:schemeClr val="tx1"/>
                    </a:solidFill>
                  </a:ln>
                  <a:effectLst/>
                </c14:spPr>
              </c14:invertSolidFillFmt>
            </c:ext>
            <c:ext xmlns:c16="http://schemas.microsoft.com/office/drawing/2014/chart" uri="{C3380CC4-5D6E-409C-BE32-E72D297353CC}">
              <c16:uniqueId val="{00000000-5227-429F-A1FD-520D37B4369C}"/>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50720"/>
        <c:crosses val="autoZero"/>
        <c:auto val="1"/>
        <c:lblOffset val="100"/>
        <c:baseTimeUnit val="months"/>
        <c:majorUnit val="6"/>
        <c:majorTimeUnit val="months"/>
      </c:dateAx>
      <c:valAx>
        <c:axId val="50415072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'New Orders'!$B$5</c:f>
              <c:strCache>
                <c:ptCount val="1"/>
                <c:pt idx="0">
                  <c:v>Manufacturers' New Orders: Durable Goods</c:v>
                </c:pt>
              </c:strCache>
            </c:strRef>
          </c:tx>
          <c:spPr>
            <a:ln w="28575" cap="rnd">
              <a:solidFill>
                <a:schemeClr val="accent1"/>
              </a:solidFill>
              <a:round/>
            </a:ln>
            <a:effectLst/>
          </c:spPr>
          <c:marker>
            <c:symbol val="none"/>
          </c:marker>
          <c:cat>
            <c:numRef>
              <c:f>'New Orders'!$A$6:$A$350</c:f>
              <c:numCache>
                <c:formatCode>m/d/yy</c:formatCode>
                <c:ptCount val="345"/>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numCache>
            </c:numRef>
          </c:cat>
          <c:val>
            <c:numRef>
              <c:f>'New Orders'!$B$6:$B$350</c:f>
              <c:numCache>
                <c:formatCode>#,##0</c:formatCode>
                <c:ptCount val="345"/>
                <c:pt idx="0">
                  <c:v>114535</c:v>
                </c:pt>
                <c:pt idx="1">
                  <c:v>120025</c:v>
                </c:pt>
                <c:pt idx="2">
                  <c:v>124470</c:v>
                </c:pt>
                <c:pt idx="3">
                  <c:v>125822</c:v>
                </c:pt>
                <c:pt idx="4">
                  <c:v>122834</c:v>
                </c:pt>
                <c:pt idx="5">
                  <c:v>122590</c:v>
                </c:pt>
                <c:pt idx="6">
                  <c:v>120411</c:v>
                </c:pt>
                <c:pt idx="7">
                  <c:v>120711</c:v>
                </c:pt>
                <c:pt idx="8">
                  <c:v>127392</c:v>
                </c:pt>
                <c:pt idx="9">
                  <c:v>122374</c:v>
                </c:pt>
                <c:pt idx="10">
                  <c:v>126080</c:v>
                </c:pt>
                <c:pt idx="11">
                  <c:v>121637</c:v>
                </c:pt>
                <c:pt idx="12">
                  <c:v>128854</c:v>
                </c:pt>
                <c:pt idx="13">
                  <c:v>126762</c:v>
                </c:pt>
                <c:pt idx="14">
                  <c:v>127395</c:v>
                </c:pt>
                <c:pt idx="15">
                  <c:v>126529</c:v>
                </c:pt>
                <c:pt idx="16">
                  <c:v>130212</c:v>
                </c:pt>
                <c:pt idx="17">
                  <c:v>128111</c:v>
                </c:pt>
                <c:pt idx="18">
                  <c:v>129378</c:v>
                </c:pt>
                <c:pt idx="19">
                  <c:v>127233</c:v>
                </c:pt>
                <c:pt idx="20">
                  <c:v>133168</c:v>
                </c:pt>
                <c:pt idx="21">
                  <c:v>130391</c:v>
                </c:pt>
                <c:pt idx="22">
                  <c:v>133565</c:v>
                </c:pt>
                <c:pt idx="23">
                  <c:v>138498</c:v>
                </c:pt>
                <c:pt idx="24">
                  <c:v>137141</c:v>
                </c:pt>
                <c:pt idx="25">
                  <c:v>136548</c:v>
                </c:pt>
                <c:pt idx="26">
                  <c:v>140336</c:v>
                </c:pt>
                <c:pt idx="27">
                  <c:v>142630</c:v>
                </c:pt>
                <c:pt idx="28">
                  <c:v>145063</c:v>
                </c:pt>
                <c:pt idx="29">
                  <c:v>145013</c:v>
                </c:pt>
                <c:pt idx="30">
                  <c:v>145884</c:v>
                </c:pt>
                <c:pt idx="31">
                  <c:v>145487</c:v>
                </c:pt>
                <c:pt idx="32">
                  <c:v>149547</c:v>
                </c:pt>
                <c:pt idx="33">
                  <c:v>150038</c:v>
                </c:pt>
                <c:pt idx="34">
                  <c:v>152489</c:v>
                </c:pt>
                <c:pt idx="35">
                  <c:v>150459</c:v>
                </c:pt>
                <c:pt idx="36">
                  <c:v>153856</c:v>
                </c:pt>
                <c:pt idx="37">
                  <c:v>152888</c:v>
                </c:pt>
                <c:pt idx="38">
                  <c:v>151401</c:v>
                </c:pt>
                <c:pt idx="39">
                  <c:v>152838</c:v>
                </c:pt>
                <c:pt idx="40">
                  <c:v>150051</c:v>
                </c:pt>
                <c:pt idx="41">
                  <c:v>148915</c:v>
                </c:pt>
                <c:pt idx="42">
                  <c:v>154372</c:v>
                </c:pt>
                <c:pt idx="43">
                  <c:v>160175</c:v>
                </c:pt>
                <c:pt idx="44">
                  <c:v>155473</c:v>
                </c:pt>
                <c:pt idx="45">
                  <c:v>156146</c:v>
                </c:pt>
                <c:pt idx="46">
                  <c:v>163279</c:v>
                </c:pt>
                <c:pt idx="47">
                  <c:v>155806</c:v>
                </c:pt>
                <c:pt idx="48">
                  <c:v>150773</c:v>
                </c:pt>
                <c:pt idx="49">
                  <c:v>164976</c:v>
                </c:pt>
                <c:pt idx="50">
                  <c:v>156830</c:v>
                </c:pt>
                <c:pt idx="51">
                  <c:v>164502</c:v>
                </c:pt>
                <c:pt idx="52">
                  <c:v>164599</c:v>
                </c:pt>
                <c:pt idx="53">
                  <c:v>163588</c:v>
                </c:pt>
                <c:pt idx="54">
                  <c:v>157310</c:v>
                </c:pt>
                <c:pt idx="55">
                  <c:v>165442</c:v>
                </c:pt>
                <c:pt idx="56">
                  <c:v>165266</c:v>
                </c:pt>
                <c:pt idx="57">
                  <c:v>170783</c:v>
                </c:pt>
                <c:pt idx="58">
                  <c:v>162332</c:v>
                </c:pt>
                <c:pt idx="59">
                  <c:v>161827</c:v>
                </c:pt>
                <c:pt idx="60">
                  <c:v>170221</c:v>
                </c:pt>
                <c:pt idx="61">
                  <c:v>167568</c:v>
                </c:pt>
                <c:pt idx="62">
                  <c:v>174054</c:v>
                </c:pt>
                <c:pt idx="63">
                  <c:v>168586</c:v>
                </c:pt>
                <c:pt idx="64">
                  <c:v>174828</c:v>
                </c:pt>
                <c:pt idx="65">
                  <c:v>178860</c:v>
                </c:pt>
                <c:pt idx="66">
                  <c:v>177302</c:v>
                </c:pt>
                <c:pt idx="67">
                  <c:v>177835</c:v>
                </c:pt>
                <c:pt idx="68">
                  <c:v>177801</c:v>
                </c:pt>
                <c:pt idx="69">
                  <c:v>191187</c:v>
                </c:pt>
                <c:pt idx="70">
                  <c:v>173770</c:v>
                </c:pt>
                <c:pt idx="71">
                  <c:v>174288</c:v>
                </c:pt>
                <c:pt idx="72">
                  <c:v>181270</c:v>
                </c:pt>
                <c:pt idx="73">
                  <c:v>176886</c:v>
                </c:pt>
                <c:pt idx="74">
                  <c:v>180915</c:v>
                </c:pt>
                <c:pt idx="75">
                  <c:v>180634</c:v>
                </c:pt>
                <c:pt idx="76">
                  <c:v>172189</c:v>
                </c:pt>
                <c:pt idx="77">
                  <c:v>170459</c:v>
                </c:pt>
                <c:pt idx="78">
                  <c:v>179033</c:v>
                </c:pt>
                <c:pt idx="79">
                  <c:v>181422</c:v>
                </c:pt>
                <c:pt idx="80">
                  <c:v>178527</c:v>
                </c:pt>
                <c:pt idx="81">
                  <c:v>182400</c:v>
                </c:pt>
                <c:pt idx="82">
                  <c:v>178424</c:v>
                </c:pt>
                <c:pt idx="83">
                  <c:v>186527</c:v>
                </c:pt>
                <c:pt idx="84">
                  <c:v>185546</c:v>
                </c:pt>
                <c:pt idx="85">
                  <c:v>184689</c:v>
                </c:pt>
                <c:pt idx="86">
                  <c:v>182993</c:v>
                </c:pt>
                <c:pt idx="87">
                  <c:v>185963</c:v>
                </c:pt>
                <c:pt idx="88">
                  <c:v>182590</c:v>
                </c:pt>
                <c:pt idx="89">
                  <c:v>189083</c:v>
                </c:pt>
                <c:pt idx="90">
                  <c:v>189414</c:v>
                </c:pt>
                <c:pt idx="91">
                  <c:v>188910</c:v>
                </c:pt>
                <c:pt idx="92">
                  <c:v>194547</c:v>
                </c:pt>
                <c:pt idx="93">
                  <c:v>186597</c:v>
                </c:pt>
                <c:pt idx="94">
                  <c:v>196344</c:v>
                </c:pt>
                <c:pt idx="95">
                  <c:v>201360</c:v>
                </c:pt>
                <c:pt idx="96">
                  <c:v>183911</c:v>
                </c:pt>
                <c:pt idx="97">
                  <c:v>192130</c:v>
                </c:pt>
                <c:pt idx="98">
                  <c:v>195044</c:v>
                </c:pt>
                <c:pt idx="99">
                  <c:v>188606</c:v>
                </c:pt>
                <c:pt idx="100">
                  <c:v>219745</c:v>
                </c:pt>
                <c:pt idx="101">
                  <c:v>189265</c:v>
                </c:pt>
                <c:pt idx="102">
                  <c:v>188730</c:v>
                </c:pt>
                <c:pt idx="103">
                  <c:v>199947</c:v>
                </c:pt>
                <c:pt idx="104">
                  <c:v>186158</c:v>
                </c:pt>
                <c:pt idx="105">
                  <c:v>189392</c:v>
                </c:pt>
                <c:pt idx="106">
                  <c:v>188659</c:v>
                </c:pt>
                <c:pt idx="107">
                  <c:v>177056</c:v>
                </c:pt>
                <c:pt idx="108">
                  <c:v>180276</c:v>
                </c:pt>
                <c:pt idx="109">
                  <c:v>182209</c:v>
                </c:pt>
                <c:pt idx="110">
                  <c:v>171850</c:v>
                </c:pt>
                <c:pt idx="111">
                  <c:v>177749</c:v>
                </c:pt>
                <c:pt idx="112">
                  <c:v>176350</c:v>
                </c:pt>
                <c:pt idx="113">
                  <c:v>170129</c:v>
                </c:pt>
                <c:pt idx="114">
                  <c:v>170484</c:v>
                </c:pt>
                <c:pt idx="115">
                  <c:v>164123</c:v>
                </c:pt>
                <c:pt idx="116">
                  <c:v>171530</c:v>
                </c:pt>
                <c:pt idx="117">
                  <c:v>163811</c:v>
                </c:pt>
                <c:pt idx="118">
                  <c:v>165304</c:v>
                </c:pt>
                <c:pt idx="119">
                  <c:v>163324</c:v>
                </c:pt>
                <c:pt idx="120">
                  <c:v>172406</c:v>
                </c:pt>
                <c:pt idx="121">
                  <c:v>167853</c:v>
                </c:pt>
                <c:pt idx="122">
                  <c:v>171852</c:v>
                </c:pt>
                <c:pt idx="123">
                  <c:v>171854</c:v>
                </c:pt>
                <c:pt idx="124">
                  <c:v>166070</c:v>
                </c:pt>
                <c:pt idx="125">
                  <c:v>174282</c:v>
                </c:pt>
                <c:pt idx="126">
                  <c:v>177126</c:v>
                </c:pt>
                <c:pt idx="127">
                  <c:v>166838</c:v>
                </c:pt>
                <c:pt idx="128">
                  <c:v>169134</c:v>
                </c:pt>
                <c:pt idx="129">
                  <c:v>170023</c:v>
                </c:pt>
                <c:pt idx="130">
                  <c:v>163962</c:v>
                </c:pt>
                <c:pt idx="131">
                  <c:v>169994</c:v>
                </c:pt>
                <c:pt idx="132">
                  <c:v>174113</c:v>
                </c:pt>
                <c:pt idx="133">
                  <c:v>172245</c:v>
                </c:pt>
                <c:pt idx="134">
                  <c:v>169347</c:v>
                </c:pt>
                <c:pt idx="135">
                  <c:v>171542</c:v>
                </c:pt>
                <c:pt idx="136">
                  <c:v>173507</c:v>
                </c:pt>
                <c:pt idx="137">
                  <c:v>173320</c:v>
                </c:pt>
                <c:pt idx="138">
                  <c:v>173044</c:v>
                </c:pt>
                <c:pt idx="139">
                  <c:v>178690</c:v>
                </c:pt>
                <c:pt idx="140">
                  <c:v>183704</c:v>
                </c:pt>
                <c:pt idx="141">
                  <c:v>181685</c:v>
                </c:pt>
                <c:pt idx="142">
                  <c:v>181513</c:v>
                </c:pt>
                <c:pt idx="143">
                  <c:v>178696</c:v>
                </c:pt>
                <c:pt idx="144">
                  <c:v>181662</c:v>
                </c:pt>
                <c:pt idx="145">
                  <c:v>190869</c:v>
                </c:pt>
                <c:pt idx="146">
                  <c:v>184368</c:v>
                </c:pt>
                <c:pt idx="147">
                  <c:v>183459</c:v>
                </c:pt>
                <c:pt idx="148">
                  <c:v>185640</c:v>
                </c:pt>
                <c:pt idx="149">
                  <c:v>186835</c:v>
                </c:pt>
                <c:pt idx="150">
                  <c:v>183728</c:v>
                </c:pt>
                <c:pt idx="151">
                  <c:v>188444</c:v>
                </c:pt>
                <c:pt idx="152">
                  <c:v>185187</c:v>
                </c:pt>
                <c:pt idx="153">
                  <c:v>192545</c:v>
                </c:pt>
                <c:pt idx="154">
                  <c:v>193578</c:v>
                </c:pt>
                <c:pt idx="155">
                  <c:v>194875</c:v>
                </c:pt>
                <c:pt idx="156">
                  <c:v>196475</c:v>
                </c:pt>
                <c:pt idx="157">
                  <c:v>186608</c:v>
                </c:pt>
                <c:pt idx="158">
                  <c:v>194847</c:v>
                </c:pt>
                <c:pt idx="159">
                  <c:v>206623</c:v>
                </c:pt>
                <c:pt idx="160">
                  <c:v>210020</c:v>
                </c:pt>
                <c:pt idx="161">
                  <c:v>194475</c:v>
                </c:pt>
                <c:pt idx="162">
                  <c:v>204839</c:v>
                </c:pt>
                <c:pt idx="163">
                  <c:v>203997</c:v>
                </c:pt>
                <c:pt idx="164">
                  <c:v>209901</c:v>
                </c:pt>
                <c:pt idx="165">
                  <c:v>220733</c:v>
                </c:pt>
                <c:pt idx="166">
                  <c:v>221499</c:v>
                </c:pt>
                <c:pt idx="167">
                  <c:v>209540</c:v>
                </c:pt>
                <c:pt idx="168">
                  <c:v>219738</c:v>
                </c:pt>
                <c:pt idx="169">
                  <c:v>227188</c:v>
                </c:pt>
                <c:pt idx="170">
                  <c:v>214625</c:v>
                </c:pt>
                <c:pt idx="171">
                  <c:v>215819</c:v>
                </c:pt>
                <c:pt idx="172">
                  <c:v>221220</c:v>
                </c:pt>
                <c:pt idx="173">
                  <c:v>209494</c:v>
                </c:pt>
                <c:pt idx="174">
                  <c:v>210473</c:v>
                </c:pt>
                <c:pt idx="175">
                  <c:v>234701</c:v>
                </c:pt>
                <c:pt idx="176">
                  <c:v>216952</c:v>
                </c:pt>
                <c:pt idx="177">
                  <c:v>224809</c:v>
                </c:pt>
                <c:pt idx="178">
                  <c:v>229243</c:v>
                </c:pt>
                <c:pt idx="179">
                  <c:v>222969</c:v>
                </c:pt>
                <c:pt idx="180">
                  <c:v>220962</c:v>
                </c:pt>
                <c:pt idx="181">
                  <c:v>229526</c:v>
                </c:pt>
                <c:pt idx="182">
                  <c:v>233420</c:v>
                </c:pt>
                <c:pt idx="183">
                  <c:v>228836</c:v>
                </c:pt>
                <c:pt idx="184">
                  <c:v>228868</c:v>
                </c:pt>
                <c:pt idx="185">
                  <c:v>233176</c:v>
                </c:pt>
                <c:pt idx="186">
                  <c:v>235758</c:v>
                </c:pt>
                <c:pt idx="187">
                  <c:v>226473</c:v>
                </c:pt>
                <c:pt idx="188">
                  <c:v>230700</c:v>
                </c:pt>
                <c:pt idx="189">
                  <c:v>227005</c:v>
                </c:pt>
                <c:pt idx="190">
                  <c:v>244443</c:v>
                </c:pt>
                <c:pt idx="191">
                  <c:v>239389</c:v>
                </c:pt>
                <c:pt idx="192">
                  <c:v>235037</c:v>
                </c:pt>
                <c:pt idx="193">
                  <c:v>234868</c:v>
                </c:pt>
                <c:pt idx="194">
                  <c:v>231086</c:v>
                </c:pt>
                <c:pt idx="195">
                  <c:v>227370</c:v>
                </c:pt>
                <c:pt idx="196">
                  <c:v>229262</c:v>
                </c:pt>
                <c:pt idx="197">
                  <c:v>220411</c:v>
                </c:pt>
                <c:pt idx="198">
                  <c:v>214106</c:v>
                </c:pt>
                <c:pt idx="199">
                  <c:v>215245</c:v>
                </c:pt>
                <c:pt idx="200">
                  <c:v>191912</c:v>
                </c:pt>
                <c:pt idx="201">
                  <c:v>181552</c:v>
                </c:pt>
                <c:pt idx="202">
                  <c:v>173849</c:v>
                </c:pt>
                <c:pt idx="203">
                  <c:v>151085</c:v>
                </c:pt>
                <c:pt idx="204">
                  <c:v>148834</c:v>
                </c:pt>
                <c:pt idx="205">
                  <c:v>146323</c:v>
                </c:pt>
                <c:pt idx="206">
                  <c:v>147467</c:v>
                </c:pt>
                <c:pt idx="207">
                  <c:v>149255</c:v>
                </c:pt>
                <c:pt idx="208">
                  <c:v>147033</c:v>
                </c:pt>
                <c:pt idx="209">
                  <c:v>153691</c:v>
                </c:pt>
                <c:pt idx="210">
                  <c:v>157489</c:v>
                </c:pt>
                <c:pt idx="211">
                  <c:v>158041</c:v>
                </c:pt>
                <c:pt idx="212">
                  <c:v>161097</c:v>
                </c:pt>
                <c:pt idx="213">
                  <c:v>160419</c:v>
                </c:pt>
                <c:pt idx="214">
                  <c:v>160520</c:v>
                </c:pt>
                <c:pt idx="215">
                  <c:v>181016</c:v>
                </c:pt>
                <c:pt idx="216">
                  <c:v>180450</c:v>
                </c:pt>
                <c:pt idx="217">
                  <c:v>182148</c:v>
                </c:pt>
                <c:pt idx="218">
                  <c:v>182948</c:v>
                </c:pt>
                <c:pt idx="219">
                  <c:v>189932</c:v>
                </c:pt>
                <c:pt idx="220">
                  <c:v>185667</c:v>
                </c:pt>
                <c:pt idx="221">
                  <c:v>187506</c:v>
                </c:pt>
                <c:pt idx="222">
                  <c:v>191745</c:v>
                </c:pt>
                <c:pt idx="223">
                  <c:v>201932</c:v>
                </c:pt>
                <c:pt idx="224">
                  <c:v>193066</c:v>
                </c:pt>
                <c:pt idx="225">
                  <c:v>197202</c:v>
                </c:pt>
                <c:pt idx="226">
                  <c:v>193452</c:v>
                </c:pt>
                <c:pt idx="227">
                  <c:v>203636</c:v>
                </c:pt>
                <c:pt idx="228">
                  <c:v>196393</c:v>
                </c:pt>
                <c:pt idx="229">
                  <c:v>212748</c:v>
                </c:pt>
                <c:pt idx="230">
                  <c:v>200733</c:v>
                </c:pt>
                <c:pt idx="231">
                  <c:v>207170</c:v>
                </c:pt>
                <c:pt idx="232">
                  <c:v>201579</c:v>
                </c:pt>
                <c:pt idx="233">
                  <c:v>206458</c:v>
                </c:pt>
                <c:pt idx="234">
                  <c:v>216705</c:v>
                </c:pt>
                <c:pt idx="235">
                  <c:v>204738</c:v>
                </c:pt>
                <c:pt idx="236">
                  <c:v>210799</c:v>
                </c:pt>
                <c:pt idx="237">
                  <c:v>215531</c:v>
                </c:pt>
                <c:pt idx="238">
                  <c:v>223835</c:v>
                </c:pt>
                <c:pt idx="239">
                  <c:v>224511</c:v>
                </c:pt>
                <c:pt idx="240">
                  <c:v>228429</c:v>
                </c:pt>
                <c:pt idx="241">
                  <c:v>219730</c:v>
                </c:pt>
                <c:pt idx="242">
                  <c:v>218628</c:v>
                </c:pt>
                <c:pt idx="243">
                  <c:v>220876</c:v>
                </c:pt>
                <c:pt idx="244">
                  <c:v>216371</c:v>
                </c:pt>
                <c:pt idx="245">
                  <c:v>224075</c:v>
                </c:pt>
                <c:pt idx="246">
                  <c:v>203054</c:v>
                </c:pt>
                <c:pt idx="247">
                  <c:v>217120</c:v>
                </c:pt>
                <c:pt idx="248">
                  <c:v>219108</c:v>
                </c:pt>
                <c:pt idx="249">
                  <c:v>214023</c:v>
                </c:pt>
                <c:pt idx="250">
                  <c:v>232755</c:v>
                </c:pt>
                <c:pt idx="251">
                  <c:v>222788</c:v>
                </c:pt>
                <c:pt idx="252">
                  <c:v>232287</c:v>
                </c:pt>
                <c:pt idx="253">
                  <c:v>217277</c:v>
                </c:pt>
                <c:pt idx="254">
                  <c:v>228027</c:v>
                </c:pt>
                <c:pt idx="255">
                  <c:v>235376</c:v>
                </c:pt>
                <c:pt idx="256">
                  <c:v>247260</c:v>
                </c:pt>
                <c:pt idx="257">
                  <c:v>222937</c:v>
                </c:pt>
                <c:pt idx="258">
                  <c:v>222338</c:v>
                </c:pt>
                <c:pt idx="259">
                  <c:v>238930</c:v>
                </c:pt>
                <c:pt idx="260">
                  <c:v>234100</c:v>
                </c:pt>
                <c:pt idx="261">
                  <c:v>242088</c:v>
                </c:pt>
                <c:pt idx="262">
                  <c:v>236898</c:v>
                </c:pt>
                <c:pt idx="263">
                  <c:v>226704</c:v>
                </c:pt>
                <c:pt idx="264">
                  <c:v>230482</c:v>
                </c:pt>
                <c:pt idx="265">
                  <c:v>235368</c:v>
                </c:pt>
                <c:pt idx="266">
                  <c:v>235724</c:v>
                </c:pt>
                <c:pt idx="267">
                  <c:v>229731</c:v>
                </c:pt>
                <c:pt idx="268">
                  <c:v>239998</c:v>
                </c:pt>
                <c:pt idx="269">
                  <c:v>304221</c:v>
                </c:pt>
                <c:pt idx="270">
                  <c:v>235113</c:v>
                </c:pt>
                <c:pt idx="271">
                  <c:v>240539</c:v>
                </c:pt>
                <c:pt idx="272">
                  <c:v>231947</c:v>
                </c:pt>
                <c:pt idx="273">
                  <c:v>230290</c:v>
                </c:pt>
                <c:pt idx="274">
                  <c:v>224972</c:v>
                </c:pt>
                <c:pt idx="275">
                  <c:v>220466</c:v>
                </c:pt>
                <c:pt idx="276">
                  <c:v>217296</c:v>
                </c:pt>
                <c:pt idx="277">
                  <c:v>228382</c:v>
                </c:pt>
                <c:pt idx="278">
                  <c:v>226519</c:v>
                </c:pt>
                <c:pt idx="279">
                  <c:v>214062</c:v>
                </c:pt>
                <c:pt idx="280">
                  <c:v>235097</c:v>
                </c:pt>
                <c:pt idx="281">
                  <c:v>228622</c:v>
                </c:pt>
                <c:pt idx="282">
                  <c:v>224197</c:v>
                </c:pt>
                <c:pt idx="283">
                  <c:v>218491</c:v>
                </c:pt>
                <c:pt idx="284">
                  <c:v>222726</c:v>
                </c:pt>
                <c:pt idx="285">
                  <c:v>227716</c:v>
                </c:pt>
                <c:pt idx="286">
                  <c:v>220278</c:v>
                </c:pt>
                <c:pt idx="287">
                  <c:v>224156</c:v>
                </c:pt>
                <c:pt idx="288">
                  <c:v>218510</c:v>
                </c:pt>
                <c:pt idx="289">
                  <c:v>216188</c:v>
                </c:pt>
                <c:pt idx="290">
                  <c:v>224898</c:v>
                </c:pt>
                <c:pt idx="291">
                  <c:v>220908</c:v>
                </c:pt>
                <c:pt idx="292">
                  <c:v>212990</c:v>
                </c:pt>
                <c:pt idx="293">
                  <c:v>213900</c:v>
                </c:pt>
                <c:pt idx="294">
                  <c:v>223174</c:v>
                </c:pt>
                <c:pt idx="295">
                  <c:v>212753</c:v>
                </c:pt>
                <c:pt idx="296">
                  <c:v>238366</c:v>
                </c:pt>
                <c:pt idx="297">
                  <c:v>219809</c:v>
                </c:pt>
                <c:pt idx="298">
                  <c:v>216401</c:v>
                </c:pt>
                <c:pt idx="299">
                  <c:v>217696</c:v>
                </c:pt>
                <c:pt idx="300">
                  <c:v>214977</c:v>
                </c:pt>
                <c:pt idx="301">
                  <c:v>221815</c:v>
                </c:pt>
                <c:pt idx="302">
                  <c:v>223165</c:v>
                </c:pt>
                <c:pt idx="303">
                  <c:v>220833</c:v>
                </c:pt>
                <c:pt idx="304">
                  <c:v>238958</c:v>
                </c:pt>
                <c:pt idx="305">
                  <c:v>221452</c:v>
                </c:pt>
                <c:pt idx="306">
                  <c:v>222781</c:v>
                </c:pt>
                <c:pt idx="307">
                  <c:v>233526</c:v>
                </c:pt>
                <c:pt idx="308">
                  <c:v>229683</c:v>
                </c:pt>
                <c:pt idx="309">
                  <c:v>236897</c:v>
                </c:pt>
                <c:pt idx="310">
                  <c:v>235042</c:v>
                </c:pt>
                <c:pt idx="311">
                  <c:v>225375</c:v>
                </c:pt>
                <c:pt idx="312">
                  <c:v>230367</c:v>
                </c:pt>
                <c:pt idx="313">
                  <c:v>239125</c:v>
                </c:pt>
                <c:pt idx="314">
                  <c:v>239831</c:v>
                </c:pt>
                <c:pt idx="315">
                  <c:v>241088</c:v>
                </c:pt>
                <c:pt idx="316">
                  <c:v>241378</c:v>
                </c:pt>
                <c:pt idx="317">
                  <c:v>233787</c:v>
                </c:pt>
                <c:pt idx="318">
                  <c:v>248174</c:v>
                </c:pt>
                <c:pt idx="319">
                  <c:v>244959</c:v>
                </c:pt>
                <c:pt idx="320">
                  <c:v>239485</c:v>
                </c:pt>
                <c:pt idx="321">
                  <c:v>229415</c:v>
                </c:pt>
                <c:pt idx="322">
                  <c:v>242371</c:v>
                </c:pt>
                <c:pt idx="323">
                  <c:v>252305</c:v>
                </c:pt>
                <c:pt idx="324">
                  <c:v>243241</c:v>
                </c:pt>
                <c:pt idx="325">
                  <c:v>255924</c:v>
                </c:pt>
                <c:pt idx="326">
                  <c:v>252673</c:v>
                </c:pt>
                <c:pt idx="327">
                  <c:v>239844</c:v>
                </c:pt>
                <c:pt idx="328">
                  <c:v>244727</c:v>
                </c:pt>
                <c:pt idx="329">
                  <c:v>249748</c:v>
                </c:pt>
                <c:pt idx="330">
                  <c:v>245614</c:v>
                </c:pt>
                <c:pt idx="331">
                  <c:v>245317</c:v>
                </c:pt>
                <c:pt idx="332">
                  <c:v>250673</c:v>
                </c:pt>
                <c:pt idx="333">
                  <c:v>234167</c:v>
                </c:pt>
                <c:pt idx="334">
                  <c:v>240343</c:v>
                </c:pt>
                <c:pt idx="335">
                  <c:v>228878</c:v>
                </c:pt>
                <c:pt idx="336">
                  <c:v>230901</c:v>
                </c:pt>
                <c:pt idx="337">
                  <c:v>183017</c:v>
                </c:pt>
                <c:pt idx="338">
                  <c:v>161833</c:v>
                </c:pt>
                <c:pt idx="339">
                  <c:v>178963</c:v>
                </c:pt>
                <c:pt idx="340">
                  <c:v>199226</c:v>
                </c:pt>
                <c:pt idx="341">
                  <c:v>218748</c:v>
                </c:pt>
                <c:pt idx="342">
                  <c:v>223062</c:v>
                </c:pt>
                <c:pt idx="343">
                  <c:v>226664</c:v>
                </c:pt>
                <c:pt idx="344">
                  <c:v>228836</c:v>
                </c:pt>
              </c:numCache>
            </c:numRef>
          </c:val>
          <c:smooth val="0"/>
          <c:extLst>
            <c:ext xmlns:c16="http://schemas.microsoft.com/office/drawing/2014/chart" uri="{C3380CC4-5D6E-409C-BE32-E72D297353CC}">
              <c16:uniqueId val="{00000000-345D-4A40-8C3B-026A31B9D51A}"/>
            </c:ext>
          </c:extLst>
        </c:ser>
        <c:dLbls>
          <c:showLegendKey val="0"/>
          <c:showVal val="0"/>
          <c:showCatName val="0"/>
          <c:showSerName val="0"/>
          <c:showPercent val="0"/>
          <c:showBubbleSize val="0"/>
        </c:dLbls>
        <c:smooth val="0"/>
        <c:axId val="504145232"/>
        <c:axId val="504145624"/>
      </c:lineChart>
      <c:dateAx>
        <c:axId val="50414523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45624"/>
        <c:crosses val="autoZero"/>
        <c:auto val="1"/>
        <c:lblOffset val="100"/>
        <c:baseTimeUnit val="months"/>
      </c:dateAx>
      <c:valAx>
        <c:axId val="504145624"/>
        <c:scaling>
          <c:orientation val="minMax"/>
          <c:min val="1100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'New Orders'!$C$5</c:f>
              <c:strCache>
                <c:ptCount val="1"/>
                <c:pt idx="0">
                  <c:v>mom %</c:v>
                </c:pt>
              </c:strCache>
            </c:strRef>
          </c:tx>
          <c:spPr>
            <a:solidFill>
              <a:srgbClr val="92D050"/>
            </a:solidFill>
            <a:ln>
              <a:noFill/>
            </a:ln>
            <a:effectLst/>
          </c:spPr>
          <c:invertIfNegative val="1"/>
          <c:cat>
            <c:numRef>
              <c:f>'New Orders'!$A$6:$A$360</c:f>
              <c:numCache>
                <c:formatCode>m/d/yy</c:formatCode>
                <c:ptCount val="355"/>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numCache>
            </c:numRef>
          </c:cat>
          <c:val>
            <c:numRef>
              <c:f>'New Orders'!$C$6:$C$360</c:f>
              <c:numCache>
                <c:formatCode>0.0%</c:formatCode>
                <c:ptCount val="355"/>
                <c:pt idx="1">
                  <c:v>4.7932946260968265E-2</c:v>
                </c:pt>
                <c:pt idx="2">
                  <c:v>3.7033951260154137E-2</c:v>
                </c:pt>
                <c:pt idx="3">
                  <c:v>1.0862055113682012E-2</c:v>
                </c:pt>
                <c:pt idx="4">
                  <c:v>-2.3747834242024448E-2</c:v>
                </c:pt>
                <c:pt idx="5">
                  <c:v>-1.9864206978523861E-3</c:v>
                </c:pt>
                <c:pt idx="6">
                  <c:v>-1.7774696141610244E-2</c:v>
                </c:pt>
                <c:pt idx="7">
                  <c:v>2.491466726461868E-3</c:v>
                </c:pt>
                <c:pt idx="8">
                  <c:v>5.5347068618435767E-2</c:v>
                </c:pt>
                <c:pt idx="9">
                  <c:v>-3.9390228585782464E-2</c:v>
                </c:pt>
                <c:pt idx="10">
                  <c:v>3.0284210698350956E-2</c:v>
                </c:pt>
                <c:pt idx="11">
                  <c:v>-3.523953045685279E-2</c:v>
                </c:pt>
                <c:pt idx="12">
                  <c:v>5.933227554115935E-2</c:v>
                </c:pt>
                <c:pt idx="13">
                  <c:v>-1.6235429245502662E-2</c:v>
                </c:pt>
                <c:pt idx="14">
                  <c:v>4.993610072419179E-3</c:v>
                </c:pt>
                <c:pt idx="15">
                  <c:v>-6.797755013933043E-3</c:v>
                </c:pt>
                <c:pt idx="16">
                  <c:v>2.9107951536801839E-2</c:v>
                </c:pt>
                <c:pt idx="17">
                  <c:v>-1.6135225632046203E-2</c:v>
                </c:pt>
                <c:pt idx="18">
                  <c:v>9.8898611360460856E-3</c:v>
                </c:pt>
                <c:pt idx="19">
                  <c:v>-1.6579325696795436E-2</c:v>
                </c:pt>
                <c:pt idx="20">
                  <c:v>4.6646703292384836E-2</c:v>
                </c:pt>
                <c:pt idx="21">
                  <c:v>-2.0853358164123512E-2</c:v>
                </c:pt>
                <c:pt idx="22">
                  <c:v>2.4342170855350447E-2</c:v>
                </c:pt>
                <c:pt idx="23">
                  <c:v>3.6933328342005765E-2</c:v>
                </c:pt>
                <c:pt idx="24">
                  <c:v>-9.7979754220277552E-3</c:v>
                </c:pt>
                <c:pt idx="25">
                  <c:v>-4.3240168877286883E-3</c:v>
                </c:pt>
                <c:pt idx="26">
                  <c:v>2.7741160617511789E-2</c:v>
                </c:pt>
                <c:pt idx="27">
                  <c:v>1.6346482727169081E-2</c:v>
                </c:pt>
                <c:pt idx="28">
                  <c:v>1.7058122414639276E-2</c:v>
                </c:pt>
                <c:pt idx="29">
                  <c:v>-3.4467782963264236E-4</c:v>
                </c:pt>
                <c:pt idx="30">
                  <c:v>6.0063580506575275E-3</c:v>
                </c:pt>
                <c:pt idx="31">
                  <c:v>-2.7213402429327412E-3</c:v>
                </c:pt>
                <c:pt idx="32">
                  <c:v>2.7906273412744782E-2</c:v>
                </c:pt>
                <c:pt idx="33">
                  <c:v>3.2832487445418495E-3</c:v>
                </c:pt>
                <c:pt idx="34">
                  <c:v>1.6335861581732627E-2</c:v>
                </c:pt>
                <c:pt idx="35">
                  <c:v>-1.3312435651096145E-2</c:v>
                </c:pt>
                <c:pt idx="36">
                  <c:v>2.2577579274087958E-2</c:v>
                </c:pt>
                <c:pt idx="37">
                  <c:v>-6.2915973377703823E-3</c:v>
                </c:pt>
                <c:pt idx="38">
                  <c:v>-9.7260739888022606E-3</c:v>
                </c:pt>
                <c:pt idx="39">
                  <c:v>9.4913507836804252E-3</c:v>
                </c:pt>
                <c:pt idx="40">
                  <c:v>-1.823499391512582E-2</c:v>
                </c:pt>
                <c:pt idx="41">
                  <c:v>-7.570759275179772E-3</c:v>
                </c:pt>
                <c:pt idx="42">
                  <c:v>3.6645065977235339E-2</c:v>
                </c:pt>
                <c:pt idx="43">
                  <c:v>3.759101391444044E-2</c:v>
                </c:pt>
                <c:pt idx="44">
                  <c:v>-2.9355392539410021E-2</c:v>
                </c:pt>
                <c:pt idx="45">
                  <c:v>4.3287258880963251E-3</c:v>
                </c:pt>
                <c:pt idx="46">
                  <c:v>4.5681605676738436E-2</c:v>
                </c:pt>
                <c:pt idx="47">
                  <c:v>-4.5768286184996232E-2</c:v>
                </c:pt>
                <c:pt idx="48">
                  <c:v>-3.2302992182586039E-2</c:v>
                </c:pt>
                <c:pt idx="49">
                  <c:v>9.420121639816148E-2</c:v>
                </c:pt>
                <c:pt idx="50">
                  <c:v>-4.9376879061196782E-2</c:v>
                </c:pt>
                <c:pt idx="51">
                  <c:v>4.8919211885481095E-2</c:v>
                </c:pt>
                <c:pt idx="52">
                  <c:v>5.8965848439532654E-4</c:v>
                </c:pt>
                <c:pt idx="53">
                  <c:v>-6.1422001348732371E-3</c:v>
                </c:pt>
                <c:pt idx="54">
                  <c:v>-3.8376898060982469E-2</c:v>
                </c:pt>
                <c:pt idx="55">
                  <c:v>5.1694107176911828E-2</c:v>
                </c:pt>
                <c:pt idx="56">
                  <c:v>-1.0638169267779645E-3</c:v>
                </c:pt>
                <c:pt idx="57">
                  <c:v>3.3382546924352254E-2</c:v>
                </c:pt>
                <c:pt idx="58">
                  <c:v>-4.9483847923973701E-2</c:v>
                </c:pt>
                <c:pt idx="59">
                  <c:v>-3.1109085084887762E-3</c:v>
                </c:pt>
                <c:pt idx="60">
                  <c:v>5.1870207072985348E-2</c:v>
                </c:pt>
                <c:pt idx="61">
                  <c:v>-1.5585621045581919E-2</c:v>
                </c:pt>
                <c:pt idx="62">
                  <c:v>3.8706674305356632E-2</c:v>
                </c:pt>
                <c:pt idx="63">
                  <c:v>-3.1415537706688729E-2</c:v>
                </c:pt>
                <c:pt idx="64">
                  <c:v>3.7025613040228729E-2</c:v>
                </c:pt>
                <c:pt idx="65">
                  <c:v>2.3062667307296315E-2</c:v>
                </c:pt>
                <c:pt idx="66">
                  <c:v>-8.7107234708710731E-3</c:v>
                </c:pt>
                <c:pt idx="67">
                  <c:v>3.0061702631668003E-3</c:v>
                </c:pt>
                <c:pt idx="68">
                  <c:v>-1.9118846121404673E-4</c:v>
                </c:pt>
                <c:pt idx="69">
                  <c:v>7.5286415711947621E-2</c:v>
                </c:pt>
                <c:pt idx="70">
                  <c:v>-9.1099290223707677E-2</c:v>
                </c:pt>
                <c:pt idx="71">
                  <c:v>2.9809518328825458E-3</c:v>
                </c:pt>
                <c:pt idx="72">
                  <c:v>4.0060130358946115E-2</c:v>
                </c:pt>
                <c:pt idx="73">
                  <c:v>-2.4184917526341922E-2</c:v>
                </c:pt>
                <c:pt idx="74">
                  <c:v>2.2777382042671553E-2</c:v>
                </c:pt>
                <c:pt idx="75">
                  <c:v>-1.5532155984854766E-3</c:v>
                </c:pt>
                <c:pt idx="76">
                  <c:v>-4.6751995748308732E-2</c:v>
                </c:pt>
                <c:pt idx="77">
                  <c:v>-1.0047099408208422E-2</c:v>
                </c:pt>
                <c:pt idx="78">
                  <c:v>5.0299485506778756E-2</c:v>
                </c:pt>
                <c:pt idx="79">
                  <c:v>1.334390866488301E-2</c:v>
                </c:pt>
                <c:pt idx="80">
                  <c:v>-1.5957270893276448E-2</c:v>
                </c:pt>
                <c:pt idx="81">
                  <c:v>2.1694197516342065E-2</c:v>
                </c:pt>
                <c:pt idx="82">
                  <c:v>-2.1798245614035087E-2</c:v>
                </c:pt>
                <c:pt idx="83">
                  <c:v>4.5414294041160382E-2</c:v>
                </c:pt>
                <c:pt idx="84">
                  <c:v>-5.2592922204292144E-3</c:v>
                </c:pt>
                <c:pt idx="85">
                  <c:v>-4.6188007286602781E-3</c:v>
                </c:pt>
                <c:pt idx="86">
                  <c:v>-9.1830049434454674E-3</c:v>
                </c:pt>
                <c:pt idx="87">
                  <c:v>1.6230129021328685E-2</c:v>
                </c:pt>
                <c:pt idx="88">
                  <c:v>-1.8138016702247222E-2</c:v>
                </c:pt>
                <c:pt idx="89">
                  <c:v>3.5560545484418643E-2</c:v>
                </c:pt>
                <c:pt idx="90">
                  <c:v>1.7505539895178307E-3</c:v>
                </c:pt>
                <c:pt idx="91">
                  <c:v>-2.6608381640216669E-3</c:v>
                </c:pt>
                <c:pt idx="92">
                  <c:v>2.9839606161664284E-2</c:v>
                </c:pt>
                <c:pt idx="93">
                  <c:v>-4.0864161359465835E-2</c:v>
                </c:pt>
                <c:pt idx="94">
                  <c:v>5.2235566488207208E-2</c:v>
                </c:pt>
                <c:pt idx="95">
                  <c:v>2.554699914435888E-2</c:v>
                </c:pt>
                <c:pt idx="96">
                  <c:v>-8.6655740961462058E-2</c:v>
                </c:pt>
                <c:pt idx="97">
                  <c:v>4.4690094665354438E-2</c:v>
                </c:pt>
                <c:pt idx="98">
                  <c:v>1.5166814136261905E-2</c:v>
                </c:pt>
                <c:pt idx="99">
                  <c:v>-3.3007936670699942E-2</c:v>
                </c:pt>
                <c:pt idx="100">
                  <c:v>0.16510079212750389</c:v>
                </c:pt>
                <c:pt idx="101">
                  <c:v>-0.1387062276729846</c:v>
                </c:pt>
                <c:pt idx="102">
                  <c:v>-2.8267244339946636E-3</c:v>
                </c:pt>
                <c:pt idx="103">
                  <c:v>5.9434112223811793E-2</c:v>
                </c:pt>
                <c:pt idx="104">
                  <c:v>-6.8963275267946003E-2</c:v>
                </c:pt>
                <c:pt idx="105">
                  <c:v>1.7372339625479433E-2</c:v>
                </c:pt>
                <c:pt idx="106">
                  <c:v>-3.8702796316634281E-3</c:v>
                </c:pt>
                <c:pt idx="107">
                  <c:v>-6.1502499218166112E-2</c:v>
                </c:pt>
                <c:pt idx="108">
                  <c:v>1.8186336526296764E-2</c:v>
                </c:pt>
                <c:pt idx="109">
                  <c:v>1.0722447802258759E-2</c:v>
                </c:pt>
                <c:pt idx="110">
                  <c:v>-5.6852295989769992E-2</c:v>
                </c:pt>
                <c:pt idx="111">
                  <c:v>3.4326447483270295E-2</c:v>
                </c:pt>
                <c:pt idx="112">
                  <c:v>-7.870649061316801E-3</c:v>
                </c:pt>
                <c:pt idx="113">
                  <c:v>-3.5276438899914941E-2</c:v>
                </c:pt>
                <c:pt idx="114">
                  <c:v>2.0866518935631199E-3</c:v>
                </c:pt>
                <c:pt idx="115">
                  <c:v>-3.7311419253419673E-2</c:v>
                </c:pt>
                <c:pt idx="116">
                  <c:v>4.5130786056798863E-2</c:v>
                </c:pt>
                <c:pt idx="117">
                  <c:v>-4.5000874482597798E-2</c:v>
                </c:pt>
                <c:pt idx="118">
                  <c:v>9.1141620526094102E-3</c:v>
                </c:pt>
                <c:pt idx="119">
                  <c:v>-1.197793156850409E-2</c:v>
                </c:pt>
                <c:pt idx="120">
                  <c:v>5.5607259190321078E-2</c:v>
                </c:pt>
                <c:pt idx="121">
                  <c:v>-2.6408593668433813E-2</c:v>
                </c:pt>
                <c:pt idx="122">
                  <c:v>2.3824417794141302E-2</c:v>
                </c:pt>
                <c:pt idx="123">
                  <c:v>1.163792100179224E-5</c:v>
                </c:pt>
                <c:pt idx="124">
                  <c:v>-3.3656475845776065E-2</c:v>
                </c:pt>
                <c:pt idx="125">
                  <c:v>4.9449027518516285E-2</c:v>
                </c:pt>
                <c:pt idx="126">
                  <c:v>1.6318380555651185E-2</c:v>
                </c:pt>
                <c:pt idx="127">
                  <c:v>-5.8082946602983188E-2</c:v>
                </c:pt>
                <c:pt idx="128">
                  <c:v>1.3761852815305866E-2</c:v>
                </c:pt>
                <c:pt idx="129">
                  <c:v>5.2561874017051568E-3</c:v>
                </c:pt>
                <c:pt idx="130">
                  <c:v>-3.5648118195773515E-2</c:v>
                </c:pt>
                <c:pt idx="131">
                  <c:v>3.6789012088166768E-2</c:v>
                </c:pt>
                <c:pt idx="132">
                  <c:v>2.4230266950598257E-2</c:v>
                </c:pt>
                <c:pt idx="133">
                  <c:v>-1.0728664717740777E-2</c:v>
                </c:pt>
                <c:pt idx="134">
                  <c:v>-1.6824871549246712E-2</c:v>
                </c:pt>
                <c:pt idx="135">
                  <c:v>1.2961552315659562E-2</c:v>
                </c:pt>
                <c:pt idx="136">
                  <c:v>1.1454920660829418E-2</c:v>
                </c:pt>
                <c:pt idx="137">
                  <c:v>-1.0777663149037216E-3</c:v>
                </c:pt>
                <c:pt idx="138">
                  <c:v>-1.5924301869374568E-3</c:v>
                </c:pt>
                <c:pt idx="139">
                  <c:v>3.2627539816462867E-2</c:v>
                </c:pt>
                <c:pt idx="140">
                  <c:v>2.8059768313839609E-2</c:v>
                </c:pt>
                <c:pt idx="141">
                  <c:v>-1.0990506466925053E-2</c:v>
                </c:pt>
                <c:pt idx="142">
                  <c:v>-9.4669345295428906E-4</c:v>
                </c:pt>
                <c:pt idx="143">
                  <c:v>-1.5519549563943079E-2</c:v>
                </c:pt>
                <c:pt idx="144">
                  <c:v>1.659802122039665E-2</c:v>
                </c:pt>
                <c:pt idx="145">
                  <c:v>5.0682035868811308E-2</c:v>
                </c:pt>
                <c:pt idx="146">
                  <c:v>-3.4060009744903572E-2</c:v>
                </c:pt>
                <c:pt idx="147">
                  <c:v>-4.9303566779484512E-3</c:v>
                </c:pt>
                <c:pt idx="148">
                  <c:v>1.1888214805487875E-2</c:v>
                </c:pt>
                <c:pt idx="149">
                  <c:v>6.4371902607196722E-3</c:v>
                </c:pt>
                <c:pt idx="150">
                  <c:v>-1.662964647951401E-2</c:v>
                </c:pt>
                <c:pt idx="151">
                  <c:v>2.5668379343377165E-2</c:v>
                </c:pt>
                <c:pt idx="152">
                  <c:v>-1.7283649253889751E-2</c:v>
                </c:pt>
                <c:pt idx="153">
                  <c:v>3.973281061845594E-2</c:v>
                </c:pt>
                <c:pt idx="154">
                  <c:v>5.364979615154899E-3</c:v>
                </c:pt>
                <c:pt idx="155">
                  <c:v>6.7001415450102797E-3</c:v>
                </c:pt>
                <c:pt idx="156">
                  <c:v>8.2103912764592696E-3</c:v>
                </c:pt>
                <c:pt idx="157">
                  <c:v>-5.0220129787504772E-2</c:v>
                </c:pt>
                <c:pt idx="158">
                  <c:v>4.415137614678899E-2</c:v>
                </c:pt>
                <c:pt idx="159">
                  <c:v>6.0437163518042361E-2</c:v>
                </c:pt>
                <c:pt idx="160">
                  <c:v>1.6440570507639519E-2</c:v>
                </c:pt>
                <c:pt idx="161">
                  <c:v>-7.401676030854204E-2</c:v>
                </c:pt>
                <c:pt idx="162">
                  <c:v>5.3292196940480784E-2</c:v>
                </c:pt>
                <c:pt idx="163">
                  <c:v>-4.1105453551325676E-3</c:v>
                </c:pt>
                <c:pt idx="164">
                  <c:v>2.8941602082383566E-2</c:v>
                </c:pt>
                <c:pt idx="165">
                  <c:v>5.1605280584656577E-2</c:v>
                </c:pt>
                <c:pt idx="166">
                  <c:v>3.4702559200482032E-3</c:v>
                </c:pt>
                <c:pt idx="167">
                  <c:v>-5.3991214407288518E-2</c:v>
                </c:pt>
                <c:pt idx="168">
                  <c:v>4.8668511978619836E-2</c:v>
                </c:pt>
                <c:pt idx="169">
                  <c:v>3.3904012960889789E-2</c:v>
                </c:pt>
                <c:pt idx="170">
                  <c:v>-5.5297815025441482E-2</c:v>
                </c:pt>
                <c:pt idx="171">
                  <c:v>5.5631916132789748E-3</c:v>
                </c:pt>
                <c:pt idx="172">
                  <c:v>2.5025600155686015E-2</c:v>
                </c:pt>
                <c:pt idx="173">
                  <c:v>-5.3006057318506467E-2</c:v>
                </c:pt>
                <c:pt idx="174">
                  <c:v>4.6731648639101835E-3</c:v>
                </c:pt>
                <c:pt idx="175">
                  <c:v>0.11511215215253263</c:v>
                </c:pt>
                <c:pt idx="176">
                  <c:v>-7.5623878892718821E-2</c:v>
                </c:pt>
                <c:pt idx="177">
                  <c:v>3.6215384048084366E-2</c:v>
                </c:pt>
                <c:pt idx="178">
                  <c:v>1.972340964996953E-2</c:v>
                </c:pt>
                <c:pt idx="179">
                  <c:v>-2.7368338400736335E-2</c:v>
                </c:pt>
                <c:pt idx="180">
                  <c:v>-9.0012512950230755E-3</c:v>
                </c:pt>
                <c:pt idx="181">
                  <c:v>3.875779545804256E-2</c:v>
                </c:pt>
                <c:pt idx="182">
                  <c:v>1.6965398255535322E-2</c:v>
                </c:pt>
                <c:pt idx="183">
                  <c:v>-1.9638420015422844E-2</c:v>
                </c:pt>
                <c:pt idx="184">
                  <c:v>1.3983813735601042E-4</c:v>
                </c:pt>
                <c:pt idx="185">
                  <c:v>1.8823077057517869E-2</c:v>
                </c:pt>
                <c:pt idx="186">
                  <c:v>1.107318077332144E-2</c:v>
                </c:pt>
                <c:pt idx="187">
                  <c:v>-3.9383605222304226E-2</c:v>
                </c:pt>
                <c:pt idx="188">
                  <c:v>1.8664476560119748E-2</c:v>
                </c:pt>
                <c:pt idx="189">
                  <c:v>-1.6016471608149112E-2</c:v>
                </c:pt>
                <c:pt idx="190">
                  <c:v>7.6817691240281052E-2</c:v>
                </c:pt>
                <c:pt idx="191">
                  <c:v>-2.0675576719316979E-2</c:v>
                </c:pt>
                <c:pt idx="192">
                  <c:v>-1.8179615604727035E-2</c:v>
                </c:pt>
                <c:pt idx="193">
                  <c:v>-7.1903572628990325E-4</c:v>
                </c:pt>
                <c:pt idx="194">
                  <c:v>-1.6102661920738458E-2</c:v>
                </c:pt>
                <c:pt idx="195">
                  <c:v>-1.6080593372164477E-2</c:v>
                </c:pt>
                <c:pt idx="196">
                  <c:v>8.3212385099177555E-3</c:v>
                </c:pt>
                <c:pt idx="197">
                  <c:v>-3.8606485156720258E-2</c:v>
                </c:pt>
                <c:pt idx="198">
                  <c:v>-2.8605650353203789E-2</c:v>
                </c:pt>
                <c:pt idx="199">
                  <c:v>5.3197948679625977E-3</c:v>
                </c:pt>
                <c:pt idx="200">
                  <c:v>-0.1084020534739483</c:v>
                </c:pt>
                <c:pt idx="201">
                  <c:v>-5.3983075576305807E-2</c:v>
                </c:pt>
                <c:pt idx="202">
                  <c:v>-4.242861549308187E-2</c:v>
                </c:pt>
                <c:pt idx="203">
                  <c:v>-0.13094121910393502</c:v>
                </c:pt>
                <c:pt idx="204">
                  <c:v>-1.4898897971340636E-2</c:v>
                </c:pt>
                <c:pt idx="205">
                  <c:v>-1.6871145034064797E-2</c:v>
                </c:pt>
                <c:pt idx="206">
                  <c:v>7.818319744674453E-3</c:v>
                </c:pt>
                <c:pt idx="207">
                  <c:v>1.2124746553466199E-2</c:v>
                </c:pt>
                <c:pt idx="208">
                  <c:v>-1.4887273458175606E-2</c:v>
                </c:pt>
                <c:pt idx="209">
                  <c:v>4.5282351580937616E-2</c:v>
                </c:pt>
                <c:pt idx="210">
                  <c:v>2.4711921973310083E-2</c:v>
                </c:pt>
                <c:pt idx="211">
                  <c:v>3.5050066988805569E-3</c:v>
                </c:pt>
                <c:pt idx="212">
                  <c:v>1.9336754386519953E-2</c:v>
                </c:pt>
                <c:pt idx="213">
                  <c:v>-4.2086444812752567E-3</c:v>
                </c:pt>
                <c:pt idx="214">
                  <c:v>6.2960123177429109E-4</c:v>
                </c:pt>
                <c:pt idx="215">
                  <c:v>0.12768502367306256</c:v>
                </c:pt>
                <c:pt idx="216">
                  <c:v>-3.1267954213992132E-3</c:v>
                </c:pt>
                <c:pt idx="217">
                  <c:v>9.4098088113050704E-3</c:v>
                </c:pt>
                <c:pt idx="218">
                  <c:v>4.392032852405736E-3</c:v>
                </c:pt>
                <c:pt idx="219">
                  <c:v>3.8174781905240832E-2</c:v>
                </c:pt>
                <c:pt idx="220">
                  <c:v>-2.2455405092348842E-2</c:v>
                </c:pt>
                <c:pt idx="221">
                  <c:v>9.9048296143094891E-3</c:v>
                </c:pt>
                <c:pt idx="222">
                  <c:v>2.260727656714985E-2</c:v>
                </c:pt>
                <c:pt idx="223">
                  <c:v>5.3127852095230646E-2</c:v>
                </c:pt>
                <c:pt idx="224">
                  <c:v>-4.3905869302537488E-2</c:v>
                </c:pt>
                <c:pt idx="225">
                  <c:v>2.1422725907202719E-2</c:v>
                </c:pt>
                <c:pt idx="226">
                  <c:v>-1.901603432013874E-2</c:v>
                </c:pt>
                <c:pt idx="227">
                  <c:v>5.2643549821144262E-2</c:v>
                </c:pt>
                <c:pt idx="228">
                  <c:v>-3.5568367086369797E-2</c:v>
                </c:pt>
                <c:pt idx="229">
                  <c:v>8.3276898871141022E-2</c:v>
                </c:pt>
                <c:pt idx="230">
                  <c:v>-5.6475266512493655E-2</c:v>
                </c:pt>
                <c:pt idx="231">
                  <c:v>3.2067472712508656E-2</c:v>
                </c:pt>
                <c:pt idx="232">
                  <c:v>-2.6987498189892357E-2</c:v>
                </c:pt>
                <c:pt idx="233">
                  <c:v>2.420391012952738E-2</c:v>
                </c:pt>
                <c:pt idx="234">
                  <c:v>4.9632370748529969E-2</c:v>
                </c:pt>
                <c:pt idx="235">
                  <c:v>-5.522253755104866E-2</c:v>
                </c:pt>
                <c:pt idx="236">
                  <c:v>2.9603688616671061E-2</c:v>
                </c:pt>
                <c:pt idx="237">
                  <c:v>2.2447924326016729E-2</c:v>
                </c:pt>
                <c:pt idx="238">
                  <c:v>3.8528100366072633E-2</c:v>
                </c:pt>
                <c:pt idx="239">
                  <c:v>3.0200817566511046E-3</c:v>
                </c:pt>
                <c:pt idx="240">
                  <c:v>1.7451260740008284E-2</c:v>
                </c:pt>
                <c:pt idx="241">
                  <c:v>-3.8081854755744673E-2</c:v>
                </c:pt>
                <c:pt idx="242">
                  <c:v>-5.0152459837072769E-3</c:v>
                </c:pt>
                <c:pt idx="243">
                  <c:v>1.028230601752749E-2</c:v>
                </c:pt>
                <c:pt idx="244">
                  <c:v>-2.0396059327405423E-2</c:v>
                </c:pt>
                <c:pt idx="245">
                  <c:v>3.5605510904880969E-2</c:v>
                </c:pt>
                <c:pt idx="246">
                  <c:v>-9.3812339618431329E-2</c:v>
                </c:pt>
                <c:pt idx="247">
                  <c:v>6.9272213302865246E-2</c:v>
                </c:pt>
                <c:pt idx="248">
                  <c:v>9.156226971260133E-3</c:v>
                </c:pt>
                <c:pt idx="249">
                  <c:v>-2.3207733172681964E-2</c:v>
                </c:pt>
                <c:pt idx="250">
                  <c:v>8.7523303570177041E-2</c:v>
                </c:pt>
                <c:pt idx="251">
                  <c:v>-4.2821851302872117E-2</c:v>
                </c:pt>
                <c:pt idx="252">
                  <c:v>4.2636946334632025E-2</c:v>
                </c:pt>
                <c:pt idx="253">
                  <c:v>-6.4618338520881502E-2</c:v>
                </c:pt>
                <c:pt idx="254">
                  <c:v>4.9476014488418013E-2</c:v>
                </c:pt>
                <c:pt idx="255">
                  <c:v>3.2228639590925638E-2</c:v>
                </c:pt>
                <c:pt idx="256">
                  <c:v>5.0489429678471892E-2</c:v>
                </c:pt>
                <c:pt idx="257">
                  <c:v>-9.8370136698212401E-2</c:v>
                </c:pt>
                <c:pt idx="258">
                  <c:v>-2.6868577221367471E-3</c:v>
                </c:pt>
                <c:pt idx="259">
                  <c:v>7.4625120312317286E-2</c:v>
                </c:pt>
                <c:pt idx="260">
                  <c:v>-2.0215125769053696E-2</c:v>
                </c:pt>
                <c:pt idx="261">
                  <c:v>3.4122170012815034E-2</c:v>
                </c:pt>
                <c:pt idx="262">
                  <c:v>-2.1438485178943194E-2</c:v>
                </c:pt>
                <c:pt idx="263">
                  <c:v>-4.3031177975331153E-2</c:v>
                </c:pt>
                <c:pt idx="264">
                  <c:v>1.6664902251393887E-2</c:v>
                </c:pt>
                <c:pt idx="265">
                  <c:v>2.119905242057948E-2</c:v>
                </c:pt>
                <c:pt idx="266">
                  <c:v>1.5125250671289216E-3</c:v>
                </c:pt>
                <c:pt idx="267">
                  <c:v>-2.54238007160917E-2</c:v>
                </c:pt>
                <c:pt idx="268">
                  <c:v>4.4691399941670908E-2</c:v>
                </c:pt>
                <c:pt idx="269">
                  <c:v>0.26759806331719432</c:v>
                </c:pt>
                <c:pt idx="270">
                  <c:v>-0.22716380525999191</c:v>
                </c:pt>
                <c:pt idx="271">
                  <c:v>2.3078264494094329E-2</c:v>
                </c:pt>
                <c:pt idx="272">
                  <c:v>-3.5719779328923791E-2</c:v>
                </c:pt>
                <c:pt idx="273">
                  <c:v>-7.1438733848680951E-3</c:v>
                </c:pt>
                <c:pt idx="274">
                  <c:v>-2.3092622345737984E-2</c:v>
                </c:pt>
                <c:pt idx="275">
                  <c:v>-2.002915918425404E-2</c:v>
                </c:pt>
                <c:pt idx="276">
                  <c:v>-1.4378634347246287E-2</c:v>
                </c:pt>
                <c:pt idx="277">
                  <c:v>5.1017966276415583E-2</c:v>
                </c:pt>
                <c:pt idx="278">
                  <c:v>-8.1573854331777468E-3</c:v>
                </c:pt>
                <c:pt idx="279">
                  <c:v>-5.4993179380096152E-2</c:v>
                </c:pt>
                <c:pt idx="280">
                  <c:v>9.8265922956900342E-2</c:v>
                </c:pt>
                <c:pt idx="281">
                  <c:v>-2.7541823162354262E-2</c:v>
                </c:pt>
                <c:pt idx="282">
                  <c:v>-1.9355092685743279E-2</c:v>
                </c:pt>
                <c:pt idx="283">
                  <c:v>-2.5450831188642133E-2</c:v>
                </c:pt>
                <c:pt idx="284">
                  <c:v>1.9382949412103931E-2</c:v>
                </c:pt>
                <c:pt idx="285">
                  <c:v>2.2404209656708241E-2</c:v>
                </c:pt>
                <c:pt idx="286">
                  <c:v>-3.2663493123012872E-2</c:v>
                </c:pt>
                <c:pt idx="287">
                  <c:v>1.7605026375761539E-2</c:v>
                </c:pt>
                <c:pt idx="288">
                  <c:v>-2.5187815628401649E-2</c:v>
                </c:pt>
                <c:pt idx="289">
                  <c:v>-1.0626515948926822E-2</c:v>
                </c:pt>
                <c:pt idx="290">
                  <c:v>4.0289007715506871E-2</c:v>
                </c:pt>
                <c:pt idx="291">
                  <c:v>-1.7741376090494358E-2</c:v>
                </c:pt>
                <c:pt idx="292">
                  <c:v>-3.5842975356256905E-2</c:v>
                </c:pt>
                <c:pt idx="293">
                  <c:v>4.2725010563876235E-3</c:v>
                </c:pt>
                <c:pt idx="294">
                  <c:v>4.3356708742402994E-2</c:v>
                </c:pt>
                <c:pt idx="295">
                  <c:v>-4.6694507424700007E-2</c:v>
                </c:pt>
                <c:pt idx="296">
                  <c:v>0.12038843165548782</c:v>
                </c:pt>
                <c:pt idx="297">
                  <c:v>-7.785086799291846E-2</c:v>
                </c:pt>
                <c:pt idx="298">
                  <c:v>-1.5504369702787421E-2</c:v>
                </c:pt>
                <c:pt idx="299">
                  <c:v>5.9842607011982383E-3</c:v>
                </c:pt>
                <c:pt idx="300">
                  <c:v>-1.2489894164339262E-2</c:v>
                </c:pt>
                <c:pt idx="301">
                  <c:v>3.1808053884834195E-2</c:v>
                </c:pt>
                <c:pt idx="302">
                  <c:v>6.0861528751437006E-3</c:v>
                </c:pt>
                <c:pt idx="303">
                  <c:v>-1.0449667286536868E-2</c:v>
                </c:pt>
                <c:pt idx="304">
                  <c:v>8.2075595585804656E-2</c:v>
                </c:pt>
                <c:pt idx="305">
                  <c:v>-7.325973602055591E-2</c:v>
                </c:pt>
                <c:pt idx="306">
                  <c:v>6.0013005075592006E-3</c:v>
                </c:pt>
                <c:pt idx="307">
                  <c:v>4.8231222590795444E-2</c:v>
                </c:pt>
                <c:pt idx="308">
                  <c:v>-1.6456411705762956E-2</c:v>
                </c:pt>
                <c:pt idx="309">
                  <c:v>3.1408506506794144E-2</c:v>
                </c:pt>
                <c:pt idx="310">
                  <c:v>-7.8304073078173213E-3</c:v>
                </c:pt>
                <c:pt idx="311">
                  <c:v>-4.112881953012653E-2</c:v>
                </c:pt>
                <c:pt idx="312">
                  <c:v>2.2149750415973377E-2</c:v>
                </c:pt>
                <c:pt idx="313">
                  <c:v>3.8017598006658937E-2</c:v>
                </c:pt>
                <c:pt idx="314">
                  <c:v>2.9524307370622058E-3</c:v>
                </c:pt>
                <c:pt idx="315">
                  <c:v>5.2411906717647009E-3</c:v>
                </c:pt>
                <c:pt idx="316">
                  <c:v>1.2028802760817626E-3</c:v>
                </c:pt>
                <c:pt idx="317">
                  <c:v>-3.1448599292396157E-2</c:v>
                </c:pt>
                <c:pt idx="318">
                  <c:v>6.1538922181301782E-2</c:v>
                </c:pt>
                <c:pt idx="319">
                  <c:v>-1.2954620548486142E-2</c:v>
                </c:pt>
                <c:pt idx="320">
                  <c:v>-2.2346596777419896E-2</c:v>
                </c:pt>
                <c:pt idx="321">
                  <c:v>-4.2048562540451383E-2</c:v>
                </c:pt>
                <c:pt idx="322">
                  <c:v>5.6474075365603817E-2</c:v>
                </c:pt>
                <c:pt idx="323">
                  <c:v>4.0986751715345486E-2</c:v>
                </c:pt>
                <c:pt idx="324">
                  <c:v>-3.5924773587523037E-2</c:v>
                </c:pt>
                <c:pt idx="325">
                  <c:v>5.2141703084595113E-2</c:v>
                </c:pt>
                <c:pt idx="326">
                  <c:v>-1.2702989950141448E-2</c:v>
                </c:pt>
                <c:pt idx="327">
                  <c:v>-5.0773133654961153E-2</c:v>
                </c:pt>
                <c:pt idx="328">
                  <c:v>2.0359066726705691E-2</c:v>
                </c:pt>
                <c:pt idx="329">
                  <c:v>2.0516739060258981E-2</c:v>
                </c:pt>
                <c:pt idx="330">
                  <c:v>-1.6552685106587441E-2</c:v>
                </c:pt>
                <c:pt idx="331">
                  <c:v>-1.2092144584592084E-3</c:v>
                </c:pt>
                <c:pt idx="332">
                  <c:v>2.1832975293192072E-2</c:v>
                </c:pt>
                <c:pt idx="333">
                  <c:v>-6.5846740574373785E-2</c:v>
                </c:pt>
                <c:pt idx="334">
                  <c:v>2.6374339680655258E-2</c:v>
                </c:pt>
                <c:pt idx="335">
                  <c:v>-4.7702658284202164E-2</c:v>
                </c:pt>
                <c:pt idx="336">
                  <c:v>8.8387699997378513E-3</c:v>
                </c:pt>
                <c:pt idx="337">
                  <c:v>-0.20737891997003044</c:v>
                </c:pt>
                <c:pt idx="338">
                  <c:v>-0.11574881021981565</c:v>
                </c:pt>
                <c:pt idx="339">
                  <c:v>0.10584985756922259</c:v>
                </c:pt>
                <c:pt idx="340">
                  <c:v>0.11322452126975967</c:v>
                </c:pt>
                <c:pt idx="341">
                  <c:v>9.7989218274723178E-2</c:v>
                </c:pt>
                <c:pt idx="342">
                  <c:v>1.9721323166383236E-2</c:v>
                </c:pt>
                <c:pt idx="343">
                  <c:v>1.6147976795689092E-2</c:v>
                </c:pt>
                <c:pt idx="344">
                  <c:v>9.5824656760667773E-3</c:v>
                </c:pt>
                <c:pt idx="345">
                  <c:v>2.1858448845461377E-2</c:v>
                </c:pt>
                <c:pt idx="346">
                  <c:v>1.5352509001958621E-2</c:v>
                </c:pt>
                <c:pt idx="347">
                  <c:v>2.4142055696884952E-2</c:v>
                </c:pt>
                <c:pt idx="348">
                  <c:v>1.2752919888139497E-2</c:v>
                </c:pt>
                <c:pt idx="349">
                  <c:v>1.3018707793763528E-2</c:v>
                </c:pt>
                <c:pt idx="350">
                  <c:v>-7.3075797600484233E-3</c:v>
                </c:pt>
                <c:pt idx="351">
                  <c:v>3.1840060732341587E-2</c:v>
                </c:pt>
                <c:pt idx="352">
                  <c:v>8.3513025918780254E-3</c:v>
                </c:pt>
                <c:pt idx="353">
                  <c:v>4.5912684397837484E-3</c:v>
                </c:pt>
                <c:pt idx="354">
                  <c:v>1.827341353546124E-2</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9FA2-471B-80FC-B23A52FA027F}"/>
            </c:ext>
          </c:extLst>
        </c:ser>
        <c:dLbls>
          <c:showLegendKey val="0"/>
          <c:showVal val="0"/>
          <c:showCatName val="0"/>
          <c:showSerName val="0"/>
          <c:showPercent val="0"/>
          <c:showBubbleSize val="0"/>
        </c:dLbls>
        <c:gapWidth val="219"/>
        <c:overlap val="-27"/>
        <c:axId val="504147584"/>
        <c:axId val="504147976"/>
      </c:barChart>
      <c:dateAx>
        <c:axId val="504147584"/>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47976"/>
        <c:crosses val="autoZero"/>
        <c:auto val="1"/>
        <c:lblOffset val="100"/>
        <c:baseTimeUnit val="months"/>
      </c:dateAx>
      <c:valAx>
        <c:axId val="504147976"/>
        <c:scaling>
          <c:orientation val="minMax"/>
          <c:max val="0.2"/>
          <c:min val="-0.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47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'New Orders'!$C$5</c:f>
              <c:strCache>
                <c:ptCount val="1"/>
                <c:pt idx="0">
                  <c:v>mom %</c:v>
                </c:pt>
              </c:strCache>
            </c:strRef>
          </c:tx>
          <c:spPr>
            <a:solidFill>
              <a:srgbClr val="92D050"/>
            </a:solidFill>
            <a:ln w="6350">
              <a:solidFill>
                <a:schemeClr val="tx1"/>
              </a:solidFill>
            </a:ln>
            <a:effectLst/>
          </c:spPr>
          <c:invertIfNegative val="1"/>
          <c:cat>
            <c:numRef>
              <c:f>'New Orders'!$A$251:$A$350</c:f>
              <c:numCache>
                <c:formatCode>m/d/yy</c:formatCode>
                <c:ptCount val="100"/>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numCache>
            </c:numRef>
          </c:cat>
          <c:val>
            <c:numRef>
              <c:f>'New Orders'!$C$251:$C$350</c:f>
              <c:numCache>
                <c:formatCode>0.0%</c:formatCode>
                <c:ptCount val="100"/>
                <c:pt idx="0">
                  <c:v>3.5605510904880969E-2</c:v>
                </c:pt>
                <c:pt idx="1">
                  <c:v>-9.3812339618431329E-2</c:v>
                </c:pt>
                <c:pt idx="2">
                  <c:v>6.9272213302865246E-2</c:v>
                </c:pt>
                <c:pt idx="3">
                  <c:v>9.156226971260133E-3</c:v>
                </c:pt>
                <c:pt idx="4">
                  <c:v>-2.3207733172681964E-2</c:v>
                </c:pt>
                <c:pt idx="5">
                  <c:v>8.7523303570177041E-2</c:v>
                </c:pt>
                <c:pt idx="6">
                  <c:v>-4.2821851302872117E-2</c:v>
                </c:pt>
                <c:pt idx="7">
                  <c:v>4.2636946334632025E-2</c:v>
                </c:pt>
                <c:pt idx="8">
                  <c:v>-6.4618338520881502E-2</c:v>
                </c:pt>
                <c:pt idx="9">
                  <c:v>4.9476014488418013E-2</c:v>
                </c:pt>
                <c:pt idx="10">
                  <c:v>3.2228639590925638E-2</c:v>
                </c:pt>
                <c:pt idx="11">
                  <c:v>5.0489429678471892E-2</c:v>
                </c:pt>
                <c:pt idx="12">
                  <c:v>-9.8370136698212401E-2</c:v>
                </c:pt>
                <c:pt idx="13">
                  <c:v>-2.6868577221367471E-3</c:v>
                </c:pt>
                <c:pt idx="14">
                  <c:v>7.4625120312317286E-2</c:v>
                </c:pt>
                <c:pt idx="15">
                  <c:v>-2.0215125769053696E-2</c:v>
                </c:pt>
                <c:pt idx="16">
                  <c:v>3.4122170012815034E-2</c:v>
                </c:pt>
                <c:pt idx="17">
                  <c:v>-2.1438485178943194E-2</c:v>
                </c:pt>
                <c:pt idx="18">
                  <c:v>-4.3031177975331153E-2</c:v>
                </c:pt>
                <c:pt idx="19">
                  <c:v>1.6664902251393887E-2</c:v>
                </c:pt>
                <c:pt idx="20">
                  <c:v>2.119905242057948E-2</c:v>
                </c:pt>
                <c:pt idx="21">
                  <c:v>1.5125250671289216E-3</c:v>
                </c:pt>
                <c:pt idx="22">
                  <c:v>-2.54238007160917E-2</c:v>
                </c:pt>
                <c:pt idx="23">
                  <c:v>4.4691399941670908E-2</c:v>
                </c:pt>
                <c:pt idx="24">
                  <c:v>0.26759806331719432</c:v>
                </c:pt>
                <c:pt idx="25">
                  <c:v>-0.22716380525999191</c:v>
                </c:pt>
                <c:pt idx="26">
                  <c:v>2.3078264494094329E-2</c:v>
                </c:pt>
                <c:pt idx="27">
                  <c:v>-3.5719779328923791E-2</c:v>
                </c:pt>
                <c:pt idx="28">
                  <c:v>-7.1438733848680951E-3</c:v>
                </c:pt>
                <c:pt idx="29">
                  <c:v>-2.3092622345737984E-2</c:v>
                </c:pt>
                <c:pt idx="30">
                  <c:v>-2.002915918425404E-2</c:v>
                </c:pt>
                <c:pt idx="31">
                  <c:v>-1.4378634347246287E-2</c:v>
                </c:pt>
                <c:pt idx="32">
                  <c:v>5.1017966276415583E-2</c:v>
                </c:pt>
                <c:pt idx="33">
                  <c:v>-8.1573854331777468E-3</c:v>
                </c:pt>
                <c:pt idx="34">
                  <c:v>-5.4993179380096152E-2</c:v>
                </c:pt>
                <c:pt idx="35">
                  <c:v>9.8265922956900342E-2</c:v>
                </c:pt>
                <c:pt idx="36">
                  <c:v>-2.7541823162354262E-2</c:v>
                </c:pt>
                <c:pt idx="37">
                  <c:v>-1.9355092685743279E-2</c:v>
                </c:pt>
                <c:pt idx="38">
                  <c:v>-2.5450831188642133E-2</c:v>
                </c:pt>
                <c:pt idx="39">
                  <c:v>1.9382949412103931E-2</c:v>
                </c:pt>
                <c:pt idx="40">
                  <c:v>2.2404209656708241E-2</c:v>
                </c:pt>
                <c:pt idx="41">
                  <c:v>-3.2663493123012872E-2</c:v>
                </c:pt>
                <c:pt idx="42">
                  <c:v>1.7605026375761539E-2</c:v>
                </c:pt>
                <c:pt idx="43">
                  <c:v>-2.5187815628401649E-2</c:v>
                </c:pt>
                <c:pt idx="44">
                  <c:v>-1.0626515948926822E-2</c:v>
                </c:pt>
                <c:pt idx="45">
                  <c:v>4.0289007715506871E-2</c:v>
                </c:pt>
                <c:pt idx="46">
                  <c:v>-1.7741376090494358E-2</c:v>
                </c:pt>
                <c:pt idx="47">
                  <c:v>-3.5842975356256905E-2</c:v>
                </c:pt>
                <c:pt idx="48">
                  <c:v>4.2725010563876235E-3</c:v>
                </c:pt>
                <c:pt idx="49">
                  <c:v>4.3356708742402994E-2</c:v>
                </c:pt>
                <c:pt idx="50">
                  <c:v>-4.6694507424700007E-2</c:v>
                </c:pt>
                <c:pt idx="51">
                  <c:v>0.12038843165548782</c:v>
                </c:pt>
                <c:pt idx="52">
                  <c:v>-7.785086799291846E-2</c:v>
                </c:pt>
                <c:pt idx="53">
                  <c:v>-1.5504369702787421E-2</c:v>
                </c:pt>
                <c:pt idx="54">
                  <c:v>5.9842607011982383E-3</c:v>
                </c:pt>
                <c:pt idx="55">
                  <c:v>-1.2489894164339262E-2</c:v>
                </c:pt>
                <c:pt idx="56">
                  <c:v>3.1808053884834195E-2</c:v>
                </c:pt>
                <c:pt idx="57">
                  <c:v>6.0861528751437006E-3</c:v>
                </c:pt>
                <c:pt idx="58">
                  <c:v>-1.0449667286536868E-2</c:v>
                </c:pt>
                <c:pt idx="59">
                  <c:v>8.2075595585804656E-2</c:v>
                </c:pt>
                <c:pt idx="60">
                  <c:v>-7.325973602055591E-2</c:v>
                </c:pt>
                <c:pt idx="61">
                  <c:v>6.0013005075592006E-3</c:v>
                </c:pt>
                <c:pt idx="62">
                  <c:v>4.8231222590795444E-2</c:v>
                </c:pt>
                <c:pt idx="63">
                  <c:v>-1.6456411705762956E-2</c:v>
                </c:pt>
                <c:pt idx="64">
                  <c:v>3.1408506506794144E-2</c:v>
                </c:pt>
                <c:pt idx="65">
                  <c:v>-7.8304073078173213E-3</c:v>
                </c:pt>
                <c:pt idx="66">
                  <c:v>-4.112881953012653E-2</c:v>
                </c:pt>
                <c:pt idx="67">
                  <c:v>2.2149750415973377E-2</c:v>
                </c:pt>
                <c:pt idx="68">
                  <c:v>3.8017598006658937E-2</c:v>
                </c:pt>
                <c:pt idx="69">
                  <c:v>2.9524307370622058E-3</c:v>
                </c:pt>
                <c:pt idx="70">
                  <c:v>5.2411906717647009E-3</c:v>
                </c:pt>
                <c:pt idx="71">
                  <c:v>1.2028802760817626E-3</c:v>
                </c:pt>
                <c:pt idx="72">
                  <c:v>-3.1448599292396157E-2</c:v>
                </c:pt>
                <c:pt idx="73">
                  <c:v>6.1538922181301782E-2</c:v>
                </c:pt>
                <c:pt idx="74">
                  <c:v>-1.2954620548486142E-2</c:v>
                </c:pt>
                <c:pt idx="75">
                  <c:v>-2.2346596777419896E-2</c:v>
                </c:pt>
                <c:pt idx="76">
                  <c:v>-4.2048562540451383E-2</c:v>
                </c:pt>
                <c:pt idx="77">
                  <c:v>5.6474075365603817E-2</c:v>
                </c:pt>
                <c:pt idx="78">
                  <c:v>4.0986751715345486E-2</c:v>
                </c:pt>
                <c:pt idx="79">
                  <c:v>-3.5924773587523037E-2</c:v>
                </c:pt>
                <c:pt idx="80">
                  <c:v>5.2141703084595113E-2</c:v>
                </c:pt>
                <c:pt idx="81">
                  <c:v>-1.2702989950141448E-2</c:v>
                </c:pt>
                <c:pt idx="82">
                  <c:v>-5.0773133654961153E-2</c:v>
                </c:pt>
                <c:pt idx="83">
                  <c:v>2.0359066726705691E-2</c:v>
                </c:pt>
                <c:pt idx="84">
                  <c:v>2.0516739060258981E-2</c:v>
                </c:pt>
                <c:pt idx="85">
                  <c:v>-1.6552685106587441E-2</c:v>
                </c:pt>
                <c:pt idx="86">
                  <c:v>-1.2092144584592084E-3</c:v>
                </c:pt>
                <c:pt idx="87">
                  <c:v>2.1832975293192072E-2</c:v>
                </c:pt>
                <c:pt idx="88">
                  <c:v>-6.5846740574373785E-2</c:v>
                </c:pt>
                <c:pt idx="89">
                  <c:v>2.6374339680655258E-2</c:v>
                </c:pt>
                <c:pt idx="90">
                  <c:v>-4.7702658284202164E-2</c:v>
                </c:pt>
                <c:pt idx="91">
                  <c:v>8.8387699997378513E-3</c:v>
                </c:pt>
                <c:pt idx="92">
                  <c:v>-0.20737891997003044</c:v>
                </c:pt>
                <c:pt idx="93">
                  <c:v>-0.11574881021981565</c:v>
                </c:pt>
                <c:pt idx="94">
                  <c:v>0.10584985756922259</c:v>
                </c:pt>
                <c:pt idx="95">
                  <c:v>0.11322452126975967</c:v>
                </c:pt>
                <c:pt idx="96">
                  <c:v>9.7989218274723178E-2</c:v>
                </c:pt>
                <c:pt idx="97">
                  <c:v>1.9721323166383236E-2</c:v>
                </c:pt>
                <c:pt idx="98">
                  <c:v>1.6147976795689092E-2</c:v>
                </c:pt>
                <c:pt idx="99">
                  <c:v>9.5824656760667773E-3</c:v>
                </c:pt>
              </c:numCache>
            </c:numRef>
          </c:val>
          <c:extLst>
            <c:ext xmlns:c14="http://schemas.microsoft.com/office/drawing/2007/8/2/chart" uri="{6F2FDCE9-48DA-4B69-8628-5D25D57E5C99}">
              <c14:invertSolidFillFmt>
                <c14:spPr xmlns:c14="http://schemas.microsoft.com/office/drawing/2007/8/2/chart">
                  <a:solidFill>
                    <a:srgbClr val="FF0000"/>
                  </a:solidFill>
                  <a:ln w="6350">
                    <a:solidFill>
                      <a:schemeClr val="tx1"/>
                    </a:solidFill>
                  </a:ln>
                  <a:effectLst/>
                </c14:spPr>
              </c14:invertSolidFillFmt>
            </c:ext>
            <c:ext xmlns:c16="http://schemas.microsoft.com/office/drawing/2014/chart" uri="{C3380CC4-5D6E-409C-BE32-E72D297353CC}">
              <c16:uniqueId val="{00000000-2CD7-4AF4-94A2-00D90ADC7B7F}"/>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50720"/>
        <c:crosses val="autoZero"/>
        <c:auto val="1"/>
        <c:lblOffset val="100"/>
        <c:baseTimeUnit val="months"/>
        <c:majorUnit val="6"/>
        <c:majorTimeUnit val="months"/>
      </c:dateAx>
      <c:valAx>
        <c:axId val="50415072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'New Orders'!$B$5</c:f>
              <c:strCache>
                <c:ptCount val="1"/>
                <c:pt idx="0">
                  <c:v>Manufacturers' New Orders: Durable Goods</c:v>
                </c:pt>
              </c:strCache>
            </c:strRef>
          </c:tx>
          <c:spPr>
            <a:ln w="28575" cap="rnd">
              <a:solidFill>
                <a:schemeClr val="accent1"/>
              </a:solidFill>
              <a:round/>
            </a:ln>
            <a:effectLst/>
          </c:spPr>
          <c:marker>
            <c:symbol val="none"/>
          </c:marker>
          <c:cat>
            <c:numRef>
              <c:f>'New Orders'!$A$6:$A$350</c:f>
              <c:numCache>
                <c:formatCode>m/d/yy</c:formatCode>
                <c:ptCount val="345"/>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numCache>
            </c:numRef>
          </c:cat>
          <c:val>
            <c:numRef>
              <c:f>'New Orders'!$B$6:$B$350</c:f>
              <c:numCache>
                <c:formatCode>#,##0</c:formatCode>
                <c:ptCount val="345"/>
                <c:pt idx="0">
                  <c:v>114535</c:v>
                </c:pt>
                <c:pt idx="1">
                  <c:v>120025</c:v>
                </c:pt>
                <c:pt idx="2">
                  <c:v>124470</c:v>
                </c:pt>
                <c:pt idx="3">
                  <c:v>125822</c:v>
                </c:pt>
                <c:pt idx="4">
                  <c:v>122834</c:v>
                </c:pt>
                <c:pt idx="5">
                  <c:v>122590</c:v>
                </c:pt>
                <c:pt idx="6">
                  <c:v>120411</c:v>
                </c:pt>
                <c:pt idx="7">
                  <c:v>120711</c:v>
                </c:pt>
                <c:pt idx="8">
                  <c:v>127392</c:v>
                </c:pt>
                <c:pt idx="9">
                  <c:v>122374</c:v>
                </c:pt>
                <c:pt idx="10">
                  <c:v>126080</c:v>
                </c:pt>
                <c:pt idx="11">
                  <c:v>121637</c:v>
                </c:pt>
                <c:pt idx="12">
                  <c:v>128854</c:v>
                </c:pt>
                <c:pt idx="13">
                  <c:v>126762</c:v>
                </c:pt>
                <c:pt idx="14">
                  <c:v>127395</c:v>
                </c:pt>
                <c:pt idx="15">
                  <c:v>126529</c:v>
                </c:pt>
                <c:pt idx="16">
                  <c:v>130212</c:v>
                </c:pt>
                <c:pt idx="17">
                  <c:v>128111</c:v>
                </c:pt>
                <c:pt idx="18">
                  <c:v>129378</c:v>
                </c:pt>
                <c:pt idx="19">
                  <c:v>127233</c:v>
                </c:pt>
                <c:pt idx="20">
                  <c:v>133168</c:v>
                </c:pt>
                <c:pt idx="21">
                  <c:v>130391</c:v>
                </c:pt>
                <c:pt idx="22">
                  <c:v>133565</c:v>
                </c:pt>
                <c:pt idx="23">
                  <c:v>138498</c:v>
                </c:pt>
                <c:pt idx="24">
                  <c:v>137141</c:v>
                </c:pt>
                <c:pt idx="25">
                  <c:v>136548</c:v>
                </c:pt>
                <c:pt idx="26">
                  <c:v>140336</c:v>
                </c:pt>
                <c:pt idx="27">
                  <c:v>142630</c:v>
                </c:pt>
                <c:pt idx="28">
                  <c:v>145063</c:v>
                </c:pt>
                <c:pt idx="29">
                  <c:v>145013</c:v>
                </c:pt>
                <c:pt idx="30">
                  <c:v>145884</c:v>
                </c:pt>
                <c:pt idx="31">
                  <c:v>145487</c:v>
                </c:pt>
                <c:pt idx="32">
                  <c:v>149547</c:v>
                </c:pt>
                <c:pt idx="33">
                  <c:v>150038</c:v>
                </c:pt>
                <c:pt idx="34">
                  <c:v>152489</c:v>
                </c:pt>
                <c:pt idx="35">
                  <c:v>150459</c:v>
                </c:pt>
                <c:pt idx="36">
                  <c:v>153856</c:v>
                </c:pt>
                <c:pt idx="37">
                  <c:v>152888</c:v>
                </c:pt>
                <c:pt idx="38">
                  <c:v>151401</c:v>
                </c:pt>
                <c:pt idx="39">
                  <c:v>152838</c:v>
                </c:pt>
                <c:pt idx="40">
                  <c:v>150051</c:v>
                </c:pt>
                <c:pt idx="41">
                  <c:v>148915</c:v>
                </c:pt>
                <c:pt idx="42">
                  <c:v>154372</c:v>
                </c:pt>
                <c:pt idx="43">
                  <c:v>160175</c:v>
                </c:pt>
                <c:pt idx="44">
                  <c:v>155473</c:v>
                </c:pt>
                <c:pt idx="45">
                  <c:v>156146</c:v>
                </c:pt>
                <c:pt idx="46">
                  <c:v>163279</c:v>
                </c:pt>
                <c:pt idx="47">
                  <c:v>155806</c:v>
                </c:pt>
                <c:pt idx="48">
                  <c:v>150773</c:v>
                </c:pt>
                <c:pt idx="49">
                  <c:v>164976</c:v>
                </c:pt>
                <c:pt idx="50">
                  <c:v>156830</c:v>
                </c:pt>
                <c:pt idx="51">
                  <c:v>164502</c:v>
                </c:pt>
                <c:pt idx="52">
                  <c:v>164599</c:v>
                </c:pt>
                <c:pt idx="53">
                  <c:v>163588</c:v>
                </c:pt>
                <c:pt idx="54">
                  <c:v>157310</c:v>
                </c:pt>
                <c:pt idx="55">
                  <c:v>165442</c:v>
                </c:pt>
                <c:pt idx="56">
                  <c:v>165266</c:v>
                </c:pt>
                <c:pt idx="57">
                  <c:v>170783</c:v>
                </c:pt>
                <c:pt idx="58">
                  <c:v>162332</c:v>
                </c:pt>
                <c:pt idx="59">
                  <c:v>161827</c:v>
                </c:pt>
                <c:pt idx="60">
                  <c:v>170221</c:v>
                </c:pt>
                <c:pt idx="61">
                  <c:v>167568</c:v>
                </c:pt>
                <c:pt idx="62">
                  <c:v>174054</c:v>
                </c:pt>
                <c:pt idx="63">
                  <c:v>168586</c:v>
                </c:pt>
                <c:pt idx="64">
                  <c:v>174828</c:v>
                </c:pt>
                <c:pt idx="65">
                  <c:v>178860</c:v>
                </c:pt>
                <c:pt idx="66">
                  <c:v>177302</c:v>
                </c:pt>
                <c:pt idx="67">
                  <c:v>177835</c:v>
                </c:pt>
                <c:pt idx="68">
                  <c:v>177801</c:v>
                </c:pt>
                <c:pt idx="69">
                  <c:v>191187</c:v>
                </c:pt>
                <c:pt idx="70">
                  <c:v>173770</c:v>
                </c:pt>
                <c:pt idx="71">
                  <c:v>174288</c:v>
                </c:pt>
                <c:pt idx="72">
                  <c:v>181270</c:v>
                </c:pt>
                <c:pt idx="73">
                  <c:v>176886</c:v>
                </c:pt>
                <c:pt idx="74">
                  <c:v>180915</c:v>
                </c:pt>
                <c:pt idx="75">
                  <c:v>180634</c:v>
                </c:pt>
                <c:pt idx="76">
                  <c:v>172189</c:v>
                </c:pt>
                <c:pt idx="77">
                  <c:v>170459</c:v>
                </c:pt>
                <c:pt idx="78">
                  <c:v>179033</c:v>
                </c:pt>
                <c:pt idx="79">
                  <c:v>181422</c:v>
                </c:pt>
                <c:pt idx="80">
                  <c:v>178527</c:v>
                </c:pt>
                <c:pt idx="81">
                  <c:v>182400</c:v>
                </c:pt>
                <c:pt idx="82">
                  <c:v>178424</c:v>
                </c:pt>
                <c:pt idx="83">
                  <c:v>186527</c:v>
                </c:pt>
                <c:pt idx="84">
                  <c:v>185546</c:v>
                </c:pt>
                <c:pt idx="85">
                  <c:v>184689</c:v>
                </c:pt>
                <c:pt idx="86">
                  <c:v>182993</c:v>
                </c:pt>
                <c:pt idx="87">
                  <c:v>185963</c:v>
                </c:pt>
                <c:pt idx="88">
                  <c:v>182590</c:v>
                </c:pt>
                <c:pt idx="89">
                  <c:v>189083</c:v>
                </c:pt>
                <c:pt idx="90">
                  <c:v>189414</c:v>
                </c:pt>
                <c:pt idx="91">
                  <c:v>188910</c:v>
                </c:pt>
                <c:pt idx="92">
                  <c:v>194547</c:v>
                </c:pt>
                <c:pt idx="93">
                  <c:v>186597</c:v>
                </c:pt>
                <c:pt idx="94">
                  <c:v>196344</c:v>
                </c:pt>
                <c:pt idx="95">
                  <c:v>201360</c:v>
                </c:pt>
                <c:pt idx="96">
                  <c:v>183911</c:v>
                </c:pt>
                <c:pt idx="97">
                  <c:v>192130</c:v>
                </c:pt>
                <c:pt idx="98">
                  <c:v>195044</c:v>
                </c:pt>
                <c:pt idx="99">
                  <c:v>188606</c:v>
                </c:pt>
                <c:pt idx="100">
                  <c:v>219745</c:v>
                </c:pt>
                <c:pt idx="101">
                  <c:v>189265</c:v>
                </c:pt>
                <c:pt idx="102">
                  <c:v>188730</c:v>
                </c:pt>
                <c:pt idx="103">
                  <c:v>199947</c:v>
                </c:pt>
                <c:pt idx="104">
                  <c:v>186158</c:v>
                </c:pt>
                <c:pt idx="105">
                  <c:v>189392</c:v>
                </c:pt>
                <c:pt idx="106">
                  <c:v>188659</c:v>
                </c:pt>
                <c:pt idx="107">
                  <c:v>177056</c:v>
                </c:pt>
                <c:pt idx="108">
                  <c:v>180276</c:v>
                </c:pt>
                <c:pt idx="109">
                  <c:v>182209</c:v>
                </c:pt>
                <c:pt idx="110">
                  <c:v>171850</c:v>
                </c:pt>
                <c:pt idx="111">
                  <c:v>177749</c:v>
                </c:pt>
                <c:pt idx="112">
                  <c:v>176350</c:v>
                </c:pt>
                <c:pt idx="113">
                  <c:v>170129</c:v>
                </c:pt>
                <c:pt idx="114">
                  <c:v>170484</c:v>
                </c:pt>
                <c:pt idx="115">
                  <c:v>164123</c:v>
                </c:pt>
                <c:pt idx="116">
                  <c:v>171530</c:v>
                </c:pt>
                <c:pt idx="117">
                  <c:v>163811</c:v>
                </c:pt>
                <c:pt idx="118">
                  <c:v>165304</c:v>
                </c:pt>
                <c:pt idx="119">
                  <c:v>163324</c:v>
                </c:pt>
                <c:pt idx="120">
                  <c:v>172406</c:v>
                </c:pt>
                <c:pt idx="121">
                  <c:v>167853</c:v>
                </c:pt>
                <c:pt idx="122">
                  <c:v>171852</c:v>
                </c:pt>
                <c:pt idx="123">
                  <c:v>171854</c:v>
                </c:pt>
                <c:pt idx="124">
                  <c:v>166070</c:v>
                </c:pt>
                <c:pt idx="125">
                  <c:v>174282</c:v>
                </c:pt>
                <c:pt idx="126">
                  <c:v>177126</c:v>
                </c:pt>
                <c:pt idx="127">
                  <c:v>166838</c:v>
                </c:pt>
                <c:pt idx="128">
                  <c:v>169134</c:v>
                </c:pt>
                <c:pt idx="129">
                  <c:v>170023</c:v>
                </c:pt>
                <c:pt idx="130">
                  <c:v>163962</c:v>
                </c:pt>
                <c:pt idx="131">
                  <c:v>169994</c:v>
                </c:pt>
                <c:pt idx="132">
                  <c:v>174113</c:v>
                </c:pt>
                <c:pt idx="133">
                  <c:v>172245</c:v>
                </c:pt>
                <c:pt idx="134">
                  <c:v>169347</c:v>
                </c:pt>
                <c:pt idx="135">
                  <c:v>171542</c:v>
                </c:pt>
                <c:pt idx="136">
                  <c:v>173507</c:v>
                </c:pt>
                <c:pt idx="137">
                  <c:v>173320</c:v>
                </c:pt>
                <c:pt idx="138">
                  <c:v>173044</c:v>
                </c:pt>
                <c:pt idx="139">
                  <c:v>178690</c:v>
                </c:pt>
                <c:pt idx="140">
                  <c:v>183704</c:v>
                </c:pt>
                <c:pt idx="141">
                  <c:v>181685</c:v>
                </c:pt>
                <c:pt idx="142">
                  <c:v>181513</c:v>
                </c:pt>
                <c:pt idx="143">
                  <c:v>178696</c:v>
                </c:pt>
                <c:pt idx="144">
                  <c:v>181662</c:v>
                </c:pt>
                <c:pt idx="145">
                  <c:v>190869</c:v>
                </c:pt>
                <c:pt idx="146">
                  <c:v>184368</c:v>
                </c:pt>
                <c:pt idx="147">
                  <c:v>183459</c:v>
                </c:pt>
                <c:pt idx="148">
                  <c:v>185640</c:v>
                </c:pt>
                <c:pt idx="149">
                  <c:v>186835</c:v>
                </c:pt>
                <c:pt idx="150">
                  <c:v>183728</c:v>
                </c:pt>
                <c:pt idx="151">
                  <c:v>188444</c:v>
                </c:pt>
                <c:pt idx="152">
                  <c:v>185187</c:v>
                </c:pt>
                <c:pt idx="153">
                  <c:v>192545</c:v>
                </c:pt>
                <c:pt idx="154">
                  <c:v>193578</c:v>
                </c:pt>
                <c:pt idx="155">
                  <c:v>194875</c:v>
                </c:pt>
                <c:pt idx="156">
                  <c:v>196475</c:v>
                </c:pt>
                <c:pt idx="157">
                  <c:v>186608</c:v>
                </c:pt>
                <c:pt idx="158">
                  <c:v>194847</c:v>
                </c:pt>
                <c:pt idx="159">
                  <c:v>206623</c:v>
                </c:pt>
                <c:pt idx="160">
                  <c:v>210020</c:v>
                </c:pt>
                <c:pt idx="161">
                  <c:v>194475</c:v>
                </c:pt>
                <c:pt idx="162">
                  <c:v>204839</c:v>
                </c:pt>
                <c:pt idx="163">
                  <c:v>203997</c:v>
                </c:pt>
                <c:pt idx="164">
                  <c:v>209901</c:v>
                </c:pt>
                <c:pt idx="165">
                  <c:v>220733</c:v>
                </c:pt>
                <c:pt idx="166">
                  <c:v>221499</c:v>
                </c:pt>
                <c:pt idx="167">
                  <c:v>209540</c:v>
                </c:pt>
                <c:pt idx="168">
                  <c:v>219738</c:v>
                </c:pt>
                <c:pt idx="169">
                  <c:v>227188</c:v>
                </c:pt>
                <c:pt idx="170">
                  <c:v>214625</c:v>
                </c:pt>
                <c:pt idx="171">
                  <c:v>215819</c:v>
                </c:pt>
                <c:pt idx="172">
                  <c:v>221220</c:v>
                </c:pt>
                <c:pt idx="173">
                  <c:v>209494</c:v>
                </c:pt>
                <c:pt idx="174">
                  <c:v>210473</c:v>
                </c:pt>
                <c:pt idx="175">
                  <c:v>234701</c:v>
                </c:pt>
                <c:pt idx="176">
                  <c:v>216952</c:v>
                </c:pt>
                <c:pt idx="177">
                  <c:v>224809</c:v>
                </c:pt>
                <c:pt idx="178">
                  <c:v>229243</c:v>
                </c:pt>
                <c:pt idx="179">
                  <c:v>222969</c:v>
                </c:pt>
                <c:pt idx="180">
                  <c:v>220962</c:v>
                </c:pt>
                <c:pt idx="181">
                  <c:v>229526</c:v>
                </c:pt>
                <c:pt idx="182">
                  <c:v>233420</c:v>
                </c:pt>
                <c:pt idx="183">
                  <c:v>228836</c:v>
                </c:pt>
                <c:pt idx="184">
                  <c:v>228868</c:v>
                </c:pt>
                <c:pt idx="185">
                  <c:v>233176</c:v>
                </c:pt>
                <c:pt idx="186">
                  <c:v>235758</c:v>
                </c:pt>
                <c:pt idx="187">
                  <c:v>226473</c:v>
                </c:pt>
                <c:pt idx="188">
                  <c:v>230700</c:v>
                </c:pt>
                <c:pt idx="189">
                  <c:v>227005</c:v>
                </c:pt>
                <c:pt idx="190">
                  <c:v>244443</c:v>
                </c:pt>
                <c:pt idx="191">
                  <c:v>239389</c:v>
                </c:pt>
                <c:pt idx="192">
                  <c:v>235037</c:v>
                </c:pt>
                <c:pt idx="193">
                  <c:v>234868</c:v>
                </c:pt>
                <c:pt idx="194">
                  <c:v>231086</c:v>
                </c:pt>
                <c:pt idx="195">
                  <c:v>227370</c:v>
                </c:pt>
                <c:pt idx="196">
                  <c:v>229262</c:v>
                </c:pt>
                <c:pt idx="197">
                  <c:v>220411</c:v>
                </c:pt>
                <c:pt idx="198">
                  <c:v>214106</c:v>
                </c:pt>
                <c:pt idx="199">
                  <c:v>215245</c:v>
                </c:pt>
                <c:pt idx="200">
                  <c:v>191912</c:v>
                </c:pt>
                <c:pt idx="201">
                  <c:v>181552</c:v>
                </c:pt>
                <c:pt idx="202">
                  <c:v>173849</c:v>
                </c:pt>
                <c:pt idx="203">
                  <c:v>151085</c:v>
                </c:pt>
                <c:pt idx="204">
                  <c:v>148834</c:v>
                </c:pt>
                <c:pt idx="205">
                  <c:v>146323</c:v>
                </c:pt>
                <c:pt idx="206">
                  <c:v>147467</c:v>
                </c:pt>
                <c:pt idx="207">
                  <c:v>149255</c:v>
                </c:pt>
                <c:pt idx="208">
                  <c:v>147033</c:v>
                </c:pt>
                <c:pt idx="209">
                  <c:v>153691</c:v>
                </c:pt>
                <c:pt idx="210">
                  <c:v>157489</c:v>
                </c:pt>
                <c:pt idx="211">
                  <c:v>158041</c:v>
                </c:pt>
                <c:pt idx="212">
                  <c:v>161097</c:v>
                </c:pt>
                <c:pt idx="213">
                  <c:v>160419</c:v>
                </c:pt>
                <c:pt idx="214">
                  <c:v>160520</c:v>
                </c:pt>
                <c:pt idx="215">
                  <c:v>181016</c:v>
                </c:pt>
                <c:pt idx="216">
                  <c:v>180450</c:v>
                </c:pt>
                <c:pt idx="217">
                  <c:v>182148</c:v>
                </c:pt>
                <c:pt idx="218">
                  <c:v>182948</c:v>
                </c:pt>
                <c:pt idx="219">
                  <c:v>189932</c:v>
                </c:pt>
                <c:pt idx="220">
                  <c:v>185667</c:v>
                </c:pt>
                <c:pt idx="221">
                  <c:v>187506</c:v>
                </c:pt>
                <c:pt idx="222">
                  <c:v>191745</c:v>
                </c:pt>
                <c:pt idx="223">
                  <c:v>201932</c:v>
                </c:pt>
                <c:pt idx="224">
                  <c:v>193066</c:v>
                </c:pt>
                <c:pt idx="225">
                  <c:v>197202</c:v>
                </c:pt>
                <c:pt idx="226">
                  <c:v>193452</c:v>
                </c:pt>
                <c:pt idx="227">
                  <c:v>203636</c:v>
                </c:pt>
                <c:pt idx="228">
                  <c:v>196393</c:v>
                </c:pt>
                <c:pt idx="229">
                  <c:v>212748</c:v>
                </c:pt>
                <c:pt idx="230">
                  <c:v>200733</c:v>
                </c:pt>
                <c:pt idx="231">
                  <c:v>207170</c:v>
                </c:pt>
                <c:pt idx="232">
                  <c:v>201579</c:v>
                </c:pt>
                <c:pt idx="233">
                  <c:v>206458</c:v>
                </c:pt>
                <c:pt idx="234">
                  <c:v>216705</c:v>
                </c:pt>
                <c:pt idx="235">
                  <c:v>204738</c:v>
                </c:pt>
                <c:pt idx="236">
                  <c:v>210799</c:v>
                </c:pt>
                <c:pt idx="237">
                  <c:v>215531</c:v>
                </c:pt>
                <c:pt idx="238">
                  <c:v>223835</c:v>
                </c:pt>
                <c:pt idx="239">
                  <c:v>224511</c:v>
                </c:pt>
                <c:pt idx="240">
                  <c:v>228429</c:v>
                </c:pt>
                <c:pt idx="241">
                  <c:v>219730</c:v>
                </c:pt>
                <c:pt idx="242">
                  <c:v>218628</c:v>
                </c:pt>
                <c:pt idx="243">
                  <c:v>220876</c:v>
                </c:pt>
                <c:pt idx="244">
                  <c:v>216371</c:v>
                </c:pt>
                <c:pt idx="245">
                  <c:v>224075</c:v>
                </c:pt>
                <c:pt idx="246">
                  <c:v>203054</c:v>
                </c:pt>
                <c:pt idx="247">
                  <c:v>217120</c:v>
                </c:pt>
                <c:pt idx="248">
                  <c:v>219108</c:v>
                </c:pt>
                <c:pt idx="249">
                  <c:v>214023</c:v>
                </c:pt>
                <c:pt idx="250">
                  <c:v>232755</c:v>
                </c:pt>
                <c:pt idx="251">
                  <c:v>222788</c:v>
                </c:pt>
                <c:pt idx="252">
                  <c:v>232287</c:v>
                </c:pt>
                <c:pt idx="253">
                  <c:v>217277</c:v>
                </c:pt>
                <c:pt idx="254">
                  <c:v>228027</c:v>
                </c:pt>
                <c:pt idx="255">
                  <c:v>235376</c:v>
                </c:pt>
                <c:pt idx="256">
                  <c:v>247260</c:v>
                </c:pt>
                <c:pt idx="257">
                  <c:v>222937</c:v>
                </c:pt>
                <c:pt idx="258">
                  <c:v>222338</c:v>
                </c:pt>
                <c:pt idx="259">
                  <c:v>238930</c:v>
                </c:pt>
                <c:pt idx="260">
                  <c:v>234100</c:v>
                </c:pt>
                <c:pt idx="261">
                  <c:v>242088</c:v>
                </c:pt>
                <c:pt idx="262">
                  <c:v>236898</c:v>
                </c:pt>
                <c:pt idx="263">
                  <c:v>226704</c:v>
                </c:pt>
                <c:pt idx="264">
                  <c:v>230482</c:v>
                </c:pt>
                <c:pt idx="265">
                  <c:v>235368</c:v>
                </c:pt>
                <c:pt idx="266">
                  <c:v>235724</c:v>
                </c:pt>
                <c:pt idx="267">
                  <c:v>229731</c:v>
                </c:pt>
                <c:pt idx="268">
                  <c:v>239998</c:v>
                </c:pt>
                <c:pt idx="269">
                  <c:v>304221</c:v>
                </c:pt>
                <c:pt idx="270">
                  <c:v>235113</c:v>
                </c:pt>
                <c:pt idx="271">
                  <c:v>240539</c:v>
                </c:pt>
                <c:pt idx="272">
                  <c:v>231947</c:v>
                </c:pt>
                <c:pt idx="273">
                  <c:v>230290</c:v>
                </c:pt>
                <c:pt idx="274">
                  <c:v>224972</c:v>
                </c:pt>
                <c:pt idx="275">
                  <c:v>220466</c:v>
                </c:pt>
                <c:pt idx="276">
                  <c:v>217296</c:v>
                </c:pt>
                <c:pt idx="277">
                  <c:v>228382</c:v>
                </c:pt>
                <c:pt idx="278">
                  <c:v>226519</c:v>
                </c:pt>
                <c:pt idx="279">
                  <c:v>214062</c:v>
                </c:pt>
                <c:pt idx="280">
                  <c:v>235097</c:v>
                </c:pt>
                <c:pt idx="281">
                  <c:v>228622</c:v>
                </c:pt>
                <c:pt idx="282">
                  <c:v>224197</c:v>
                </c:pt>
                <c:pt idx="283">
                  <c:v>218491</c:v>
                </c:pt>
                <c:pt idx="284">
                  <c:v>222726</c:v>
                </c:pt>
                <c:pt idx="285">
                  <c:v>227716</c:v>
                </c:pt>
                <c:pt idx="286">
                  <c:v>220278</c:v>
                </c:pt>
                <c:pt idx="287">
                  <c:v>224156</c:v>
                </c:pt>
                <c:pt idx="288">
                  <c:v>218510</c:v>
                </c:pt>
                <c:pt idx="289">
                  <c:v>216188</c:v>
                </c:pt>
                <c:pt idx="290">
                  <c:v>224898</c:v>
                </c:pt>
                <c:pt idx="291">
                  <c:v>220908</c:v>
                </c:pt>
                <c:pt idx="292">
                  <c:v>212990</c:v>
                </c:pt>
                <c:pt idx="293">
                  <c:v>213900</c:v>
                </c:pt>
                <c:pt idx="294">
                  <c:v>223174</c:v>
                </c:pt>
                <c:pt idx="295">
                  <c:v>212753</c:v>
                </c:pt>
                <c:pt idx="296">
                  <c:v>238366</c:v>
                </c:pt>
                <c:pt idx="297">
                  <c:v>219809</c:v>
                </c:pt>
                <c:pt idx="298">
                  <c:v>216401</c:v>
                </c:pt>
                <c:pt idx="299">
                  <c:v>217696</c:v>
                </c:pt>
                <c:pt idx="300">
                  <c:v>214977</c:v>
                </c:pt>
                <c:pt idx="301">
                  <c:v>221815</c:v>
                </c:pt>
                <c:pt idx="302">
                  <c:v>223165</c:v>
                </c:pt>
                <c:pt idx="303">
                  <c:v>220833</c:v>
                </c:pt>
                <c:pt idx="304">
                  <c:v>238958</c:v>
                </c:pt>
                <c:pt idx="305">
                  <c:v>221452</c:v>
                </c:pt>
                <c:pt idx="306">
                  <c:v>222781</c:v>
                </c:pt>
                <c:pt idx="307">
                  <c:v>233526</c:v>
                </c:pt>
                <c:pt idx="308">
                  <c:v>229683</c:v>
                </c:pt>
                <c:pt idx="309">
                  <c:v>236897</c:v>
                </c:pt>
                <c:pt idx="310">
                  <c:v>235042</c:v>
                </c:pt>
                <c:pt idx="311">
                  <c:v>225375</c:v>
                </c:pt>
                <c:pt idx="312">
                  <c:v>230367</c:v>
                </c:pt>
                <c:pt idx="313">
                  <c:v>239125</c:v>
                </c:pt>
                <c:pt idx="314">
                  <c:v>239831</c:v>
                </c:pt>
                <c:pt idx="315">
                  <c:v>241088</c:v>
                </c:pt>
                <c:pt idx="316">
                  <c:v>241378</c:v>
                </c:pt>
                <c:pt idx="317">
                  <c:v>233787</c:v>
                </c:pt>
                <c:pt idx="318">
                  <c:v>248174</c:v>
                </c:pt>
                <c:pt idx="319">
                  <c:v>244959</c:v>
                </c:pt>
                <c:pt idx="320">
                  <c:v>239485</c:v>
                </c:pt>
                <c:pt idx="321">
                  <c:v>229415</c:v>
                </c:pt>
                <c:pt idx="322">
                  <c:v>242371</c:v>
                </c:pt>
                <c:pt idx="323">
                  <c:v>252305</c:v>
                </c:pt>
                <c:pt idx="324">
                  <c:v>243241</c:v>
                </c:pt>
                <c:pt idx="325">
                  <c:v>255924</c:v>
                </c:pt>
                <c:pt idx="326">
                  <c:v>252673</c:v>
                </c:pt>
                <c:pt idx="327">
                  <c:v>239844</c:v>
                </c:pt>
                <c:pt idx="328">
                  <c:v>244727</c:v>
                </c:pt>
                <c:pt idx="329">
                  <c:v>249748</c:v>
                </c:pt>
                <c:pt idx="330">
                  <c:v>245614</c:v>
                </c:pt>
                <c:pt idx="331">
                  <c:v>245317</c:v>
                </c:pt>
                <c:pt idx="332">
                  <c:v>250673</c:v>
                </c:pt>
                <c:pt idx="333">
                  <c:v>234167</c:v>
                </c:pt>
                <c:pt idx="334">
                  <c:v>240343</c:v>
                </c:pt>
                <c:pt idx="335">
                  <c:v>228878</c:v>
                </c:pt>
                <c:pt idx="336">
                  <c:v>230901</c:v>
                </c:pt>
                <c:pt idx="337">
                  <c:v>183017</c:v>
                </c:pt>
                <c:pt idx="338">
                  <c:v>161833</c:v>
                </c:pt>
                <c:pt idx="339">
                  <c:v>178963</c:v>
                </c:pt>
                <c:pt idx="340">
                  <c:v>199226</c:v>
                </c:pt>
                <c:pt idx="341">
                  <c:v>218748</c:v>
                </c:pt>
                <c:pt idx="342">
                  <c:v>223062</c:v>
                </c:pt>
                <c:pt idx="343">
                  <c:v>226664</c:v>
                </c:pt>
                <c:pt idx="344">
                  <c:v>228836</c:v>
                </c:pt>
              </c:numCache>
            </c:numRef>
          </c:val>
          <c:smooth val="0"/>
          <c:extLst>
            <c:ext xmlns:c16="http://schemas.microsoft.com/office/drawing/2014/chart" uri="{C3380CC4-5D6E-409C-BE32-E72D297353CC}">
              <c16:uniqueId val="{00000000-2656-4287-BCB9-2BD76E2D86CE}"/>
            </c:ext>
          </c:extLst>
        </c:ser>
        <c:dLbls>
          <c:showLegendKey val="0"/>
          <c:showVal val="0"/>
          <c:showCatName val="0"/>
          <c:showSerName val="0"/>
          <c:showPercent val="0"/>
          <c:showBubbleSize val="0"/>
        </c:dLbls>
        <c:smooth val="0"/>
        <c:axId val="504145232"/>
        <c:axId val="504145624"/>
      </c:lineChart>
      <c:dateAx>
        <c:axId val="504145232"/>
        <c:scaling>
          <c:orientation val="minMax"/>
          <c:min val="39814"/>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45624"/>
        <c:crosses val="autoZero"/>
        <c:auto val="1"/>
        <c:lblOffset val="100"/>
        <c:baseTimeUnit val="months"/>
      </c:dateAx>
      <c:valAx>
        <c:axId val="504145624"/>
        <c:scaling>
          <c:orientation val="minMax"/>
          <c:min val="1100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'New Orders ex Transport'!$B$5</c:f>
              <c:strCache>
                <c:ptCount val="1"/>
                <c:pt idx="0">
                  <c:v>New Orders ex Transport</c:v>
                </c:pt>
              </c:strCache>
            </c:strRef>
          </c:tx>
          <c:spPr>
            <a:ln w="28575" cap="rnd">
              <a:solidFill>
                <a:schemeClr val="accent1"/>
              </a:solidFill>
              <a:round/>
            </a:ln>
            <a:effectLst/>
          </c:spPr>
          <c:marker>
            <c:symbol val="none"/>
          </c:marker>
          <c:cat>
            <c:numRef>
              <c:f>'New Orders ex Transport'!$A$6:$A$350</c:f>
              <c:numCache>
                <c:formatCode>m/d/yy</c:formatCode>
                <c:ptCount val="345"/>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numCache>
            </c:numRef>
          </c:cat>
          <c:val>
            <c:numRef>
              <c:f>'New Orders ex Transport'!$B$6:$B$350</c:f>
              <c:numCache>
                <c:formatCode>#,##0</c:formatCode>
                <c:ptCount val="345"/>
                <c:pt idx="0">
                  <c:v>82931</c:v>
                </c:pt>
                <c:pt idx="1">
                  <c:v>85725</c:v>
                </c:pt>
                <c:pt idx="2">
                  <c:v>86604</c:v>
                </c:pt>
                <c:pt idx="3">
                  <c:v>88340</c:v>
                </c:pt>
                <c:pt idx="4">
                  <c:v>88219</c:v>
                </c:pt>
                <c:pt idx="5">
                  <c:v>87727</c:v>
                </c:pt>
                <c:pt idx="6">
                  <c:v>87497</c:v>
                </c:pt>
                <c:pt idx="7">
                  <c:v>88681</c:v>
                </c:pt>
                <c:pt idx="8">
                  <c:v>87064</c:v>
                </c:pt>
                <c:pt idx="9">
                  <c:v>89497</c:v>
                </c:pt>
                <c:pt idx="10">
                  <c:v>91359</c:v>
                </c:pt>
                <c:pt idx="11">
                  <c:v>91074</c:v>
                </c:pt>
                <c:pt idx="12">
                  <c:v>90448</c:v>
                </c:pt>
                <c:pt idx="13">
                  <c:v>91923</c:v>
                </c:pt>
                <c:pt idx="14">
                  <c:v>91700</c:v>
                </c:pt>
                <c:pt idx="15">
                  <c:v>91493</c:v>
                </c:pt>
                <c:pt idx="16">
                  <c:v>91139</c:v>
                </c:pt>
                <c:pt idx="17">
                  <c:v>92496</c:v>
                </c:pt>
                <c:pt idx="18">
                  <c:v>93424</c:v>
                </c:pt>
                <c:pt idx="19">
                  <c:v>94082</c:v>
                </c:pt>
                <c:pt idx="20">
                  <c:v>96033</c:v>
                </c:pt>
                <c:pt idx="21">
                  <c:v>94450</c:v>
                </c:pt>
                <c:pt idx="22">
                  <c:v>97857</c:v>
                </c:pt>
                <c:pt idx="23">
                  <c:v>97250</c:v>
                </c:pt>
                <c:pt idx="24">
                  <c:v>98720</c:v>
                </c:pt>
                <c:pt idx="25">
                  <c:v>98497</c:v>
                </c:pt>
                <c:pt idx="26">
                  <c:v>101101</c:v>
                </c:pt>
                <c:pt idx="27">
                  <c:v>102623</c:v>
                </c:pt>
                <c:pt idx="28">
                  <c:v>104475</c:v>
                </c:pt>
                <c:pt idx="29">
                  <c:v>104841</c:v>
                </c:pt>
                <c:pt idx="30">
                  <c:v>103904</c:v>
                </c:pt>
                <c:pt idx="31">
                  <c:v>104826</c:v>
                </c:pt>
                <c:pt idx="32">
                  <c:v>107955</c:v>
                </c:pt>
                <c:pt idx="33">
                  <c:v>107142</c:v>
                </c:pt>
                <c:pt idx="34">
                  <c:v>109357</c:v>
                </c:pt>
                <c:pt idx="35">
                  <c:v>111899</c:v>
                </c:pt>
                <c:pt idx="36">
                  <c:v>109484</c:v>
                </c:pt>
                <c:pt idx="37">
                  <c:v>109712</c:v>
                </c:pt>
                <c:pt idx="38">
                  <c:v>110480</c:v>
                </c:pt>
                <c:pt idx="39">
                  <c:v>111794</c:v>
                </c:pt>
                <c:pt idx="40">
                  <c:v>109440</c:v>
                </c:pt>
                <c:pt idx="41">
                  <c:v>108990</c:v>
                </c:pt>
                <c:pt idx="42">
                  <c:v>112316</c:v>
                </c:pt>
                <c:pt idx="43">
                  <c:v>113019</c:v>
                </c:pt>
                <c:pt idx="44">
                  <c:v>115650</c:v>
                </c:pt>
                <c:pt idx="45">
                  <c:v>113473</c:v>
                </c:pt>
                <c:pt idx="46">
                  <c:v>116432</c:v>
                </c:pt>
                <c:pt idx="47">
                  <c:v>112070</c:v>
                </c:pt>
                <c:pt idx="48">
                  <c:v>110398</c:v>
                </c:pt>
                <c:pt idx="49">
                  <c:v>114653</c:v>
                </c:pt>
                <c:pt idx="50">
                  <c:v>113802</c:v>
                </c:pt>
                <c:pt idx="51">
                  <c:v>117175</c:v>
                </c:pt>
                <c:pt idx="52">
                  <c:v>117889</c:v>
                </c:pt>
                <c:pt idx="53">
                  <c:v>116598</c:v>
                </c:pt>
                <c:pt idx="54">
                  <c:v>117708</c:v>
                </c:pt>
                <c:pt idx="55">
                  <c:v>116336</c:v>
                </c:pt>
                <c:pt idx="56">
                  <c:v>119499</c:v>
                </c:pt>
                <c:pt idx="57">
                  <c:v>119569</c:v>
                </c:pt>
                <c:pt idx="58">
                  <c:v>116695</c:v>
                </c:pt>
                <c:pt idx="59">
                  <c:v>118690</c:v>
                </c:pt>
                <c:pt idx="60">
                  <c:v>123490</c:v>
                </c:pt>
                <c:pt idx="61">
                  <c:v>123185</c:v>
                </c:pt>
                <c:pt idx="62">
                  <c:v>125909</c:v>
                </c:pt>
                <c:pt idx="63">
                  <c:v>122860</c:v>
                </c:pt>
                <c:pt idx="64">
                  <c:v>126457</c:v>
                </c:pt>
                <c:pt idx="65">
                  <c:v>128937</c:v>
                </c:pt>
                <c:pt idx="66">
                  <c:v>127817</c:v>
                </c:pt>
                <c:pt idx="67">
                  <c:v>130673</c:v>
                </c:pt>
                <c:pt idx="68">
                  <c:v>127387</c:v>
                </c:pt>
                <c:pt idx="69">
                  <c:v>128586</c:v>
                </c:pt>
                <c:pt idx="70">
                  <c:v>128191</c:v>
                </c:pt>
                <c:pt idx="71">
                  <c:v>127262</c:v>
                </c:pt>
                <c:pt idx="72">
                  <c:v>130630</c:v>
                </c:pt>
                <c:pt idx="73">
                  <c:v>128771</c:v>
                </c:pt>
                <c:pt idx="74">
                  <c:v>126519</c:v>
                </c:pt>
                <c:pt idx="75">
                  <c:v>129740</c:v>
                </c:pt>
                <c:pt idx="76">
                  <c:v>130048</c:v>
                </c:pt>
                <c:pt idx="77">
                  <c:v>126102</c:v>
                </c:pt>
                <c:pt idx="78">
                  <c:v>126589</c:v>
                </c:pt>
                <c:pt idx="79">
                  <c:v>128820</c:v>
                </c:pt>
                <c:pt idx="80">
                  <c:v>125391</c:v>
                </c:pt>
                <c:pt idx="81">
                  <c:v>128102</c:v>
                </c:pt>
                <c:pt idx="82">
                  <c:v>130753</c:v>
                </c:pt>
                <c:pt idx="83">
                  <c:v>127125</c:v>
                </c:pt>
                <c:pt idx="84">
                  <c:v>130143</c:v>
                </c:pt>
                <c:pt idx="85">
                  <c:v>129497</c:v>
                </c:pt>
                <c:pt idx="86">
                  <c:v>130468</c:v>
                </c:pt>
                <c:pt idx="87">
                  <c:v>130627</c:v>
                </c:pt>
                <c:pt idx="88">
                  <c:v>130642</c:v>
                </c:pt>
                <c:pt idx="89">
                  <c:v>134206</c:v>
                </c:pt>
                <c:pt idx="90">
                  <c:v>134061</c:v>
                </c:pt>
                <c:pt idx="91">
                  <c:v>135632</c:v>
                </c:pt>
                <c:pt idx="92">
                  <c:v>137171</c:v>
                </c:pt>
                <c:pt idx="93">
                  <c:v>134658</c:v>
                </c:pt>
                <c:pt idx="94">
                  <c:v>139078</c:v>
                </c:pt>
                <c:pt idx="95">
                  <c:v>139613</c:v>
                </c:pt>
                <c:pt idx="96">
                  <c:v>132425</c:v>
                </c:pt>
                <c:pt idx="97">
                  <c:v>139841</c:v>
                </c:pt>
                <c:pt idx="98">
                  <c:v>141338</c:v>
                </c:pt>
                <c:pt idx="99">
                  <c:v>137890</c:v>
                </c:pt>
                <c:pt idx="100">
                  <c:v>143496</c:v>
                </c:pt>
                <c:pt idx="101">
                  <c:v>137968</c:v>
                </c:pt>
                <c:pt idx="102">
                  <c:v>138633</c:v>
                </c:pt>
                <c:pt idx="103">
                  <c:v>141463</c:v>
                </c:pt>
                <c:pt idx="104">
                  <c:v>137264</c:v>
                </c:pt>
                <c:pt idx="105">
                  <c:v>136045</c:v>
                </c:pt>
                <c:pt idx="106">
                  <c:v>135323</c:v>
                </c:pt>
                <c:pt idx="107">
                  <c:v>131646</c:v>
                </c:pt>
                <c:pt idx="108">
                  <c:v>131335</c:v>
                </c:pt>
                <c:pt idx="109">
                  <c:v>125568</c:v>
                </c:pt>
                <c:pt idx="110">
                  <c:v>120800</c:v>
                </c:pt>
                <c:pt idx="111">
                  <c:v>126158</c:v>
                </c:pt>
                <c:pt idx="112">
                  <c:v>125138</c:v>
                </c:pt>
                <c:pt idx="113">
                  <c:v>121761</c:v>
                </c:pt>
                <c:pt idx="114">
                  <c:v>122061</c:v>
                </c:pt>
                <c:pt idx="115">
                  <c:v>118407</c:v>
                </c:pt>
                <c:pt idx="116">
                  <c:v>115125</c:v>
                </c:pt>
                <c:pt idx="117">
                  <c:v>117164</c:v>
                </c:pt>
                <c:pt idx="118">
                  <c:v>118387</c:v>
                </c:pt>
                <c:pt idx="119">
                  <c:v>113631</c:v>
                </c:pt>
                <c:pt idx="120">
                  <c:v>115732</c:v>
                </c:pt>
                <c:pt idx="121">
                  <c:v>114652</c:v>
                </c:pt>
                <c:pt idx="122">
                  <c:v>118882</c:v>
                </c:pt>
                <c:pt idx="123">
                  <c:v>119944</c:v>
                </c:pt>
                <c:pt idx="124">
                  <c:v>117193</c:v>
                </c:pt>
                <c:pt idx="125">
                  <c:v>116993</c:v>
                </c:pt>
                <c:pt idx="126">
                  <c:v>117043</c:v>
                </c:pt>
                <c:pt idx="127">
                  <c:v>116461</c:v>
                </c:pt>
                <c:pt idx="128">
                  <c:v>116624</c:v>
                </c:pt>
                <c:pt idx="129">
                  <c:v>116947</c:v>
                </c:pt>
                <c:pt idx="130">
                  <c:v>115767</c:v>
                </c:pt>
                <c:pt idx="131">
                  <c:v>115609</c:v>
                </c:pt>
                <c:pt idx="132">
                  <c:v>118098</c:v>
                </c:pt>
                <c:pt idx="133">
                  <c:v>116926</c:v>
                </c:pt>
                <c:pt idx="134">
                  <c:v>115023</c:v>
                </c:pt>
                <c:pt idx="135">
                  <c:v>116303</c:v>
                </c:pt>
                <c:pt idx="136">
                  <c:v>117719</c:v>
                </c:pt>
                <c:pt idx="137">
                  <c:v>118215</c:v>
                </c:pt>
                <c:pt idx="138">
                  <c:v>119931</c:v>
                </c:pt>
                <c:pt idx="139">
                  <c:v>121332</c:v>
                </c:pt>
                <c:pt idx="140">
                  <c:v>125195</c:v>
                </c:pt>
                <c:pt idx="141">
                  <c:v>125148</c:v>
                </c:pt>
                <c:pt idx="142">
                  <c:v>124803</c:v>
                </c:pt>
                <c:pt idx="143">
                  <c:v>123228</c:v>
                </c:pt>
                <c:pt idx="144">
                  <c:v>123810</c:v>
                </c:pt>
                <c:pt idx="145">
                  <c:v>131645</c:v>
                </c:pt>
                <c:pt idx="146">
                  <c:v>127956</c:v>
                </c:pt>
                <c:pt idx="147">
                  <c:v>128782</c:v>
                </c:pt>
                <c:pt idx="148">
                  <c:v>128558</c:v>
                </c:pt>
                <c:pt idx="149">
                  <c:v>127850</c:v>
                </c:pt>
                <c:pt idx="150">
                  <c:v>130447</c:v>
                </c:pt>
                <c:pt idx="151">
                  <c:v>132455</c:v>
                </c:pt>
                <c:pt idx="152">
                  <c:v>132178</c:v>
                </c:pt>
                <c:pt idx="153">
                  <c:v>134122</c:v>
                </c:pt>
                <c:pt idx="154">
                  <c:v>136981</c:v>
                </c:pt>
                <c:pt idx="155">
                  <c:v>137331</c:v>
                </c:pt>
                <c:pt idx="156">
                  <c:v>139138</c:v>
                </c:pt>
                <c:pt idx="157">
                  <c:v>136810</c:v>
                </c:pt>
                <c:pt idx="158">
                  <c:v>137264</c:v>
                </c:pt>
                <c:pt idx="159">
                  <c:v>137358</c:v>
                </c:pt>
                <c:pt idx="160">
                  <c:v>141241</c:v>
                </c:pt>
                <c:pt idx="161">
                  <c:v>135974</c:v>
                </c:pt>
                <c:pt idx="162">
                  <c:v>143073</c:v>
                </c:pt>
                <c:pt idx="163">
                  <c:v>143841</c:v>
                </c:pt>
                <c:pt idx="164">
                  <c:v>145723</c:v>
                </c:pt>
                <c:pt idx="165">
                  <c:v>148043</c:v>
                </c:pt>
                <c:pt idx="166">
                  <c:v>147852</c:v>
                </c:pt>
                <c:pt idx="167">
                  <c:v>150953</c:v>
                </c:pt>
                <c:pt idx="168">
                  <c:v>150818</c:v>
                </c:pt>
                <c:pt idx="169">
                  <c:v>153217</c:v>
                </c:pt>
                <c:pt idx="170">
                  <c:v>151952</c:v>
                </c:pt>
                <c:pt idx="171">
                  <c:v>153734</c:v>
                </c:pt>
                <c:pt idx="172">
                  <c:v>154888</c:v>
                </c:pt>
                <c:pt idx="173">
                  <c:v>153064</c:v>
                </c:pt>
                <c:pt idx="174">
                  <c:v>150575</c:v>
                </c:pt>
                <c:pt idx="175">
                  <c:v>153923</c:v>
                </c:pt>
                <c:pt idx="176">
                  <c:v>153537</c:v>
                </c:pt>
                <c:pt idx="177">
                  <c:v>153502</c:v>
                </c:pt>
                <c:pt idx="178">
                  <c:v>158499</c:v>
                </c:pt>
                <c:pt idx="179">
                  <c:v>153402</c:v>
                </c:pt>
                <c:pt idx="180">
                  <c:v>155151</c:v>
                </c:pt>
                <c:pt idx="181">
                  <c:v>156356</c:v>
                </c:pt>
                <c:pt idx="182">
                  <c:v>159160</c:v>
                </c:pt>
                <c:pt idx="183">
                  <c:v>158536</c:v>
                </c:pt>
                <c:pt idx="184">
                  <c:v>154569</c:v>
                </c:pt>
                <c:pt idx="185">
                  <c:v>156767</c:v>
                </c:pt>
                <c:pt idx="186">
                  <c:v>158130</c:v>
                </c:pt>
                <c:pt idx="187">
                  <c:v>157646</c:v>
                </c:pt>
                <c:pt idx="188">
                  <c:v>159832</c:v>
                </c:pt>
                <c:pt idx="189">
                  <c:v>160074</c:v>
                </c:pt>
                <c:pt idx="190">
                  <c:v>163300</c:v>
                </c:pt>
                <c:pt idx="191">
                  <c:v>164615</c:v>
                </c:pt>
                <c:pt idx="192">
                  <c:v>160985</c:v>
                </c:pt>
                <c:pt idx="193">
                  <c:v>163953</c:v>
                </c:pt>
                <c:pt idx="194">
                  <c:v>167301</c:v>
                </c:pt>
                <c:pt idx="195">
                  <c:v>164561</c:v>
                </c:pt>
                <c:pt idx="196">
                  <c:v>166622</c:v>
                </c:pt>
                <c:pt idx="197">
                  <c:v>162295</c:v>
                </c:pt>
                <c:pt idx="198">
                  <c:v>156865</c:v>
                </c:pt>
                <c:pt idx="199">
                  <c:v>153392</c:v>
                </c:pt>
                <c:pt idx="200">
                  <c:v>141024</c:v>
                </c:pt>
                <c:pt idx="201">
                  <c:v>138472</c:v>
                </c:pt>
                <c:pt idx="202">
                  <c:v>127962</c:v>
                </c:pt>
                <c:pt idx="203">
                  <c:v>114948</c:v>
                </c:pt>
                <c:pt idx="204">
                  <c:v>116595</c:v>
                </c:pt>
                <c:pt idx="205">
                  <c:v>113312</c:v>
                </c:pt>
                <c:pt idx="206">
                  <c:v>110601</c:v>
                </c:pt>
                <c:pt idx="207">
                  <c:v>113080</c:v>
                </c:pt>
                <c:pt idx="208">
                  <c:v>115485</c:v>
                </c:pt>
                <c:pt idx="209">
                  <c:v>117705</c:v>
                </c:pt>
                <c:pt idx="210">
                  <c:v>117142</c:v>
                </c:pt>
                <c:pt idx="211">
                  <c:v>122042</c:v>
                </c:pt>
                <c:pt idx="212">
                  <c:v>122244</c:v>
                </c:pt>
                <c:pt idx="213">
                  <c:v>122532</c:v>
                </c:pt>
                <c:pt idx="214">
                  <c:v>124425</c:v>
                </c:pt>
                <c:pt idx="215">
                  <c:v>127057</c:v>
                </c:pt>
                <c:pt idx="216">
                  <c:v>128810</c:v>
                </c:pt>
                <c:pt idx="217">
                  <c:v>134835</c:v>
                </c:pt>
                <c:pt idx="218">
                  <c:v>131196</c:v>
                </c:pt>
                <c:pt idx="219">
                  <c:v>136881</c:v>
                </c:pt>
                <c:pt idx="220">
                  <c:v>137226</c:v>
                </c:pt>
                <c:pt idx="221">
                  <c:v>134656</c:v>
                </c:pt>
                <c:pt idx="222">
                  <c:v>137093</c:v>
                </c:pt>
                <c:pt idx="223">
                  <c:v>139248</c:v>
                </c:pt>
                <c:pt idx="224">
                  <c:v>134518</c:v>
                </c:pt>
                <c:pt idx="225">
                  <c:v>142450</c:v>
                </c:pt>
                <c:pt idx="226">
                  <c:v>144216</c:v>
                </c:pt>
                <c:pt idx="227">
                  <c:v>143113</c:v>
                </c:pt>
                <c:pt idx="228">
                  <c:v>141061</c:v>
                </c:pt>
                <c:pt idx="229">
                  <c:v>145907</c:v>
                </c:pt>
                <c:pt idx="230">
                  <c:v>143390</c:v>
                </c:pt>
                <c:pt idx="231">
                  <c:v>146454</c:v>
                </c:pt>
                <c:pt idx="232">
                  <c:v>146197</c:v>
                </c:pt>
                <c:pt idx="233">
                  <c:v>147897</c:v>
                </c:pt>
                <c:pt idx="234">
                  <c:v>147496</c:v>
                </c:pt>
                <c:pt idx="235">
                  <c:v>148657</c:v>
                </c:pt>
                <c:pt idx="236">
                  <c:v>151629</c:v>
                </c:pt>
                <c:pt idx="237">
                  <c:v>150443</c:v>
                </c:pt>
                <c:pt idx="238">
                  <c:v>154801</c:v>
                </c:pt>
                <c:pt idx="239">
                  <c:v>151719</c:v>
                </c:pt>
                <c:pt idx="240">
                  <c:v>154185</c:v>
                </c:pt>
                <c:pt idx="241">
                  <c:v>153583</c:v>
                </c:pt>
                <c:pt idx="242">
                  <c:v>151536</c:v>
                </c:pt>
                <c:pt idx="243">
                  <c:v>150929</c:v>
                </c:pt>
                <c:pt idx="244">
                  <c:v>147024</c:v>
                </c:pt>
                <c:pt idx="245">
                  <c:v>146060</c:v>
                </c:pt>
                <c:pt idx="246">
                  <c:v>142907</c:v>
                </c:pt>
                <c:pt idx="247">
                  <c:v>144383</c:v>
                </c:pt>
                <c:pt idx="248">
                  <c:v>147371</c:v>
                </c:pt>
                <c:pt idx="249">
                  <c:v>147150</c:v>
                </c:pt>
                <c:pt idx="250">
                  <c:v>146228</c:v>
                </c:pt>
                <c:pt idx="251">
                  <c:v>151783</c:v>
                </c:pt>
                <c:pt idx="252">
                  <c:v>149626</c:v>
                </c:pt>
                <c:pt idx="253">
                  <c:v>146226</c:v>
                </c:pt>
                <c:pt idx="254">
                  <c:v>149557</c:v>
                </c:pt>
                <c:pt idx="255">
                  <c:v>150641</c:v>
                </c:pt>
                <c:pt idx="256">
                  <c:v>150559</c:v>
                </c:pt>
                <c:pt idx="257">
                  <c:v>148258</c:v>
                </c:pt>
                <c:pt idx="258">
                  <c:v>147624</c:v>
                </c:pt>
                <c:pt idx="259">
                  <c:v>148342</c:v>
                </c:pt>
                <c:pt idx="260">
                  <c:v>148888</c:v>
                </c:pt>
                <c:pt idx="261">
                  <c:v>150582</c:v>
                </c:pt>
                <c:pt idx="262">
                  <c:v>148149</c:v>
                </c:pt>
                <c:pt idx="263">
                  <c:v>151235</c:v>
                </c:pt>
                <c:pt idx="264">
                  <c:v>151319</c:v>
                </c:pt>
                <c:pt idx="265">
                  <c:v>153561</c:v>
                </c:pt>
                <c:pt idx="266">
                  <c:v>151991</c:v>
                </c:pt>
                <c:pt idx="267">
                  <c:v>152270</c:v>
                </c:pt>
                <c:pt idx="268">
                  <c:v>156439</c:v>
                </c:pt>
                <c:pt idx="269">
                  <c:v>153393</c:v>
                </c:pt>
                <c:pt idx="270">
                  <c:v>155316</c:v>
                </c:pt>
                <c:pt idx="271">
                  <c:v>156845</c:v>
                </c:pt>
                <c:pt idx="272">
                  <c:v>152664</c:v>
                </c:pt>
                <c:pt idx="273">
                  <c:v>148984</c:v>
                </c:pt>
                <c:pt idx="274">
                  <c:v>150461</c:v>
                </c:pt>
                <c:pt idx="275">
                  <c:v>147633</c:v>
                </c:pt>
                <c:pt idx="276">
                  <c:v>146519</c:v>
                </c:pt>
                <c:pt idx="277">
                  <c:v>147167</c:v>
                </c:pt>
                <c:pt idx="278">
                  <c:v>146695</c:v>
                </c:pt>
                <c:pt idx="279">
                  <c:v>145002</c:v>
                </c:pt>
                <c:pt idx="280">
                  <c:v>147593</c:v>
                </c:pt>
                <c:pt idx="281">
                  <c:v>145962</c:v>
                </c:pt>
                <c:pt idx="282">
                  <c:v>146304</c:v>
                </c:pt>
                <c:pt idx="283">
                  <c:v>145912</c:v>
                </c:pt>
                <c:pt idx="284">
                  <c:v>144202</c:v>
                </c:pt>
                <c:pt idx="285">
                  <c:v>143541</c:v>
                </c:pt>
                <c:pt idx="286">
                  <c:v>142203</c:v>
                </c:pt>
                <c:pt idx="287">
                  <c:v>144204</c:v>
                </c:pt>
                <c:pt idx="288">
                  <c:v>142619</c:v>
                </c:pt>
                <c:pt idx="289">
                  <c:v>141372</c:v>
                </c:pt>
                <c:pt idx="290">
                  <c:v>142360</c:v>
                </c:pt>
                <c:pt idx="291">
                  <c:v>141615</c:v>
                </c:pt>
                <c:pt idx="292">
                  <c:v>140743</c:v>
                </c:pt>
                <c:pt idx="293">
                  <c:v>141693</c:v>
                </c:pt>
                <c:pt idx="294">
                  <c:v>141908</c:v>
                </c:pt>
                <c:pt idx="295">
                  <c:v>141062</c:v>
                </c:pt>
                <c:pt idx="296">
                  <c:v>141987</c:v>
                </c:pt>
                <c:pt idx="297">
                  <c:v>142386</c:v>
                </c:pt>
                <c:pt idx="298">
                  <c:v>142620</c:v>
                </c:pt>
                <c:pt idx="299">
                  <c:v>144995</c:v>
                </c:pt>
                <c:pt idx="300">
                  <c:v>145319</c:v>
                </c:pt>
                <c:pt idx="301">
                  <c:v>146922</c:v>
                </c:pt>
                <c:pt idx="302">
                  <c:v>146163</c:v>
                </c:pt>
                <c:pt idx="303">
                  <c:v>147528</c:v>
                </c:pt>
                <c:pt idx="304">
                  <c:v>146109</c:v>
                </c:pt>
                <c:pt idx="305">
                  <c:v>147906</c:v>
                </c:pt>
                <c:pt idx="306">
                  <c:v>148674</c:v>
                </c:pt>
                <c:pt idx="307">
                  <c:v>150573</c:v>
                </c:pt>
                <c:pt idx="308">
                  <c:v>152791</c:v>
                </c:pt>
                <c:pt idx="309">
                  <c:v>153425</c:v>
                </c:pt>
                <c:pt idx="310">
                  <c:v>154358</c:v>
                </c:pt>
                <c:pt idx="311">
                  <c:v>153988</c:v>
                </c:pt>
                <c:pt idx="312">
                  <c:v>156117</c:v>
                </c:pt>
                <c:pt idx="313">
                  <c:v>156933</c:v>
                </c:pt>
                <c:pt idx="314">
                  <c:v>159378</c:v>
                </c:pt>
                <c:pt idx="315">
                  <c:v>161173</c:v>
                </c:pt>
                <c:pt idx="316">
                  <c:v>161822</c:v>
                </c:pt>
                <c:pt idx="317">
                  <c:v>162169</c:v>
                </c:pt>
                <c:pt idx="318">
                  <c:v>160301</c:v>
                </c:pt>
                <c:pt idx="319">
                  <c:v>159376</c:v>
                </c:pt>
                <c:pt idx="320">
                  <c:v>160988</c:v>
                </c:pt>
                <c:pt idx="321">
                  <c:v>157324</c:v>
                </c:pt>
                <c:pt idx="322">
                  <c:v>158140</c:v>
                </c:pt>
                <c:pt idx="323">
                  <c:v>157472</c:v>
                </c:pt>
                <c:pt idx="324">
                  <c:v>156980</c:v>
                </c:pt>
                <c:pt idx="325">
                  <c:v>156767</c:v>
                </c:pt>
                <c:pt idx="326">
                  <c:v>157850</c:v>
                </c:pt>
                <c:pt idx="327">
                  <c:v>157491</c:v>
                </c:pt>
                <c:pt idx="328">
                  <c:v>158841</c:v>
                </c:pt>
                <c:pt idx="329">
                  <c:v>156943</c:v>
                </c:pt>
                <c:pt idx="330">
                  <c:v>157074</c:v>
                </c:pt>
                <c:pt idx="331">
                  <c:v>156112</c:v>
                </c:pt>
                <c:pt idx="332">
                  <c:v>156018</c:v>
                </c:pt>
                <c:pt idx="333">
                  <c:v>156261</c:v>
                </c:pt>
                <c:pt idx="334">
                  <c:v>154416</c:v>
                </c:pt>
                <c:pt idx="335">
                  <c:v>154889</c:v>
                </c:pt>
                <c:pt idx="336">
                  <c:v>154006</c:v>
                </c:pt>
                <c:pt idx="337">
                  <c:v>150552</c:v>
                </c:pt>
                <c:pt idx="338">
                  <c:v>137883</c:v>
                </c:pt>
                <c:pt idx="339">
                  <c:v>143011</c:v>
                </c:pt>
                <c:pt idx="340">
                  <c:v>150635</c:v>
                </c:pt>
                <c:pt idx="341">
                  <c:v>155900</c:v>
                </c:pt>
                <c:pt idx="342">
                  <c:v>158055</c:v>
                </c:pt>
                <c:pt idx="343">
                  <c:v>160114</c:v>
                </c:pt>
                <c:pt idx="344">
                  <c:v>162930</c:v>
                </c:pt>
              </c:numCache>
            </c:numRef>
          </c:val>
          <c:smooth val="0"/>
          <c:extLst>
            <c:ext xmlns:c16="http://schemas.microsoft.com/office/drawing/2014/chart" uri="{C3380CC4-5D6E-409C-BE32-E72D297353CC}">
              <c16:uniqueId val="{00000000-7025-4A38-8827-3B8B930A1F11}"/>
            </c:ext>
          </c:extLst>
        </c:ser>
        <c:dLbls>
          <c:showLegendKey val="0"/>
          <c:showVal val="0"/>
          <c:showCatName val="0"/>
          <c:showSerName val="0"/>
          <c:showPercent val="0"/>
          <c:showBubbleSize val="0"/>
        </c:dLbls>
        <c:smooth val="0"/>
        <c:axId val="504145232"/>
        <c:axId val="504145624"/>
      </c:lineChart>
      <c:dateAx>
        <c:axId val="50414523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45624"/>
        <c:crosses val="autoZero"/>
        <c:auto val="1"/>
        <c:lblOffset val="100"/>
        <c:baseTimeUnit val="months"/>
      </c:dateAx>
      <c:valAx>
        <c:axId val="504145624"/>
        <c:scaling>
          <c:orientation val="minMax"/>
          <c:min val="1100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'New Orders'!$C$5</c:f>
              <c:strCache>
                <c:ptCount val="1"/>
                <c:pt idx="0">
                  <c:v>mom %</c:v>
                </c:pt>
              </c:strCache>
            </c:strRef>
          </c:tx>
          <c:spPr>
            <a:solidFill>
              <a:srgbClr val="92D050"/>
            </a:solidFill>
            <a:ln>
              <a:noFill/>
            </a:ln>
            <a:effectLst/>
          </c:spPr>
          <c:invertIfNegative val="1"/>
          <c:cat>
            <c:numRef>
              <c:f>'New Orders ex Transport'!$A$6:$A$360</c:f>
              <c:numCache>
                <c:formatCode>m/d/yy</c:formatCode>
                <c:ptCount val="355"/>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numCache>
            </c:numRef>
          </c:cat>
          <c:val>
            <c:numRef>
              <c:f>'New Orders ex Transport'!$C$6:$C$360</c:f>
              <c:numCache>
                <c:formatCode>0.0%</c:formatCode>
                <c:ptCount val="355"/>
                <c:pt idx="1">
                  <c:v>3.3690658499234305E-2</c:v>
                </c:pt>
                <c:pt idx="2">
                  <c:v>1.0253718285214349E-2</c:v>
                </c:pt>
                <c:pt idx="3">
                  <c:v>2.0045263498221791E-2</c:v>
                </c:pt>
                <c:pt idx="4">
                  <c:v>-1.3697079465700701E-3</c:v>
                </c:pt>
                <c:pt idx="5">
                  <c:v>-5.5770298915199671E-3</c:v>
                </c:pt>
                <c:pt idx="6">
                  <c:v>-2.6217698086108041E-3</c:v>
                </c:pt>
                <c:pt idx="7">
                  <c:v>1.3531892522029326E-2</c:v>
                </c:pt>
                <c:pt idx="8">
                  <c:v>-1.8233894520810544E-2</c:v>
                </c:pt>
                <c:pt idx="9">
                  <c:v>2.7944960029403658E-2</c:v>
                </c:pt>
                <c:pt idx="10">
                  <c:v>2.0805166653630847E-2</c:v>
                </c:pt>
                <c:pt idx="11">
                  <c:v>-3.1195612911699999E-3</c:v>
                </c:pt>
                <c:pt idx="12">
                  <c:v>-6.8735314140149772E-3</c:v>
                </c:pt>
                <c:pt idx="13">
                  <c:v>1.6307712718910312E-2</c:v>
                </c:pt>
                <c:pt idx="14">
                  <c:v>-2.4259434526723452E-3</c:v>
                </c:pt>
                <c:pt idx="15">
                  <c:v>-2.2573609596510361E-3</c:v>
                </c:pt>
                <c:pt idx="16">
                  <c:v>-3.8691484594449849E-3</c:v>
                </c:pt>
                <c:pt idx="17">
                  <c:v>1.4889344846882235E-2</c:v>
                </c:pt>
                <c:pt idx="18">
                  <c:v>1.003286628610967E-2</c:v>
                </c:pt>
                <c:pt idx="19">
                  <c:v>7.0431580750128448E-3</c:v>
                </c:pt>
                <c:pt idx="20">
                  <c:v>2.0737229225569184E-2</c:v>
                </c:pt>
                <c:pt idx="21">
                  <c:v>-1.6483916986869098E-2</c:v>
                </c:pt>
                <c:pt idx="22">
                  <c:v>3.6071995764955005E-2</c:v>
                </c:pt>
                <c:pt idx="23">
                  <c:v>-6.2029287633996542E-3</c:v>
                </c:pt>
                <c:pt idx="24">
                  <c:v>1.5115681233933162E-2</c:v>
                </c:pt>
                <c:pt idx="25">
                  <c:v>-2.2589141004862238E-3</c:v>
                </c:pt>
                <c:pt idx="26">
                  <c:v>2.6437353421931632E-2</c:v>
                </c:pt>
                <c:pt idx="27">
                  <c:v>1.5054252678015054E-2</c:v>
                </c:pt>
                <c:pt idx="28">
                  <c:v>1.8046636718864192E-2</c:v>
                </c:pt>
                <c:pt idx="29">
                  <c:v>3.5032304379038048E-3</c:v>
                </c:pt>
                <c:pt idx="30">
                  <c:v>-8.9373432149636115E-3</c:v>
                </c:pt>
                <c:pt idx="31">
                  <c:v>8.8735756082537719E-3</c:v>
                </c:pt>
                <c:pt idx="32">
                  <c:v>2.9849464827428309E-2</c:v>
                </c:pt>
                <c:pt idx="33">
                  <c:v>-7.5309156593024867E-3</c:v>
                </c:pt>
                <c:pt idx="34">
                  <c:v>2.0673498721323104E-2</c:v>
                </c:pt>
                <c:pt idx="35">
                  <c:v>2.3244968314785518E-2</c:v>
                </c:pt>
                <c:pt idx="36">
                  <c:v>-2.1581962305293165E-2</c:v>
                </c:pt>
                <c:pt idx="37">
                  <c:v>2.0824960724854773E-3</c:v>
                </c:pt>
                <c:pt idx="38">
                  <c:v>7.0001458363715911E-3</c:v>
                </c:pt>
                <c:pt idx="39">
                  <c:v>1.1893555394641564E-2</c:v>
                </c:pt>
                <c:pt idx="40">
                  <c:v>-2.1056586221085211E-2</c:v>
                </c:pt>
                <c:pt idx="41">
                  <c:v>-4.1118421052631577E-3</c:v>
                </c:pt>
                <c:pt idx="42">
                  <c:v>3.0516561152399303E-2</c:v>
                </c:pt>
                <c:pt idx="43">
                  <c:v>6.2591260372520385E-3</c:v>
                </c:pt>
                <c:pt idx="44">
                  <c:v>2.3279271626894592E-2</c:v>
                </c:pt>
                <c:pt idx="45">
                  <c:v>-1.882403804582793E-2</c:v>
                </c:pt>
                <c:pt idx="46">
                  <c:v>2.6076687846448055E-2</c:v>
                </c:pt>
                <c:pt idx="47">
                  <c:v>-3.7463927442627457E-2</c:v>
                </c:pt>
                <c:pt idx="48">
                  <c:v>-1.4919246899259392E-2</c:v>
                </c:pt>
                <c:pt idx="49">
                  <c:v>3.8542364897914815E-2</c:v>
                </c:pt>
                <c:pt idx="50">
                  <c:v>-7.4223962739745145E-3</c:v>
                </c:pt>
                <c:pt idx="51">
                  <c:v>2.9639197905133478E-2</c:v>
                </c:pt>
                <c:pt idx="52">
                  <c:v>6.0934499679965864E-3</c:v>
                </c:pt>
                <c:pt idx="53">
                  <c:v>-1.0950979311046832E-2</c:v>
                </c:pt>
                <c:pt idx="54">
                  <c:v>9.5198888488653328E-3</c:v>
                </c:pt>
                <c:pt idx="55">
                  <c:v>-1.1655962211574404E-2</c:v>
                </c:pt>
                <c:pt idx="56">
                  <c:v>2.7188488516022555E-2</c:v>
                </c:pt>
                <c:pt idx="57">
                  <c:v>5.8577896049339328E-4</c:v>
                </c:pt>
                <c:pt idx="58">
                  <c:v>-2.4036330486999137E-2</c:v>
                </c:pt>
                <c:pt idx="59">
                  <c:v>1.7095848151163291E-2</c:v>
                </c:pt>
                <c:pt idx="60">
                  <c:v>4.0441486224618753E-2</c:v>
                </c:pt>
                <c:pt idx="61">
                  <c:v>-2.469835614219775E-3</c:v>
                </c:pt>
                <c:pt idx="62">
                  <c:v>2.2113081949912732E-2</c:v>
                </c:pt>
                <c:pt idx="63">
                  <c:v>-2.4215901960940044E-2</c:v>
                </c:pt>
                <c:pt idx="64">
                  <c:v>2.9277226111020675E-2</c:v>
                </c:pt>
                <c:pt idx="65">
                  <c:v>1.9611409411894952E-2</c:v>
                </c:pt>
                <c:pt idx="66">
                  <c:v>-8.6864127442084112E-3</c:v>
                </c:pt>
                <c:pt idx="67">
                  <c:v>2.2344445574532339E-2</c:v>
                </c:pt>
                <c:pt idx="68">
                  <c:v>-2.5146740336565318E-2</c:v>
                </c:pt>
                <c:pt idx="69">
                  <c:v>9.4122634177741839E-3</c:v>
                </c:pt>
                <c:pt idx="70">
                  <c:v>-3.0718740764935529E-3</c:v>
                </c:pt>
                <c:pt idx="71">
                  <c:v>-7.2469986192478415E-3</c:v>
                </c:pt>
                <c:pt idx="72">
                  <c:v>2.6465087771683615E-2</c:v>
                </c:pt>
                <c:pt idx="73">
                  <c:v>-1.4231034218785884E-2</c:v>
                </c:pt>
                <c:pt idx="74">
                  <c:v>-1.7488409657453931E-2</c:v>
                </c:pt>
                <c:pt idx="75">
                  <c:v>2.5458626767521083E-2</c:v>
                </c:pt>
                <c:pt idx="76">
                  <c:v>2.3739787266841375E-3</c:v>
                </c:pt>
                <c:pt idx="77">
                  <c:v>-3.0342642716535435E-2</c:v>
                </c:pt>
                <c:pt idx="78">
                  <c:v>3.8619530221566667E-3</c:v>
                </c:pt>
                <c:pt idx="79">
                  <c:v>1.7623964167502705E-2</c:v>
                </c:pt>
                <c:pt idx="80">
                  <c:v>-2.6618537494177922E-2</c:v>
                </c:pt>
                <c:pt idx="81">
                  <c:v>2.1620371478016764E-2</c:v>
                </c:pt>
                <c:pt idx="82">
                  <c:v>2.0694446612855379E-2</c:v>
                </c:pt>
                <c:pt idx="83">
                  <c:v>-2.7746973300803807E-2</c:v>
                </c:pt>
                <c:pt idx="84">
                  <c:v>2.3740412979351033E-2</c:v>
                </c:pt>
                <c:pt idx="85">
                  <c:v>-4.9637706215470674E-3</c:v>
                </c:pt>
                <c:pt idx="86">
                  <c:v>7.4982432025452331E-3</c:v>
                </c:pt>
                <c:pt idx="87">
                  <c:v>1.2186896403715854E-3</c:v>
                </c:pt>
                <c:pt idx="88">
                  <c:v>1.148307777105805E-4</c:v>
                </c:pt>
                <c:pt idx="89">
                  <c:v>2.7280660124615361E-2</c:v>
                </c:pt>
                <c:pt idx="90">
                  <c:v>-1.0804285948467281E-3</c:v>
                </c:pt>
                <c:pt idx="91">
                  <c:v>1.1718546035013912E-2</c:v>
                </c:pt>
                <c:pt idx="92">
                  <c:v>1.134687979237938E-2</c:v>
                </c:pt>
                <c:pt idx="93">
                  <c:v>-1.8320198875855682E-2</c:v>
                </c:pt>
                <c:pt idx="94">
                  <c:v>3.2823894607078671E-2</c:v>
                </c:pt>
                <c:pt idx="95">
                  <c:v>3.8467622485224119E-3</c:v>
                </c:pt>
                <c:pt idx="96">
                  <c:v>-5.1485176881809001E-2</c:v>
                </c:pt>
                <c:pt idx="97">
                  <c:v>5.6001510288842739E-2</c:v>
                </c:pt>
                <c:pt idx="98">
                  <c:v>1.0705014981300191E-2</c:v>
                </c:pt>
                <c:pt idx="99">
                  <c:v>-2.4395420905913484E-2</c:v>
                </c:pt>
                <c:pt idx="100">
                  <c:v>4.0655595039524262E-2</c:v>
                </c:pt>
                <c:pt idx="101">
                  <c:v>-3.8523721915593466E-2</c:v>
                </c:pt>
                <c:pt idx="102">
                  <c:v>4.819958251188681E-3</c:v>
                </c:pt>
                <c:pt idx="103">
                  <c:v>2.0413610035128722E-2</c:v>
                </c:pt>
                <c:pt idx="104">
                  <c:v>-2.9682673207835266E-2</c:v>
                </c:pt>
                <c:pt idx="105">
                  <c:v>-8.8806970509383385E-3</c:v>
                </c:pt>
                <c:pt idx="106">
                  <c:v>-5.3070675144253742E-3</c:v>
                </c:pt>
                <c:pt idx="107">
                  <c:v>-2.7172025450219104E-2</c:v>
                </c:pt>
                <c:pt idx="108">
                  <c:v>-2.362396122935752E-3</c:v>
                </c:pt>
                <c:pt idx="109">
                  <c:v>-4.3910610271443253E-2</c:v>
                </c:pt>
                <c:pt idx="110">
                  <c:v>-3.7971457696228339E-2</c:v>
                </c:pt>
                <c:pt idx="111">
                  <c:v>4.4354304635761586E-2</c:v>
                </c:pt>
                <c:pt idx="112">
                  <c:v>-8.0850996369631733E-3</c:v>
                </c:pt>
                <c:pt idx="113">
                  <c:v>-2.6986207227221146E-2</c:v>
                </c:pt>
                <c:pt idx="114">
                  <c:v>2.4638431024712345E-3</c:v>
                </c:pt>
                <c:pt idx="115">
                  <c:v>-2.993585174625802E-2</c:v>
                </c:pt>
                <c:pt idx="116">
                  <c:v>-2.7717955864095874E-2</c:v>
                </c:pt>
                <c:pt idx="117">
                  <c:v>1.7711183496199785E-2</c:v>
                </c:pt>
                <c:pt idx="118">
                  <c:v>1.0438359905773104E-2</c:v>
                </c:pt>
                <c:pt idx="119">
                  <c:v>-4.0173329841958996E-2</c:v>
                </c:pt>
                <c:pt idx="120">
                  <c:v>1.8489672712552033E-2</c:v>
                </c:pt>
                <c:pt idx="121">
                  <c:v>-9.3319047454463767E-3</c:v>
                </c:pt>
                <c:pt idx="122">
                  <c:v>3.6894253916198584E-2</c:v>
                </c:pt>
                <c:pt idx="123">
                  <c:v>8.9332279066637512E-3</c:v>
                </c:pt>
                <c:pt idx="124">
                  <c:v>-2.2935703328219835E-2</c:v>
                </c:pt>
                <c:pt idx="125">
                  <c:v>-1.7065865708702737E-3</c:v>
                </c:pt>
                <c:pt idx="126">
                  <c:v>4.2737599685451264E-4</c:v>
                </c:pt>
                <c:pt idx="127">
                  <c:v>-4.972531462795725E-3</c:v>
                </c:pt>
                <c:pt idx="128">
                  <c:v>1.3996101699281305E-3</c:v>
                </c:pt>
                <c:pt idx="129">
                  <c:v>2.7695843051173002E-3</c:v>
                </c:pt>
                <c:pt idx="130">
                  <c:v>-1.0090040787707252E-2</c:v>
                </c:pt>
                <c:pt idx="131">
                  <c:v>-1.3648103518273775E-3</c:v>
                </c:pt>
                <c:pt idx="132">
                  <c:v>2.1529465699037274E-2</c:v>
                </c:pt>
                <c:pt idx="133">
                  <c:v>-9.9239614557401472E-3</c:v>
                </c:pt>
                <c:pt idx="134">
                  <c:v>-1.6275251013461507E-2</c:v>
                </c:pt>
                <c:pt idx="135">
                  <c:v>1.112820914078054E-2</c:v>
                </c:pt>
                <c:pt idx="136">
                  <c:v>1.2175094365579564E-2</c:v>
                </c:pt>
                <c:pt idx="137">
                  <c:v>4.2134234915349265E-3</c:v>
                </c:pt>
                <c:pt idx="138">
                  <c:v>1.4515924375079304E-2</c:v>
                </c:pt>
                <c:pt idx="139">
                  <c:v>1.1681716987267679E-2</c:v>
                </c:pt>
                <c:pt idx="140">
                  <c:v>3.1838261958922628E-2</c:v>
                </c:pt>
                <c:pt idx="141">
                  <c:v>-3.7541435360837096E-4</c:v>
                </c:pt>
                <c:pt idx="142">
                  <c:v>-2.7567360245469366E-3</c:v>
                </c:pt>
                <c:pt idx="143">
                  <c:v>-1.2619888944977285E-2</c:v>
                </c:pt>
                <c:pt idx="144">
                  <c:v>4.722952575713312E-3</c:v>
                </c:pt>
                <c:pt idx="145">
                  <c:v>6.3282448913658029E-2</c:v>
                </c:pt>
                <c:pt idx="146">
                  <c:v>-2.8022332788939952E-2</c:v>
                </c:pt>
                <c:pt idx="147">
                  <c:v>6.4553440245084248E-3</c:v>
                </c:pt>
                <c:pt idx="148">
                  <c:v>-1.739373514932211E-3</c:v>
                </c:pt>
                <c:pt idx="149">
                  <c:v>-5.5072418674839375E-3</c:v>
                </c:pt>
                <c:pt idx="150">
                  <c:v>2.0312866640594448E-2</c:v>
                </c:pt>
                <c:pt idx="151">
                  <c:v>1.5393224834607158E-2</c:v>
                </c:pt>
                <c:pt idx="152">
                  <c:v>-2.0912762825110415E-3</c:v>
                </c:pt>
                <c:pt idx="153">
                  <c:v>1.4707439967316801E-2</c:v>
                </c:pt>
                <c:pt idx="154">
                  <c:v>2.1316413414652333E-2</c:v>
                </c:pt>
                <c:pt idx="155">
                  <c:v>2.555098882326746E-3</c:v>
                </c:pt>
                <c:pt idx="156">
                  <c:v>1.3157990548383104E-2</c:v>
                </c:pt>
                <c:pt idx="157">
                  <c:v>-1.6731590219781798E-2</c:v>
                </c:pt>
                <c:pt idx="158">
                  <c:v>3.3184708720122797E-3</c:v>
                </c:pt>
                <c:pt idx="159">
                  <c:v>6.84811749621168E-4</c:v>
                </c:pt>
                <c:pt idx="160">
                  <c:v>2.8269194368001863E-2</c:v>
                </c:pt>
                <c:pt idx="161">
                  <c:v>-3.7290871630758775E-2</c:v>
                </c:pt>
                <c:pt idx="162">
                  <c:v>5.220851045052731E-2</c:v>
                </c:pt>
                <c:pt idx="163">
                  <c:v>5.3678891195403748E-3</c:v>
                </c:pt>
                <c:pt idx="164">
                  <c:v>1.3083891241023073E-2</c:v>
                </c:pt>
                <c:pt idx="165">
                  <c:v>1.5920616512149762E-2</c:v>
                </c:pt>
                <c:pt idx="166">
                  <c:v>-1.2901656951020987E-3</c:v>
                </c:pt>
                <c:pt idx="167">
                  <c:v>2.0973676379081783E-2</c:v>
                </c:pt>
                <c:pt idx="168">
                  <c:v>-8.9431809901095044E-4</c:v>
                </c:pt>
                <c:pt idx="169">
                  <c:v>1.5906589399143339E-2</c:v>
                </c:pt>
                <c:pt idx="170">
                  <c:v>-8.256263991593623E-3</c:v>
                </c:pt>
                <c:pt idx="171">
                  <c:v>1.1727387596082973E-2</c:v>
                </c:pt>
                <c:pt idx="172">
                  <c:v>7.506472218247102E-3</c:v>
                </c:pt>
                <c:pt idx="173">
                  <c:v>-1.1776251226692836E-2</c:v>
                </c:pt>
                <c:pt idx="174">
                  <c:v>-1.6261171797418074E-2</c:v>
                </c:pt>
                <c:pt idx="175">
                  <c:v>2.2234766727544413E-2</c:v>
                </c:pt>
                <c:pt idx="176">
                  <c:v>-2.5077473801835984E-3</c:v>
                </c:pt>
                <c:pt idx="177">
                  <c:v>-2.2795808176530739E-4</c:v>
                </c:pt>
                <c:pt idx="178">
                  <c:v>3.25533217808237E-2</c:v>
                </c:pt>
                <c:pt idx="179">
                  <c:v>-3.2157931595782938E-2</c:v>
                </c:pt>
                <c:pt idx="180">
                  <c:v>1.1401415887667696E-2</c:v>
                </c:pt>
                <c:pt idx="181">
                  <c:v>7.7666273501298738E-3</c:v>
                </c:pt>
                <c:pt idx="182">
                  <c:v>1.793343395840262E-2</c:v>
                </c:pt>
                <c:pt idx="183">
                  <c:v>-3.9205830610706208E-3</c:v>
                </c:pt>
                <c:pt idx="184">
                  <c:v>-2.502270777615179E-2</c:v>
                </c:pt>
                <c:pt idx="185">
                  <c:v>1.4220186453946133E-2</c:v>
                </c:pt>
                <c:pt idx="186">
                  <c:v>8.6944318638488959E-3</c:v>
                </c:pt>
                <c:pt idx="187">
                  <c:v>-3.0607727818883199E-3</c:v>
                </c:pt>
                <c:pt idx="188">
                  <c:v>1.386651104373089E-2</c:v>
                </c:pt>
                <c:pt idx="189">
                  <c:v>1.5140897942839981E-3</c:v>
                </c:pt>
                <c:pt idx="190">
                  <c:v>2.0153179154640977E-2</c:v>
                </c:pt>
                <c:pt idx="191">
                  <c:v>8.0526638089406001E-3</c:v>
                </c:pt>
                <c:pt idx="192">
                  <c:v>-2.2051453391246242E-2</c:v>
                </c:pt>
                <c:pt idx="193">
                  <c:v>1.8436500295058545E-2</c:v>
                </c:pt>
                <c:pt idx="194">
                  <c:v>2.0420486358895536E-2</c:v>
                </c:pt>
                <c:pt idx="195">
                  <c:v>-1.6377666600916909E-2</c:v>
                </c:pt>
                <c:pt idx="196">
                  <c:v>1.2524231136174428E-2</c:v>
                </c:pt>
                <c:pt idx="197">
                  <c:v>-2.5968959681194559E-2</c:v>
                </c:pt>
                <c:pt idx="198">
                  <c:v>-3.3457592655349824E-2</c:v>
                </c:pt>
                <c:pt idx="199">
                  <c:v>-2.214005673668441E-2</c:v>
                </c:pt>
                <c:pt idx="200">
                  <c:v>-8.063001981850422E-2</c:v>
                </c:pt>
                <c:pt idx="201">
                  <c:v>-1.8096210574086679E-2</c:v>
                </c:pt>
                <c:pt idx="202">
                  <c:v>-7.58998209024207E-2</c:v>
                </c:pt>
                <c:pt idx="203">
                  <c:v>-0.10170206780137854</c:v>
                </c:pt>
                <c:pt idx="204">
                  <c:v>1.4328217976824303E-2</c:v>
                </c:pt>
                <c:pt idx="205">
                  <c:v>-2.8157296625069685E-2</c:v>
                </c:pt>
                <c:pt idx="206">
                  <c:v>-2.3925091781982492E-2</c:v>
                </c:pt>
                <c:pt idx="207">
                  <c:v>2.2413902225115506E-2</c:v>
                </c:pt>
                <c:pt idx="208">
                  <c:v>2.1268128758401131E-2</c:v>
                </c:pt>
                <c:pt idx="209">
                  <c:v>1.9223275750097416E-2</c:v>
                </c:pt>
                <c:pt idx="210">
                  <c:v>-4.7831443014315451E-3</c:v>
                </c:pt>
                <c:pt idx="211">
                  <c:v>4.1829574362739243E-2</c:v>
                </c:pt>
                <c:pt idx="212">
                  <c:v>1.6551678930204355E-3</c:v>
                </c:pt>
                <c:pt idx="213">
                  <c:v>2.3559438500049081E-3</c:v>
                </c:pt>
                <c:pt idx="214">
                  <c:v>1.5449025560669866E-2</c:v>
                </c:pt>
                <c:pt idx="215">
                  <c:v>2.1153305203938114E-2</c:v>
                </c:pt>
                <c:pt idx="216">
                  <c:v>1.3796957271146021E-2</c:v>
                </c:pt>
                <c:pt idx="217">
                  <c:v>4.6774318764071114E-2</c:v>
                </c:pt>
                <c:pt idx="218">
                  <c:v>-2.6988541550784291E-2</c:v>
                </c:pt>
                <c:pt idx="219">
                  <c:v>4.3332113783956829E-2</c:v>
                </c:pt>
                <c:pt idx="220">
                  <c:v>2.5204374602757137E-3</c:v>
                </c:pt>
                <c:pt idx="221">
                  <c:v>-1.8728229344293357E-2</c:v>
                </c:pt>
                <c:pt idx="222">
                  <c:v>1.8097968155893537E-2</c:v>
                </c:pt>
                <c:pt idx="223">
                  <c:v>1.5719256271290293E-2</c:v>
                </c:pt>
                <c:pt idx="224">
                  <c:v>-3.396817189474894E-2</c:v>
                </c:pt>
                <c:pt idx="225">
                  <c:v>5.8966086323019966E-2</c:v>
                </c:pt>
                <c:pt idx="226">
                  <c:v>1.2397332397332397E-2</c:v>
                </c:pt>
                <c:pt idx="227">
                  <c:v>-7.6482498474510453E-3</c:v>
                </c:pt>
                <c:pt idx="228">
                  <c:v>-1.4338320068756856E-2</c:v>
                </c:pt>
                <c:pt idx="229">
                  <c:v>3.4353931986870929E-2</c:v>
                </c:pt>
                <c:pt idx="230">
                  <c:v>-1.7250714496220194E-2</c:v>
                </c:pt>
                <c:pt idx="231">
                  <c:v>2.1368296254968965E-2</c:v>
                </c:pt>
                <c:pt idx="232">
                  <c:v>-1.7548172122304614E-3</c:v>
                </c:pt>
                <c:pt idx="233">
                  <c:v>1.1628145584382717E-2</c:v>
                </c:pt>
                <c:pt idx="234">
                  <c:v>-2.7113464100015552E-3</c:v>
                </c:pt>
                <c:pt idx="235">
                  <c:v>7.8713999023702335E-3</c:v>
                </c:pt>
                <c:pt idx="236">
                  <c:v>1.9992331339930176E-2</c:v>
                </c:pt>
                <c:pt idx="237">
                  <c:v>-7.8217227575199996E-3</c:v>
                </c:pt>
                <c:pt idx="238">
                  <c:v>2.8967781817698397E-2</c:v>
                </c:pt>
                <c:pt idx="239">
                  <c:v>-1.9909432109611696E-2</c:v>
                </c:pt>
                <c:pt idx="240">
                  <c:v>1.625373222865956E-2</c:v>
                </c:pt>
                <c:pt idx="241">
                  <c:v>-3.9044005577715084E-3</c:v>
                </c:pt>
                <c:pt idx="242">
                  <c:v>-1.3328298053821061E-2</c:v>
                </c:pt>
                <c:pt idx="243">
                  <c:v>-4.0056488227219935E-3</c:v>
                </c:pt>
                <c:pt idx="244">
                  <c:v>-2.5873092646211134E-2</c:v>
                </c:pt>
                <c:pt idx="245">
                  <c:v>-6.5567526390249214E-3</c:v>
                </c:pt>
                <c:pt idx="246">
                  <c:v>-2.1587019033273997E-2</c:v>
                </c:pt>
                <c:pt idx="247">
                  <c:v>1.0328395390008887E-2</c:v>
                </c:pt>
                <c:pt idx="248">
                  <c:v>2.0694957162546837E-2</c:v>
                </c:pt>
                <c:pt idx="249">
                  <c:v>-1.4996166138521148E-3</c:v>
                </c:pt>
                <c:pt idx="250">
                  <c:v>-6.2657152565409446E-3</c:v>
                </c:pt>
                <c:pt idx="251">
                  <c:v>3.7988620510435757E-2</c:v>
                </c:pt>
                <c:pt idx="252">
                  <c:v>-1.4211077656918101E-2</c:v>
                </c:pt>
                <c:pt idx="253">
                  <c:v>-2.2723323486559824E-2</c:v>
                </c:pt>
                <c:pt idx="254">
                  <c:v>2.2779806600741317E-2</c:v>
                </c:pt>
                <c:pt idx="255">
                  <c:v>7.2480726412003449E-3</c:v>
                </c:pt>
                <c:pt idx="256">
                  <c:v>-5.443405181856201E-4</c:v>
                </c:pt>
                <c:pt idx="257">
                  <c:v>-1.5283045184944109E-2</c:v>
                </c:pt>
                <c:pt idx="258">
                  <c:v>-4.2763291019708889E-3</c:v>
                </c:pt>
                <c:pt idx="259">
                  <c:v>4.863707798189996E-3</c:v>
                </c:pt>
                <c:pt idx="260">
                  <c:v>3.6806838252147066E-3</c:v>
                </c:pt>
                <c:pt idx="261">
                  <c:v>1.1377679866745474E-2</c:v>
                </c:pt>
                <c:pt idx="262">
                  <c:v>-1.6157309638602225E-2</c:v>
                </c:pt>
                <c:pt idx="263">
                  <c:v>2.0830380225313704E-2</c:v>
                </c:pt>
                <c:pt idx="264">
                  <c:v>5.5542698449433006E-4</c:v>
                </c:pt>
                <c:pt idx="265">
                  <c:v>1.4816381287214428E-2</c:v>
                </c:pt>
                <c:pt idx="266">
                  <c:v>-1.0223950091494585E-2</c:v>
                </c:pt>
                <c:pt idx="267">
                  <c:v>1.8356350047042259E-3</c:v>
                </c:pt>
                <c:pt idx="268">
                  <c:v>2.7378997832797004E-2</c:v>
                </c:pt>
                <c:pt idx="269">
                  <c:v>-1.9470848062183983E-2</c:v>
                </c:pt>
                <c:pt idx="270">
                  <c:v>1.2536426042909389E-2</c:v>
                </c:pt>
                <c:pt idx="271">
                  <c:v>9.8444461613742314E-3</c:v>
                </c:pt>
                <c:pt idx="272">
                  <c:v>-2.6656890560744686E-2</c:v>
                </c:pt>
                <c:pt idx="273">
                  <c:v>-2.4105224545406905E-2</c:v>
                </c:pt>
                <c:pt idx="274">
                  <c:v>9.913816248724696E-3</c:v>
                </c:pt>
                <c:pt idx="275">
                  <c:v>-1.8795568286798573E-2</c:v>
                </c:pt>
                <c:pt idx="276">
                  <c:v>-7.5457384189171793E-3</c:v>
                </c:pt>
                <c:pt idx="277">
                  <c:v>4.4226346071158003E-3</c:v>
                </c:pt>
                <c:pt idx="278">
                  <c:v>-3.2072407537015769E-3</c:v>
                </c:pt>
                <c:pt idx="279">
                  <c:v>-1.1540952316029859E-2</c:v>
                </c:pt>
                <c:pt idx="280">
                  <c:v>1.7868719052151004E-2</c:v>
                </c:pt>
                <c:pt idx="281">
                  <c:v>-1.1050659584126618E-2</c:v>
                </c:pt>
                <c:pt idx="282">
                  <c:v>2.3430755950178813E-3</c:v>
                </c:pt>
                <c:pt idx="283">
                  <c:v>-2.6793525809273842E-3</c:v>
                </c:pt>
                <c:pt idx="284">
                  <c:v>-1.1719392510554308E-2</c:v>
                </c:pt>
                <c:pt idx="285">
                  <c:v>-4.5838476581462114E-3</c:v>
                </c:pt>
                <c:pt idx="286">
                  <c:v>-9.32137856082931E-3</c:v>
                </c:pt>
                <c:pt idx="287">
                  <c:v>1.4071433092128858E-2</c:v>
                </c:pt>
                <c:pt idx="288">
                  <c:v>-1.0991373332223794E-2</c:v>
                </c:pt>
                <c:pt idx="289">
                  <c:v>-8.7435755404258898E-3</c:v>
                </c:pt>
                <c:pt idx="290">
                  <c:v>6.988654047477577E-3</c:v>
                </c:pt>
                <c:pt idx="291">
                  <c:v>-5.2332115762854731E-3</c:v>
                </c:pt>
                <c:pt idx="292">
                  <c:v>-6.1575398086360904E-3</c:v>
                </c:pt>
                <c:pt idx="293">
                  <c:v>6.7498916464762016E-3</c:v>
                </c:pt>
                <c:pt idx="294">
                  <c:v>1.5173650074456748E-3</c:v>
                </c:pt>
                <c:pt idx="295">
                  <c:v>-5.9616089297291203E-3</c:v>
                </c:pt>
                <c:pt idx="296">
                  <c:v>6.5574002920701533E-3</c:v>
                </c:pt>
                <c:pt idx="297">
                  <c:v>2.8101164191087916E-3</c:v>
                </c:pt>
                <c:pt idx="298">
                  <c:v>1.6434199991572204E-3</c:v>
                </c:pt>
                <c:pt idx="299">
                  <c:v>1.6652643388024121E-2</c:v>
                </c:pt>
                <c:pt idx="300">
                  <c:v>2.2345598124073243E-3</c:v>
                </c:pt>
                <c:pt idx="301">
                  <c:v>1.1030904424060172E-2</c:v>
                </c:pt>
                <c:pt idx="302">
                  <c:v>-5.1660064524033161E-3</c:v>
                </c:pt>
                <c:pt idx="303">
                  <c:v>9.3388887748609428E-3</c:v>
                </c:pt>
                <c:pt idx="304">
                  <c:v>-9.6185130958190996E-3</c:v>
                </c:pt>
                <c:pt idx="305">
                  <c:v>1.2299037020306757E-2</c:v>
                </c:pt>
                <c:pt idx="306">
                  <c:v>5.1924871201979635E-3</c:v>
                </c:pt>
                <c:pt idx="307">
                  <c:v>1.2772912546914726E-2</c:v>
                </c:pt>
                <c:pt idx="308">
                  <c:v>1.4730396551838642E-2</c:v>
                </c:pt>
                <c:pt idx="309">
                  <c:v>4.1494590649972839E-3</c:v>
                </c:pt>
                <c:pt idx="310">
                  <c:v>6.081147140296562E-3</c:v>
                </c:pt>
                <c:pt idx="311">
                  <c:v>-2.3970250975006153E-3</c:v>
                </c:pt>
                <c:pt idx="312">
                  <c:v>1.3825752656051122E-2</c:v>
                </c:pt>
                <c:pt idx="313">
                  <c:v>5.2268490939487693E-3</c:v>
                </c:pt>
                <c:pt idx="314">
                  <c:v>1.5579897153562347E-2</c:v>
                </c:pt>
                <c:pt idx="315">
                  <c:v>1.1262533097416205E-2</c:v>
                </c:pt>
                <c:pt idx="316">
                  <c:v>4.0267290427056643E-3</c:v>
                </c:pt>
                <c:pt idx="317">
                  <c:v>2.1443314258877038E-3</c:v>
                </c:pt>
                <c:pt idx="318">
                  <c:v>-1.1518847621925276E-2</c:v>
                </c:pt>
                <c:pt idx="319">
                  <c:v>-5.7703944454494983E-3</c:v>
                </c:pt>
                <c:pt idx="320">
                  <c:v>1.0114446340728842E-2</c:v>
                </c:pt>
                <c:pt idx="321">
                  <c:v>-2.2759460332447138E-2</c:v>
                </c:pt>
                <c:pt idx="322">
                  <c:v>5.1867483664285166E-3</c:v>
                </c:pt>
                <c:pt idx="323">
                  <c:v>-4.2241052232199318E-3</c:v>
                </c:pt>
                <c:pt idx="324">
                  <c:v>-3.1243649664702295E-3</c:v>
                </c:pt>
                <c:pt idx="325">
                  <c:v>-1.3568607465919225E-3</c:v>
                </c:pt>
                <c:pt idx="326">
                  <c:v>6.9083416790523518E-3</c:v>
                </c:pt>
                <c:pt idx="327">
                  <c:v>-2.2743110547988597E-3</c:v>
                </c:pt>
                <c:pt idx="328">
                  <c:v>8.5719183953368756E-3</c:v>
                </c:pt>
                <c:pt idx="329">
                  <c:v>-1.1949055974213207E-2</c:v>
                </c:pt>
                <c:pt idx="330">
                  <c:v>8.3469794766252714E-4</c:v>
                </c:pt>
                <c:pt idx="331">
                  <c:v>-6.1245018271642668E-3</c:v>
                </c:pt>
                <c:pt idx="332">
                  <c:v>-6.0213180280824024E-4</c:v>
                </c:pt>
                <c:pt idx="333">
                  <c:v>1.5575125947006115E-3</c:v>
                </c:pt>
                <c:pt idx="334">
                  <c:v>-1.1807168775318217E-2</c:v>
                </c:pt>
                <c:pt idx="335">
                  <c:v>3.0631540772976893E-3</c:v>
                </c:pt>
                <c:pt idx="336">
                  <c:v>-5.7008567425704858E-3</c:v>
                </c:pt>
                <c:pt idx="337">
                  <c:v>-2.2427697622170565E-2</c:v>
                </c:pt>
                <c:pt idx="338">
                  <c:v>-8.4150326797385627E-2</c:v>
                </c:pt>
                <c:pt idx="339">
                  <c:v>3.7190951748946571E-2</c:v>
                </c:pt>
                <c:pt idx="340">
                  <c:v>5.3310584500492968E-2</c:v>
                </c:pt>
                <c:pt idx="341">
                  <c:v>3.4952036379327513E-2</c:v>
                </c:pt>
                <c:pt idx="342">
                  <c:v>1.3822963438101347E-2</c:v>
                </c:pt>
                <c:pt idx="343">
                  <c:v>1.3027110815855241E-2</c:v>
                </c:pt>
                <c:pt idx="344">
                  <c:v>1.7587468928388524E-2</c:v>
                </c:pt>
                <c:pt idx="345">
                  <c:v>8.0402626894985584E-3</c:v>
                </c:pt>
                <c:pt idx="346">
                  <c:v>2.0147345348270822E-2</c:v>
                </c:pt>
                <c:pt idx="347">
                  <c:v>2.0602928098645768E-2</c:v>
                </c:pt>
                <c:pt idx="348">
                  <c:v>-5.3976292536300954E-3</c:v>
                </c:pt>
                <c:pt idx="349">
                  <c:v>3.2608567833582236E-2</c:v>
                </c:pt>
                <c:pt idx="350">
                  <c:v>1.7264155240741583E-2</c:v>
                </c:pt>
                <c:pt idx="351">
                  <c:v>5.5077915099408922E-3</c:v>
                </c:pt>
                <c:pt idx="352">
                  <c:v>6.089957693164106E-3</c:v>
                </c:pt>
                <c:pt idx="353">
                  <c:v>8.1666980202950192E-3</c:v>
                </c:pt>
                <c:pt idx="354">
                  <c:v>3.3971790790845728E-3</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B99C-4313-8C60-933B1A208CCB}"/>
            </c:ext>
          </c:extLst>
        </c:ser>
        <c:dLbls>
          <c:showLegendKey val="0"/>
          <c:showVal val="0"/>
          <c:showCatName val="0"/>
          <c:showSerName val="0"/>
          <c:showPercent val="0"/>
          <c:showBubbleSize val="0"/>
        </c:dLbls>
        <c:gapWidth val="219"/>
        <c:overlap val="-27"/>
        <c:axId val="504147584"/>
        <c:axId val="504147976"/>
      </c:barChart>
      <c:dateAx>
        <c:axId val="504147584"/>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47976"/>
        <c:crosses val="autoZero"/>
        <c:auto val="1"/>
        <c:lblOffset val="100"/>
        <c:baseTimeUnit val="months"/>
      </c:dateAx>
      <c:valAx>
        <c:axId val="504147976"/>
        <c:scaling>
          <c:orientation val="minMax"/>
          <c:max val="0.1"/>
          <c:min val="-0.1"/>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47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'New Orders ex Transport'!$C$5</c:f>
              <c:strCache>
                <c:ptCount val="1"/>
                <c:pt idx="0">
                  <c:v>mom %</c:v>
                </c:pt>
              </c:strCache>
            </c:strRef>
          </c:tx>
          <c:spPr>
            <a:solidFill>
              <a:srgbClr val="92D050"/>
            </a:solidFill>
            <a:ln w="6350">
              <a:solidFill>
                <a:schemeClr val="tx1"/>
              </a:solidFill>
            </a:ln>
            <a:effectLst/>
          </c:spPr>
          <c:invertIfNegative val="1"/>
          <c:cat>
            <c:numRef>
              <c:f>'New Orders ex Transport'!$A$251:$A$350</c:f>
              <c:numCache>
                <c:formatCode>m/d/yy</c:formatCode>
                <c:ptCount val="100"/>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numCache>
            </c:numRef>
          </c:cat>
          <c:val>
            <c:numRef>
              <c:f>'New Orders ex Transport'!$C$251:$C$350</c:f>
              <c:numCache>
                <c:formatCode>0.0%</c:formatCode>
                <c:ptCount val="100"/>
                <c:pt idx="0">
                  <c:v>-6.5567526390249214E-3</c:v>
                </c:pt>
                <c:pt idx="1">
                  <c:v>-2.1587019033273997E-2</c:v>
                </c:pt>
                <c:pt idx="2">
                  <c:v>1.0328395390008887E-2</c:v>
                </c:pt>
                <c:pt idx="3">
                  <c:v>2.0694957162546837E-2</c:v>
                </c:pt>
                <c:pt idx="4">
                  <c:v>-1.4996166138521148E-3</c:v>
                </c:pt>
                <c:pt idx="5">
                  <c:v>-6.2657152565409446E-3</c:v>
                </c:pt>
                <c:pt idx="6">
                  <c:v>3.7988620510435757E-2</c:v>
                </c:pt>
                <c:pt idx="7">
                  <c:v>-1.4211077656918101E-2</c:v>
                </c:pt>
                <c:pt idx="8">
                  <c:v>-2.2723323486559824E-2</c:v>
                </c:pt>
                <c:pt idx="9">
                  <c:v>2.2779806600741317E-2</c:v>
                </c:pt>
                <c:pt idx="10">
                  <c:v>7.2480726412003449E-3</c:v>
                </c:pt>
                <c:pt idx="11">
                  <c:v>-5.443405181856201E-4</c:v>
                </c:pt>
                <c:pt idx="12">
                  <c:v>-1.5283045184944109E-2</c:v>
                </c:pt>
                <c:pt idx="13">
                  <c:v>-4.2763291019708889E-3</c:v>
                </c:pt>
                <c:pt idx="14">
                  <c:v>4.863707798189996E-3</c:v>
                </c:pt>
                <c:pt idx="15">
                  <c:v>3.6806838252147066E-3</c:v>
                </c:pt>
                <c:pt idx="16">
                  <c:v>1.1377679866745474E-2</c:v>
                </c:pt>
                <c:pt idx="17">
                  <c:v>-1.6157309638602225E-2</c:v>
                </c:pt>
                <c:pt idx="18">
                  <c:v>2.0830380225313704E-2</c:v>
                </c:pt>
                <c:pt idx="19">
                  <c:v>5.5542698449433006E-4</c:v>
                </c:pt>
                <c:pt idx="20">
                  <c:v>1.4816381287214428E-2</c:v>
                </c:pt>
                <c:pt idx="21">
                  <c:v>-1.0223950091494585E-2</c:v>
                </c:pt>
                <c:pt idx="22">
                  <c:v>1.8356350047042259E-3</c:v>
                </c:pt>
                <c:pt idx="23">
                  <c:v>2.7378997832797004E-2</c:v>
                </c:pt>
                <c:pt idx="24">
                  <c:v>-1.9470848062183983E-2</c:v>
                </c:pt>
                <c:pt idx="25">
                  <c:v>1.2536426042909389E-2</c:v>
                </c:pt>
                <c:pt idx="26">
                  <c:v>9.8444461613742314E-3</c:v>
                </c:pt>
                <c:pt idx="27">
                  <c:v>-2.6656890560744686E-2</c:v>
                </c:pt>
                <c:pt idx="28">
                  <c:v>-2.4105224545406905E-2</c:v>
                </c:pt>
                <c:pt idx="29">
                  <c:v>9.913816248724696E-3</c:v>
                </c:pt>
                <c:pt idx="30">
                  <c:v>-1.8795568286798573E-2</c:v>
                </c:pt>
                <c:pt idx="31">
                  <c:v>-7.5457384189171793E-3</c:v>
                </c:pt>
                <c:pt idx="32">
                  <c:v>4.4226346071158003E-3</c:v>
                </c:pt>
                <c:pt idx="33">
                  <c:v>-3.2072407537015769E-3</c:v>
                </c:pt>
                <c:pt idx="34">
                  <c:v>-1.1540952316029859E-2</c:v>
                </c:pt>
                <c:pt idx="35">
                  <c:v>1.7868719052151004E-2</c:v>
                </c:pt>
                <c:pt idx="36">
                  <c:v>-1.1050659584126618E-2</c:v>
                </c:pt>
                <c:pt idx="37">
                  <c:v>2.3430755950178813E-3</c:v>
                </c:pt>
                <c:pt idx="38">
                  <c:v>-2.6793525809273842E-3</c:v>
                </c:pt>
                <c:pt idx="39">
                  <c:v>-1.1719392510554308E-2</c:v>
                </c:pt>
                <c:pt idx="40">
                  <c:v>-4.5838476581462114E-3</c:v>
                </c:pt>
                <c:pt idx="41">
                  <c:v>-9.32137856082931E-3</c:v>
                </c:pt>
                <c:pt idx="42">
                  <c:v>1.4071433092128858E-2</c:v>
                </c:pt>
                <c:pt idx="43">
                  <c:v>-1.0991373332223794E-2</c:v>
                </c:pt>
                <c:pt idx="44">
                  <c:v>-8.7435755404258898E-3</c:v>
                </c:pt>
                <c:pt idx="45">
                  <c:v>6.988654047477577E-3</c:v>
                </c:pt>
                <c:pt idx="46">
                  <c:v>-5.2332115762854731E-3</c:v>
                </c:pt>
                <c:pt idx="47">
                  <c:v>-6.1575398086360904E-3</c:v>
                </c:pt>
                <c:pt idx="48">
                  <c:v>6.7498916464762016E-3</c:v>
                </c:pt>
                <c:pt idx="49">
                  <c:v>1.5173650074456748E-3</c:v>
                </c:pt>
                <c:pt idx="50">
                  <c:v>-5.9616089297291203E-3</c:v>
                </c:pt>
                <c:pt idx="51">
                  <c:v>6.5574002920701533E-3</c:v>
                </c:pt>
                <c:pt idx="52">
                  <c:v>2.8101164191087916E-3</c:v>
                </c:pt>
                <c:pt idx="53">
                  <c:v>1.6434199991572204E-3</c:v>
                </c:pt>
                <c:pt idx="54">
                  <c:v>1.6652643388024121E-2</c:v>
                </c:pt>
                <c:pt idx="55">
                  <c:v>2.2345598124073243E-3</c:v>
                </c:pt>
                <c:pt idx="56">
                  <c:v>1.1030904424060172E-2</c:v>
                </c:pt>
                <c:pt idx="57">
                  <c:v>-5.1660064524033161E-3</c:v>
                </c:pt>
                <c:pt idx="58">
                  <c:v>9.3388887748609428E-3</c:v>
                </c:pt>
                <c:pt idx="59">
                  <c:v>-9.6185130958190996E-3</c:v>
                </c:pt>
                <c:pt idx="60">
                  <c:v>1.2299037020306757E-2</c:v>
                </c:pt>
                <c:pt idx="61">
                  <c:v>5.1924871201979635E-3</c:v>
                </c:pt>
                <c:pt idx="62">
                  <c:v>1.2772912546914726E-2</c:v>
                </c:pt>
                <c:pt idx="63">
                  <c:v>1.4730396551838642E-2</c:v>
                </c:pt>
                <c:pt idx="64">
                  <c:v>4.1494590649972839E-3</c:v>
                </c:pt>
                <c:pt idx="65">
                  <c:v>6.081147140296562E-3</c:v>
                </c:pt>
                <c:pt idx="66">
                  <c:v>-2.3970250975006153E-3</c:v>
                </c:pt>
                <c:pt idx="67">
                  <c:v>1.3825752656051122E-2</c:v>
                </c:pt>
                <c:pt idx="68">
                  <c:v>5.2268490939487693E-3</c:v>
                </c:pt>
                <c:pt idx="69">
                  <c:v>1.5579897153562347E-2</c:v>
                </c:pt>
                <c:pt idx="70">
                  <c:v>1.1262533097416205E-2</c:v>
                </c:pt>
                <c:pt idx="71">
                  <c:v>4.0267290427056643E-3</c:v>
                </c:pt>
                <c:pt idx="72">
                  <c:v>2.1443314258877038E-3</c:v>
                </c:pt>
                <c:pt idx="73">
                  <c:v>-1.1518847621925276E-2</c:v>
                </c:pt>
                <c:pt idx="74">
                  <c:v>-5.7703944454494983E-3</c:v>
                </c:pt>
                <c:pt idx="75">
                  <c:v>1.0114446340728842E-2</c:v>
                </c:pt>
                <c:pt idx="76">
                  <c:v>-2.2759460332447138E-2</c:v>
                </c:pt>
                <c:pt idx="77">
                  <c:v>5.1867483664285166E-3</c:v>
                </c:pt>
                <c:pt idx="78">
                  <c:v>-4.2241052232199318E-3</c:v>
                </c:pt>
                <c:pt idx="79">
                  <c:v>-3.1243649664702295E-3</c:v>
                </c:pt>
                <c:pt idx="80">
                  <c:v>-1.3568607465919225E-3</c:v>
                </c:pt>
                <c:pt idx="81">
                  <c:v>6.9083416790523518E-3</c:v>
                </c:pt>
                <c:pt idx="82">
                  <c:v>-2.2743110547988597E-3</c:v>
                </c:pt>
                <c:pt idx="83">
                  <c:v>8.5719183953368756E-3</c:v>
                </c:pt>
                <c:pt idx="84">
                  <c:v>-1.1949055974213207E-2</c:v>
                </c:pt>
                <c:pt idx="85">
                  <c:v>8.3469794766252714E-4</c:v>
                </c:pt>
                <c:pt idx="86">
                  <c:v>-6.1245018271642668E-3</c:v>
                </c:pt>
                <c:pt idx="87">
                  <c:v>-6.0213180280824024E-4</c:v>
                </c:pt>
                <c:pt idx="88">
                  <c:v>1.5575125947006115E-3</c:v>
                </c:pt>
                <c:pt idx="89">
                  <c:v>-1.1807168775318217E-2</c:v>
                </c:pt>
                <c:pt idx="90">
                  <c:v>3.0631540772976893E-3</c:v>
                </c:pt>
                <c:pt idx="91">
                  <c:v>-5.7008567425704858E-3</c:v>
                </c:pt>
                <c:pt idx="92">
                  <c:v>-2.2427697622170565E-2</c:v>
                </c:pt>
                <c:pt idx="93">
                  <c:v>-8.4150326797385627E-2</c:v>
                </c:pt>
                <c:pt idx="94">
                  <c:v>3.7190951748946571E-2</c:v>
                </c:pt>
                <c:pt idx="95">
                  <c:v>5.3310584500492968E-2</c:v>
                </c:pt>
                <c:pt idx="96">
                  <c:v>3.4952036379327513E-2</c:v>
                </c:pt>
                <c:pt idx="97">
                  <c:v>1.3822963438101347E-2</c:v>
                </c:pt>
                <c:pt idx="98">
                  <c:v>1.3027110815855241E-2</c:v>
                </c:pt>
                <c:pt idx="99">
                  <c:v>1.7587468928388524E-2</c:v>
                </c:pt>
              </c:numCache>
            </c:numRef>
          </c:val>
          <c:extLst>
            <c:ext xmlns:c14="http://schemas.microsoft.com/office/drawing/2007/8/2/chart" uri="{6F2FDCE9-48DA-4B69-8628-5D25D57E5C99}">
              <c14:invertSolidFillFmt>
                <c14:spPr xmlns:c14="http://schemas.microsoft.com/office/drawing/2007/8/2/chart">
                  <a:solidFill>
                    <a:srgbClr val="FF0000"/>
                  </a:solidFill>
                  <a:ln w="6350">
                    <a:solidFill>
                      <a:schemeClr val="tx1"/>
                    </a:solidFill>
                  </a:ln>
                  <a:effectLst/>
                </c14:spPr>
              </c14:invertSolidFillFmt>
            </c:ext>
            <c:ext xmlns:c16="http://schemas.microsoft.com/office/drawing/2014/chart" uri="{C3380CC4-5D6E-409C-BE32-E72D297353CC}">
              <c16:uniqueId val="{00000000-147E-4ACC-874B-192B913A5EF7}"/>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50720"/>
        <c:crosses val="autoZero"/>
        <c:auto val="1"/>
        <c:lblOffset val="100"/>
        <c:baseTimeUnit val="months"/>
        <c:majorUnit val="6"/>
        <c:majorTimeUnit val="months"/>
      </c:dateAx>
      <c:valAx>
        <c:axId val="50415072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'New Orders ex Transport'!$B$5</c:f>
              <c:strCache>
                <c:ptCount val="1"/>
                <c:pt idx="0">
                  <c:v>New Orders ex Transport</c:v>
                </c:pt>
              </c:strCache>
            </c:strRef>
          </c:tx>
          <c:spPr>
            <a:ln w="28575" cap="rnd">
              <a:solidFill>
                <a:schemeClr val="accent1"/>
              </a:solidFill>
              <a:round/>
            </a:ln>
            <a:effectLst/>
          </c:spPr>
          <c:marker>
            <c:symbol val="none"/>
          </c:marker>
          <c:cat>
            <c:numRef>
              <c:f>'New Orders ex Transport'!$A$6:$A$350</c:f>
              <c:numCache>
                <c:formatCode>m/d/yy</c:formatCode>
                <c:ptCount val="345"/>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numCache>
            </c:numRef>
          </c:cat>
          <c:val>
            <c:numRef>
              <c:f>'New Orders ex Transport'!$B$6:$B$350</c:f>
              <c:numCache>
                <c:formatCode>#,##0</c:formatCode>
                <c:ptCount val="345"/>
                <c:pt idx="0">
                  <c:v>82931</c:v>
                </c:pt>
                <c:pt idx="1">
                  <c:v>85725</c:v>
                </c:pt>
                <c:pt idx="2">
                  <c:v>86604</c:v>
                </c:pt>
                <c:pt idx="3">
                  <c:v>88340</c:v>
                </c:pt>
                <c:pt idx="4">
                  <c:v>88219</c:v>
                </c:pt>
                <c:pt idx="5">
                  <c:v>87727</c:v>
                </c:pt>
                <c:pt idx="6">
                  <c:v>87497</c:v>
                </c:pt>
                <c:pt idx="7">
                  <c:v>88681</c:v>
                </c:pt>
                <c:pt idx="8">
                  <c:v>87064</c:v>
                </c:pt>
                <c:pt idx="9">
                  <c:v>89497</c:v>
                </c:pt>
                <c:pt idx="10">
                  <c:v>91359</c:v>
                </c:pt>
                <c:pt idx="11">
                  <c:v>91074</c:v>
                </c:pt>
                <c:pt idx="12">
                  <c:v>90448</c:v>
                </c:pt>
                <c:pt idx="13">
                  <c:v>91923</c:v>
                </c:pt>
                <c:pt idx="14">
                  <c:v>91700</c:v>
                </c:pt>
                <c:pt idx="15">
                  <c:v>91493</c:v>
                </c:pt>
                <c:pt idx="16">
                  <c:v>91139</c:v>
                </c:pt>
                <c:pt idx="17">
                  <c:v>92496</c:v>
                </c:pt>
                <c:pt idx="18">
                  <c:v>93424</c:v>
                </c:pt>
                <c:pt idx="19">
                  <c:v>94082</c:v>
                </c:pt>
                <c:pt idx="20">
                  <c:v>96033</c:v>
                </c:pt>
                <c:pt idx="21">
                  <c:v>94450</c:v>
                </c:pt>
                <c:pt idx="22">
                  <c:v>97857</c:v>
                </c:pt>
                <c:pt idx="23">
                  <c:v>97250</c:v>
                </c:pt>
                <c:pt idx="24">
                  <c:v>98720</c:v>
                </c:pt>
                <c:pt idx="25">
                  <c:v>98497</c:v>
                </c:pt>
                <c:pt idx="26">
                  <c:v>101101</c:v>
                </c:pt>
                <c:pt idx="27">
                  <c:v>102623</c:v>
                </c:pt>
                <c:pt idx="28">
                  <c:v>104475</c:v>
                </c:pt>
                <c:pt idx="29">
                  <c:v>104841</c:v>
                </c:pt>
                <c:pt idx="30">
                  <c:v>103904</c:v>
                </c:pt>
                <c:pt idx="31">
                  <c:v>104826</c:v>
                </c:pt>
                <c:pt idx="32">
                  <c:v>107955</c:v>
                </c:pt>
                <c:pt idx="33">
                  <c:v>107142</c:v>
                </c:pt>
                <c:pt idx="34">
                  <c:v>109357</c:v>
                </c:pt>
                <c:pt idx="35">
                  <c:v>111899</c:v>
                </c:pt>
                <c:pt idx="36">
                  <c:v>109484</c:v>
                </c:pt>
                <c:pt idx="37">
                  <c:v>109712</c:v>
                </c:pt>
                <c:pt idx="38">
                  <c:v>110480</c:v>
                </c:pt>
                <c:pt idx="39">
                  <c:v>111794</c:v>
                </c:pt>
                <c:pt idx="40">
                  <c:v>109440</c:v>
                </c:pt>
                <c:pt idx="41">
                  <c:v>108990</c:v>
                </c:pt>
                <c:pt idx="42">
                  <c:v>112316</c:v>
                </c:pt>
                <c:pt idx="43">
                  <c:v>113019</c:v>
                </c:pt>
                <c:pt idx="44">
                  <c:v>115650</c:v>
                </c:pt>
                <c:pt idx="45">
                  <c:v>113473</c:v>
                </c:pt>
                <c:pt idx="46">
                  <c:v>116432</c:v>
                </c:pt>
                <c:pt idx="47">
                  <c:v>112070</c:v>
                </c:pt>
                <c:pt idx="48">
                  <c:v>110398</c:v>
                </c:pt>
                <c:pt idx="49">
                  <c:v>114653</c:v>
                </c:pt>
                <c:pt idx="50">
                  <c:v>113802</c:v>
                </c:pt>
                <c:pt idx="51">
                  <c:v>117175</c:v>
                </c:pt>
                <c:pt idx="52">
                  <c:v>117889</c:v>
                </c:pt>
                <c:pt idx="53">
                  <c:v>116598</c:v>
                </c:pt>
                <c:pt idx="54">
                  <c:v>117708</c:v>
                </c:pt>
                <c:pt idx="55">
                  <c:v>116336</c:v>
                </c:pt>
                <c:pt idx="56">
                  <c:v>119499</c:v>
                </c:pt>
                <c:pt idx="57">
                  <c:v>119569</c:v>
                </c:pt>
                <c:pt idx="58">
                  <c:v>116695</c:v>
                </c:pt>
                <c:pt idx="59">
                  <c:v>118690</c:v>
                </c:pt>
                <c:pt idx="60">
                  <c:v>123490</c:v>
                </c:pt>
                <c:pt idx="61">
                  <c:v>123185</c:v>
                </c:pt>
                <c:pt idx="62">
                  <c:v>125909</c:v>
                </c:pt>
                <c:pt idx="63">
                  <c:v>122860</c:v>
                </c:pt>
                <c:pt idx="64">
                  <c:v>126457</c:v>
                </c:pt>
                <c:pt idx="65">
                  <c:v>128937</c:v>
                </c:pt>
                <c:pt idx="66">
                  <c:v>127817</c:v>
                </c:pt>
                <c:pt idx="67">
                  <c:v>130673</c:v>
                </c:pt>
                <c:pt idx="68">
                  <c:v>127387</c:v>
                </c:pt>
                <c:pt idx="69">
                  <c:v>128586</c:v>
                </c:pt>
                <c:pt idx="70">
                  <c:v>128191</c:v>
                </c:pt>
                <c:pt idx="71">
                  <c:v>127262</c:v>
                </c:pt>
                <c:pt idx="72">
                  <c:v>130630</c:v>
                </c:pt>
                <c:pt idx="73">
                  <c:v>128771</c:v>
                </c:pt>
                <c:pt idx="74">
                  <c:v>126519</c:v>
                </c:pt>
                <c:pt idx="75">
                  <c:v>129740</c:v>
                </c:pt>
                <c:pt idx="76">
                  <c:v>130048</c:v>
                </c:pt>
                <c:pt idx="77">
                  <c:v>126102</c:v>
                </c:pt>
                <c:pt idx="78">
                  <c:v>126589</c:v>
                </c:pt>
                <c:pt idx="79">
                  <c:v>128820</c:v>
                </c:pt>
                <c:pt idx="80">
                  <c:v>125391</c:v>
                </c:pt>
                <c:pt idx="81">
                  <c:v>128102</c:v>
                </c:pt>
                <c:pt idx="82">
                  <c:v>130753</c:v>
                </c:pt>
                <c:pt idx="83">
                  <c:v>127125</c:v>
                </c:pt>
                <c:pt idx="84">
                  <c:v>130143</c:v>
                </c:pt>
                <c:pt idx="85">
                  <c:v>129497</c:v>
                </c:pt>
                <c:pt idx="86">
                  <c:v>130468</c:v>
                </c:pt>
                <c:pt idx="87">
                  <c:v>130627</c:v>
                </c:pt>
                <c:pt idx="88">
                  <c:v>130642</c:v>
                </c:pt>
                <c:pt idx="89">
                  <c:v>134206</c:v>
                </c:pt>
                <c:pt idx="90">
                  <c:v>134061</c:v>
                </c:pt>
                <c:pt idx="91">
                  <c:v>135632</c:v>
                </c:pt>
                <c:pt idx="92">
                  <c:v>137171</c:v>
                </c:pt>
                <c:pt idx="93">
                  <c:v>134658</c:v>
                </c:pt>
                <c:pt idx="94">
                  <c:v>139078</c:v>
                </c:pt>
                <c:pt idx="95">
                  <c:v>139613</c:v>
                </c:pt>
                <c:pt idx="96">
                  <c:v>132425</c:v>
                </c:pt>
                <c:pt idx="97">
                  <c:v>139841</c:v>
                </c:pt>
                <c:pt idx="98">
                  <c:v>141338</c:v>
                </c:pt>
                <c:pt idx="99">
                  <c:v>137890</c:v>
                </c:pt>
                <c:pt idx="100">
                  <c:v>143496</c:v>
                </c:pt>
                <c:pt idx="101">
                  <c:v>137968</c:v>
                </c:pt>
                <c:pt idx="102">
                  <c:v>138633</c:v>
                </c:pt>
                <c:pt idx="103">
                  <c:v>141463</c:v>
                </c:pt>
                <c:pt idx="104">
                  <c:v>137264</c:v>
                </c:pt>
                <c:pt idx="105">
                  <c:v>136045</c:v>
                </c:pt>
                <c:pt idx="106">
                  <c:v>135323</c:v>
                </c:pt>
                <c:pt idx="107">
                  <c:v>131646</c:v>
                </c:pt>
                <c:pt idx="108">
                  <c:v>131335</c:v>
                </c:pt>
                <c:pt idx="109">
                  <c:v>125568</c:v>
                </c:pt>
                <c:pt idx="110">
                  <c:v>120800</c:v>
                </c:pt>
                <c:pt idx="111">
                  <c:v>126158</c:v>
                </c:pt>
                <c:pt idx="112">
                  <c:v>125138</c:v>
                </c:pt>
                <c:pt idx="113">
                  <c:v>121761</c:v>
                </c:pt>
                <c:pt idx="114">
                  <c:v>122061</c:v>
                </c:pt>
                <c:pt idx="115">
                  <c:v>118407</c:v>
                </c:pt>
                <c:pt idx="116">
                  <c:v>115125</c:v>
                </c:pt>
                <c:pt idx="117">
                  <c:v>117164</c:v>
                </c:pt>
                <c:pt idx="118">
                  <c:v>118387</c:v>
                </c:pt>
                <c:pt idx="119">
                  <c:v>113631</c:v>
                </c:pt>
                <c:pt idx="120">
                  <c:v>115732</c:v>
                </c:pt>
                <c:pt idx="121">
                  <c:v>114652</c:v>
                </c:pt>
                <c:pt idx="122">
                  <c:v>118882</c:v>
                </c:pt>
                <c:pt idx="123">
                  <c:v>119944</c:v>
                </c:pt>
                <c:pt idx="124">
                  <c:v>117193</c:v>
                </c:pt>
                <c:pt idx="125">
                  <c:v>116993</c:v>
                </c:pt>
                <c:pt idx="126">
                  <c:v>117043</c:v>
                </c:pt>
                <c:pt idx="127">
                  <c:v>116461</c:v>
                </c:pt>
                <c:pt idx="128">
                  <c:v>116624</c:v>
                </c:pt>
                <c:pt idx="129">
                  <c:v>116947</c:v>
                </c:pt>
                <c:pt idx="130">
                  <c:v>115767</c:v>
                </c:pt>
                <c:pt idx="131">
                  <c:v>115609</c:v>
                </c:pt>
                <c:pt idx="132">
                  <c:v>118098</c:v>
                </c:pt>
                <c:pt idx="133">
                  <c:v>116926</c:v>
                </c:pt>
                <c:pt idx="134">
                  <c:v>115023</c:v>
                </c:pt>
                <c:pt idx="135">
                  <c:v>116303</c:v>
                </c:pt>
                <c:pt idx="136">
                  <c:v>117719</c:v>
                </c:pt>
                <c:pt idx="137">
                  <c:v>118215</c:v>
                </c:pt>
                <c:pt idx="138">
                  <c:v>119931</c:v>
                </c:pt>
                <c:pt idx="139">
                  <c:v>121332</c:v>
                </c:pt>
                <c:pt idx="140">
                  <c:v>125195</c:v>
                </c:pt>
                <c:pt idx="141">
                  <c:v>125148</c:v>
                </c:pt>
                <c:pt idx="142">
                  <c:v>124803</c:v>
                </c:pt>
                <c:pt idx="143">
                  <c:v>123228</c:v>
                </c:pt>
                <c:pt idx="144">
                  <c:v>123810</c:v>
                </c:pt>
                <c:pt idx="145">
                  <c:v>131645</c:v>
                </c:pt>
                <c:pt idx="146">
                  <c:v>127956</c:v>
                </c:pt>
                <c:pt idx="147">
                  <c:v>128782</c:v>
                </c:pt>
                <c:pt idx="148">
                  <c:v>128558</c:v>
                </c:pt>
                <c:pt idx="149">
                  <c:v>127850</c:v>
                </c:pt>
                <c:pt idx="150">
                  <c:v>130447</c:v>
                </c:pt>
                <c:pt idx="151">
                  <c:v>132455</c:v>
                </c:pt>
                <c:pt idx="152">
                  <c:v>132178</c:v>
                </c:pt>
                <c:pt idx="153">
                  <c:v>134122</c:v>
                </c:pt>
                <c:pt idx="154">
                  <c:v>136981</c:v>
                </c:pt>
                <c:pt idx="155">
                  <c:v>137331</c:v>
                </c:pt>
                <c:pt idx="156">
                  <c:v>139138</c:v>
                </c:pt>
                <c:pt idx="157">
                  <c:v>136810</c:v>
                </c:pt>
                <c:pt idx="158">
                  <c:v>137264</c:v>
                </c:pt>
                <c:pt idx="159">
                  <c:v>137358</c:v>
                </c:pt>
                <c:pt idx="160">
                  <c:v>141241</c:v>
                </c:pt>
                <c:pt idx="161">
                  <c:v>135974</c:v>
                </c:pt>
                <c:pt idx="162">
                  <c:v>143073</c:v>
                </c:pt>
                <c:pt idx="163">
                  <c:v>143841</c:v>
                </c:pt>
                <c:pt idx="164">
                  <c:v>145723</c:v>
                </c:pt>
                <c:pt idx="165">
                  <c:v>148043</c:v>
                </c:pt>
                <c:pt idx="166">
                  <c:v>147852</c:v>
                </c:pt>
                <c:pt idx="167">
                  <c:v>150953</c:v>
                </c:pt>
                <c:pt idx="168">
                  <c:v>150818</c:v>
                </c:pt>
                <c:pt idx="169">
                  <c:v>153217</c:v>
                </c:pt>
                <c:pt idx="170">
                  <c:v>151952</c:v>
                </c:pt>
                <c:pt idx="171">
                  <c:v>153734</c:v>
                </c:pt>
                <c:pt idx="172">
                  <c:v>154888</c:v>
                </c:pt>
                <c:pt idx="173">
                  <c:v>153064</c:v>
                </c:pt>
                <c:pt idx="174">
                  <c:v>150575</c:v>
                </c:pt>
                <c:pt idx="175">
                  <c:v>153923</c:v>
                </c:pt>
                <c:pt idx="176">
                  <c:v>153537</c:v>
                </c:pt>
                <c:pt idx="177">
                  <c:v>153502</c:v>
                </c:pt>
                <c:pt idx="178">
                  <c:v>158499</c:v>
                </c:pt>
                <c:pt idx="179">
                  <c:v>153402</c:v>
                </c:pt>
                <c:pt idx="180">
                  <c:v>155151</c:v>
                </c:pt>
                <c:pt idx="181">
                  <c:v>156356</c:v>
                </c:pt>
                <c:pt idx="182">
                  <c:v>159160</c:v>
                </c:pt>
                <c:pt idx="183">
                  <c:v>158536</c:v>
                </c:pt>
                <c:pt idx="184">
                  <c:v>154569</c:v>
                </c:pt>
                <c:pt idx="185">
                  <c:v>156767</c:v>
                </c:pt>
                <c:pt idx="186">
                  <c:v>158130</c:v>
                </c:pt>
                <c:pt idx="187">
                  <c:v>157646</c:v>
                </c:pt>
                <c:pt idx="188">
                  <c:v>159832</c:v>
                </c:pt>
                <c:pt idx="189">
                  <c:v>160074</c:v>
                </c:pt>
                <c:pt idx="190">
                  <c:v>163300</c:v>
                </c:pt>
                <c:pt idx="191">
                  <c:v>164615</c:v>
                </c:pt>
                <c:pt idx="192">
                  <c:v>160985</c:v>
                </c:pt>
                <c:pt idx="193">
                  <c:v>163953</c:v>
                </c:pt>
                <c:pt idx="194">
                  <c:v>167301</c:v>
                </c:pt>
                <c:pt idx="195">
                  <c:v>164561</c:v>
                </c:pt>
                <c:pt idx="196">
                  <c:v>166622</c:v>
                </c:pt>
                <c:pt idx="197">
                  <c:v>162295</c:v>
                </c:pt>
                <c:pt idx="198">
                  <c:v>156865</c:v>
                </c:pt>
                <c:pt idx="199">
                  <c:v>153392</c:v>
                </c:pt>
                <c:pt idx="200">
                  <c:v>141024</c:v>
                </c:pt>
                <c:pt idx="201">
                  <c:v>138472</c:v>
                </c:pt>
                <c:pt idx="202">
                  <c:v>127962</c:v>
                </c:pt>
                <c:pt idx="203">
                  <c:v>114948</c:v>
                </c:pt>
                <c:pt idx="204">
                  <c:v>116595</c:v>
                </c:pt>
                <c:pt idx="205">
                  <c:v>113312</c:v>
                </c:pt>
                <c:pt idx="206">
                  <c:v>110601</c:v>
                </c:pt>
                <c:pt idx="207">
                  <c:v>113080</c:v>
                </c:pt>
                <c:pt idx="208">
                  <c:v>115485</c:v>
                </c:pt>
                <c:pt idx="209">
                  <c:v>117705</c:v>
                </c:pt>
                <c:pt idx="210">
                  <c:v>117142</c:v>
                </c:pt>
                <c:pt idx="211">
                  <c:v>122042</c:v>
                </c:pt>
                <c:pt idx="212">
                  <c:v>122244</c:v>
                </c:pt>
                <c:pt idx="213">
                  <c:v>122532</c:v>
                </c:pt>
                <c:pt idx="214">
                  <c:v>124425</c:v>
                </c:pt>
                <c:pt idx="215">
                  <c:v>127057</c:v>
                </c:pt>
                <c:pt idx="216">
                  <c:v>128810</c:v>
                </c:pt>
                <c:pt idx="217">
                  <c:v>134835</c:v>
                </c:pt>
                <c:pt idx="218">
                  <c:v>131196</c:v>
                </c:pt>
                <c:pt idx="219">
                  <c:v>136881</c:v>
                </c:pt>
                <c:pt idx="220">
                  <c:v>137226</c:v>
                </c:pt>
                <c:pt idx="221">
                  <c:v>134656</c:v>
                </c:pt>
                <c:pt idx="222">
                  <c:v>137093</c:v>
                </c:pt>
                <c:pt idx="223">
                  <c:v>139248</c:v>
                </c:pt>
                <c:pt idx="224">
                  <c:v>134518</c:v>
                </c:pt>
                <c:pt idx="225">
                  <c:v>142450</c:v>
                </c:pt>
                <c:pt idx="226">
                  <c:v>144216</c:v>
                </c:pt>
                <c:pt idx="227">
                  <c:v>143113</c:v>
                </c:pt>
                <c:pt idx="228">
                  <c:v>141061</c:v>
                </c:pt>
                <c:pt idx="229">
                  <c:v>145907</c:v>
                </c:pt>
                <c:pt idx="230">
                  <c:v>143390</c:v>
                </c:pt>
                <c:pt idx="231">
                  <c:v>146454</c:v>
                </c:pt>
                <c:pt idx="232">
                  <c:v>146197</c:v>
                </c:pt>
                <c:pt idx="233">
                  <c:v>147897</c:v>
                </c:pt>
                <c:pt idx="234">
                  <c:v>147496</c:v>
                </c:pt>
                <c:pt idx="235">
                  <c:v>148657</c:v>
                </c:pt>
                <c:pt idx="236">
                  <c:v>151629</c:v>
                </c:pt>
                <c:pt idx="237">
                  <c:v>150443</c:v>
                </c:pt>
                <c:pt idx="238">
                  <c:v>154801</c:v>
                </c:pt>
                <c:pt idx="239">
                  <c:v>151719</c:v>
                </c:pt>
                <c:pt idx="240">
                  <c:v>154185</c:v>
                </c:pt>
                <c:pt idx="241">
                  <c:v>153583</c:v>
                </c:pt>
                <c:pt idx="242">
                  <c:v>151536</c:v>
                </c:pt>
                <c:pt idx="243">
                  <c:v>150929</c:v>
                </c:pt>
                <c:pt idx="244">
                  <c:v>147024</c:v>
                </c:pt>
                <c:pt idx="245">
                  <c:v>146060</c:v>
                </c:pt>
                <c:pt idx="246">
                  <c:v>142907</c:v>
                </c:pt>
                <c:pt idx="247">
                  <c:v>144383</c:v>
                </c:pt>
                <c:pt idx="248">
                  <c:v>147371</c:v>
                </c:pt>
                <c:pt idx="249">
                  <c:v>147150</c:v>
                </c:pt>
                <c:pt idx="250">
                  <c:v>146228</c:v>
                </c:pt>
                <c:pt idx="251">
                  <c:v>151783</c:v>
                </c:pt>
                <c:pt idx="252">
                  <c:v>149626</c:v>
                </c:pt>
                <c:pt idx="253">
                  <c:v>146226</c:v>
                </c:pt>
                <c:pt idx="254">
                  <c:v>149557</c:v>
                </c:pt>
                <c:pt idx="255">
                  <c:v>150641</c:v>
                </c:pt>
                <c:pt idx="256">
                  <c:v>150559</c:v>
                </c:pt>
                <c:pt idx="257">
                  <c:v>148258</c:v>
                </c:pt>
                <c:pt idx="258">
                  <c:v>147624</c:v>
                </c:pt>
                <c:pt idx="259">
                  <c:v>148342</c:v>
                </c:pt>
                <c:pt idx="260">
                  <c:v>148888</c:v>
                </c:pt>
                <c:pt idx="261">
                  <c:v>150582</c:v>
                </c:pt>
                <c:pt idx="262">
                  <c:v>148149</c:v>
                </c:pt>
                <c:pt idx="263">
                  <c:v>151235</c:v>
                </c:pt>
                <c:pt idx="264">
                  <c:v>151319</c:v>
                </c:pt>
                <c:pt idx="265">
                  <c:v>153561</c:v>
                </c:pt>
                <c:pt idx="266">
                  <c:v>151991</c:v>
                </c:pt>
                <c:pt idx="267">
                  <c:v>152270</c:v>
                </c:pt>
                <c:pt idx="268">
                  <c:v>156439</c:v>
                </c:pt>
                <c:pt idx="269">
                  <c:v>153393</c:v>
                </c:pt>
                <c:pt idx="270">
                  <c:v>155316</c:v>
                </c:pt>
                <c:pt idx="271">
                  <c:v>156845</c:v>
                </c:pt>
                <c:pt idx="272">
                  <c:v>152664</c:v>
                </c:pt>
                <c:pt idx="273">
                  <c:v>148984</c:v>
                </c:pt>
                <c:pt idx="274">
                  <c:v>150461</c:v>
                </c:pt>
                <c:pt idx="275">
                  <c:v>147633</c:v>
                </c:pt>
                <c:pt idx="276">
                  <c:v>146519</c:v>
                </c:pt>
                <c:pt idx="277">
                  <c:v>147167</c:v>
                </c:pt>
                <c:pt idx="278">
                  <c:v>146695</c:v>
                </c:pt>
                <c:pt idx="279">
                  <c:v>145002</c:v>
                </c:pt>
                <c:pt idx="280">
                  <c:v>147593</c:v>
                </c:pt>
                <c:pt idx="281">
                  <c:v>145962</c:v>
                </c:pt>
                <c:pt idx="282">
                  <c:v>146304</c:v>
                </c:pt>
                <c:pt idx="283">
                  <c:v>145912</c:v>
                </c:pt>
                <c:pt idx="284">
                  <c:v>144202</c:v>
                </c:pt>
                <c:pt idx="285">
                  <c:v>143541</c:v>
                </c:pt>
                <c:pt idx="286">
                  <c:v>142203</c:v>
                </c:pt>
                <c:pt idx="287">
                  <c:v>144204</c:v>
                </c:pt>
                <c:pt idx="288">
                  <c:v>142619</c:v>
                </c:pt>
                <c:pt idx="289">
                  <c:v>141372</c:v>
                </c:pt>
                <c:pt idx="290">
                  <c:v>142360</c:v>
                </c:pt>
                <c:pt idx="291">
                  <c:v>141615</c:v>
                </c:pt>
                <c:pt idx="292">
                  <c:v>140743</c:v>
                </c:pt>
                <c:pt idx="293">
                  <c:v>141693</c:v>
                </c:pt>
                <c:pt idx="294">
                  <c:v>141908</c:v>
                </c:pt>
                <c:pt idx="295">
                  <c:v>141062</c:v>
                </c:pt>
                <c:pt idx="296">
                  <c:v>141987</c:v>
                </c:pt>
                <c:pt idx="297">
                  <c:v>142386</c:v>
                </c:pt>
                <c:pt idx="298">
                  <c:v>142620</c:v>
                </c:pt>
                <c:pt idx="299">
                  <c:v>144995</c:v>
                </c:pt>
                <c:pt idx="300">
                  <c:v>145319</c:v>
                </c:pt>
                <c:pt idx="301">
                  <c:v>146922</c:v>
                </c:pt>
                <c:pt idx="302">
                  <c:v>146163</c:v>
                </c:pt>
                <c:pt idx="303">
                  <c:v>147528</c:v>
                </c:pt>
                <c:pt idx="304">
                  <c:v>146109</c:v>
                </c:pt>
                <c:pt idx="305">
                  <c:v>147906</c:v>
                </c:pt>
                <c:pt idx="306">
                  <c:v>148674</c:v>
                </c:pt>
                <c:pt idx="307">
                  <c:v>150573</c:v>
                </c:pt>
                <c:pt idx="308">
                  <c:v>152791</c:v>
                </c:pt>
                <c:pt idx="309">
                  <c:v>153425</c:v>
                </c:pt>
                <c:pt idx="310">
                  <c:v>154358</c:v>
                </c:pt>
                <c:pt idx="311">
                  <c:v>153988</c:v>
                </c:pt>
                <c:pt idx="312">
                  <c:v>156117</c:v>
                </c:pt>
                <c:pt idx="313">
                  <c:v>156933</c:v>
                </c:pt>
                <c:pt idx="314">
                  <c:v>159378</c:v>
                </c:pt>
                <c:pt idx="315">
                  <c:v>161173</c:v>
                </c:pt>
                <c:pt idx="316">
                  <c:v>161822</c:v>
                </c:pt>
                <c:pt idx="317">
                  <c:v>162169</c:v>
                </c:pt>
                <c:pt idx="318">
                  <c:v>160301</c:v>
                </c:pt>
                <c:pt idx="319">
                  <c:v>159376</c:v>
                </c:pt>
                <c:pt idx="320">
                  <c:v>160988</c:v>
                </c:pt>
                <c:pt idx="321">
                  <c:v>157324</c:v>
                </c:pt>
                <c:pt idx="322">
                  <c:v>158140</c:v>
                </c:pt>
                <c:pt idx="323">
                  <c:v>157472</c:v>
                </c:pt>
                <c:pt idx="324">
                  <c:v>156980</c:v>
                </c:pt>
                <c:pt idx="325">
                  <c:v>156767</c:v>
                </c:pt>
                <c:pt idx="326">
                  <c:v>157850</c:v>
                </c:pt>
                <c:pt idx="327">
                  <c:v>157491</c:v>
                </c:pt>
                <c:pt idx="328">
                  <c:v>158841</c:v>
                </c:pt>
                <c:pt idx="329">
                  <c:v>156943</c:v>
                </c:pt>
                <c:pt idx="330">
                  <c:v>157074</c:v>
                </c:pt>
                <c:pt idx="331">
                  <c:v>156112</c:v>
                </c:pt>
                <c:pt idx="332">
                  <c:v>156018</c:v>
                </c:pt>
                <c:pt idx="333">
                  <c:v>156261</c:v>
                </c:pt>
                <c:pt idx="334">
                  <c:v>154416</c:v>
                </c:pt>
                <c:pt idx="335">
                  <c:v>154889</c:v>
                </c:pt>
                <c:pt idx="336">
                  <c:v>154006</c:v>
                </c:pt>
                <c:pt idx="337">
                  <c:v>150552</c:v>
                </c:pt>
                <c:pt idx="338">
                  <c:v>137883</c:v>
                </c:pt>
                <c:pt idx="339">
                  <c:v>143011</c:v>
                </c:pt>
                <c:pt idx="340">
                  <c:v>150635</c:v>
                </c:pt>
                <c:pt idx="341">
                  <c:v>155900</c:v>
                </c:pt>
                <c:pt idx="342">
                  <c:v>158055</c:v>
                </c:pt>
                <c:pt idx="343">
                  <c:v>160114</c:v>
                </c:pt>
                <c:pt idx="344">
                  <c:v>162930</c:v>
                </c:pt>
              </c:numCache>
            </c:numRef>
          </c:val>
          <c:smooth val="0"/>
          <c:extLst>
            <c:ext xmlns:c16="http://schemas.microsoft.com/office/drawing/2014/chart" uri="{C3380CC4-5D6E-409C-BE32-E72D297353CC}">
              <c16:uniqueId val="{00000000-3AC5-4B7F-9844-BFA146C3EC70}"/>
            </c:ext>
          </c:extLst>
        </c:ser>
        <c:dLbls>
          <c:showLegendKey val="0"/>
          <c:showVal val="0"/>
          <c:showCatName val="0"/>
          <c:showSerName val="0"/>
          <c:showPercent val="0"/>
          <c:showBubbleSize val="0"/>
        </c:dLbls>
        <c:smooth val="0"/>
        <c:axId val="504145232"/>
        <c:axId val="504145624"/>
      </c:lineChart>
      <c:dateAx>
        <c:axId val="504145232"/>
        <c:scaling>
          <c:orientation val="minMax"/>
          <c:min val="39814"/>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45624"/>
        <c:crosses val="autoZero"/>
        <c:auto val="1"/>
        <c:lblOffset val="100"/>
        <c:baseTimeUnit val="months"/>
      </c:dateAx>
      <c:valAx>
        <c:axId val="504145624"/>
        <c:scaling>
          <c:orientation val="minMax"/>
          <c:min val="1100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Other!$B$1</c:f>
              <c:strCache>
                <c:ptCount val="1"/>
                <c:pt idx="0">
                  <c:v>New Orders - Manufacturing</c:v>
                </c:pt>
              </c:strCache>
            </c:strRef>
          </c:tx>
          <c:spPr>
            <a:ln w="28575" cap="rnd">
              <a:solidFill>
                <a:schemeClr val="accent1"/>
              </a:solidFill>
              <a:round/>
            </a:ln>
            <a:effectLst/>
          </c:spPr>
          <c:marker>
            <c:symbol val="none"/>
          </c:marker>
          <c:cat>
            <c:numRef>
              <c:f>Other!$A$6:$A$350</c:f>
              <c:numCache>
                <c:formatCode>m/d/yy</c:formatCode>
                <c:ptCount val="345"/>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numCache>
            </c:numRef>
          </c:cat>
          <c:val>
            <c:numRef>
              <c:f>Other!$B$6:$B$350</c:f>
              <c:numCache>
                <c:formatCode>#,##0</c:formatCode>
                <c:ptCount val="345"/>
                <c:pt idx="0">
                  <c:v>82864</c:v>
                </c:pt>
                <c:pt idx="1">
                  <c:v>86424</c:v>
                </c:pt>
                <c:pt idx="2">
                  <c:v>90805</c:v>
                </c:pt>
                <c:pt idx="3">
                  <c:v>91120</c:v>
                </c:pt>
                <c:pt idx="4">
                  <c:v>88649</c:v>
                </c:pt>
                <c:pt idx="5">
                  <c:v>87342</c:v>
                </c:pt>
                <c:pt idx="6">
                  <c:v>85995</c:v>
                </c:pt>
                <c:pt idx="7">
                  <c:v>86668</c:v>
                </c:pt>
                <c:pt idx="8">
                  <c:v>93051</c:v>
                </c:pt>
                <c:pt idx="9">
                  <c:v>87613</c:v>
                </c:pt>
                <c:pt idx="10">
                  <c:v>91480</c:v>
                </c:pt>
                <c:pt idx="11">
                  <c:v>85937</c:v>
                </c:pt>
                <c:pt idx="12">
                  <c:v>92361</c:v>
                </c:pt>
                <c:pt idx="13">
                  <c:v>90529</c:v>
                </c:pt>
                <c:pt idx="14">
                  <c:v>91131</c:v>
                </c:pt>
                <c:pt idx="15">
                  <c:v>89831</c:v>
                </c:pt>
                <c:pt idx="16">
                  <c:v>93493</c:v>
                </c:pt>
                <c:pt idx="17">
                  <c:v>92023</c:v>
                </c:pt>
                <c:pt idx="18">
                  <c:v>94226</c:v>
                </c:pt>
                <c:pt idx="19">
                  <c:v>90477</c:v>
                </c:pt>
                <c:pt idx="20">
                  <c:v>94772</c:v>
                </c:pt>
                <c:pt idx="21">
                  <c:v>92009</c:v>
                </c:pt>
                <c:pt idx="22">
                  <c:v>94944</c:v>
                </c:pt>
                <c:pt idx="23">
                  <c:v>98647</c:v>
                </c:pt>
                <c:pt idx="24">
                  <c:v>97358</c:v>
                </c:pt>
                <c:pt idx="25">
                  <c:v>96706</c:v>
                </c:pt>
                <c:pt idx="26">
                  <c:v>99591</c:v>
                </c:pt>
                <c:pt idx="27">
                  <c:v>101522</c:v>
                </c:pt>
                <c:pt idx="28">
                  <c:v>103928</c:v>
                </c:pt>
                <c:pt idx="29">
                  <c:v>103538</c:v>
                </c:pt>
                <c:pt idx="30">
                  <c:v>103907</c:v>
                </c:pt>
                <c:pt idx="31">
                  <c:v>104150</c:v>
                </c:pt>
                <c:pt idx="32">
                  <c:v>107573</c:v>
                </c:pt>
                <c:pt idx="33">
                  <c:v>107130</c:v>
                </c:pt>
                <c:pt idx="34">
                  <c:v>108697</c:v>
                </c:pt>
                <c:pt idx="35">
                  <c:v>107635</c:v>
                </c:pt>
                <c:pt idx="36">
                  <c:v>110588</c:v>
                </c:pt>
                <c:pt idx="37">
                  <c:v>110175</c:v>
                </c:pt>
                <c:pt idx="38">
                  <c:v>108608</c:v>
                </c:pt>
                <c:pt idx="39">
                  <c:v>111257</c:v>
                </c:pt>
                <c:pt idx="40">
                  <c:v>108462</c:v>
                </c:pt>
                <c:pt idx="41">
                  <c:v>107267</c:v>
                </c:pt>
                <c:pt idx="42">
                  <c:v>112114</c:v>
                </c:pt>
                <c:pt idx="43">
                  <c:v>116838</c:v>
                </c:pt>
                <c:pt idx="44">
                  <c:v>112366</c:v>
                </c:pt>
                <c:pt idx="45">
                  <c:v>113784</c:v>
                </c:pt>
                <c:pt idx="46">
                  <c:v>119874</c:v>
                </c:pt>
                <c:pt idx="47">
                  <c:v>114288</c:v>
                </c:pt>
                <c:pt idx="48">
                  <c:v>109375</c:v>
                </c:pt>
                <c:pt idx="49">
                  <c:v>122567</c:v>
                </c:pt>
                <c:pt idx="50">
                  <c:v>112882</c:v>
                </c:pt>
                <c:pt idx="51">
                  <c:v>119613</c:v>
                </c:pt>
                <c:pt idx="52">
                  <c:v>118924</c:v>
                </c:pt>
                <c:pt idx="53">
                  <c:v>117941</c:v>
                </c:pt>
                <c:pt idx="54">
                  <c:v>112297</c:v>
                </c:pt>
                <c:pt idx="55">
                  <c:v>118848</c:v>
                </c:pt>
                <c:pt idx="56">
                  <c:v>119956</c:v>
                </c:pt>
                <c:pt idx="57">
                  <c:v>124724</c:v>
                </c:pt>
                <c:pt idx="58">
                  <c:v>117137</c:v>
                </c:pt>
                <c:pt idx="59">
                  <c:v>114626</c:v>
                </c:pt>
                <c:pt idx="60">
                  <c:v>122876</c:v>
                </c:pt>
                <c:pt idx="61">
                  <c:v>119668</c:v>
                </c:pt>
                <c:pt idx="62">
                  <c:v>125615</c:v>
                </c:pt>
                <c:pt idx="63">
                  <c:v>120972</c:v>
                </c:pt>
                <c:pt idx="64">
                  <c:v>126186</c:v>
                </c:pt>
                <c:pt idx="65">
                  <c:v>127337</c:v>
                </c:pt>
                <c:pt idx="66">
                  <c:v>127334</c:v>
                </c:pt>
                <c:pt idx="67">
                  <c:v>128051</c:v>
                </c:pt>
                <c:pt idx="68">
                  <c:v>128062</c:v>
                </c:pt>
                <c:pt idx="69">
                  <c:v>139761</c:v>
                </c:pt>
                <c:pt idx="70">
                  <c:v>122759</c:v>
                </c:pt>
                <c:pt idx="71">
                  <c:v>125004</c:v>
                </c:pt>
                <c:pt idx="72">
                  <c:v>129378</c:v>
                </c:pt>
                <c:pt idx="73">
                  <c:v>124823</c:v>
                </c:pt>
                <c:pt idx="74">
                  <c:v>129329</c:v>
                </c:pt>
                <c:pt idx="75">
                  <c:v>128089</c:v>
                </c:pt>
                <c:pt idx="76">
                  <c:v>123912</c:v>
                </c:pt>
                <c:pt idx="77">
                  <c:v>122090</c:v>
                </c:pt>
                <c:pt idx="78">
                  <c:v>127658</c:v>
                </c:pt>
                <c:pt idx="79">
                  <c:v>129434</c:v>
                </c:pt>
                <c:pt idx="80">
                  <c:v>125301</c:v>
                </c:pt>
                <c:pt idx="81">
                  <c:v>128665</c:v>
                </c:pt>
                <c:pt idx="82">
                  <c:v>124510</c:v>
                </c:pt>
                <c:pt idx="83">
                  <c:v>132005</c:v>
                </c:pt>
                <c:pt idx="84">
                  <c:v>129227</c:v>
                </c:pt>
                <c:pt idx="85">
                  <c:v>129753</c:v>
                </c:pt>
                <c:pt idx="86">
                  <c:v>128317</c:v>
                </c:pt>
                <c:pt idx="87">
                  <c:v>130315</c:v>
                </c:pt>
                <c:pt idx="88">
                  <c:v>127679</c:v>
                </c:pt>
                <c:pt idx="89">
                  <c:v>134617</c:v>
                </c:pt>
                <c:pt idx="90">
                  <c:v>133941</c:v>
                </c:pt>
                <c:pt idx="91">
                  <c:v>133870</c:v>
                </c:pt>
                <c:pt idx="92">
                  <c:v>139509</c:v>
                </c:pt>
                <c:pt idx="93">
                  <c:v>131897</c:v>
                </c:pt>
                <c:pt idx="94">
                  <c:v>141778</c:v>
                </c:pt>
                <c:pt idx="95">
                  <c:v>144856</c:v>
                </c:pt>
                <c:pt idx="96">
                  <c:v>130377</c:v>
                </c:pt>
                <c:pt idx="97">
                  <c:v>137161</c:v>
                </c:pt>
                <c:pt idx="98">
                  <c:v>139928</c:v>
                </c:pt>
                <c:pt idx="99">
                  <c:v>135833</c:v>
                </c:pt>
                <c:pt idx="100">
                  <c:v>165607</c:v>
                </c:pt>
                <c:pt idx="101">
                  <c:v>137103</c:v>
                </c:pt>
                <c:pt idx="102">
                  <c:v>138771</c:v>
                </c:pt>
                <c:pt idx="103">
                  <c:v>145618</c:v>
                </c:pt>
                <c:pt idx="104">
                  <c:v>134557</c:v>
                </c:pt>
                <c:pt idx="105">
                  <c:v>139206</c:v>
                </c:pt>
                <c:pt idx="106">
                  <c:v>137810</c:v>
                </c:pt>
                <c:pt idx="107">
                  <c:v>129101</c:v>
                </c:pt>
                <c:pt idx="108">
                  <c:v>130032</c:v>
                </c:pt>
                <c:pt idx="109">
                  <c:v>131606</c:v>
                </c:pt>
                <c:pt idx="110">
                  <c:v>123025</c:v>
                </c:pt>
                <c:pt idx="111">
                  <c:v>126796</c:v>
                </c:pt>
                <c:pt idx="112">
                  <c:v>126051</c:v>
                </c:pt>
                <c:pt idx="113">
                  <c:v>120027</c:v>
                </c:pt>
                <c:pt idx="114">
                  <c:v>120481</c:v>
                </c:pt>
                <c:pt idx="115">
                  <c:v>115746</c:v>
                </c:pt>
                <c:pt idx="116">
                  <c:v>122937</c:v>
                </c:pt>
                <c:pt idx="117">
                  <c:v>114240</c:v>
                </c:pt>
                <c:pt idx="118">
                  <c:v>114782</c:v>
                </c:pt>
                <c:pt idx="119">
                  <c:v>112406</c:v>
                </c:pt>
                <c:pt idx="120">
                  <c:v>122233</c:v>
                </c:pt>
                <c:pt idx="121">
                  <c:v>118940</c:v>
                </c:pt>
                <c:pt idx="122">
                  <c:v>118664</c:v>
                </c:pt>
                <c:pt idx="123">
                  <c:v>119235</c:v>
                </c:pt>
                <c:pt idx="124">
                  <c:v>113950</c:v>
                </c:pt>
                <c:pt idx="125">
                  <c:v>120438</c:v>
                </c:pt>
                <c:pt idx="126">
                  <c:v>122932</c:v>
                </c:pt>
                <c:pt idx="127">
                  <c:v>115066</c:v>
                </c:pt>
                <c:pt idx="128">
                  <c:v>115754</c:v>
                </c:pt>
                <c:pt idx="129">
                  <c:v>117084</c:v>
                </c:pt>
                <c:pt idx="130">
                  <c:v>112831</c:v>
                </c:pt>
                <c:pt idx="131">
                  <c:v>116048</c:v>
                </c:pt>
                <c:pt idx="132">
                  <c:v>121274</c:v>
                </c:pt>
                <c:pt idx="133">
                  <c:v>119034</c:v>
                </c:pt>
                <c:pt idx="134">
                  <c:v>117051</c:v>
                </c:pt>
                <c:pt idx="135">
                  <c:v>118306</c:v>
                </c:pt>
                <c:pt idx="136">
                  <c:v>119931</c:v>
                </c:pt>
                <c:pt idx="137">
                  <c:v>117404</c:v>
                </c:pt>
                <c:pt idx="138">
                  <c:v>119296</c:v>
                </c:pt>
                <c:pt idx="139">
                  <c:v>121830</c:v>
                </c:pt>
                <c:pt idx="140">
                  <c:v>127269</c:v>
                </c:pt>
                <c:pt idx="141">
                  <c:v>125879</c:v>
                </c:pt>
                <c:pt idx="142">
                  <c:v>126251</c:v>
                </c:pt>
                <c:pt idx="143">
                  <c:v>124471</c:v>
                </c:pt>
                <c:pt idx="144">
                  <c:v>126174</c:v>
                </c:pt>
                <c:pt idx="145">
                  <c:v>132836</c:v>
                </c:pt>
                <c:pt idx="146">
                  <c:v>127885</c:v>
                </c:pt>
                <c:pt idx="147">
                  <c:v>128297</c:v>
                </c:pt>
                <c:pt idx="148">
                  <c:v>129908</c:v>
                </c:pt>
                <c:pt idx="149">
                  <c:v>134104</c:v>
                </c:pt>
                <c:pt idx="150">
                  <c:v>127182</c:v>
                </c:pt>
                <c:pt idx="151">
                  <c:v>132132</c:v>
                </c:pt>
                <c:pt idx="152">
                  <c:v>129177</c:v>
                </c:pt>
                <c:pt idx="153">
                  <c:v>135582</c:v>
                </c:pt>
                <c:pt idx="154">
                  <c:v>135216</c:v>
                </c:pt>
                <c:pt idx="155">
                  <c:v>137025</c:v>
                </c:pt>
                <c:pt idx="156">
                  <c:v>138279</c:v>
                </c:pt>
                <c:pt idx="157">
                  <c:v>130044</c:v>
                </c:pt>
                <c:pt idx="158">
                  <c:v>135587</c:v>
                </c:pt>
                <c:pt idx="159">
                  <c:v>148200</c:v>
                </c:pt>
                <c:pt idx="160">
                  <c:v>151407</c:v>
                </c:pt>
                <c:pt idx="161">
                  <c:v>136292</c:v>
                </c:pt>
                <c:pt idx="162">
                  <c:v>145606</c:v>
                </c:pt>
                <c:pt idx="163">
                  <c:v>142335</c:v>
                </c:pt>
                <c:pt idx="164">
                  <c:v>148450</c:v>
                </c:pt>
                <c:pt idx="165">
                  <c:v>160126</c:v>
                </c:pt>
                <c:pt idx="166">
                  <c:v>159419</c:v>
                </c:pt>
                <c:pt idx="167">
                  <c:v>146814</c:v>
                </c:pt>
                <c:pt idx="168">
                  <c:v>156798</c:v>
                </c:pt>
                <c:pt idx="169">
                  <c:v>163893</c:v>
                </c:pt>
                <c:pt idx="170">
                  <c:v>154052</c:v>
                </c:pt>
                <c:pt idx="171">
                  <c:v>153173</c:v>
                </c:pt>
                <c:pt idx="172">
                  <c:v>158892</c:v>
                </c:pt>
                <c:pt idx="173">
                  <c:v>152012</c:v>
                </c:pt>
                <c:pt idx="174">
                  <c:v>150763</c:v>
                </c:pt>
                <c:pt idx="175">
                  <c:v>176642</c:v>
                </c:pt>
                <c:pt idx="176">
                  <c:v>158286</c:v>
                </c:pt>
                <c:pt idx="177">
                  <c:v>165969</c:v>
                </c:pt>
                <c:pt idx="178">
                  <c:v>166342</c:v>
                </c:pt>
                <c:pt idx="179">
                  <c:v>163751</c:v>
                </c:pt>
                <c:pt idx="180">
                  <c:v>161671</c:v>
                </c:pt>
                <c:pt idx="181">
                  <c:v>169322</c:v>
                </c:pt>
                <c:pt idx="182">
                  <c:v>173518</c:v>
                </c:pt>
                <c:pt idx="183">
                  <c:v>168025</c:v>
                </c:pt>
                <c:pt idx="184">
                  <c:v>168611</c:v>
                </c:pt>
                <c:pt idx="185">
                  <c:v>172388</c:v>
                </c:pt>
                <c:pt idx="186">
                  <c:v>174874</c:v>
                </c:pt>
                <c:pt idx="187">
                  <c:v>167739</c:v>
                </c:pt>
                <c:pt idx="188">
                  <c:v>171492</c:v>
                </c:pt>
                <c:pt idx="189">
                  <c:v>168015</c:v>
                </c:pt>
                <c:pt idx="190">
                  <c:v>186161</c:v>
                </c:pt>
                <c:pt idx="191">
                  <c:v>180937</c:v>
                </c:pt>
                <c:pt idx="192">
                  <c:v>177311</c:v>
                </c:pt>
                <c:pt idx="193">
                  <c:v>179954</c:v>
                </c:pt>
                <c:pt idx="194">
                  <c:v>175116</c:v>
                </c:pt>
                <c:pt idx="195">
                  <c:v>172674</c:v>
                </c:pt>
                <c:pt idx="196">
                  <c:v>174406</c:v>
                </c:pt>
                <c:pt idx="197">
                  <c:v>167115</c:v>
                </c:pt>
                <c:pt idx="198">
                  <c:v>161832</c:v>
                </c:pt>
                <c:pt idx="199">
                  <c:v>162265</c:v>
                </c:pt>
                <c:pt idx="200">
                  <c:v>141208</c:v>
                </c:pt>
                <c:pt idx="201">
                  <c:v>132791</c:v>
                </c:pt>
                <c:pt idx="202">
                  <c:v>127770</c:v>
                </c:pt>
                <c:pt idx="203">
                  <c:v>108060</c:v>
                </c:pt>
                <c:pt idx="204">
                  <c:v>105786</c:v>
                </c:pt>
                <c:pt idx="205">
                  <c:v>103874</c:v>
                </c:pt>
                <c:pt idx="206">
                  <c:v>105714</c:v>
                </c:pt>
                <c:pt idx="207">
                  <c:v>108460</c:v>
                </c:pt>
                <c:pt idx="208">
                  <c:v>107285</c:v>
                </c:pt>
                <c:pt idx="209">
                  <c:v>111891</c:v>
                </c:pt>
                <c:pt idx="210">
                  <c:v>114790</c:v>
                </c:pt>
                <c:pt idx="211">
                  <c:v>114607</c:v>
                </c:pt>
                <c:pt idx="212">
                  <c:v>117510</c:v>
                </c:pt>
                <c:pt idx="213">
                  <c:v>115535</c:v>
                </c:pt>
                <c:pt idx="214">
                  <c:v>115220</c:v>
                </c:pt>
                <c:pt idx="215">
                  <c:v>134068</c:v>
                </c:pt>
                <c:pt idx="216">
                  <c:v>135156</c:v>
                </c:pt>
                <c:pt idx="217">
                  <c:v>135916</c:v>
                </c:pt>
                <c:pt idx="218">
                  <c:v>135504</c:v>
                </c:pt>
                <c:pt idx="219">
                  <c:v>141747</c:v>
                </c:pt>
                <c:pt idx="220">
                  <c:v>137251</c:v>
                </c:pt>
                <c:pt idx="221">
                  <c:v>137391</c:v>
                </c:pt>
                <c:pt idx="222">
                  <c:v>141407</c:v>
                </c:pt>
                <c:pt idx="223">
                  <c:v>151095</c:v>
                </c:pt>
                <c:pt idx="224">
                  <c:v>142783</c:v>
                </c:pt>
                <c:pt idx="225">
                  <c:v>147906</c:v>
                </c:pt>
                <c:pt idx="226">
                  <c:v>143125</c:v>
                </c:pt>
                <c:pt idx="227">
                  <c:v>152922</c:v>
                </c:pt>
                <c:pt idx="228">
                  <c:v>146046</c:v>
                </c:pt>
                <c:pt idx="229">
                  <c:v>160009</c:v>
                </c:pt>
                <c:pt idx="230">
                  <c:v>150734</c:v>
                </c:pt>
                <c:pt idx="231">
                  <c:v>157155</c:v>
                </c:pt>
                <c:pt idx="232">
                  <c:v>150694</c:v>
                </c:pt>
                <c:pt idx="233">
                  <c:v>153291</c:v>
                </c:pt>
                <c:pt idx="234">
                  <c:v>164357</c:v>
                </c:pt>
                <c:pt idx="235">
                  <c:v>153647</c:v>
                </c:pt>
                <c:pt idx="236">
                  <c:v>157127</c:v>
                </c:pt>
                <c:pt idx="237">
                  <c:v>162380</c:v>
                </c:pt>
                <c:pt idx="238">
                  <c:v>170486</c:v>
                </c:pt>
                <c:pt idx="239">
                  <c:v>169869</c:v>
                </c:pt>
                <c:pt idx="240">
                  <c:v>173639</c:v>
                </c:pt>
                <c:pt idx="241">
                  <c:v>164506</c:v>
                </c:pt>
                <c:pt idx="242">
                  <c:v>161577</c:v>
                </c:pt>
                <c:pt idx="243">
                  <c:v>163899</c:v>
                </c:pt>
                <c:pt idx="244">
                  <c:v>159806</c:v>
                </c:pt>
                <c:pt idx="245">
                  <c:v>167134</c:v>
                </c:pt>
                <c:pt idx="246">
                  <c:v>147480</c:v>
                </c:pt>
                <c:pt idx="247">
                  <c:v>161573</c:v>
                </c:pt>
                <c:pt idx="248">
                  <c:v>163826</c:v>
                </c:pt>
                <c:pt idx="249">
                  <c:v>157271</c:v>
                </c:pt>
                <c:pt idx="250">
                  <c:v>175437</c:v>
                </c:pt>
                <c:pt idx="251">
                  <c:v>163977</c:v>
                </c:pt>
                <c:pt idx="252">
                  <c:v>171886</c:v>
                </c:pt>
                <c:pt idx="253">
                  <c:v>157898</c:v>
                </c:pt>
                <c:pt idx="254">
                  <c:v>167999</c:v>
                </c:pt>
                <c:pt idx="255">
                  <c:v>175159</c:v>
                </c:pt>
                <c:pt idx="256">
                  <c:v>187171</c:v>
                </c:pt>
                <c:pt idx="257">
                  <c:v>163879</c:v>
                </c:pt>
                <c:pt idx="258">
                  <c:v>162223</c:v>
                </c:pt>
                <c:pt idx="259">
                  <c:v>178822</c:v>
                </c:pt>
                <c:pt idx="260">
                  <c:v>173141</c:v>
                </c:pt>
                <c:pt idx="261">
                  <c:v>177119</c:v>
                </c:pt>
                <c:pt idx="262">
                  <c:v>175160</c:v>
                </c:pt>
                <c:pt idx="263">
                  <c:v>166758</c:v>
                </c:pt>
                <c:pt idx="264">
                  <c:v>168991</c:v>
                </c:pt>
                <c:pt idx="265">
                  <c:v>173176</c:v>
                </c:pt>
                <c:pt idx="266">
                  <c:v>174125</c:v>
                </c:pt>
                <c:pt idx="267">
                  <c:v>166404</c:v>
                </c:pt>
                <c:pt idx="268">
                  <c:v>177673</c:v>
                </c:pt>
                <c:pt idx="269">
                  <c:v>239368</c:v>
                </c:pt>
                <c:pt idx="270">
                  <c:v>170619</c:v>
                </c:pt>
                <c:pt idx="271">
                  <c:v>175815</c:v>
                </c:pt>
                <c:pt idx="272">
                  <c:v>166867</c:v>
                </c:pt>
                <c:pt idx="273">
                  <c:v>167086</c:v>
                </c:pt>
                <c:pt idx="274">
                  <c:v>159597</c:v>
                </c:pt>
                <c:pt idx="275">
                  <c:v>157463</c:v>
                </c:pt>
                <c:pt idx="276">
                  <c:v>154298</c:v>
                </c:pt>
                <c:pt idx="277">
                  <c:v>162504</c:v>
                </c:pt>
                <c:pt idx="278">
                  <c:v>161812</c:v>
                </c:pt>
                <c:pt idx="279">
                  <c:v>149281</c:v>
                </c:pt>
                <c:pt idx="280">
                  <c:v>168996</c:v>
                </c:pt>
                <c:pt idx="281">
                  <c:v>161459</c:v>
                </c:pt>
                <c:pt idx="282">
                  <c:v>158114</c:v>
                </c:pt>
                <c:pt idx="283">
                  <c:v>151480</c:v>
                </c:pt>
                <c:pt idx="284">
                  <c:v>157257</c:v>
                </c:pt>
                <c:pt idx="285">
                  <c:v>161313</c:v>
                </c:pt>
                <c:pt idx="286">
                  <c:v>154376</c:v>
                </c:pt>
                <c:pt idx="287">
                  <c:v>157726</c:v>
                </c:pt>
                <c:pt idx="288">
                  <c:v>151625</c:v>
                </c:pt>
                <c:pt idx="289">
                  <c:v>150655</c:v>
                </c:pt>
                <c:pt idx="290">
                  <c:v>159038</c:v>
                </c:pt>
                <c:pt idx="291">
                  <c:v>156740</c:v>
                </c:pt>
                <c:pt idx="292">
                  <c:v>147954</c:v>
                </c:pt>
                <c:pt idx="293">
                  <c:v>149687</c:v>
                </c:pt>
                <c:pt idx="294">
                  <c:v>158627</c:v>
                </c:pt>
                <c:pt idx="295">
                  <c:v>148303</c:v>
                </c:pt>
                <c:pt idx="296">
                  <c:v>174438</c:v>
                </c:pt>
                <c:pt idx="297">
                  <c:v>156039</c:v>
                </c:pt>
                <c:pt idx="298">
                  <c:v>151674</c:v>
                </c:pt>
                <c:pt idx="299">
                  <c:v>153023</c:v>
                </c:pt>
                <c:pt idx="300">
                  <c:v>151001</c:v>
                </c:pt>
                <c:pt idx="301">
                  <c:v>157865</c:v>
                </c:pt>
                <c:pt idx="302">
                  <c:v>160341</c:v>
                </c:pt>
                <c:pt idx="303">
                  <c:v>156192</c:v>
                </c:pt>
                <c:pt idx="304">
                  <c:v>174911</c:v>
                </c:pt>
                <c:pt idx="305">
                  <c:v>158851</c:v>
                </c:pt>
                <c:pt idx="306">
                  <c:v>158587</c:v>
                </c:pt>
                <c:pt idx="307">
                  <c:v>169627</c:v>
                </c:pt>
                <c:pt idx="308">
                  <c:v>164246</c:v>
                </c:pt>
                <c:pt idx="309">
                  <c:v>170535</c:v>
                </c:pt>
                <c:pt idx="310">
                  <c:v>169117</c:v>
                </c:pt>
                <c:pt idx="311">
                  <c:v>158706</c:v>
                </c:pt>
                <c:pt idx="312">
                  <c:v>163066</c:v>
                </c:pt>
                <c:pt idx="313">
                  <c:v>171976</c:v>
                </c:pt>
                <c:pt idx="314">
                  <c:v>170999</c:v>
                </c:pt>
                <c:pt idx="315">
                  <c:v>175471</c:v>
                </c:pt>
                <c:pt idx="316">
                  <c:v>173527</c:v>
                </c:pt>
                <c:pt idx="317">
                  <c:v>164780</c:v>
                </c:pt>
                <c:pt idx="318">
                  <c:v>179888</c:v>
                </c:pt>
                <c:pt idx="319">
                  <c:v>176616</c:v>
                </c:pt>
                <c:pt idx="320">
                  <c:v>170058</c:v>
                </c:pt>
                <c:pt idx="321">
                  <c:v>160838</c:v>
                </c:pt>
                <c:pt idx="322">
                  <c:v>172950</c:v>
                </c:pt>
                <c:pt idx="323">
                  <c:v>183707</c:v>
                </c:pt>
                <c:pt idx="324">
                  <c:v>174574</c:v>
                </c:pt>
                <c:pt idx="325">
                  <c:v>186986</c:v>
                </c:pt>
                <c:pt idx="326">
                  <c:v>186141</c:v>
                </c:pt>
                <c:pt idx="327">
                  <c:v>172609</c:v>
                </c:pt>
                <c:pt idx="328">
                  <c:v>176033</c:v>
                </c:pt>
                <c:pt idx="329">
                  <c:v>181883</c:v>
                </c:pt>
                <c:pt idx="330">
                  <c:v>178316</c:v>
                </c:pt>
                <c:pt idx="331">
                  <c:v>178552</c:v>
                </c:pt>
                <c:pt idx="332">
                  <c:v>184702</c:v>
                </c:pt>
                <c:pt idx="333">
                  <c:v>168277</c:v>
                </c:pt>
                <c:pt idx="334">
                  <c:v>175060</c:v>
                </c:pt>
                <c:pt idx="335">
                  <c:v>164144</c:v>
                </c:pt>
                <c:pt idx="336">
                  <c:v>164739</c:v>
                </c:pt>
                <c:pt idx="337">
                  <c:v>125115</c:v>
                </c:pt>
                <c:pt idx="338">
                  <c:v>121997</c:v>
                </c:pt>
                <c:pt idx="339">
                  <c:v>134339</c:v>
                </c:pt>
                <c:pt idx="340">
                  <c:v>135912</c:v>
                </c:pt>
                <c:pt idx="341">
                  <c:v>146079</c:v>
                </c:pt>
                <c:pt idx="342">
                  <c:v>151866</c:v>
                </c:pt>
                <c:pt idx="343">
                  <c:v>154765</c:v>
                </c:pt>
                <c:pt idx="344">
                  <c:v>157040</c:v>
                </c:pt>
              </c:numCache>
            </c:numRef>
          </c:val>
          <c:smooth val="0"/>
          <c:extLst>
            <c:ext xmlns:c16="http://schemas.microsoft.com/office/drawing/2014/chart" uri="{C3380CC4-5D6E-409C-BE32-E72D297353CC}">
              <c16:uniqueId val="{00000000-F4DF-4E8D-96F3-65015F37C7C2}"/>
            </c:ext>
          </c:extLst>
        </c:ser>
        <c:dLbls>
          <c:showLegendKey val="0"/>
          <c:showVal val="0"/>
          <c:showCatName val="0"/>
          <c:showSerName val="0"/>
          <c:showPercent val="0"/>
          <c:showBubbleSize val="0"/>
        </c:dLbls>
        <c:smooth val="0"/>
        <c:axId val="504145232"/>
        <c:axId val="504145624"/>
      </c:lineChart>
      <c:dateAx>
        <c:axId val="50414523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45624"/>
        <c:crosses val="autoZero"/>
        <c:auto val="1"/>
        <c:lblOffset val="100"/>
        <c:baseTimeUnit val="months"/>
      </c:dateAx>
      <c:valAx>
        <c:axId val="504145624"/>
        <c:scaling>
          <c:orientation val="minMax"/>
          <c:min val="800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Other!$B$1</c:f>
              <c:strCache>
                <c:ptCount val="1"/>
                <c:pt idx="0">
                  <c:v>New Orders - Manufacturing</c:v>
                </c:pt>
              </c:strCache>
            </c:strRef>
          </c:tx>
          <c:spPr>
            <a:solidFill>
              <a:srgbClr val="92D050"/>
            </a:solidFill>
            <a:ln>
              <a:noFill/>
            </a:ln>
            <a:effectLst/>
          </c:spPr>
          <c:invertIfNegative val="1"/>
          <c:cat>
            <c:numRef>
              <c:f>Other!$A$6:$A$360</c:f>
              <c:numCache>
                <c:formatCode>m/d/yy</c:formatCode>
                <c:ptCount val="355"/>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numCache>
            </c:numRef>
          </c:cat>
          <c:val>
            <c:numRef>
              <c:f>Other!$C$6:$C$360</c:f>
              <c:numCache>
                <c:formatCode>0.0%</c:formatCode>
                <c:ptCount val="355"/>
                <c:pt idx="1">
                  <c:v>4.2961961768681216E-2</c:v>
                </c:pt>
                <c:pt idx="2">
                  <c:v>5.0691937424789411E-2</c:v>
                </c:pt>
                <c:pt idx="3">
                  <c:v>3.4689719729089808E-3</c:v>
                </c:pt>
                <c:pt idx="4">
                  <c:v>-2.7118086040386305E-2</c:v>
                </c:pt>
                <c:pt idx="5">
                  <c:v>-1.4743539126216877E-2</c:v>
                </c:pt>
                <c:pt idx="6">
                  <c:v>-1.5422133681390397E-2</c:v>
                </c:pt>
                <c:pt idx="7">
                  <c:v>7.8260363974649687E-3</c:v>
                </c:pt>
                <c:pt idx="8">
                  <c:v>7.3648866940508609E-2</c:v>
                </c:pt>
                <c:pt idx="9">
                  <c:v>-5.8441069950887145E-2</c:v>
                </c:pt>
                <c:pt idx="10">
                  <c:v>4.4137285562644811E-2</c:v>
                </c:pt>
                <c:pt idx="11">
                  <c:v>-6.0592479230432879E-2</c:v>
                </c:pt>
                <c:pt idx="12">
                  <c:v>7.4752434923257741E-2</c:v>
                </c:pt>
                <c:pt idx="13">
                  <c:v>-1.9835211831833784E-2</c:v>
                </c:pt>
                <c:pt idx="14">
                  <c:v>6.6498028256138913E-3</c:v>
                </c:pt>
                <c:pt idx="15">
                  <c:v>-1.4265178698796238E-2</c:v>
                </c:pt>
                <c:pt idx="16">
                  <c:v>4.0765437321192019E-2</c:v>
                </c:pt>
                <c:pt idx="17">
                  <c:v>-1.5723102264340646E-2</c:v>
                </c:pt>
                <c:pt idx="18">
                  <c:v>2.3939667257098767E-2</c:v>
                </c:pt>
                <c:pt idx="19">
                  <c:v>-3.9787319848024964E-2</c:v>
                </c:pt>
                <c:pt idx="20">
                  <c:v>4.7470627894382E-2</c:v>
                </c:pt>
                <c:pt idx="21">
                  <c:v>-2.915418055965897E-2</c:v>
                </c:pt>
                <c:pt idx="22">
                  <c:v>3.1899053353476294E-2</c:v>
                </c:pt>
                <c:pt idx="23">
                  <c:v>3.9001937984496124E-2</c:v>
                </c:pt>
                <c:pt idx="24">
                  <c:v>-1.3066793719018317E-2</c:v>
                </c:pt>
                <c:pt idx="25">
                  <c:v>-6.6969329690420923E-3</c:v>
                </c:pt>
                <c:pt idx="26">
                  <c:v>2.983268876801853E-2</c:v>
                </c:pt>
                <c:pt idx="27">
                  <c:v>1.9389302246186905E-2</c:v>
                </c:pt>
                <c:pt idx="28">
                  <c:v>2.3699296704162643E-2</c:v>
                </c:pt>
                <c:pt idx="29">
                  <c:v>-3.7525979524286046E-3</c:v>
                </c:pt>
                <c:pt idx="30">
                  <c:v>3.5639089030114549E-3</c:v>
                </c:pt>
                <c:pt idx="31">
                  <c:v>2.3386297362064153E-3</c:v>
                </c:pt>
                <c:pt idx="32">
                  <c:v>3.2866058569371102E-2</c:v>
                </c:pt>
                <c:pt idx="33">
                  <c:v>-4.1181337324421559E-3</c:v>
                </c:pt>
                <c:pt idx="34">
                  <c:v>1.4627088583963409E-2</c:v>
                </c:pt>
                <c:pt idx="35">
                  <c:v>-9.7702788485422784E-3</c:v>
                </c:pt>
                <c:pt idx="36">
                  <c:v>2.7435313791982163E-2</c:v>
                </c:pt>
                <c:pt idx="37">
                  <c:v>-3.7345824140051363E-3</c:v>
                </c:pt>
                <c:pt idx="38">
                  <c:v>-1.4222827320172453E-2</c:v>
                </c:pt>
                <c:pt idx="39">
                  <c:v>2.4390468473777255E-2</c:v>
                </c:pt>
                <c:pt idx="40">
                  <c:v>-2.5122014794574724E-2</c:v>
                </c:pt>
                <c:pt idx="41">
                  <c:v>-1.1017683612693847E-2</c:v>
                </c:pt>
                <c:pt idx="42">
                  <c:v>4.518631079455937E-2</c:v>
                </c:pt>
                <c:pt idx="43">
                  <c:v>4.2135683322332626E-2</c:v>
                </c:pt>
                <c:pt idx="44">
                  <c:v>-3.8275218678854479E-2</c:v>
                </c:pt>
                <c:pt idx="45">
                  <c:v>1.2619475642098144E-2</c:v>
                </c:pt>
                <c:pt idx="46">
                  <c:v>5.3522463615271042E-2</c:v>
                </c:pt>
                <c:pt idx="47">
                  <c:v>-4.6598928875319086E-2</c:v>
                </c:pt>
                <c:pt idx="48">
                  <c:v>-4.2987890242195154E-2</c:v>
                </c:pt>
                <c:pt idx="49">
                  <c:v>0.12061257142857143</c:v>
                </c:pt>
                <c:pt idx="50">
                  <c:v>-7.9018006478089528E-2</c:v>
                </c:pt>
                <c:pt idx="51">
                  <c:v>5.9628638755514607E-2</c:v>
                </c:pt>
                <c:pt idx="52">
                  <c:v>-5.7602434517987173E-3</c:v>
                </c:pt>
                <c:pt idx="53">
                  <c:v>-8.2657831892637319E-3</c:v>
                </c:pt>
                <c:pt idx="54">
                  <c:v>-4.7854435692422481E-2</c:v>
                </c:pt>
                <c:pt idx="55">
                  <c:v>5.8336375860441506E-2</c:v>
                </c:pt>
                <c:pt idx="56">
                  <c:v>9.3228325255788908E-3</c:v>
                </c:pt>
                <c:pt idx="57">
                  <c:v>3.974790756610757E-2</c:v>
                </c:pt>
                <c:pt idx="58">
                  <c:v>-6.0830313331836694E-2</c:v>
                </c:pt>
                <c:pt idx="59">
                  <c:v>-2.1436437675542312E-2</c:v>
                </c:pt>
                <c:pt idx="60">
                  <c:v>7.1973199797602638E-2</c:v>
                </c:pt>
                <c:pt idx="61">
                  <c:v>-2.6107620690777694E-2</c:v>
                </c:pt>
                <c:pt idx="62">
                  <c:v>4.9695825116154696E-2</c:v>
                </c:pt>
                <c:pt idx="63">
                  <c:v>-3.6962146240496756E-2</c:v>
                </c:pt>
                <c:pt idx="64">
                  <c:v>4.3100882848923716E-2</c:v>
                </c:pt>
                <c:pt idx="65">
                  <c:v>9.1214556289921228E-3</c:v>
                </c:pt>
                <c:pt idx="66">
                  <c:v>-2.3559531008269395E-5</c:v>
                </c:pt>
                <c:pt idx="67">
                  <c:v>5.6308605714106208E-3</c:v>
                </c:pt>
                <c:pt idx="68">
                  <c:v>8.590327291469805E-5</c:v>
                </c:pt>
                <c:pt idx="69">
                  <c:v>9.1354187815276974E-2</c:v>
                </c:pt>
                <c:pt idx="70">
                  <c:v>-0.12165053197959373</c:v>
                </c:pt>
                <c:pt idx="71">
                  <c:v>1.8287864840867064E-2</c:v>
                </c:pt>
                <c:pt idx="72">
                  <c:v>3.4990880291830659E-2</c:v>
                </c:pt>
                <c:pt idx="73">
                  <c:v>-3.5206913076411751E-2</c:v>
                </c:pt>
                <c:pt idx="74">
                  <c:v>3.6099116348749828E-2</c:v>
                </c:pt>
                <c:pt idx="75">
                  <c:v>-9.587950111730548E-3</c:v>
                </c:pt>
                <c:pt idx="76">
                  <c:v>-3.2610138263238844E-2</c:v>
                </c:pt>
                <c:pt idx="77">
                  <c:v>-1.4703983472141521E-2</c:v>
                </c:pt>
                <c:pt idx="78">
                  <c:v>4.5605700712589077E-2</c:v>
                </c:pt>
                <c:pt idx="79">
                  <c:v>1.3912171583449529E-2</c:v>
                </c:pt>
                <c:pt idx="80">
                  <c:v>-3.1931331798445539E-2</c:v>
                </c:pt>
                <c:pt idx="81">
                  <c:v>2.6847351577401618E-2</c:v>
                </c:pt>
                <c:pt idx="82">
                  <c:v>-3.2293164419228228E-2</c:v>
                </c:pt>
                <c:pt idx="83">
                  <c:v>6.0195968195325675E-2</c:v>
                </c:pt>
                <c:pt idx="84">
                  <c:v>-2.1044657399340933E-2</c:v>
                </c:pt>
                <c:pt idx="85">
                  <c:v>4.0703568139785033E-3</c:v>
                </c:pt>
                <c:pt idx="86">
                  <c:v>-1.1067181490986721E-2</c:v>
                </c:pt>
                <c:pt idx="87">
                  <c:v>1.5570812908655907E-2</c:v>
                </c:pt>
                <c:pt idx="88">
                  <c:v>-2.0227909296704139E-2</c:v>
                </c:pt>
                <c:pt idx="89">
                  <c:v>5.4339398021601044E-2</c:v>
                </c:pt>
                <c:pt idx="90">
                  <c:v>-5.0216540258659756E-3</c:v>
                </c:pt>
                <c:pt idx="91">
                  <c:v>-5.3008414152499984E-4</c:v>
                </c:pt>
                <c:pt idx="92">
                  <c:v>4.2122955105699557E-2</c:v>
                </c:pt>
                <c:pt idx="93">
                  <c:v>-5.4562788063852515E-2</c:v>
                </c:pt>
                <c:pt idx="94">
                  <c:v>7.4914516630400996E-2</c:v>
                </c:pt>
                <c:pt idx="95">
                  <c:v>2.1709997319753416E-2</c:v>
                </c:pt>
                <c:pt idx="96">
                  <c:v>-9.9954437510355112E-2</c:v>
                </c:pt>
                <c:pt idx="97">
                  <c:v>5.2033717603565045E-2</c:v>
                </c:pt>
                <c:pt idx="98">
                  <c:v>2.0173372897543763E-2</c:v>
                </c:pt>
                <c:pt idx="99">
                  <c:v>-2.9265050597450118E-2</c:v>
                </c:pt>
                <c:pt idx="100">
                  <c:v>0.21919562992792621</c:v>
                </c:pt>
                <c:pt idx="101">
                  <c:v>-0.17211832833153187</c:v>
                </c:pt>
                <c:pt idx="102">
                  <c:v>1.2166035754141047E-2</c:v>
                </c:pt>
                <c:pt idx="103">
                  <c:v>4.9340280029689203E-2</c:v>
                </c:pt>
                <c:pt idx="104">
                  <c:v>-7.5959016055707401E-2</c:v>
                </c:pt>
                <c:pt idx="105">
                  <c:v>3.4550413579375286E-2</c:v>
                </c:pt>
                <c:pt idx="106">
                  <c:v>-1.0028303377727971E-2</c:v>
                </c:pt>
                <c:pt idx="107">
                  <c:v>-6.3195704230462224E-2</c:v>
                </c:pt>
                <c:pt idx="108">
                  <c:v>7.2114081223228323E-3</c:v>
                </c:pt>
                <c:pt idx="109">
                  <c:v>1.2104712686108035E-2</c:v>
                </c:pt>
                <c:pt idx="110">
                  <c:v>-6.5202194428825438E-2</c:v>
                </c:pt>
                <c:pt idx="111">
                  <c:v>3.0652306441780127E-2</c:v>
                </c:pt>
                <c:pt idx="112">
                  <c:v>-5.8755796712830054E-3</c:v>
                </c:pt>
                <c:pt idx="113">
                  <c:v>-4.7790180165171239E-2</c:v>
                </c:pt>
                <c:pt idx="114">
                  <c:v>3.7824822748214987E-3</c:v>
                </c:pt>
                <c:pt idx="115">
                  <c:v>-3.9300802616180144E-2</c:v>
                </c:pt>
                <c:pt idx="116">
                  <c:v>6.2127416930174692E-2</c:v>
                </c:pt>
                <c:pt idx="117">
                  <c:v>-7.0743551575197058E-2</c:v>
                </c:pt>
                <c:pt idx="118">
                  <c:v>4.7443977591036411E-3</c:v>
                </c:pt>
                <c:pt idx="119">
                  <c:v>-2.0700109773309404E-2</c:v>
                </c:pt>
                <c:pt idx="120">
                  <c:v>8.7424158852730277E-2</c:v>
                </c:pt>
                <c:pt idx="121">
                  <c:v>-2.6940351623538653E-2</c:v>
                </c:pt>
                <c:pt idx="122">
                  <c:v>-2.3204977299478729E-3</c:v>
                </c:pt>
                <c:pt idx="123">
                  <c:v>4.8119058855255175E-3</c:v>
                </c:pt>
                <c:pt idx="124">
                  <c:v>-4.43242336562251E-2</c:v>
                </c:pt>
                <c:pt idx="125">
                  <c:v>5.6937253181219831E-2</c:v>
                </c:pt>
                <c:pt idx="126">
                  <c:v>2.0707750045666651E-2</c:v>
                </c:pt>
                <c:pt idx="127">
                  <c:v>-6.3986594214687789E-2</c:v>
                </c:pt>
                <c:pt idx="128">
                  <c:v>5.9791771678862566E-3</c:v>
                </c:pt>
                <c:pt idx="129">
                  <c:v>1.148988371892116E-2</c:v>
                </c:pt>
                <c:pt idx="130">
                  <c:v>-3.6324348331112706E-2</c:v>
                </c:pt>
                <c:pt idx="131">
                  <c:v>2.8511667892689066E-2</c:v>
                </c:pt>
                <c:pt idx="132">
                  <c:v>4.5033089755963047E-2</c:v>
                </c:pt>
                <c:pt idx="133">
                  <c:v>-1.8470570773620066E-2</c:v>
                </c:pt>
                <c:pt idx="134">
                  <c:v>-1.6659105801703714E-2</c:v>
                </c:pt>
                <c:pt idx="135">
                  <c:v>1.0721822111729075E-2</c:v>
                </c:pt>
                <c:pt idx="136">
                  <c:v>1.373556708873599E-2</c:v>
                </c:pt>
                <c:pt idx="137">
                  <c:v>-2.107044884141715E-2</c:v>
                </c:pt>
                <c:pt idx="138">
                  <c:v>1.6115294197812682E-2</c:v>
                </c:pt>
                <c:pt idx="139">
                  <c:v>2.1241282188841203E-2</c:v>
                </c:pt>
                <c:pt idx="140">
                  <c:v>4.4644176311253385E-2</c:v>
                </c:pt>
                <c:pt idx="141">
                  <c:v>-1.0921748422632377E-2</c:v>
                </c:pt>
                <c:pt idx="142">
                  <c:v>2.9552189006903456E-3</c:v>
                </c:pt>
                <c:pt idx="143">
                  <c:v>-1.40988982265487E-2</c:v>
                </c:pt>
                <c:pt idx="144">
                  <c:v>1.3681901808453375E-2</c:v>
                </c:pt>
                <c:pt idx="145">
                  <c:v>5.2800101447207821E-2</c:v>
                </c:pt>
                <c:pt idx="146">
                  <c:v>-3.7271522779969285E-2</c:v>
                </c:pt>
                <c:pt idx="147">
                  <c:v>3.2216444461821169E-3</c:v>
                </c:pt>
                <c:pt idx="148">
                  <c:v>1.2556801795833105E-2</c:v>
                </c:pt>
                <c:pt idx="149">
                  <c:v>3.2299781383748498E-2</c:v>
                </c:pt>
                <c:pt idx="150">
                  <c:v>-5.1616655729881285E-2</c:v>
                </c:pt>
                <c:pt idx="151">
                  <c:v>3.8920601971977165E-2</c:v>
                </c:pt>
                <c:pt idx="152">
                  <c:v>-2.236399963672691E-2</c:v>
                </c:pt>
                <c:pt idx="153">
                  <c:v>4.9583130123783646E-2</c:v>
                </c:pt>
                <c:pt idx="154">
                  <c:v>-2.6994733814223125E-3</c:v>
                </c:pt>
                <c:pt idx="155">
                  <c:v>1.3378594249201278E-2</c:v>
                </c:pt>
                <c:pt idx="156">
                  <c:v>9.1516146688560476E-3</c:v>
                </c:pt>
                <c:pt idx="157">
                  <c:v>-5.95535113791682E-2</c:v>
                </c:pt>
                <c:pt idx="158">
                  <c:v>4.2624034942019627E-2</c:v>
                </c:pt>
                <c:pt idx="159">
                  <c:v>9.3025142528413485E-2</c:v>
                </c:pt>
                <c:pt idx="160">
                  <c:v>2.1639676113360325E-2</c:v>
                </c:pt>
                <c:pt idx="161">
                  <c:v>-9.9830258838759109E-2</c:v>
                </c:pt>
                <c:pt idx="162">
                  <c:v>6.8338567193965902E-2</c:v>
                </c:pt>
                <c:pt idx="163">
                  <c:v>-2.2464733596143018E-2</c:v>
                </c:pt>
                <c:pt idx="164">
                  <c:v>4.2962026205782135E-2</c:v>
                </c:pt>
                <c:pt idx="165">
                  <c:v>7.8652745031997304E-2</c:v>
                </c:pt>
                <c:pt idx="166">
                  <c:v>-4.4152729725341292E-3</c:v>
                </c:pt>
                <c:pt idx="167">
                  <c:v>-7.9068367007696705E-2</c:v>
                </c:pt>
                <c:pt idx="168">
                  <c:v>6.8004413748007683E-2</c:v>
                </c:pt>
                <c:pt idx="169">
                  <c:v>4.5249301649255731E-2</c:v>
                </c:pt>
                <c:pt idx="170">
                  <c:v>-6.0045273440598436E-2</c:v>
                </c:pt>
                <c:pt idx="171">
                  <c:v>-5.705865551891569E-3</c:v>
                </c:pt>
                <c:pt idx="172">
                  <c:v>3.7336867463586922E-2</c:v>
                </c:pt>
                <c:pt idx="173">
                  <c:v>-4.3299851471439721E-2</c:v>
                </c:pt>
                <c:pt idx="174">
                  <c:v>-8.2164565955319315E-3</c:v>
                </c:pt>
                <c:pt idx="175">
                  <c:v>0.17165352241597739</c:v>
                </c:pt>
                <c:pt idx="176">
                  <c:v>-0.10391639587414092</c:v>
                </c:pt>
                <c:pt idx="177">
                  <c:v>4.853872104923998E-2</c:v>
                </c:pt>
                <c:pt idx="178">
                  <c:v>2.2474076484162706E-3</c:v>
                </c:pt>
                <c:pt idx="179">
                  <c:v>-1.5576342715610009E-2</c:v>
                </c:pt>
                <c:pt idx="180">
                  <c:v>-1.2702212505572486E-2</c:v>
                </c:pt>
                <c:pt idx="181">
                  <c:v>4.7324504703997627E-2</c:v>
                </c:pt>
                <c:pt idx="182">
                  <c:v>2.4781186142379608E-2</c:v>
                </c:pt>
                <c:pt idx="183">
                  <c:v>-3.1656658098871589E-2</c:v>
                </c:pt>
                <c:pt idx="184">
                  <c:v>3.4875762535337002E-3</c:v>
                </c:pt>
                <c:pt idx="185">
                  <c:v>2.2400673740147439E-2</c:v>
                </c:pt>
                <c:pt idx="186">
                  <c:v>1.4420957375223333E-2</c:v>
                </c:pt>
                <c:pt idx="187">
                  <c:v>-4.080080515113739E-2</c:v>
                </c:pt>
                <c:pt idx="188">
                  <c:v>2.2374045391948205E-2</c:v>
                </c:pt>
                <c:pt idx="189">
                  <c:v>-2.0274998250647259E-2</c:v>
                </c:pt>
                <c:pt idx="190">
                  <c:v>0.10800226170282415</c:v>
                </c:pt>
                <c:pt idx="191">
                  <c:v>-2.8061731511970819E-2</c:v>
                </c:pt>
                <c:pt idx="192">
                  <c:v>-2.0040124463210952E-2</c:v>
                </c:pt>
                <c:pt idx="193">
                  <c:v>1.4906012599331119E-2</c:v>
                </c:pt>
                <c:pt idx="194">
                  <c:v>-2.6884648299009748E-2</c:v>
                </c:pt>
                <c:pt idx="195">
                  <c:v>-1.3945042143493456E-2</c:v>
                </c:pt>
                <c:pt idx="196">
                  <c:v>1.003046202670929E-2</c:v>
                </c:pt>
                <c:pt idx="197">
                  <c:v>-4.1804754423586346E-2</c:v>
                </c:pt>
                <c:pt idx="198">
                  <c:v>-3.1612961134548069E-2</c:v>
                </c:pt>
                <c:pt idx="199">
                  <c:v>2.6756142172129124E-3</c:v>
                </c:pt>
                <c:pt idx="200">
                  <c:v>-0.12976920469602193</c:v>
                </c:pt>
                <c:pt idx="201">
                  <c:v>-5.9607104413347684E-2</c:v>
                </c:pt>
                <c:pt idx="202">
                  <c:v>-3.7811297452387586E-2</c:v>
                </c:pt>
                <c:pt idx="203">
                  <c:v>-0.15426156374735853</c:v>
                </c:pt>
                <c:pt idx="204">
                  <c:v>-2.1043864519711273E-2</c:v>
                </c:pt>
                <c:pt idx="205">
                  <c:v>-1.8074225322821547E-2</c:v>
                </c:pt>
                <c:pt idx="206">
                  <c:v>1.7713768604270558E-2</c:v>
                </c:pt>
                <c:pt idx="207">
                  <c:v>2.5975745880394273E-2</c:v>
                </c:pt>
                <c:pt idx="208">
                  <c:v>-1.08334869998156E-2</c:v>
                </c:pt>
                <c:pt idx="209">
                  <c:v>4.2932376380668311E-2</c:v>
                </c:pt>
                <c:pt idx="210">
                  <c:v>2.590914372022772E-2</c:v>
                </c:pt>
                <c:pt idx="211">
                  <c:v>-1.5942155240003485E-3</c:v>
                </c:pt>
                <c:pt idx="212">
                  <c:v>2.5330040922456745E-2</c:v>
                </c:pt>
                <c:pt idx="213">
                  <c:v>-1.6807080248489491E-2</c:v>
                </c:pt>
                <c:pt idx="214">
                  <c:v>-2.7264465313541352E-3</c:v>
                </c:pt>
                <c:pt idx="215">
                  <c:v>0.1635827113348377</c:v>
                </c:pt>
                <c:pt idx="216">
                  <c:v>8.1152847808574746E-3</c:v>
                </c:pt>
                <c:pt idx="217">
                  <c:v>5.6231317884518628E-3</c:v>
                </c:pt>
                <c:pt idx="218">
                  <c:v>-3.0312840283704639E-3</c:v>
                </c:pt>
                <c:pt idx="219">
                  <c:v>4.6072440665958198E-2</c:v>
                </c:pt>
                <c:pt idx="220">
                  <c:v>-3.1718484341820286E-2</c:v>
                </c:pt>
                <c:pt idx="221">
                  <c:v>1.020028997967228E-3</c:v>
                </c:pt>
                <c:pt idx="222">
                  <c:v>2.9230444497820088E-2</c:v>
                </c:pt>
                <c:pt idx="223">
                  <c:v>6.8511459828721352E-2</c:v>
                </c:pt>
                <c:pt idx="224">
                  <c:v>-5.5011747576028329E-2</c:v>
                </c:pt>
                <c:pt idx="225">
                  <c:v>3.5879621523570736E-2</c:v>
                </c:pt>
                <c:pt idx="226">
                  <c:v>-3.2324584533419874E-2</c:v>
                </c:pt>
                <c:pt idx="227">
                  <c:v>6.8450655021834061E-2</c:v>
                </c:pt>
                <c:pt idx="228">
                  <c:v>-4.4964099344763996E-2</c:v>
                </c:pt>
                <c:pt idx="229">
                  <c:v>9.5606863590923408E-2</c:v>
                </c:pt>
                <c:pt idx="230">
                  <c:v>-5.7965489441218931E-2</c:v>
                </c:pt>
                <c:pt idx="231">
                  <c:v>4.2598219379834677E-2</c:v>
                </c:pt>
                <c:pt idx="232">
                  <c:v>-4.1112277687633231E-2</c:v>
                </c:pt>
                <c:pt idx="233">
                  <c:v>1.7233599214301829E-2</c:v>
                </c:pt>
                <c:pt idx="234">
                  <c:v>7.2189495795578346E-2</c:v>
                </c:pt>
                <c:pt idx="235">
                  <c:v>-6.5163029259477839E-2</c:v>
                </c:pt>
                <c:pt idx="236">
                  <c:v>2.2649319544149903E-2</c:v>
                </c:pt>
                <c:pt idx="237">
                  <c:v>3.3431555366041484E-2</c:v>
                </c:pt>
                <c:pt idx="238">
                  <c:v>4.9919940879418645E-2</c:v>
                </c:pt>
                <c:pt idx="239">
                  <c:v>-3.6190654951139684E-3</c:v>
                </c:pt>
                <c:pt idx="240">
                  <c:v>2.2193572694252629E-2</c:v>
                </c:pt>
                <c:pt idx="241">
                  <c:v>-5.2597630716601687E-2</c:v>
                </c:pt>
                <c:pt idx="242">
                  <c:v>-1.7804821708630687E-2</c:v>
                </c:pt>
                <c:pt idx="243">
                  <c:v>1.4370857238344567E-2</c:v>
                </c:pt>
                <c:pt idx="244">
                  <c:v>-2.4972696599735202E-2</c:v>
                </c:pt>
                <c:pt idx="245">
                  <c:v>4.5855599914896815E-2</c:v>
                </c:pt>
                <c:pt idx="246">
                  <c:v>-0.11759426567903598</c:v>
                </c:pt>
                <c:pt idx="247">
                  <c:v>9.5558719826417143E-2</c:v>
                </c:pt>
                <c:pt idx="248">
                  <c:v>1.394416146262061E-2</c:v>
                </c:pt>
                <c:pt idx="249">
                  <c:v>-4.0011963912932012E-2</c:v>
                </c:pt>
                <c:pt idx="250">
                  <c:v>0.11550762696237704</c:v>
                </c:pt>
                <c:pt idx="251">
                  <c:v>-6.5322594435609366E-2</c:v>
                </c:pt>
                <c:pt idx="252">
                  <c:v>4.8232374052458574E-2</c:v>
                </c:pt>
                <c:pt idx="253">
                  <c:v>-8.1379518983512325E-2</c:v>
                </c:pt>
                <c:pt idx="254">
                  <c:v>6.397167791865635E-2</c:v>
                </c:pt>
                <c:pt idx="255">
                  <c:v>4.2619301305364912E-2</c:v>
                </c:pt>
                <c:pt idx="256">
                  <c:v>6.8577692268167775E-2</c:v>
                </c:pt>
                <c:pt idx="257">
                  <c:v>-0.12444235485198027</c:v>
                </c:pt>
                <c:pt idx="258">
                  <c:v>-1.0105016506080707E-2</c:v>
                </c:pt>
                <c:pt idx="259">
                  <c:v>0.10232211215425679</c:v>
                </c:pt>
                <c:pt idx="260">
                  <c:v>-3.1769021708738299E-2</c:v>
                </c:pt>
                <c:pt idx="261">
                  <c:v>2.2975493961568894E-2</c:v>
                </c:pt>
                <c:pt idx="262">
                  <c:v>-1.106036054855775E-2</c:v>
                </c:pt>
                <c:pt idx="263">
                  <c:v>-4.796757250513816E-2</c:v>
                </c:pt>
                <c:pt idx="264">
                  <c:v>1.3390661917269337E-2</c:v>
                </c:pt>
                <c:pt idx="265">
                  <c:v>2.4764632436046891E-2</c:v>
                </c:pt>
                <c:pt idx="266">
                  <c:v>5.4799741303644843E-3</c:v>
                </c:pt>
                <c:pt idx="267">
                  <c:v>-4.4341708542713569E-2</c:v>
                </c:pt>
                <c:pt idx="268">
                  <c:v>6.772072786711858E-2</c:v>
                </c:pt>
                <c:pt idx="269">
                  <c:v>0.34723902900271847</c:v>
                </c:pt>
                <c:pt idx="270">
                  <c:v>-0.28721048761739248</c:v>
                </c:pt>
                <c:pt idx="271">
                  <c:v>3.0453818156242856E-2</c:v>
                </c:pt>
                <c:pt idx="272">
                  <c:v>-5.0894406051815833E-2</c:v>
                </c:pt>
                <c:pt idx="273">
                  <c:v>1.3124224681932317E-3</c:v>
                </c:pt>
                <c:pt idx="274">
                  <c:v>-4.4821229785858778E-2</c:v>
                </c:pt>
                <c:pt idx="275">
                  <c:v>-1.3371178656240405E-2</c:v>
                </c:pt>
                <c:pt idx="276">
                  <c:v>-2.0099959990600966E-2</c:v>
                </c:pt>
                <c:pt idx="277">
                  <c:v>5.3182802110202335E-2</c:v>
                </c:pt>
                <c:pt idx="278">
                  <c:v>-4.258356717373111E-3</c:v>
                </c:pt>
                <c:pt idx="279">
                  <c:v>-7.7441722492769385E-2</c:v>
                </c:pt>
                <c:pt idx="280">
                  <c:v>0.13206637147393172</c:v>
                </c:pt>
                <c:pt idx="281">
                  <c:v>-4.4598688726360386E-2</c:v>
                </c:pt>
                <c:pt idx="282">
                  <c:v>-2.0717333812299097E-2</c:v>
                </c:pt>
                <c:pt idx="283">
                  <c:v>-4.1957068950251086E-2</c:v>
                </c:pt>
                <c:pt idx="284">
                  <c:v>3.8137047795088461E-2</c:v>
                </c:pt>
                <c:pt idx="285">
                  <c:v>2.5792174593181862E-2</c:v>
                </c:pt>
                <c:pt idx="286">
                  <c:v>-4.3003353728465775E-2</c:v>
                </c:pt>
                <c:pt idx="287">
                  <c:v>2.1700264289785977E-2</c:v>
                </c:pt>
                <c:pt idx="288">
                  <c:v>-3.8681003766024624E-2</c:v>
                </c:pt>
                <c:pt idx="289">
                  <c:v>-6.3973619126133554E-3</c:v>
                </c:pt>
                <c:pt idx="290">
                  <c:v>5.5643689223723078E-2</c:v>
                </c:pt>
                <c:pt idx="291">
                  <c:v>-1.4449376878481872E-2</c:v>
                </c:pt>
                <c:pt idx="292">
                  <c:v>-5.6054612734464722E-2</c:v>
                </c:pt>
                <c:pt idx="293">
                  <c:v>1.1713100017573029E-2</c:v>
                </c:pt>
                <c:pt idx="294">
                  <c:v>5.9724625384969969E-2</c:v>
                </c:pt>
                <c:pt idx="295">
                  <c:v>-6.5083497765197604E-2</c:v>
                </c:pt>
                <c:pt idx="296">
                  <c:v>0.17622704867736999</c:v>
                </c:pt>
                <c:pt idx="297">
                  <c:v>-0.10547587108313555</c:v>
                </c:pt>
                <c:pt idx="298">
                  <c:v>-2.7973775786822527E-2</c:v>
                </c:pt>
                <c:pt idx="299">
                  <c:v>8.8940754512968605E-3</c:v>
                </c:pt>
                <c:pt idx="300">
                  <c:v>-1.3213699901322023E-2</c:v>
                </c:pt>
                <c:pt idx="301">
                  <c:v>4.5456652604949639E-2</c:v>
                </c:pt>
                <c:pt idx="302">
                  <c:v>1.5684287207424066E-2</c:v>
                </c:pt>
                <c:pt idx="303">
                  <c:v>-2.5876101558553334E-2</c:v>
                </c:pt>
                <c:pt idx="304">
                  <c:v>0.11984608686744519</c:v>
                </c:pt>
                <c:pt idx="305">
                  <c:v>-9.1818124646248667E-2</c:v>
                </c:pt>
                <c:pt idx="306">
                  <c:v>-1.6619347690603145E-3</c:v>
                </c:pt>
                <c:pt idx="307">
                  <c:v>6.9614785575110194E-2</c:v>
                </c:pt>
                <c:pt idx="308">
                  <c:v>-3.1722544170444567E-2</c:v>
                </c:pt>
                <c:pt idx="309">
                  <c:v>3.8290125786929363E-2</c:v>
                </c:pt>
                <c:pt idx="310">
                  <c:v>-8.3150086492508862E-3</c:v>
                </c:pt>
                <c:pt idx="311">
                  <c:v>-6.1560931189649767E-2</c:v>
                </c:pt>
                <c:pt idx="312">
                  <c:v>2.7472181265988684E-2</c:v>
                </c:pt>
                <c:pt idx="313">
                  <c:v>5.4640452332184515E-2</c:v>
                </c:pt>
                <c:pt idx="314">
                  <c:v>-5.6810252593385126E-3</c:v>
                </c:pt>
                <c:pt idx="315">
                  <c:v>2.6152199720466202E-2</c:v>
                </c:pt>
                <c:pt idx="316">
                  <c:v>-1.1078753754181603E-2</c:v>
                </c:pt>
                <c:pt idx="317">
                  <c:v>-5.0407141251793672E-2</c:v>
                </c:pt>
                <c:pt idx="318">
                  <c:v>9.1685884209248697E-2</c:v>
                </c:pt>
                <c:pt idx="319">
                  <c:v>-1.81890954371609E-2</c:v>
                </c:pt>
                <c:pt idx="320">
                  <c:v>-3.7131403723331971E-2</c:v>
                </c:pt>
                <c:pt idx="321">
                  <c:v>-5.4216796622328853E-2</c:v>
                </c:pt>
                <c:pt idx="322">
                  <c:v>7.530558698814957E-2</c:v>
                </c:pt>
                <c:pt idx="323">
                  <c:v>6.2197166811217112E-2</c:v>
                </c:pt>
                <c:pt idx="324">
                  <c:v>-4.9715035355212378E-2</c:v>
                </c:pt>
                <c:pt idx="325">
                  <c:v>7.1098789052207081E-2</c:v>
                </c:pt>
                <c:pt idx="326">
                  <c:v>-4.5190549025060697E-3</c:v>
                </c:pt>
                <c:pt idx="327">
                  <c:v>-7.2697578717208999E-2</c:v>
                </c:pt>
                <c:pt idx="328">
                  <c:v>1.9836740842018665E-2</c:v>
                </c:pt>
                <c:pt idx="329">
                  <c:v>3.3232405287644928E-2</c:v>
                </c:pt>
                <c:pt idx="330">
                  <c:v>-1.961150849722074E-2</c:v>
                </c:pt>
                <c:pt idx="331">
                  <c:v>1.3234931245653782E-3</c:v>
                </c:pt>
                <c:pt idx="332">
                  <c:v>3.4443747479725798E-2</c:v>
                </c:pt>
                <c:pt idx="333">
                  <c:v>-8.8927028402507824E-2</c:v>
                </c:pt>
                <c:pt idx="334">
                  <c:v>4.0308538897175492E-2</c:v>
                </c:pt>
                <c:pt idx="335">
                  <c:v>-6.235576373814692E-2</c:v>
                </c:pt>
                <c:pt idx="336">
                  <c:v>3.6248659713422359E-3</c:v>
                </c:pt>
                <c:pt idx="337">
                  <c:v>-0.24052592282337515</c:v>
                </c:pt>
                <c:pt idx="338">
                  <c:v>-2.4921072613195861E-2</c:v>
                </c:pt>
                <c:pt idx="339">
                  <c:v>0.10116642212513423</c:v>
                </c:pt>
                <c:pt idx="340">
                  <c:v>1.1709183483575135E-2</c:v>
                </c:pt>
                <c:pt idx="341">
                  <c:v>7.4805756666078055E-2</c:v>
                </c:pt>
                <c:pt idx="342">
                  <c:v>3.9615550489803461E-2</c:v>
                </c:pt>
                <c:pt idx="343">
                  <c:v>1.908919705529875E-2</c:v>
                </c:pt>
                <c:pt idx="344">
                  <c:v>1.4699706005879883E-2</c:v>
                </c:pt>
                <c:pt idx="345">
                  <c:v>2.2007131940906775E-2</c:v>
                </c:pt>
                <c:pt idx="346">
                  <c:v>1.3283820157511714E-2</c:v>
                </c:pt>
                <c:pt idx="347">
                  <c:v>3.4969377966893769E-2</c:v>
                </c:pt>
                <c:pt idx="348">
                  <c:v>4.6003030032973888E-2</c:v>
                </c:pt>
                <c:pt idx="349">
                  <c:v>6.6057776414590649E-3</c:v>
                </c:pt>
                <c:pt idx="350">
                  <c:v>1.0591295613950943E-2</c:v>
                </c:pt>
                <c:pt idx="351">
                  <c:v>3.7532524092954697E-2</c:v>
                </c:pt>
                <c:pt idx="352">
                  <c:v>6.3448498546980949E-3</c:v>
                </c:pt>
                <c:pt idx="353">
                  <c:v>-4.1711453002422471E-3</c:v>
                </c:pt>
                <c:pt idx="354">
                  <c:v>3.3632443520800775E-2</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F97B-430B-878B-3DBB7EF47AAA}"/>
            </c:ext>
          </c:extLst>
        </c:ser>
        <c:dLbls>
          <c:showLegendKey val="0"/>
          <c:showVal val="0"/>
          <c:showCatName val="0"/>
          <c:showSerName val="0"/>
          <c:showPercent val="0"/>
          <c:showBubbleSize val="0"/>
        </c:dLbls>
        <c:gapWidth val="219"/>
        <c:overlap val="-27"/>
        <c:axId val="504147584"/>
        <c:axId val="504147976"/>
      </c:barChart>
      <c:dateAx>
        <c:axId val="504147584"/>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47976"/>
        <c:crosses val="autoZero"/>
        <c:auto val="1"/>
        <c:lblOffset val="100"/>
        <c:baseTimeUnit val="months"/>
      </c:dateAx>
      <c:valAx>
        <c:axId val="504147976"/>
        <c:scaling>
          <c:orientation val="minMax"/>
          <c:max val="0.1"/>
          <c:min val="-0.1"/>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47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Other!$C$5</c:f>
              <c:strCache>
                <c:ptCount val="1"/>
                <c:pt idx="0">
                  <c:v>mom %</c:v>
                </c:pt>
              </c:strCache>
            </c:strRef>
          </c:tx>
          <c:spPr>
            <a:solidFill>
              <a:srgbClr val="92D050"/>
            </a:solidFill>
            <a:ln w="6350">
              <a:solidFill>
                <a:schemeClr val="tx1"/>
              </a:solidFill>
            </a:ln>
            <a:effectLst/>
          </c:spPr>
          <c:invertIfNegative val="1"/>
          <c:cat>
            <c:numRef>
              <c:f>Other!$A$251:$A$350</c:f>
              <c:numCache>
                <c:formatCode>m/d/yy</c:formatCode>
                <c:ptCount val="100"/>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numCache>
            </c:numRef>
          </c:cat>
          <c:val>
            <c:numRef>
              <c:f>Other!$C$251:$C$350</c:f>
              <c:numCache>
                <c:formatCode>0.0%</c:formatCode>
                <c:ptCount val="100"/>
                <c:pt idx="0">
                  <c:v>4.5855599914896815E-2</c:v>
                </c:pt>
                <c:pt idx="1">
                  <c:v>-0.11759426567903598</c:v>
                </c:pt>
                <c:pt idx="2">
                  <c:v>9.5558719826417143E-2</c:v>
                </c:pt>
                <c:pt idx="3">
                  <c:v>1.394416146262061E-2</c:v>
                </c:pt>
                <c:pt idx="4">
                  <c:v>-4.0011963912932012E-2</c:v>
                </c:pt>
                <c:pt idx="5">
                  <c:v>0.11550762696237704</c:v>
                </c:pt>
                <c:pt idx="6">
                  <c:v>-6.5322594435609366E-2</c:v>
                </c:pt>
                <c:pt idx="7">
                  <c:v>4.8232374052458574E-2</c:v>
                </c:pt>
                <c:pt idx="8">
                  <c:v>-8.1379518983512325E-2</c:v>
                </c:pt>
                <c:pt idx="9">
                  <c:v>6.397167791865635E-2</c:v>
                </c:pt>
                <c:pt idx="10">
                  <c:v>4.2619301305364912E-2</c:v>
                </c:pt>
                <c:pt idx="11">
                  <c:v>6.8577692268167775E-2</c:v>
                </c:pt>
                <c:pt idx="12">
                  <c:v>-0.12444235485198027</c:v>
                </c:pt>
                <c:pt idx="13">
                  <c:v>-1.0105016506080707E-2</c:v>
                </c:pt>
                <c:pt idx="14">
                  <c:v>0.10232211215425679</c:v>
                </c:pt>
                <c:pt idx="15">
                  <c:v>-3.1769021708738299E-2</c:v>
                </c:pt>
                <c:pt idx="16">
                  <c:v>2.2975493961568894E-2</c:v>
                </c:pt>
                <c:pt idx="17">
                  <c:v>-1.106036054855775E-2</c:v>
                </c:pt>
                <c:pt idx="18">
                  <c:v>-4.796757250513816E-2</c:v>
                </c:pt>
                <c:pt idx="19">
                  <c:v>1.3390661917269337E-2</c:v>
                </c:pt>
                <c:pt idx="20">
                  <c:v>2.4764632436046891E-2</c:v>
                </c:pt>
                <c:pt idx="21">
                  <c:v>5.4799741303644843E-3</c:v>
                </c:pt>
                <c:pt idx="22">
                  <c:v>-4.4341708542713569E-2</c:v>
                </c:pt>
                <c:pt idx="23">
                  <c:v>6.772072786711858E-2</c:v>
                </c:pt>
                <c:pt idx="24">
                  <c:v>0.34723902900271847</c:v>
                </c:pt>
                <c:pt idx="25">
                  <c:v>-0.28721048761739248</c:v>
                </c:pt>
                <c:pt idx="26">
                  <c:v>3.0453818156242856E-2</c:v>
                </c:pt>
                <c:pt idx="27">
                  <c:v>-5.0894406051815833E-2</c:v>
                </c:pt>
                <c:pt idx="28">
                  <c:v>1.3124224681932317E-3</c:v>
                </c:pt>
                <c:pt idx="29">
                  <c:v>-4.4821229785858778E-2</c:v>
                </c:pt>
                <c:pt idx="30">
                  <c:v>-1.3371178656240405E-2</c:v>
                </c:pt>
                <c:pt idx="31">
                  <c:v>-2.0099959990600966E-2</c:v>
                </c:pt>
                <c:pt idx="32">
                  <c:v>5.3182802110202335E-2</c:v>
                </c:pt>
                <c:pt idx="33">
                  <c:v>-4.258356717373111E-3</c:v>
                </c:pt>
                <c:pt idx="34">
                  <c:v>-7.7441722492769385E-2</c:v>
                </c:pt>
                <c:pt idx="35">
                  <c:v>0.13206637147393172</c:v>
                </c:pt>
                <c:pt idx="36">
                  <c:v>-4.4598688726360386E-2</c:v>
                </c:pt>
                <c:pt idx="37">
                  <c:v>-2.0717333812299097E-2</c:v>
                </c:pt>
                <c:pt idx="38">
                  <c:v>-4.1957068950251086E-2</c:v>
                </c:pt>
                <c:pt idx="39">
                  <c:v>3.8137047795088461E-2</c:v>
                </c:pt>
                <c:pt idx="40">
                  <c:v>2.5792174593181862E-2</c:v>
                </c:pt>
                <c:pt idx="41">
                  <c:v>-4.3003353728465775E-2</c:v>
                </c:pt>
                <c:pt idx="42">
                  <c:v>2.1700264289785977E-2</c:v>
                </c:pt>
                <c:pt idx="43">
                  <c:v>-3.8681003766024624E-2</c:v>
                </c:pt>
                <c:pt idx="44">
                  <c:v>-6.3973619126133554E-3</c:v>
                </c:pt>
                <c:pt idx="45">
                  <c:v>5.5643689223723078E-2</c:v>
                </c:pt>
                <c:pt idx="46">
                  <c:v>-1.4449376878481872E-2</c:v>
                </c:pt>
                <c:pt idx="47">
                  <c:v>-5.6054612734464722E-2</c:v>
                </c:pt>
                <c:pt idx="48">
                  <c:v>1.1713100017573029E-2</c:v>
                </c:pt>
                <c:pt idx="49">
                  <c:v>5.9724625384969969E-2</c:v>
                </c:pt>
                <c:pt idx="50">
                  <c:v>-6.5083497765197604E-2</c:v>
                </c:pt>
                <c:pt idx="51">
                  <c:v>0.17622704867736999</c:v>
                </c:pt>
                <c:pt idx="52">
                  <c:v>-0.10547587108313555</c:v>
                </c:pt>
                <c:pt idx="53">
                  <c:v>-2.7973775786822527E-2</c:v>
                </c:pt>
                <c:pt idx="54">
                  <c:v>8.8940754512968605E-3</c:v>
                </c:pt>
                <c:pt idx="55">
                  <c:v>-1.3213699901322023E-2</c:v>
                </c:pt>
                <c:pt idx="56">
                  <c:v>4.5456652604949639E-2</c:v>
                </c:pt>
                <c:pt idx="57">
                  <c:v>1.5684287207424066E-2</c:v>
                </c:pt>
                <c:pt idx="58">
                  <c:v>-2.5876101558553334E-2</c:v>
                </c:pt>
                <c:pt idx="59">
                  <c:v>0.11984608686744519</c:v>
                </c:pt>
                <c:pt idx="60">
                  <c:v>-9.1818124646248667E-2</c:v>
                </c:pt>
                <c:pt idx="61">
                  <c:v>-1.6619347690603145E-3</c:v>
                </c:pt>
                <c:pt idx="62">
                  <c:v>6.9614785575110194E-2</c:v>
                </c:pt>
                <c:pt idx="63">
                  <c:v>-3.1722544170444567E-2</c:v>
                </c:pt>
                <c:pt idx="64">
                  <c:v>3.8290125786929363E-2</c:v>
                </c:pt>
                <c:pt idx="65">
                  <c:v>-8.3150086492508862E-3</c:v>
                </c:pt>
                <c:pt idx="66">
                  <c:v>-6.1560931189649767E-2</c:v>
                </c:pt>
                <c:pt idx="67">
                  <c:v>2.7472181265988684E-2</c:v>
                </c:pt>
                <c:pt idx="68">
                  <c:v>5.4640452332184515E-2</c:v>
                </c:pt>
                <c:pt idx="69">
                  <c:v>-5.6810252593385126E-3</c:v>
                </c:pt>
                <c:pt idx="70">
                  <c:v>2.6152199720466202E-2</c:v>
                </c:pt>
                <c:pt idx="71">
                  <c:v>-1.1078753754181603E-2</c:v>
                </c:pt>
                <c:pt idx="72">
                  <c:v>-5.0407141251793672E-2</c:v>
                </c:pt>
                <c:pt idx="73">
                  <c:v>9.1685884209248697E-2</c:v>
                </c:pt>
                <c:pt idx="74">
                  <c:v>-1.81890954371609E-2</c:v>
                </c:pt>
                <c:pt idx="75">
                  <c:v>-3.7131403723331971E-2</c:v>
                </c:pt>
                <c:pt idx="76">
                  <c:v>-5.4216796622328853E-2</c:v>
                </c:pt>
                <c:pt idx="77">
                  <c:v>7.530558698814957E-2</c:v>
                </c:pt>
                <c:pt idx="78">
                  <c:v>6.2197166811217112E-2</c:v>
                </c:pt>
                <c:pt idx="79">
                  <c:v>-4.9715035355212378E-2</c:v>
                </c:pt>
                <c:pt idx="80">
                  <c:v>7.1098789052207081E-2</c:v>
                </c:pt>
                <c:pt idx="81">
                  <c:v>-4.5190549025060697E-3</c:v>
                </c:pt>
                <c:pt idx="82">
                  <c:v>-7.2697578717208999E-2</c:v>
                </c:pt>
                <c:pt idx="83">
                  <c:v>1.9836740842018665E-2</c:v>
                </c:pt>
                <c:pt idx="84">
                  <c:v>3.3232405287644928E-2</c:v>
                </c:pt>
                <c:pt idx="85">
                  <c:v>-1.961150849722074E-2</c:v>
                </c:pt>
                <c:pt idx="86">
                  <c:v>1.3234931245653782E-3</c:v>
                </c:pt>
                <c:pt idx="87">
                  <c:v>3.4443747479725798E-2</c:v>
                </c:pt>
                <c:pt idx="88">
                  <c:v>-8.8927028402507824E-2</c:v>
                </c:pt>
                <c:pt idx="89">
                  <c:v>4.0308538897175492E-2</c:v>
                </c:pt>
                <c:pt idx="90">
                  <c:v>-6.235576373814692E-2</c:v>
                </c:pt>
                <c:pt idx="91">
                  <c:v>3.6248659713422359E-3</c:v>
                </c:pt>
                <c:pt idx="92">
                  <c:v>-0.24052592282337515</c:v>
                </c:pt>
                <c:pt idx="93">
                  <c:v>-2.4921072613195861E-2</c:v>
                </c:pt>
                <c:pt idx="94">
                  <c:v>0.10116642212513423</c:v>
                </c:pt>
                <c:pt idx="95">
                  <c:v>1.1709183483575135E-2</c:v>
                </c:pt>
                <c:pt idx="96">
                  <c:v>7.4805756666078055E-2</c:v>
                </c:pt>
                <c:pt idx="97">
                  <c:v>3.9615550489803461E-2</c:v>
                </c:pt>
                <c:pt idx="98">
                  <c:v>1.908919705529875E-2</c:v>
                </c:pt>
                <c:pt idx="99">
                  <c:v>1.4699706005879883E-2</c:v>
                </c:pt>
              </c:numCache>
            </c:numRef>
          </c:val>
          <c:extLst>
            <c:ext xmlns:c14="http://schemas.microsoft.com/office/drawing/2007/8/2/chart" uri="{6F2FDCE9-48DA-4B69-8628-5D25D57E5C99}">
              <c14:invertSolidFillFmt>
                <c14:spPr xmlns:c14="http://schemas.microsoft.com/office/drawing/2007/8/2/chart">
                  <a:solidFill>
                    <a:srgbClr val="FF0000"/>
                  </a:solidFill>
                  <a:ln w="6350">
                    <a:solidFill>
                      <a:schemeClr val="tx1"/>
                    </a:solidFill>
                  </a:ln>
                  <a:effectLst/>
                </c14:spPr>
              </c14:invertSolidFillFmt>
            </c:ext>
            <c:ext xmlns:c16="http://schemas.microsoft.com/office/drawing/2014/chart" uri="{C3380CC4-5D6E-409C-BE32-E72D297353CC}">
              <c16:uniqueId val="{00000000-638C-4B36-8CE5-6499FCDC731E}"/>
            </c:ext>
          </c:extLst>
        </c:ser>
        <c:dLbls>
          <c:showLegendKey val="0"/>
          <c:showVal val="0"/>
          <c:showCatName val="0"/>
          <c:showSerName val="0"/>
          <c:showPercent val="0"/>
          <c:showBubbleSize val="0"/>
        </c:dLbls>
        <c:gapWidth val="219"/>
        <c:overlap val="-27"/>
        <c:axId val="504150328"/>
        <c:axId val="504150720"/>
      </c:barChart>
      <c:dateAx>
        <c:axId val="504150328"/>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50720"/>
        <c:crosses val="autoZero"/>
        <c:auto val="1"/>
        <c:lblOffset val="100"/>
        <c:baseTimeUnit val="months"/>
        <c:majorUnit val="6"/>
        <c:majorTimeUnit val="months"/>
      </c:dateAx>
      <c:valAx>
        <c:axId val="50415072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50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Other!$B$1</c:f>
              <c:strCache>
                <c:ptCount val="1"/>
                <c:pt idx="0">
                  <c:v>New Orders - Manufacturing</c:v>
                </c:pt>
              </c:strCache>
            </c:strRef>
          </c:tx>
          <c:spPr>
            <a:ln w="28575" cap="rnd">
              <a:solidFill>
                <a:schemeClr val="accent1"/>
              </a:solidFill>
              <a:round/>
            </a:ln>
            <a:effectLst/>
          </c:spPr>
          <c:marker>
            <c:symbol val="none"/>
          </c:marker>
          <c:cat>
            <c:numRef>
              <c:f>Other!$A$6:$A$350</c:f>
              <c:numCache>
                <c:formatCode>m/d/yy</c:formatCode>
                <c:ptCount val="345"/>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numCache>
            </c:numRef>
          </c:cat>
          <c:val>
            <c:numRef>
              <c:f>Other!$B$6:$B$350</c:f>
              <c:numCache>
                <c:formatCode>#,##0</c:formatCode>
                <c:ptCount val="345"/>
                <c:pt idx="0">
                  <c:v>82864</c:v>
                </c:pt>
                <c:pt idx="1">
                  <c:v>86424</c:v>
                </c:pt>
                <c:pt idx="2">
                  <c:v>90805</c:v>
                </c:pt>
                <c:pt idx="3">
                  <c:v>91120</c:v>
                </c:pt>
                <c:pt idx="4">
                  <c:v>88649</c:v>
                </c:pt>
                <c:pt idx="5">
                  <c:v>87342</c:v>
                </c:pt>
                <c:pt idx="6">
                  <c:v>85995</c:v>
                </c:pt>
                <c:pt idx="7">
                  <c:v>86668</c:v>
                </c:pt>
                <c:pt idx="8">
                  <c:v>93051</c:v>
                </c:pt>
                <c:pt idx="9">
                  <c:v>87613</c:v>
                </c:pt>
                <c:pt idx="10">
                  <c:v>91480</c:v>
                </c:pt>
                <c:pt idx="11">
                  <c:v>85937</c:v>
                </c:pt>
                <c:pt idx="12">
                  <c:v>92361</c:v>
                </c:pt>
                <c:pt idx="13">
                  <c:v>90529</c:v>
                </c:pt>
                <c:pt idx="14">
                  <c:v>91131</c:v>
                </c:pt>
                <c:pt idx="15">
                  <c:v>89831</c:v>
                </c:pt>
                <c:pt idx="16">
                  <c:v>93493</c:v>
                </c:pt>
                <c:pt idx="17">
                  <c:v>92023</c:v>
                </c:pt>
                <c:pt idx="18">
                  <c:v>94226</c:v>
                </c:pt>
                <c:pt idx="19">
                  <c:v>90477</c:v>
                </c:pt>
                <c:pt idx="20">
                  <c:v>94772</c:v>
                </c:pt>
                <c:pt idx="21">
                  <c:v>92009</c:v>
                </c:pt>
                <c:pt idx="22">
                  <c:v>94944</c:v>
                </c:pt>
                <c:pt idx="23">
                  <c:v>98647</c:v>
                </c:pt>
                <c:pt idx="24">
                  <c:v>97358</c:v>
                </c:pt>
                <c:pt idx="25">
                  <c:v>96706</c:v>
                </c:pt>
                <c:pt idx="26">
                  <c:v>99591</c:v>
                </c:pt>
                <c:pt idx="27">
                  <c:v>101522</c:v>
                </c:pt>
                <c:pt idx="28">
                  <c:v>103928</c:v>
                </c:pt>
                <c:pt idx="29">
                  <c:v>103538</c:v>
                </c:pt>
                <c:pt idx="30">
                  <c:v>103907</c:v>
                </c:pt>
                <c:pt idx="31">
                  <c:v>104150</c:v>
                </c:pt>
                <c:pt idx="32">
                  <c:v>107573</c:v>
                </c:pt>
                <c:pt idx="33">
                  <c:v>107130</c:v>
                </c:pt>
                <c:pt idx="34">
                  <c:v>108697</c:v>
                </c:pt>
                <c:pt idx="35">
                  <c:v>107635</c:v>
                </c:pt>
                <c:pt idx="36">
                  <c:v>110588</c:v>
                </c:pt>
                <c:pt idx="37">
                  <c:v>110175</c:v>
                </c:pt>
                <c:pt idx="38">
                  <c:v>108608</c:v>
                </c:pt>
                <c:pt idx="39">
                  <c:v>111257</c:v>
                </c:pt>
                <c:pt idx="40">
                  <c:v>108462</c:v>
                </c:pt>
                <c:pt idx="41">
                  <c:v>107267</c:v>
                </c:pt>
                <c:pt idx="42">
                  <c:v>112114</c:v>
                </c:pt>
                <c:pt idx="43">
                  <c:v>116838</c:v>
                </c:pt>
                <c:pt idx="44">
                  <c:v>112366</c:v>
                </c:pt>
                <c:pt idx="45">
                  <c:v>113784</c:v>
                </c:pt>
                <c:pt idx="46">
                  <c:v>119874</c:v>
                </c:pt>
                <c:pt idx="47">
                  <c:v>114288</c:v>
                </c:pt>
                <c:pt idx="48">
                  <c:v>109375</c:v>
                </c:pt>
                <c:pt idx="49">
                  <c:v>122567</c:v>
                </c:pt>
                <c:pt idx="50">
                  <c:v>112882</c:v>
                </c:pt>
                <c:pt idx="51">
                  <c:v>119613</c:v>
                </c:pt>
                <c:pt idx="52">
                  <c:v>118924</c:v>
                </c:pt>
                <c:pt idx="53">
                  <c:v>117941</c:v>
                </c:pt>
                <c:pt idx="54">
                  <c:v>112297</c:v>
                </c:pt>
                <c:pt idx="55">
                  <c:v>118848</c:v>
                </c:pt>
                <c:pt idx="56">
                  <c:v>119956</c:v>
                </c:pt>
                <c:pt idx="57">
                  <c:v>124724</c:v>
                </c:pt>
                <c:pt idx="58">
                  <c:v>117137</c:v>
                </c:pt>
                <c:pt idx="59">
                  <c:v>114626</c:v>
                </c:pt>
                <c:pt idx="60">
                  <c:v>122876</c:v>
                </c:pt>
                <c:pt idx="61">
                  <c:v>119668</c:v>
                </c:pt>
                <c:pt idx="62">
                  <c:v>125615</c:v>
                </c:pt>
                <c:pt idx="63">
                  <c:v>120972</c:v>
                </c:pt>
                <c:pt idx="64">
                  <c:v>126186</c:v>
                </c:pt>
                <c:pt idx="65">
                  <c:v>127337</c:v>
                </c:pt>
                <c:pt idx="66">
                  <c:v>127334</c:v>
                </c:pt>
                <c:pt idx="67">
                  <c:v>128051</c:v>
                </c:pt>
                <c:pt idx="68">
                  <c:v>128062</c:v>
                </c:pt>
                <c:pt idx="69">
                  <c:v>139761</c:v>
                </c:pt>
                <c:pt idx="70">
                  <c:v>122759</c:v>
                </c:pt>
                <c:pt idx="71">
                  <c:v>125004</c:v>
                </c:pt>
                <c:pt idx="72">
                  <c:v>129378</c:v>
                </c:pt>
                <c:pt idx="73">
                  <c:v>124823</c:v>
                </c:pt>
                <c:pt idx="74">
                  <c:v>129329</c:v>
                </c:pt>
                <c:pt idx="75">
                  <c:v>128089</c:v>
                </c:pt>
                <c:pt idx="76">
                  <c:v>123912</c:v>
                </c:pt>
                <c:pt idx="77">
                  <c:v>122090</c:v>
                </c:pt>
                <c:pt idx="78">
                  <c:v>127658</c:v>
                </c:pt>
                <c:pt idx="79">
                  <c:v>129434</c:v>
                </c:pt>
                <c:pt idx="80">
                  <c:v>125301</c:v>
                </c:pt>
                <c:pt idx="81">
                  <c:v>128665</c:v>
                </c:pt>
                <c:pt idx="82">
                  <c:v>124510</c:v>
                </c:pt>
                <c:pt idx="83">
                  <c:v>132005</c:v>
                </c:pt>
                <c:pt idx="84">
                  <c:v>129227</c:v>
                </c:pt>
                <c:pt idx="85">
                  <c:v>129753</c:v>
                </c:pt>
                <c:pt idx="86">
                  <c:v>128317</c:v>
                </c:pt>
                <c:pt idx="87">
                  <c:v>130315</c:v>
                </c:pt>
                <c:pt idx="88">
                  <c:v>127679</c:v>
                </c:pt>
                <c:pt idx="89">
                  <c:v>134617</c:v>
                </c:pt>
                <c:pt idx="90">
                  <c:v>133941</c:v>
                </c:pt>
                <c:pt idx="91">
                  <c:v>133870</c:v>
                </c:pt>
                <c:pt idx="92">
                  <c:v>139509</c:v>
                </c:pt>
                <c:pt idx="93">
                  <c:v>131897</c:v>
                </c:pt>
                <c:pt idx="94">
                  <c:v>141778</c:v>
                </c:pt>
                <c:pt idx="95">
                  <c:v>144856</c:v>
                </c:pt>
                <c:pt idx="96">
                  <c:v>130377</c:v>
                </c:pt>
                <c:pt idx="97">
                  <c:v>137161</c:v>
                </c:pt>
                <c:pt idx="98">
                  <c:v>139928</c:v>
                </c:pt>
                <c:pt idx="99">
                  <c:v>135833</c:v>
                </c:pt>
                <c:pt idx="100">
                  <c:v>165607</c:v>
                </c:pt>
                <c:pt idx="101">
                  <c:v>137103</c:v>
                </c:pt>
                <c:pt idx="102">
                  <c:v>138771</c:v>
                </c:pt>
                <c:pt idx="103">
                  <c:v>145618</c:v>
                </c:pt>
                <c:pt idx="104">
                  <c:v>134557</c:v>
                </c:pt>
                <c:pt idx="105">
                  <c:v>139206</c:v>
                </c:pt>
                <c:pt idx="106">
                  <c:v>137810</c:v>
                </c:pt>
                <c:pt idx="107">
                  <c:v>129101</c:v>
                </c:pt>
                <c:pt idx="108">
                  <c:v>130032</c:v>
                </c:pt>
                <c:pt idx="109">
                  <c:v>131606</c:v>
                </c:pt>
                <c:pt idx="110">
                  <c:v>123025</c:v>
                </c:pt>
                <c:pt idx="111">
                  <c:v>126796</c:v>
                </c:pt>
                <c:pt idx="112">
                  <c:v>126051</c:v>
                </c:pt>
                <c:pt idx="113">
                  <c:v>120027</c:v>
                </c:pt>
                <c:pt idx="114">
                  <c:v>120481</c:v>
                </c:pt>
                <c:pt idx="115">
                  <c:v>115746</c:v>
                </c:pt>
                <c:pt idx="116">
                  <c:v>122937</c:v>
                </c:pt>
                <c:pt idx="117">
                  <c:v>114240</c:v>
                </c:pt>
                <c:pt idx="118">
                  <c:v>114782</c:v>
                </c:pt>
                <c:pt idx="119">
                  <c:v>112406</c:v>
                </c:pt>
                <c:pt idx="120">
                  <c:v>122233</c:v>
                </c:pt>
                <c:pt idx="121">
                  <c:v>118940</c:v>
                </c:pt>
                <c:pt idx="122">
                  <c:v>118664</c:v>
                </c:pt>
                <c:pt idx="123">
                  <c:v>119235</c:v>
                </c:pt>
                <c:pt idx="124">
                  <c:v>113950</c:v>
                </c:pt>
                <c:pt idx="125">
                  <c:v>120438</c:v>
                </c:pt>
                <c:pt idx="126">
                  <c:v>122932</c:v>
                </c:pt>
                <c:pt idx="127">
                  <c:v>115066</c:v>
                </c:pt>
                <c:pt idx="128">
                  <c:v>115754</c:v>
                </c:pt>
                <c:pt idx="129">
                  <c:v>117084</c:v>
                </c:pt>
                <c:pt idx="130">
                  <c:v>112831</c:v>
                </c:pt>
                <c:pt idx="131">
                  <c:v>116048</c:v>
                </c:pt>
                <c:pt idx="132">
                  <c:v>121274</c:v>
                </c:pt>
                <c:pt idx="133">
                  <c:v>119034</c:v>
                </c:pt>
                <c:pt idx="134">
                  <c:v>117051</c:v>
                </c:pt>
                <c:pt idx="135">
                  <c:v>118306</c:v>
                </c:pt>
                <c:pt idx="136">
                  <c:v>119931</c:v>
                </c:pt>
                <c:pt idx="137">
                  <c:v>117404</c:v>
                </c:pt>
                <c:pt idx="138">
                  <c:v>119296</c:v>
                </c:pt>
                <c:pt idx="139">
                  <c:v>121830</c:v>
                </c:pt>
                <c:pt idx="140">
                  <c:v>127269</c:v>
                </c:pt>
                <c:pt idx="141">
                  <c:v>125879</c:v>
                </c:pt>
                <c:pt idx="142">
                  <c:v>126251</c:v>
                </c:pt>
                <c:pt idx="143">
                  <c:v>124471</c:v>
                </c:pt>
                <c:pt idx="144">
                  <c:v>126174</c:v>
                </c:pt>
                <c:pt idx="145">
                  <c:v>132836</c:v>
                </c:pt>
                <c:pt idx="146">
                  <c:v>127885</c:v>
                </c:pt>
                <c:pt idx="147">
                  <c:v>128297</c:v>
                </c:pt>
                <c:pt idx="148">
                  <c:v>129908</c:v>
                </c:pt>
                <c:pt idx="149">
                  <c:v>134104</c:v>
                </c:pt>
                <c:pt idx="150">
                  <c:v>127182</c:v>
                </c:pt>
                <c:pt idx="151">
                  <c:v>132132</c:v>
                </c:pt>
                <c:pt idx="152">
                  <c:v>129177</c:v>
                </c:pt>
                <c:pt idx="153">
                  <c:v>135582</c:v>
                </c:pt>
                <c:pt idx="154">
                  <c:v>135216</c:v>
                </c:pt>
                <c:pt idx="155">
                  <c:v>137025</c:v>
                </c:pt>
                <c:pt idx="156">
                  <c:v>138279</c:v>
                </c:pt>
                <c:pt idx="157">
                  <c:v>130044</c:v>
                </c:pt>
                <c:pt idx="158">
                  <c:v>135587</c:v>
                </c:pt>
                <c:pt idx="159">
                  <c:v>148200</c:v>
                </c:pt>
                <c:pt idx="160">
                  <c:v>151407</c:v>
                </c:pt>
                <c:pt idx="161">
                  <c:v>136292</c:v>
                </c:pt>
                <c:pt idx="162">
                  <c:v>145606</c:v>
                </c:pt>
                <c:pt idx="163">
                  <c:v>142335</c:v>
                </c:pt>
                <c:pt idx="164">
                  <c:v>148450</c:v>
                </c:pt>
                <c:pt idx="165">
                  <c:v>160126</c:v>
                </c:pt>
                <c:pt idx="166">
                  <c:v>159419</c:v>
                </c:pt>
                <c:pt idx="167">
                  <c:v>146814</c:v>
                </c:pt>
                <c:pt idx="168">
                  <c:v>156798</c:v>
                </c:pt>
                <c:pt idx="169">
                  <c:v>163893</c:v>
                </c:pt>
                <c:pt idx="170">
                  <c:v>154052</c:v>
                </c:pt>
                <c:pt idx="171">
                  <c:v>153173</c:v>
                </c:pt>
                <c:pt idx="172">
                  <c:v>158892</c:v>
                </c:pt>
                <c:pt idx="173">
                  <c:v>152012</c:v>
                </c:pt>
                <c:pt idx="174">
                  <c:v>150763</c:v>
                </c:pt>
                <c:pt idx="175">
                  <c:v>176642</c:v>
                </c:pt>
                <c:pt idx="176">
                  <c:v>158286</c:v>
                </c:pt>
                <c:pt idx="177">
                  <c:v>165969</c:v>
                </c:pt>
                <c:pt idx="178">
                  <c:v>166342</c:v>
                </c:pt>
                <c:pt idx="179">
                  <c:v>163751</c:v>
                </c:pt>
                <c:pt idx="180">
                  <c:v>161671</c:v>
                </c:pt>
                <c:pt idx="181">
                  <c:v>169322</c:v>
                </c:pt>
                <c:pt idx="182">
                  <c:v>173518</c:v>
                </c:pt>
                <c:pt idx="183">
                  <c:v>168025</c:v>
                </c:pt>
                <c:pt idx="184">
                  <c:v>168611</c:v>
                </c:pt>
                <c:pt idx="185">
                  <c:v>172388</c:v>
                </c:pt>
                <c:pt idx="186">
                  <c:v>174874</c:v>
                </c:pt>
                <c:pt idx="187">
                  <c:v>167739</c:v>
                </c:pt>
                <c:pt idx="188">
                  <c:v>171492</c:v>
                </c:pt>
                <c:pt idx="189">
                  <c:v>168015</c:v>
                </c:pt>
                <c:pt idx="190">
                  <c:v>186161</c:v>
                </c:pt>
                <c:pt idx="191">
                  <c:v>180937</c:v>
                </c:pt>
                <c:pt idx="192">
                  <c:v>177311</c:v>
                </c:pt>
                <c:pt idx="193">
                  <c:v>179954</c:v>
                </c:pt>
                <c:pt idx="194">
                  <c:v>175116</c:v>
                </c:pt>
                <c:pt idx="195">
                  <c:v>172674</c:v>
                </c:pt>
                <c:pt idx="196">
                  <c:v>174406</c:v>
                </c:pt>
                <c:pt idx="197">
                  <c:v>167115</c:v>
                </c:pt>
                <c:pt idx="198">
                  <c:v>161832</c:v>
                </c:pt>
                <c:pt idx="199">
                  <c:v>162265</c:v>
                </c:pt>
                <c:pt idx="200">
                  <c:v>141208</c:v>
                </c:pt>
                <c:pt idx="201">
                  <c:v>132791</c:v>
                </c:pt>
                <c:pt idx="202">
                  <c:v>127770</c:v>
                </c:pt>
                <c:pt idx="203">
                  <c:v>108060</c:v>
                </c:pt>
                <c:pt idx="204">
                  <c:v>105786</c:v>
                </c:pt>
                <c:pt idx="205">
                  <c:v>103874</c:v>
                </c:pt>
                <c:pt idx="206">
                  <c:v>105714</c:v>
                </c:pt>
                <c:pt idx="207">
                  <c:v>108460</c:v>
                </c:pt>
                <c:pt idx="208">
                  <c:v>107285</c:v>
                </c:pt>
                <c:pt idx="209">
                  <c:v>111891</c:v>
                </c:pt>
                <c:pt idx="210">
                  <c:v>114790</c:v>
                </c:pt>
                <c:pt idx="211">
                  <c:v>114607</c:v>
                </c:pt>
                <c:pt idx="212">
                  <c:v>117510</c:v>
                </c:pt>
                <c:pt idx="213">
                  <c:v>115535</c:v>
                </c:pt>
                <c:pt idx="214">
                  <c:v>115220</c:v>
                </c:pt>
                <c:pt idx="215">
                  <c:v>134068</c:v>
                </c:pt>
                <c:pt idx="216">
                  <c:v>135156</c:v>
                </c:pt>
                <c:pt idx="217">
                  <c:v>135916</c:v>
                </c:pt>
                <c:pt idx="218">
                  <c:v>135504</c:v>
                </c:pt>
                <c:pt idx="219">
                  <c:v>141747</c:v>
                </c:pt>
                <c:pt idx="220">
                  <c:v>137251</c:v>
                </c:pt>
                <c:pt idx="221">
                  <c:v>137391</c:v>
                </c:pt>
                <c:pt idx="222">
                  <c:v>141407</c:v>
                </c:pt>
                <c:pt idx="223">
                  <c:v>151095</c:v>
                </c:pt>
                <c:pt idx="224">
                  <c:v>142783</c:v>
                </c:pt>
                <c:pt idx="225">
                  <c:v>147906</c:v>
                </c:pt>
                <c:pt idx="226">
                  <c:v>143125</c:v>
                </c:pt>
                <c:pt idx="227">
                  <c:v>152922</c:v>
                </c:pt>
                <c:pt idx="228">
                  <c:v>146046</c:v>
                </c:pt>
                <c:pt idx="229">
                  <c:v>160009</c:v>
                </c:pt>
                <c:pt idx="230">
                  <c:v>150734</c:v>
                </c:pt>
                <c:pt idx="231">
                  <c:v>157155</c:v>
                </c:pt>
                <c:pt idx="232">
                  <c:v>150694</c:v>
                </c:pt>
                <c:pt idx="233">
                  <c:v>153291</c:v>
                </c:pt>
                <c:pt idx="234">
                  <c:v>164357</c:v>
                </c:pt>
                <c:pt idx="235">
                  <c:v>153647</c:v>
                </c:pt>
                <c:pt idx="236">
                  <c:v>157127</c:v>
                </c:pt>
                <c:pt idx="237">
                  <c:v>162380</c:v>
                </c:pt>
                <c:pt idx="238">
                  <c:v>170486</c:v>
                </c:pt>
                <c:pt idx="239">
                  <c:v>169869</c:v>
                </c:pt>
                <c:pt idx="240">
                  <c:v>173639</c:v>
                </c:pt>
                <c:pt idx="241">
                  <c:v>164506</c:v>
                </c:pt>
                <c:pt idx="242">
                  <c:v>161577</c:v>
                </c:pt>
                <c:pt idx="243">
                  <c:v>163899</c:v>
                </c:pt>
                <c:pt idx="244">
                  <c:v>159806</c:v>
                </c:pt>
                <c:pt idx="245">
                  <c:v>167134</c:v>
                </c:pt>
                <c:pt idx="246">
                  <c:v>147480</c:v>
                </c:pt>
                <c:pt idx="247">
                  <c:v>161573</c:v>
                </c:pt>
                <c:pt idx="248">
                  <c:v>163826</c:v>
                </c:pt>
                <c:pt idx="249">
                  <c:v>157271</c:v>
                </c:pt>
                <c:pt idx="250">
                  <c:v>175437</c:v>
                </c:pt>
                <c:pt idx="251">
                  <c:v>163977</c:v>
                </c:pt>
                <c:pt idx="252">
                  <c:v>171886</c:v>
                </c:pt>
                <c:pt idx="253">
                  <c:v>157898</c:v>
                </c:pt>
                <c:pt idx="254">
                  <c:v>167999</c:v>
                </c:pt>
                <c:pt idx="255">
                  <c:v>175159</c:v>
                </c:pt>
                <c:pt idx="256">
                  <c:v>187171</c:v>
                </c:pt>
                <c:pt idx="257">
                  <c:v>163879</c:v>
                </c:pt>
                <c:pt idx="258">
                  <c:v>162223</c:v>
                </c:pt>
                <c:pt idx="259">
                  <c:v>178822</c:v>
                </c:pt>
                <c:pt idx="260">
                  <c:v>173141</c:v>
                </c:pt>
                <c:pt idx="261">
                  <c:v>177119</c:v>
                </c:pt>
                <c:pt idx="262">
                  <c:v>175160</c:v>
                </c:pt>
                <c:pt idx="263">
                  <c:v>166758</c:v>
                </c:pt>
                <c:pt idx="264">
                  <c:v>168991</c:v>
                </c:pt>
                <c:pt idx="265">
                  <c:v>173176</c:v>
                </c:pt>
                <c:pt idx="266">
                  <c:v>174125</c:v>
                </c:pt>
                <c:pt idx="267">
                  <c:v>166404</c:v>
                </c:pt>
                <c:pt idx="268">
                  <c:v>177673</c:v>
                </c:pt>
                <c:pt idx="269">
                  <c:v>239368</c:v>
                </c:pt>
                <c:pt idx="270">
                  <c:v>170619</c:v>
                </c:pt>
                <c:pt idx="271">
                  <c:v>175815</c:v>
                </c:pt>
                <c:pt idx="272">
                  <c:v>166867</c:v>
                </c:pt>
                <c:pt idx="273">
                  <c:v>167086</c:v>
                </c:pt>
                <c:pt idx="274">
                  <c:v>159597</c:v>
                </c:pt>
                <c:pt idx="275">
                  <c:v>157463</c:v>
                </c:pt>
                <c:pt idx="276">
                  <c:v>154298</c:v>
                </c:pt>
                <c:pt idx="277">
                  <c:v>162504</c:v>
                </c:pt>
                <c:pt idx="278">
                  <c:v>161812</c:v>
                </c:pt>
                <c:pt idx="279">
                  <c:v>149281</c:v>
                </c:pt>
                <c:pt idx="280">
                  <c:v>168996</c:v>
                </c:pt>
                <c:pt idx="281">
                  <c:v>161459</c:v>
                </c:pt>
                <c:pt idx="282">
                  <c:v>158114</c:v>
                </c:pt>
                <c:pt idx="283">
                  <c:v>151480</c:v>
                </c:pt>
                <c:pt idx="284">
                  <c:v>157257</c:v>
                </c:pt>
                <c:pt idx="285">
                  <c:v>161313</c:v>
                </c:pt>
                <c:pt idx="286">
                  <c:v>154376</c:v>
                </c:pt>
                <c:pt idx="287">
                  <c:v>157726</c:v>
                </c:pt>
                <c:pt idx="288">
                  <c:v>151625</c:v>
                </c:pt>
                <c:pt idx="289">
                  <c:v>150655</c:v>
                </c:pt>
                <c:pt idx="290">
                  <c:v>159038</c:v>
                </c:pt>
                <c:pt idx="291">
                  <c:v>156740</c:v>
                </c:pt>
                <c:pt idx="292">
                  <c:v>147954</c:v>
                </c:pt>
                <c:pt idx="293">
                  <c:v>149687</c:v>
                </c:pt>
                <c:pt idx="294">
                  <c:v>158627</c:v>
                </c:pt>
                <c:pt idx="295">
                  <c:v>148303</c:v>
                </c:pt>
                <c:pt idx="296">
                  <c:v>174438</c:v>
                </c:pt>
                <c:pt idx="297">
                  <c:v>156039</c:v>
                </c:pt>
                <c:pt idx="298">
                  <c:v>151674</c:v>
                </c:pt>
                <c:pt idx="299">
                  <c:v>153023</c:v>
                </c:pt>
                <c:pt idx="300">
                  <c:v>151001</c:v>
                </c:pt>
                <c:pt idx="301">
                  <c:v>157865</c:v>
                </c:pt>
                <c:pt idx="302">
                  <c:v>160341</c:v>
                </c:pt>
                <c:pt idx="303">
                  <c:v>156192</c:v>
                </c:pt>
                <c:pt idx="304">
                  <c:v>174911</c:v>
                </c:pt>
                <c:pt idx="305">
                  <c:v>158851</c:v>
                </c:pt>
                <c:pt idx="306">
                  <c:v>158587</c:v>
                </c:pt>
                <c:pt idx="307">
                  <c:v>169627</c:v>
                </c:pt>
                <c:pt idx="308">
                  <c:v>164246</c:v>
                </c:pt>
                <c:pt idx="309">
                  <c:v>170535</c:v>
                </c:pt>
                <c:pt idx="310">
                  <c:v>169117</c:v>
                </c:pt>
                <c:pt idx="311">
                  <c:v>158706</c:v>
                </c:pt>
                <c:pt idx="312">
                  <c:v>163066</c:v>
                </c:pt>
                <c:pt idx="313">
                  <c:v>171976</c:v>
                </c:pt>
                <c:pt idx="314">
                  <c:v>170999</c:v>
                </c:pt>
                <c:pt idx="315">
                  <c:v>175471</c:v>
                </c:pt>
                <c:pt idx="316">
                  <c:v>173527</c:v>
                </c:pt>
                <c:pt idx="317">
                  <c:v>164780</c:v>
                </c:pt>
                <c:pt idx="318">
                  <c:v>179888</c:v>
                </c:pt>
                <c:pt idx="319">
                  <c:v>176616</c:v>
                </c:pt>
                <c:pt idx="320">
                  <c:v>170058</c:v>
                </c:pt>
                <c:pt idx="321">
                  <c:v>160838</c:v>
                </c:pt>
                <c:pt idx="322">
                  <c:v>172950</c:v>
                </c:pt>
                <c:pt idx="323">
                  <c:v>183707</c:v>
                </c:pt>
                <c:pt idx="324">
                  <c:v>174574</c:v>
                </c:pt>
                <c:pt idx="325">
                  <c:v>186986</c:v>
                </c:pt>
                <c:pt idx="326">
                  <c:v>186141</c:v>
                </c:pt>
                <c:pt idx="327">
                  <c:v>172609</c:v>
                </c:pt>
                <c:pt idx="328">
                  <c:v>176033</c:v>
                </c:pt>
                <c:pt idx="329">
                  <c:v>181883</c:v>
                </c:pt>
                <c:pt idx="330">
                  <c:v>178316</c:v>
                </c:pt>
                <c:pt idx="331">
                  <c:v>178552</c:v>
                </c:pt>
                <c:pt idx="332">
                  <c:v>184702</c:v>
                </c:pt>
                <c:pt idx="333">
                  <c:v>168277</c:v>
                </c:pt>
                <c:pt idx="334">
                  <c:v>175060</c:v>
                </c:pt>
                <c:pt idx="335">
                  <c:v>164144</c:v>
                </c:pt>
                <c:pt idx="336">
                  <c:v>164739</c:v>
                </c:pt>
                <c:pt idx="337">
                  <c:v>125115</c:v>
                </c:pt>
                <c:pt idx="338">
                  <c:v>121997</c:v>
                </c:pt>
                <c:pt idx="339">
                  <c:v>134339</c:v>
                </c:pt>
                <c:pt idx="340">
                  <c:v>135912</c:v>
                </c:pt>
                <c:pt idx="341">
                  <c:v>146079</c:v>
                </c:pt>
                <c:pt idx="342">
                  <c:v>151866</c:v>
                </c:pt>
                <c:pt idx="343">
                  <c:v>154765</c:v>
                </c:pt>
                <c:pt idx="344">
                  <c:v>157040</c:v>
                </c:pt>
              </c:numCache>
            </c:numRef>
          </c:val>
          <c:smooth val="0"/>
          <c:extLst>
            <c:ext xmlns:c16="http://schemas.microsoft.com/office/drawing/2014/chart" uri="{C3380CC4-5D6E-409C-BE32-E72D297353CC}">
              <c16:uniqueId val="{00000000-063F-48DC-B198-BF156B5937A3}"/>
            </c:ext>
          </c:extLst>
        </c:ser>
        <c:dLbls>
          <c:showLegendKey val="0"/>
          <c:showVal val="0"/>
          <c:showCatName val="0"/>
          <c:showSerName val="0"/>
          <c:showPercent val="0"/>
          <c:showBubbleSize val="0"/>
        </c:dLbls>
        <c:smooth val="0"/>
        <c:axId val="504145232"/>
        <c:axId val="504145624"/>
      </c:lineChart>
      <c:dateAx>
        <c:axId val="504145232"/>
        <c:scaling>
          <c:orientation val="minMax"/>
          <c:min val="39814"/>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45624"/>
        <c:crosses val="autoZero"/>
        <c:auto val="1"/>
        <c:lblOffset val="100"/>
        <c:baseTimeUnit val="months"/>
      </c:dateAx>
      <c:valAx>
        <c:axId val="504145624"/>
        <c:scaling>
          <c:orientation val="minMax"/>
          <c:min val="1100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1452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xdr:from>
      <xdr:col>13</xdr:col>
      <xdr:colOff>19050</xdr:colOff>
      <xdr:row>2</xdr:row>
      <xdr:rowOff>19049</xdr:rowOff>
    </xdr:from>
    <xdr:to>
      <xdr:col>15</xdr:col>
      <xdr:colOff>247650</xdr:colOff>
      <xdr:row>7</xdr:row>
      <xdr:rowOff>171449</xdr:rowOff>
    </xdr:to>
    <xdr:graphicFrame macro="">
      <xdr:nvGraphicFramePr>
        <xdr:cNvPr id="4" name="Chart 3">
          <a:extLst>
            <a:ext uri="{FF2B5EF4-FFF2-40B4-BE49-F238E27FC236}">
              <a16:creationId xmlns:a16="http://schemas.microsoft.com/office/drawing/2014/main" id="{556D7116-2274-4640-9DE2-F7AA54C9DF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320279</xdr:colOff>
      <xdr:row>2</xdr:row>
      <xdr:rowOff>19050</xdr:rowOff>
    </xdr:from>
    <xdr:to>
      <xdr:col>19</xdr:col>
      <xdr:colOff>47625</xdr:colOff>
      <xdr:row>7</xdr:row>
      <xdr:rowOff>190500</xdr:rowOff>
    </xdr:to>
    <xdr:graphicFrame macro="">
      <xdr:nvGraphicFramePr>
        <xdr:cNvPr id="5" name="Chart 4">
          <a:extLst>
            <a:ext uri="{FF2B5EF4-FFF2-40B4-BE49-F238E27FC236}">
              <a16:creationId xmlns:a16="http://schemas.microsoft.com/office/drawing/2014/main" id="{721DD2C9-0753-42A5-AF29-DA90C04916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669925</xdr:colOff>
      <xdr:row>330</xdr:row>
      <xdr:rowOff>61912</xdr:rowOff>
    </xdr:from>
    <xdr:to>
      <xdr:col>11</xdr:col>
      <xdr:colOff>276225</xdr:colOff>
      <xdr:row>344</xdr:row>
      <xdr:rowOff>138112</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542925</xdr:colOff>
      <xdr:row>345</xdr:row>
      <xdr:rowOff>80962</xdr:rowOff>
    </xdr:from>
    <xdr:to>
      <xdr:col>11</xdr:col>
      <xdr:colOff>238125</xdr:colOff>
      <xdr:row>359</xdr:row>
      <xdr:rowOff>157162</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660400</xdr:colOff>
      <xdr:row>330</xdr:row>
      <xdr:rowOff>61912</xdr:rowOff>
    </xdr:from>
    <xdr:to>
      <xdr:col>19</xdr:col>
      <xdr:colOff>266700</xdr:colOff>
      <xdr:row>344</xdr:row>
      <xdr:rowOff>138112</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660400</xdr:colOff>
      <xdr:row>346</xdr:row>
      <xdr:rowOff>38099</xdr:rowOff>
    </xdr:from>
    <xdr:to>
      <xdr:col>21</xdr:col>
      <xdr:colOff>476250</xdr:colOff>
      <xdr:row>366</xdr:row>
      <xdr:rowOff>142874</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504825</xdr:colOff>
      <xdr:row>324</xdr:row>
      <xdr:rowOff>61912</xdr:rowOff>
    </xdr:from>
    <xdr:to>
      <xdr:col>11</xdr:col>
      <xdr:colOff>111125</xdr:colOff>
      <xdr:row>338</xdr:row>
      <xdr:rowOff>138112</xdr:rowOff>
    </xdr:to>
    <xdr:graphicFrame macro="">
      <xdr:nvGraphicFramePr>
        <xdr:cNvPr id="2" name="Chart 1">
          <a:extLst>
            <a:ext uri="{FF2B5EF4-FFF2-40B4-BE49-F238E27FC236}">
              <a16:creationId xmlns:a16="http://schemas.microsoft.com/office/drawing/2014/main" id="{86CE98A3-B7E5-4768-A846-8C71FD553E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495300</xdr:colOff>
      <xdr:row>324</xdr:row>
      <xdr:rowOff>61912</xdr:rowOff>
    </xdr:from>
    <xdr:to>
      <xdr:col>19</xdr:col>
      <xdr:colOff>101600</xdr:colOff>
      <xdr:row>338</xdr:row>
      <xdr:rowOff>138112</xdr:rowOff>
    </xdr:to>
    <xdr:graphicFrame macro="">
      <xdr:nvGraphicFramePr>
        <xdr:cNvPr id="4" name="Chart 3">
          <a:extLst>
            <a:ext uri="{FF2B5EF4-FFF2-40B4-BE49-F238E27FC236}">
              <a16:creationId xmlns:a16="http://schemas.microsoft.com/office/drawing/2014/main" id="{C489C063-00BE-488A-AD8D-DA8C821D0F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495300</xdr:colOff>
      <xdr:row>340</xdr:row>
      <xdr:rowOff>38099</xdr:rowOff>
    </xdr:from>
    <xdr:to>
      <xdr:col>21</xdr:col>
      <xdr:colOff>311150</xdr:colOff>
      <xdr:row>360</xdr:row>
      <xdr:rowOff>142874</xdr:rowOff>
    </xdr:to>
    <xdr:graphicFrame macro="">
      <xdr:nvGraphicFramePr>
        <xdr:cNvPr id="5" name="Chart 4">
          <a:extLst>
            <a:ext uri="{FF2B5EF4-FFF2-40B4-BE49-F238E27FC236}">
              <a16:creationId xmlns:a16="http://schemas.microsoft.com/office/drawing/2014/main" id="{3ED6596A-121C-413A-8248-BE9AF3D349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495300</xdr:colOff>
      <xdr:row>340</xdr:row>
      <xdr:rowOff>38100</xdr:rowOff>
    </xdr:from>
    <xdr:to>
      <xdr:col>11</xdr:col>
      <xdr:colOff>101600</xdr:colOff>
      <xdr:row>354</xdr:row>
      <xdr:rowOff>114300</xdr:rowOff>
    </xdr:to>
    <xdr:graphicFrame macro="">
      <xdr:nvGraphicFramePr>
        <xdr:cNvPr id="6" name="Chart 5">
          <a:extLst>
            <a:ext uri="{FF2B5EF4-FFF2-40B4-BE49-F238E27FC236}">
              <a16:creationId xmlns:a16="http://schemas.microsoft.com/office/drawing/2014/main" id="{284B1765-3B17-40CF-A67F-DF5E6CF129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212725</xdr:colOff>
      <xdr:row>329</xdr:row>
      <xdr:rowOff>150812</xdr:rowOff>
    </xdr:from>
    <xdr:to>
      <xdr:col>10</xdr:col>
      <xdr:colOff>517525</xdr:colOff>
      <xdr:row>344</xdr:row>
      <xdr:rowOff>36512</xdr:rowOff>
    </xdr:to>
    <xdr:graphicFrame macro="">
      <xdr:nvGraphicFramePr>
        <xdr:cNvPr id="2" name="Chart 1">
          <a:extLst>
            <a:ext uri="{FF2B5EF4-FFF2-40B4-BE49-F238E27FC236}">
              <a16:creationId xmlns:a16="http://schemas.microsoft.com/office/drawing/2014/main" id="{55553FB9-5710-44C9-A98E-E4278887F5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203200</xdr:colOff>
      <xdr:row>329</xdr:row>
      <xdr:rowOff>150812</xdr:rowOff>
    </xdr:from>
    <xdr:to>
      <xdr:col>18</xdr:col>
      <xdr:colOff>508000</xdr:colOff>
      <xdr:row>344</xdr:row>
      <xdr:rowOff>36512</xdr:rowOff>
    </xdr:to>
    <xdr:graphicFrame macro="">
      <xdr:nvGraphicFramePr>
        <xdr:cNvPr id="3" name="Chart 2">
          <a:extLst>
            <a:ext uri="{FF2B5EF4-FFF2-40B4-BE49-F238E27FC236}">
              <a16:creationId xmlns:a16="http://schemas.microsoft.com/office/drawing/2014/main" id="{A5A6950A-E8DE-4D03-93D4-8683DA798B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203200</xdr:colOff>
      <xdr:row>345</xdr:row>
      <xdr:rowOff>126999</xdr:rowOff>
    </xdr:from>
    <xdr:to>
      <xdr:col>21</xdr:col>
      <xdr:colOff>19050</xdr:colOff>
      <xdr:row>366</xdr:row>
      <xdr:rowOff>41274</xdr:rowOff>
    </xdr:to>
    <xdr:graphicFrame macro="">
      <xdr:nvGraphicFramePr>
        <xdr:cNvPr id="4" name="Chart 3">
          <a:extLst>
            <a:ext uri="{FF2B5EF4-FFF2-40B4-BE49-F238E27FC236}">
              <a16:creationId xmlns:a16="http://schemas.microsoft.com/office/drawing/2014/main" id="{DF23EFD8-A61B-4CF5-B5A6-037CABEABC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203200</xdr:colOff>
      <xdr:row>345</xdr:row>
      <xdr:rowOff>127000</xdr:rowOff>
    </xdr:from>
    <xdr:to>
      <xdr:col>10</xdr:col>
      <xdr:colOff>508000</xdr:colOff>
      <xdr:row>360</xdr:row>
      <xdr:rowOff>12700</xdr:rowOff>
    </xdr:to>
    <xdr:graphicFrame macro="">
      <xdr:nvGraphicFramePr>
        <xdr:cNvPr id="5" name="Chart 4">
          <a:extLst>
            <a:ext uri="{FF2B5EF4-FFF2-40B4-BE49-F238E27FC236}">
              <a16:creationId xmlns:a16="http://schemas.microsoft.com/office/drawing/2014/main" id="{9A728090-E768-4F70-9717-4FEEAB0BC0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492125</xdr:colOff>
      <xdr:row>329</xdr:row>
      <xdr:rowOff>23812</xdr:rowOff>
    </xdr:from>
    <xdr:to>
      <xdr:col>11</xdr:col>
      <xdr:colOff>98425</xdr:colOff>
      <xdr:row>343</xdr:row>
      <xdr:rowOff>100012</xdr:rowOff>
    </xdr:to>
    <xdr:graphicFrame macro="">
      <xdr:nvGraphicFramePr>
        <xdr:cNvPr id="2" name="Chart 1">
          <a:extLst>
            <a:ext uri="{FF2B5EF4-FFF2-40B4-BE49-F238E27FC236}">
              <a16:creationId xmlns:a16="http://schemas.microsoft.com/office/drawing/2014/main" id="{67E05550-D440-4EAA-B821-9A59E21D55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482600</xdr:colOff>
      <xdr:row>329</xdr:row>
      <xdr:rowOff>23812</xdr:rowOff>
    </xdr:from>
    <xdr:to>
      <xdr:col>19</xdr:col>
      <xdr:colOff>88900</xdr:colOff>
      <xdr:row>343</xdr:row>
      <xdr:rowOff>100012</xdr:rowOff>
    </xdr:to>
    <xdr:graphicFrame macro="">
      <xdr:nvGraphicFramePr>
        <xdr:cNvPr id="3" name="Chart 2">
          <a:extLst>
            <a:ext uri="{FF2B5EF4-FFF2-40B4-BE49-F238E27FC236}">
              <a16:creationId xmlns:a16="http://schemas.microsoft.com/office/drawing/2014/main" id="{BA321EBE-7681-4890-8256-6A4628655D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482600</xdr:colOff>
      <xdr:row>344</xdr:row>
      <xdr:rowOff>190499</xdr:rowOff>
    </xdr:from>
    <xdr:to>
      <xdr:col>21</xdr:col>
      <xdr:colOff>298450</xdr:colOff>
      <xdr:row>365</xdr:row>
      <xdr:rowOff>104774</xdr:rowOff>
    </xdr:to>
    <xdr:graphicFrame macro="">
      <xdr:nvGraphicFramePr>
        <xdr:cNvPr id="4" name="Chart 3">
          <a:extLst>
            <a:ext uri="{FF2B5EF4-FFF2-40B4-BE49-F238E27FC236}">
              <a16:creationId xmlns:a16="http://schemas.microsoft.com/office/drawing/2014/main" id="{ADB45416-23EF-4195-BD77-D278A3D589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482600</xdr:colOff>
      <xdr:row>345</xdr:row>
      <xdr:rowOff>0</xdr:rowOff>
    </xdr:from>
    <xdr:to>
      <xdr:col>11</xdr:col>
      <xdr:colOff>88900</xdr:colOff>
      <xdr:row>359</xdr:row>
      <xdr:rowOff>76200</xdr:rowOff>
    </xdr:to>
    <xdr:graphicFrame macro="">
      <xdr:nvGraphicFramePr>
        <xdr:cNvPr id="5" name="Chart 4">
          <a:extLst>
            <a:ext uri="{FF2B5EF4-FFF2-40B4-BE49-F238E27FC236}">
              <a16:creationId xmlns:a16="http://schemas.microsoft.com/office/drawing/2014/main" id="{CE9AF75B-4C50-4D77-9234-BD5FD767DC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535" displayName="Table535" ref="A5:C360" totalsRowShown="0" headerRowDxfId="25" dataDxfId="23" headerRowBorderDxfId="24">
  <autoFilter ref="A5:C360" xr:uid="{00000000-0009-0000-0100-000004000000}"/>
  <tableColumns count="3">
    <tableColumn id="1" xr3:uid="{00000000-0010-0000-0200-000001000000}" name="Date" dataDxfId="22"/>
    <tableColumn id="2" xr3:uid="{00000000-0010-0000-0200-000002000000}" name="New Orders - Nondefense Capital Goods Excluding Aircraft" dataDxfId="21">
      <calculatedColumnFormula>VLOOKUP(A6,Database!A:M,MATCH($A$1,Database!$A$1:$M$1,),)</calculatedColumnFormula>
    </tableColumn>
    <tableColumn id="5" xr3:uid="{00000000-0010-0000-0200-000005000000}" name="mom %" dataDxfId="2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D6CE65B-4973-45A7-B535-419AB90DD93B}" name="Table53514" displayName="Table53514" ref="A5:C360" totalsRowShown="0" headerRowDxfId="19" dataDxfId="17" headerRowBorderDxfId="18">
  <autoFilter ref="A5:C360" xr:uid="{5F09985E-534C-4E78-A535-F91BFE307559}"/>
  <tableColumns count="3">
    <tableColumn id="1" xr3:uid="{B78A9343-4525-4291-A8DB-F151B6025774}" name="Date" dataDxfId="16"/>
    <tableColumn id="2" xr3:uid="{B9AD3C60-7F07-45F1-A7DE-83D4F2D25E1D}" name="Manufacturers' New Orders: Durable Goods" dataDxfId="15">
      <calculatedColumnFormula>VLOOKUP(A6,Database!A:M,MATCH($A$1,Database!$A$1:$M$1,),)</calculatedColumnFormula>
    </tableColumn>
    <tableColumn id="5" xr3:uid="{F9952784-1400-4804-86C5-38852A3851AB}" name="mom %" dataDxfId="1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EB91CC2-6328-4A40-A0C0-FFF335DB3A08}" name="Table5351415" displayName="Table5351415" ref="A5:C360" totalsRowShown="0" headerRowDxfId="13" dataDxfId="11" headerRowBorderDxfId="12">
  <autoFilter ref="A5:C360" xr:uid="{E835AF4E-2274-4040-A335-3BFA33C1CD65}"/>
  <tableColumns count="3">
    <tableColumn id="1" xr3:uid="{9720081A-3F3B-4741-9486-148F8AB5E629}" name="Date" dataDxfId="10"/>
    <tableColumn id="2" xr3:uid="{830B07AF-A95D-467D-82B1-AA3E5E76EC1D}" name="New Orders ex Transport" dataDxfId="9">
      <calculatedColumnFormula>VLOOKUP(A6,Database!A:M,MATCH($A$1,Database!$A$1:$M$1,),)</calculatedColumnFormula>
    </tableColumn>
    <tableColumn id="5" xr3:uid="{B181B58F-3675-43A5-B7E4-CD266053F198}" name="mom %" dataDxfId="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B986BE8-E039-470A-AE18-510AFF322B0E}" name="Table535141516" displayName="Table535141516" ref="A5:C360" totalsRowShown="0" headerRowDxfId="7" dataDxfId="5" headerRowBorderDxfId="6">
  <autoFilter ref="A5:C360" xr:uid="{2BA0BB73-42B5-4817-AEFA-F909571195A8}"/>
  <tableColumns count="3">
    <tableColumn id="1" xr3:uid="{746C9A56-1739-4E4D-B449-ACC072DB5598}" name="Date" dataDxfId="4"/>
    <tableColumn id="2" xr3:uid="{822D5A22-5560-4ED7-83A8-8154D5315E86}" name="Durable Goods" dataDxfId="3">
      <calculatedColumnFormula>VLOOKUP(A6,Database!A:M,MATCH($A$1,Database!$A$1:$M$1,),)</calculatedColumnFormula>
    </tableColumn>
    <tableColumn id="5" xr3:uid="{40A38EF1-1AAC-4E1C-9568-71F68BFD97E6}" name="mom %"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fred.stlouisfed.org/series/NEWORDER" TargetMode="External"/><Relationship Id="rId3" Type="http://schemas.openxmlformats.org/officeDocument/2006/relationships/hyperlink" Target="https://fred.stlouisfed.org/series/NEWORDER" TargetMode="External"/><Relationship Id="rId7" Type="http://schemas.openxmlformats.org/officeDocument/2006/relationships/hyperlink" Target="https://fred.stlouisfed.org/series/NEWORDER" TargetMode="External"/><Relationship Id="rId12" Type="http://schemas.openxmlformats.org/officeDocument/2006/relationships/drawing" Target="../drawings/drawing1.xml"/><Relationship Id="rId2" Type="http://schemas.openxmlformats.org/officeDocument/2006/relationships/hyperlink" Target="https://fred.stlouisfed.org/series/NEWORDER" TargetMode="External"/><Relationship Id="rId1" Type="http://schemas.openxmlformats.org/officeDocument/2006/relationships/hyperlink" Target="https://www.census.gov/manufacturing/m3/definitions/index.html" TargetMode="External"/><Relationship Id="rId6" Type="http://schemas.openxmlformats.org/officeDocument/2006/relationships/hyperlink" Target="https://fred.stlouisfed.org/series/NEWORDER" TargetMode="External"/><Relationship Id="rId11" Type="http://schemas.openxmlformats.org/officeDocument/2006/relationships/hyperlink" Target="https://fred.stlouisfed.org/series/NEWORDER" TargetMode="External"/><Relationship Id="rId5" Type="http://schemas.openxmlformats.org/officeDocument/2006/relationships/hyperlink" Target="https://fred.stlouisfed.org/series/NEWORDER" TargetMode="External"/><Relationship Id="rId10" Type="http://schemas.openxmlformats.org/officeDocument/2006/relationships/hyperlink" Target="https://fred.stlouisfed.org/series/NEWORDER" TargetMode="External"/><Relationship Id="rId4" Type="http://schemas.openxmlformats.org/officeDocument/2006/relationships/hyperlink" Target="https://fred.stlouisfed.org/series/NEWORDER" TargetMode="External"/><Relationship Id="rId9" Type="http://schemas.openxmlformats.org/officeDocument/2006/relationships/hyperlink" Target="https://fred.stlouisfed.org/series/NEWORDER"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B665D-2DAC-4364-838A-CE28D9F465A4}">
  <sheetPr>
    <tabColor rgb="FFFFFF00"/>
  </sheetPr>
  <dimension ref="B1:V28"/>
  <sheetViews>
    <sheetView tabSelected="1" zoomScale="120" zoomScaleNormal="120" workbookViewId="0">
      <selection activeCell="B29" sqref="B29"/>
    </sheetView>
  </sheetViews>
  <sheetFormatPr baseColWidth="10" defaultColWidth="9.1640625" defaultRowHeight="15"/>
  <cols>
    <col min="1" max="1" width="9.1640625" style="2"/>
    <col min="2" max="10" width="12.83203125" style="2" customWidth="1"/>
    <col min="11" max="13" width="3.5" style="2" customWidth="1"/>
    <col min="14" max="14" width="21.33203125" style="2" customWidth="1"/>
    <col min="15" max="15" width="15.6640625" style="2" customWidth="1"/>
    <col min="16" max="17" width="10.6640625" style="2" bestFit="1" customWidth="1"/>
    <col min="18" max="18" width="9.1640625" style="2"/>
    <col min="19" max="19" width="11.5" style="2" customWidth="1"/>
    <col min="20" max="16384" width="9.1640625" style="2"/>
  </cols>
  <sheetData>
    <row r="1" spans="2:22">
      <c r="B1" s="137"/>
      <c r="C1" s="137"/>
      <c r="D1" s="137"/>
      <c r="E1" s="137"/>
      <c r="F1" s="137"/>
      <c r="G1" s="137"/>
      <c r="H1" s="137"/>
      <c r="I1" s="137"/>
      <c r="J1" s="137"/>
    </row>
    <row r="2" spans="2:22" ht="16" thickBot="1">
      <c r="B2" s="138"/>
      <c r="C2" s="138"/>
      <c r="D2" s="138"/>
      <c r="E2" s="138"/>
      <c r="F2" s="138"/>
      <c r="G2" s="138"/>
      <c r="H2" s="138"/>
      <c r="I2" s="138"/>
      <c r="J2" s="138"/>
    </row>
    <row r="3" spans="2:22" ht="16" thickBot="1">
      <c r="B3" s="139" t="s">
        <v>84</v>
      </c>
      <c r="C3" s="140"/>
      <c r="D3" s="140"/>
      <c r="E3" s="140"/>
      <c r="F3" s="140"/>
      <c r="G3" s="140"/>
      <c r="H3" s="140"/>
      <c r="I3" s="140"/>
      <c r="J3" s="141"/>
    </row>
    <row r="5" spans="2:22">
      <c r="B5" s="131" t="s">
        <v>75</v>
      </c>
      <c r="C5" s="142"/>
      <c r="D5" s="142"/>
      <c r="E5" s="142"/>
      <c r="F5" s="142"/>
      <c r="G5" s="142"/>
      <c r="H5" s="142"/>
      <c r="I5" s="142"/>
      <c r="J5" s="143"/>
    </row>
    <row r="7" spans="2:22" ht="129" customHeight="1">
      <c r="B7" s="144" t="s">
        <v>83</v>
      </c>
      <c r="C7" s="129"/>
      <c r="D7" s="129"/>
      <c r="E7" s="129"/>
      <c r="F7" s="129"/>
      <c r="G7" s="129"/>
      <c r="H7" s="129"/>
      <c r="I7" s="129"/>
      <c r="J7" s="129"/>
      <c r="P7" s="3"/>
    </row>
    <row r="8" spans="2:22" ht="33.75" customHeight="1">
      <c r="B8" s="126" t="s">
        <v>85</v>
      </c>
      <c r="C8" s="127"/>
      <c r="D8" s="127"/>
      <c r="E8" s="127"/>
      <c r="F8" s="127"/>
      <c r="G8" s="127"/>
      <c r="H8" s="127"/>
      <c r="I8" s="127"/>
      <c r="J8" s="127"/>
    </row>
    <row r="9" spans="2:22">
      <c r="B9" s="74"/>
      <c r="C9" s="74"/>
      <c r="D9" s="74"/>
      <c r="E9" s="74"/>
    </row>
    <row r="10" spans="2:22">
      <c r="B10" s="131" t="s">
        <v>76</v>
      </c>
      <c r="C10" s="135"/>
      <c r="D10" s="135"/>
      <c r="E10" s="135"/>
      <c r="F10" s="135"/>
      <c r="G10" s="135"/>
      <c r="H10" s="135"/>
      <c r="I10" s="135"/>
      <c r="J10" s="136"/>
      <c r="N10" s="131" t="s">
        <v>77</v>
      </c>
      <c r="O10" s="132"/>
      <c r="P10" s="132"/>
      <c r="Q10" s="132"/>
      <c r="R10" s="132"/>
      <c r="S10" s="133"/>
    </row>
    <row r="12" spans="2:22">
      <c r="B12" s="131" t="s">
        <v>78</v>
      </c>
      <c r="C12" s="132"/>
      <c r="D12" s="132"/>
      <c r="E12" s="132"/>
      <c r="F12" s="133"/>
      <c r="G12" s="131" t="s">
        <v>79</v>
      </c>
      <c r="H12" s="132"/>
      <c r="I12" s="132"/>
      <c r="J12" s="133"/>
    </row>
    <row r="13" spans="2:22" ht="16" thickBot="1"/>
    <row r="14" spans="2:22" ht="19.5" customHeight="1">
      <c r="B14" s="75"/>
      <c r="G14" s="134"/>
      <c r="H14" s="127"/>
      <c r="I14" s="127"/>
      <c r="J14" s="127"/>
      <c r="P14" s="77">
        <v>44409</v>
      </c>
      <c r="Q14" s="106">
        <f>DATE(YEAR(P14),MONTH(P14)-1,DAY(P14))</f>
        <v>44378</v>
      </c>
      <c r="R14" s="78"/>
      <c r="S14" s="76"/>
      <c r="T14" s="76"/>
    </row>
    <row r="15" spans="2:22" ht="18" customHeight="1" thickBot="1">
      <c r="B15" s="126" t="s">
        <v>90</v>
      </c>
      <c r="C15" s="127"/>
      <c r="D15" s="127"/>
      <c r="E15" s="127"/>
      <c r="F15" s="127"/>
      <c r="G15" s="128" t="s">
        <v>92</v>
      </c>
      <c r="H15" s="129"/>
      <c r="I15" s="129"/>
      <c r="J15" s="129"/>
      <c r="P15" s="95" t="s">
        <v>81</v>
      </c>
      <c r="Q15" s="79" t="s">
        <v>81</v>
      </c>
      <c r="R15" s="80" t="s">
        <v>82</v>
      </c>
      <c r="S15" s="76"/>
      <c r="T15" s="76"/>
    </row>
    <row r="16" spans="2:22" ht="18" customHeight="1">
      <c r="B16" s="126" t="s">
        <v>91</v>
      </c>
      <c r="C16" s="127"/>
      <c r="D16" s="127"/>
      <c r="E16" s="127"/>
      <c r="F16" s="127"/>
      <c r="G16" s="128" t="s">
        <v>21</v>
      </c>
      <c r="H16" s="129"/>
      <c r="I16" s="129"/>
      <c r="J16" s="129"/>
      <c r="N16" s="152" t="s">
        <v>92</v>
      </c>
      <c r="O16" s="153"/>
      <c r="P16" s="98">
        <f>VLOOKUP($P$14,Database!$A:$M,MATCH(Note!S16,Database!$A$1:$M$1,),)</f>
        <v>263576</v>
      </c>
      <c r="Q16" s="98">
        <f>VLOOKUP($Q$14,Database!$A:$M,MATCH(Note!S16,Database!$A$1:$M$1,),)</f>
        <v>258846</v>
      </c>
      <c r="R16" s="99">
        <f>(P16-Q16)/Q16</f>
        <v>1.827341353546124E-2</v>
      </c>
      <c r="S16" s="100" t="s">
        <v>9</v>
      </c>
      <c r="T16" s="76"/>
      <c r="U16" s="100" t="s">
        <v>9</v>
      </c>
      <c r="V16" s="2" t="s">
        <v>92</v>
      </c>
    </row>
    <row r="17" spans="2:22" ht="18" customHeight="1">
      <c r="B17" s="126" t="s">
        <v>88</v>
      </c>
      <c r="C17" s="127"/>
      <c r="D17" s="127"/>
      <c r="E17" s="127"/>
      <c r="F17" s="127"/>
      <c r="G17" s="130" t="s">
        <v>93</v>
      </c>
      <c r="H17" s="129"/>
      <c r="I17" s="129"/>
      <c r="J17" s="129"/>
      <c r="N17" s="147" t="s">
        <v>21</v>
      </c>
      <c r="O17" s="151"/>
      <c r="P17" s="96">
        <f>VLOOKUP($P$14,Database!$A:$M,MATCH(Note!S17,Database!$A$1:$M$1,),)</f>
        <v>182829</v>
      </c>
      <c r="Q17" s="96">
        <f>VLOOKUP($Q$14,Database!$A:$M,MATCH(Note!S17,Database!$A$1:$M$1,),)</f>
        <v>182210</v>
      </c>
      <c r="R17" s="97">
        <f>(P17-Q17)/Q17</f>
        <v>3.3971790790845728E-3</v>
      </c>
      <c r="S17" s="101" t="s">
        <v>7</v>
      </c>
      <c r="T17" s="76"/>
      <c r="U17" s="101" t="s">
        <v>7</v>
      </c>
      <c r="V17" s="2" t="s">
        <v>21</v>
      </c>
    </row>
    <row r="18" spans="2:22" ht="33.75" customHeight="1">
      <c r="B18" s="126" t="s">
        <v>101</v>
      </c>
      <c r="C18" s="127"/>
      <c r="D18" s="127"/>
      <c r="E18" s="127"/>
      <c r="F18" s="127"/>
      <c r="G18" s="130" t="s">
        <v>94</v>
      </c>
      <c r="H18" s="129"/>
      <c r="I18" s="129"/>
      <c r="J18" s="129"/>
      <c r="N18" s="145" t="s">
        <v>109</v>
      </c>
      <c r="O18" s="146"/>
      <c r="P18" s="96">
        <f>VLOOKUP($P$14,Database!$A:$M,MATCH(Note!S18,Database!$A$1:$M$1,),)</f>
        <v>77206</v>
      </c>
      <c r="Q18" s="96">
        <f>VLOOKUP($Q$14,Database!$A:$M,MATCH(Note!S18,Database!$A$1:$M$1,),)</f>
        <v>76736</v>
      </c>
      <c r="R18" s="97">
        <f t="shared" ref="R18:R25" si="0">(P18-Q18)/Q18</f>
        <v>6.1248957464553793E-3</v>
      </c>
      <c r="S18" s="102" t="s">
        <v>16</v>
      </c>
      <c r="T18" s="76"/>
      <c r="U18" s="102" t="s">
        <v>16</v>
      </c>
      <c r="V18" s="2" t="s">
        <v>109</v>
      </c>
    </row>
    <row r="19" spans="2:22" ht="18" customHeight="1">
      <c r="B19" s="126" t="s">
        <v>102</v>
      </c>
      <c r="C19" s="127"/>
      <c r="D19" s="127"/>
      <c r="E19" s="127"/>
      <c r="F19" s="127"/>
      <c r="G19" s="130" t="s">
        <v>100</v>
      </c>
      <c r="H19" s="129"/>
      <c r="I19" s="129"/>
      <c r="J19" s="129"/>
      <c r="N19" s="147" t="s">
        <v>94</v>
      </c>
      <c r="O19" s="148"/>
      <c r="P19" s="96">
        <f>VLOOKUP($P$14,Database!$A:$M,MATCH(Note!S19,Database!$A$1:$M$1,),)</f>
        <v>192482</v>
      </c>
      <c r="Q19" s="96">
        <f>VLOOKUP($Q$14,Database!$A:$M,MATCH(Note!S19,Database!$A$1:$M$1,),)</f>
        <v>186219</v>
      </c>
      <c r="R19" s="97">
        <f t="shared" si="0"/>
        <v>3.3632443520800775E-2</v>
      </c>
      <c r="S19" s="101" t="s">
        <v>8</v>
      </c>
      <c r="T19" s="76"/>
      <c r="U19" s="101" t="s">
        <v>8</v>
      </c>
      <c r="V19" s="2" t="s">
        <v>94</v>
      </c>
    </row>
    <row r="20" spans="2:22" ht="18" customHeight="1">
      <c r="B20" s="126" t="s">
        <v>103</v>
      </c>
      <c r="C20" s="127"/>
      <c r="D20" s="127"/>
      <c r="E20" s="127"/>
      <c r="F20" s="127"/>
      <c r="G20" s="130" t="s">
        <v>96</v>
      </c>
      <c r="H20" s="129"/>
      <c r="I20" s="129"/>
      <c r="J20" s="129"/>
      <c r="N20" s="147" t="s">
        <v>100</v>
      </c>
      <c r="O20" s="148"/>
      <c r="P20" s="96">
        <f>VLOOKUP($P$14,Database!$A:$M,MATCH(Note!S20,Database!$A$1:$M$1,),)</f>
        <v>80747</v>
      </c>
      <c r="Q20" s="96">
        <f>VLOOKUP($Q$14,Database!$A:$M,MATCH(Note!S20,Database!$A$1:$M$1,),)</f>
        <v>76636</v>
      </c>
      <c r="R20" s="97">
        <f t="shared" si="0"/>
        <v>5.3643196408998381E-2</v>
      </c>
      <c r="S20" s="102" t="s">
        <v>6</v>
      </c>
      <c r="T20" s="76"/>
      <c r="U20" s="102" t="s">
        <v>6</v>
      </c>
      <c r="V20" s="2" t="s">
        <v>100</v>
      </c>
    </row>
    <row r="21" spans="2:22" ht="18" customHeight="1">
      <c r="B21" s="126" t="s">
        <v>104</v>
      </c>
      <c r="C21" s="127"/>
      <c r="D21" s="127"/>
      <c r="E21" s="127"/>
      <c r="F21" s="127"/>
      <c r="G21" s="130" t="s">
        <v>97</v>
      </c>
      <c r="H21" s="129"/>
      <c r="I21" s="129"/>
      <c r="J21" s="129"/>
      <c r="N21" s="147" t="s">
        <v>96</v>
      </c>
      <c r="O21" s="148"/>
      <c r="P21" s="96">
        <f>VLOOKUP($P$14,Database!$A:$M,MATCH(Note!S21,Database!$A$1:$M$1,),)</f>
        <v>36439</v>
      </c>
      <c r="Q21" s="96">
        <f>VLOOKUP($Q$14,Database!$A:$M,MATCH(Note!S21,Database!$A$1:$M$1,),)</f>
        <v>35720</v>
      </c>
      <c r="R21" s="97">
        <f t="shared" si="0"/>
        <v>2.0128779395296753E-2</v>
      </c>
      <c r="S21" s="102" t="s">
        <v>2</v>
      </c>
      <c r="T21" s="76"/>
      <c r="U21" s="102" t="s">
        <v>2</v>
      </c>
      <c r="V21" s="2" t="s">
        <v>96</v>
      </c>
    </row>
    <row r="22" spans="2:22" ht="18" customHeight="1">
      <c r="B22" s="126" t="s">
        <v>105</v>
      </c>
      <c r="C22" s="127"/>
      <c r="D22" s="127"/>
      <c r="E22" s="127"/>
      <c r="F22" s="127"/>
      <c r="G22" s="130" t="s">
        <v>98</v>
      </c>
      <c r="H22" s="129"/>
      <c r="I22" s="129"/>
      <c r="J22" s="129"/>
      <c r="N22" s="147" t="s">
        <v>97</v>
      </c>
      <c r="O22" s="148"/>
      <c r="P22" s="96">
        <f>VLOOKUP($P$14,Database!$A:$M,MATCH(Note!S22,Database!$A$1:$M$1,),)</f>
        <v>38129</v>
      </c>
      <c r="Q22" s="96">
        <f>VLOOKUP($Q$14,Database!$A:$M,MATCH(Note!S22,Database!$A$1:$M$1,),)</f>
        <v>38524</v>
      </c>
      <c r="R22" s="97">
        <f t="shared" si="0"/>
        <v>-1.0253348561935417E-2</v>
      </c>
      <c r="S22" s="102" t="s">
        <v>3</v>
      </c>
      <c r="T22" s="76"/>
      <c r="U22" s="102" t="s">
        <v>3</v>
      </c>
      <c r="V22" s="2" t="s">
        <v>97</v>
      </c>
    </row>
    <row r="23" spans="2:22" ht="18" customHeight="1">
      <c r="B23" s="126" t="s">
        <v>106</v>
      </c>
      <c r="C23" s="127"/>
      <c r="D23" s="127"/>
      <c r="E23" s="127"/>
      <c r="F23" s="127"/>
      <c r="G23" s="130" t="s">
        <v>95</v>
      </c>
      <c r="H23" s="129"/>
      <c r="I23" s="129"/>
      <c r="J23" s="129"/>
      <c r="N23" s="147" t="s">
        <v>98</v>
      </c>
      <c r="O23" s="148"/>
      <c r="P23" s="96">
        <f>VLOOKUP($P$14,Database!$A:$M,MATCH(Note!S23,Database!$A$1:$M$1,),)</f>
        <v>25341</v>
      </c>
      <c r="Q23" s="96">
        <f>VLOOKUP($Q$14,Database!$A:$M,MATCH(Note!S23,Database!$A$1:$M$1,),)</f>
        <v>24950</v>
      </c>
      <c r="R23" s="97">
        <f t="shared" si="0"/>
        <v>1.5671342685370741E-2</v>
      </c>
      <c r="S23" s="102" t="s">
        <v>4</v>
      </c>
      <c r="T23" s="76"/>
      <c r="U23" s="102" t="s">
        <v>4</v>
      </c>
      <c r="V23" s="2" t="s">
        <v>98</v>
      </c>
    </row>
    <row r="24" spans="2:22" ht="18" customHeight="1">
      <c r="B24" s="126" t="s">
        <v>107</v>
      </c>
      <c r="C24" s="127"/>
      <c r="D24" s="127"/>
      <c r="E24" s="127"/>
      <c r="F24" s="127"/>
      <c r="G24" s="130" t="s">
        <v>99</v>
      </c>
      <c r="H24" s="129"/>
      <c r="I24" s="129"/>
      <c r="J24" s="129"/>
      <c r="N24" s="147" t="s">
        <v>95</v>
      </c>
      <c r="O24" s="148"/>
      <c r="P24" s="96">
        <f>VLOOKUP($P$14,Database!$A:$M,MATCH(Note!S24,Database!$A$1:$M$1,),)</f>
        <v>24118</v>
      </c>
      <c r="Q24" s="96">
        <f>VLOOKUP($Q$14,Database!$A:$M,MATCH(Note!S24,Database!$A$1:$M$1,),)</f>
        <v>24442</v>
      </c>
      <c r="R24" s="97">
        <f t="shared" si="0"/>
        <v>-1.325587104164962E-2</v>
      </c>
      <c r="S24" s="102" t="s">
        <v>1</v>
      </c>
      <c r="T24" s="76"/>
      <c r="U24" s="102" t="s">
        <v>1</v>
      </c>
      <c r="V24" s="2" t="s">
        <v>95</v>
      </c>
    </row>
    <row r="25" spans="2:22" ht="16" thickBot="1">
      <c r="N25" s="149" t="s">
        <v>99</v>
      </c>
      <c r="O25" s="150"/>
      <c r="P25" s="103">
        <f>VLOOKUP($P$14,Database!$A:$M,MATCH(Note!S25,Database!$A$1:$M$1,),)</f>
        <v>13034</v>
      </c>
      <c r="Q25" s="103">
        <f>VLOOKUP($Q$14,Database!$A:$M,MATCH(Note!S25,Database!$A$1:$M$1,),)</f>
        <v>12859</v>
      </c>
      <c r="R25" s="104">
        <f t="shared" si="0"/>
        <v>1.3609145345672292E-2</v>
      </c>
      <c r="S25" s="105" t="s">
        <v>5</v>
      </c>
      <c r="T25" s="76"/>
      <c r="U25" s="105" t="s">
        <v>5</v>
      </c>
      <c r="V25" s="2" t="s">
        <v>99</v>
      </c>
    </row>
    <row r="26" spans="2:22">
      <c r="B26" s="81"/>
      <c r="T26" s="76"/>
    </row>
    <row r="27" spans="2:22">
      <c r="B27" s="128"/>
      <c r="C27" s="129"/>
      <c r="D27" s="129"/>
      <c r="E27" s="129"/>
      <c r="F27" s="129"/>
      <c r="G27" s="129"/>
      <c r="H27" s="129"/>
      <c r="I27" s="129"/>
      <c r="J27" s="129"/>
      <c r="N27" s="107" t="s">
        <v>108</v>
      </c>
    </row>
    <row r="28" spans="2:22">
      <c r="B28" s="82"/>
    </row>
  </sheetData>
  <mergeCells count="41">
    <mergeCell ref="N25:O25"/>
    <mergeCell ref="N17:O17"/>
    <mergeCell ref="N16:O16"/>
    <mergeCell ref="N19:O19"/>
    <mergeCell ref="N20:O20"/>
    <mergeCell ref="N21:O21"/>
    <mergeCell ref="B23:F23"/>
    <mergeCell ref="G23:J23"/>
    <mergeCell ref="B24:F24"/>
    <mergeCell ref="G24:J24"/>
    <mergeCell ref="N18:O18"/>
    <mergeCell ref="N22:O22"/>
    <mergeCell ref="N23:O23"/>
    <mergeCell ref="N24:O24"/>
    <mergeCell ref="B1:J2"/>
    <mergeCell ref="B3:J3"/>
    <mergeCell ref="B5:J5"/>
    <mergeCell ref="B7:J7"/>
    <mergeCell ref="B8:J8"/>
    <mergeCell ref="B27:J27"/>
    <mergeCell ref="N10:S10"/>
    <mergeCell ref="B12:F12"/>
    <mergeCell ref="G12:J12"/>
    <mergeCell ref="G14:J14"/>
    <mergeCell ref="B15:F15"/>
    <mergeCell ref="G15:J15"/>
    <mergeCell ref="B10:J10"/>
    <mergeCell ref="B18:F18"/>
    <mergeCell ref="G18:J18"/>
    <mergeCell ref="B19:F19"/>
    <mergeCell ref="G19:J19"/>
    <mergeCell ref="B20:F20"/>
    <mergeCell ref="G20:J20"/>
    <mergeCell ref="B21:F21"/>
    <mergeCell ref="G21:J21"/>
    <mergeCell ref="B16:F16"/>
    <mergeCell ref="G16:J16"/>
    <mergeCell ref="B17:F17"/>
    <mergeCell ref="G17:J17"/>
    <mergeCell ref="G22:J22"/>
    <mergeCell ref="B22:F22"/>
  </mergeCells>
  <conditionalFormatting sqref="R16:R25">
    <cfRule type="cellIs" dxfId="1" priority="1" operator="lessThan">
      <formula>0</formula>
    </cfRule>
    <cfRule type="cellIs" dxfId="0" priority="2" operator="greaterThan">
      <formula>0</formula>
    </cfRule>
  </conditionalFormatting>
  <hyperlinks>
    <hyperlink ref="B8" r:id="rId1" xr:uid="{CE80F6BC-1029-41FE-9F3B-1D68B7BC85AA}"/>
    <hyperlink ref="B15" r:id="rId2" display="https://fred.stlouisfed.org/series/NEWORDER" xr:uid="{BD629194-0029-4EFA-BF95-E05373A9D1E7}"/>
    <hyperlink ref="B16" r:id="rId3" display="https://fred.stlouisfed.org/series/NEWORDER" xr:uid="{17C0A069-3EE1-44BF-9415-72197077099D}"/>
    <hyperlink ref="B17" r:id="rId4" xr:uid="{4D73534F-ADDE-41E3-9C7F-52CBF43A6F40}"/>
    <hyperlink ref="B18" r:id="rId5" display="https://fred.stlouisfed.org/series/NEWORDER" xr:uid="{8AC175A9-C12A-4153-A170-E16CABEB4C5D}"/>
    <hyperlink ref="B19" r:id="rId6" display="https://fred.stlouisfed.org/series/NEWORDER" xr:uid="{933C30F9-53EC-430C-A87D-D87DA5B03ABE}"/>
    <hyperlink ref="B20" r:id="rId7" display="https://fred.stlouisfed.org/series/NEWORDER" xr:uid="{B0E01EEB-47E8-4CD6-B508-6816072D7B37}"/>
    <hyperlink ref="B21" r:id="rId8" display="https://fred.stlouisfed.org/series/NEWORDER" xr:uid="{4E13377A-A634-4190-8022-A57FCBC9085A}"/>
    <hyperlink ref="B22" r:id="rId9" display="https://fred.stlouisfed.org/series/NEWORDER" xr:uid="{5F403DDB-4967-4C05-97C5-B40A60B2B165}"/>
    <hyperlink ref="B23" r:id="rId10" display="https://fred.stlouisfed.org/series/NEWORDER" xr:uid="{3F8EBD8E-10D2-4BD2-9751-29BEFAAA51E0}"/>
    <hyperlink ref="B24" r:id="rId11" display="https://fred.stlouisfed.org/series/NEWORDER" xr:uid="{C1CD67BF-40A1-4370-80DB-25971E6936CC}"/>
  </hyperlinks>
  <pageMargins left="0.7" right="0.7" top="0.75" bottom="0.75" header="0.3" footer="0.3"/>
  <drawing r:id="rId1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A4E30-E5E6-4BD8-A3AE-14281D25A948}">
  <dimension ref="A1:R204"/>
  <sheetViews>
    <sheetView zoomScale="70" zoomScaleNormal="70" workbookViewId="0">
      <selection activeCell="U55" sqref="U55"/>
    </sheetView>
  </sheetViews>
  <sheetFormatPr baseColWidth="10" defaultColWidth="8.83203125" defaultRowHeight="15"/>
  <cols>
    <col min="1" max="1" width="23.6640625" customWidth="1"/>
    <col min="2" max="2" width="16.33203125" customWidth="1"/>
    <col min="3" max="11" width="13.5" customWidth="1"/>
    <col min="12" max="12" width="15.6640625" customWidth="1"/>
    <col min="13" max="13" width="16.83203125" customWidth="1"/>
    <col min="14" max="14" width="13.5" style="65" customWidth="1"/>
    <col min="15" max="15" width="10.6640625" customWidth="1"/>
    <col min="18" max="18" width="21.33203125" customWidth="1"/>
    <col min="257" max="257" width="23.6640625" customWidth="1"/>
    <col min="258" max="258" width="16.33203125" customWidth="1"/>
    <col min="259" max="267" width="13.5" customWidth="1"/>
    <col min="268" max="268" width="15.6640625" customWidth="1"/>
    <col min="269" max="269" width="16.83203125" customWidth="1"/>
    <col min="270" max="270" width="13.5" customWidth="1"/>
    <col min="271" max="271" width="10.6640625" customWidth="1"/>
    <col min="513" max="513" width="23.6640625" customWidth="1"/>
    <col min="514" max="514" width="16.33203125" customWidth="1"/>
    <col min="515" max="523" width="13.5" customWidth="1"/>
    <col min="524" max="524" width="15.6640625" customWidth="1"/>
    <col min="525" max="525" width="16.83203125" customWidth="1"/>
    <col min="526" max="526" width="13.5" customWidth="1"/>
    <col min="527" max="527" width="10.6640625" customWidth="1"/>
    <col min="769" max="769" width="23.6640625" customWidth="1"/>
    <col min="770" max="770" width="16.33203125" customWidth="1"/>
    <col min="771" max="779" width="13.5" customWidth="1"/>
    <col min="780" max="780" width="15.6640625" customWidth="1"/>
    <col min="781" max="781" width="16.83203125" customWidth="1"/>
    <col min="782" max="782" width="13.5" customWidth="1"/>
    <col min="783" max="783" width="10.6640625" customWidth="1"/>
    <col min="1025" max="1025" width="23.6640625" customWidth="1"/>
    <col min="1026" max="1026" width="16.33203125" customWidth="1"/>
    <col min="1027" max="1035" width="13.5" customWidth="1"/>
    <col min="1036" max="1036" width="15.6640625" customWidth="1"/>
    <col min="1037" max="1037" width="16.83203125" customWidth="1"/>
    <col min="1038" max="1038" width="13.5" customWidth="1"/>
    <col min="1039" max="1039" width="10.6640625" customWidth="1"/>
    <col min="1281" max="1281" width="23.6640625" customWidth="1"/>
    <col min="1282" max="1282" width="16.33203125" customWidth="1"/>
    <col min="1283" max="1291" width="13.5" customWidth="1"/>
    <col min="1292" max="1292" width="15.6640625" customWidth="1"/>
    <col min="1293" max="1293" width="16.83203125" customWidth="1"/>
    <col min="1294" max="1294" width="13.5" customWidth="1"/>
    <col min="1295" max="1295" width="10.6640625" customWidth="1"/>
    <col min="1537" max="1537" width="23.6640625" customWidth="1"/>
    <col min="1538" max="1538" width="16.33203125" customWidth="1"/>
    <col min="1539" max="1547" width="13.5" customWidth="1"/>
    <col min="1548" max="1548" width="15.6640625" customWidth="1"/>
    <col min="1549" max="1549" width="16.83203125" customWidth="1"/>
    <col min="1550" max="1550" width="13.5" customWidth="1"/>
    <col min="1551" max="1551" width="10.6640625" customWidth="1"/>
    <col min="1793" max="1793" width="23.6640625" customWidth="1"/>
    <col min="1794" max="1794" width="16.33203125" customWidth="1"/>
    <col min="1795" max="1803" width="13.5" customWidth="1"/>
    <col min="1804" max="1804" width="15.6640625" customWidth="1"/>
    <col min="1805" max="1805" width="16.83203125" customWidth="1"/>
    <col min="1806" max="1806" width="13.5" customWidth="1"/>
    <col min="1807" max="1807" width="10.6640625" customWidth="1"/>
    <col min="2049" max="2049" width="23.6640625" customWidth="1"/>
    <col min="2050" max="2050" width="16.33203125" customWidth="1"/>
    <col min="2051" max="2059" width="13.5" customWidth="1"/>
    <col min="2060" max="2060" width="15.6640625" customWidth="1"/>
    <col min="2061" max="2061" width="16.83203125" customWidth="1"/>
    <col min="2062" max="2062" width="13.5" customWidth="1"/>
    <col min="2063" max="2063" width="10.6640625" customWidth="1"/>
    <col min="2305" max="2305" width="23.6640625" customWidth="1"/>
    <col min="2306" max="2306" width="16.33203125" customWidth="1"/>
    <col min="2307" max="2315" width="13.5" customWidth="1"/>
    <col min="2316" max="2316" width="15.6640625" customWidth="1"/>
    <col min="2317" max="2317" width="16.83203125" customWidth="1"/>
    <col min="2318" max="2318" width="13.5" customWidth="1"/>
    <col min="2319" max="2319" width="10.6640625" customWidth="1"/>
    <col min="2561" max="2561" width="23.6640625" customWidth="1"/>
    <col min="2562" max="2562" width="16.33203125" customWidth="1"/>
    <col min="2563" max="2571" width="13.5" customWidth="1"/>
    <col min="2572" max="2572" width="15.6640625" customWidth="1"/>
    <col min="2573" max="2573" width="16.83203125" customWidth="1"/>
    <col min="2574" max="2574" width="13.5" customWidth="1"/>
    <col min="2575" max="2575" width="10.6640625" customWidth="1"/>
    <col min="2817" max="2817" width="23.6640625" customWidth="1"/>
    <col min="2818" max="2818" width="16.33203125" customWidth="1"/>
    <col min="2819" max="2827" width="13.5" customWidth="1"/>
    <col min="2828" max="2828" width="15.6640625" customWidth="1"/>
    <col min="2829" max="2829" width="16.83203125" customWidth="1"/>
    <col min="2830" max="2830" width="13.5" customWidth="1"/>
    <col min="2831" max="2831" width="10.6640625" customWidth="1"/>
    <col min="3073" max="3073" width="23.6640625" customWidth="1"/>
    <col min="3074" max="3074" width="16.33203125" customWidth="1"/>
    <col min="3075" max="3083" width="13.5" customWidth="1"/>
    <col min="3084" max="3084" width="15.6640625" customWidth="1"/>
    <col min="3085" max="3085" width="16.83203125" customWidth="1"/>
    <col min="3086" max="3086" width="13.5" customWidth="1"/>
    <col min="3087" max="3087" width="10.6640625" customWidth="1"/>
    <col min="3329" max="3329" width="23.6640625" customWidth="1"/>
    <col min="3330" max="3330" width="16.33203125" customWidth="1"/>
    <col min="3331" max="3339" width="13.5" customWidth="1"/>
    <col min="3340" max="3340" width="15.6640625" customWidth="1"/>
    <col min="3341" max="3341" width="16.83203125" customWidth="1"/>
    <col min="3342" max="3342" width="13.5" customWidth="1"/>
    <col min="3343" max="3343" width="10.6640625" customWidth="1"/>
    <col min="3585" max="3585" width="23.6640625" customWidth="1"/>
    <col min="3586" max="3586" width="16.33203125" customWidth="1"/>
    <col min="3587" max="3595" width="13.5" customWidth="1"/>
    <col min="3596" max="3596" width="15.6640625" customWidth="1"/>
    <col min="3597" max="3597" width="16.83203125" customWidth="1"/>
    <col min="3598" max="3598" width="13.5" customWidth="1"/>
    <col min="3599" max="3599" width="10.6640625" customWidth="1"/>
    <col min="3841" max="3841" width="23.6640625" customWidth="1"/>
    <col min="3842" max="3842" width="16.33203125" customWidth="1"/>
    <col min="3843" max="3851" width="13.5" customWidth="1"/>
    <col min="3852" max="3852" width="15.6640625" customWidth="1"/>
    <col min="3853" max="3853" width="16.83203125" customWidth="1"/>
    <col min="3854" max="3854" width="13.5" customWidth="1"/>
    <col min="3855" max="3855" width="10.6640625" customWidth="1"/>
    <col min="4097" max="4097" width="23.6640625" customWidth="1"/>
    <col min="4098" max="4098" width="16.33203125" customWidth="1"/>
    <col min="4099" max="4107" width="13.5" customWidth="1"/>
    <col min="4108" max="4108" width="15.6640625" customWidth="1"/>
    <col min="4109" max="4109" width="16.83203125" customWidth="1"/>
    <col min="4110" max="4110" width="13.5" customWidth="1"/>
    <col min="4111" max="4111" width="10.6640625" customWidth="1"/>
    <col min="4353" max="4353" width="23.6640625" customWidth="1"/>
    <col min="4354" max="4354" width="16.33203125" customWidth="1"/>
    <col min="4355" max="4363" width="13.5" customWidth="1"/>
    <col min="4364" max="4364" width="15.6640625" customWidth="1"/>
    <col min="4365" max="4365" width="16.83203125" customWidth="1"/>
    <col min="4366" max="4366" width="13.5" customWidth="1"/>
    <col min="4367" max="4367" width="10.6640625" customWidth="1"/>
    <col min="4609" max="4609" width="23.6640625" customWidth="1"/>
    <col min="4610" max="4610" width="16.33203125" customWidth="1"/>
    <col min="4611" max="4619" width="13.5" customWidth="1"/>
    <col min="4620" max="4620" width="15.6640625" customWidth="1"/>
    <col min="4621" max="4621" width="16.83203125" customWidth="1"/>
    <col min="4622" max="4622" width="13.5" customWidth="1"/>
    <col min="4623" max="4623" width="10.6640625" customWidth="1"/>
    <col min="4865" max="4865" width="23.6640625" customWidth="1"/>
    <col min="4866" max="4866" width="16.33203125" customWidth="1"/>
    <col min="4867" max="4875" width="13.5" customWidth="1"/>
    <col min="4876" max="4876" width="15.6640625" customWidth="1"/>
    <col min="4877" max="4877" width="16.83203125" customWidth="1"/>
    <col min="4878" max="4878" width="13.5" customWidth="1"/>
    <col min="4879" max="4879" width="10.6640625" customWidth="1"/>
    <col min="5121" max="5121" width="23.6640625" customWidth="1"/>
    <col min="5122" max="5122" width="16.33203125" customWidth="1"/>
    <col min="5123" max="5131" width="13.5" customWidth="1"/>
    <col min="5132" max="5132" width="15.6640625" customWidth="1"/>
    <col min="5133" max="5133" width="16.83203125" customWidth="1"/>
    <col min="5134" max="5134" width="13.5" customWidth="1"/>
    <col min="5135" max="5135" width="10.6640625" customWidth="1"/>
    <col min="5377" max="5377" width="23.6640625" customWidth="1"/>
    <col min="5378" max="5378" width="16.33203125" customWidth="1"/>
    <col min="5379" max="5387" width="13.5" customWidth="1"/>
    <col min="5388" max="5388" width="15.6640625" customWidth="1"/>
    <col min="5389" max="5389" width="16.83203125" customWidth="1"/>
    <col min="5390" max="5390" width="13.5" customWidth="1"/>
    <col min="5391" max="5391" width="10.6640625" customWidth="1"/>
    <col min="5633" max="5633" width="23.6640625" customWidth="1"/>
    <col min="5634" max="5634" width="16.33203125" customWidth="1"/>
    <col min="5635" max="5643" width="13.5" customWidth="1"/>
    <col min="5644" max="5644" width="15.6640625" customWidth="1"/>
    <col min="5645" max="5645" width="16.83203125" customWidth="1"/>
    <col min="5646" max="5646" width="13.5" customWidth="1"/>
    <col min="5647" max="5647" width="10.6640625" customWidth="1"/>
    <col min="5889" max="5889" width="23.6640625" customWidth="1"/>
    <col min="5890" max="5890" width="16.33203125" customWidth="1"/>
    <col min="5891" max="5899" width="13.5" customWidth="1"/>
    <col min="5900" max="5900" width="15.6640625" customWidth="1"/>
    <col min="5901" max="5901" width="16.83203125" customWidth="1"/>
    <col min="5902" max="5902" width="13.5" customWidth="1"/>
    <col min="5903" max="5903" width="10.6640625" customWidth="1"/>
    <col min="6145" max="6145" width="23.6640625" customWidth="1"/>
    <col min="6146" max="6146" width="16.33203125" customWidth="1"/>
    <col min="6147" max="6155" width="13.5" customWidth="1"/>
    <col min="6156" max="6156" width="15.6640625" customWidth="1"/>
    <col min="6157" max="6157" width="16.83203125" customWidth="1"/>
    <col min="6158" max="6158" width="13.5" customWidth="1"/>
    <col min="6159" max="6159" width="10.6640625" customWidth="1"/>
    <col min="6401" max="6401" width="23.6640625" customWidth="1"/>
    <col min="6402" max="6402" width="16.33203125" customWidth="1"/>
    <col min="6403" max="6411" width="13.5" customWidth="1"/>
    <col min="6412" max="6412" width="15.6640625" customWidth="1"/>
    <col min="6413" max="6413" width="16.83203125" customWidth="1"/>
    <col min="6414" max="6414" width="13.5" customWidth="1"/>
    <col min="6415" max="6415" width="10.6640625" customWidth="1"/>
    <col min="6657" max="6657" width="23.6640625" customWidth="1"/>
    <col min="6658" max="6658" width="16.33203125" customWidth="1"/>
    <col min="6659" max="6667" width="13.5" customWidth="1"/>
    <col min="6668" max="6668" width="15.6640625" customWidth="1"/>
    <col min="6669" max="6669" width="16.83203125" customWidth="1"/>
    <col min="6670" max="6670" width="13.5" customWidth="1"/>
    <col min="6671" max="6671" width="10.6640625" customWidth="1"/>
    <col min="6913" max="6913" width="23.6640625" customWidth="1"/>
    <col min="6914" max="6914" width="16.33203125" customWidth="1"/>
    <col min="6915" max="6923" width="13.5" customWidth="1"/>
    <col min="6924" max="6924" width="15.6640625" customWidth="1"/>
    <col min="6925" max="6925" width="16.83203125" customWidth="1"/>
    <col min="6926" max="6926" width="13.5" customWidth="1"/>
    <col min="6927" max="6927" width="10.6640625" customWidth="1"/>
    <col min="7169" max="7169" width="23.6640625" customWidth="1"/>
    <col min="7170" max="7170" width="16.33203125" customWidth="1"/>
    <col min="7171" max="7179" width="13.5" customWidth="1"/>
    <col min="7180" max="7180" width="15.6640625" customWidth="1"/>
    <col min="7181" max="7181" width="16.83203125" customWidth="1"/>
    <col min="7182" max="7182" width="13.5" customWidth="1"/>
    <col min="7183" max="7183" width="10.6640625" customWidth="1"/>
    <col min="7425" max="7425" width="23.6640625" customWidth="1"/>
    <col min="7426" max="7426" width="16.33203125" customWidth="1"/>
    <col min="7427" max="7435" width="13.5" customWidth="1"/>
    <col min="7436" max="7436" width="15.6640625" customWidth="1"/>
    <col min="7437" max="7437" width="16.83203125" customWidth="1"/>
    <col min="7438" max="7438" width="13.5" customWidth="1"/>
    <col min="7439" max="7439" width="10.6640625" customWidth="1"/>
    <col min="7681" max="7681" width="23.6640625" customWidth="1"/>
    <col min="7682" max="7682" width="16.33203125" customWidth="1"/>
    <col min="7683" max="7691" width="13.5" customWidth="1"/>
    <col min="7692" max="7692" width="15.6640625" customWidth="1"/>
    <col min="7693" max="7693" width="16.83203125" customWidth="1"/>
    <col min="7694" max="7694" width="13.5" customWidth="1"/>
    <col min="7695" max="7695" width="10.6640625" customWidth="1"/>
    <col min="7937" max="7937" width="23.6640625" customWidth="1"/>
    <col min="7938" max="7938" width="16.33203125" customWidth="1"/>
    <col min="7939" max="7947" width="13.5" customWidth="1"/>
    <col min="7948" max="7948" width="15.6640625" customWidth="1"/>
    <col min="7949" max="7949" width="16.83203125" customWidth="1"/>
    <col min="7950" max="7950" width="13.5" customWidth="1"/>
    <col min="7951" max="7951" width="10.6640625" customWidth="1"/>
    <col min="8193" max="8193" width="23.6640625" customWidth="1"/>
    <col min="8194" max="8194" width="16.33203125" customWidth="1"/>
    <col min="8195" max="8203" width="13.5" customWidth="1"/>
    <col min="8204" max="8204" width="15.6640625" customWidth="1"/>
    <col min="8205" max="8205" width="16.83203125" customWidth="1"/>
    <col min="8206" max="8206" width="13.5" customWidth="1"/>
    <col min="8207" max="8207" width="10.6640625" customWidth="1"/>
    <col min="8449" max="8449" width="23.6640625" customWidth="1"/>
    <col min="8450" max="8450" width="16.33203125" customWidth="1"/>
    <col min="8451" max="8459" width="13.5" customWidth="1"/>
    <col min="8460" max="8460" width="15.6640625" customWidth="1"/>
    <col min="8461" max="8461" width="16.83203125" customWidth="1"/>
    <col min="8462" max="8462" width="13.5" customWidth="1"/>
    <col min="8463" max="8463" width="10.6640625" customWidth="1"/>
    <col min="8705" max="8705" width="23.6640625" customWidth="1"/>
    <col min="8706" max="8706" width="16.33203125" customWidth="1"/>
    <col min="8707" max="8715" width="13.5" customWidth="1"/>
    <col min="8716" max="8716" width="15.6640625" customWidth="1"/>
    <col min="8717" max="8717" width="16.83203125" customWidth="1"/>
    <col min="8718" max="8718" width="13.5" customWidth="1"/>
    <col min="8719" max="8719" width="10.6640625" customWidth="1"/>
    <col min="8961" max="8961" width="23.6640625" customWidth="1"/>
    <col min="8962" max="8962" width="16.33203125" customWidth="1"/>
    <col min="8963" max="8971" width="13.5" customWidth="1"/>
    <col min="8972" max="8972" width="15.6640625" customWidth="1"/>
    <col min="8973" max="8973" width="16.83203125" customWidth="1"/>
    <col min="8974" max="8974" width="13.5" customWidth="1"/>
    <col min="8975" max="8975" width="10.6640625" customWidth="1"/>
    <col min="9217" max="9217" width="23.6640625" customWidth="1"/>
    <col min="9218" max="9218" width="16.33203125" customWidth="1"/>
    <col min="9219" max="9227" width="13.5" customWidth="1"/>
    <col min="9228" max="9228" width="15.6640625" customWidth="1"/>
    <col min="9229" max="9229" width="16.83203125" customWidth="1"/>
    <col min="9230" max="9230" width="13.5" customWidth="1"/>
    <col min="9231" max="9231" width="10.6640625" customWidth="1"/>
    <col min="9473" max="9473" width="23.6640625" customWidth="1"/>
    <col min="9474" max="9474" width="16.33203125" customWidth="1"/>
    <col min="9475" max="9483" width="13.5" customWidth="1"/>
    <col min="9484" max="9484" width="15.6640625" customWidth="1"/>
    <col min="9485" max="9485" width="16.83203125" customWidth="1"/>
    <col min="9486" max="9486" width="13.5" customWidth="1"/>
    <col min="9487" max="9487" width="10.6640625" customWidth="1"/>
    <col min="9729" max="9729" width="23.6640625" customWidth="1"/>
    <col min="9730" max="9730" width="16.33203125" customWidth="1"/>
    <col min="9731" max="9739" width="13.5" customWidth="1"/>
    <col min="9740" max="9740" width="15.6640625" customWidth="1"/>
    <col min="9741" max="9741" width="16.83203125" customWidth="1"/>
    <col min="9742" max="9742" width="13.5" customWidth="1"/>
    <col min="9743" max="9743" width="10.6640625" customWidth="1"/>
    <col min="9985" max="9985" width="23.6640625" customWidth="1"/>
    <col min="9986" max="9986" width="16.33203125" customWidth="1"/>
    <col min="9987" max="9995" width="13.5" customWidth="1"/>
    <col min="9996" max="9996" width="15.6640625" customWidth="1"/>
    <col min="9997" max="9997" width="16.83203125" customWidth="1"/>
    <col min="9998" max="9998" width="13.5" customWidth="1"/>
    <col min="9999" max="9999" width="10.6640625" customWidth="1"/>
    <col min="10241" max="10241" width="23.6640625" customWidth="1"/>
    <col min="10242" max="10242" width="16.33203125" customWidth="1"/>
    <col min="10243" max="10251" width="13.5" customWidth="1"/>
    <col min="10252" max="10252" width="15.6640625" customWidth="1"/>
    <col min="10253" max="10253" width="16.83203125" customWidth="1"/>
    <col min="10254" max="10254" width="13.5" customWidth="1"/>
    <col min="10255" max="10255" width="10.6640625" customWidth="1"/>
    <col min="10497" max="10497" width="23.6640625" customWidth="1"/>
    <col min="10498" max="10498" width="16.33203125" customWidth="1"/>
    <col min="10499" max="10507" width="13.5" customWidth="1"/>
    <col min="10508" max="10508" width="15.6640625" customWidth="1"/>
    <col min="10509" max="10509" width="16.83203125" customWidth="1"/>
    <col min="10510" max="10510" width="13.5" customWidth="1"/>
    <col min="10511" max="10511" width="10.6640625" customWidth="1"/>
    <col min="10753" max="10753" width="23.6640625" customWidth="1"/>
    <col min="10754" max="10754" width="16.33203125" customWidth="1"/>
    <col min="10755" max="10763" width="13.5" customWidth="1"/>
    <col min="10764" max="10764" width="15.6640625" customWidth="1"/>
    <col min="10765" max="10765" width="16.83203125" customWidth="1"/>
    <col min="10766" max="10766" width="13.5" customWidth="1"/>
    <col min="10767" max="10767" width="10.6640625" customWidth="1"/>
    <col min="11009" max="11009" width="23.6640625" customWidth="1"/>
    <col min="11010" max="11010" width="16.33203125" customWidth="1"/>
    <col min="11011" max="11019" width="13.5" customWidth="1"/>
    <col min="11020" max="11020" width="15.6640625" customWidth="1"/>
    <col min="11021" max="11021" width="16.83203125" customWidth="1"/>
    <col min="11022" max="11022" width="13.5" customWidth="1"/>
    <col min="11023" max="11023" width="10.6640625" customWidth="1"/>
    <col min="11265" max="11265" width="23.6640625" customWidth="1"/>
    <col min="11266" max="11266" width="16.33203125" customWidth="1"/>
    <col min="11267" max="11275" width="13.5" customWidth="1"/>
    <col min="11276" max="11276" width="15.6640625" customWidth="1"/>
    <col min="11277" max="11277" width="16.83203125" customWidth="1"/>
    <col min="11278" max="11278" width="13.5" customWidth="1"/>
    <col min="11279" max="11279" width="10.6640625" customWidth="1"/>
    <col min="11521" max="11521" width="23.6640625" customWidth="1"/>
    <col min="11522" max="11522" width="16.33203125" customWidth="1"/>
    <col min="11523" max="11531" width="13.5" customWidth="1"/>
    <col min="11532" max="11532" width="15.6640625" customWidth="1"/>
    <col min="11533" max="11533" width="16.83203125" customWidth="1"/>
    <col min="11534" max="11534" width="13.5" customWidth="1"/>
    <col min="11535" max="11535" width="10.6640625" customWidth="1"/>
    <col min="11777" max="11777" width="23.6640625" customWidth="1"/>
    <col min="11778" max="11778" width="16.33203125" customWidth="1"/>
    <col min="11779" max="11787" width="13.5" customWidth="1"/>
    <col min="11788" max="11788" width="15.6640625" customWidth="1"/>
    <col min="11789" max="11789" width="16.83203125" customWidth="1"/>
    <col min="11790" max="11790" width="13.5" customWidth="1"/>
    <col min="11791" max="11791" width="10.6640625" customWidth="1"/>
    <col min="12033" max="12033" width="23.6640625" customWidth="1"/>
    <col min="12034" max="12034" width="16.33203125" customWidth="1"/>
    <col min="12035" max="12043" width="13.5" customWidth="1"/>
    <col min="12044" max="12044" width="15.6640625" customWidth="1"/>
    <col min="12045" max="12045" width="16.83203125" customWidth="1"/>
    <col min="12046" max="12046" width="13.5" customWidth="1"/>
    <col min="12047" max="12047" width="10.6640625" customWidth="1"/>
    <col min="12289" max="12289" width="23.6640625" customWidth="1"/>
    <col min="12290" max="12290" width="16.33203125" customWidth="1"/>
    <col min="12291" max="12299" width="13.5" customWidth="1"/>
    <col min="12300" max="12300" width="15.6640625" customWidth="1"/>
    <col min="12301" max="12301" width="16.83203125" customWidth="1"/>
    <col min="12302" max="12302" width="13.5" customWidth="1"/>
    <col min="12303" max="12303" width="10.6640625" customWidth="1"/>
    <col min="12545" max="12545" width="23.6640625" customWidth="1"/>
    <col min="12546" max="12546" width="16.33203125" customWidth="1"/>
    <col min="12547" max="12555" width="13.5" customWidth="1"/>
    <col min="12556" max="12556" width="15.6640625" customWidth="1"/>
    <col min="12557" max="12557" width="16.83203125" customWidth="1"/>
    <col min="12558" max="12558" width="13.5" customWidth="1"/>
    <col min="12559" max="12559" width="10.6640625" customWidth="1"/>
    <col min="12801" max="12801" width="23.6640625" customWidth="1"/>
    <col min="12802" max="12802" width="16.33203125" customWidth="1"/>
    <col min="12803" max="12811" width="13.5" customWidth="1"/>
    <col min="12812" max="12812" width="15.6640625" customWidth="1"/>
    <col min="12813" max="12813" width="16.83203125" customWidth="1"/>
    <col min="12814" max="12814" width="13.5" customWidth="1"/>
    <col min="12815" max="12815" width="10.6640625" customWidth="1"/>
    <col min="13057" max="13057" width="23.6640625" customWidth="1"/>
    <col min="13058" max="13058" width="16.33203125" customWidth="1"/>
    <col min="13059" max="13067" width="13.5" customWidth="1"/>
    <col min="13068" max="13068" width="15.6640625" customWidth="1"/>
    <col min="13069" max="13069" width="16.83203125" customWidth="1"/>
    <col min="13070" max="13070" width="13.5" customWidth="1"/>
    <col min="13071" max="13071" width="10.6640625" customWidth="1"/>
    <col min="13313" max="13313" width="23.6640625" customWidth="1"/>
    <col min="13314" max="13314" width="16.33203125" customWidth="1"/>
    <col min="13315" max="13323" width="13.5" customWidth="1"/>
    <col min="13324" max="13324" width="15.6640625" customWidth="1"/>
    <col min="13325" max="13325" width="16.83203125" customWidth="1"/>
    <col min="13326" max="13326" width="13.5" customWidth="1"/>
    <col min="13327" max="13327" width="10.6640625" customWidth="1"/>
    <col min="13569" max="13569" width="23.6640625" customWidth="1"/>
    <col min="13570" max="13570" width="16.33203125" customWidth="1"/>
    <col min="13571" max="13579" width="13.5" customWidth="1"/>
    <col min="13580" max="13580" width="15.6640625" customWidth="1"/>
    <col min="13581" max="13581" width="16.83203125" customWidth="1"/>
    <col min="13582" max="13582" width="13.5" customWidth="1"/>
    <col min="13583" max="13583" width="10.6640625" customWidth="1"/>
    <col min="13825" max="13825" width="23.6640625" customWidth="1"/>
    <col min="13826" max="13826" width="16.33203125" customWidth="1"/>
    <col min="13827" max="13835" width="13.5" customWidth="1"/>
    <col min="13836" max="13836" width="15.6640625" customWidth="1"/>
    <col min="13837" max="13837" width="16.83203125" customWidth="1"/>
    <col min="13838" max="13838" width="13.5" customWidth="1"/>
    <col min="13839" max="13839" width="10.6640625" customWidth="1"/>
    <col min="14081" max="14081" width="23.6640625" customWidth="1"/>
    <col min="14082" max="14082" width="16.33203125" customWidth="1"/>
    <col min="14083" max="14091" width="13.5" customWidth="1"/>
    <col min="14092" max="14092" width="15.6640625" customWidth="1"/>
    <col min="14093" max="14093" width="16.83203125" customWidth="1"/>
    <col min="14094" max="14094" width="13.5" customWidth="1"/>
    <col min="14095" max="14095" width="10.6640625" customWidth="1"/>
    <col min="14337" max="14337" width="23.6640625" customWidth="1"/>
    <col min="14338" max="14338" width="16.33203125" customWidth="1"/>
    <col min="14339" max="14347" width="13.5" customWidth="1"/>
    <col min="14348" max="14348" width="15.6640625" customWidth="1"/>
    <col min="14349" max="14349" width="16.83203125" customWidth="1"/>
    <col min="14350" max="14350" width="13.5" customWidth="1"/>
    <col min="14351" max="14351" width="10.6640625" customWidth="1"/>
    <col min="14593" max="14593" width="23.6640625" customWidth="1"/>
    <col min="14594" max="14594" width="16.33203125" customWidth="1"/>
    <col min="14595" max="14603" width="13.5" customWidth="1"/>
    <col min="14604" max="14604" width="15.6640625" customWidth="1"/>
    <col min="14605" max="14605" width="16.83203125" customWidth="1"/>
    <col min="14606" max="14606" width="13.5" customWidth="1"/>
    <col min="14607" max="14607" width="10.6640625" customWidth="1"/>
    <col min="14849" max="14849" width="23.6640625" customWidth="1"/>
    <col min="14850" max="14850" width="16.33203125" customWidth="1"/>
    <col min="14851" max="14859" width="13.5" customWidth="1"/>
    <col min="14860" max="14860" width="15.6640625" customWidth="1"/>
    <col min="14861" max="14861" width="16.83203125" customWidth="1"/>
    <col min="14862" max="14862" width="13.5" customWidth="1"/>
    <col min="14863" max="14863" width="10.6640625" customWidth="1"/>
    <col min="15105" max="15105" width="23.6640625" customWidth="1"/>
    <col min="15106" max="15106" width="16.33203125" customWidth="1"/>
    <col min="15107" max="15115" width="13.5" customWidth="1"/>
    <col min="15116" max="15116" width="15.6640625" customWidth="1"/>
    <col min="15117" max="15117" width="16.83203125" customWidth="1"/>
    <col min="15118" max="15118" width="13.5" customWidth="1"/>
    <col min="15119" max="15119" width="10.6640625" customWidth="1"/>
    <col min="15361" max="15361" width="23.6640625" customWidth="1"/>
    <col min="15362" max="15362" width="16.33203125" customWidth="1"/>
    <col min="15363" max="15371" width="13.5" customWidth="1"/>
    <col min="15372" max="15372" width="15.6640625" customWidth="1"/>
    <col min="15373" max="15373" width="16.83203125" customWidth="1"/>
    <col min="15374" max="15374" width="13.5" customWidth="1"/>
    <col min="15375" max="15375" width="10.6640625" customWidth="1"/>
    <col min="15617" max="15617" width="23.6640625" customWidth="1"/>
    <col min="15618" max="15618" width="16.33203125" customWidth="1"/>
    <col min="15619" max="15627" width="13.5" customWidth="1"/>
    <col min="15628" max="15628" width="15.6640625" customWidth="1"/>
    <col min="15629" max="15629" width="16.83203125" customWidth="1"/>
    <col min="15630" max="15630" width="13.5" customWidth="1"/>
    <col min="15631" max="15631" width="10.6640625" customWidth="1"/>
    <col min="15873" max="15873" width="23.6640625" customWidth="1"/>
    <col min="15874" max="15874" width="16.33203125" customWidth="1"/>
    <col min="15875" max="15883" width="13.5" customWidth="1"/>
    <col min="15884" max="15884" width="15.6640625" customWidth="1"/>
    <col min="15885" max="15885" width="16.83203125" customWidth="1"/>
    <col min="15886" max="15886" width="13.5" customWidth="1"/>
    <col min="15887" max="15887" width="10.6640625" customWidth="1"/>
    <col min="16129" max="16129" width="23.6640625" customWidth="1"/>
    <col min="16130" max="16130" width="16.33203125" customWidth="1"/>
    <col min="16131" max="16139" width="13.5" customWidth="1"/>
    <col min="16140" max="16140" width="15.6640625" customWidth="1"/>
    <col min="16141" max="16141" width="16.83203125" customWidth="1"/>
    <col min="16142" max="16142" width="13.5" customWidth="1"/>
    <col min="16143" max="16143" width="10.6640625" customWidth="1"/>
  </cols>
  <sheetData>
    <row r="1" spans="1:14" ht="12.75" customHeight="1">
      <c r="A1" s="4"/>
      <c r="B1" s="5"/>
      <c r="C1" s="5"/>
      <c r="D1" s="5"/>
      <c r="E1" s="5"/>
      <c r="F1" s="5"/>
      <c r="G1" s="5"/>
      <c r="H1" s="5"/>
      <c r="I1" s="5"/>
      <c r="J1" s="5"/>
      <c r="K1" s="5"/>
      <c r="L1" s="5"/>
      <c r="M1" s="5"/>
      <c r="N1" s="6"/>
    </row>
    <row r="2" spans="1:14" ht="24" customHeight="1">
      <c r="A2" s="7" t="s">
        <v>23</v>
      </c>
      <c r="B2" s="5"/>
      <c r="C2" s="5"/>
      <c r="D2" s="5"/>
      <c r="E2" s="5"/>
      <c r="F2" s="5"/>
      <c r="G2" s="5"/>
      <c r="H2" s="5"/>
      <c r="I2" s="5"/>
      <c r="J2" s="5"/>
      <c r="K2" s="5"/>
      <c r="L2" s="5"/>
      <c r="M2" s="5"/>
      <c r="N2" s="6"/>
    </row>
    <row r="3" spans="1:14" ht="10.5" customHeight="1">
      <c r="A3" s="7"/>
      <c r="B3" s="5"/>
      <c r="C3" s="5"/>
      <c r="D3" s="5"/>
      <c r="E3" s="5"/>
      <c r="F3" s="5"/>
      <c r="G3" s="5"/>
      <c r="H3" s="5"/>
      <c r="I3" s="5"/>
      <c r="J3" s="5"/>
      <c r="K3" s="5"/>
      <c r="L3" s="5"/>
      <c r="M3" s="5"/>
      <c r="N3" s="6"/>
    </row>
    <row r="4" spans="1:14" ht="16.5" customHeight="1" thickBot="1">
      <c r="A4" s="8" t="s">
        <v>24</v>
      </c>
      <c r="B4" s="5"/>
      <c r="C4" s="5"/>
      <c r="D4" s="5"/>
      <c r="E4" s="5"/>
      <c r="F4" s="5"/>
      <c r="G4" s="5"/>
      <c r="H4" s="5"/>
      <c r="I4" s="5"/>
      <c r="J4" s="5"/>
      <c r="K4" s="5"/>
      <c r="L4" s="5"/>
      <c r="M4" s="5"/>
      <c r="N4" s="6"/>
    </row>
    <row r="5" spans="1:14" ht="20" customHeight="1" thickBot="1">
      <c r="A5" s="9"/>
      <c r="B5" s="10"/>
      <c r="C5" s="11" t="s">
        <v>25</v>
      </c>
      <c r="D5" s="12"/>
      <c r="E5" s="12"/>
      <c r="F5" s="12"/>
      <c r="G5" s="12"/>
      <c r="H5" s="13"/>
      <c r="I5" s="14" t="s">
        <v>26</v>
      </c>
      <c r="J5" s="15"/>
      <c r="K5" s="15"/>
      <c r="L5" s="15"/>
      <c r="M5" s="15"/>
      <c r="N5" s="16"/>
    </row>
    <row r="6" spans="1:14" ht="18" customHeight="1" thickBot="1">
      <c r="A6" s="17"/>
      <c r="B6" s="18"/>
      <c r="C6" s="19" t="s">
        <v>27</v>
      </c>
      <c r="D6" s="13"/>
      <c r="E6" s="13"/>
      <c r="F6" s="19" t="s">
        <v>28</v>
      </c>
      <c r="G6" s="13"/>
      <c r="H6" s="13"/>
      <c r="I6" s="19" t="s">
        <v>27</v>
      </c>
      <c r="J6" s="13"/>
      <c r="K6" s="13"/>
      <c r="L6" s="20" t="s">
        <v>29</v>
      </c>
      <c r="M6" s="13"/>
      <c r="N6" s="21"/>
    </row>
    <row r="7" spans="1:14" ht="15" customHeight="1">
      <c r="A7" s="22" t="s">
        <v>30</v>
      </c>
      <c r="B7" s="18"/>
      <c r="C7" s="23" t="s">
        <v>31</v>
      </c>
      <c r="D7" s="23" t="s">
        <v>31</v>
      </c>
      <c r="E7" s="23" t="s">
        <v>31</v>
      </c>
      <c r="F7" s="24" t="s">
        <v>31</v>
      </c>
      <c r="G7" s="23" t="s">
        <v>31</v>
      </c>
      <c r="H7" s="23" t="s">
        <v>31</v>
      </c>
      <c r="I7" s="23" t="s">
        <v>31</v>
      </c>
      <c r="J7" s="23" t="s">
        <v>31</v>
      </c>
      <c r="K7" s="23" t="s">
        <v>31</v>
      </c>
      <c r="L7" s="25"/>
      <c r="M7" s="23"/>
      <c r="N7" s="26" t="s">
        <v>32</v>
      </c>
    </row>
    <row r="8" spans="1:14" ht="17" customHeight="1">
      <c r="A8" s="17"/>
      <c r="B8" s="27"/>
      <c r="C8" s="23" t="s">
        <v>33</v>
      </c>
      <c r="D8" s="23" t="s">
        <v>34</v>
      </c>
      <c r="E8" s="23" t="s">
        <v>35</v>
      </c>
      <c r="F8" s="24" t="s">
        <v>36</v>
      </c>
      <c r="G8" s="23" t="s">
        <v>37</v>
      </c>
      <c r="H8" s="23" t="s">
        <v>38</v>
      </c>
      <c r="I8" s="23" t="s">
        <v>33</v>
      </c>
      <c r="J8" s="23" t="s">
        <v>34</v>
      </c>
      <c r="K8" s="23" t="s">
        <v>33</v>
      </c>
      <c r="L8" s="25"/>
      <c r="M8" s="23"/>
      <c r="N8" s="26" t="s">
        <v>20</v>
      </c>
    </row>
    <row r="9" spans="1:14" ht="19.5" customHeight="1">
      <c r="A9" s="17"/>
      <c r="B9" s="27"/>
      <c r="C9" s="28" t="s">
        <v>39</v>
      </c>
      <c r="D9" s="28" t="s">
        <v>40</v>
      </c>
      <c r="E9" s="29">
        <v>2019</v>
      </c>
      <c r="F9" s="24" t="s">
        <v>41</v>
      </c>
      <c r="G9" s="23" t="s">
        <v>42</v>
      </c>
      <c r="H9" s="23" t="s">
        <v>35</v>
      </c>
      <c r="I9" s="28" t="s">
        <v>39</v>
      </c>
      <c r="J9" s="28" t="s">
        <v>40</v>
      </c>
      <c r="K9" s="28">
        <v>2018</v>
      </c>
      <c r="L9" s="29">
        <v>2019</v>
      </c>
      <c r="M9" s="28">
        <v>2018</v>
      </c>
      <c r="N9" s="30" t="s">
        <v>43</v>
      </c>
    </row>
    <row r="10" spans="1:14" ht="12" customHeight="1" thickBot="1">
      <c r="A10" s="31"/>
      <c r="B10" s="32"/>
      <c r="C10" s="32"/>
      <c r="D10" s="32"/>
      <c r="E10" s="32"/>
      <c r="F10" s="32"/>
      <c r="G10" s="32"/>
      <c r="H10" s="32"/>
      <c r="I10" s="32"/>
      <c r="J10" s="32"/>
      <c r="K10" s="32"/>
      <c r="L10" s="32"/>
      <c r="M10" s="32"/>
      <c r="N10" s="33"/>
    </row>
    <row r="11" spans="1:14" ht="9" customHeight="1">
      <c r="A11" s="4"/>
      <c r="B11" s="34"/>
      <c r="C11" s="35"/>
      <c r="D11" s="35"/>
      <c r="E11" s="35"/>
      <c r="F11" s="36"/>
      <c r="G11" s="36"/>
      <c r="H11" s="36"/>
      <c r="I11" s="35"/>
      <c r="J11" s="35"/>
      <c r="K11" s="35"/>
      <c r="L11" s="35"/>
      <c r="M11" s="35"/>
      <c r="N11" s="37"/>
    </row>
    <row r="12" spans="1:14" ht="18" customHeight="1">
      <c r="A12" s="38" t="s">
        <v>44</v>
      </c>
      <c r="B12" s="39"/>
      <c r="C12" s="40"/>
      <c r="D12" s="40"/>
      <c r="E12" s="40"/>
      <c r="F12" s="41"/>
      <c r="G12" s="41"/>
      <c r="H12" s="41"/>
      <c r="I12" s="40"/>
      <c r="J12" s="40"/>
      <c r="K12" s="40"/>
      <c r="L12" s="40"/>
      <c r="M12" s="40"/>
      <c r="N12" s="42"/>
    </row>
    <row r="13" spans="1:14" ht="9" customHeight="1">
      <c r="A13" s="43"/>
      <c r="B13" s="34"/>
      <c r="C13" s="40"/>
      <c r="D13" s="40"/>
      <c r="E13" s="40"/>
      <c r="F13" s="41"/>
      <c r="G13" s="41"/>
      <c r="H13" s="41"/>
      <c r="I13" s="40"/>
      <c r="J13" s="40"/>
      <c r="K13" s="40"/>
      <c r="L13" s="40"/>
      <c r="M13" s="40"/>
      <c r="N13" s="42"/>
    </row>
    <row r="14" spans="1:14" ht="17" customHeight="1">
      <c r="A14" s="44" t="s">
        <v>45</v>
      </c>
      <c r="B14" s="34"/>
      <c r="C14" s="40" t="s">
        <v>31</v>
      </c>
      <c r="D14" s="40" t="s">
        <v>31</v>
      </c>
      <c r="E14" s="40" t="s">
        <v>31</v>
      </c>
      <c r="F14" s="41" t="s">
        <v>31</v>
      </c>
      <c r="G14" s="41" t="s">
        <v>31</v>
      </c>
      <c r="H14" s="41" t="s">
        <v>31</v>
      </c>
      <c r="I14" s="40" t="s">
        <v>31</v>
      </c>
      <c r="J14" s="40" t="s">
        <v>31</v>
      </c>
      <c r="K14" s="40" t="s">
        <v>31</v>
      </c>
      <c r="L14" s="40" t="s">
        <v>31</v>
      </c>
      <c r="M14" s="40" t="s">
        <v>31</v>
      </c>
      <c r="N14" s="42" t="s">
        <v>31</v>
      </c>
    </row>
    <row r="15" spans="1:14" ht="18.75" customHeight="1">
      <c r="A15" s="45" t="s">
        <v>46</v>
      </c>
      <c r="B15" s="34"/>
      <c r="C15" s="46">
        <v>254092</v>
      </c>
      <c r="D15" s="46">
        <v>253190</v>
      </c>
      <c r="E15" s="46">
        <v>257319</v>
      </c>
      <c r="F15" s="47">
        <v>0.4</v>
      </c>
      <c r="G15" s="47">
        <v>-1.6</v>
      </c>
      <c r="H15" s="47">
        <v>-0.5</v>
      </c>
      <c r="I15" s="46">
        <v>261855</v>
      </c>
      <c r="J15" s="46">
        <v>252218</v>
      </c>
      <c r="K15" s="46">
        <v>254534</v>
      </c>
      <c r="L15" s="46">
        <v>1262276</v>
      </c>
      <c r="M15" s="46">
        <v>1214767</v>
      </c>
      <c r="N15" s="48">
        <v>3.9</v>
      </c>
    </row>
    <row r="16" spans="1:14" ht="19.5" customHeight="1">
      <c r="A16" s="45" t="s">
        <v>47</v>
      </c>
      <c r="B16" s="34"/>
      <c r="C16" s="72">
        <v>243367</v>
      </c>
      <c r="D16" s="46">
        <v>246694</v>
      </c>
      <c r="E16" s="46">
        <v>253834</v>
      </c>
      <c r="F16" s="47">
        <v>-1.3</v>
      </c>
      <c r="G16" s="47">
        <v>-2.8</v>
      </c>
      <c r="H16" s="47">
        <v>1.7</v>
      </c>
      <c r="I16" s="46">
        <v>244890</v>
      </c>
      <c r="J16" s="46">
        <v>245438</v>
      </c>
      <c r="K16" s="46">
        <v>253209</v>
      </c>
      <c r="L16" s="46">
        <v>1235760</v>
      </c>
      <c r="M16" s="46">
        <v>1223819</v>
      </c>
      <c r="N16" s="48">
        <v>1</v>
      </c>
    </row>
    <row r="17" spans="1:18" ht="9" customHeight="1">
      <c r="A17" s="45"/>
      <c r="B17" s="34"/>
      <c r="C17" s="46"/>
      <c r="D17" s="46"/>
      <c r="E17" s="46"/>
      <c r="F17" s="47"/>
      <c r="G17" s="47"/>
      <c r="H17" s="47"/>
      <c r="I17" s="46"/>
      <c r="J17" s="46"/>
      <c r="K17" s="46"/>
      <c r="L17" s="46"/>
      <c r="M17" s="46"/>
      <c r="N17" s="48"/>
    </row>
    <row r="18" spans="1:18" ht="20" customHeight="1">
      <c r="A18" s="49" t="s">
        <v>48</v>
      </c>
      <c r="B18" s="34"/>
      <c r="C18" s="46"/>
      <c r="D18" s="46"/>
      <c r="E18" s="46"/>
      <c r="F18" s="47"/>
      <c r="G18" s="47"/>
      <c r="H18" s="47"/>
      <c r="I18" s="46"/>
      <c r="J18" s="46"/>
      <c r="K18" s="46"/>
      <c r="L18" s="46"/>
      <c r="M18" s="46"/>
      <c r="N18" s="48"/>
    </row>
    <row r="19" spans="1:18" ht="17.25" customHeight="1">
      <c r="A19" s="45" t="s">
        <v>46</v>
      </c>
      <c r="B19" s="34"/>
      <c r="C19" s="46">
        <v>168337</v>
      </c>
      <c r="D19" s="46">
        <v>167677</v>
      </c>
      <c r="E19" s="46">
        <v>167815</v>
      </c>
      <c r="F19" s="47">
        <v>0.4</v>
      </c>
      <c r="G19" s="47">
        <v>-0.1</v>
      </c>
      <c r="H19" s="47">
        <v>-0.7</v>
      </c>
      <c r="I19" s="46">
        <v>173204</v>
      </c>
      <c r="J19" s="46">
        <v>167920</v>
      </c>
      <c r="K19" s="46">
        <v>169648</v>
      </c>
      <c r="L19" s="46">
        <v>825457</v>
      </c>
      <c r="M19" s="46">
        <v>802497</v>
      </c>
      <c r="N19" s="48">
        <v>2.9</v>
      </c>
    </row>
    <row r="20" spans="1:18" ht="18" customHeight="1">
      <c r="A20" s="45" t="s">
        <v>47</v>
      </c>
      <c r="B20" s="34"/>
      <c r="C20" s="46">
        <v>163371</v>
      </c>
      <c r="D20" s="46">
        <v>162840</v>
      </c>
      <c r="E20" s="46">
        <v>163039</v>
      </c>
      <c r="F20" s="47">
        <v>0.3</v>
      </c>
      <c r="G20" s="47">
        <v>-0.1</v>
      </c>
      <c r="H20" s="47">
        <v>-0.5</v>
      </c>
      <c r="I20" s="46">
        <v>168217</v>
      </c>
      <c r="J20" s="46">
        <v>165761</v>
      </c>
      <c r="K20" s="46">
        <v>168092</v>
      </c>
      <c r="L20" s="46">
        <v>815382</v>
      </c>
      <c r="M20" s="46">
        <v>803279</v>
      </c>
      <c r="N20" s="48">
        <v>1.5</v>
      </c>
    </row>
    <row r="21" spans="1:18" ht="9" customHeight="1">
      <c r="A21" s="45"/>
      <c r="B21" s="34"/>
      <c r="C21" s="46"/>
      <c r="D21" s="46"/>
      <c r="E21" s="46"/>
      <c r="F21" s="47"/>
      <c r="G21" s="47"/>
      <c r="H21" s="47"/>
      <c r="I21" s="46"/>
      <c r="J21" s="46"/>
      <c r="K21" s="46"/>
      <c r="L21" s="46"/>
      <c r="M21" s="46"/>
      <c r="N21" s="48"/>
    </row>
    <row r="22" spans="1:18" ht="20" customHeight="1">
      <c r="A22" s="49" t="s">
        <v>49</v>
      </c>
      <c r="B22" s="34"/>
      <c r="C22" s="46"/>
      <c r="D22" s="46"/>
      <c r="E22" s="46"/>
      <c r="F22" s="47"/>
      <c r="G22" s="47"/>
      <c r="H22" s="47"/>
      <c r="I22" s="46"/>
      <c r="J22" s="46"/>
      <c r="K22" s="46"/>
      <c r="L22" s="46"/>
      <c r="M22" s="46"/>
      <c r="N22" s="48"/>
    </row>
    <row r="23" spans="1:18" ht="17.25" customHeight="1">
      <c r="A23" s="45" t="s">
        <v>46</v>
      </c>
      <c r="B23" s="34"/>
      <c r="C23" s="46">
        <v>239037</v>
      </c>
      <c r="D23" s="46">
        <v>238127</v>
      </c>
      <c r="E23" s="46">
        <v>242824</v>
      </c>
      <c r="F23" s="47">
        <v>0.4</v>
      </c>
      <c r="G23" s="47">
        <v>-1.9</v>
      </c>
      <c r="H23" s="47">
        <v>-0.6</v>
      </c>
      <c r="I23" s="46">
        <v>247078</v>
      </c>
      <c r="J23" s="46">
        <v>238689</v>
      </c>
      <c r="K23" s="46">
        <v>241367</v>
      </c>
      <c r="L23" s="46">
        <v>1191391</v>
      </c>
      <c r="M23" s="46">
        <v>1151435</v>
      </c>
      <c r="N23" s="48">
        <v>3.5</v>
      </c>
    </row>
    <row r="24" spans="1:18" ht="20.25" customHeight="1">
      <c r="A24" s="45" t="s">
        <v>47</v>
      </c>
      <c r="B24" s="34"/>
      <c r="C24" s="46">
        <v>227976</v>
      </c>
      <c r="D24" s="46">
        <v>229451</v>
      </c>
      <c r="E24" s="46">
        <v>237243</v>
      </c>
      <c r="F24" s="47">
        <v>-0.6</v>
      </c>
      <c r="G24" s="47">
        <v>-3.3</v>
      </c>
      <c r="H24" s="47">
        <v>0.1</v>
      </c>
      <c r="I24" s="46">
        <v>231842</v>
      </c>
      <c r="J24" s="46">
        <v>231325</v>
      </c>
      <c r="K24" s="46">
        <v>239784</v>
      </c>
      <c r="L24" s="46">
        <v>1164577</v>
      </c>
      <c r="M24" s="46">
        <v>1160583</v>
      </c>
      <c r="N24" s="48">
        <v>0.3</v>
      </c>
    </row>
    <row r="25" spans="1:18" ht="9" customHeight="1">
      <c r="A25" s="50"/>
      <c r="B25" s="34"/>
      <c r="C25" s="46"/>
      <c r="D25" s="46"/>
      <c r="E25" s="46"/>
      <c r="F25" s="47"/>
      <c r="G25" s="47"/>
      <c r="H25" s="47"/>
      <c r="I25" s="46"/>
      <c r="J25" s="46"/>
      <c r="K25" s="46"/>
      <c r="L25" s="46"/>
      <c r="M25" s="46"/>
      <c r="N25" s="48"/>
    </row>
    <row r="26" spans="1:18" ht="20" customHeight="1">
      <c r="A26" s="49" t="s">
        <v>50</v>
      </c>
      <c r="B26" s="34"/>
      <c r="C26" s="46"/>
      <c r="D26" s="46"/>
      <c r="E26" s="46"/>
      <c r="F26" s="47"/>
      <c r="G26" s="47"/>
      <c r="H26" s="47"/>
      <c r="I26" s="46"/>
      <c r="J26" s="46"/>
      <c r="K26" s="46"/>
      <c r="L26" s="46"/>
      <c r="M26" s="46"/>
      <c r="N26" s="48"/>
    </row>
    <row r="27" spans="1:18" ht="17.25" customHeight="1">
      <c r="A27" s="45" t="s">
        <v>46</v>
      </c>
      <c r="B27" s="34"/>
      <c r="C27" s="46">
        <v>176299</v>
      </c>
      <c r="D27" s="46">
        <v>175963</v>
      </c>
      <c r="E27" s="46">
        <v>178585</v>
      </c>
      <c r="F27" s="47">
        <v>0.2</v>
      </c>
      <c r="G27" s="47">
        <v>-1.5</v>
      </c>
      <c r="H27" s="47">
        <v>-0.6</v>
      </c>
      <c r="I27" s="46">
        <v>181805</v>
      </c>
      <c r="J27" s="46">
        <v>173849</v>
      </c>
      <c r="K27" s="46">
        <v>179552</v>
      </c>
      <c r="L27" s="46">
        <v>874765</v>
      </c>
      <c r="M27" s="46">
        <v>844699</v>
      </c>
      <c r="N27" s="48">
        <v>3.6</v>
      </c>
    </row>
    <row r="28" spans="1:18" ht="19.5" customHeight="1">
      <c r="A28" s="45" t="s">
        <v>51</v>
      </c>
      <c r="B28" s="34"/>
      <c r="C28" s="46">
        <v>169928</v>
      </c>
      <c r="D28" s="46">
        <v>173658</v>
      </c>
      <c r="E28" s="46">
        <v>179278</v>
      </c>
      <c r="F28" s="47">
        <v>-2.1</v>
      </c>
      <c r="G28" s="47">
        <v>-3.1</v>
      </c>
      <c r="H28" s="47">
        <v>2.4</v>
      </c>
      <c r="I28" s="46">
        <v>168570</v>
      </c>
      <c r="J28" s="46">
        <v>170930</v>
      </c>
      <c r="K28" s="46">
        <v>181624</v>
      </c>
      <c r="L28" s="46">
        <v>868271</v>
      </c>
      <c r="M28" s="46">
        <v>872495</v>
      </c>
      <c r="N28" s="48">
        <v>-0.5</v>
      </c>
    </row>
    <row r="29" spans="1:18" ht="9" customHeight="1">
      <c r="A29" s="45"/>
      <c r="B29" s="34"/>
      <c r="C29" s="46"/>
      <c r="D29" s="46"/>
      <c r="E29" s="46"/>
      <c r="F29" s="47"/>
      <c r="G29" s="47"/>
      <c r="H29" s="47"/>
      <c r="I29" s="46"/>
      <c r="J29" s="46"/>
      <c r="K29" s="46"/>
      <c r="L29" s="46"/>
      <c r="M29" s="46"/>
      <c r="N29" s="48"/>
    </row>
    <row r="30" spans="1:18" ht="16.5" customHeight="1">
      <c r="A30" s="49" t="s">
        <v>52</v>
      </c>
      <c r="B30" s="34"/>
      <c r="C30" s="46"/>
      <c r="D30" s="46"/>
      <c r="E30" s="46"/>
      <c r="F30" s="47"/>
      <c r="G30" s="47"/>
      <c r="H30" s="47"/>
      <c r="I30" s="46"/>
      <c r="J30" s="46"/>
      <c r="K30" s="46"/>
      <c r="L30" s="46"/>
      <c r="M30" s="46"/>
      <c r="N30" s="48"/>
    </row>
    <row r="31" spans="1:18" ht="18" customHeight="1">
      <c r="A31" s="45" t="s">
        <v>46</v>
      </c>
      <c r="B31" s="34"/>
      <c r="C31" s="46">
        <v>20652</v>
      </c>
      <c r="D31" s="46">
        <v>20801</v>
      </c>
      <c r="E31" s="46">
        <v>21105</v>
      </c>
      <c r="F31" s="47">
        <v>-0.7</v>
      </c>
      <c r="G31" s="47">
        <v>-1.4</v>
      </c>
      <c r="H31" s="47">
        <v>-1.4</v>
      </c>
      <c r="I31" s="46">
        <v>21771</v>
      </c>
      <c r="J31" s="46">
        <v>21653</v>
      </c>
      <c r="K31" s="46">
        <v>22560</v>
      </c>
      <c r="L31" s="46">
        <v>106840</v>
      </c>
      <c r="M31" s="46">
        <v>105546</v>
      </c>
      <c r="N31" s="48">
        <v>1.2</v>
      </c>
    </row>
    <row r="32" spans="1:18" ht="17.25" customHeight="1">
      <c r="A32" s="45" t="s">
        <v>51</v>
      </c>
      <c r="B32" s="34"/>
      <c r="C32" s="46">
        <v>20589</v>
      </c>
      <c r="D32" s="46">
        <v>20517</v>
      </c>
      <c r="E32" s="46">
        <v>21027</v>
      </c>
      <c r="F32" s="47">
        <v>0.4</v>
      </c>
      <c r="G32" s="47">
        <v>-2.4</v>
      </c>
      <c r="H32" s="47">
        <v>-2</v>
      </c>
      <c r="I32" s="46">
        <v>21108</v>
      </c>
      <c r="J32" s="46">
        <v>21531</v>
      </c>
      <c r="K32" s="46">
        <v>22589</v>
      </c>
      <c r="L32" s="46">
        <v>107596</v>
      </c>
      <c r="M32" s="46">
        <v>108614</v>
      </c>
      <c r="N32" s="48">
        <v>-0.9</v>
      </c>
      <c r="R32" s="73">
        <f>C32+C36+C40+C44+C57+C61+C77</f>
        <v>243367</v>
      </c>
    </row>
    <row r="33" spans="1:14" ht="9" customHeight="1">
      <c r="A33" s="51"/>
      <c r="B33" s="34"/>
      <c r="C33" s="46"/>
      <c r="D33" s="46"/>
      <c r="E33" s="46"/>
      <c r="F33" s="47"/>
      <c r="G33" s="47"/>
      <c r="H33" s="47"/>
      <c r="I33" s="46"/>
      <c r="J33" s="46"/>
      <c r="K33" s="46"/>
      <c r="L33" s="46"/>
      <c r="M33" s="46"/>
      <c r="N33" s="48"/>
    </row>
    <row r="34" spans="1:14" ht="18" customHeight="1">
      <c r="A34" s="51" t="s">
        <v>53</v>
      </c>
      <c r="B34" s="34"/>
      <c r="C34" s="46"/>
      <c r="D34" s="46"/>
      <c r="E34" s="46"/>
      <c r="F34" s="47"/>
      <c r="G34" s="47"/>
      <c r="H34" s="47"/>
      <c r="I34" s="46"/>
      <c r="J34" s="46"/>
      <c r="K34" s="46"/>
      <c r="L34" s="46"/>
      <c r="M34" s="46"/>
      <c r="N34" s="48"/>
    </row>
    <row r="35" spans="1:14" ht="18" customHeight="1">
      <c r="A35" s="45" t="s">
        <v>46</v>
      </c>
      <c r="B35" s="34"/>
      <c r="C35" s="46">
        <v>33620</v>
      </c>
      <c r="D35" s="46">
        <v>33417</v>
      </c>
      <c r="E35" s="46">
        <v>33655</v>
      </c>
      <c r="F35" s="47">
        <v>0.6</v>
      </c>
      <c r="G35" s="47">
        <v>-0.7</v>
      </c>
      <c r="H35" s="47">
        <v>-0.7</v>
      </c>
      <c r="I35" s="46">
        <v>35341</v>
      </c>
      <c r="J35" s="46">
        <v>33878</v>
      </c>
      <c r="K35" s="46">
        <v>34301</v>
      </c>
      <c r="L35" s="46">
        <v>166849</v>
      </c>
      <c r="M35" s="46">
        <v>159830</v>
      </c>
      <c r="N35" s="48">
        <v>4.4000000000000004</v>
      </c>
    </row>
    <row r="36" spans="1:14" ht="17.25" customHeight="1">
      <c r="A36" s="45" t="s">
        <v>51</v>
      </c>
      <c r="B36" s="34"/>
      <c r="C36" s="46">
        <v>33307</v>
      </c>
      <c r="D36" s="46">
        <v>33435</v>
      </c>
      <c r="E36" s="46">
        <v>33160</v>
      </c>
      <c r="F36" s="47">
        <v>-0.4</v>
      </c>
      <c r="G36" s="47">
        <v>0.8</v>
      </c>
      <c r="H36" s="47">
        <v>-1.5</v>
      </c>
      <c r="I36" s="46">
        <v>35642</v>
      </c>
      <c r="J36" s="46">
        <v>34943</v>
      </c>
      <c r="K36" s="46">
        <v>35670</v>
      </c>
      <c r="L36" s="46">
        <v>171019</v>
      </c>
      <c r="M36" s="46">
        <v>167785</v>
      </c>
      <c r="N36" s="48">
        <v>1.9</v>
      </c>
    </row>
    <row r="37" spans="1:14" ht="9" customHeight="1">
      <c r="A37" s="50"/>
      <c r="B37" s="34"/>
      <c r="C37" s="46"/>
      <c r="D37" s="46"/>
      <c r="E37" s="46"/>
      <c r="F37" s="47"/>
      <c r="G37" s="47"/>
      <c r="H37" s="47"/>
      <c r="I37" s="46"/>
      <c r="J37" s="46"/>
      <c r="K37" s="46"/>
      <c r="L37" s="46"/>
      <c r="M37" s="46"/>
      <c r="N37" s="48"/>
    </row>
    <row r="38" spans="1:14" ht="18.75" customHeight="1">
      <c r="A38" s="45" t="s">
        <v>54</v>
      </c>
      <c r="B38" s="34"/>
      <c r="C38" s="46"/>
      <c r="D38" s="46"/>
      <c r="E38" s="46"/>
      <c r="F38" s="47"/>
      <c r="G38" s="47"/>
      <c r="H38" s="47"/>
      <c r="I38" s="46"/>
      <c r="J38" s="46"/>
      <c r="K38" s="46"/>
      <c r="L38" s="46"/>
      <c r="M38" s="46"/>
      <c r="N38" s="48"/>
    </row>
    <row r="39" spans="1:14" ht="19.5" customHeight="1">
      <c r="A39" s="45" t="s">
        <v>46</v>
      </c>
      <c r="B39" s="34"/>
      <c r="C39" s="46">
        <v>33419</v>
      </c>
      <c r="D39" s="46">
        <v>33060</v>
      </c>
      <c r="E39" s="46">
        <v>32969</v>
      </c>
      <c r="F39" s="47">
        <v>1.1000000000000001</v>
      </c>
      <c r="G39" s="47">
        <v>0.3</v>
      </c>
      <c r="H39" s="47">
        <v>-1.4</v>
      </c>
      <c r="I39" s="46">
        <v>35049</v>
      </c>
      <c r="J39" s="46">
        <v>33775</v>
      </c>
      <c r="K39" s="46">
        <v>33920</v>
      </c>
      <c r="L39" s="46">
        <v>166232</v>
      </c>
      <c r="M39" s="46">
        <v>161305</v>
      </c>
      <c r="N39" s="48">
        <v>3.1</v>
      </c>
    </row>
    <row r="40" spans="1:14" ht="17.25" customHeight="1">
      <c r="A40" s="45" t="s">
        <v>51</v>
      </c>
      <c r="B40" s="34"/>
      <c r="C40" s="46">
        <v>32824</v>
      </c>
      <c r="D40" s="46">
        <v>32608</v>
      </c>
      <c r="E40" s="46">
        <v>32545</v>
      </c>
      <c r="F40" s="47">
        <v>0.7</v>
      </c>
      <c r="G40" s="47">
        <v>0.2</v>
      </c>
      <c r="H40" s="47">
        <v>-2</v>
      </c>
      <c r="I40" s="46">
        <v>33857</v>
      </c>
      <c r="J40" s="46">
        <v>33858</v>
      </c>
      <c r="K40" s="46">
        <v>33832</v>
      </c>
      <c r="L40" s="46">
        <v>166817</v>
      </c>
      <c r="M40" s="46">
        <v>164920</v>
      </c>
      <c r="N40" s="48">
        <v>1.2</v>
      </c>
    </row>
    <row r="41" spans="1:14" ht="9" customHeight="1">
      <c r="A41" s="49"/>
      <c r="B41" s="34"/>
      <c r="C41" s="46"/>
      <c r="D41" s="46"/>
      <c r="E41" s="46"/>
      <c r="F41" s="47"/>
      <c r="G41" s="47"/>
      <c r="H41" s="47"/>
      <c r="I41" s="46"/>
      <c r="J41" s="46"/>
      <c r="K41" s="46"/>
      <c r="L41" s="46"/>
      <c r="M41" s="46"/>
      <c r="N41" s="48"/>
    </row>
    <row r="42" spans="1:14" ht="20" customHeight="1">
      <c r="A42" s="45" t="s">
        <v>55</v>
      </c>
      <c r="B42" s="34"/>
      <c r="C42" s="46"/>
      <c r="D42" s="46"/>
      <c r="E42" s="46"/>
      <c r="F42" s="47"/>
      <c r="G42" s="47"/>
      <c r="H42" s="47"/>
      <c r="I42" s="46"/>
      <c r="J42" s="46"/>
      <c r="K42" s="46"/>
      <c r="L42" s="46"/>
      <c r="M42" s="46"/>
      <c r="N42" s="48"/>
    </row>
    <row r="43" spans="1:14" ht="18" customHeight="1">
      <c r="A43" s="45" t="s">
        <v>46</v>
      </c>
      <c r="B43" s="34"/>
      <c r="C43" s="46">
        <v>28311</v>
      </c>
      <c r="D43" s="46">
        <v>28134</v>
      </c>
      <c r="E43" s="46">
        <v>27791</v>
      </c>
      <c r="F43" s="47">
        <v>0.6</v>
      </c>
      <c r="G43" s="47">
        <v>1.2</v>
      </c>
      <c r="H43" s="47">
        <v>-1</v>
      </c>
      <c r="I43" s="46">
        <v>26605</v>
      </c>
      <c r="J43" s="46">
        <v>25808</v>
      </c>
      <c r="K43" s="46">
        <v>25083</v>
      </c>
      <c r="L43" s="46">
        <v>131148</v>
      </c>
      <c r="M43" s="46">
        <v>124284</v>
      </c>
      <c r="N43" s="48">
        <v>5.5</v>
      </c>
    </row>
    <row r="44" spans="1:14" ht="20.25" customHeight="1">
      <c r="A44" s="45" t="s">
        <v>51</v>
      </c>
      <c r="B44" s="34"/>
      <c r="C44" s="46">
        <v>24091</v>
      </c>
      <c r="D44" s="46">
        <v>23905</v>
      </c>
      <c r="E44" s="46">
        <v>24056</v>
      </c>
      <c r="F44" s="47">
        <v>0.8</v>
      </c>
      <c r="G44" s="47">
        <v>-0.6</v>
      </c>
      <c r="H44" s="47">
        <v>2.1</v>
      </c>
      <c r="I44" s="46">
        <v>22710</v>
      </c>
      <c r="J44" s="46">
        <v>22050</v>
      </c>
      <c r="K44" s="46">
        <v>22010</v>
      </c>
      <c r="L44" s="46">
        <v>113226</v>
      </c>
      <c r="M44" s="46">
        <v>108402</v>
      </c>
      <c r="N44" s="48">
        <v>4.5</v>
      </c>
    </row>
    <row r="45" spans="1:14" ht="9" customHeight="1">
      <c r="A45" s="51"/>
      <c r="B45" s="34"/>
      <c r="C45" s="46"/>
      <c r="D45" s="46"/>
      <c r="E45" s="46"/>
      <c r="F45" s="47"/>
      <c r="G45" s="47"/>
      <c r="H45" s="47"/>
      <c r="I45" s="46"/>
      <c r="J45" s="46"/>
      <c r="K45" s="46"/>
      <c r="L45" s="46"/>
      <c r="M45" s="46"/>
      <c r="N45" s="48"/>
    </row>
    <row r="46" spans="1:14" ht="18.75" customHeight="1">
      <c r="A46" s="49" t="s">
        <v>56</v>
      </c>
      <c r="B46" s="34"/>
      <c r="C46" s="46"/>
      <c r="D46" s="46"/>
      <c r="E46" s="46"/>
      <c r="F46" s="47"/>
      <c r="G46" s="47"/>
      <c r="H46" s="47"/>
      <c r="I46" s="46"/>
      <c r="J46" s="46"/>
      <c r="K46" s="46"/>
      <c r="L46" s="46"/>
      <c r="M46" s="46"/>
      <c r="N46" s="48"/>
    </row>
    <row r="47" spans="1:14" ht="18.75" customHeight="1">
      <c r="A47" s="52" t="s">
        <v>46</v>
      </c>
      <c r="B47" s="34"/>
      <c r="C47" s="46">
        <v>1813</v>
      </c>
      <c r="D47" s="46">
        <v>1827</v>
      </c>
      <c r="E47" s="46">
        <v>1750</v>
      </c>
      <c r="F47" s="47">
        <v>-0.8</v>
      </c>
      <c r="G47" s="47">
        <v>4.4000000000000004</v>
      </c>
      <c r="H47" s="47">
        <v>-5.4</v>
      </c>
      <c r="I47" s="46">
        <v>1624</v>
      </c>
      <c r="J47" s="46">
        <v>1523</v>
      </c>
      <c r="K47" s="46">
        <v>1623</v>
      </c>
      <c r="L47" s="46">
        <v>7831</v>
      </c>
      <c r="M47" s="46">
        <v>7826</v>
      </c>
      <c r="N47" s="48">
        <v>0.1</v>
      </c>
    </row>
    <row r="48" spans="1:14" ht="18" customHeight="1">
      <c r="A48" s="45" t="s">
        <v>51</v>
      </c>
      <c r="B48" s="34"/>
      <c r="C48" s="46">
        <v>1770</v>
      </c>
      <c r="D48" s="46">
        <v>1813</v>
      </c>
      <c r="E48" s="46">
        <v>1752</v>
      </c>
      <c r="F48" s="47">
        <v>-2.4</v>
      </c>
      <c r="G48" s="47">
        <v>3.5</v>
      </c>
      <c r="H48" s="47">
        <v>-4.8</v>
      </c>
      <c r="I48" s="46">
        <v>1581</v>
      </c>
      <c r="J48" s="46">
        <v>1509</v>
      </c>
      <c r="K48" s="46">
        <v>1632</v>
      </c>
      <c r="L48" s="46">
        <v>7808</v>
      </c>
      <c r="M48" s="46">
        <v>7963</v>
      </c>
      <c r="N48" s="48">
        <v>-1.9</v>
      </c>
    </row>
    <row r="49" spans="1:14" ht="9" customHeight="1">
      <c r="A49" s="52" t="s">
        <v>57</v>
      </c>
      <c r="B49" s="34"/>
      <c r="C49" s="46"/>
      <c r="D49" s="46"/>
      <c r="E49" s="46"/>
      <c r="F49" s="47"/>
      <c r="G49" s="47"/>
      <c r="H49" s="47"/>
      <c r="I49" s="46"/>
      <c r="J49" s="46"/>
      <c r="K49" s="46"/>
      <c r="L49" s="46"/>
      <c r="M49" s="46"/>
      <c r="N49" s="48"/>
    </row>
    <row r="50" spans="1:14" ht="18.75" customHeight="1">
      <c r="A50" s="45" t="s">
        <v>58</v>
      </c>
      <c r="B50" s="34"/>
      <c r="C50" s="46"/>
      <c r="D50" s="46"/>
      <c r="E50" s="46"/>
      <c r="F50" s="47"/>
      <c r="G50" s="47"/>
      <c r="H50" s="47"/>
      <c r="I50" s="46"/>
      <c r="J50" s="46"/>
      <c r="K50" s="46"/>
      <c r="L50" s="46"/>
      <c r="M50" s="46"/>
      <c r="N50" s="48"/>
    </row>
    <row r="51" spans="1:14" ht="18.75" customHeight="1">
      <c r="A51" s="45" t="s">
        <v>46</v>
      </c>
      <c r="B51" s="34"/>
      <c r="C51" s="46">
        <v>3826</v>
      </c>
      <c r="D51" s="46">
        <v>3825</v>
      </c>
      <c r="E51" s="46">
        <v>3835</v>
      </c>
      <c r="F51" s="47">
        <v>0</v>
      </c>
      <c r="G51" s="47">
        <v>-0.3</v>
      </c>
      <c r="H51" s="47">
        <v>0.6</v>
      </c>
      <c r="I51" s="46">
        <v>3570</v>
      </c>
      <c r="J51" s="46">
        <v>3476</v>
      </c>
      <c r="K51" s="46">
        <v>3197</v>
      </c>
      <c r="L51" s="46">
        <v>17559</v>
      </c>
      <c r="M51" s="46">
        <v>15654</v>
      </c>
      <c r="N51" s="48">
        <v>12.2</v>
      </c>
    </row>
    <row r="52" spans="1:14" ht="18.75" customHeight="1">
      <c r="A52" s="45" t="s">
        <v>51</v>
      </c>
      <c r="B52" s="34"/>
      <c r="C52" s="46">
        <v>3695</v>
      </c>
      <c r="D52" s="46">
        <v>3633</v>
      </c>
      <c r="E52" s="46">
        <v>3920</v>
      </c>
      <c r="F52" s="47">
        <v>1.7</v>
      </c>
      <c r="G52" s="47">
        <v>-7.3</v>
      </c>
      <c r="H52" s="47">
        <v>10.199999999999999</v>
      </c>
      <c r="I52" s="46">
        <v>3412</v>
      </c>
      <c r="J52" s="46">
        <v>3316</v>
      </c>
      <c r="K52" s="46">
        <v>3304</v>
      </c>
      <c r="L52" s="46">
        <v>17508</v>
      </c>
      <c r="M52" s="46">
        <v>16711</v>
      </c>
      <c r="N52" s="48">
        <v>4.8</v>
      </c>
    </row>
    <row r="53" spans="1:14" ht="9" customHeight="1">
      <c r="A53" s="45"/>
      <c r="B53" s="34"/>
      <c r="C53" s="46"/>
      <c r="D53" s="46"/>
      <c r="E53" s="46"/>
      <c r="F53" s="47"/>
      <c r="G53" s="47"/>
      <c r="H53" s="47"/>
      <c r="I53" s="46"/>
      <c r="J53" s="46"/>
      <c r="K53" s="46"/>
      <c r="L53" s="46"/>
      <c r="M53" s="46"/>
      <c r="N53" s="53"/>
    </row>
    <row r="54" spans="1:14" ht="18.75" customHeight="1">
      <c r="A54" s="49" t="s">
        <v>59</v>
      </c>
      <c r="B54" s="34"/>
      <c r="C54" s="46"/>
      <c r="D54" s="46"/>
      <c r="E54" s="46"/>
      <c r="F54" s="47"/>
      <c r="G54" s="47"/>
      <c r="H54" s="47"/>
      <c r="I54" s="46"/>
      <c r="J54" s="46"/>
      <c r="K54" s="46"/>
      <c r="L54" s="46"/>
      <c r="M54" s="46"/>
      <c r="N54" s="53"/>
    </row>
    <row r="55" spans="1:14" ht="18.75" customHeight="1">
      <c r="A55" s="45" t="s">
        <v>60</v>
      </c>
      <c r="B55" s="34"/>
      <c r="C55" s="46"/>
      <c r="D55" s="46"/>
      <c r="E55" s="46"/>
      <c r="F55" s="47"/>
      <c r="G55" s="47"/>
      <c r="H55" s="47"/>
      <c r="I55" s="46"/>
      <c r="J55" s="46"/>
      <c r="K55" s="46"/>
      <c r="L55" s="46"/>
      <c r="M55" s="46"/>
      <c r="N55" s="53"/>
    </row>
    <row r="56" spans="1:14" ht="15" customHeight="1">
      <c r="A56" s="45" t="s">
        <v>46</v>
      </c>
      <c r="B56" s="34"/>
      <c r="C56" s="46">
        <v>11586</v>
      </c>
      <c r="D56" s="46">
        <v>11595</v>
      </c>
      <c r="E56" s="46">
        <v>11616</v>
      </c>
      <c r="F56" s="47">
        <v>-0.1</v>
      </c>
      <c r="G56" s="47">
        <v>-0.2</v>
      </c>
      <c r="H56" s="47">
        <v>0.6</v>
      </c>
      <c r="I56" s="46">
        <v>11800</v>
      </c>
      <c r="J56" s="46">
        <v>11403</v>
      </c>
      <c r="K56" s="46">
        <v>11472</v>
      </c>
      <c r="L56" s="46">
        <v>56152</v>
      </c>
      <c r="M56" s="46">
        <v>54278</v>
      </c>
      <c r="N56" s="48">
        <v>3.5</v>
      </c>
    </row>
    <row r="57" spans="1:14" ht="15" customHeight="1">
      <c r="A57" s="45" t="s">
        <v>51</v>
      </c>
      <c r="B57" s="34"/>
      <c r="C57" s="46">
        <v>11731</v>
      </c>
      <c r="D57" s="46">
        <v>11776</v>
      </c>
      <c r="E57" s="46">
        <v>11657</v>
      </c>
      <c r="F57" s="47">
        <v>-0.4</v>
      </c>
      <c r="G57" s="47">
        <v>1</v>
      </c>
      <c r="H57" s="47">
        <v>1.1000000000000001</v>
      </c>
      <c r="I57" s="46">
        <v>12013</v>
      </c>
      <c r="J57" s="46">
        <v>11689</v>
      </c>
      <c r="K57" s="46">
        <v>11540</v>
      </c>
      <c r="L57" s="46">
        <v>57367</v>
      </c>
      <c r="M57" s="46">
        <v>55138</v>
      </c>
      <c r="N57" s="48">
        <v>4</v>
      </c>
    </row>
    <row r="58" spans="1:14" ht="9" customHeight="1">
      <c r="A58" s="51"/>
      <c r="B58" s="34"/>
      <c r="C58" s="46"/>
      <c r="D58" s="46"/>
      <c r="E58" s="46"/>
      <c r="F58" s="47"/>
      <c r="G58" s="47"/>
      <c r="H58" s="47"/>
      <c r="I58" s="46"/>
      <c r="J58" s="46"/>
      <c r="K58" s="46"/>
      <c r="L58" s="46"/>
      <c r="M58" s="46"/>
      <c r="N58" s="48"/>
    </row>
    <row r="59" spans="1:14" ht="15" customHeight="1">
      <c r="A59" s="49" t="s">
        <v>61</v>
      </c>
      <c r="B59" s="34"/>
      <c r="C59" s="46"/>
      <c r="D59" s="46"/>
      <c r="E59" s="46"/>
      <c r="F59" s="47"/>
      <c r="G59" s="47"/>
      <c r="H59" s="47"/>
      <c r="I59" s="46"/>
      <c r="J59" s="46"/>
      <c r="K59" s="46"/>
      <c r="L59" s="46"/>
      <c r="M59" s="46"/>
      <c r="N59" s="48"/>
    </row>
    <row r="60" spans="1:14" ht="20.25" customHeight="1">
      <c r="A60" s="45" t="s">
        <v>46</v>
      </c>
      <c r="B60" s="34"/>
      <c r="C60" s="46">
        <v>85755</v>
      </c>
      <c r="D60" s="46">
        <v>85513</v>
      </c>
      <c r="E60" s="46">
        <v>89504</v>
      </c>
      <c r="F60" s="47">
        <v>0.3</v>
      </c>
      <c r="G60" s="47">
        <v>-4.5</v>
      </c>
      <c r="H60" s="47">
        <v>-0.1</v>
      </c>
      <c r="I60" s="46">
        <v>88651</v>
      </c>
      <c r="J60" s="46">
        <v>84298</v>
      </c>
      <c r="K60" s="46">
        <v>84886</v>
      </c>
      <c r="L60" s="46">
        <v>436819</v>
      </c>
      <c r="M60" s="46">
        <v>412270</v>
      </c>
      <c r="N60" s="48">
        <v>6</v>
      </c>
    </row>
    <row r="61" spans="1:14" ht="17.25" customHeight="1">
      <c r="A61" s="45" t="s">
        <v>51</v>
      </c>
      <c r="B61" s="34"/>
      <c r="C61" s="46">
        <v>79996</v>
      </c>
      <c r="D61" s="46">
        <v>83854</v>
      </c>
      <c r="E61" s="46">
        <v>90795</v>
      </c>
      <c r="F61" s="47">
        <v>-4.5999999999999996</v>
      </c>
      <c r="G61" s="47">
        <v>-7.6</v>
      </c>
      <c r="H61" s="47">
        <v>6</v>
      </c>
      <c r="I61" s="46">
        <v>76673</v>
      </c>
      <c r="J61" s="46">
        <v>79677</v>
      </c>
      <c r="K61" s="46">
        <v>85117</v>
      </c>
      <c r="L61" s="46">
        <v>420378</v>
      </c>
      <c r="M61" s="46">
        <v>420540</v>
      </c>
      <c r="N61" s="48">
        <v>0</v>
      </c>
    </row>
    <row r="62" spans="1:14" ht="9" customHeight="1">
      <c r="A62" s="45"/>
      <c r="B62" s="34"/>
      <c r="C62" s="46"/>
      <c r="D62" s="46"/>
      <c r="E62" s="46"/>
      <c r="F62" s="47"/>
      <c r="G62" s="47"/>
      <c r="H62" s="47"/>
      <c r="I62" s="46"/>
      <c r="J62" s="46"/>
      <c r="K62" s="46"/>
      <c r="L62" s="46"/>
      <c r="M62" s="46"/>
      <c r="N62" s="48"/>
    </row>
    <row r="63" spans="1:14" ht="18.75" customHeight="1">
      <c r="A63" s="51" t="s">
        <v>62</v>
      </c>
      <c r="B63" s="34"/>
      <c r="C63" s="46"/>
      <c r="D63" s="46"/>
      <c r="E63" s="46"/>
      <c r="F63" s="47"/>
      <c r="G63" s="47"/>
      <c r="H63" s="47"/>
      <c r="I63" s="46"/>
      <c r="J63" s="46"/>
      <c r="K63" s="46"/>
      <c r="L63" s="46"/>
      <c r="M63" s="46"/>
      <c r="N63" s="48"/>
    </row>
    <row r="64" spans="1:14" ht="18" customHeight="1">
      <c r="A64" s="45" t="s">
        <v>46</v>
      </c>
      <c r="B64" s="34"/>
      <c r="C64" s="46">
        <v>60555</v>
      </c>
      <c r="D64" s="46">
        <v>60292</v>
      </c>
      <c r="E64" s="46">
        <v>62353</v>
      </c>
      <c r="F64" s="47">
        <v>0.4</v>
      </c>
      <c r="G64" s="47">
        <v>-3.3</v>
      </c>
      <c r="H64" s="47">
        <v>1</v>
      </c>
      <c r="I64" s="46">
        <v>63150</v>
      </c>
      <c r="J64" s="46">
        <v>61502</v>
      </c>
      <c r="K64" s="46">
        <v>57515</v>
      </c>
      <c r="L64" s="46">
        <v>309961</v>
      </c>
      <c r="M64" s="46">
        <v>288140</v>
      </c>
      <c r="N64" s="48">
        <v>7.6</v>
      </c>
    </row>
    <row r="65" spans="1:14" ht="15.75" customHeight="1">
      <c r="A65" s="45" t="s">
        <v>51</v>
      </c>
      <c r="B65" s="34"/>
      <c r="C65" s="46">
        <v>60477</v>
      </c>
      <c r="D65" s="46">
        <v>60142</v>
      </c>
      <c r="E65" s="46">
        <v>62146</v>
      </c>
      <c r="F65" s="47">
        <v>0.6</v>
      </c>
      <c r="G65" s="47">
        <v>-3.2</v>
      </c>
      <c r="H65" s="47">
        <v>0.4</v>
      </c>
      <c r="I65" s="46">
        <v>63108</v>
      </c>
      <c r="J65" s="46">
        <v>60764</v>
      </c>
      <c r="K65" s="46">
        <v>57617</v>
      </c>
      <c r="L65" s="46">
        <v>310317</v>
      </c>
      <c r="M65" s="46">
        <v>288729</v>
      </c>
      <c r="N65" s="48">
        <v>7.5</v>
      </c>
    </row>
    <row r="66" spans="1:14" ht="9" customHeight="1">
      <c r="A66" s="52" t="s">
        <v>63</v>
      </c>
      <c r="B66" s="34"/>
      <c r="C66" s="46"/>
      <c r="D66" s="46"/>
      <c r="E66" s="46"/>
      <c r="F66" s="47"/>
      <c r="G66" s="47"/>
      <c r="H66" s="47"/>
      <c r="I66" s="46"/>
      <c r="J66" s="46"/>
      <c r="K66" s="46"/>
      <c r="L66" s="46"/>
      <c r="M66" s="46"/>
      <c r="N66" s="48"/>
    </row>
    <row r="67" spans="1:14" ht="18.75" customHeight="1">
      <c r="A67" s="45" t="s">
        <v>64</v>
      </c>
      <c r="B67" s="34"/>
      <c r="C67" s="46"/>
      <c r="D67" s="46"/>
      <c r="E67" s="46"/>
      <c r="F67" s="47"/>
      <c r="G67" s="47"/>
      <c r="H67" s="47"/>
      <c r="I67" s="46"/>
      <c r="J67" s="46"/>
      <c r="K67" s="46"/>
      <c r="L67" s="46"/>
      <c r="M67" s="46"/>
      <c r="N67" s="48"/>
    </row>
    <row r="68" spans="1:14" ht="20.25" customHeight="1">
      <c r="A68" s="45" t="s">
        <v>46</v>
      </c>
      <c r="B68" s="34"/>
      <c r="C68" s="46">
        <v>10407</v>
      </c>
      <c r="D68" s="46">
        <v>10558</v>
      </c>
      <c r="E68" s="46">
        <v>13085</v>
      </c>
      <c r="F68" s="47">
        <v>-1.4</v>
      </c>
      <c r="G68" s="47">
        <v>-19.3</v>
      </c>
      <c r="H68" s="47">
        <v>-3.4</v>
      </c>
      <c r="I68" s="46">
        <v>10281</v>
      </c>
      <c r="J68" s="46">
        <v>9131</v>
      </c>
      <c r="K68" s="46">
        <v>13842</v>
      </c>
      <c r="L68" s="46">
        <v>56289</v>
      </c>
      <c r="M68" s="46">
        <v>60508</v>
      </c>
      <c r="N68" s="48">
        <v>-7</v>
      </c>
    </row>
    <row r="69" spans="1:14" ht="18" customHeight="1">
      <c r="A69" s="45" t="s">
        <v>51</v>
      </c>
      <c r="B69" s="34"/>
      <c r="C69" s="46">
        <v>5338</v>
      </c>
      <c r="D69" s="46">
        <v>7438</v>
      </c>
      <c r="E69" s="46">
        <v>12256</v>
      </c>
      <c r="F69" s="54">
        <v>-28.2</v>
      </c>
      <c r="G69" s="54">
        <v>-39.299999999999997</v>
      </c>
      <c r="H69" s="54">
        <v>7.8</v>
      </c>
      <c r="I69" s="46">
        <v>780</v>
      </c>
      <c r="J69" s="46">
        <v>5260</v>
      </c>
      <c r="K69" s="46">
        <v>12998</v>
      </c>
      <c r="L69" s="46">
        <v>41339</v>
      </c>
      <c r="M69" s="46">
        <v>68240</v>
      </c>
      <c r="N69" s="48">
        <v>-39.4</v>
      </c>
    </row>
    <row r="70" spans="1:14" ht="9" customHeight="1">
      <c r="A70" s="45"/>
      <c r="B70" s="34"/>
      <c r="C70" s="46"/>
      <c r="D70" s="46"/>
      <c r="E70" s="46"/>
      <c r="F70" s="47"/>
      <c r="G70" s="47"/>
      <c r="H70" s="47"/>
      <c r="I70" s="46"/>
      <c r="J70" s="46"/>
      <c r="K70" s="46"/>
      <c r="L70" s="46"/>
      <c r="M70" s="46"/>
      <c r="N70" s="48"/>
    </row>
    <row r="71" spans="1:14" ht="18.75" customHeight="1">
      <c r="A71" s="45" t="s">
        <v>65</v>
      </c>
      <c r="B71" s="34"/>
      <c r="C71" s="46"/>
      <c r="D71" s="46"/>
      <c r="E71" s="46"/>
      <c r="F71" s="47"/>
      <c r="G71" s="47"/>
      <c r="H71" s="47"/>
      <c r="I71" s="46"/>
      <c r="J71" s="46"/>
      <c r="K71" s="46"/>
      <c r="L71" s="46"/>
      <c r="M71" s="46"/>
      <c r="N71" s="48"/>
    </row>
    <row r="72" spans="1:14" ht="18.75" customHeight="1">
      <c r="A72" s="45" t="s">
        <v>46</v>
      </c>
      <c r="B72" s="34"/>
      <c r="C72" s="46">
        <v>4708</v>
      </c>
      <c r="D72" s="46">
        <v>4783</v>
      </c>
      <c r="E72" s="46">
        <v>4516</v>
      </c>
      <c r="F72" s="47">
        <v>-1.6</v>
      </c>
      <c r="G72" s="47">
        <v>5.9</v>
      </c>
      <c r="H72" s="47">
        <v>-2.6</v>
      </c>
      <c r="I72" s="46">
        <v>4637</v>
      </c>
      <c r="J72" s="46">
        <v>4012</v>
      </c>
      <c r="K72" s="46">
        <v>4539</v>
      </c>
      <c r="L72" s="46">
        <v>21858</v>
      </c>
      <c r="M72" s="46">
        <v>20594</v>
      </c>
      <c r="N72" s="48">
        <v>6.1</v>
      </c>
    </row>
    <row r="73" spans="1:14" ht="18.75" customHeight="1">
      <c r="A73" s="45" t="s">
        <v>51</v>
      </c>
      <c r="B73" s="34"/>
      <c r="C73" s="46">
        <v>4534</v>
      </c>
      <c r="D73" s="46">
        <v>5350</v>
      </c>
      <c r="E73" s="46">
        <v>5590</v>
      </c>
      <c r="F73" s="47">
        <v>-15.3</v>
      </c>
      <c r="G73" s="47">
        <v>-4.3</v>
      </c>
      <c r="H73" s="47">
        <v>19</v>
      </c>
      <c r="I73" s="46">
        <v>2749</v>
      </c>
      <c r="J73" s="46">
        <v>4933</v>
      </c>
      <c r="K73" s="46">
        <v>4404</v>
      </c>
      <c r="L73" s="46">
        <v>21532</v>
      </c>
      <c r="M73" s="46">
        <v>17897</v>
      </c>
      <c r="N73" s="48">
        <v>20.3</v>
      </c>
    </row>
    <row r="74" spans="1:14" ht="9" customHeight="1">
      <c r="A74" s="45"/>
      <c r="B74" s="34"/>
      <c r="C74" s="46"/>
      <c r="D74" s="46"/>
      <c r="E74" s="46"/>
      <c r="F74" s="47"/>
      <c r="G74" s="47"/>
      <c r="H74" s="47"/>
      <c r="I74" s="46"/>
      <c r="J74" s="46"/>
      <c r="K74" s="46"/>
      <c r="L74" s="46"/>
      <c r="M74" s="46"/>
      <c r="N74" s="48"/>
    </row>
    <row r="75" spans="1:14" ht="18.75" customHeight="1">
      <c r="A75" s="45" t="s">
        <v>66</v>
      </c>
      <c r="B75" s="34"/>
      <c r="C75" s="46"/>
      <c r="D75" s="46"/>
      <c r="E75" s="46"/>
      <c r="F75" s="47"/>
      <c r="G75" s="47"/>
      <c r="H75" s="47"/>
      <c r="I75" s="46"/>
      <c r="J75" s="46"/>
      <c r="K75" s="46"/>
      <c r="L75" s="46"/>
      <c r="M75" s="46"/>
      <c r="N75" s="48"/>
    </row>
    <row r="76" spans="1:14" ht="18" customHeight="1">
      <c r="A76" s="45" t="s">
        <v>46</v>
      </c>
      <c r="B76" s="34"/>
      <c r="C76" s="46">
        <v>40749</v>
      </c>
      <c r="D76" s="46">
        <v>40670</v>
      </c>
      <c r="E76" s="46">
        <v>40679</v>
      </c>
      <c r="F76" s="47">
        <v>0.2</v>
      </c>
      <c r="G76" s="47">
        <v>0</v>
      </c>
      <c r="H76" s="47">
        <v>0.2</v>
      </c>
      <c r="I76" s="46">
        <v>42638</v>
      </c>
      <c r="J76" s="46">
        <v>41403</v>
      </c>
      <c r="K76" s="46">
        <v>42312</v>
      </c>
      <c r="L76" s="46">
        <v>198236</v>
      </c>
      <c r="M76" s="46">
        <v>197254</v>
      </c>
      <c r="N76" s="48">
        <v>0.5</v>
      </c>
    </row>
    <row r="77" spans="1:14" ht="18.75" customHeight="1">
      <c r="A77" s="45" t="s">
        <v>51</v>
      </c>
      <c r="B77" s="34"/>
      <c r="C77" s="46">
        <v>40829</v>
      </c>
      <c r="D77" s="46">
        <v>40599</v>
      </c>
      <c r="E77" s="46">
        <v>40594</v>
      </c>
      <c r="F77" s="47">
        <v>0.6</v>
      </c>
      <c r="G77" s="47">
        <v>0</v>
      </c>
      <c r="H77" s="47">
        <v>0.3</v>
      </c>
      <c r="I77" s="46">
        <v>42887</v>
      </c>
      <c r="J77" s="46">
        <v>41690</v>
      </c>
      <c r="K77" s="46">
        <v>42451</v>
      </c>
      <c r="L77" s="46">
        <v>199357</v>
      </c>
      <c r="M77" s="46">
        <v>198420</v>
      </c>
      <c r="N77" s="48">
        <v>0.5</v>
      </c>
    </row>
    <row r="78" spans="1:14" ht="9" customHeight="1">
      <c r="A78" s="45"/>
      <c r="B78" s="34"/>
      <c r="C78" s="46"/>
      <c r="D78" s="46"/>
      <c r="E78" s="46"/>
      <c r="F78" s="47"/>
      <c r="G78" s="47"/>
      <c r="H78" s="47"/>
      <c r="I78" s="46"/>
      <c r="J78" s="46"/>
      <c r="K78" s="46"/>
      <c r="L78" s="46"/>
      <c r="M78" s="46"/>
      <c r="N78" s="48"/>
    </row>
    <row r="79" spans="1:14" ht="21.75" customHeight="1">
      <c r="A79" s="45" t="s">
        <v>67</v>
      </c>
      <c r="B79" s="34"/>
      <c r="C79" s="46"/>
      <c r="D79" s="46"/>
      <c r="E79" s="46"/>
      <c r="F79" s="47"/>
      <c r="G79" s="47"/>
      <c r="H79" s="47"/>
      <c r="I79" s="46"/>
      <c r="J79" s="46"/>
      <c r="K79" s="46"/>
      <c r="L79" s="46"/>
      <c r="M79" s="46"/>
      <c r="N79" s="48"/>
    </row>
    <row r="80" spans="1:14" ht="18" customHeight="1">
      <c r="A80" s="45" t="s">
        <v>46</v>
      </c>
      <c r="B80" s="34"/>
      <c r="C80" s="46">
        <v>89098</v>
      </c>
      <c r="D80" s="46">
        <v>88691</v>
      </c>
      <c r="E80" s="46">
        <v>90810</v>
      </c>
      <c r="F80" s="47">
        <v>0.5</v>
      </c>
      <c r="G80" s="47">
        <v>-2.2999999999999998</v>
      </c>
      <c r="H80" s="47">
        <v>-0.6</v>
      </c>
      <c r="I80" s="46">
        <v>89136</v>
      </c>
      <c r="J80" s="46">
        <v>85154</v>
      </c>
      <c r="K80" s="46">
        <v>88478</v>
      </c>
      <c r="L80" s="46">
        <v>435752</v>
      </c>
      <c r="M80" s="46">
        <v>421434</v>
      </c>
      <c r="N80" s="48">
        <v>3.4</v>
      </c>
    </row>
    <row r="81" spans="1:14" ht="18.75" customHeight="1">
      <c r="A81" s="45" t="s">
        <v>51</v>
      </c>
      <c r="B81" s="34"/>
      <c r="C81" s="46">
        <v>84657</v>
      </c>
      <c r="D81" s="46">
        <v>87523</v>
      </c>
      <c r="E81" s="46">
        <v>91900</v>
      </c>
      <c r="F81" s="47">
        <v>-3.3</v>
      </c>
      <c r="G81" s="47">
        <v>-4.8</v>
      </c>
      <c r="H81" s="47">
        <v>6.3</v>
      </c>
      <c r="I81" s="46">
        <v>78520</v>
      </c>
      <c r="J81" s="46">
        <v>82435</v>
      </c>
      <c r="K81" s="46">
        <v>87316</v>
      </c>
      <c r="L81" s="46">
        <v>426540</v>
      </c>
      <c r="M81" s="46">
        <v>434256</v>
      </c>
      <c r="N81" s="48">
        <v>-1.8</v>
      </c>
    </row>
    <row r="82" spans="1:14" ht="9" customHeight="1">
      <c r="A82" s="45"/>
      <c r="B82" s="34"/>
      <c r="C82" s="46"/>
      <c r="D82" s="46"/>
      <c r="E82" s="46"/>
      <c r="F82" s="47"/>
      <c r="G82" s="47"/>
      <c r="H82" s="47"/>
      <c r="I82" s="46"/>
      <c r="J82" s="46"/>
      <c r="K82" s="46"/>
      <c r="L82" s="46"/>
      <c r="M82" s="46"/>
      <c r="N82" s="48"/>
    </row>
    <row r="83" spans="1:14" ht="18.75" customHeight="1">
      <c r="A83" s="45" t="s">
        <v>68</v>
      </c>
      <c r="B83" s="34"/>
      <c r="C83" s="46"/>
      <c r="D83" s="46"/>
      <c r="E83" s="46"/>
      <c r="F83" s="47"/>
      <c r="G83" s="47"/>
      <c r="H83" s="47"/>
      <c r="I83" s="46"/>
      <c r="J83" s="46"/>
      <c r="K83" s="46"/>
      <c r="L83" s="46"/>
      <c r="M83" s="46"/>
      <c r="N83" s="48"/>
    </row>
    <row r="84" spans="1:14" ht="20.25" customHeight="1">
      <c r="A84" s="45" t="s">
        <v>46</v>
      </c>
      <c r="B84" s="34"/>
      <c r="C84" s="46">
        <v>76086</v>
      </c>
      <c r="D84" s="46">
        <v>75738</v>
      </c>
      <c r="E84" s="46">
        <v>78288</v>
      </c>
      <c r="F84" s="47">
        <v>0.5</v>
      </c>
      <c r="G84" s="47">
        <v>-3.3</v>
      </c>
      <c r="H84" s="47">
        <v>-0.9</v>
      </c>
      <c r="I84" s="46">
        <v>76273</v>
      </c>
      <c r="J84" s="46">
        <v>73314</v>
      </c>
      <c r="K84" s="46">
        <v>77209</v>
      </c>
      <c r="L84" s="46">
        <v>374259</v>
      </c>
      <c r="M84" s="46">
        <v>367199</v>
      </c>
      <c r="N84" s="48">
        <v>1.9</v>
      </c>
    </row>
    <row r="85" spans="1:14" ht="18.75" customHeight="1">
      <c r="A85" s="45" t="s">
        <v>51</v>
      </c>
      <c r="B85" s="34"/>
      <c r="C85" s="46">
        <v>70792</v>
      </c>
      <c r="D85" s="46">
        <v>72485</v>
      </c>
      <c r="E85" s="46">
        <v>77840</v>
      </c>
      <c r="F85" s="47">
        <v>-2.2999999999999998</v>
      </c>
      <c r="G85" s="47">
        <v>-6.9</v>
      </c>
      <c r="H85" s="47">
        <v>2.6</v>
      </c>
      <c r="I85" s="46">
        <v>66329</v>
      </c>
      <c r="J85" s="46">
        <v>70690</v>
      </c>
      <c r="K85" s="46">
        <v>75891</v>
      </c>
      <c r="L85" s="46">
        <v>363648</v>
      </c>
      <c r="M85" s="46">
        <v>379805</v>
      </c>
      <c r="N85" s="48">
        <v>-4.3</v>
      </c>
    </row>
    <row r="86" spans="1:14" ht="9" customHeight="1">
      <c r="A86" s="50"/>
      <c r="B86" s="34"/>
      <c r="C86" s="46"/>
      <c r="D86" s="46"/>
      <c r="E86" s="46"/>
      <c r="F86" s="47"/>
      <c r="G86" s="47"/>
      <c r="H86" s="47"/>
      <c r="I86" s="46"/>
      <c r="J86" s="46"/>
      <c r="K86" s="46"/>
      <c r="L86" s="46"/>
      <c r="M86" s="46"/>
      <c r="N86" s="48"/>
    </row>
    <row r="87" spans="1:14" ht="20.25" customHeight="1">
      <c r="A87" s="45" t="s">
        <v>69</v>
      </c>
      <c r="B87" s="34"/>
      <c r="C87" s="46"/>
      <c r="D87" s="46"/>
      <c r="E87" s="46"/>
      <c r="F87" s="47"/>
      <c r="G87" s="47"/>
      <c r="H87" s="47"/>
      <c r="I87" s="46"/>
      <c r="J87" s="46"/>
      <c r="K87" s="46"/>
      <c r="L87" s="46"/>
      <c r="M87" s="46"/>
      <c r="N87" s="48"/>
    </row>
    <row r="88" spans="1:14" ht="20.25" customHeight="1">
      <c r="A88" s="45" t="s">
        <v>70</v>
      </c>
      <c r="B88" s="34"/>
      <c r="C88" s="46">
        <v>70086</v>
      </c>
      <c r="D88" s="46">
        <v>69633</v>
      </c>
      <c r="E88" s="46">
        <v>69380</v>
      </c>
      <c r="F88" s="47">
        <v>0.7</v>
      </c>
      <c r="G88" s="47">
        <v>0.4</v>
      </c>
      <c r="H88" s="47">
        <v>-0.6</v>
      </c>
      <c r="I88" s="46">
        <v>70306</v>
      </c>
      <c r="J88" s="46">
        <v>68288</v>
      </c>
      <c r="K88" s="46">
        <v>67487</v>
      </c>
      <c r="L88" s="46">
        <v>339783</v>
      </c>
      <c r="M88" s="46">
        <v>327431</v>
      </c>
      <c r="N88" s="48">
        <v>3.8</v>
      </c>
    </row>
    <row r="89" spans="1:14" ht="20.25" customHeight="1">
      <c r="A89" s="45" t="s">
        <v>71</v>
      </c>
      <c r="B89" s="34"/>
      <c r="C89" s="46">
        <v>68950</v>
      </c>
      <c r="D89" s="46">
        <v>68695</v>
      </c>
      <c r="E89" s="46">
        <v>69396</v>
      </c>
      <c r="F89" s="47">
        <v>0.4</v>
      </c>
      <c r="G89" s="47">
        <v>-1</v>
      </c>
      <c r="H89" s="47">
        <v>0.3</v>
      </c>
      <c r="I89" s="46">
        <v>68846</v>
      </c>
      <c r="J89" s="46">
        <v>68174</v>
      </c>
      <c r="K89" s="46">
        <v>68188</v>
      </c>
      <c r="L89" s="46">
        <v>341825</v>
      </c>
      <c r="M89" s="46">
        <v>334262</v>
      </c>
      <c r="N89" s="48">
        <v>2.2999999999999998</v>
      </c>
    </row>
    <row r="90" spans="1:14" ht="9" customHeight="1">
      <c r="A90" s="50"/>
      <c r="B90" s="34"/>
      <c r="C90" s="46"/>
      <c r="D90" s="46"/>
      <c r="E90" s="46"/>
      <c r="F90" s="47"/>
      <c r="G90" s="47"/>
      <c r="H90" s="47"/>
      <c r="I90" s="46"/>
      <c r="J90" s="46"/>
      <c r="K90" s="46"/>
      <c r="L90" s="46"/>
      <c r="M90" s="46"/>
      <c r="N90" s="48"/>
    </row>
    <row r="91" spans="1:14" ht="18.75" customHeight="1">
      <c r="A91" s="45" t="s">
        <v>72</v>
      </c>
      <c r="B91" s="34"/>
      <c r="C91" s="46"/>
      <c r="D91" s="46"/>
      <c r="E91" s="46"/>
      <c r="F91" s="47"/>
      <c r="G91" s="47"/>
      <c r="H91" s="47"/>
      <c r="I91" s="46"/>
      <c r="J91" s="46"/>
      <c r="K91" s="46"/>
      <c r="L91" s="46"/>
      <c r="M91" s="46"/>
      <c r="N91" s="48"/>
    </row>
    <row r="92" spans="1:14" ht="18" customHeight="1">
      <c r="A92" s="45" t="s">
        <v>46</v>
      </c>
      <c r="B92" s="34"/>
      <c r="C92" s="46">
        <v>13012</v>
      </c>
      <c r="D92" s="46">
        <v>12953</v>
      </c>
      <c r="E92" s="46">
        <v>12522</v>
      </c>
      <c r="F92" s="47">
        <v>0.5</v>
      </c>
      <c r="G92" s="47">
        <v>3.4</v>
      </c>
      <c r="H92" s="47">
        <v>0.9</v>
      </c>
      <c r="I92" s="46">
        <v>12863</v>
      </c>
      <c r="J92" s="46">
        <v>11840</v>
      </c>
      <c r="K92" s="46">
        <v>11269</v>
      </c>
      <c r="L92" s="46">
        <v>61493</v>
      </c>
      <c r="M92" s="46">
        <v>54235</v>
      </c>
      <c r="N92" s="48">
        <v>13.4</v>
      </c>
    </row>
    <row r="93" spans="1:14" ht="15" customHeight="1">
      <c r="A93" s="45" t="s">
        <v>51</v>
      </c>
      <c r="B93" s="34"/>
      <c r="C93" s="46">
        <v>13865</v>
      </c>
      <c r="D93" s="46">
        <v>15038</v>
      </c>
      <c r="E93" s="46">
        <v>14060</v>
      </c>
      <c r="F93" s="47">
        <v>-7.8</v>
      </c>
      <c r="G93" s="47">
        <v>7</v>
      </c>
      <c r="H93" s="47">
        <v>32.700000000000003</v>
      </c>
      <c r="I93" s="46">
        <v>12191</v>
      </c>
      <c r="J93" s="46">
        <v>11745</v>
      </c>
      <c r="K93" s="46">
        <v>11425</v>
      </c>
      <c r="L93" s="46">
        <v>62892</v>
      </c>
      <c r="M93" s="46">
        <v>54451</v>
      </c>
      <c r="N93" s="48">
        <v>15.5</v>
      </c>
    </row>
    <row r="94" spans="1:14" ht="9" customHeight="1" thickBot="1">
      <c r="A94" s="31"/>
      <c r="B94" s="32"/>
      <c r="C94" s="55"/>
      <c r="D94" s="55"/>
      <c r="E94" s="55"/>
      <c r="F94" s="56"/>
      <c r="G94" s="56"/>
      <c r="H94" s="56"/>
      <c r="I94" s="55"/>
      <c r="J94" s="55"/>
      <c r="K94" s="55"/>
      <c r="L94" s="55"/>
      <c r="M94" s="55"/>
      <c r="N94" s="57"/>
    </row>
    <row r="95" spans="1:14" ht="9" customHeight="1">
      <c r="A95" s="4"/>
      <c r="B95" s="4"/>
      <c r="C95" s="58"/>
      <c r="D95" s="58"/>
      <c r="E95" s="58"/>
      <c r="F95" s="59"/>
      <c r="G95" s="59"/>
      <c r="H95" s="59"/>
      <c r="I95" s="58"/>
      <c r="J95" s="58"/>
      <c r="K95" s="58"/>
      <c r="L95" s="58"/>
      <c r="M95" s="58"/>
      <c r="N95" s="37"/>
    </row>
    <row r="96" spans="1:14" ht="9" customHeight="1">
      <c r="A96" s="4"/>
      <c r="B96" s="4"/>
      <c r="C96" s="58"/>
      <c r="D96" s="58"/>
      <c r="E96" s="58"/>
      <c r="F96" s="59"/>
      <c r="G96" s="59"/>
      <c r="H96" s="59"/>
      <c r="I96" s="58"/>
      <c r="J96" s="58"/>
      <c r="K96" s="58"/>
      <c r="L96" s="58"/>
      <c r="M96" s="58"/>
      <c r="N96" s="37"/>
    </row>
    <row r="97" spans="1:14" ht="9" customHeight="1">
      <c r="A97" s="4"/>
      <c r="B97" s="4"/>
      <c r="C97" s="4"/>
      <c r="D97" s="4"/>
      <c r="E97" s="4"/>
      <c r="F97" s="4"/>
      <c r="G97" s="4"/>
      <c r="H97" s="4"/>
      <c r="I97" s="4"/>
      <c r="J97" s="4"/>
      <c r="K97" s="4"/>
      <c r="L97" s="4"/>
      <c r="M97" s="4"/>
      <c r="N97" s="6"/>
    </row>
    <row r="98" spans="1:14" ht="320.25" customHeight="1">
      <c r="A98" s="154" t="s">
        <v>73</v>
      </c>
      <c r="B98" s="155"/>
      <c r="C98" s="155"/>
      <c r="D98" s="155"/>
      <c r="E98" s="155"/>
      <c r="F98" s="155"/>
      <c r="G98" s="155"/>
      <c r="H98" s="155"/>
      <c r="I98" s="155"/>
      <c r="J98" s="155"/>
      <c r="K98" s="155"/>
      <c r="L98" s="155"/>
      <c r="M98" s="155"/>
      <c r="N98" s="155"/>
    </row>
    <row r="99" spans="1:14" ht="18" customHeight="1">
      <c r="A99" s="60"/>
      <c r="B99" s="61"/>
      <c r="C99" s="61"/>
      <c r="D99" s="61"/>
      <c r="E99" s="61"/>
      <c r="F99" s="61"/>
      <c r="G99" s="61"/>
      <c r="H99" s="61"/>
      <c r="I99" s="61"/>
      <c r="J99" s="61"/>
      <c r="K99" s="61"/>
      <c r="L99" s="61"/>
      <c r="M99" s="61"/>
      <c r="N99" s="61"/>
    </row>
    <row r="100" spans="1:14" ht="12" customHeight="1">
      <c r="A100" s="62"/>
      <c r="B100" s="63"/>
      <c r="N100"/>
    </row>
    <row r="101" spans="1:14" ht="18" customHeight="1">
      <c r="A101" s="64"/>
      <c r="B101" s="63"/>
      <c r="N101"/>
    </row>
    <row r="102" spans="1:14" ht="6.5" customHeight="1">
      <c r="A102" s="62"/>
      <c r="B102" s="63"/>
      <c r="N102"/>
    </row>
    <row r="103" spans="1:14" ht="18" customHeight="1">
      <c r="A103" s="64"/>
      <c r="B103" s="63"/>
      <c r="N103"/>
    </row>
    <row r="104" spans="1:14" ht="6.5" customHeight="1">
      <c r="A104" s="62"/>
      <c r="B104" s="63"/>
    </row>
    <row r="105" spans="1:14" ht="12" customHeight="1">
      <c r="B105" s="63"/>
    </row>
    <row r="106" spans="1:14" ht="12.75" customHeight="1"/>
    <row r="107" spans="1:14" ht="12.75" customHeight="1">
      <c r="B107" s="66"/>
      <c r="C107" s="66"/>
      <c r="D107" s="66"/>
      <c r="E107" s="66"/>
      <c r="F107" s="66"/>
      <c r="G107" s="66"/>
      <c r="H107" s="66"/>
      <c r="I107" s="66"/>
      <c r="J107" s="66"/>
      <c r="K107" s="66"/>
      <c r="L107" s="66"/>
      <c r="M107" s="66"/>
    </row>
    <row r="108" spans="1:14" ht="12.75" customHeight="1">
      <c r="B108" s="66"/>
      <c r="C108" s="66"/>
      <c r="D108" s="66"/>
      <c r="E108" s="66"/>
      <c r="F108" s="66"/>
      <c r="G108" s="66"/>
      <c r="H108" s="66"/>
      <c r="I108" s="66"/>
      <c r="J108" s="66"/>
      <c r="K108" s="66"/>
      <c r="L108" s="66"/>
      <c r="M108" s="66"/>
    </row>
    <row r="109" spans="1:14" ht="12" customHeight="1">
      <c r="B109" s="66"/>
      <c r="C109" s="66"/>
      <c r="D109" s="66"/>
      <c r="E109" s="66"/>
      <c r="F109" s="66"/>
      <c r="G109" s="66"/>
      <c r="H109" s="66"/>
      <c r="I109" s="66"/>
      <c r="J109" s="66"/>
      <c r="K109" s="66"/>
      <c r="L109" s="66"/>
      <c r="M109" s="66"/>
    </row>
    <row r="110" spans="1:14" ht="12.75" customHeight="1">
      <c r="B110" s="66"/>
      <c r="C110" s="66"/>
      <c r="D110" s="66"/>
      <c r="E110" s="66"/>
      <c r="F110" s="66"/>
      <c r="G110" s="66"/>
      <c r="H110" s="66"/>
      <c r="I110" s="66"/>
      <c r="J110" s="66"/>
      <c r="K110" s="66"/>
      <c r="L110" s="66"/>
      <c r="M110" s="66"/>
    </row>
    <row r="111" spans="1:14" ht="12.75" customHeight="1">
      <c r="B111" s="66"/>
      <c r="C111" s="66"/>
      <c r="D111" s="66"/>
      <c r="E111" s="66"/>
      <c r="F111" s="66"/>
      <c r="G111" s="66"/>
      <c r="H111" s="66"/>
      <c r="I111" s="66"/>
      <c r="J111" s="66"/>
      <c r="K111" s="66"/>
      <c r="L111" s="66"/>
      <c r="M111" s="66"/>
    </row>
    <row r="112" spans="1:14" ht="12.75" customHeight="1">
      <c r="B112" s="66"/>
      <c r="C112" s="66"/>
      <c r="D112" s="66"/>
      <c r="E112" s="66"/>
      <c r="F112" s="66"/>
      <c r="G112" s="66"/>
      <c r="H112" s="66"/>
      <c r="I112" s="66"/>
      <c r="J112" s="66"/>
      <c r="K112" s="66"/>
      <c r="L112" s="66"/>
      <c r="M112" s="66"/>
    </row>
    <row r="113" spans="1:15" ht="12.75" customHeight="1">
      <c r="B113" s="66"/>
      <c r="C113" s="66"/>
      <c r="D113" s="66"/>
      <c r="E113" s="66"/>
      <c r="F113" s="66"/>
      <c r="G113" s="66"/>
      <c r="H113" s="66"/>
      <c r="I113" s="66"/>
      <c r="J113" s="66"/>
      <c r="K113" s="66"/>
      <c r="L113" s="66"/>
      <c r="M113" s="66"/>
    </row>
    <row r="114" spans="1:15" ht="12.75" customHeight="1">
      <c r="B114" s="66"/>
      <c r="C114" s="66"/>
      <c r="D114" s="66"/>
      <c r="E114" s="66"/>
      <c r="F114" s="66"/>
      <c r="G114" s="66"/>
      <c r="H114" s="66"/>
      <c r="I114" s="66"/>
      <c r="J114" s="66"/>
      <c r="K114" s="66"/>
      <c r="L114" s="66"/>
      <c r="M114" s="66"/>
    </row>
    <row r="115" spans="1:15" ht="20.25" customHeight="1">
      <c r="A115" s="67"/>
      <c r="B115" s="66"/>
      <c r="C115" s="66"/>
      <c r="D115" s="66"/>
      <c r="E115" s="66"/>
      <c r="F115" s="66"/>
      <c r="G115" s="66"/>
      <c r="H115" s="66"/>
      <c r="I115" s="66"/>
      <c r="J115" s="66"/>
      <c r="K115" s="66"/>
      <c r="L115" s="66"/>
      <c r="M115" s="66"/>
    </row>
    <row r="116" spans="1:15" ht="15" customHeight="1">
      <c r="A116" s="68"/>
      <c r="B116" s="66"/>
      <c r="C116" s="66"/>
      <c r="D116" s="66"/>
      <c r="E116" s="66"/>
      <c r="F116" s="66"/>
      <c r="G116" s="66"/>
      <c r="H116" s="66"/>
      <c r="I116" s="66"/>
      <c r="J116" s="66"/>
      <c r="K116" s="66"/>
      <c r="L116" s="66"/>
      <c r="M116" s="66"/>
    </row>
    <row r="117" spans="1:15" ht="12.75" customHeight="1"/>
    <row r="118" spans="1:15" ht="18" customHeight="1"/>
    <row r="119" spans="1:15" ht="18" customHeight="1"/>
    <row r="120" spans="1:15" ht="15" customHeight="1"/>
    <row r="122" spans="1:15">
      <c r="O122" s="69"/>
    </row>
    <row r="123" spans="1:15">
      <c r="O123" s="70"/>
    </row>
    <row r="127" spans="1:15">
      <c r="O127" s="70"/>
    </row>
    <row r="129" spans="15:15">
      <c r="O129" s="70"/>
    </row>
    <row r="130" spans="15:15">
      <c r="O130" s="70"/>
    </row>
    <row r="131" spans="15:15">
      <c r="O131" s="70"/>
    </row>
    <row r="132" spans="15:15">
      <c r="O132" s="70"/>
    </row>
    <row r="133" spans="15:15">
      <c r="O133" s="70"/>
    </row>
    <row r="134" spans="15:15">
      <c r="O134" s="70"/>
    </row>
    <row r="135" spans="15:15">
      <c r="O135" s="70"/>
    </row>
    <row r="136" spans="15:15">
      <c r="O136" s="70"/>
    </row>
    <row r="137" spans="15:15">
      <c r="O137" s="70"/>
    </row>
    <row r="139" spans="15:15">
      <c r="O139" s="70"/>
    </row>
    <row r="140" spans="15:15">
      <c r="O140" s="70"/>
    </row>
    <row r="142" spans="15:15">
      <c r="O142" s="70"/>
    </row>
    <row r="144" spans="15:15">
      <c r="O144" s="70"/>
    </row>
    <row r="146" spans="15:15">
      <c r="O146" s="70"/>
    </row>
    <row r="147" spans="15:15">
      <c r="O147" s="70"/>
    </row>
    <row r="148" spans="15:15">
      <c r="O148" s="70"/>
    </row>
    <row r="150" spans="15:15">
      <c r="O150" s="70"/>
    </row>
    <row r="151" spans="15:15">
      <c r="O151" s="70"/>
    </row>
    <row r="152" spans="15:15">
      <c r="O152" s="70"/>
    </row>
    <row r="153" spans="15:15">
      <c r="O153" s="70"/>
    </row>
    <row r="155" spans="15:15">
      <c r="O155" s="70"/>
    </row>
    <row r="204" spans="3:13">
      <c r="C204" s="71"/>
      <c r="D204" s="71"/>
      <c r="E204" s="71"/>
      <c r="I204" s="71"/>
      <c r="J204" s="71"/>
      <c r="K204" s="71"/>
      <c r="L204" s="71"/>
      <c r="M204" s="71"/>
    </row>
  </sheetData>
  <mergeCells count="1">
    <mergeCell ref="A98:N98"/>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theme="1" tint="0.499984740745262"/>
  </sheetPr>
  <dimension ref="A1:M357"/>
  <sheetViews>
    <sheetView zoomScale="160" zoomScaleNormal="160" workbookViewId="0">
      <pane ySplit="1" topLeftCell="A319" activePane="bottomLeft" state="frozen"/>
      <selection pane="bottomLeft" activeCell="Q21" sqref="Q21"/>
    </sheetView>
  </sheetViews>
  <sheetFormatPr baseColWidth="10" defaultColWidth="8.83203125" defaultRowHeight="15"/>
  <cols>
    <col min="1" max="1" width="12.6640625" style="125" customWidth="1"/>
    <col min="2" max="7" width="9.6640625" style="125" customWidth="1"/>
    <col min="8" max="10" width="10.6640625" style="125" customWidth="1"/>
    <col min="11" max="11" width="9.6640625" style="125" customWidth="1"/>
    <col min="12" max="12" width="10.6640625" style="125" customWidth="1"/>
    <col min="13" max="13" width="9.6640625" style="125" customWidth="1"/>
    <col min="14" max="256" width="9.1640625" style="124"/>
    <col min="257" max="257" width="12.6640625" style="124" customWidth="1"/>
    <col min="258" max="262" width="9.6640625" style="124" customWidth="1"/>
    <col min="263" max="266" width="10.6640625" style="124" customWidth="1"/>
    <col min="267" max="267" width="9.6640625" style="124" customWidth="1"/>
    <col min="268" max="268" width="10.6640625" style="124" customWidth="1"/>
    <col min="269" max="269" width="9.6640625" style="124" customWidth="1"/>
    <col min="270" max="512" width="9.1640625" style="124"/>
    <col min="513" max="513" width="12.6640625" style="124" customWidth="1"/>
    <col min="514" max="518" width="9.6640625" style="124" customWidth="1"/>
    <col min="519" max="522" width="10.6640625" style="124" customWidth="1"/>
    <col min="523" max="523" width="9.6640625" style="124" customWidth="1"/>
    <col min="524" max="524" width="10.6640625" style="124" customWidth="1"/>
    <col min="525" max="525" width="9.6640625" style="124" customWidth="1"/>
    <col min="526" max="768" width="9.1640625" style="124"/>
    <col min="769" max="769" width="12.6640625" style="124" customWidth="1"/>
    <col min="770" max="774" width="9.6640625" style="124" customWidth="1"/>
    <col min="775" max="778" width="10.6640625" style="124" customWidth="1"/>
    <col min="779" max="779" width="9.6640625" style="124" customWidth="1"/>
    <col min="780" max="780" width="10.6640625" style="124" customWidth="1"/>
    <col min="781" max="781" width="9.6640625" style="124" customWidth="1"/>
    <col min="782" max="1024" width="9.1640625" style="124"/>
    <col min="1025" max="1025" width="12.6640625" style="124" customWidth="1"/>
    <col min="1026" max="1030" width="9.6640625" style="124" customWidth="1"/>
    <col min="1031" max="1034" width="10.6640625" style="124" customWidth="1"/>
    <col min="1035" max="1035" width="9.6640625" style="124" customWidth="1"/>
    <col min="1036" max="1036" width="10.6640625" style="124" customWidth="1"/>
    <col min="1037" max="1037" width="9.6640625" style="124" customWidth="1"/>
    <col min="1038" max="1280" width="9.1640625" style="124"/>
    <col min="1281" max="1281" width="12.6640625" style="124" customWidth="1"/>
    <col min="1282" max="1286" width="9.6640625" style="124" customWidth="1"/>
    <col min="1287" max="1290" width="10.6640625" style="124" customWidth="1"/>
    <col min="1291" max="1291" width="9.6640625" style="124" customWidth="1"/>
    <col min="1292" max="1292" width="10.6640625" style="124" customWidth="1"/>
    <col min="1293" max="1293" width="9.6640625" style="124" customWidth="1"/>
    <col min="1294" max="1536" width="9.1640625" style="124"/>
    <col min="1537" max="1537" width="12.6640625" style="124" customWidth="1"/>
    <col min="1538" max="1542" width="9.6640625" style="124" customWidth="1"/>
    <col min="1543" max="1546" width="10.6640625" style="124" customWidth="1"/>
    <col min="1547" max="1547" width="9.6640625" style="124" customWidth="1"/>
    <col min="1548" max="1548" width="10.6640625" style="124" customWidth="1"/>
    <col min="1549" max="1549" width="9.6640625" style="124" customWidth="1"/>
    <col min="1550" max="1792" width="9.1640625" style="124"/>
    <col min="1793" max="1793" width="12.6640625" style="124" customWidth="1"/>
    <col min="1794" max="1798" width="9.6640625" style="124" customWidth="1"/>
    <col min="1799" max="1802" width="10.6640625" style="124" customWidth="1"/>
    <col min="1803" max="1803" width="9.6640625" style="124" customWidth="1"/>
    <col min="1804" max="1804" width="10.6640625" style="124" customWidth="1"/>
    <col min="1805" max="1805" width="9.6640625" style="124" customWidth="1"/>
    <col min="1806" max="2048" width="9.1640625" style="124"/>
    <col min="2049" max="2049" width="12.6640625" style="124" customWidth="1"/>
    <col min="2050" max="2054" width="9.6640625" style="124" customWidth="1"/>
    <col min="2055" max="2058" width="10.6640625" style="124" customWidth="1"/>
    <col min="2059" max="2059" width="9.6640625" style="124" customWidth="1"/>
    <col min="2060" max="2060" width="10.6640625" style="124" customWidth="1"/>
    <col min="2061" max="2061" width="9.6640625" style="124" customWidth="1"/>
    <col min="2062" max="2304" width="9.1640625" style="124"/>
    <col min="2305" max="2305" width="12.6640625" style="124" customWidth="1"/>
    <col min="2306" max="2310" width="9.6640625" style="124" customWidth="1"/>
    <col min="2311" max="2314" width="10.6640625" style="124" customWidth="1"/>
    <col min="2315" max="2315" width="9.6640625" style="124" customWidth="1"/>
    <col min="2316" max="2316" width="10.6640625" style="124" customWidth="1"/>
    <col min="2317" max="2317" width="9.6640625" style="124" customWidth="1"/>
    <col min="2318" max="2560" width="9.1640625" style="124"/>
    <col min="2561" max="2561" width="12.6640625" style="124" customWidth="1"/>
    <col min="2562" max="2566" width="9.6640625" style="124" customWidth="1"/>
    <col min="2567" max="2570" width="10.6640625" style="124" customWidth="1"/>
    <col min="2571" max="2571" width="9.6640625" style="124" customWidth="1"/>
    <col min="2572" max="2572" width="10.6640625" style="124" customWidth="1"/>
    <col min="2573" max="2573" width="9.6640625" style="124" customWidth="1"/>
    <col min="2574" max="2816" width="9.1640625" style="124"/>
    <col min="2817" max="2817" width="12.6640625" style="124" customWidth="1"/>
    <col min="2818" max="2822" width="9.6640625" style="124" customWidth="1"/>
    <col min="2823" max="2826" width="10.6640625" style="124" customWidth="1"/>
    <col min="2827" max="2827" width="9.6640625" style="124" customWidth="1"/>
    <col min="2828" max="2828" width="10.6640625" style="124" customWidth="1"/>
    <col min="2829" max="2829" width="9.6640625" style="124" customWidth="1"/>
    <col min="2830" max="3072" width="9.1640625" style="124"/>
    <col min="3073" max="3073" width="12.6640625" style="124" customWidth="1"/>
    <col min="3074" max="3078" width="9.6640625" style="124" customWidth="1"/>
    <col min="3079" max="3082" width="10.6640625" style="124" customWidth="1"/>
    <col min="3083" max="3083" width="9.6640625" style="124" customWidth="1"/>
    <col min="3084" max="3084" width="10.6640625" style="124" customWidth="1"/>
    <col min="3085" max="3085" width="9.6640625" style="124" customWidth="1"/>
    <col min="3086" max="3328" width="9.1640625" style="124"/>
    <col min="3329" max="3329" width="12.6640625" style="124" customWidth="1"/>
    <col min="3330" max="3334" width="9.6640625" style="124" customWidth="1"/>
    <col min="3335" max="3338" width="10.6640625" style="124" customWidth="1"/>
    <col min="3339" max="3339" width="9.6640625" style="124" customWidth="1"/>
    <col min="3340" max="3340" width="10.6640625" style="124" customWidth="1"/>
    <col min="3341" max="3341" width="9.6640625" style="124" customWidth="1"/>
    <col min="3342" max="3584" width="9.1640625" style="124"/>
    <col min="3585" max="3585" width="12.6640625" style="124" customWidth="1"/>
    <col min="3586" max="3590" width="9.6640625" style="124" customWidth="1"/>
    <col min="3591" max="3594" width="10.6640625" style="124" customWidth="1"/>
    <col min="3595" max="3595" width="9.6640625" style="124" customWidth="1"/>
    <col min="3596" max="3596" width="10.6640625" style="124" customWidth="1"/>
    <col min="3597" max="3597" width="9.6640625" style="124" customWidth="1"/>
    <col min="3598" max="3840" width="9.1640625" style="124"/>
    <col min="3841" max="3841" width="12.6640625" style="124" customWidth="1"/>
    <col min="3842" max="3846" width="9.6640625" style="124" customWidth="1"/>
    <col min="3847" max="3850" width="10.6640625" style="124" customWidth="1"/>
    <col min="3851" max="3851" width="9.6640625" style="124" customWidth="1"/>
    <col min="3852" max="3852" width="10.6640625" style="124" customWidth="1"/>
    <col min="3853" max="3853" width="9.6640625" style="124" customWidth="1"/>
    <col min="3854" max="4096" width="9.1640625" style="124"/>
    <col min="4097" max="4097" width="12.6640625" style="124" customWidth="1"/>
    <col min="4098" max="4102" width="9.6640625" style="124" customWidth="1"/>
    <col min="4103" max="4106" width="10.6640625" style="124" customWidth="1"/>
    <col min="4107" max="4107" width="9.6640625" style="124" customWidth="1"/>
    <col min="4108" max="4108" width="10.6640625" style="124" customWidth="1"/>
    <col min="4109" max="4109" width="9.6640625" style="124" customWidth="1"/>
    <col min="4110" max="4352" width="9.1640625" style="124"/>
    <col min="4353" max="4353" width="12.6640625" style="124" customWidth="1"/>
    <col min="4354" max="4358" width="9.6640625" style="124" customWidth="1"/>
    <col min="4359" max="4362" width="10.6640625" style="124" customWidth="1"/>
    <col min="4363" max="4363" width="9.6640625" style="124" customWidth="1"/>
    <col min="4364" max="4364" width="10.6640625" style="124" customWidth="1"/>
    <col min="4365" max="4365" width="9.6640625" style="124" customWidth="1"/>
    <col min="4366" max="4608" width="9.1640625" style="124"/>
    <col min="4609" max="4609" width="12.6640625" style="124" customWidth="1"/>
    <col min="4610" max="4614" width="9.6640625" style="124" customWidth="1"/>
    <col min="4615" max="4618" width="10.6640625" style="124" customWidth="1"/>
    <col min="4619" max="4619" width="9.6640625" style="124" customWidth="1"/>
    <col min="4620" max="4620" width="10.6640625" style="124" customWidth="1"/>
    <col min="4621" max="4621" width="9.6640625" style="124" customWidth="1"/>
    <col min="4622" max="4864" width="9.1640625" style="124"/>
    <col min="4865" max="4865" width="12.6640625" style="124" customWidth="1"/>
    <col min="4866" max="4870" width="9.6640625" style="124" customWidth="1"/>
    <col min="4871" max="4874" width="10.6640625" style="124" customWidth="1"/>
    <col min="4875" max="4875" width="9.6640625" style="124" customWidth="1"/>
    <col min="4876" max="4876" width="10.6640625" style="124" customWidth="1"/>
    <col min="4877" max="4877" width="9.6640625" style="124" customWidth="1"/>
    <col min="4878" max="5120" width="9.1640625" style="124"/>
    <col min="5121" max="5121" width="12.6640625" style="124" customWidth="1"/>
    <col min="5122" max="5126" width="9.6640625" style="124" customWidth="1"/>
    <col min="5127" max="5130" width="10.6640625" style="124" customWidth="1"/>
    <col min="5131" max="5131" width="9.6640625" style="124" customWidth="1"/>
    <col min="5132" max="5132" width="10.6640625" style="124" customWidth="1"/>
    <col min="5133" max="5133" width="9.6640625" style="124" customWidth="1"/>
    <col min="5134" max="5376" width="9.1640625" style="124"/>
    <col min="5377" max="5377" width="12.6640625" style="124" customWidth="1"/>
    <col min="5378" max="5382" width="9.6640625" style="124" customWidth="1"/>
    <col min="5383" max="5386" width="10.6640625" style="124" customWidth="1"/>
    <col min="5387" max="5387" width="9.6640625" style="124" customWidth="1"/>
    <col min="5388" max="5388" width="10.6640625" style="124" customWidth="1"/>
    <col min="5389" max="5389" width="9.6640625" style="124" customWidth="1"/>
    <col min="5390" max="5632" width="9.1640625" style="124"/>
    <col min="5633" max="5633" width="12.6640625" style="124" customWidth="1"/>
    <col min="5634" max="5638" width="9.6640625" style="124" customWidth="1"/>
    <col min="5639" max="5642" width="10.6640625" style="124" customWidth="1"/>
    <col min="5643" max="5643" width="9.6640625" style="124" customWidth="1"/>
    <col min="5644" max="5644" width="10.6640625" style="124" customWidth="1"/>
    <col min="5645" max="5645" width="9.6640625" style="124" customWidth="1"/>
    <col min="5646" max="5888" width="9.1640625" style="124"/>
    <col min="5889" max="5889" width="12.6640625" style="124" customWidth="1"/>
    <col min="5890" max="5894" width="9.6640625" style="124" customWidth="1"/>
    <col min="5895" max="5898" width="10.6640625" style="124" customWidth="1"/>
    <col min="5899" max="5899" width="9.6640625" style="124" customWidth="1"/>
    <col min="5900" max="5900" width="10.6640625" style="124" customWidth="1"/>
    <col min="5901" max="5901" width="9.6640625" style="124" customWidth="1"/>
    <col min="5902" max="6144" width="9.1640625" style="124"/>
    <col min="6145" max="6145" width="12.6640625" style="124" customWidth="1"/>
    <col min="6146" max="6150" width="9.6640625" style="124" customWidth="1"/>
    <col min="6151" max="6154" width="10.6640625" style="124" customWidth="1"/>
    <col min="6155" max="6155" width="9.6640625" style="124" customWidth="1"/>
    <col min="6156" max="6156" width="10.6640625" style="124" customWidth="1"/>
    <col min="6157" max="6157" width="9.6640625" style="124" customWidth="1"/>
    <col min="6158" max="6400" width="9.1640625" style="124"/>
    <col min="6401" max="6401" width="12.6640625" style="124" customWidth="1"/>
    <col min="6402" max="6406" width="9.6640625" style="124" customWidth="1"/>
    <col min="6407" max="6410" width="10.6640625" style="124" customWidth="1"/>
    <col min="6411" max="6411" width="9.6640625" style="124" customWidth="1"/>
    <col min="6412" max="6412" width="10.6640625" style="124" customWidth="1"/>
    <col min="6413" max="6413" width="9.6640625" style="124" customWidth="1"/>
    <col min="6414" max="6656" width="9.1640625" style="124"/>
    <col min="6657" max="6657" width="12.6640625" style="124" customWidth="1"/>
    <col min="6658" max="6662" width="9.6640625" style="124" customWidth="1"/>
    <col min="6663" max="6666" width="10.6640625" style="124" customWidth="1"/>
    <col min="6667" max="6667" width="9.6640625" style="124" customWidth="1"/>
    <col min="6668" max="6668" width="10.6640625" style="124" customWidth="1"/>
    <col min="6669" max="6669" width="9.6640625" style="124" customWidth="1"/>
    <col min="6670" max="6912" width="9.1640625" style="124"/>
    <col min="6913" max="6913" width="12.6640625" style="124" customWidth="1"/>
    <col min="6914" max="6918" width="9.6640625" style="124" customWidth="1"/>
    <col min="6919" max="6922" width="10.6640625" style="124" customWidth="1"/>
    <col min="6923" max="6923" width="9.6640625" style="124" customWidth="1"/>
    <col min="6924" max="6924" width="10.6640625" style="124" customWidth="1"/>
    <col min="6925" max="6925" width="9.6640625" style="124" customWidth="1"/>
    <col min="6926" max="7168" width="9.1640625" style="124"/>
    <col min="7169" max="7169" width="12.6640625" style="124" customWidth="1"/>
    <col min="7170" max="7174" width="9.6640625" style="124" customWidth="1"/>
    <col min="7175" max="7178" width="10.6640625" style="124" customWidth="1"/>
    <col min="7179" max="7179" width="9.6640625" style="124" customWidth="1"/>
    <col min="7180" max="7180" width="10.6640625" style="124" customWidth="1"/>
    <col min="7181" max="7181" width="9.6640625" style="124" customWidth="1"/>
    <col min="7182" max="7424" width="9.1640625" style="124"/>
    <col min="7425" max="7425" width="12.6640625" style="124" customWidth="1"/>
    <col min="7426" max="7430" width="9.6640625" style="124" customWidth="1"/>
    <col min="7431" max="7434" width="10.6640625" style="124" customWidth="1"/>
    <col min="7435" max="7435" width="9.6640625" style="124" customWidth="1"/>
    <col min="7436" max="7436" width="10.6640625" style="124" customWidth="1"/>
    <col min="7437" max="7437" width="9.6640625" style="124" customWidth="1"/>
    <col min="7438" max="7680" width="9.1640625" style="124"/>
    <col min="7681" max="7681" width="12.6640625" style="124" customWidth="1"/>
    <col min="7682" max="7686" width="9.6640625" style="124" customWidth="1"/>
    <col min="7687" max="7690" width="10.6640625" style="124" customWidth="1"/>
    <col min="7691" max="7691" width="9.6640625" style="124" customWidth="1"/>
    <col min="7692" max="7692" width="10.6640625" style="124" customWidth="1"/>
    <col min="7693" max="7693" width="9.6640625" style="124" customWidth="1"/>
    <col min="7694" max="7936" width="9.1640625" style="124"/>
    <col min="7937" max="7937" width="12.6640625" style="124" customWidth="1"/>
    <col min="7938" max="7942" width="9.6640625" style="124" customWidth="1"/>
    <col min="7943" max="7946" width="10.6640625" style="124" customWidth="1"/>
    <col min="7947" max="7947" width="9.6640625" style="124" customWidth="1"/>
    <col min="7948" max="7948" width="10.6640625" style="124" customWidth="1"/>
    <col min="7949" max="7949" width="9.6640625" style="124" customWidth="1"/>
    <col min="7950" max="8192" width="9.1640625" style="124"/>
    <col min="8193" max="8193" width="12.6640625" style="124" customWidth="1"/>
    <col min="8194" max="8198" width="9.6640625" style="124" customWidth="1"/>
    <col min="8199" max="8202" width="10.6640625" style="124" customWidth="1"/>
    <col min="8203" max="8203" width="9.6640625" style="124" customWidth="1"/>
    <col min="8204" max="8204" width="10.6640625" style="124" customWidth="1"/>
    <col min="8205" max="8205" width="9.6640625" style="124" customWidth="1"/>
    <col min="8206" max="8448" width="9.1640625" style="124"/>
    <col min="8449" max="8449" width="12.6640625" style="124" customWidth="1"/>
    <col min="8450" max="8454" width="9.6640625" style="124" customWidth="1"/>
    <col min="8455" max="8458" width="10.6640625" style="124" customWidth="1"/>
    <col min="8459" max="8459" width="9.6640625" style="124" customWidth="1"/>
    <col min="8460" max="8460" width="10.6640625" style="124" customWidth="1"/>
    <col min="8461" max="8461" width="9.6640625" style="124" customWidth="1"/>
    <col min="8462" max="8704" width="9.1640625" style="124"/>
    <col min="8705" max="8705" width="12.6640625" style="124" customWidth="1"/>
    <col min="8706" max="8710" width="9.6640625" style="124" customWidth="1"/>
    <col min="8711" max="8714" width="10.6640625" style="124" customWidth="1"/>
    <col min="8715" max="8715" width="9.6640625" style="124" customWidth="1"/>
    <col min="8716" max="8716" width="10.6640625" style="124" customWidth="1"/>
    <col min="8717" max="8717" width="9.6640625" style="124" customWidth="1"/>
    <col min="8718" max="8960" width="9.1640625" style="124"/>
    <col min="8961" max="8961" width="12.6640625" style="124" customWidth="1"/>
    <col min="8962" max="8966" width="9.6640625" style="124" customWidth="1"/>
    <col min="8967" max="8970" width="10.6640625" style="124" customWidth="1"/>
    <col min="8971" max="8971" width="9.6640625" style="124" customWidth="1"/>
    <col min="8972" max="8972" width="10.6640625" style="124" customWidth="1"/>
    <col min="8973" max="8973" width="9.6640625" style="124" customWidth="1"/>
    <col min="8974" max="9216" width="9.1640625" style="124"/>
    <col min="9217" max="9217" width="12.6640625" style="124" customWidth="1"/>
    <col min="9218" max="9222" width="9.6640625" style="124" customWidth="1"/>
    <col min="9223" max="9226" width="10.6640625" style="124" customWidth="1"/>
    <col min="9227" max="9227" width="9.6640625" style="124" customWidth="1"/>
    <col min="9228" max="9228" width="10.6640625" style="124" customWidth="1"/>
    <col min="9229" max="9229" width="9.6640625" style="124" customWidth="1"/>
    <col min="9230" max="9472" width="9.1640625" style="124"/>
    <col min="9473" max="9473" width="12.6640625" style="124" customWidth="1"/>
    <col min="9474" max="9478" width="9.6640625" style="124" customWidth="1"/>
    <col min="9479" max="9482" width="10.6640625" style="124" customWidth="1"/>
    <col min="9483" max="9483" width="9.6640625" style="124" customWidth="1"/>
    <col min="9484" max="9484" width="10.6640625" style="124" customWidth="1"/>
    <col min="9485" max="9485" width="9.6640625" style="124" customWidth="1"/>
    <col min="9486" max="9728" width="9.1640625" style="124"/>
    <col min="9729" max="9729" width="12.6640625" style="124" customWidth="1"/>
    <col min="9730" max="9734" width="9.6640625" style="124" customWidth="1"/>
    <col min="9735" max="9738" width="10.6640625" style="124" customWidth="1"/>
    <col min="9739" max="9739" width="9.6640625" style="124" customWidth="1"/>
    <col min="9740" max="9740" width="10.6640625" style="124" customWidth="1"/>
    <col min="9741" max="9741" width="9.6640625" style="124" customWidth="1"/>
    <col min="9742" max="9984" width="9.1640625" style="124"/>
    <col min="9985" max="9985" width="12.6640625" style="124" customWidth="1"/>
    <col min="9986" max="9990" width="9.6640625" style="124" customWidth="1"/>
    <col min="9991" max="9994" width="10.6640625" style="124" customWidth="1"/>
    <col min="9995" max="9995" width="9.6640625" style="124" customWidth="1"/>
    <col min="9996" max="9996" width="10.6640625" style="124" customWidth="1"/>
    <col min="9997" max="9997" width="9.6640625" style="124" customWidth="1"/>
    <col min="9998" max="10240" width="9.1640625" style="124"/>
    <col min="10241" max="10241" width="12.6640625" style="124" customWidth="1"/>
    <col min="10242" max="10246" width="9.6640625" style="124" customWidth="1"/>
    <col min="10247" max="10250" width="10.6640625" style="124" customWidth="1"/>
    <col min="10251" max="10251" width="9.6640625" style="124" customWidth="1"/>
    <col min="10252" max="10252" width="10.6640625" style="124" customWidth="1"/>
    <col min="10253" max="10253" width="9.6640625" style="124" customWidth="1"/>
    <col min="10254" max="10496" width="9.1640625" style="124"/>
    <col min="10497" max="10497" width="12.6640625" style="124" customWidth="1"/>
    <col min="10498" max="10502" width="9.6640625" style="124" customWidth="1"/>
    <col min="10503" max="10506" width="10.6640625" style="124" customWidth="1"/>
    <col min="10507" max="10507" width="9.6640625" style="124" customWidth="1"/>
    <col min="10508" max="10508" width="10.6640625" style="124" customWidth="1"/>
    <col min="10509" max="10509" width="9.6640625" style="124" customWidth="1"/>
    <col min="10510" max="10752" width="9.1640625" style="124"/>
    <col min="10753" max="10753" width="12.6640625" style="124" customWidth="1"/>
    <col min="10754" max="10758" width="9.6640625" style="124" customWidth="1"/>
    <col min="10759" max="10762" width="10.6640625" style="124" customWidth="1"/>
    <col min="10763" max="10763" width="9.6640625" style="124" customWidth="1"/>
    <col min="10764" max="10764" width="10.6640625" style="124" customWidth="1"/>
    <col min="10765" max="10765" width="9.6640625" style="124" customWidth="1"/>
    <col min="10766" max="11008" width="9.1640625" style="124"/>
    <col min="11009" max="11009" width="12.6640625" style="124" customWidth="1"/>
    <col min="11010" max="11014" width="9.6640625" style="124" customWidth="1"/>
    <col min="11015" max="11018" width="10.6640625" style="124" customWidth="1"/>
    <col min="11019" max="11019" width="9.6640625" style="124" customWidth="1"/>
    <col min="11020" max="11020" width="10.6640625" style="124" customWidth="1"/>
    <col min="11021" max="11021" width="9.6640625" style="124" customWidth="1"/>
    <col min="11022" max="11264" width="9.1640625" style="124"/>
    <col min="11265" max="11265" width="12.6640625" style="124" customWidth="1"/>
    <col min="11266" max="11270" width="9.6640625" style="124" customWidth="1"/>
    <col min="11271" max="11274" width="10.6640625" style="124" customWidth="1"/>
    <col min="11275" max="11275" width="9.6640625" style="124" customWidth="1"/>
    <col min="11276" max="11276" width="10.6640625" style="124" customWidth="1"/>
    <col min="11277" max="11277" width="9.6640625" style="124" customWidth="1"/>
    <col min="11278" max="11520" width="9.1640625" style="124"/>
    <col min="11521" max="11521" width="12.6640625" style="124" customWidth="1"/>
    <col min="11522" max="11526" width="9.6640625" style="124" customWidth="1"/>
    <col min="11527" max="11530" width="10.6640625" style="124" customWidth="1"/>
    <col min="11531" max="11531" width="9.6640625" style="124" customWidth="1"/>
    <col min="11532" max="11532" width="10.6640625" style="124" customWidth="1"/>
    <col min="11533" max="11533" width="9.6640625" style="124" customWidth="1"/>
    <col min="11534" max="11776" width="9.1640625" style="124"/>
    <col min="11777" max="11777" width="12.6640625" style="124" customWidth="1"/>
    <col min="11778" max="11782" width="9.6640625" style="124" customWidth="1"/>
    <col min="11783" max="11786" width="10.6640625" style="124" customWidth="1"/>
    <col min="11787" max="11787" width="9.6640625" style="124" customWidth="1"/>
    <col min="11788" max="11788" width="10.6640625" style="124" customWidth="1"/>
    <col min="11789" max="11789" width="9.6640625" style="124" customWidth="1"/>
    <col min="11790" max="12032" width="9.1640625" style="124"/>
    <col min="12033" max="12033" width="12.6640625" style="124" customWidth="1"/>
    <col min="12034" max="12038" width="9.6640625" style="124" customWidth="1"/>
    <col min="12039" max="12042" width="10.6640625" style="124" customWidth="1"/>
    <col min="12043" max="12043" width="9.6640625" style="124" customWidth="1"/>
    <col min="12044" max="12044" width="10.6640625" style="124" customWidth="1"/>
    <col min="12045" max="12045" width="9.6640625" style="124" customWidth="1"/>
    <col min="12046" max="12288" width="9.1640625" style="124"/>
    <col min="12289" max="12289" width="12.6640625" style="124" customWidth="1"/>
    <col min="12290" max="12294" width="9.6640625" style="124" customWidth="1"/>
    <col min="12295" max="12298" width="10.6640625" style="124" customWidth="1"/>
    <col min="12299" max="12299" width="9.6640625" style="124" customWidth="1"/>
    <col min="12300" max="12300" width="10.6640625" style="124" customWidth="1"/>
    <col min="12301" max="12301" width="9.6640625" style="124" customWidth="1"/>
    <col min="12302" max="12544" width="9.1640625" style="124"/>
    <col min="12545" max="12545" width="12.6640625" style="124" customWidth="1"/>
    <col min="12546" max="12550" width="9.6640625" style="124" customWidth="1"/>
    <col min="12551" max="12554" width="10.6640625" style="124" customWidth="1"/>
    <col min="12555" max="12555" width="9.6640625" style="124" customWidth="1"/>
    <col min="12556" max="12556" width="10.6640625" style="124" customWidth="1"/>
    <col min="12557" max="12557" width="9.6640625" style="124" customWidth="1"/>
    <col min="12558" max="12800" width="9.1640625" style="124"/>
    <col min="12801" max="12801" width="12.6640625" style="124" customWidth="1"/>
    <col min="12802" max="12806" width="9.6640625" style="124" customWidth="1"/>
    <col min="12807" max="12810" width="10.6640625" style="124" customWidth="1"/>
    <col min="12811" max="12811" width="9.6640625" style="124" customWidth="1"/>
    <col min="12812" max="12812" width="10.6640625" style="124" customWidth="1"/>
    <col min="12813" max="12813" width="9.6640625" style="124" customWidth="1"/>
    <col min="12814" max="13056" width="9.1640625" style="124"/>
    <col min="13057" max="13057" width="12.6640625" style="124" customWidth="1"/>
    <col min="13058" max="13062" width="9.6640625" style="124" customWidth="1"/>
    <col min="13063" max="13066" width="10.6640625" style="124" customWidth="1"/>
    <col min="13067" max="13067" width="9.6640625" style="124" customWidth="1"/>
    <col min="13068" max="13068" width="10.6640625" style="124" customWidth="1"/>
    <col min="13069" max="13069" width="9.6640625" style="124" customWidth="1"/>
    <col min="13070" max="13312" width="9.1640625" style="124"/>
    <col min="13313" max="13313" width="12.6640625" style="124" customWidth="1"/>
    <col min="13314" max="13318" width="9.6640625" style="124" customWidth="1"/>
    <col min="13319" max="13322" width="10.6640625" style="124" customWidth="1"/>
    <col min="13323" max="13323" width="9.6640625" style="124" customWidth="1"/>
    <col min="13324" max="13324" width="10.6640625" style="124" customWidth="1"/>
    <col min="13325" max="13325" width="9.6640625" style="124" customWidth="1"/>
    <col min="13326" max="13568" width="9.1640625" style="124"/>
    <col min="13569" max="13569" width="12.6640625" style="124" customWidth="1"/>
    <col min="13570" max="13574" width="9.6640625" style="124" customWidth="1"/>
    <col min="13575" max="13578" width="10.6640625" style="124" customWidth="1"/>
    <col min="13579" max="13579" width="9.6640625" style="124" customWidth="1"/>
    <col min="13580" max="13580" width="10.6640625" style="124" customWidth="1"/>
    <col min="13581" max="13581" width="9.6640625" style="124" customWidth="1"/>
    <col min="13582" max="13824" width="9.1640625" style="124"/>
    <col min="13825" max="13825" width="12.6640625" style="124" customWidth="1"/>
    <col min="13826" max="13830" width="9.6640625" style="124" customWidth="1"/>
    <col min="13831" max="13834" width="10.6640625" style="124" customWidth="1"/>
    <col min="13835" max="13835" width="9.6640625" style="124" customWidth="1"/>
    <col min="13836" max="13836" width="10.6640625" style="124" customWidth="1"/>
    <col min="13837" max="13837" width="9.6640625" style="124" customWidth="1"/>
    <col min="13838" max="14080" width="9.1640625" style="124"/>
    <col min="14081" max="14081" width="12.6640625" style="124" customWidth="1"/>
    <col min="14082" max="14086" width="9.6640625" style="124" customWidth="1"/>
    <col min="14087" max="14090" width="10.6640625" style="124" customWidth="1"/>
    <col min="14091" max="14091" width="9.6640625" style="124" customWidth="1"/>
    <col min="14092" max="14092" width="10.6640625" style="124" customWidth="1"/>
    <col min="14093" max="14093" width="9.6640625" style="124" customWidth="1"/>
    <col min="14094" max="14336" width="9.1640625" style="124"/>
    <col min="14337" max="14337" width="12.6640625" style="124" customWidth="1"/>
    <col min="14338" max="14342" width="9.6640625" style="124" customWidth="1"/>
    <col min="14343" max="14346" width="10.6640625" style="124" customWidth="1"/>
    <col min="14347" max="14347" width="9.6640625" style="124" customWidth="1"/>
    <col min="14348" max="14348" width="10.6640625" style="124" customWidth="1"/>
    <col min="14349" max="14349" width="9.6640625" style="124" customWidth="1"/>
    <col min="14350" max="14592" width="9.1640625" style="124"/>
    <col min="14593" max="14593" width="12.6640625" style="124" customWidth="1"/>
    <col min="14594" max="14598" width="9.6640625" style="124" customWidth="1"/>
    <col min="14599" max="14602" width="10.6640625" style="124" customWidth="1"/>
    <col min="14603" max="14603" width="9.6640625" style="124" customWidth="1"/>
    <col min="14604" max="14604" width="10.6640625" style="124" customWidth="1"/>
    <col min="14605" max="14605" width="9.6640625" style="124" customWidth="1"/>
    <col min="14606" max="14848" width="9.1640625" style="124"/>
    <col min="14849" max="14849" width="12.6640625" style="124" customWidth="1"/>
    <col min="14850" max="14854" width="9.6640625" style="124" customWidth="1"/>
    <col min="14855" max="14858" width="10.6640625" style="124" customWidth="1"/>
    <col min="14859" max="14859" width="9.6640625" style="124" customWidth="1"/>
    <col min="14860" max="14860" width="10.6640625" style="124" customWidth="1"/>
    <col min="14861" max="14861" width="9.6640625" style="124" customWidth="1"/>
    <col min="14862" max="15104" width="9.1640625" style="124"/>
    <col min="15105" max="15105" width="12.6640625" style="124" customWidth="1"/>
    <col min="15106" max="15110" width="9.6640625" style="124" customWidth="1"/>
    <col min="15111" max="15114" width="10.6640625" style="124" customWidth="1"/>
    <col min="15115" max="15115" width="9.6640625" style="124" customWidth="1"/>
    <col min="15116" max="15116" width="10.6640625" style="124" customWidth="1"/>
    <col min="15117" max="15117" width="9.6640625" style="124" customWidth="1"/>
    <col min="15118" max="15360" width="9.1640625" style="124"/>
    <col min="15361" max="15361" width="12.6640625" style="124" customWidth="1"/>
    <col min="15362" max="15366" width="9.6640625" style="124" customWidth="1"/>
    <col min="15367" max="15370" width="10.6640625" style="124" customWidth="1"/>
    <col min="15371" max="15371" width="9.6640625" style="124" customWidth="1"/>
    <col min="15372" max="15372" width="10.6640625" style="124" customWidth="1"/>
    <col min="15373" max="15373" width="9.6640625" style="124" customWidth="1"/>
    <col min="15374" max="15616" width="9.1640625" style="124"/>
    <col min="15617" max="15617" width="12.6640625" style="124" customWidth="1"/>
    <col min="15618" max="15622" width="9.6640625" style="124" customWidth="1"/>
    <col min="15623" max="15626" width="10.6640625" style="124" customWidth="1"/>
    <col min="15627" max="15627" width="9.6640625" style="124" customWidth="1"/>
    <col min="15628" max="15628" width="10.6640625" style="124" customWidth="1"/>
    <col min="15629" max="15629" width="9.6640625" style="124" customWidth="1"/>
    <col min="15630" max="15872" width="9.1640625" style="124"/>
    <col min="15873" max="15873" width="12.6640625" style="124" customWidth="1"/>
    <col min="15874" max="15878" width="9.6640625" style="124" customWidth="1"/>
    <col min="15879" max="15882" width="10.6640625" style="124" customWidth="1"/>
    <col min="15883" max="15883" width="9.6640625" style="124" customWidth="1"/>
    <col min="15884" max="15884" width="10.6640625" style="124" customWidth="1"/>
    <col min="15885" max="15885" width="9.6640625" style="124" customWidth="1"/>
    <col min="15886" max="16128" width="9.1640625" style="124"/>
    <col min="16129" max="16129" width="12.6640625" style="124" customWidth="1"/>
    <col min="16130" max="16134" width="9.6640625" style="124" customWidth="1"/>
    <col min="16135" max="16138" width="10.6640625" style="124" customWidth="1"/>
    <col min="16139" max="16139" width="9.6640625" style="124" customWidth="1"/>
    <col min="16140" max="16140" width="10.6640625" style="124" customWidth="1"/>
    <col min="16141" max="16141" width="9.6640625" style="124" customWidth="1"/>
    <col min="16142" max="16384" width="9.1640625" style="124"/>
  </cols>
  <sheetData>
    <row r="1" spans="1:13">
      <c r="A1" s="125" t="s">
        <v>0</v>
      </c>
      <c r="B1" s="125" t="s">
        <v>1</v>
      </c>
      <c r="C1" s="125" t="s">
        <v>2</v>
      </c>
      <c r="D1" s="125" t="s">
        <v>3</v>
      </c>
      <c r="E1" s="125" t="s">
        <v>4</v>
      </c>
      <c r="F1" s="125" t="s">
        <v>5</v>
      </c>
      <c r="G1" s="125" t="s">
        <v>6</v>
      </c>
      <c r="H1" s="125" t="s">
        <v>15</v>
      </c>
      <c r="I1" s="125" t="s">
        <v>7</v>
      </c>
      <c r="J1" s="125" t="s">
        <v>8</v>
      </c>
      <c r="K1" s="125" t="s">
        <v>18</v>
      </c>
      <c r="L1" s="125" t="s">
        <v>9</v>
      </c>
      <c r="M1" s="125" t="s">
        <v>16</v>
      </c>
    </row>
    <row r="2" spans="1:13">
      <c r="A2" s="122">
        <v>33604</v>
      </c>
      <c r="K2" s="123">
        <v>35110</v>
      </c>
    </row>
    <row r="3" spans="1:13">
      <c r="A3" s="122">
        <v>33635</v>
      </c>
      <c r="B3" s="123">
        <v>9777</v>
      </c>
      <c r="C3" s="123">
        <v>13385</v>
      </c>
      <c r="D3" s="123">
        <v>14202</v>
      </c>
      <c r="E3" s="123">
        <v>19538</v>
      </c>
      <c r="F3" s="123">
        <v>6199</v>
      </c>
      <c r="G3" s="123">
        <v>31604</v>
      </c>
      <c r="H3" s="123">
        <v>106189</v>
      </c>
      <c r="I3" s="123">
        <v>82931</v>
      </c>
      <c r="J3" s="123">
        <v>82864</v>
      </c>
      <c r="K3" s="123">
        <v>33899</v>
      </c>
      <c r="L3" s="123">
        <v>114535</v>
      </c>
      <c r="M3" s="123">
        <v>33857</v>
      </c>
    </row>
    <row r="4" spans="1:13">
      <c r="A4" s="122">
        <v>33664</v>
      </c>
      <c r="B4" s="123">
        <v>10283</v>
      </c>
      <c r="C4" s="123">
        <v>13542</v>
      </c>
      <c r="D4" s="123">
        <v>15050</v>
      </c>
      <c r="E4" s="123">
        <v>19720</v>
      </c>
      <c r="F4" s="123">
        <v>6614</v>
      </c>
      <c r="G4" s="123">
        <v>34300</v>
      </c>
      <c r="H4" s="123">
        <v>113354</v>
      </c>
      <c r="I4" s="123">
        <v>85725</v>
      </c>
      <c r="J4" s="123">
        <v>86424</v>
      </c>
      <c r="K4" s="123">
        <v>35629</v>
      </c>
      <c r="L4" s="123">
        <v>120025</v>
      </c>
      <c r="M4" s="123">
        <v>35258</v>
      </c>
    </row>
    <row r="5" spans="1:13">
      <c r="A5" s="122">
        <v>33695</v>
      </c>
      <c r="B5" s="123">
        <v>10452</v>
      </c>
      <c r="C5" s="123">
        <v>13441</v>
      </c>
      <c r="D5" s="123">
        <v>15704</v>
      </c>
      <c r="E5" s="123">
        <v>19017</v>
      </c>
      <c r="F5" s="123">
        <v>6858</v>
      </c>
      <c r="G5" s="123">
        <v>37866</v>
      </c>
      <c r="H5" s="123">
        <v>115995</v>
      </c>
      <c r="I5" s="123">
        <v>86604</v>
      </c>
      <c r="J5" s="123">
        <v>90805</v>
      </c>
      <c r="K5" s="123">
        <v>36044</v>
      </c>
      <c r="L5" s="123">
        <v>124470</v>
      </c>
      <c r="M5" s="123">
        <v>35992</v>
      </c>
    </row>
    <row r="6" spans="1:13">
      <c r="A6" s="122">
        <v>33725</v>
      </c>
      <c r="B6" s="123">
        <v>10779</v>
      </c>
      <c r="C6" s="123">
        <v>14086</v>
      </c>
      <c r="D6" s="123">
        <v>15439</v>
      </c>
      <c r="E6" s="123">
        <v>20433</v>
      </c>
      <c r="F6" s="123">
        <v>6825</v>
      </c>
      <c r="G6" s="123">
        <v>37482</v>
      </c>
      <c r="H6" s="123">
        <v>117605</v>
      </c>
      <c r="I6" s="123">
        <v>88340</v>
      </c>
      <c r="J6" s="123">
        <v>91120</v>
      </c>
      <c r="K6" s="123">
        <v>35942</v>
      </c>
      <c r="L6" s="123">
        <v>125822</v>
      </c>
      <c r="M6" s="123">
        <v>36811</v>
      </c>
    </row>
    <row r="7" spans="1:13">
      <c r="A7" s="122">
        <v>33756</v>
      </c>
      <c r="B7" s="123">
        <v>10822</v>
      </c>
      <c r="C7" s="123">
        <v>14416</v>
      </c>
      <c r="D7" s="123">
        <v>16029</v>
      </c>
      <c r="E7" s="123">
        <v>19551</v>
      </c>
      <c r="F7" s="123">
        <v>6606</v>
      </c>
      <c r="G7" s="123">
        <v>34615</v>
      </c>
      <c r="H7" s="123">
        <v>115878</v>
      </c>
      <c r="I7" s="123">
        <v>88219</v>
      </c>
      <c r="J7" s="123">
        <v>88649</v>
      </c>
      <c r="K7" s="123">
        <v>36349</v>
      </c>
      <c r="L7" s="123">
        <v>122834</v>
      </c>
      <c r="M7" s="123">
        <v>36666</v>
      </c>
    </row>
    <row r="8" spans="1:13">
      <c r="A8" s="122">
        <v>33786</v>
      </c>
      <c r="B8" s="123">
        <v>10801</v>
      </c>
      <c r="C8" s="123">
        <v>13991</v>
      </c>
      <c r="D8" s="123">
        <v>15458</v>
      </c>
      <c r="E8" s="123">
        <v>19700</v>
      </c>
      <c r="F8" s="123">
        <v>6782</v>
      </c>
      <c r="G8" s="123">
        <v>34863</v>
      </c>
      <c r="H8" s="123">
        <v>116709</v>
      </c>
      <c r="I8" s="123">
        <v>87727</v>
      </c>
      <c r="J8" s="123">
        <v>87342</v>
      </c>
      <c r="K8" s="123">
        <v>36850</v>
      </c>
      <c r="L8" s="123">
        <v>122590</v>
      </c>
      <c r="M8" s="123">
        <v>36629</v>
      </c>
    </row>
    <row r="9" spans="1:13">
      <c r="A9" s="122">
        <v>33817</v>
      </c>
      <c r="B9" s="123">
        <v>10778</v>
      </c>
      <c r="C9" s="123">
        <v>14156</v>
      </c>
      <c r="D9" s="123">
        <v>15379</v>
      </c>
      <c r="E9" s="123">
        <v>19482</v>
      </c>
      <c r="F9" s="123">
        <v>6921</v>
      </c>
      <c r="G9" s="123">
        <v>32914</v>
      </c>
      <c r="H9" s="123">
        <v>114544</v>
      </c>
      <c r="I9" s="123">
        <v>87497</v>
      </c>
      <c r="J9" s="123">
        <v>85995</v>
      </c>
      <c r="K9" s="123">
        <v>36373</v>
      </c>
      <c r="L9" s="123">
        <v>120411</v>
      </c>
      <c r="M9" s="123">
        <v>36131</v>
      </c>
    </row>
    <row r="10" spans="1:13">
      <c r="A10" s="122">
        <v>33848</v>
      </c>
      <c r="B10" s="123">
        <v>9907</v>
      </c>
      <c r="C10" s="123">
        <v>14560</v>
      </c>
      <c r="D10" s="123">
        <v>16511</v>
      </c>
      <c r="E10" s="123">
        <v>20030</v>
      </c>
      <c r="F10" s="123">
        <v>6746</v>
      </c>
      <c r="G10" s="123">
        <v>32030</v>
      </c>
      <c r="H10" s="123">
        <v>114022</v>
      </c>
      <c r="I10" s="123">
        <v>88681</v>
      </c>
      <c r="J10" s="123">
        <v>86668</v>
      </c>
      <c r="K10" s="123">
        <v>37262</v>
      </c>
      <c r="L10" s="123">
        <v>120711</v>
      </c>
      <c r="M10" s="123">
        <v>37629</v>
      </c>
    </row>
    <row r="11" spans="1:13">
      <c r="A11" s="122">
        <v>33878</v>
      </c>
      <c r="B11" s="123">
        <v>9896</v>
      </c>
      <c r="C11" s="123">
        <v>14541</v>
      </c>
      <c r="D11" s="123">
        <v>15630</v>
      </c>
      <c r="E11" s="123">
        <v>19187</v>
      </c>
      <c r="F11" s="123">
        <v>6975</v>
      </c>
      <c r="G11" s="123">
        <v>40328</v>
      </c>
      <c r="H11" s="123">
        <v>115727</v>
      </c>
      <c r="I11" s="123">
        <v>87064</v>
      </c>
      <c r="J11" s="123">
        <v>93051</v>
      </c>
      <c r="K11" s="123">
        <v>36576</v>
      </c>
      <c r="L11" s="123">
        <v>127392</v>
      </c>
      <c r="M11" s="123">
        <v>36668</v>
      </c>
    </row>
    <row r="12" spans="1:13">
      <c r="A12" s="122">
        <v>33909</v>
      </c>
      <c r="B12" s="123">
        <v>10100</v>
      </c>
      <c r="C12" s="123">
        <v>14301</v>
      </c>
      <c r="D12" s="123">
        <v>16071</v>
      </c>
      <c r="E12" s="123">
        <v>21027</v>
      </c>
      <c r="F12" s="123">
        <v>6984</v>
      </c>
      <c r="G12" s="123">
        <v>32877</v>
      </c>
      <c r="H12" s="123">
        <v>114116</v>
      </c>
      <c r="I12" s="123">
        <v>89497</v>
      </c>
      <c r="J12" s="123">
        <v>87613</v>
      </c>
      <c r="K12" s="123">
        <v>36647</v>
      </c>
      <c r="L12" s="123">
        <v>122374</v>
      </c>
      <c r="M12" s="123">
        <v>37573</v>
      </c>
    </row>
    <row r="13" spans="1:13">
      <c r="A13" s="122">
        <v>33939</v>
      </c>
      <c r="B13" s="123">
        <v>10602</v>
      </c>
      <c r="C13" s="123">
        <v>14938</v>
      </c>
      <c r="D13" s="123">
        <v>16704</v>
      </c>
      <c r="E13" s="123">
        <v>21666</v>
      </c>
      <c r="F13" s="123">
        <v>6853</v>
      </c>
      <c r="G13" s="123">
        <v>34721</v>
      </c>
      <c r="H13" s="123">
        <v>117702</v>
      </c>
      <c r="I13" s="123">
        <v>91359</v>
      </c>
      <c r="J13" s="123">
        <v>91480</v>
      </c>
      <c r="K13" s="123">
        <v>38225</v>
      </c>
      <c r="L13" s="123">
        <v>126080</v>
      </c>
      <c r="M13" s="123">
        <v>38374</v>
      </c>
    </row>
    <row r="14" spans="1:13">
      <c r="A14" s="122">
        <v>33970</v>
      </c>
      <c r="B14" s="123">
        <v>10891</v>
      </c>
      <c r="C14" s="123">
        <v>13919</v>
      </c>
      <c r="D14" s="123">
        <v>16286</v>
      </c>
      <c r="E14" s="123">
        <v>20541</v>
      </c>
      <c r="F14" s="123">
        <v>7236</v>
      </c>
      <c r="G14" s="123">
        <v>30563</v>
      </c>
      <c r="H14" s="123">
        <v>115615</v>
      </c>
      <c r="I14" s="123">
        <v>91074</v>
      </c>
      <c r="J14" s="123">
        <v>85937</v>
      </c>
      <c r="K14" s="123">
        <v>37790</v>
      </c>
      <c r="L14" s="123">
        <v>121637</v>
      </c>
      <c r="M14" s="123">
        <v>37041</v>
      </c>
    </row>
    <row r="15" spans="1:13">
      <c r="A15" s="122">
        <v>34001</v>
      </c>
      <c r="B15" s="123">
        <v>10670</v>
      </c>
      <c r="C15" s="123">
        <v>14272</v>
      </c>
      <c r="D15" s="123">
        <v>15365</v>
      </c>
      <c r="E15" s="123">
        <v>20113</v>
      </c>
      <c r="F15" s="123">
        <v>7188</v>
      </c>
      <c r="G15" s="123">
        <v>38406</v>
      </c>
      <c r="H15" s="123">
        <v>121420</v>
      </c>
      <c r="I15" s="123">
        <v>90448</v>
      </c>
      <c r="J15" s="123">
        <v>92361</v>
      </c>
      <c r="K15" s="123">
        <v>37158</v>
      </c>
      <c r="L15" s="123">
        <v>128854</v>
      </c>
      <c r="M15" s="123">
        <v>36962</v>
      </c>
    </row>
    <row r="16" spans="1:13">
      <c r="A16" s="122">
        <v>34029</v>
      </c>
      <c r="B16" s="123">
        <v>11682</v>
      </c>
      <c r="C16" s="123">
        <v>14265</v>
      </c>
      <c r="D16" s="123">
        <v>16021</v>
      </c>
      <c r="E16" s="123">
        <v>20413</v>
      </c>
      <c r="F16" s="123">
        <v>7163</v>
      </c>
      <c r="G16" s="123">
        <v>34839</v>
      </c>
      <c r="H16" s="123">
        <v>118717</v>
      </c>
      <c r="I16" s="123">
        <v>91923</v>
      </c>
      <c r="J16" s="123">
        <v>90529</v>
      </c>
      <c r="K16" s="123">
        <v>37713</v>
      </c>
      <c r="L16" s="123">
        <v>126762</v>
      </c>
      <c r="M16" s="123">
        <v>36895</v>
      </c>
    </row>
    <row r="17" spans="1:13">
      <c r="A17" s="122">
        <v>34060</v>
      </c>
      <c r="B17" s="123">
        <v>10450</v>
      </c>
      <c r="C17" s="123">
        <v>14368</v>
      </c>
      <c r="D17" s="123">
        <v>16200</v>
      </c>
      <c r="E17" s="123">
        <v>20516</v>
      </c>
      <c r="F17" s="123">
        <v>7188</v>
      </c>
      <c r="G17" s="123">
        <v>35695</v>
      </c>
      <c r="H17" s="123">
        <v>120216</v>
      </c>
      <c r="I17" s="123">
        <v>91700</v>
      </c>
      <c r="J17" s="123">
        <v>91131</v>
      </c>
      <c r="K17" s="123">
        <v>37231</v>
      </c>
      <c r="L17" s="123">
        <v>127395</v>
      </c>
      <c r="M17" s="123">
        <v>37729</v>
      </c>
    </row>
    <row r="18" spans="1:13">
      <c r="A18" s="122">
        <v>34090</v>
      </c>
      <c r="B18" s="123">
        <v>10564</v>
      </c>
      <c r="C18" s="123">
        <v>14205</v>
      </c>
      <c r="D18" s="123">
        <v>16437</v>
      </c>
      <c r="E18" s="123">
        <v>20495</v>
      </c>
      <c r="F18" s="123">
        <v>7312</v>
      </c>
      <c r="G18" s="123">
        <v>35036</v>
      </c>
      <c r="H18" s="123">
        <v>119649</v>
      </c>
      <c r="I18" s="123">
        <v>91493</v>
      </c>
      <c r="J18" s="123">
        <v>89831</v>
      </c>
      <c r="K18" s="123">
        <v>37869</v>
      </c>
      <c r="L18" s="123">
        <v>126529</v>
      </c>
      <c r="M18" s="123">
        <v>37869</v>
      </c>
    </row>
    <row r="19" spans="1:13">
      <c r="A19" s="122">
        <v>34121</v>
      </c>
      <c r="B19" s="123">
        <v>10692</v>
      </c>
      <c r="C19" s="123">
        <v>14456</v>
      </c>
      <c r="D19" s="123">
        <v>16781</v>
      </c>
      <c r="E19" s="123">
        <v>19770</v>
      </c>
      <c r="F19" s="123">
        <v>7197</v>
      </c>
      <c r="G19" s="123">
        <v>39073</v>
      </c>
      <c r="H19" s="123">
        <v>124266</v>
      </c>
      <c r="I19" s="123">
        <v>91139</v>
      </c>
      <c r="J19" s="123">
        <v>93493</v>
      </c>
      <c r="K19" s="123">
        <v>38235</v>
      </c>
      <c r="L19" s="123">
        <v>130212</v>
      </c>
      <c r="M19" s="123">
        <v>38381</v>
      </c>
    </row>
    <row r="20" spans="1:13">
      <c r="A20" s="122">
        <v>34151</v>
      </c>
      <c r="B20" s="123">
        <v>10427</v>
      </c>
      <c r="C20" s="123">
        <v>14738</v>
      </c>
      <c r="D20" s="123">
        <v>16926</v>
      </c>
      <c r="E20" s="123">
        <v>20734</v>
      </c>
      <c r="F20" s="123">
        <v>7337</v>
      </c>
      <c r="G20" s="123">
        <v>35615</v>
      </c>
      <c r="H20" s="123">
        <v>119325</v>
      </c>
      <c r="I20" s="123">
        <v>92496</v>
      </c>
      <c r="J20" s="123">
        <v>92023</v>
      </c>
      <c r="K20" s="123">
        <v>38318</v>
      </c>
      <c r="L20" s="123">
        <v>128111</v>
      </c>
      <c r="M20" s="123">
        <v>38915</v>
      </c>
    </row>
    <row r="21" spans="1:13">
      <c r="A21" s="122">
        <v>34182</v>
      </c>
      <c r="B21" s="123">
        <v>10411</v>
      </c>
      <c r="C21" s="123">
        <v>14787</v>
      </c>
      <c r="D21" s="123">
        <v>16913</v>
      </c>
      <c r="E21" s="123">
        <v>21352</v>
      </c>
      <c r="F21" s="123">
        <v>7508</v>
      </c>
      <c r="G21" s="123">
        <v>35954</v>
      </c>
      <c r="H21" s="123">
        <v>121450</v>
      </c>
      <c r="I21" s="123">
        <v>93424</v>
      </c>
      <c r="J21" s="123">
        <v>94226</v>
      </c>
      <c r="K21" s="123">
        <v>38394</v>
      </c>
      <c r="L21" s="123">
        <v>129378</v>
      </c>
      <c r="M21" s="123">
        <v>39309</v>
      </c>
    </row>
    <row r="22" spans="1:13">
      <c r="A22" s="122">
        <v>34213</v>
      </c>
      <c r="B22" s="123">
        <v>10836</v>
      </c>
      <c r="C22" s="123">
        <v>15065</v>
      </c>
      <c r="D22" s="123">
        <v>17396</v>
      </c>
      <c r="E22" s="123">
        <v>20750</v>
      </c>
      <c r="F22" s="123">
        <v>7609</v>
      </c>
      <c r="G22" s="123">
        <v>33151</v>
      </c>
      <c r="H22" s="123">
        <v>120779</v>
      </c>
      <c r="I22" s="123">
        <v>94082</v>
      </c>
      <c r="J22" s="123">
        <v>90477</v>
      </c>
      <c r="K22" s="123">
        <v>39656</v>
      </c>
      <c r="L22" s="123">
        <v>127233</v>
      </c>
      <c r="M22" s="123">
        <v>39307</v>
      </c>
    </row>
    <row r="23" spans="1:13">
      <c r="A23" s="122">
        <v>34243</v>
      </c>
      <c r="B23" s="123">
        <v>10919</v>
      </c>
      <c r="C23" s="123">
        <v>15188</v>
      </c>
      <c r="D23" s="123">
        <v>17276</v>
      </c>
      <c r="E23" s="123">
        <v>22212</v>
      </c>
      <c r="F23" s="123">
        <v>7546</v>
      </c>
      <c r="G23" s="123">
        <v>37135</v>
      </c>
      <c r="H23" s="123">
        <v>125808</v>
      </c>
      <c r="I23" s="123">
        <v>96033</v>
      </c>
      <c r="J23" s="123">
        <v>94772</v>
      </c>
      <c r="K23" s="123">
        <v>39814</v>
      </c>
      <c r="L23" s="123">
        <v>133168</v>
      </c>
      <c r="M23" s="123">
        <v>40550</v>
      </c>
    </row>
    <row r="24" spans="1:13">
      <c r="A24" s="122">
        <v>34274</v>
      </c>
      <c r="B24" s="123">
        <v>10830</v>
      </c>
      <c r="C24" s="123">
        <v>14524</v>
      </c>
      <c r="D24" s="123">
        <v>17210</v>
      </c>
      <c r="E24" s="123">
        <v>21504</v>
      </c>
      <c r="F24" s="123">
        <v>7549</v>
      </c>
      <c r="G24" s="123">
        <v>35941</v>
      </c>
      <c r="H24" s="123">
        <v>124269</v>
      </c>
      <c r="I24" s="123">
        <v>94450</v>
      </c>
      <c r="J24" s="123">
        <v>92009</v>
      </c>
      <c r="K24" s="123">
        <v>40070</v>
      </c>
      <c r="L24" s="123">
        <v>130391</v>
      </c>
      <c r="M24" s="123">
        <v>40301</v>
      </c>
    </row>
    <row r="25" spans="1:13">
      <c r="A25" s="122">
        <v>34304</v>
      </c>
      <c r="B25" s="123">
        <v>10659</v>
      </c>
      <c r="C25" s="123">
        <v>16356</v>
      </c>
      <c r="D25" s="123">
        <v>19964</v>
      </c>
      <c r="E25" s="123">
        <v>19601</v>
      </c>
      <c r="F25" s="123">
        <v>7412</v>
      </c>
      <c r="G25" s="123">
        <v>35708</v>
      </c>
      <c r="H25" s="123">
        <v>127594</v>
      </c>
      <c r="I25" s="123">
        <v>97857</v>
      </c>
      <c r="J25" s="123">
        <v>94944</v>
      </c>
      <c r="K25" s="123">
        <v>41523</v>
      </c>
      <c r="L25" s="123">
        <v>133565</v>
      </c>
      <c r="M25" s="123">
        <v>43296</v>
      </c>
    </row>
    <row r="26" spans="1:13">
      <c r="A26" s="122">
        <v>34335</v>
      </c>
      <c r="B26" s="123">
        <v>10842</v>
      </c>
      <c r="C26" s="123">
        <v>15603</v>
      </c>
      <c r="D26" s="123">
        <v>17444</v>
      </c>
      <c r="E26" s="123">
        <v>21516</v>
      </c>
      <c r="F26" s="123">
        <v>7807</v>
      </c>
      <c r="G26" s="123">
        <v>41248</v>
      </c>
      <c r="H26" s="123">
        <v>130159</v>
      </c>
      <c r="I26" s="123">
        <v>97250</v>
      </c>
      <c r="J26" s="123">
        <v>98647</v>
      </c>
      <c r="K26" s="123">
        <v>40254</v>
      </c>
      <c r="L26" s="123">
        <v>138498</v>
      </c>
      <c r="M26" s="123">
        <v>39801</v>
      </c>
    </row>
    <row r="27" spans="1:13">
      <c r="A27" s="122">
        <v>34366</v>
      </c>
      <c r="B27" s="123">
        <v>11246</v>
      </c>
      <c r="C27" s="123">
        <v>15294</v>
      </c>
      <c r="D27" s="123">
        <v>18254</v>
      </c>
      <c r="E27" s="123">
        <v>22300</v>
      </c>
      <c r="F27" s="123">
        <v>7955</v>
      </c>
      <c r="G27" s="123">
        <v>38421</v>
      </c>
      <c r="H27" s="123">
        <v>131270</v>
      </c>
      <c r="I27" s="123">
        <v>98720</v>
      </c>
      <c r="J27" s="123">
        <v>97358</v>
      </c>
      <c r="K27" s="123">
        <v>41273</v>
      </c>
      <c r="L27" s="123">
        <v>137141</v>
      </c>
      <c r="M27" s="123">
        <v>41736</v>
      </c>
    </row>
    <row r="28" spans="1:13">
      <c r="A28" s="122">
        <v>34394</v>
      </c>
      <c r="B28" s="123">
        <v>11727</v>
      </c>
      <c r="C28" s="123">
        <v>16330</v>
      </c>
      <c r="D28" s="123">
        <v>17949</v>
      </c>
      <c r="E28" s="123">
        <v>20509</v>
      </c>
      <c r="F28" s="123">
        <v>7799</v>
      </c>
      <c r="G28" s="123">
        <v>38051</v>
      </c>
      <c r="H28" s="123">
        <v>131368</v>
      </c>
      <c r="I28" s="123">
        <v>98497</v>
      </c>
      <c r="J28" s="123">
        <v>96706</v>
      </c>
      <c r="K28" s="123">
        <v>40601</v>
      </c>
      <c r="L28" s="123">
        <v>136548</v>
      </c>
      <c r="M28" s="123">
        <v>41245</v>
      </c>
    </row>
    <row r="29" spans="1:13">
      <c r="A29" s="122">
        <v>34425</v>
      </c>
      <c r="B29" s="123">
        <v>11530</v>
      </c>
      <c r="C29" s="123">
        <v>15786</v>
      </c>
      <c r="D29" s="123">
        <v>18595</v>
      </c>
      <c r="E29" s="123">
        <v>22665</v>
      </c>
      <c r="F29" s="123">
        <v>8129</v>
      </c>
      <c r="G29" s="123">
        <v>39235</v>
      </c>
      <c r="H29" s="123">
        <v>134410</v>
      </c>
      <c r="I29" s="123">
        <v>101101</v>
      </c>
      <c r="J29" s="123">
        <v>99591</v>
      </c>
      <c r="K29" s="123">
        <v>41814</v>
      </c>
      <c r="L29" s="123">
        <v>140336</v>
      </c>
      <c r="M29" s="123">
        <v>42992</v>
      </c>
    </row>
    <row r="30" spans="1:13">
      <c r="A30" s="122">
        <v>34455</v>
      </c>
      <c r="B30" s="123">
        <v>12012</v>
      </c>
      <c r="C30" s="123">
        <v>16252</v>
      </c>
      <c r="D30" s="123">
        <v>18973</v>
      </c>
      <c r="E30" s="123">
        <v>22505</v>
      </c>
      <c r="F30" s="123">
        <v>8132</v>
      </c>
      <c r="G30" s="123">
        <v>40007</v>
      </c>
      <c r="H30" s="123">
        <v>135316</v>
      </c>
      <c r="I30" s="123">
        <v>102623</v>
      </c>
      <c r="J30" s="123">
        <v>101522</v>
      </c>
      <c r="K30" s="123">
        <v>42432</v>
      </c>
      <c r="L30" s="123">
        <v>142630</v>
      </c>
      <c r="M30" s="123">
        <v>42849</v>
      </c>
    </row>
    <row r="31" spans="1:13">
      <c r="A31" s="122">
        <v>34486</v>
      </c>
      <c r="B31" s="123">
        <v>12102</v>
      </c>
      <c r="C31" s="123">
        <v>16443</v>
      </c>
      <c r="D31" s="123">
        <v>20095</v>
      </c>
      <c r="E31" s="123">
        <v>23421</v>
      </c>
      <c r="F31" s="123">
        <v>8137</v>
      </c>
      <c r="G31" s="123">
        <v>40588</v>
      </c>
      <c r="H31" s="123">
        <v>138289</v>
      </c>
      <c r="I31" s="123">
        <v>104475</v>
      </c>
      <c r="J31" s="123">
        <v>103928</v>
      </c>
      <c r="K31" s="123">
        <v>42693</v>
      </c>
      <c r="L31" s="123">
        <v>145063</v>
      </c>
      <c r="M31" s="123">
        <v>44555</v>
      </c>
    </row>
    <row r="32" spans="1:13">
      <c r="A32" s="122">
        <v>34516</v>
      </c>
      <c r="B32" s="123">
        <v>12217</v>
      </c>
      <c r="C32" s="123">
        <v>16502</v>
      </c>
      <c r="D32" s="123">
        <v>19528</v>
      </c>
      <c r="E32" s="123">
        <v>23762</v>
      </c>
      <c r="F32" s="123">
        <v>8307</v>
      </c>
      <c r="G32" s="123">
        <v>40172</v>
      </c>
      <c r="H32" s="123">
        <v>138141</v>
      </c>
      <c r="I32" s="123">
        <v>104841</v>
      </c>
      <c r="J32" s="123">
        <v>103538</v>
      </c>
      <c r="K32" s="123">
        <v>42885</v>
      </c>
      <c r="L32" s="123">
        <v>145013</v>
      </c>
      <c r="M32" s="123">
        <v>44016</v>
      </c>
    </row>
    <row r="33" spans="1:13">
      <c r="A33" s="122">
        <v>34547</v>
      </c>
      <c r="B33" s="123">
        <v>12085</v>
      </c>
      <c r="C33" s="123">
        <v>16767</v>
      </c>
      <c r="D33" s="123">
        <v>20035</v>
      </c>
      <c r="E33" s="123">
        <v>22975</v>
      </c>
      <c r="F33" s="123">
        <v>7812</v>
      </c>
      <c r="G33" s="123">
        <v>41980</v>
      </c>
      <c r="H33" s="123">
        <v>139058</v>
      </c>
      <c r="I33" s="123">
        <v>103904</v>
      </c>
      <c r="J33" s="123">
        <v>103907</v>
      </c>
      <c r="K33" s="123">
        <v>43076</v>
      </c>
      <c r="L33" s="123">
        <v>145884</v>
      </c>
      <c r="M33" s="123">
        <v>44406</v>
      </c>
    </row>
    <row r="34" spans="1:13">
      <c r="A34" s="122">
        <v>34578</v>
      </c>
      <c r="B34" s="123">
        <v>13113</v>
      </c>
      <c r="C34" s="123">
        <v>16326</v>
      </c>
      <c r="D34" s="123">
        <v>19847</v>
      </c>
      <c r="E34" s="123">
        <v>23340</v>
      </c>
      <c r="F34" s="123">
        <v>8099</v>
      </c>
      <c r="G34" s="123">
        <v>40661</v>
      </c>
      <c r="H34" s="123">
        <v>139135</v>
      </c>
      <c r="I34" s="123">
        <v>104826</v>
      </c>
      <c r="J34" s="123">
        <v>104150</v>
      </c>
      <c r="K34" s="123">
        <v>43322</v>
      </c>
      <c r="L34" s="123">
        <v>145487</v>
      </c>
      <c r="M34" s="123">
        <v>44507</v>
      </c>
    </row>
    <row r="35" spans="1:13">
      <c r="A35" s="122">
        <v>34608</v>
      </c>
      <c r="B35" s="123">
        <v>13177</v>
      </c>
      <c r="C35" s="123">
        <v>16853</v>
      </c>
      <c r="D35" s="123">
        <v>20784</v>
      </c>
      <c r="E35" s="123">
        <v>24094</v>
      </c>
      <c r="F35" s="123">
        <v>8591</v>
      </c>
      <c r="G35" s="123">
        <v>41592</v>
      </c>
      <c r="H35" s="123">
        <v>141113</v>
      </c>
      <c r="I35" s="123">
        <v>107955</v>
      </c>
      <c r="J35" s="123">
        <v>107573</v>
      </c>
      <c r="K35" s="123">
        <v>43646</v>
      </c>
      <c r="L35" s="123">
        <v>149547</v>
      </c>
      <c r="M35" s="123">
        <v>45959</v>
      </c>
    </row>
    <row r="36" spans="1:13">
      <c r="A36" s="122">
        <v>34639</v>
      </c>
      <c r="B36" s="123">
        <v>13087</v>
      </c>
      <c r="C36" s="123">
        <v>17125</v>
      </c>
      <c r="D36" s="123">
        <v>20783</v>
      </c>
      <c r="E36" s="123">
        <v>23893</v>
      </c>
      <c r="F36" s="123">
        <v>8102</v>
      </c>
      <c r="G36" s="123">
        <v>42896</v>
      </c>
      <c r="H36" s="123">
        <v>143323</v>
      </c>
      <c r="I36" s="123">
        <v>107142</v>
      </c>
      <c r="J36" s="123">
        <v>107130</v>
      </c>
      <c r="K36" s="123">
        <v>44846</v>
      </c>
      <c r="L36" s="123">
        <v>150038</v>
      </c>
      <c r="M36" s="123">
        <v>45942</v>
      </c>
    </row>
    <row r="37" spans="1:13">
      <c r="A37" s="122">
        <v>34669</v>
      </c>
      <c r="B37" s="123">
        <v>13870</v>
      </c>
      <c r="C37" s="123">
        <v>17561</v>
      </c>
      <c r="D37" s="123">
        <v>20949</v>
      </c>
      <c r="E37" s="123">
        <v>23829</v>
      </c>
      <c r="F37" s="123">
        <v>8201</v>
      </c>
      <c r="G37" s="123">
        <v>43132</v>
      </c>
      <c r="H37" s="123">
        <v>144805</v>
      </c>
      <c r="I37" s="123">
        <v>109357</v>
      </c>
      <c r="J37" s="123">
        <v>108697</v>
      </c>
      <c r="K37" s="123">
        <v>45860</v>
      </c>
      <c r="L37" s="123">
        <v>152489</v>
      </c>
      <c r="M37" s="123">
        <v>46186</v>
      </c>
    </row>
    <row r="38" spans="1:13">
      <c r="A38" s="122">
        <v>34700</v>
      </c>
      <c r="B38" s="123">
        <v>13875</v>
      </c>
      <c r="C38" s="123">
        <v>18222</v>
      </c>
      <c r="D38" s="123">
        <v>20813</v>
      </c>
      <c r="E38" s="123">
        <v>24307</v>
      </c>
      <c r="F38" s="123">
        <v>8626</v>
      </c>
      <c r="G38" s="123">
        <v>38560</v>
      </c>
      <c r="H38" s="123">
        <v>145879</v>
      </c>
      <c r="I38" s="123">
        <v>111899</v>
      </c>
      <c r="J38" s="123">
        <v>107635</v>
      </c>
      <c r="K38" s="123">
        <v>45244</v>
      </c>
      <c r="L38" s="123">
        <v>150459</v>
      </c>
      <c r="M38" s="123">
        <v>47317</v>
      </c>
    </row>
    <row r="39" spans="1:13">
      <c r="A39" s="122">
        <v>34731</v>
      </c>
      <c r="B39" s="123">
        <v>13372</v>
      </c>
      <c r="C39" s="123">
        <v>17932</v>
      </c>
      <c r="D39" s="123">
        <v>20278</v>
      </c>
      <c r="E39" s="123">
        <v>23932</v>
      </c>
      <c r="F39" s="123">
        <v>8411</v>
      </c>
      <c r="G39" s="123">
        <v>44372</v>
      </c>
      <c r="H39" s="123">
        <v>146538</v>
      </c>
      <c r="I39" s="123">
        <v>109484</v>
      </c>
      <c r="J39" s="123">
        <v>110588</v>
      </c>
      <c r="K39" s="123">
        <v>45939</v>
      </c>
      <c r="L39" s="123">
        <v>153856</v>
      </c>
      <c r="M39" s="123">
        <v>46200</v>
      </c>
    </row>
    <row r="40" spans="1:13">
      <c r="A40" s="122">
        <v>34759</v>
      </c>
      <c r="B40" s="123">
        <v>13650</v>
      </c>
      <c r="C40" s="123">
        <v>17741</v>
      </c>
      <c r="D40" s="123">
        <v>20090</v>
      </c>
      <c r="E40" s="123">
        <v>24617</v>
      </c>
      <c r="F40" s="123">
        <v>8556</v>
      </c>
      <c r="G40" s="123">
        <v>43176</v>
      </c>
      <c r="H40" s="123">
        <v>145807</v>
      </c>
      <c r="I40" s="123">
        <v>109712</v>
      </c>
      <c r="J40" s="123">
        <v>110175</v>
      </c>
      <c r="K40" s="123">
        <v>45318</v>
      </c>
      <c r="L40" s="123">
        <v>152888</v>
      </c>
      <c r="M40" s="123">
        <v>46095</v>
      </c>
    </row>
    <row r="41" spans="1:13">
      <c r="A41" s="122">
        <v>34790</v>
      </c>
      <c r="B41" s="123">
        <v>13396</v>
      </c>
      <c r="C41" s="123">
        <v>17693</v>
      </c>
      <c r="D41" s="123">
        <v>19901</v>
      </c>
      <c r="E41" s="123">
        <v>25903</v>
      </c>
      <c r="F41" s="123">
        <v>8166</v>
      </c>
      <c r="G41" s="123">
        <v>40921</v>
      </c>
      <c r="H41" s="123">
        <v>145517</v>
      </c>
      <c r="I41" s="123">
        <v>110480</v>
      </c>
      <c r="J41" s="123">
        <v>108608</v>
      </c>
      <c r="K41" s="123">
        <v>46461</v>
      </c>
      <c r="L41" s="123">
        <v>151401</v>
      </c>
      <c r="M41" s="123">
        <v>46776</v>
      </c>
    </row>
    <row r="42" spans="1:13">
      <c r="A42" s="122">
        <v>34820</v>
      </c>
      <c r="B42" s="123">
        <v>12852</v>
      </c>
      <c r="C42" s="123">
        <v>18061</v>
      </c>
      <c r="D42" s="123">
        <v>20610</v>
      </c>
      <c r="E42" s="123">
        <v>26720</v>
      </c>
      <c r="F42" s="123">
        <v>8249</v>
      </c>
      <c r="G42" s="123">
        <v>41044</v>
      </c>
      <c r="H42" s="123">
        <v>146352</v>
      </c>
      <c r="I42" s="123">
        <v>111794</v>
      </c>
      <c r="J42" s="123">
        <v>111257</v>
      </c>
      <c r="K42" s="123">
        <v>46614</v>
      </c>
      <c r="L42" s="123">
        <v>152838</v>
      </c>
      <c r="M42" s="123">
        <v>48401</v>
      </c>
    </row>
    <row r="43" spans="1:13">
      <c r="A43" s="122">
        <v>34851</v>
      </c>
      <c r="B43" s="123">
        <v>12712</v>
      </c>
      <c r="C43" s="123">
        <v>17425</v>
      </c>
      <c r="D43" s="123">
        <v>21247</v>
      </c>
      <c r="E43" s="123">
        <v>25141</v>
      </c>
      <c r="F43" s="123">
        <v>8243</v>
      </c>
      <c r="G43" s="123">
        <v>40611</v>
      </c>
      <c r="H43" s="123">
        <v>143562</v>
      </c>
      <c r="I43" s="123">
        <v>109440</v>
      </c>
      <c r="J43" s="123">
        <v>108462</v>
      </c>
      <c r="K43" s="123">
        <v>47124</v>
      </c>
      <c r="L43" s="123">
        <v>150051</v>
      </c>
      <c r="M43" s="123">
        <v>47970</v>
      </c>
    </row>
    <row r="44" spans="1:13">
      <c r="A44" s="122">
        <v>34881</v>
      </c>
      <c r="B44" s="123">
        <v>12659</v>
      </c>
      <c r="C44" s="123">
        <v>17685</v>
      </c>
      <c r="D44" s="123">
        <v>19780</v>
      </c>
      <c r="E44" s="123">
        <v>24896</v>
      </c>
      <c r="F44" s="123">
        <v>8488</v>
      </c>
      <c r="G44" s="123">
        <v>39925</v>
      </c>
      <c r="H44" s="123">
        <v>142786</v>
      </c>
      <c r="I44" s="123">
        <v>108990</v>
      </c>
      <c r="J44" s="123">
        <v>107267</v>
      </c>
      <c r="K44" s="123">
        <v>45905</v>
      </c>
      <c r="L44" s="123">
        <v>148915</v>
      </c>
      <c r="M44" s="123">
        <v>45962</v>
      </c>
    </row>
    <row r="45" spans="1:13">
      <c r="A45" s="122">
        <v>34912</v>
      </c>
      <c r="B45" s="123">
        <v>13585</v>
      </c>
      <c r="C45" s="123">
        <v>17768</v>
      </c>
      <c r="D45" s="123">
        <v>21215</v>
      </c>
      <c r="E45" s="123">
        <v>25700</v>
      </c>
      <c r="F45" s="123">
        <v>8588</v>
      </c>
      <c r="G45" s="123">
        <v>42056</v>
      </c>
      <c r="H45" s="123">
        <v>147062</v>
      </c>
      <c r="I45" s="123">
        <v>112316</v>
      </c>
      <c r="J45" s="123">
        <v>112114</v>
      </c>
      <c r="K45" s="123">
        <v>47284</v>
      </c>
      <c r="L45" s="123">
        <v>154372</v>
      </c>
      <c r="M45" s="123">
        <v>47502</v>
      </c>
    </row>
    <row r="46" spans="1:13">
      <c r="A46" s="122">
        <v>34943</v>
      </c>
      <c r="B46" s="123">
        <v>13303</v>
      </c>
      <c r="C46" s="123">
        <v>17796</v>
      </c>
      <c r="D46" s="123">
        <v>22008</v>
      </c>
      <c r="E46" s="123">
        <v>26606</v>
      </c>
      <c r="F46" s="123">
        <v>8412</v>
      </c>
      <c r="G46" s="123">
        <v>47156</v>
      </c>
      <c r="H46" s="123">
        <v>153556</v>
      </c>
      <c r="I46" s="123">
        <v>113019</v>
      </c>
      <c r="J46" s="123">
        <v>116838</v>
      </c>
      <c r="K46" s="123">
        <v>48057</v>
      </c>
      <c r="L46" s="123">
        <v>160175</v>
      </c>
      <c r="M46" s="123">
        <v>49431</v>
      </c>
    </row>
    <row r="47" spans="1:13">
      <c r="A47" s="122">
        <v>34973</v>
      </c>
      <c r="B47" s="123">
        <v>13731</v>
      </c>
      <c r="C47" s="123">
        <v>18112</v>
      </c>
      <c r="D47" s="123">
        <v>21537</v>
      </c>
      <c r="E47" s="123">
        <v>28407</v>
      </c>
      <c r="F47" s="123">
        <v>8507</v>
      </c>
      <c r="G47" s="123">
        <v>39823</v>
      </c>
      <c r="H47" s="123">
        <v>149481</v>
      </c>
      <c r="I47" s="123">
        <v>115650</v>
      </c>
      <c r="J47" s="123">
        <v>112366</v>
      </c>
      <c r="K47" s="123">
        <v>47758</v>
      </c>
      <c r="L47" s="123">
        <v>155473</v>
      </c>
      <c r="M47" s="123">
        <v>50283</v>
      </c>
    </row>
    <row r="48" spans="1:13">
      <c r="A48" s="122">
        <v>35004</v>
      </c>
      <c r="B48" s="123">
        <v>13411</v>
      </c>
      <c r="C48" s="123">
        <v>17996</v>
      </c>
      <c r="D48" s="123">
        <v>21392</v>
      </c>
      <c r="E48" s="123">
        <v>27131</v>
      </c>
      <c r="F48" s="123">
        <v>8569</v>
      </c>
      <c r="G48" s="123">
        <v>42673</v>
      </c>
      <c r="H48" s="123">
        <v>150718</v>
      </c>
      <c r="I48" s="123">
        <v>113473</v>
      </c>
      <c r="J48" s="123">
        <v>113784</v>
      </c>
      <c r="K48" s="123">
        <v>48739</v>
      </c>
      <c r="L48" s="123">
        <v>156146</v>
      </c>
      <c r="M48" s="123">
        <v>49798</v>
      </c>
    </row>
    <row r="49" spans="1:13">
      <c r="A49" s="122">
        <v>35034</v>
      </c>
      <c r="B49" s="123">
        <v>13544</v>
      </c>
      <c r="C49" s="123">
        <v>18386</v>
      </c>
      <c r="D49" s="123">
        <v>23004</v>
      </c>
      <c r="E49" s="123">
        <v>27344</v>
      </c>
      <c r="F49" s="123">
        <v>8772</v>
      </c>
      <c r="G49" s="123">
        <v>46847</v>
      </c>
      <c r="H49" s="123">
        <v>156997</v>
      </c>
      <c r="I49" s="123">
        <v>116432</v>
      </c>
      <c r="J49" s="123">
        <v>119874</v>
      </c>
      <c r="K49" s="123">
        <v>51286</v>
      </c>
      <c r="L49" s="123">
        <v>163279</v>
      </c>
      <c r="M49" s="123">
        <v>51221</v>
      </c>
    </row>
    <row r="50" spans="1:13">
      <c r="A50" s="122">
        <v>35065</v>
      </c>
      <c r="B50" s="123">
        <v>12893</v>
      </c>
      <c r="C50" s="123">
        <v>17960</v>
      </c>
      <c r="D50" s="123">
        <v>21185</v>
      </c>
      <c r="E50" s="123">
        <v>26027</v>
      </c>
      <c r="F50" s="123">
        <v>8036</v>
      </c>
      <c r="G50" s="123">
        <v>43736</v>
      </c>
      <c r="H50" s="123">
        <v>148982</v>
      </c>
      <c r="I50" s="123">
        <v>112070</v>
      </c>
      <c r="J50" s="123">
        <v>114288</v>
      </c>
      <c r="K50" s="123">
        <v>47338</v>
      </c>
      <c r="L50" s="123">
        <v>155806</v>
      </c>
      <c r="M50" s="123">
        <v>47931</v>
      </c>
    </row>
    <row r="51" spans="1:13">
      <c r="A51" s="122">
        <v>35096</v>
      </c>
      <c r="B51" s="123">
        <v>12550</v>
      </c>
      <c r="C51" s="123">
        <v>17150</v>
      </c>
      <c r="D51" s="123">
        <v>21265</v>
      </c>
      <c r="E51" s="123">
        <v>26891</v>
      </c>
      <c r="F51" s="123">
        <v>8006</v>
      </c>
      <c r="G51" s="123">
        <v>40375</v>
      </c>
      <c r="H51" s="123">
        <v>145094</v>
      </c>
      <c r="I51" s="123">
        <v>110398</v>
      </c>
      <c r="J51" s="123">
        <v>109375</v>
      </c>
      <c r="K51" s="123">
        <v>47837</v>
      </c>
      <c r="L51" s="123">
        <v>150773</v>
      </c>
      <c r="M51" s="123">
        <v>49183</v>
      </c>
    </row>
    <row r="52" spans="1:13">
      <c r="A52" s="122">
        <v>35125</v>
      </c>
      <c r="B52" s="123">
        <v>12676</v>
      </c>
      <c r="C52" s="123">
        <v>18301</v>
      </c>
      <c r="D52" s="123">
        <v>21010</v>
      </c>
      <c r="E52" s="123">
        <v>26863</v>
      </c>
      <c r="F52" s="123">
        <v>8892</v>
      </c>
      <c r="G52" s="123">
        <v>50323</v>
      </c>
      <c r="H52" s="123">
        <v>152130</v>
      </c>
      <c r="I52" s="123">
        <v>114653</v>
      </c>
      <c r="J52" s="123">
        <v>122567</v>
      </c>
      <c r="K52" s="123">
        <v>50325</v>
      </c>
      <c r="L52" s="123">
        <v>164976</v>
      </c>
      <c r="M52" s="123">
        <v>49780</v>
      </c>
    </row>
    <row r="53" spans="1:13">
      <c r="A53" s="122">
        <v>35156</v>
      </c>
      <c r="B53" s="123">
        <v>13126</v>
      </c>
      <c r="C53" s="123">
        <v>18870</v>
      </c>
      <c r="D53" s="123">
        <v>20134</v>
      </c>
      <c r="E53" s="123">
        <v>26655</v>
      </c>
      <c r="F53" s="123">
        <v>8399</v>
      </c>
      <c r="G53" s="123">
        <v>43028</v>
      </c>
      <c r="H53" s="123">
        <v>150475</v>
      </c>
      <c r="I53" s="123">
        <v>113802</v>
      </c>
      <c r="J53" s="123">
        <v>112882</v>
      </c>
      <c r="K53" s="123">
        <v>48614</v>
      </c>
      <c r="L53" s="123">
        <v>156830</v>
      </c>
      <c r="M53" s="123">
        <v>48102</v>
      </c>
    </row>
    <row r="54" spans="1:13">
      <c r="A54" s="122">
        <v>35186</v>
      </c>
      <c r="B54" s="123">
        <v>13666</v>
      </c>
      <c r="C54" s="123">
        <v>19020</v>
      </c>
      <c r="D54" s="123">
        <v>21649</v>
      </c>
      <c r="E54" s="123">
        <v>27181</v>
      </c>
      <c r="F54" s="123">
        <v>8587</v>
      </c>
      <c r="G54" s="123">
        <v>47327</v>
      </c>
      <c r="H54" s="123">
        <v>156429</v>
      </c>
      <c r="I54" s="123">
        <v>117175</v>
      </c>
      <c r="J54" s="123">
        <v>119613</v>
      </c>
      <c r="K54" s="123">
        <v>49805</v>
      </c>
      <c r="L54" s="123">
        <v>164502</v>
      </c>
      <c r="M54" s="123">
        <v>50505</v>
      </c>
    </row>
    <row r="55" spans="1:13">
      <c r="A55" s="122">
        <v>35217</v>
      </c>
      <c r="B55" s="123">
        <v>13617</v>
      </c>
      <c r="C55" s="123">
        <v>19293</v>
      </c>
      <c r="D55" s="123">
        <v>22400</v>
      </c>
      <c r="E55" s="123">
        <v>26365</v>
      </c>
      <c r="F55" s="123">
        <v>9196</v>
      </c>
      <c r="G55" s="123">
        <v>46710</v>
      </c>
      <c r="H55" s="123">
        <v>156863</v>
      </c>
      <c r="I55" s="123">
        <v>117889</v>
      </c>
      <c r="J55" s="123">
        <v>118924</v>
      </c>
      <c r="K55" s="123">
        <v>51589</v>
      </c>
      <c r="L55" s="123">
        <v>164599</v>
      </c>
      <c r="M55" s="123">
        <v>51556</v>
      </c>
    </row>
    <row r="56" spans="1:13">
      <c r="A56" s="122">
        <v>35247</v>
      </c>
      <c r="B56" s="123">
        <v>13554</v>
      </c>
      <c r="C56" s="123">
        <v>18982</v>
      </c>
      <c r="D56" s="123">
        <v>21040</v>
      </c>
      <c r="E56" s="123">
        <v>27499</v>
      </c>
      <c r="F56" s="123">
        <v>8718</v>
      </c>
      <c r="G56" s="123">
        <v>46990</v>
      </c>
      <c r="H56" s="123">
        <v>157889</v>
      </c>
      <c r="I56" s="123">
        <v>116598</v>
      </c>
      <c r="J56" s="123">
        <v>117941</v>
      </c>
      <c r="K56" s="123">
        <v>49208</v>
      </c>
      <c r="L56" s="123">
        <v>163588</v>
      </c>
      <c r="M56" s="123">
        <v>51047</v>
      </c>
    </row>
    <row r="57" spans="1:13">
      <c r="A57" s="122">
        <v>35278</v>
      </c>
      <c r="B57" s="123">
        <v>13363</v>
      </c>
      <c r="C57" s="123">
        <v>19459</v>
      </c>
      <c r="D57" s="123">
        <v>21424</v>
      </c>
      <c r="E57" s="123">
        <v>27699</v>
      </c>
      <c r="F57" s="123">
        <v>8824</v>
      </c>
      <c r="G57" s="123">
        <v>39602</v>
      </c>
      <c r="H57" s="123">
        <v>151860</v>
      </c>
      <c r="I57" s="123">
        <v>117708</v>
      </c>
      <c r="J57" s="123">
        <v>112297</v>
      </c>
      <c r="K57" s="123">
        <v>50278</v>
      </c>
      <c r="L57" s="123">
        <v>157310</v>
      </c>
      <c r="M57" s="123">
        <v>50780</v>
      </c>
    </row>
    <row r="58" spans="1:13">
      <c r="A58" s="122">
        <v>35309</v>
      </c>
      <c r="B58" s="123">
        <v>13039</v>
      </c>
      <c r="C58" s="123">
        <v>19973</v>
      </c>
      <c r="D58" s="123">
        <v>22243</v>
      </c>
      <c r="E58" s="123">
        <v>25321</v>
      </c>
      <c r="F58" s="123">
        <v>8767</v>
      </c>
      <c r="G58" s="123">
        <v>49106</v>
      </c>
      <c r="H58" s="123">
        <v>159031</v>
      </c>
      <c r="I58" s="123">
        <v>116336</v>
      </c>
      <c r="J58" s="123">
        <v>118848</v>
      </c>
      <c r="K58" s="123">
        <v>51324</v>
      </c>
      <c r="L58" s="123">
        <v>165442</v>
      </c>
      <c r="M58" s="123">
        <v>49824</v>
      </c>
    </row>
    <row r="59" spans="1:13">
      <c r="A59" s="122">
        <v>35339</v>
      </c>
      <c r="B59" s="123">
        <v>12859</v>
      </c>
      <c r="C59" s="123">
        <v>19101</v>
      </c>
      <c r="D59" s="123">
        <v>21054</v>
      </c>
      <c r="E59" s="123">
        <v>29984</v>
      </c>
      <c r="F59" s="123">
        <v>8965</v>
      </c>
      <c r="G59" s="123">
        <v>45767</v>
      </c>
      <c r="H59" s="123">
        <v>158298</v>
      </c>
      <c r="I59" s="123">
        <v>119499</v>
      </c>
      <c r="J59" s="123">
        <v>119956</v>
      </c>
      <c r="K59" s="123">
        <v>50663</v>
      </c>
      <c r="L59" s="123">
        <v>165266</v>
      </c>
      <c r="M59" s="123">
        <v>52556</v>
      </c>
    </row>
    <row r="60" spans="1:13">
      <c r="A60" s="122">
        <v>35370</v>
      </c>
      <c r="B60" s="123">
        <v>12963</v>
      </c>
      <c r="C60" s="123">
        <v>19495</v>
      </c>
      <c r="D60" s="123">
        <v>21723</v>
      </c>
      <c r="E60" s="123">
        <v>29093</v>
      </c>
      <c r="F60" s="123">
        <v>9235</v>
      </c>
      <c r="G60" s="123">
        <v>51214</v>
      </c>
      <c r="H60" s="123">
        <v>156723</v>
      </c>
      <c r="I60" s="123">
        <v>119569</v>
      </c>
      <c r="J60" s="123">
        <v>124724</v>
      </c>
      <c r="K60" s="123">
        <v>52150</v>
      </c>
      <c r="L60" s="123">
        <v>170783</v>
      </c>
      <c r="M60" s="123">
        <v>52664</v>
      </c>
    </row>
    <row r="61" spans="1:13">
      <c r="A61" s="122">
        <v>35400</v>
      </c>
      <c r="B61" s="123">
        <v>13379</v>
      </c>
      <c r="C61" s="123">
        <v>19364</v>
      </c>
      <c r="D61" s="123">
        <v>22992</v>
      </c>
      <c r="E61" s="123">
        <v>25961</v>
      </c>
      <c r="F61" s="123">
        <v>8791</v>
      </c>
      <c r="G61" s="123">
        <v>45637</v>
      </c>
      <c r="H61" s="123">
        <v>151939</v>
      </c>
      <c r="I61" s="123">
        <v>116695</v>
      </c>
      <c r="J61" s="123">
        <v>117137</v>
      </c>
      <c r="K61" s="123">
        <v>53292</v>
      </c>
      <c r="L61" s="123">
        <v>162332</v>
      </c>
      <c r="M61" s="123">
        <v>50765</v>
      </c>
    </row>
    <row r="62" spans="1:13">
      <c r="A62" s="122">
        <v>35431</v>
      </c>
      <c r="B62" s="123">
        <v>13827</v>
      </c>
      <c r="C62" s="123">
        <v>19304</v>
      </c>
      <c r="D62" s="123">
        <v>20733</v>
      </c>
      <c r="E62" s="123">
        <v>28145</v>
      </c>
      <c r="F62" s="123">
        <v>9324</v>
      </c>
      <c r="G62" s="123">
        <v>43137</v>
      </c>
      <c r="H62" s="123">
        <v>157118</v>
      </c>
      <c r="I62" s="123">
        <v>118690</v>
      </c>
      <c r="J62" s="123">
        <v>114626</v>
      </c>
      <c r="K62" s="123">
        <v>50928</v>
      </c>
      <c r="L62" s="123">
        <v>161827</v>
      </c>
      <c r="M62" s="123">
        <v>51958</v>
      </c>
    </row>
    <row r="63" spans="1:13">
      <c r="A63" s="122">
        <v>35462</v>
      </c>
      <c r="B63" s="123">
        <v>13865</v>
      </c>
      <c r="C63" s="123">
        <v>20169</v>
      </c>
      <c r="D63" s="123">
        <v>21467</v>
      </c>
      <c r="E63" s="123">
        <v>30728</v>
      </c>
      <c r="F63" s="123">
        <v>9130</v>
      </c>
      <c r="G63" s="123">
        <v>46731</v>
      </c>
      <c r="H63" s="123">
        <v>163696</v>
      </c>
      <c r="I63" s="123">
        <v>123490</v>
      </c>
      <c r="J63" s="123">
        <v>122876</v>
      </c>
      <c r="K63" s="123">
        <v>53129</v>
      </c>
      <c r="L63" s="123">
        <v>170221</v>
      </c>
      <c r="M63" s="123">
        <v>54285</v>
      </c>
    </row>
    <row r="64" spans="1:13">
      <c r="A64" s="122">
        <v>35490</v>
      </c>
      <c r="B64" s="123">
        <v>13748</v>
      </c>
      <c r="C64" s="123">
        <v>20190</v>
      </c>
      <c r="D64" s="123">
        <v>22450</v>
      </c>
      <c r="E64" s="123">
        <v>29295</v>
      </c>
      <c r="F64" s="123">
        <v>9479</v>
      </c>
      <c r="G64" s="123">
        <v>44383</v>
      </c>
      <c r="H64" s="123">
        <v>162083</v>
      </c>
      <c r="I64" s="123">
        <v>123185</v>
      </c>
      <c r="J64" s="123">
        <v>119668</v>
      </c>
      <c r="K64" s="123">
        <v>53688</v>
      </c>
      <c r="L64" s="123">
        <v>167568</v>
      </c>
      <c r="M64" s="123">
        <v>54195</v>
      </c>
    </row>
    <row r="65" spans="1:13">
      <c r="A65" s="122">
        <v>35521</v>
      </c>
      <c r="B65" s="123">
        <v>14402</v>
      </c>
      <c r="C65" s="123">
        <v>20978</v>
      </c>
      <c r="D65" s="123">
        <v>22429</v>
      </c>
      <c r="E65" s="123">
        <v>29922</v>
      </c>
      <c r="F65" s="123">
        <v>9578</v>
      </c>
      <c r="G65" s="123">
        <v>48145</v>
      </c>
      <c r="H65" s="123">
        <v>167051</v>
      </c>
      <c r="I65" s="123">
        <v>125909</v>
      </c>
      <c r="J65" s="123">
        <v>125615</v>
      </c>
      <c r="K65" s="123">
        <v>54482</v>
      </c>
      <c r="L65" s="123">
        <v>174054</v>
      </c>
      <c r="M65" s="123">
        <v>55044</v>
      </c>
    </row>
    <row r="66" spans="1:13">
      <c r="A66" s="122">
        <v>35551</v>
      </c>
      <c r="B66" s="123">
        <v>14009</v>
      </c>
      <c r="C66" s="123">
        <v>20185</v>
      </c>
      <c r="D66" s="123">
        <v>21492</v>
      </c>
      <c r="E66" s="123">
        <v>29530</v>
      </c>
      <c r="F66" s="123">
        <v>9209</v>
      </c>
      <c r="G66" s="123">
        <v>45726</v>
      </c>
      <c r="H66" s="123">
        <v>162721</v>
      </c>
      <c r="I66" s="123">
        <v>122860</v>
      </c>
      <c r="J66" s="123">
        <v>120972</v>
      </c>
      <c r="K66" s="123">
        <v>54054</v>
      </c>
      <c r="L66" s="123">
        <v>168586</v>
      </c>
      <c r="M66" s="123">
        <v>53924</v>
      </c>
    </row>
    <row r="67" spans="1:13">
      <c r="A67" s="122">
        <v>35582</v>
      </c>
      <c r="B67" s="123">
        <v>14308</v>
      </c>
      <c r="C67" s="123">
        <v>21148</v>
      </c>
      <c r="D67" s="123">
        <v>22520</v>
      </c>
      <c r="E67" s="123">
        <v>30873</v>
      </c>
      <c r="F67" s="123">
        <v>9151</v>
      </c>
      <c r="G67" s="123">
        <v>48371</v>
      </c>
      <c r="H67" s="123">
        <v>168024</v>
      </c>
      <c r="I67" s="123">
        <v>126457</v>
      </c>
      <c r="J67" s="123">
        <v>126186</v>
      </c>
      <c r="K67" s="123">
        <v>55945</v>
      </c>
      <c r="L67" s="123">
        <v>174828</v>
      </c>
      <c r="M67" s="123">
        <v>55972</v>
      </c>
    </row>
    <row r="68" spans="1:13">
      <c r="A68" s="122">
        <v>35612</v>
      </c>
      <c r="B68" s="123">
        <v>14415</v>
      </c>
      <c r="C68" s="123">
        <v>20438</v>
      </c>
      <c r="D68" s="123">
        <v>22815</v>
      </c>
      <c r="E68" s="123">
        <v>32570</v>
      </c>
      <c r="F68" s="123">
        <v>9524</v>
      </c>
      <c r="G68" s="123">
        <v>49923</v>
      </c>
      <c r="H68" s="123">
        <v>172439</v>
      </c>
      <c r="I68" s="123">
        <v>128937</v>
      </c>
      <c r="J68" s="123">
        <v>127337</v>
      </c>
      <c r="K68" s="123">
        <v>56487</v>
      </c>
      <c r="L68" s="123">
        <v>178860</v>
      </c>
      <c r="M68" s="123">
        <v>58969</v>
      </c>
    </row>
    <row r="69" spans="1:13">
      <c r="A69" s="122">
        <v>35643</v>
      </c>
      <c r="B69" s="123">
        <v>14301</v>
      </c>
      <c r="C69" s="123">
        <v>20688</v>
      </c>
      <c r="D69" s="123">
        <v>23774</v>
      </c>
      <c r="E69" s="123">
        <v>31387</v>
      </c>
      <c r="F69" s="123">
        <v>9519</v>
      </c>
      <c r="G69" s="123">
        <v>49485</v>
      </c>
      <c r="H69" s="123">
        <v>170596</v>
      </c>
      <c r="I69" s="123">
        <v>127817</v>
      </c>
      <c r="J69" s="123">
        <v>127334</v>
      </c>
      <c r="K69" s="123">
        <v>56866</v>
      </c>
      <c r="L69" s="123">
        <v>177302</v>
      </c>
      <c r="M69" s="123">
        <v>58232</v>
      </c>
    </row>
    <row r="70" spans="1:13">
      <c r="A70" s="122">
        <v>35674</v>
      </c>
      <c r="B70" s="123">
        <v>14783</v>
      </c>
      <c r="C70" s="123">
        <v>21539</v>
      </c>
      <c r="D70" s="123">
        <v>24114</v>
      </c>
      <c r="E70" s="123">
        <v>31135</v>
      </c>
      <c r="F70" s="123">
        <v>10444</v>
      </c>
      <c r="G70" s="123">
        <v>47162</v>
      </c>
      <c r="H70" s="123">
        <v>172083</v>
      </c>
      <c r="I70" s="123">
        <v>130673</v>
      </c>
      <c r="J70" s="123">
        <v>128051</v>
      </c>
      <c r="K70" s="123">
        <v>57040</v>
      </c>
      <c r="L70" s="123">
        <v>177835</v>
      </c>
      <c r="M70" s="123">
        <v>60143</v>
      </c>
    </row>
    <row r="71" spans="1:13">
      <c r="A71" s="122">
        <v>35704</v>
      </c>
      <c r="B71" s="123">
        <v>14651</v>
      </c>
      <c r="C71" s="123">
        <v>21183</v>
      </c>
      <c r="D71" s="123">
        <v>23945</v>
      </c>
      <c r="E71" s="123">
        <v>29844</v>
      </c>
      <c r="F71" s="123">
        <v>8817</v>
      </c>
      <c r="G71" s="123">
        <v>50414</v>
      </c>
      <c r="H71" s="123">
        <v>172275</v>
      </c>
      <c r="I71" s="123">
        <v>127387</v>
      </c>
      <c r="J71" s="123">
        <v>128062</v>
      </c>
      <c r="K71" s="123">
        <v>57235</v>
      </c>
      <c r="L71" s="123">
        <v>177801</v>
      </c>
      <c r="M71" s="123">
        <v>57582</v>
      </c>
    </row>
    <row r="72" spans="1:13">
      <c r="A72" s="122">
        <v>35735</v>
      </c>
      <c r="B72" s="123">
        <v>15024</v>
      </c>
      <c r="C72" s="123">
        <v>21102</v>
      </c>
      <c r="D72" s="123">
        <v>23746</v>
      </c>
      <c r="E72" s="123">
        <v>30060</v>
      </c>
      <c r="F72" s="123">
        <v>9779</v>
      </c>
      <c r="G72" s="123">
        <v>62601</v>
      </c>
      <c r="H72" s="123">
        <v>184858</v>
      </c>
      <c r="I72" s="123">
        <v>128586</v>
      </c>
      <c r="J72" s="123">
        <v>139761</v>
      </c>
      <c r="K72" s="123">
        <v>57151</v>
      </c>
      <c r="L72" s="123">
        <v>191187</v>
      </c>
      <c r="M72" s="123">
        <v>57967</v>
      </c>
    </row>
    <row r="73" spans="1:13">
      <c r="A73" s="122">
        <v>35765</v>
      </c>
      <c r="B73" s="123">
        <v>14402</v>
      </c>
      <c r="C73" s="123">
        <v>21125</v>
      </c>
      <c r="D73" s="123">
        <v>23903</v>
      </c>
      <c r="E73" s="123">
        <v>30405</v>
      </c>
      <c r="F73" s="123">
        <v>9555</v>
      </c>
      <c r="G73" s="123">
        <v>45579</v>
      </c>
      <c r="H73" s="123">
        <v>169053</v>
      </c>
      <c r="I73" s="123">
        <v>128191</v>
      </c>
      <c r="J73" s="123">
        <v>122759</v>
      </c>
      <c r="K73" s="123">
        <v>57867</v>
      </c>
      <c r="L73" s="123">
        <v>173770</v>
      </c>
      <c r="M73" s="123">
        <v>58401</v>
      </c>
    </row>
    <row r="74" spans="1:13">
      <c r="A74" s="122">
        <v>35796</v>
      </c>
      <c r="B74" s="123">
        <v>14058</v>
      </c>
      <c r="C74" s="123">
        <v>21060</v>
      </c>
      <c r="D74" s="123">
        <v>22396</v>
      </c>
      <c r="E74" s="123">
        <v>30554</v>
      </c>
      <c r="F74" s="123">
        <v>9428</v>
      </c>
      <c r="G74" s="123">
        <v>47026</v>
      </c>
      <c r="H74" s="123">
        <v>168413</v>
      </c>
      <c r="I74" s="123">
        <v>127262</v>
      </c>
      <c r="J74" s="123">
        <v>125004</v>
      </c>
      <c r="K74" s="123">
        <v>56289</v>
      </c>
      <c r="L74" s="123">
        <v>174288</v>
      </c>
      <c r="M74" s="123">
        <v>56811</v>
      </c>
    </row>
    <row r="75" spans="1:13">
      <c r="A75" s="122">
        <v>35827</v>
      </c>
      <c r="B75" s="123">
        <v>14299</v>
      </c>
      <c r="C75" s="123">
        <v>21645</v>
      </c>
      <c r="D75" s="123">
        <v>23100</v>
      </c>
      <c r="E75" s="123">
        <v>31806</v>
      </c>
      <c r="F75" s="123">
        <v>10437</v>
      </c>
      <c r="G75" s="123">
        <v>50640</v>
      </c>
      <c r="H75" s="123">
        <v>175093</v>
      </c>
      <c r="I75" s="123">
        <v>130630</v>
      </c>
      <c r="J75" s="123">
        <v>129378</v>
      </c>
      <c r="K75" s="123">
        <v>58384</v>
      </c>
      <c r="L75" s="123">
        <v>181270</v>
      </c>
      <c r="M75" s="123">
        <v>59362</v>
      </c>
    </row>
    <row r="76" spans="1:13">
      <c r="A76" s="122">
        <v>35855</v>
      </c>
      <c r="B76" s="123">
        <v>13946</v>
      </c>
      <c r="C76" s="123">
        <v>21318</v>
      </c>
      <c r="D76" s="123">
        <v>23909</v>
      </c>
      <c r="E76" s="123">
        <v>30954</v>
      </c>
      <c r="F76" s="123">
        <v>9164</v>
      </c>
      <c r="G76" s="123">
        <v>48115</v>
      </c>
      <c r="H76" s="123">
        <v>171668</v>
      </c>
      <c r="I76" s="123">
        <v>128771</v>
      </c>
      <c r="J76" s="123">
        <v>124823</v>
      </c>
      <c r="K76" s="123">
        <v>59052</v>
      </c>
      <c r="L76" s="123">
        <v>176886</v>
      </c>
      <c r="M76" s="123">
        <v>57672</v>
      </c>
    </row>
    <row r="77" spans="1:13">
      <c r="A77" s="122">
        <v>35886</v>
      </c>
      <c r="B77" s="123">
        <v>13800</v>
      </c>
      <c r="C77" s="123">
        <v>21524</v>
      </c>
      <c r="D77" s="123">
        <v>22388</v>
      </c>
      <c r="E77" s="123">
        <v>30361</v>
      </c>
      <c r="F77" s="123">
        <v>9564</v>
      </c>
      <c r="G77" s="123">
        <v>54396</v>
      </c>
      <c r="H77" s="123">
        <v>173267</v>
      </c>
      <c r="I77" s="123">
        <v>126519</v>
      </c>
      <c r="J77" s="123">
        <v>129329</v>
      </c>
      <c r="K77" s="123">
        <v>57168</v>
      </c>
      <c r="L77" s="123">
        <v>180915</v>
      </c>
      <c r="M77" s="123">
        <v>55909</v>
      </c>
    </row>
    <row r="78" spans="1:13">
      <c r="A78" s="122">
        <v>35916</v>
      </c>
      <c r="B78" s="123">
        <v>13758</v>
      </c>
      <c r="C78" s="123">
        <v>21131</v>
      </c>
      <c r="D78" s="123">
        <v>23232</v>
      </c>
      <c r="E78" s="123">
        <v>31964</v>
      </c>
      <c r="F78" s="123">
        <v>9692</v>
      </c>
      <c r="G78" s="123">
        <v>50894</v>
      </c>
      <c r="H78" s="123">
        <v>175262</v>
      </c>
      <c r="I78" s="123">
        <v>129740</v>
      </c>
      <c r="J78" s="123">
        <v>128089</v>
      </c>
      <c r="K78" s="123">
        <v>57823</v>
      </c>
      <c r="L78" s="123">
        <v>180634</v>
      </c>
      <c r="M78" s="123">
        <v>58575</v>
      </c>
    </row>
    <row r="79" spans="1:13">
      <c r="A79" s="122">
        <v>35947</v>
      </c>
      <c r="B79" s="123">
        <v>13333</v>
      </c>
      <c r="C79" s="123">
        <v>21308</v>
      </c>
      <c r="D79" s="123">
        <v>23698</v>
      </c>
      <c r="E79" s="123">
        <v>31647</v>
      </c>
      <c r="F79" s="123">
        <v>9622</v>
      </c>
      <c r="G79" s="123">
        <v>42141</v>
      </c>
      <c r="H79" s="123">
        <v>166768</v>
      </c>
      <c r="I79" s="123">
        <v>130048</v>
      </c>
      <c r="J79" s="123">
        <v>123912</v>
      </c>
      <c r="K79" s="123">
        <v>58851</v>
      </c>
      <c r="L79" s="123">
        <v>172189</v>
      </c>
      <c r="M79" s="123">
        <v>59020</v>
      </c>
    </row>
    <row r="80" spans="1:13">
      <c r="A80" s="122">
        <v>35977</v>
      </c>
      <c r="B80" s="123">
        <v>12751</v>
      </c>
      <c r="C80" s="123">
        <v>21032</v>
      </c>
      <c r="D80" s="123">
        <v>23061</v>
      </c>
      <c r="E80" s="123">
        <v>30003</v>
      </c>
      <c r="F80" s="123">
        <v>9299</v>
      </c>
      <c r="G80" s="123">
        <v>44357</v>
      </c>
      <c r="H80" s="123">
        <v>164656</v>
      </c>
      <c r="I80" s="123">
        <v>126102</v>
      </c>
      <c r="J80" s="123">
        <v>122090</v>
      </c>
      <c r="K80" s="123">
        <v>56990</v>
      </c>
      <c r="L80" s="123">
        <v>170459</v>
      </c>
      <c r="M80" s="123">
        <v>56670</v>
      </c>
    </row>
    <row r="81" spans="1:13">
      <c r="A81" s="122">
        <v>36008</v>
      </c>
      <c r="B81" s="123">
        <v>13363</v>
      </c>
      <c r="C81" s="123">
        <v>20724</v>
      </c>
      <c r="D81" s="123">
        <v>22853</v>
      </c>
      <c r="E81" s="123">
        <v>29964</v>
      </c>
      <c r="F81" s="123">
        <v>9572</v>
      </c>
      <c r="G81" s="123">
        <v>52444</v>
      </c>
      <c r="H81" s="123">
        <v>173292</v>
      </c>
      <c r="I81" s="123">
        <v>126589</v>
      </c>
      <c r="J81" s="123">
        <v>127658</v>
      </c>
      <c r="K81" s="123">
        <v>56694</v>
      </c>
      <c r="L81" s="123">
        <v>179033</v>
      </c>
      <c r="M81" s="123">
        <v>57658</v>
      </c>
    </row>
    <row r="82" spans="1:13">
      <c r="A82" s="122">
        <v>36039</v>
      </c>
      <c r="B82" s="123">
        <v>12850</v>
      </c>
      <c r="C82" s="123">
        <v>20884</v>
      </c>
      <c r="D82" s="123">
        <v>24270</v>
      </c>
      <c r="E82" s="123">
        <v>31326</v>
      </c>
      <c r="F82" s="123">
        <v>9753</v>
      </c>
      <c r="G82" s="123">
        <v>52602</v>
      </c>
      <c r="H82" s="123">
        <v>173517</v>
      </c>
      <c r="I82" s="123">
        <v>128820</v>
      </c>
      <c r="J82" s="123">
        <v>129434</v>
      </c>
      <c r="K82" s="123">
        <v>58667</v>
      </c>
      <c r="L82" s="123">
        <v>181422</v>
      </c>
      <c r="M82" s="123">
        <v>60257</v>
      </c>
    </row>
    <row r="83" spans="1:13">
      <c r="A83" s="122">
        <v>36069</v>
      </c>
      <c r="B83" s="123">
        <v>12307</v>
      </c>
      <c r="C83" s="123">
        <v>20522</v>
      </c>
      <c r="D83" s="123">
        <v>22408</v>
      </c>
      <c r="E83" s="123">
        <v>30272</v>
      </c>
      <c r="F83" s="123">
        <v>9391</v>
      </c>
      <c r="G83" s="123">
        <v>53136</v>
      </c>
      <c r="H83" s="123">
        <v>172814</v>
      </c>
      <c r="I83" s="123">
        <v>125391</v>
      </c>
      <c r="J83" s="123">
        <v>125301</v>
      </c>
      <c r="K83" s="123">
        <v>57813</v>
      </c>
      <c r="L83" s="123">
        <v>178527</v>
      </c>
      <c r="M83" s="123">
        <v>56319</v>
      </c>
    </row>
    <row r="84" spans="1:13">
      <c r="A84" s="122">
        <v>36100</v>
      </c>
      <c r="B84" s="123">
        <v>13163</v>
      </c>
      <c r="C84" s="123">
        <v>21769</v>
      </c>
      <c r="D84" s="123">
        <v>22128</v>
      </c>
      <c r="E84" s="123">
        <v>31086</v>
      </c>
      <c r="F84" s="123">
        <v>9870</v>
      </c>
      <c r="G84" s="123">
        <v>54298</v>
      </c>
      <c r="H84" s="123">
        <v>175917</v>
      </c>
      <c r="I84" s="123">
        <v>128102</v>
      </c>
      <c r="J84" s="123">
        <v>128665</v>
      </c>
      <c r="K84" s="123">
        <v>58316</v>
      </c>
      <c r="L84" s="123">
        <v>182400</v>
      </c>
      <c r="M84" s="123">
        <v>58162</v>
      </c>
    </row>
    <row r="85" spans="1:13">
      <c r="A85" s="122">
        <v>36130</v>
      </c>
      <c r="B85" s="123">
        <v>12871</v>
      </c>
      <c r="C85" s="123">
        <v>21059</v>
      </c>
      <c r="D85" s="123">
        <v>24028</v>
      </c>
      <c r="E85" s="123">
        <v>32059</v>
      </c>
      <c r="F85" s="123">
        <v>9827</v>
      </c>
      <c r="G85" s="123">
        <v>47671</v>
      </c>
      <c r="H85" s="123">
        <v>171696</v>
      </c>
      <c r="I85" s="123">
        <v>130753</v>
      </c>
      <c r="J85" s="123">
        <v>124510</v>
      </c>
      <c r="K85" s="123">
        <v>58845</v>
      </c>
      <c r="L85" s="123">
        <v>178424</v>
      </c>
      <c r="M85" s="123">
        <v>60818</v>
      </c>
    </row>
    <row r="86" spans="1:13">
      <c r="A86" s="122">
        <v>36161</v>
      </c>
      <c r="B86" s="123">
        <v>12443</v>
      </c>
      <c r="C86" s="123">
        <v>21293</v>
      </c>
      <c r="D86" s="123">
        <v>22271</v>
      </c>
      <c r="E86" s="123">
        <v>30567</v>
      </c>
      <c r="F86" s="123">
        <v>9556</v>
      </c>
      <c r="G86" s="123">
        <v>59402</v>
      </c>
      <c r="H86" s="123">
        <v>178955</v>
      </c>
      <c r="I86" s="123">
        <v>127125</v>
      </c>
      <c r="J86" s="123">
        <v>132005</v>
      </c>
      <c r="K86" s="123">
        <v>57455</v>
      </c>
      <c r="L86" s="123">
        <v>186527</v>
      </c>
      <c r="M86" s="123">
        <v>57160</v>
      </c>
    </row>
    <row r="87" spans="1:13">
      <c r="A87" s="122">
        <v>36192</v>
      </c>
      <c r="B87" s="123">
        <v>13205</v>
      </c>
      <c r="C87" s="123">
        <v>21503</v>
      </c>
      <c r="D87" s="123">
        <v>22203</v>
      </c>
      <c r="E87" s="123">
        <v>31473</v>
      </c>
      <c r="F87" s="123">
        <v>9820</v>
      </c>
      <c r="G87" s="123">
        <v>55403</v>
      </c>
      <c r="H87" s="123">
        <v>178797</v>
      </c>
      <c r="I87" s="123">
        <v>130143</v>
      </c>
      <c r="J87" s="123">
        <v>129227</v>
      </c>
      <c r="K87" s="123">
        <v>58340</v>
      </c>
      <c r="L87" s="123">
        <v>185546</v>
      </c>
      <c r="M87" s="123">
        <v>58576</v>
      </c>
    </row>
    <row r="88" spans="1:13">
      <c r="A88" s="122">
        <v>36220</v>
      </c>
      <c r="B88" s="123">
        <v>12583</v>
      </c>
      <c r="C88" s="123">
        <v>21051</v>
      </c>
      <c r="D88" s="123">
        <v>22128</v>
      </c>
      <c r="E88" s="123">
        <v>32426</v>
      </c>
      <c r="F88" s="123">
        <v>9933</v>
      </c>
      <c r="G88" s="123">
        <v>55192</v>
      </c>
      <c r="H88" s="123">
        <v>176954</v>
      </c>
      <c r="I88" s="123">
        <v>129497</v>
      </c>
      <c r="J88" s="123">
        <v>129753</v>
      </c>
      <c r="K88" s="123">
        <v>58220</v>
      </c>
      <c r="L88" s="123">
        <v>184689</v>
      </c>
      <c r="M88" s="123">
        <v>59657</v>
      </c>
    </row>
    <row r="89" spans="1:13">
      <c r="A89" s="122">
        <v>36251</v>
      </c>
      <c r="B89" s="123">
        <v>13124</v>
      </c>
      <c r="C89" s="123">
        <v>20705</v>
      </c>
      <c r="D89" s="123">
        <v>23167</v>
      </c>
      <c r="E89" s="123">
        <v>32525</v>
      </c>
      <c r="F89" s="123">
        <v>9891</v>
      </c>
      <c r="G89" s="123">
        <v>52525</v>
      </c>
      <c r="H89" s="123">
        <v>177226</v>
      </c>
      <c r="I89" s="123">
        <v>130468</v>
      </c>
      <c r="J89" s="123">
        <v>128317</v>
      </c>
      <c r="K89" s="123">
        <v>58317</v>
      </c>
      <c r="L89" s="123">
        <v>182993</v>
      </c>
      <c r="M89" s="123">
        <v>58929</v>
      </c>
    </row>
    <row r="90" spans="1:13">
      <c r="A90" s="122">
        <v>36281</v>
      </c>
      <c r="B90" s="123">
        <v>12940</v>
      </c>
      <c r="C90" s="123">
        <v>21339</v>
      </c>
      <c r="D90" s="123">
        <v>22669</v>
      </c>
      <c r="E90" s="123">
        <v>32899</v>
      </c>
      <c r="F90" s="123">
        <v>9846</v>
      </c>
      <c r="G90" s="123">
        <v>55336</v>
      </c>
      <c r="H90" s="123">
        <v>179129</v>
      </c>
      <c r="I90" s="123">
        <v>130627</v>
      </c>
      <c r="J90" s="123">
        <v>130315</v>
      </c>
      <c r="K90" s="123">
        <v>59499</v>
      </c>
      <c r="L90" s="123">
        <v>185963</v>
      </c>
      <c r="M90" s="123">
        <v>59814</v>
      </c>
    </row>
    <row r="91" spans="1:13">
      <c r="A91" s="122">
        <v>36312</v>
      </c>
      <c r="B91" s="123">
        <v>12890</v>
      </c>
      <c r="C91" s="123">
        <v>21289</v>
      </c>
      <c r="D91" s="123">
        <v>22813</v>
      </c>
      <c r="E91" s="123">
        <v>32866</v>
      </c>
      <c r="F91" s="123">
        <v>10116</v>
      </c>
      <c r="G91" s="123">
        <v>51948</v>
      </c>
      <c r="H91" s="123">
        <v>177042</v>
      </c>
      <c r="I91" s="123">
        <v>130642</v>
      </c>
      <c r="J91" s="123">
        <v>127679</v>
      </c>
      <c r="K91" s="123">
        <v>60282</v>
      </c>
      <c r="L91" s="123">
        <v>182590</v>
      </c>
      <c r="M91" s="123">
        <v>59045</v>
      </c>
    </row>
    <row r="92" spans="1:13">
      <c r="A92" s="122">
        <v>36342</v>
      </c>
      <c r="B92" s="123">
        <v>13477</v>
      </c>
      <c r="C92" s="123">
        <v>21342</v>
      </c>
      <c r="D92" s="123">
        <v>23036</v>
      </c>
      <c r="E92" s="123">
        <v>34503</v>
      </c>
      <c r="F92" s="123">
        <v>10472</v>
      </c>
      <c r="G92" s="123">
        <v>54877</v>
      </c>
      <c r="H92" s="123">
        <v>181571</v>
      </c>
      <c r="I92" s="123">
        <v>134206</v>
      </c>
      <c r="J92" s="123">
        <v>134617</v>
      </c>
      <c r="K92" s="123">
        <v>60631</v>
      </c>
      <c r="L92" s="123">
        <v>189083</v>
      </c>
      <c r="M92" s="123">
        <v>62074</v>
      </c>
    </row>
    <row r="93" spans="1:13">
      <c r="A93" s="122">
        <v>36373</v>
      </c>
      <c r="B93" s="123">
        <v>13284</v>
      </c>
      <c r="C93" s="123">
        <v>21576</v>
      </c>
      <c r="D93" s="123">
        <v>23146</v>
      </c>
      <c r="E93" s="123">
        <v>34023</v>
      </c>
      <c r="F93" s="123">
        <v>10850</v>
      </c>
      <c r="G93" s="123">
        <v>55353</v>
      </c>
      <c r="H93" s="123">
        <v>184078</v>
      </c>
      <c r="I93" s="123">
        <v>134061</v>
      </c>
      <c r="J93" s="123">
        <v>133941</v>
      </c>
      <c r="K93" s="123">
        <v>60227</v>
      </c>
      <c r="L93" s="123">
        <v>189414</v>
      </c>
      <c r="M93" s="123">
        <v>61732</v>
      </c>
    </row>
    <row r="94" spans="1:13">
      <c r="A94" s="122">
        <v>36404</v>
      </c>
      <c r="B94" s="123">
        <v>13006</v>
      </c>
      <c r="C94" s="123">
        <v>21736</v>
      </c>
      <c r="D94" s="123">
        <v>24588</v>
      </c>
      <c r="E94" s="123">
        <v>34873</v>
      </c>
      <c r="F94" s="123">
        <v>10210</v>
      </c>
      <c r="G94" s="123">
        <v>53278</v>
      </c>
      <c r="H94" s="123">
        <v>184169</v>
      </c>
      <c r="I94" s="123">
        <v>135632</v>
      </c>
      <c r="J94" s="123">
        <v>133870</v>
      </c>
      <c r="K94" s="123">
        <v>60381</v>
      </c>
      <c r="L94" s="123">
        <v>188910</v>
      </c>
      <c r="M94" s="123">
        <v>63231</v>
      </c>
    </row>
    <row r="95" spans="1:13">
      <c r="A95" s="122">
        <v>36434</v>
      </c>
      <c r="B95" s="123">
        <v>13396</v>
      </c>
      <c r="C95" s="123">
        <v>21459</v>
      </c>
      <c r="D95" s="123">
        <v>24170</v>
      </c>
      <c r="E95" s="123">
        <v>35455</v>
      </c>
      <c r="F95" s="123">
        <v>10085</v>
      </c>
      <c r="G95" s="123">
        <v>57376</v>
      </c>
      <c r="H95" s="123">
        <v>186205</v>
      </c>
      <c r="I95" s="123">
        <v>137171</v>
      </c>
      <c r="J95" s="123">
        <v>139509</v>
      </c>
      <c r="K95" s="123">
        <v>60862</v>
      </c>
      <c r="L95" s="123">
        <v>194547</v>
      </c>
      <c r="M95" s="123">
        <v>61451</v>
      </c>
    </row>
    <row r="96" spans="1:13">
      <c r="A96" s="122">
        <v>36465</v>
      </c>
      <c r="B96" s="123">
        <v>13490</v>
      </c>
      <c r="C96" s="123">
        <v>22074</v>
      </c>
      <c r="D96" s="123">
        <v>23676</v>
      </c>
      <c r="E96" s="123">
        <v>34822</v>
      </c>
      <c r="F96" s="123">
        <v>9810</v>
      </c>
      <c r="G96" s="123">
        <v>51939</v>
      </c>
      <c r="H96" s="123">
        <v>182096</v>
      </c>
      <c r="I96" s="123">
        <v>134658</v>
      </c>
      <c r="J96" s="123">
        <v>131897</v>
      </c>
      <c r="K96" s="123">
        <v>59624</v>
      </c>
      <c r="L96" s="123">
        <v>186597</v>
      </c>
      <c r="M96" s="123">
        <v>61849</v>
      </c>
    </row>
    <row r="97" spans="1:13">
      <c r="A97" s="122">
        <v>36495</v>
      </c>
      <c r="B97" s="123">
        <v>13404</v>
      </c>
      <c r="C97" s="123">
        <v>22969</v>
      </c>
      <c r="D97" s="123">
        <v>24118</v>
      </c>
      <c r="E97" s="123">
        <v>36855</v>
      </c>
      <c r="F97" s="123">
        <v>10223</v>
      </c>
      <c r="G97" s="123">
        <v>57266</v>
      </c>
      <c r="H97" s="123">
        <v>189055</v>
      </c>
      <c r="I97" s="123">
        <v>139078</v>
      </c>
      <c r="J97" s="123">
        <v>141778</v>
      </c>
      <c r="K97" s="123">
        <v>59869</v>
      </c>
      <c r="L97" s="123">
        <v>196344</v>
      </c>
      <c r="M97" s="123">
        <v>65451</v>
      </c>
    </row>
    <row r="98" spans="1:13">
      <c r="A98" s="122">
        <v>36526</v>
      </c>
      <c r="B98" s="123">
        <v>13799</v>
      </c>
      <c r="C98" s="123">
        <v>22789</v>
      </c>
      <c r="D98" s="123">
        <v>25307</v>
      </c>
      <c r="E98" s="123">
        <v>34317</v>
      </c>
      <c r="F98" s="123">
        <v>11050</v>
      </c>
      <c r="G98" s="123">
        <v>61747</v>
      </c>
      <c r="H98" s="123">
        <v>192052</v>
      </c>
      <c r="I98" s="123">
        <v>139613</v>
      </c>
      <c r="J98" s="123">
        <v>144856</v>
      </c>
      <c r="K98" s="123">
        <v>61639</v>
      </c>
      <c r="L98" s="123">
        <v>201360</v>
      </c>
      <c r="M98" s="123">
        <v>63975</v>
      </c>
    </row>
    <row r="99" spans="1:13">
      <c r="A99" s="122">
        <v>36557</v>
      </c>
      <c r="B99" s="123">
        <v>13331</v>
      </c>
      <c r="C99" s="123">
        <v>21512</v>
      </c>
      <c r="D99" s="123">
        <v>22649</v>
      </c>
      <c r="E99" s="123">
        <v>33171</v>
      </c>
      <c r="F99" s="123">
        <v>10175</v>
      </c>
      <c r="G99" s="123">
        <v>51486</v>
      </c>
      <c r="H99" s="123">
        <v>178520</v>
      </c>
      <c r="I99" s="123">
        <v>132425</v>
      </c>
      <c r="J99" s="123">
        <v>130377</v>
      </c>
      <c r="K99" s="123">
        <v>59400</v>
      </c>
      <c r="L99" s="123">
        <v>183911</v>
      </c>
      <c r="M99" s="123">
        <v>58497</v>
      </c>
    </row>
    <row r="100" spans="1:13">
      <c r="A100" s="122">
        <v>36586</v>
      </c>
      <c r="B100" s="123">
        <v>13412</v>
      </c>
      <c r="C100" s="123">
        <v>22730</v>
      </c>
      <c r="D100" s="123">
        <v>24874</v>
      </c>
      <c r="E100" s="123">
        <v>35912</v>
      </c>
      <c r="F100" s="123">
        <v>10286</v>
      </c>
      <c r="G100" s="123">
        <v>52289</v>
      </c>
      <c r="H100" s="123">
        <v>186944</v>
      </c>
      <c r="I100" s="123">
        <v>139841</v>
      </c>
      <c r="J100" s="123">
        <v>137161</v>
      </c>
      <c r="K100" s="123">
        <v>62492</v>
      </c>
      <c r="L100" s="123">
        <v>192130</v>
      </c>
      <c r="M100" s="123">
        <v>63642</v>
      </c>
    </row>
    <row r="101" spans="1:13">
      <c r="A101" s="122">
        <v>36617</v>
      </c>
      <c r="B101" s="123">
        <v>13303</v>
      </c>
      <c r="C101" s="123">
        <v>23277</v>
      </c>
      <c r="D101" s="123">
        <v>25145</v>
      </c>
      <c r="E101" s="123">
        <v>36415</v>
      </c>
      <c r="F101" s="123">
        <v>10504</v>
      </c>
      <c r="G101" s="123">
        <v>53706</v>
      </c>
      <c r="H101" s="123">
        <v>189901</v>
      </c>
      <c r="I101" s="123">
        <v>141338</v>
      </c>
      <c r="J101" s="123">
        <v>139928</v>
      </c>
      <c r="K101" s="123">
        <v>63722</v>
      </c>
      <c r="L101" s="123">
        <v>195044</v>
      </c>
      <c r="M101" s="123">
        <v>64414</v>
      </c>
    </row>
    <row r="102" spans="1:13">
      <c r="A102" s="122">
        <v>36647</v>
      </c>
      <c r="B102" s="123">
        <v>12240</v>
      </c>
      <c r="C102" s="123">
        <v>22256</v>
      </c>
      <c r="D102" s="123">
        <v>24512</v>
      </c>
      <c r="E102" s="123">
        <v>36124</v>
      </c>
      <c r="F102" s="123">
        <v>10455</v>
      </c>
      <c r="G102" s="123">
        <v>50716</v>
      </c>
      <c r="H102" s="123">
        <v>183199</v>
      </c>
      <c r="I102" s="123">
        <v>137890</v>
      </c>
      <c r="J102" s="123">
        <v>135833</v>
      </c>
      <c r="K102" s="123">
        <v>62759</v>
      </c>
      <c r="L102" s="123">
        <v>188606</v>
      </c>
      <c r="M102" s="123">
        <v>63753</v>
      </c>
    </row>
    <row r="103" spans="1:13">
      <c r="A103" s="122">
        <v>36678</v>
      </c>
      <c r="B103" s="123">
        <v>12627</v>
      </c>
      <c r="C103" s="123">
        <v>22608</v>
      </c>
      <c r="D103" s="123">
        <v>25604</v>
      </c>
      <c r="E103" s="123">
        <v>41154</v>
      </c>
      <c r="F103" s="123">
        <v>11006</v>
      </c>
      <c r="G103" s="123">
        <v>76249</v>
      </c>
      <c r="H103" s="123">
        <v>192711</v>
      </c>
      <c r="I103" s="123">
        <v>143496</v>
      </c>
      <c r="J103" s="123">
        <v>165607</v>
      </c>
      <c r="K103" s="123">
        <v>63186</v>
      </c>
      <c r="L103" s="123">
        <v>219745</v>
      </c>
      <c r="M103" s="123">
        <v>68292</v>
      </c>
    </row>
    <row r="104" spans="1:13">
      <c r="A104" s="122">
        <v>36708</v>
      </c>
      <c r="B104" s="123">
        <v>12733</v>
      </c>
      <c r="C104" s="123">
        <v>22243</v>
      </c>
      <c r="D104" s="123">
        <v>25085</v>
      </c>
      <c r="E104" s="123">
        <v>35704</v>
      </c>
      <c r="F104" s="123">
        <v>10337</v>
      </c>
      <c r="G104" s="123">
        <v>51297</v>
      </c>
      <c r="H104" s="123">
        <v>183526</v>
      </c>
      <c r="I104" s="123">
        <v>137968</v>
      </c>
      <c r="J104" s="123">
        <v>137103</v>
      </c>
      <c r="K104" s="123">
        <v>63118</v>
      </c>
      <c r="L104" s="123">
        <v>189265</v>
      </c>
      <c r="M104" s="123">
        <v>63581</v>
      </c>
    </row>
    <row r="105" spans="1:13">
      <c r="A105" s="122">
        <v>36739</v>
      </c>
      <c r="B105" s="123">
        <v>12101</v>
      </c>
      <c r="C105" s="123">
        <v>22542</v>
      </c>
      <c r="D105" s="123">
        <v>24960</v>
      </c>
      <c r="E105" s="123">
        <v>37713</v>
      </c>
      <c r="F105" s="123">
        <v>10211</v>
      </c>
      <c r="G105" s="123">
        <v>50097</v>
      </c>
      <c r="H105" s="123">
        <v>182241</v>
      </c>
      <c r="I105" s="123">
        <v>138633</v>
      </c>
      <c r="J105" s="123">
        <v>138771</v>
      </c>
      <c r="K105" s="123">
        <v>63336</v>
      </c>
      <c r="L105" s="123">
        <v>188730</v>
      </c>
      <c r="M105" s="123">
        <v>64759</v>
      </c>
    </row>
    <row r="106" spans="1:13">
      <c r="A106" s="122">
        <v>36770</v>
      </c>
      <c r="B106" s="123">
        <v>13000</v>
      </c>
      <c r="C106" s="123">
        <v>22509</v>
      </c>
      <c r="D106" s="123">
        <v>25709</v>
      </c>
      <c r="E106" s="123">
        <v>37504</v>
      </c>
      <c r="F106" s="123">
        <v>10470</v>
      </c>
      <c r="G106" s="123">
        <v>58484</v>
      </c>
      <c r="H106" s="123">
        <v>194299</v>
      </c>
      <c r="I106" s="123">
        <v>141463</v>
      </c>
      <c r="J106" s="123">
        <v>145618</v>
      </c>
      <c r="K106" s="123">
        <v>64978</v>
      </c>
      <c r="L106" s="123">
        <v>199947</v>
      </c>
      <c r="M106" s="123">
        <v>66733</v>
      </c>
    </row>
    <row r="107" spans="1:13">
      <c r="A107" s="122">
        <v>36800</v>
      </c>
      <c r="B107" s="123">
        <v>12329</v>
      </c>
      <c r="C107" s="123">
        <v>22433</v>
      </c>
      <c r="D107" s="123">
        <v>23556</v>
      </c>
      <c r="E107" s="123">
        <v>36320</v>
      </c>
      <c r="F107" s="123">
        <v>10236</v>
      </c>
      <c r="G107" s="123">
        <v>48894</v>
      </c>
      <c r="H107" s="123">
        <v>180302</v>
      </c>
      <c r="I107" s="123">
        <v>137264</v>
      </c>
      <c r="J107" s="123">
        <v>134557</v>
      </c>
      <c r="K107" s="123">
        <v>63700</v>
      </c>
      <c r="L107" s="123">
        <v>186158</v>
      </c>
      <c r="M107" s="123">
        <v>63580</v>
      </c>
    </row>
    <row r="108" spans="1:13">
      <c r="A108" s="122">
        <v>36831</v>
      </c>
      <c r="B108" s="123">
        <v>12173</v>
      </c>
      <c r="C108" s="123">
        <v>22081</v>
      </c>
      <c r="D108" s="123">
        <v>23150</v>
      </c>
      <c r="E108" s="123">
        <v>36567</v>
      </c>
      <c r="F108" s="123">
        <v>10749</v>
      </c>
      <c r="G108" s="123">
        <v>53347</v>
      </c>
      <c r="H108" s="123">
        <v>181736</v>
      </c>
      <c r="I108" s="123">
        <v>136045</v>
      </c>
      <c r="J108" s="123">
        <v>139206</v>
      </c>
      <c r="K108" s="123">
        <v>63471</v>
      </c>
      <c r="L108" s="123">
        <v>189392</v>
      </c>
      <c r="M108" s="123">
        <v>62569</v>
      </c>
    </row>
    <row r="109" spans="1:13">
      <c r="A109" s="122">
        <v>36861</v>
      </c>
      <c r="B109" s="123">
        <v>12254</v>
      </c>
      <c r="C109" s="123">
        <v>22772</v>
      </c>
      <c r="D109" s="123">
        <v>23986</v>
      </c>
      <c r="E109" s="123">
        <v>34449</v>
      </c>
      <c r="F109" s="123">
        <v>10729</v>
      </c>
      <c r="G109" s="123">
        <v>53336</v>
      </c>
      <c r="H109" s="123">
        <v>185300</v>
      </c>
      <c r="I109" s="123">
        <v>135323</v>
      </c>
      <c r="J109" s="123">
        <v>137810</v>
      </c>
      <c r="K109" s="123">
        <v>64383</v>
      </c>
      <c r="L109" s="123">
        <v>188659</v>
      </c>
      <c r="M109" s="123">
        <v>62554</v>
      </c>
    </row>
    <row r="110" spans="1:13">
      <c r="A110" s="122">
        <v>36892</v>
      </c>
      <c r="B110" s="123">
        <v>12095</v>
      </c>
      <c r="C110" s="123">
        <v>21713</v>
      </c>
      <c r="D110" s="123">
        <v>23462</v>
      </c>
      <c r="E110" s="123">
        <v>33966</v>
      </c>
      <c r="F110" s="123">
        <v>9930</v>
      </c>
      <c r="G110" s="123">
        <v>45410</v>
      </c>
      <c r="H110" s="123">
        <v>172069</v>
      </c>
      <c r="I110" s="123">
        <v>131646</v>
      </c>
      <c r="J110" s="123">
        <v>129101</v>
      </c>
      <c r="K110" s="123">
        <v>62204</v>
      </c>
      <c r="L110" s="123">
        <v>177056</v>
      </c>
      <c r="M110" s="123">
        <v>60808</v>
      </c>
    </row>
    <row r="111" spans="1:13">
      <c r="A111" s="122">
        <v>36923</v>
      </c>
      <c r="B111" s="123">
        <v>11824</v>
      </c>
      <c r="C111" s="123">
        <v>21320</v>
      </c>
      <c r="D111" s="123">
        <v>23363</v>
      </c>
      <c r="E111" s="123">
        <v>33420</v>
      </c>
      <c r="F111" s="123">
        <v>10338</v>
      </c>
      <c r="G111" s="123">
        <v>48941</v>
      </c>
      <c r="H111" s="123">
        <v>174230</v>
      </c>
      <c r="I111" s="123">
        <v>131335</v>
      </c>
      <c r="J111" s="123">
        <v>130032</v>
      </c>
      <c r="K111" s="123">
        <v>62060</v>
      </c>
      <c r="L111" s="123">
        <v>180276</v>
      </c>
      <c r="M111" s="123">
        <v>60697</v>
      </c>
    </row>
    <row r="112" spans="1:13">
      <c r="A112" s="122">
        <v>36951</v>
      </c>
      <c r="B112" s="123">
        <v>11794</v>
      </c>
      <c r="C112" s="123">
        <v>21372</v>
      </c>
      <c r="D112" s="123">
        <v>22227</v>
      </c>
      <c r="E112" s="123">
        <v>30957</v>
      </c>
      <c r="F112" s="123">
        <v>9878</v>
      </c>
      <c r="G112" s="123">
        <v>56641</v>
      </c>
      <c r="H112" s="123">
        <v>173019</v>
      </c>
      <c r="I112" s="123">
        <v>125568</v>
      </c>
      <c r="J112" s="123">
        <v>131606</v>
      </c>
      <c r="K112" s="123">
        <v>61328</v>
      </c>
      <c r="L112" s="123">
        <v>182209</v>
      </c>
      <c r="M112" s="123">
        <v>58146</v>
      </c>
    </row>
    <row r="113" spans="1:13">
      <c r="A113" s="122">
        <v>36982</v>
      </c>
      <c r="B113" s="123">
        <v>11518</v>
      </c>
      <c r="C113" s="123">
        <v>20805</v>
      </c>
      <c r="D113" s="123">
        <v>21451</v>
      </c>
      <c r="E113" s="123">
        <v>27554</v>
      </c>
      <c r="F113" s="123">
        <v>9454</v>
      </c>
      <c r="G113" s="123">
        <v>51050</v>
      </c>
      <c r="H113" s="123">
        <v>165193</v>
      </c>
      <c r="I113" s="123">
        <v>120800</v>
      </c>
      <c r="J113" s="123">
        <v>123025</v>
      </c>
      <c r="K113" s="123">
        <v>58061</v>
      </c>
      <c r="L113" s="123">
        <v>171850</v>
      </c>
      <c r="M113" s="123">
        <v>54841</v>
      </c>
    </row>
    <row r="114" spans="1:13">
      <c r="A114" s="122">
        <v>37012</v>
      </c>
      <c r="B114" s="123">
        <v>11831</v>
      </c>
      <c r="C114" s="123">
        <v>22847</v>
      </c>
      <c r="D114" s="123">
        <v>22483</v>
      </c>
      <c r="E114" s="123">
        <v>28736</v>
      </c>
      <c r="F114" s="123">
        <v>9546</v>
      </c>
      <c r="G114" s="123">
        <v>51591</v>
      </c>
      <c r="H114" s="123">
        <v>170387</v>
      </c>
      <c r="I114" s="123">
        <v>126158</v>
      </c>
      <c r="J114" s="123">
        <v>126796</v>
      </c>
      <c r="K114" s="123">
        <v>57809</v>
      </c>
      <c r="L114" s="123">
        <v>177749</v>
      </c>
      <c r="M114" s="123">
        <v>56599</v>
      </c>
    </row>
    <row r="115" spans="1:13">
      <c r="A115" s="122">
        <v>37043</v>
      </c>
      <c r="B115" s="123">
        <v>12245</v>
      </c>
      <c r="C115" s="123">
        <v>21156</v>
      </c>
      <c r="D115" s="123">
        <v>22334</v>
      </c>
      <c r="E115" s="123">
        <v>29088</v>
      </c>
      <c r="F115" s="123">
        <v>9525</v>
      </c>
      <c r="G115" s="123">
        <v>51212</v>
      </c>
      <c r="H115" s="123">
        <v>170143</v>
      </c>
      <c r="I115" s="123">
        <v>125138</v>
      </c>
      <c r="J115" s="123">
        <v>126051</v>
      </c>
      <c r="K115" s="123">
        <v>57270</v>
      </c>
      <c r="L115" s="123">
        <v>176350</v>
      </c>
      <c r="M115" s="123">
        <v>55428</v>
      </c>
    </row>
    <row r="116" spans="1:13">
      <c r="A116" s="122">
        <v>37073</v>
      </c>
      <c r="B116" s="123">
        <v>11544</v>
      </c>
      <c r="C116" s="123">
        <v>20946</v>
      </c>
      <c r="D116" s="123">
        <v>21166</v>
      </c>
      <c r="E116" s="123">
        <v>27625</v>
      </c>
      <c r="F116" s="123">
        <v>9199</v>
      </c>
      <c r="G116" s="123">
        <v>48368</v>
      </c>
      <c r="H116" s="123">
        <v>163190</v>
      </c>
      <c r="I116" s="123">
        <v>121761</v>
      </c>
      <c r="J116" s="123">
        <v>120027</v>
      </c>
      <c r="K116" s="123">
        <v>55370</v>
      </c>
      <c r="L116" s="123">
        <v>170129</v>
      </c>
      <c r="M116" s="123">
        <v>53436</v>
      </c>
    </row>
    <row r="117" spans="1:13">
      <c r="A117" s="122">
        <v>37104</v>
      </c>
      <c r="B117" s="123">
        <v>11302</v>
      </c>
      <c r="C117" s="123">
        <v>21005</v>
      </c>
      <c r="D117" s="123">
        <v>22182</v>
      </c>
      <c r="E117" s="123">
        <v>27598</v>
      </c>
      <c r="F117" s="123">
        <v>8990</v>
      </c>
      <c r="G117" s="123">
        <v>48423</v>
      </c>
      <c r="H117" s="123">
        <v>164593</v>
      </c>
      <c r="I117" s="123">
        <v>122061</v>
      </c>
      <c r="J117" s="123">
        <v>120481</v>
      </c>
      <c r="K117" s="123">
        <v>55259</v>
      </c>
      <c r="L117" s="123">
        <v>170484</v>
      </c>
      <c r="M117" s="123">
        <v>54169</v>
      </c>
    </row>
    <row r="118" spans="1:13">
      <c r="A118" s="122">
        <v>37135</v>
      </c>
      <c r="B118" s="123">
        <v>11255</v>
      </c>
      <c r="C118" s="123">
        <v>19635</v>
      </c>
      <c r="D118" s="123">
        <v>21984</v>
      </c>
      <c r="E118" s="123">
        <v>26632</v>
      </c>
      <c r="F118" s="123">
        <v>8495</v>
      </c>
      <c r="G118" s="123">
        <v>45716</v>
      </c>
      <c r="H118" s="123">
        <v>155425</v>
      </c>
      <c r="I118" s="123">
        <v>118407</v>
      </c>
      <c r="J118" s="123">
        <v>115746</v>
      </c>
      <c r="K118" s="123">
        <v>53660</v>
      </c>
      <c r="L118" s="123">
        <v>164123</v>
      </c>
      <c r="M118" s="123">
        <v>50735</v>
      </c>
    </row>
    <row r="119" spans="1:13">
      <c r="A119" s="122">
        <v>37165</v>
      </c>
      <c r="B119" s="123">
        <v>10513</v>
      </c>
      <c r="C119" s="123">
        <v>19638</v>
      </c>
      <c r="D119" s="123">
        <v>19904</v>
      </c>
      <c r="E119" s="123">
        <v>26377</v>
      </c>
      <c r="F119" s="123">
        <v>8322</v>
      </c>
      <c r="G119" s="123">
        <v>56405</v>
      </c>
      <c r="H119" s="123">
        <v>152471</v>
      </c>
      <c r="I119" s="123">
        <v>115125</v>
      </c>
      <c r="J119" s="123">
        <v>122937</v>
      </c>
      <c r="K119" s="123">
        <v>52775</v>
      </c>
      <c r="L119" s="123">
        <v>171530</v>
      </c>
      <c r="M119" s="123">
        <v>49736</v>
      </c>
    </row>
    <row r="120" spans="1:13">
      <c r="A120" s="122">
        <v>37196</v>
      </c>
      <c r="B120" s="123">
        <v>10980</v>
      </c>
      <c r="C120" s="123">
        <v>19578</v>
      </c>
      <c r="D120" s="123">
        <v>20582</v>
      </c>
      <c r="E120" s="123">
        <v>27061</v>
      </c>
      <c r="F120" s="123">
        <v>8591</v>
      </c>
      <c r="G120" s="123">
        <v>46647</v>
      </c>
      <c r="H120" s="123">
        <v>157390</v>
      </c>
      <c r="I120" s="123">
        <v>117164</v>
      </c>
      <c r="J120" s="123">
        <v>114240</v>
      </c>
      <c r="K120" s="123">
        <v>51410</v>
      </c>
      <c r="L120" s="123">
        <v>163811</v>
      </c>
      <c r="M120" s="123">
        <v>51335</v>
      </c>
    </row>
    <row r="121" spans="1:13">
      <c r="A121" s="122">
        <v>37226</v>
      </c>
      <c r="B121" s="123">
        <v>11091</v>
      </c>
      <c r="C121" s="123">
        <v>20477</v>
      </c>
      <c r="D121" s="123">
        <v>20559</v>
      </c>
      <c r="E121" s="123">
        <v>26986</v>
      </c>
      <c r="F121" s="123">
        <v>8841</v>
      </c>
      <c r="G121" s="123">
        <v>46917</v>
      </c>
      <c r="H121" s="123">
        <v>158149</v>
      </c>
      <c r="I121" s="123">
        <v>118387</v>
      </c>
      <c r="J121" s="123">
        <v>114782</v>
      </c>
      <c r="K121" s="123">
        <v>52221</v>
      </c>
      <c r="L121" s="123">
        <v>165304</v>
      </c>
      <c r="M121" s="123">
        <v>51290</v>
      </c>
    </row>
    <row r="122" spans="1:13">
      <c r="A122" s="122">
        <v>37257</v>
      </c>
      <c r="B122" s="123">
        <v>11089</v>
      </c>
      <c r="C122" s="123">
        <v>19916</v>
      </c>
      <c r="D122" s="123">
        <v>19237</v>
      </c>
      <c r="E122" s="123">
        <v>23957</v>
      </c>
      <c r="F122" s="123">
        <v>7913</v>
      </c>
      <c r="G122" s="123">
        <v>49693</v>
      </c>
      <c r="H122" s="123">
        <v>157413</v>
      </c>
      <c r="I122" s="123">
        <v>113631</v>
      </c>
      <c r="J122" s="123">
        <v>112406</v>
      </c>
      <c r="K122" s="123">
        <v>50214</v>
      </c>
      <c r="L122" s="123">
        <v>163324</v>
      </c>
      <c r="M122" s="123">
        <v>47643</v>
      </c>
    </row>
    <row r="123" spans="1:13">
      <c r="A123" s="122">
        <v>37288</v>
      </c>
      <c r="B123" s="123">
        <v>11088</v>
      </c>
      <c r="C123" s="123">
        <v>19926</v>
      </c>
      <c r="D123" s="123">
        <v>19390</v>
      </c>
      <c r="E123" s="123">
        <v>25330</v>
      </c>
      <c r="F123" s="123">
        <v>8670</v>
      </c>
      <c r="G123" s="123">
        <v>56674</v>
      </c>
      <c r="H123" s="123">
        <v>162338</v>
      </c>
      <c r="I123" s="123">
        <v>115732</v>
      </c>
      <c r="J123" s="123">
        <v>122233</v>
      </c>
      <c r="K123" s="123">
        <v>51412</v>
      </c>
      <c r="L123" s="123">
        <v>172406</v>
      </c>
      <c r="M123" s="123">
        <v>50422</v>
      </c>
    </row>
    <row r="124" spans="1:13">
      <c r="A124" s="122">
        <v>37316</v>
      </c>
      <c r="B124" s="123">
        <v>11416</v>
      </c>
      <c r="C124" s="123">
        <v>20098</v>
      </c>
      <c r="D124" s="123">
        <v>19389</v>
      </c>
      <c r="E124" s="123">
        <v>24249</v>
      </c>
      <c r="F124" s="123">
        <v>8385</v>
      </c>
      <c r="G124" s="123">
        <v>53201</v>
      </c>
      <c r="H124" s="123">
        <v>157855</v>
      </c>
      <c r="I124" s="123">
        <v>114652</v>
      </c>
      <c r="J124" s="123">
        <v>118940</v>
      </c>
      <c r="K124" s="123">
        <v>51264</v>
      </c>
      <c r="L124" s="123">
        <v>167853</v>
      </c>
      <c r="M124" s="123">
        <v>47371</v>
      </c>
    </row>
    <row r="125" spans="1:13">
      <c r="A125" s="122">
        <v>37347</v>
      </c>
      <c r="B125" s="123">
        <v>11802</v>
      </c>
      <c r="C125" s="123">
        <v>20494</v>
      </c>
      <c r="D125" s="123">
        <v>20288</v>
      </c>
      <c r="E125" s="123">
        <v>25393</v>
      </c>
      <c r="F125" s="123">
        <v>8941</v>
      </c>
      <c r="G125" s="123">
        <v>52970</v>
      </c>
      <c r="H125" s="123">
        <v>164479</v>
      </c>
      <c r="I125" s="123">
        <v>118882</v>
      </c>
      <c r="J125" s="123">
        <v>118664</v>
      </c>
      <c r="K125" s="123">
        <v>50763</v>
      </c>
      <c r="L125" s="123">
        <v>171852</v>
      </c>
      <c r="M125" s="123">
        <v>49964</v>
      </c>
    </row>
    <row r="126" spans="1:13">
      <c r="A126" s="122">
        <v>37377</v>
      </c>
      <c r="B126" s="123">
        <v>12152</v>
      </c>
      <c r="C126" s="123">
        <v>20891</v>
      </c>
      <c r="D126" s="123">
        <v>20921</v>
      </c>
      <c r="E126" s="123">
        <v>25011</v>
      </c>
      <c r="F126" s="123">
        <v>8802</v>
      </c>
      <c r="G126" s="123">
        <v>51910</v>
      </c>
      <c r="H126" s="123">
        <v>165886</v>
      </c>
      <c r="I126" s="123">
        <v>119944</v>
      </c>
      <c r="J126" s="123">
        <v>119235</v>
      </c>
      <c r="K126" s="123">
        <v>51857</v>
      </c>
      <c r="L126" s="123">
        <v>171854</v>
      </c>
      <c r="M126" s="123">
        <v>50680</v>
      </c>
    </row>
    <row r="127" spans="1:13">
      <c r="A127" s="122">
        <v>37408</v>
      </c>
      <c r="B127" s="123">
        <v>11907</v>
      </c>
      <c r="C127" s="123">
        <v>20378</v>
      </c>
      <c r="D127" s="123">
        <v>19998</v>
      </c>
      <c r="E127" s="123">
        <v>23810</v>
      </c>
      <c r="F127" s="123">
        <v>8973</v>
      </c>
      <c r="G127" s="123">
        <v>48877</v>
      </c>
      <c r="H127" s="123">
        <v>158878</v>
      </c>
      <c r="I127" s="123">
        <v>117193</v>
      </c>
      <c r="J127" s="123">
        <v>113950</v>
      </c>
      <c r="K127" s="123">
        <v>51723</v>
      </c>
      <c r="L127" s="123">
        <v>166070</v>
      </c>
      <c r="M127" s="123">
        <v>48847</v>
      </c>
    </row>
    <row r="128" spans="1:13">
      <c r="A128" s="122">
        <v>37438</v>
      </c>
      <c r="B128" s="123">
        <v>11561</v>
      </c>
      <c r="C128" s="123">
        <v>20661</v>
      </c>
      <c r="D128" s="123">
        <v>20935</v>
      </c>
      <c r="E128" s="123">
        <v>23565</v>
      </c>
      <c r="F128" s="123">
        <v>8088</v>
      </c>
      <c r="G128" s="123">
        <v>57289</v>
      </c>
      <c r="H128" s="123">
        <v>164086</v>
      </c>
      <c r="I128" s="123">
        <v>116993</v>
      </c>
      <c r="J128" s="123">
        <v>120438</v>
      </c>
      <c r="K128" s="123">
        <v>50606</v>
      </c>
      <c r="L128" s="123">
        <v>174282</v>
      </c>
      <c r="M128" s="123">
        <v>49531</v>
      </c>
    </row>
    <row r="129" spans="1:13">
      <c r="A129" s="122">
        <v>37469</v>
      </c>
      <c r="B129" s="123">
        <v>11915</v>
      </c>
      <c r="C129" s="123">
        <v>19979</v>
      </c>
      <c r="D129" s="123">
        <v>20838</v>
      </c>
      <c r="E129" s="123">
        <v>23643</v>
      </c>
      <c r="F129" s="123">
        <v>8381</v>
      </c>
      <c r="G129" s="123">
        <v>60083</v>
      </c>
      <c r="H129" s="123">
        <v>169023</v>
      </c>
      <c r="I129" s="123">
        <v>117043</v>
      </c>
      <c r="J129" s="123">
        <v>122932</v>
      </c>
      <c r="K129" s="123">
        <v>51767</v>
      </c>
      <c r="L129" s="123">
        <v>177126</v>
      </c>
      <c r="M129" s="123">
        <v>51112</v>
      </c>
    </row>
    <row r="130" spans="1:13">
      <c r="A130" s="122">
        <v>37500</v>
      </c>
      <c r="B130" s="123">
        <v>11828</v>
      </c>
      <c r="C130" s="123">
        <v>21007</v>
      </c>
      <c r="D130" s="123">
        <v>21476</v>
      </c>
      <c r="E130" s="123">
        <v>21537</v>
      </c>
      <c r="F130" s="123">
        <v>8516</v>
      </c>
      <c r="G130" s="123">
        <v>50377</v>
      </c>
      <c r="H130" s="123">
        <v>158513</v>
      </c>
      <c r="I130" s="123">
        <v>116461</v>
      </c>
      <c r="J130" s="123">
        <v>115066</v>
      </c>
      <c r="K130" s="123">
        <v>51041</v>
      </c>
      <c r="L130" s="123">
        <v>166838</v>
      </c>
      <c r="M130" s="123">
        <v>48089</v>
      </c>
    </row>
    <row r="131" spans="1:13">
      <c r="A131" s="122">
        <v>37530</v>
      </c>
      <c r="B131" s="123">
        <v>12133</v>
      </c>
      <c r="C131" s="123">
        <v>20837</v>
      </c>
      <c r="D131" s="123">
        <v>21100</v>
      </c>
      <c r="E131" s="123">
        <v>21460</v>
      </c>
      <c r="F131" s="123">
        <v>8464</v>
      </c>
      <c r="G131" s="123">
        <v>52510</v>
      </c>
      <c r="H131" s="123">
        <v>163571</v>
      </c>
      <c r="I131" s="123">
        <v>116624</v>
      </c>
      <c r="J131" s="123">
        <v>115754</v>
      </c>
      <c r="K131" s="123">
        <v>50189</v>
      </c>
      <c r="L131" s="123">
        <v>169134</v>
      </c>
      <c r="M131" s="123">
        <v>49106</v>
      </c>
    </row>
    <row r="132" spans="1:13">
      <c r="A132" s="122">
        <v>37561</v>
      </c>
      <c r="B132" s="123">
        <v>11273</v>
      </c>
      <c r="C132" s="123">
        <v>20532</v>
      </c>
      <c r="D132" s="123">
        <v>21052</v>
      </c>
      <c r="E132" s="123">
        <v>23049</v>
      </c>
      <c r="F132" s="123">
        <v>8469</v>
      </c>
      <c r="G132" s="123">
        <v>53076</v>
      </c>
      <c r="H132" s="123">
        <v>163175</v>
      </c>
      <c r="I132" s="123">
        <v>116947</v>
      </c>
      <c r="J132" s="123">
        <v>117084</v>
      </c>
      <c r="K132" s="123">
        <v>50845</v>
      </c>
      <c r="L132" s="123">
        <v>170023</v>
      </c>
      <c r="M132" s="123">
        <v>49620</v>
      </c>
    </row>
    <row r="133" spans="1:13">
      <c r="A133" s="122">
        <v>37591</v>
      </c>
      <c r="B133" s="123">
        <v>11201</v>
      </c>
      <c r="C133" s="123">
        <v>19732</v>
      </c>
      <c r="D133" s="123">
        <v>20998</v>
      </c>
      <c r="E133" s="123">
        <v>22776</v>
      </c>
      <c r="F133" s="123">
        <v>8645</v>
      </c>
      <c r="G133" s="123">
        <v>48195</v>
      </c>
      <c r="H133" s="123">
        <v>156085</v>
      </c>
      <c r="I133" s="123">
        <v>115767</v>
      </c>
      <c r="J133" s="123">
        <v>112831</v>
      </c>
      <c r="K133" s="123">
        <v>49514</v>
      </c>
      <c r="L133" s="123">
        <v>163962</v>
      </c>
      <c r="M133" s="123">
        <v>48744</v>
      </c>
    </row>
    <row r="134" spans="1:13">
      <c r="A134" s="122">
        <v>37622</v>
      </c>
      <c r="B134" s="123">
        <v>11809</v>
      </c>
      <c r="C134" s="123">
        <v>19617</v>
      </c>
      <c r="D134" s="123">
        <v>20885</v>
      </c>
      <c r="E134" s="123">
        <v>22955</v>
      </c>
      <c r="F134" s="123">
        <v>8100</v>
      </c>
      <c r="G134" s="123">
        <v>54385</v>
      </c>
      <c r="H134" s="123">
        <v>161973</v>
      </c>
      <c r="I134" s="123">
        <v>115609</v>
      </c>
      <c r="J134" s="123">
        <v>116048</v>
      </c>
      <c r="K134" s="123">
        <v>49171</v>
      </c>
      <c r="L134" s="123">
        <v>169994</v>
      </c>
      <c r="M134" s="123">
        <v>48896</v>
      </c>
    </row>
    <row r="135" spans="1:13">
      <c r="A135" s="122">
        <v>37653</v>
      </c>
      <c r="B135" s="123">
        <v>11588</v>
      </c>
      <c r="C135" s="123">
        <v>22329</v>
      </c>
      <c r="D135" s="123">
        <v>20695</v>
      </c>
      <c r="E135" s="123">
        <v>23152</v>
      </c>
      <c r="F135" s="123">
        <v>8095</v>
      </c>
      <c r="G135" s="123">
        <v>56015</v>
      </c>
      <c r="H135" s="123">
        <v>164139</v>
      </c>
      <c r="I135" s="123">
        <v>118098</v>
      </c>
      <c r="J135" s="123">
        <v>121274</v>
      </c>
      <c r="K135" s="123">
        <v>49130</v>
      </c>
      <c r="L135" s="123">
        <v>174113</v>
      </c>
      <c r="M135" s="123">
        <v>49128</v>
      </c>
    </row>
    <row r="136" spans="1:13">
      <c r="A136" s="122">
        <v>37681</v>
      </c>
      <c r="B136" s="123">
        <v>10745</v>
      </c>
      <c r="C136" s="123">
        <v>20539</v>
      </c>
      <c r="D136" s="123">
        <v>22278</v>
      </c>
      <c r="E136" s="123">
        <v>22826</v>
      </c>
      <c r="F136" s="123">
        <v>8599</v>
      </c>
      <c r="G136" s="123">
        <v>55319</v>
      </c>
      <c r="H136" s="123">
        <v>162941</v>
      </c>
      <c r="I136" s="123">
        <v>116926</v>
      </c>
      <c r="J136" s="123">
        <v>119034</v>
      </c>
      <c r="K136" s="123">
        <v>49992</v>
      </c>
      <c r="L136" s="123">
        <v>172245</v>
      </c>
      <c r="M136" s="123">
        <v>51757</v>
      </c>
    </row>
    <row r="137" spans="1:13">
      <c r="A137" s="122">
        <v>37712</v>
      </c>
      <c r="B137" s="123">
        <v>11364</v>
      </c>
      <c r="C137" s="123">
        <v>19592</v>
      </c>
      <c r="D137" s="123">
        <v>20629</v>
      </c>
      <c r="E137" s="123">
        <v>23420</v>
      </c>
      <c r="F137" s="123">
        <v>7983</v>
      </c>
      <c r="G137" s="123">
        <v>54324</v>
      </c>
      <c r="H137" s="123">
        <v>158517</v>
      </c>
      <c r="I137" s="123">
        <v>115023</v>
      </c>
      <c r="J137" s="123">
        <v>117051</v>
      </c>
      <c r="K137" s="123">
        <v>49116</v>
      </c>
      <c r="L137" s="123">
        <v>169347</v>
      </c>
      <c r="M137" s="123">
        <v>49199</v>
      </c>
    </row>
    <row r="138" spans="1:13">
      <c r="A138" s="122">
        <v>37742</v>
      </c>
      <c r="B138" s="123">
        <v>11113</v>
      </c>
      <c r="C138" s="123">
        <v>20214</v>
      </c>
      <c r="D138" s="123">
        <v>20967</v>
      </c>
      <c r="E138" s="123">
        <v>24063</v>
      </c>
      <c r="F138" s="123">
        <v>7949</v>
      </c>
      <c r="G138" s="123">
        <v>55239</v>
      </c>
      <c r="H138" s="123">
        <v>161370</v>
      </c>
      <c r="I138" s="123">
        <v>116303</v>
      </c>
      <c r="J138" s="123">
        <v>118306</v>
      </c>
      <c r="K138" s="123">
        <v>49790</v>
      </c>
      <c r="L138" s="123">
        <v>171542</v>
      </c>
      <c r="M138" s="123">
        <v>50849</v>
      </c>
    </row>
    <row r="139" spans="1:13">
      <c r="A139" s="122">
        <v>37773</v>
      </c>
      <c r="B139" s="123">
        <v>11545</v>
      </c>
      <c r="C139" s="123">
        <v>20561</v>
      </c>
      <c r="D139" s="123">
        <v>21493</v>
      </c>
      <c r="E139" s="123">
        <v>23387</v>
      </c>
      <c r="F139" s="123">
        <v>8365</v>
      </c>
      <c r="G139" s="123">
        <v>55788</v>
      </c>
      <c r="H139" s="123">
        <v>165123</v>
      </c>
      <c r="I139" s="123">
        <v>117719</v>
      </c>
      <c r="J139" s="123">
        <v>119931</v>
      </c>
      <c r="K139" s="123">
        <v>49999</v>
      </c>
      <c r="L139" s="123">
        <v>173507</v>
      </c>
      <c r="M139" s="123">
        <v>49941</v>
      </c>
    </row>
    <row r="140" spans="1:13">
      <c r="A140" s="122">
        <v>37803</v>
      </c>
      <c r="B140" s="123">
        <v>11617</v>
      </c>
      <c r="C140" s="123">
        <v>20770</v>
      </c>
      <c r="D140" s="123">
        <v>21034</v>
      </c>
      <c r="E140" s="123">
        <v>23871</v>
      </c>
      <c r="F140" s="123">
        <v>8051</v>
      </c>
      <c r="G140" s="123">
        <v>55105</v>
      </c>
      <c r="H140" s="123">
        <v>164584</v>
      </c>
      <c r="I140" s="123">
        <v>118215</v>
      </c>
      <c r="J140" s="123">
        <v>117404</v>
      </c>
      <c r="K140" s="123">
        <v>49927</v>
      </c>
      <c r="L140" s="123">
        <v>173320</v>
      </c>
      <c r="M140" s="123">
        <v>49408</v>
      </c>
    </row>
    <row r="141" spans="1:13">
      <c r="A141" s="122">
        <v>37834</v>
      </c>
      <c r="B141" s="123">
        <v>11673</v>
      </c>
      <c r="C141" s="123">
        <v>20307</v>
      </c>
      <c r="D141" s="123">
        <v>21883</v>
      </c>
      <c r="E141" s="123">
        <v>24607</v>
      </c>
      <c r="F141" s="123">
        <v>8236</v>
      </c>
      <c r="G141" s="123">
        <v>53113</v>
      </c>
      <c r="H141" s="123">
        <v>162258</v>
      </c>
      <c r="I141" s="123">
        <v>119931</v>
      </c>
      <c r="J141" s="123">
        <v>119296</v>
      </c>
      <c r="K141" s="123">
        <v>49441</v>
      </c>
      <c r="L141" s="123">
        <v>173044</v>
      </c>
      <c r="M141" s="123">
        <v>50447</v>
      </c>
    </row>
    <row r="142" spans="1:13">
      <c r="A142" s="122">
        <v>37865</v>
      </c>
      <c r="B142" s="123">
        <v>11323</v>
      </c>
      <c r="C142" s="123">
        <v>20865</v>
      </c>
      <c r="D142" s="123">
        <v>21904</v>
      </c>
      <c r="E142" s="123">
        <v>25217</v>
      </c>
      <c r="F142" s="123">
        <v>8420</v>
      </c>
      <c r="G142" s="123">
        <v>57358</v>
      </c>
      <c r="H142" s="123">
        <v>169820</v>
      </c>
      <c r="I142" s="123">
        <v>121332</v>
      </c>
      <c r="J142" s="123">
        <v>121830</v>
      </c>
      <c r="K142" s="123">
        <v>51050</v>
      </c>
      <c r="L142" s="123">
        <v>178690</v>
      </c>
      <c r="M142" s="123">
        <v>51971</v>
      </c>
    </row>
    <row r="143" spans="1:13">
      <c r="A143" s="122">
        <v>37895</v>
      </c>
      <c r="B143" s="123">
        <v>13410</v>
      </c>
      <c r="C143" s="123">
        <v>21506</v>
      </c>
      <c r="D143" s="123">
        <v>20960</v>
      </c>
      <c r="E143" s="123">
        <v>26376</v>
      </c>
      <c r="F143" s="123">
        <v>8590</v>
      </c>
      <c r="G143" s="123">
        <v>58509</v>
      </c>
      <c r="H143" s="123">
        <v>172776</v>
      </c>
      <c r="I143" s="123">
        <v>125195</v>
      </c>
      <c r="J143" s="123">
        <v>127269</v>
      </c>
      <c r="K143" s="123">
        <v>50712</v>
      </c>
      <c r="L143" s="123">
        <v>183704</v>
      </c>
      <c r="M143" s="123">
        <v>51088</v>
      </c>
    </row>
    <row r="144" spans="1:13">
      <c r="A144" s="122">
        <v>37926</v>
      </c>
      <c r="B144" s="123">
        <v>13068</v>
      </c>
      <c r="C144" s="123">
        <v>21712</v>
      </c>
      <c r="D144" s="123">
        <v>22707</v>
      </c>
      <c r="E144" s="123">
        <v>24876</v>
      </c>
      <c r="F144" s="123">
        <v>8516</v>
      </c>
      <c r="G144" s="123">
        <v>56537</v>
      </c>
      <c r="H144" s="123">
        <v>172903</v>
      </c>
      <c r="I144" s="123">
        <v>125148</v>
      </c>
      <c r="J144" s="123">
        <v>125879</v>
      </c>
      <c r="K144" s="123">
        <v>51028</v>
      </c>
      <c r="L144" s="123">
        <v>181685</v>
      </c>
      <c r="M144" s="123">
        <v>52318</v>
      </c>
    </row>
    <row r="145" spans="1:13">
      <c r="A145" s="122">
        <v>37956</v>
      </c>
      <c r="B145" s="123">
        <v>12605</v>
      </c>
      <c r="C145" s="123">
        <v>21426</v>
      </c>
      <c r="D145" s="123">
        <v>22836</v>
      </c>
      <c r="E145" s="123">
        <v>26323</v>
      </c>
      <c r="F145" s="123">
        <v>8519</v>
      </c>
      <c r="G145" s="123">
        <v>56710</v>
      </c>
      <c r="H145" s="123">
        <v>170591</v>
      </c>
      <c r="I145" s="123">
        <v>124803</v>
      </c>
      <c r="J145" s="123">
        <v>126251</v>
      </c>
      <c r="K145" s="123">
        <v>51259</v>
      </c>
      <c r="L145" s="123">
        <v>181513</v>
      </c>
      <c r="M145" s="123">
        <v>53325</v>
      </c>
    </row>
    <row r="146" spans="1:13">
      <c r="A146" s="122">
        <v>37987</v>
      </c>
      <c r="B146" s="123">
        <v>13389</v>
      </c>
      <c r="C146" s="123">
        <v>22072</v>
      </c>
      <c r="D146" s="123">
        <v>21702</v>
      </c>
      <c r="E146" s="123">
        <v>24374</v>
      </c>
      <c r="F146" s="123">
        <v>8416</v>
      </c>
      <c r="G146" s="123">
        <v>55468</v>
      </c>
      <c r="H146" s="123">
        <v>168214</v>
      </c>
      <c r="I146" s="123">
        <v>123228</v>
      </c>
      <c r="J146" s="123">
        <v>124471</v>
      </c>
      <c r="K146" s="123">
        <v>50315</v>
      </c>
      <c r="L146" s="123">
        <v>178696</v>
      </c>
      <c r="M146" s="123">
        <v>50190</v>
      </c>
    </row>
    <row r="147" spans="1:13">
      <c r="A147" s="122">
        <v>38018</v>
      </c>
      <c r="B147" s="123">
        <v>14161</v>
      </c>
      <c r="C147" s="123">
        <v>21462</v>
      </c>
      <c r="D147" s="123">
        <v>22280</v>
      </c>
      <c r="E147" s="123">
        <v>24571</v>
      </c>
      <c r="F147" s="123">
        <v>8579</v>
      </c>
      <c r="G147" s="123">
        <v>57852</v>
      </c>
      <c r="H147" s="123">
        <v>171570</v>
      </c>
      <c r="I147" s="123">
        <v>123810</v>
      </c>
      <c r="J147" s="123">
        <v>126174</v>
      </c>
      <c r="K147" s="123">
        <v>49633</v>
      </c>
      <c r="L147" s="123">
        <v>181662</v>
      </c>
      <c r="M147" s="123">
        <v>51210</v>
      </c>
    </row>
    <row r="148" spans="1:13">
      <c r="A148" s="122">
        <v>38047</v>
      </c>
      <c r="B148" s="123">
        <v>15493</v>
      </c>
      <c r="C148" s="123">
        <v>22733</v>
      </c>
      <c r="D148" s="123">
        <v>24203</v>
      </c>
      <c r="E148" s="123">
        <v>25899</v>
      </c>
      <c r="F148" s="123">
        <v>9038</v>
      </c>
      <c r="G148" s="123">
        <v>59224</v>
      </c>
      <c r="H148" s="123">
        <v>181448</v>
      </c>
      <c r="I148" s="123">
        <v>131645</v>
      </c>
      <c r="J148" s="123">
        <v>132836</v>
      </c>
      <c r="K148" s="123">
        <v>51809</v>
      </c>
      <c r="L148" s="123">
        <v>190869</v>
      </c>
      <c r="M148" s="123">
        <v>54995</v>
      </c>
    </row>
    <row r="149" spans="1:13">
      <c r="A149" s="122">
        <v>38078</v>
      </c>
      <c r="B149" s="123">
        <v>14454</v>
      </c>
      <c r="C149" s="123">
        <v>22757</v>
      </c>
      <c r="D149" s="123">
        <v>22639</v>
      </c>
      <c r="E149" s="123">
        <v>24683</v>
      </c>
      <c r="F149" s="123">
        <v>9064</v>
      </c>
      <c r="G149" s="123">
        <v>56412</v>
      </c>
      <c r="H149" s="123">
        <v>173902</v>
      </c>
      <c r="I149" s="123">
        <v>127956</v>
      </c>
      <c r="J149" s="123">
        <v>127885</v>
      </c>
      <c r="K149" s="123">
        <v>51432</v>
      </c>
      <c r="L149" s="123">
        <v>184368</v>
      </c>
      <c r="M149" s="123">
        <v>52065</v>
      </c>
    </row>
    <row r="150" spans="1:13">
      <c r="A150" s="122">
        <v>38108</v>
      </c>
      <c r="B150" s="123">
        <v>15374</v>
      </c>
      <c r="C150" s="123">
        <v>21582</v>
      </c>
      <c r="D150" s="123">
        <v>22984</v>
      </c>
      <c r="E150" s="123">
        <v>25327</v>
      </c>
      <c r="F150" s="123">
        <v>8808</v>
      </c>
      <c r="G150" s="123">
        <v>54677</v>
      </c>
      <c r="H150" s="123">
        <v>175303</v>
      </c>
      <c r="I150" s="123">
        <v>128782</v>
      </c>
      <c r="J150" s="123">
        <v>128297</v>
      </c>
      <c r="K150" s="123">
        <v>51070</v>
      </c>
      <c r="L150" s="123">
        <v>183459</v>
      </c>
      <c r="M150" s="123">
        <v>52405</v>
      </c>
    </row>
    <row r="151" spans="1:13">
      <c r="A151" s="122">
        <v>38139</v>
      </c>
      <c r="B151" s="123">
        <v>15585</v>
      </c>
      <c r="C151" s="123">
        <v>21993</v>
      </c>
      <c r="D151" s="123">
        <v>23409</v>
      </c>
      <c r="E151" s="123">
        <v>24662</v>
      </c>
      <c r="F151" s="123">
        <v>8295</v>
      </c>
      <c r="G151" s="123">
        <v>57082</v>
      </c>
      <c r="H151" s="123">
        <v>175494</v>
      </c>
      <c r="I151" s="123">
        <v>128558</v>
      </c>
      <c r="J151" s="123">
        <v>129908</v>
      </c>
      <c r="K151" s="123">
        <v>52459</v>
      </c>
      <c r="L151" s="123">
        <v>185640</v>
      </c>
      <c r="M151" s="123">
        <v>53213</v>
      </c>
    </row>
    <row r="152" spans="1:13">
      <c r="A152" s="122">
        <v>38169</v>
      </c>
      <c r="B152" s="123">
        <v>16498</v>
      </c>
      <c r="C152" s="123">
        <v>21640</v>
      </c>
      <c r="D152" s="123">
        <v>22842</v>
      </c>
      <c r="E152" s="123">
        <v>23513</v>
      </c>
      <c r="F152" s="123">
        <v>9045</v>
      </c>
      <c r="G152" s="123">
        <v>58985</v>
      </c>
      <c r="H152" s="123">
        <v>177293</v>
      </c>
      <c r="I152" s="123">
        <v>127850</v>
      </c>
      <c r="J152" s="123">
        <v>134104</v>
      </c>
      <c r="K152" s="123">
        <v>52558</v>
      </c>
      <c r="L152" s="123">
        <v>186835</v>
      </c>
      <c r="M152" s="123">
        <v>53699</v>
      </c>
    </row>
    <row r="153" spans="1:13">
      <c r="A153" s="122">
        <v>38200</v>
      </c>
      <c r="B153" s="123">
        <v>16523</v>
      </c>
      <c r="C153" s="123">
        <v>22852</v>
      </c>
      <c r="D153" s="123">
        <v>22901</v>
      </c>
      <c r="E153" s="123">
        <v>23646</v>
      </c>
      <c r="F153" s="123">
        <v>9029</v>
      </c>
      <c r="G153" s="123">
        <v>53281</v>
      </c>
      <c r="H153" s="123">
        <v>176538</v>
      </c>
      <c r="I153" s="123">
        <v>130447</v>
      </c>
      <c r="J153" s="123">
        <v>127182</v>
      </c>
      <c r="K153" s="123">
        <v>52596</v>
      </c>
      <c r="L153" s="123">
        <v>183728</v>
      </c>
      <c r="M153" s="123">
        <v>51950</v>
      </c>
    </row>
    <row r="154" spans="1:13">
      <c r="A154" s="122">
        <v>38231</v>
      </c>
      <c r="B154" s="123">
        <v>16170</v>
      </c>
      <c r="C154" s="123">
        <v>21577</v>
      </c>
      <c r="D154" s="123">
        <v>24828</v>
      </c>
      <c r="E154" s="123">
        <v>25956</v>
      </c>
      <c r="F154" s="123">
        <v>8984</v>
      </c>
      <c r="G154" s="123">
        <v>55989</v>
      </c>
      <c r="H154" s="123">
        <v>178667</v>
      </c>
      <c r="I154" s="123">
        <v>132455</v>
      </c>
      <c r="J154" s="123">
        <v>132132</v>
      </c>
      <c r="K154" s="123">
        <v>53221</v>
      </c>
      <c r="L154" s="123">
        <v>188444</v>
      </c>
      <c r="M154" s="123">
        <v>56227</v>
      </c>
    </row>
    <row r="155" spans="1:13">
      <c r="A155" s="122">
        <v>38261</v>
      </c>
      <c r="B155" s="123">
        <v>15374</v>
      </c>
      <c r="C155" s="123">
        <v>23551</v>
      </c>
      <c r="D155" s="123">
        <v>24451</v>
      </c>
      <c r="E155" s="123">
        <v>25080</v>
      </c>
      <c r="F155" s="123">
        <v>8719</v>
      </c>
      <c r="G155" s="123">
        <v>53009</v>
      </c>
      <c r="H155" s="123">
        <v>175497</v>
      </c>
      <c r="I155" s="123">
        <v>132178</v>
      </c>
      <c r="J155" s="123">
        <v>129177</v>
      </c>
      <c r="K155" s="123">
        <v>54145</v>
      </c>
      <c r="L155" s="123">
        <v>185187</v>
      </c>
      <c r="M155" s="123">
        <v>53948</v>
      </c>
    </row>
    <row r="156" spans="1:13">
      <c r="A156" s="122">
        <v>38292</v>
      </c>
      <c r="B156" s="123">
        <v>16541</v>
      </c>
      <c r="C156" s="123">
        <v>23405</v>
      </c>
      <c r="D156" s="123">
        <v>24024</v>
      </c>
      <c r="E156" s="123">
        <v>24707</v>
      </c>
      <c r="F156" s="123">
        <v>9397</v>
      </c>
      <c r="G156" s="123">
        <v>58423</v>
      </c>
      <c r="H156" s="123">
        <v>183784</v>
      </c>
      <c r="I156" s="123">
        <v>134122</v>
      </c>
      <c r="J156" s="123">
        <v>135582</v>
      </c>
      <c r="K156" s="123">
        <v>52976</v>
      </c>
      <c r="L156" s="123">
        <v>192545</v>
      </c>
      <c r="M156" s="123">
        <v>55318</v>
      </c>
    </row>
    <row r="157" spans="1:13">
      <c r="A157" s="122">
        <v>38322</v>
      </c>
      <c r="B157" s="123">
        <v>17269</v>
      </c>
      <c r="C157" s="123">
        <v>23348</v>
      </c>
      <c r="D157" s="123">
        <v>25685</v>
      </c>
      <c r="E157" s="123">
        <v>25105</v>
      </c>
      <c r="F157" s="123">
        <v>8744</v>
      </c>
      <c r="G157" s="123">
        <v>56597</v>
      </c>
      <c r="H157" s="123">
        <v>186095</v>
      </c>
      <c r="I157" s="123">
        <v>136981</v>
      </c>
      <c r="J157" s="123">
        <v>135216</v>
      </c>
      <c r="K157" s="123">
        <v>54709</v>
      </c>
      <c r="L157" s="123">
        <v>193578</v>
      </c>
      <c r="M157" s="123">
        <v>56631</v>
      </c>
    </row>
    <row r="158" spans="1:13">
      <c r="A158" s="122">
        <v>38353</v>
      </c>
      <c r="B158" s="123">
        <v>16813</v>
      </c>
      <c r="C158" s="123">
        <v>23898</v>
      </c>
      <c r="D158" s="123">
        <v>25472</v>
      </c>
      <c r="E158" s="123">
        <v>25188</v>
      </c>
      <c r="F158" s="123">
        <v>9556</v>
      </c>
      <c r="G158" s="123">
        <v>57544</v>
      </c>
      <c r="H158" s="123">
        <v>186957</v>
      </c>
      <c r="I158" s="123">
        <v>137331</v>
      </c>
      <c r="J158" s="123">
        <v>137025</v>
      </c>
      <c r="K158" s="123">
        <v>56596</v>
      </c>
      <c r="L158" s="123">
        <v>194875</v>
      </c>
      <c r="M158" s="123">
        <v>57884</v>
      </c>
    </row>
    <row r="159" spans="1:13">
      <c r="A159" s="122">
        <v>38384</v>
      </c>
      <c r="B159" s="123">
        <v>17475</v>
      </c>
      <c r="C159" s="123">
        <v>24212</v>
      </c>
      <c r="D159" s="123">
        <v>25853</v>
      </c>
      <c r="E159" s="123">
        <v>25326</v>
      </c>
      <c r="F159" s="123">
        <v>9293</v>
      </c>
      <c r="G159" s="123">
        <v>57337</v>
      </c>
      <c r="H159" s="123">
        <v>188702</v>
      </c>
      <c r="I159" s="123">
        <v>139138</v>
      </c>
      <c r="J159" s="123">
        <v>138279</v>
      </c>
      <c r="K159" s="123">
        <v>55897</v>
      </c>
      <c r="L159" s="123">
        <v>196475</v>
      </c>
      <c r="M159" s="123">
        <v>57580</v>
      </c>
    </row>
    <row r="160" spans="1:13">
      <c r="A160" s="122">
        <v>38412</v>
      </c>
      <c r="B160" s="123">
        <v>17074</v>
      </c>
      <c r="C160" s="123">
        <v>23457</v>
      </c>
      <c r="D160" s="123">
        <v>24669</v>
      </c>
      <c r="E160" s="123">
        <v>25735</v>
      </c>
      <c r="F160" s="123">
        <v>8848</v>
      </c>
      <c r="G160" s="123">
        <v>49798</v>
      </c>
      <c r="H160" s="123">
        <v>180157</v>
      </c>
      <c r="I160" s="123">
        <v>136810</v>
      </c>
      <c r="J160" s="123">
        <v>130044</v>
      </c>
      <c r="K160" s="123">
        <v>55613</v>
      </c>
      <c r="L160" s="123">
        <v>186608</v>
      </c>
      <c r="M160" s="123">
        <v>56576</v>
      </c>
    </row>
    <row r="161" spans="1:13">
      <c r="A161" s="122">
        <v>38443</v>
      </c>
      <c r="B161" s="123">
        <v>16057</v>
      </c>
      <c r="C161" s="123">
        <v>24485</v>
      </c>
      <c r="D161" s="123">
        <v>25870</v>
      </c>
      <c r="E161" s="123">
        <v>24351</v>
      </c>
      <c r="F161" s="123">
        <v>9205</v>
      </c>
      <c r="G161" s="123">
        <v>57583</v>
      </c>
      <c r="H161" s="123">
        <v>186553</v>
      </c>
      <c r="I161" s="123">
        <v>137264</v>
      </c>
      <c r="J161" s="123">
        <v>135587</v>
      </c>
      <c r="K161" s="123">
        <v>56432</v>
      </c>
      <c r="L161" s="123">
        <v>194847</v>
      </c>
      <c r="M161" s="123">
        <v>58138</v>
      </c>
    </row>
    <row r="162" spans="1:13">
      <c r="A162" s="122">
        <v>38473</v>
      </c>
      <c r="B162" s="123">
        <v>15993</v>
      </c>
      <c r="C162" s="123">
        <v>24736</v>
      </c>
      <c r="D162" s="123">
        <v>25263</v>
      </c>
      <c r="E162" s="123">
        <v>24635</v>
      </c>
      <c r="F162" s="123">
        <v>9327</v>
      </c>
      <c r="G162" s="123">
        <v>69265</v>
      </c>
      <c r="H162" s="123">
        <v>197735</v>
      </c>
      <c r="I162" s="123">
        <v>137358</v>
      </c>
      <c r="J162" s="123">
        <v>148200</v>
      </c>
      <c r="K162" s="123">
        <v>56674</v>
      </c>
      <c r="L162" s="123">
        <v>206623</v>
      </c>
      <c r="M162" s="123">
        <v>57105</v>
      </c>
    </row>
    <row r="163" spans="1:13">
      <c r="A163" s="122">
        <v>38504</v>
      </c>
      <c r="B163" s="123">
        <v>15904</v>
      </c>
      <c r="C163" s="123">
        <v>25443</v>
      </c>
      <c r="D163" s="123">
        <v>26630</v>
      </c>
      <c r="E163" s="123">
        <v>26798</v>
      </c>
      <c r="F163" s="123">
        <v>9254</v>
      </c>
      <c r="G163" s="123">
        <v>68779</v>
      </c>
      <c r="H163" s="123">
        <v>199935</v>
      </c>
      <c r="I163" s="123">
        <v>141241</v>
      </c>
      <c r="J163" s="123">
        <v>151407</v>
      </c>
      <c r="K163" s="123">
        <v>57036</v>
      </c>
      <c r="L163" s="123">
        <v>210020</v>
      </c>
      <c r="M163" s="123">
        <v>58903</v>
      </c>
    </row>
    <row r="164" spans="1:13">
      <c r="A164" s="122">
        <v>38534</v>
      </c>
      <c r="B164" s="123">
        <v>16039</v>
      </c>
      <c r="C164" s="123">
        <v>24118</v>
      </c>
      <c r="D164" s="123">
        <v>25352</v>
      </c>
      <c r="E164" s="123">
        <v>23857</v>
      </c>
      <c r="F164" s="123">
        <v>9300</v>
      </c>
      <c r="G164" s="123">
        <v>58501</v>
      </c>
      <c r="H164" s="123">
        <v>186870</v>
      </c>
      <c r="I164" s="123">
        <v>135974</v>
      </c>
      <c r="J164" s="123">
        <v>136292</v>
      </c>
      <c r="K164" s="123">
        <v>56515</v>
      </c>
      <c r="L164" s="123">
        <v>194475</v>
      </c>
      <c r="M164" s="123">
        <v>57606</v>
      </c>
    </row>
    <row r="165" spans="1:13">
      <c r="A165" s="122">
        <v>38565</v>
      </c>
      <c r="B165" s="123">
        <v>17391</v>
      </c>
      <c r="C165" s="123">
        <v>25141</v>
      </c>
      <c r="D165" s="123">
        <v>26171</v>
      </c>
      <c r="E165" s="123">
        <v>26049</v>
      </c>
      <c r="F165" s="123">
        <v>10175</v>
      </c>
      <c r="G165" s="123">
        <v>61766</v>
      </c>
      <c r="H165" s="123">
        <v>197525</v>
      </c>
      <c r="I165" s="123">
        <v>143073</v>
      </c>
      <c r="J165" s="123">
        <v>145606</v>
      </c>
      <c r="K165" s="123">
        <v>57405</v>
      </c>
      <c r="L165" s="123">
        <v>204839</v>
      </c>
      <c r="M165" s="123">
        <v>60352</v>
      </c>
    </row>
    <row r="166" spans="1:13">
      <c r="A166" s="122">
        <v>38596</v>
      </c>
      <c r="B166" s="123">
        <v>19168</v>
      </c>
      <c r="C166" s="123">
        <v>25640</v>
      </c>
      <c r="D166" s="123">
        <v>26137</v>
      </c>
      <c r="E166" s="123">
        <v>24689</v>
      </c>
      <c r="F166" s="123">
        <v>10030</v>
      </c>
      <c r="G166" s="123">
        <v>60156</v>
      </c>
      <c r="H166" s="123">
        <v>195857</v>
      </c>
      <c r="I166" s="123">
        <v>143841</v>
      </c>
      <c r="J166" s="123">
        <v>142335</v>
      </c>
      <c r="K166" s="123">
        <v>57567</v>
      </c>
      <c r="L166" s="123">
        <v>203997</v>
      </c>
      <c r="M166" s="123">
        <v>58344</v>
      </c>
    </row>
    <row r="167" spans="1:13">
      <c r="A167" s="122">
        <v>38626</v>
      </c>
      <c r="B167" s="123">
        <v>19361</v>
      </c>
      <c r="C167" s="123">
        <v>25995</v>
      </c>
      <c r="D167" s="123">
        <v>26756</v>
      </c>
      <c r="E167" s="123">
        <v>24296</v>
      </c>
      <c r="F167" s="123">
        <v>10136</v>
      </c>
      <c r="G167" s="123">
        <v>64178</v>
      </c>
      <c r="H167" s="123">
        <v>200608</v>
      </c>
      <c r="I167" s="123">
        <v>145723</v>
      </c>
      <c r="J167" s="123">
        <v>148450</v>
      </c>
      <c r="K167" s="123">
        <v>58323</v>
      </c>
      <c r="L167" s="123">
        <v>209901</v>
      </c>
      <c r="M167" s="123">
        <v>59751</v>
      </c>
    </row>
    <row r="168" spans="1:13">
      <c r="A168" s="122">
        <v>38657</v>
      </c>
      <c r="B168" s="123">
        <v>19928</v>
      </c>
      <c r="C168" s="123">
        <v>25935</v>
      </c>
      <c r="D168" s="123">
        <v>27824</v>
      </c>
      <c r="E168" s="123">
        <v>25067</v>
      </c>
      <c r="F168" s="123">
        <v>9844</v>
      </c>
      <c r="G168" s="123">
        <v>72690</v>
      </c>
      <c r="H168" s="123">
        <v>213196</v>
      </c>
      <c r="I168" s="123">
        <v>148043</v>
      </c>
      <c r="J168" s="123">
        <v>160126</v>
      </c>
      <c r="K168" s="123">
        <v>58847</v>
      </c>
      <c r="L168" s="123">
        <v>220733</v>
      </c>
      <c r="M168" s="123">
        <v>60459</v>
      </c>
    </row>
    <row r="169" spans="1:13">
      <c r="A169" s="122">
        <v>38687</v>
      </c>
      <c r="B169" s="123">
        <v>18583</v>
      </c>
      <c r="C169" s="123">
        <v>26292</v>
      </c>
      <c r="D169" s="123">
        <v>28141</v>
      </c>
      <c r="E169" s="123">
        <v>25292</v>
      </c>
      <c r="F169" s="123">
        <v>10164</v>
      </c>
      <c r="G169" s="123">
        <v>73647</v>
      </c>
      <c r="H169" s="123">
        <v>211350</v>
      </c>
      <c r="I169" s="123">
        <v>147852</v>
      </c>
      <c r="J169" s="123">
        <v>159419</v>
      </c>
      <c r="K169" s="123">
        <v>60067</v>
      </c>
      <c r="L169" s="123">
        <v>221499</v>
      </c>
      <c r="M169" s="123">
        <v>61271</v>
      </c>
    </row>
    <row r="170" spans="1:13">
      <c r="A170" s="122">
        <v>38718</v>
      </c>
      <c r="B170" s="123">
        <v>19209</v>
      </c>
      <c r="C170" s="123">
        <v>26650</v>
      </c>
      <c r="D170" s="123">
        <v>28600</v>
      </c>
      <c r="E170" s="123">
        <v>25290</v>
      </c>
      <c r="F170" s="123">
        <v>10440</v>
      </c>
      <c r="G170" s="123">
        <v>58587</v>
      </c>
      <c r="H170" s="123">
        <v>204019</v>
      </c>
      <c r="I170" s="123">
        <v>150953</v>
      </c>
      <c r="J170" s="123">
        <v>146814</v>
      </c>
      <c r="K170" s="123">
        <v>59987</v>
      </c>
      <c r="L170" s="123">
        <v>209540</v>
      </c>
      <c r="M170" s="123">
        <v>62469</v>
      </c>
    </row>
    <row r="171" spans="1:13">
      <c r="A171" s="122">
        <v>38749</v>
      </c>
      <c r="B171" s="123">
        <v>18647</v>
      </c>
      <c r="C171" s="123">
        <v>26958</v>
      </c>
      <c r="D171" s="123">
        <v>27412</v>
      </c>
      <c r="E171" s="123">
        <v>26526</v>
      </c>
      <c r="F171" s="123">
        <v>10069</v>
      </c>
      <c r="G171" s="123">
        <v>68920</v>
      </c>
      <c r="H171" s="123">
        <v>207134</v>
      </c>
      <c r="I171" s="123">
        <v>150818</v>
      </c>
      <c r="J171" s="123">
        <v>156798</v>
      </c>
      <c r="K171" s="123">
        <v>60789</v>
      </c>
      <c r="L171" s="123">
        <v>219738</v>
      </c>
      <c r="M171" s="123">
        <v>62592</v>
      </c>
    </row>
    <row r="172" spans="1:13">
      <c r="A172" s="122">
        <v>38777</v>
      </c>
      <c r="B172" s="123">
        <v>18956</v>
      </c>
      <c r="C172" s="123">
        <v>26917</v>
      </c>
      <c r="D172" s="123">
        <v>28408</v>
      </c>
      <c r="E172" s="123">
        <v>28871</v>
      </c>
      <c r="F172" s="123">
        <v>9915</v>
      </c>
      <c r="G172" s="123">
        <v>73971</v>
      </c>
      <c r="H172" s="123">
        <v>217005</v>
      </c>
      <c r="I172" s="123">
        <v>153217</v>
      </c>
      <c r="J172" s="123">
        <v>163893</v>
      </c>
      <c r="K172" s="123">
        <v>61911</v>
      </c>
      <c r="L172" s="123">
        <v>227188</v>
      </c>
      <c r="M172" s="123">
        <v>65096</v>
      </c>
    </row>
    <row r="173" spans="1:13">
      <c r="A173" s="122">
        <v>38808</v>
      </c>
      <c r="B173" s="123">
        <v>19047</v>
      </c>
      <c r="C173" s="123">
        <v>27070</v>
      </c>
      <c r="D173" s="123">
        <v>27795</v>
      </c>
      <c r="E173" s="123">
        <v>28248</v>
      </c>
      <c r="F173" s="123">
        <v>10377</v>
      </c>
      <c r="G173" s="123">
        <v>62673</v>
      </c>
      <c r="H173" s="123">
        <v>205466</v>
      </c>
      <c r="I173" s="123">
        <v>151952</v>
      </c>
      <c r="J173" s="123">
        <v>154052</v>
      </c>
      <c r="K173" s="123">
        <v>61781</v>
      </c>
      <c r="L173" s="123">
        <v>214625</v>
      </c>
      <c r="M173" s="123">
        <v>63272</v>
      </c>
    </row>
    <row r="174" spans="1:13">
      <c r="A174" s="122">
        <v>38838</v>
      </c>
      <c r="B174" s="123">
        <v>20559</v>
      </c>
      <c r="C174" s="123">
        <v>27188</v>
      </c>
      <c r="D174" s="123">
        <v>29140</v>
      </c>
      <c r="E174" s="123">
        <v>26587</v>
      </c>
      <c r="F174" s="123">
        <v>10757</v>
      </c>
      <c r="G174" s="123">
        <v>62085</v>
      </c>
      <c r="H174" s="123">
        <v>207554</v>
      </c>
      <c r="I174" s="123">
        <v>153734</v>
      </c>
      <c r="J174" s="123">
        <v>153173</v>
      </c>
      <c r="K174" s="123">
        <v>62107</v>
      </c>
      <c r="L174" s="123">
        <v>215819</v>
      </c>
      <c r="M174" s="123">
        <v>64145</v>
      </c>
    </row>
    <row r="175" spans="1:13">
      <c r="A175" s="122">
        <v>38869</v>
      </c>
      <c r="B175" s="123">
        <v>20692</v>
      </c>
      <c r="C175" s="123">
        <v>28158</v>
      </c>
      <c r="D175" s="123">
        <v>28395</v>
      </c>
      <c r="E175" s="123">
        <v>27806</v>
      </c>
      <c r="F175" s="123">
        <v>10405</v>
      </c>
      <c r="G175" s="123">
        <v>66332</v>
      </c>
      <c r="H175" s="123">
        <v>208711</v>
      </c>
      <c r="I175" s="123">
        <v>154888</v>
      </c>
      <c r="J175" s="123">
        <v>158892</v>
      </c>
      <c r="K175" s="123">
        <v>61977</v>
      </c>
      <c r="L175" s="123">
        <v>221220</v>
      </c>
      <c r="M175" s="123">
        <v>63601</v>
      </c>
    </row>
    <row r="176" spans="1:13">
      <c r="A176" s="122">
        <v>38899</v>
      </c>
      <c r="B176" s="123">
        <v>20301</v>
      </c>
      <c r="C176" s="123">
        <v>26765</v>
      </c>
      <c r="D176" s="123">
        <v>28275</v>
      </c>
      <c r="E176" s="123">
        <v>27889</v>
      </c>
      <c r="F176" s="123">
        <v>10697</v>
      </c>
      <c r="G176" s="123">
        <v>56430</v>
      </c>
      <c r="H176" s="123">
        <v>200707</v>
      </c>
      <c r="I176" s="123">
        <v>153064</v>
      </c>
      <c r="J176" s="123">
        <v>152012</v>
      </c>
      <c r="K176" s="123">
        <v>61854</v>
      </c>
      <c r="L176" s="123">
        <v>209494</v>
      </c>
      <c r="M176" s="123">
        <v>63922</v>
      </c>
    </row>
    <row r="177" spans="1:13">
      <c r="A177" s="122">
        <v>38930</v>
      </c>
      <c r="B177" s="123">
        <v>19980</v>
      </c>
      <c r="C177" s="123">
        <v>26893</v>
      </c>
      <c r="D177" s="123">
        <v>27686</v>
      </c>
      <c r="E177" s="123">
        <v>27522</v>
      </c>
      <c r="F177" s="123">
        <v>9528</v>
      </c>
      <c r="G177" s="123">
        <v>59898</v>
      </c>
      <c r="H177" s="123">
        <v>200148</v>
      </c>
      <c r="I177" s="123">
        <v>150575</v>
      </c>
      <c r="J177" s="123">
        <v>150763</v>
      </c>
      <c r="K177" s="123">
        <v>62928</v>
      </c>
      <c r="L177" s="123">
        <v>210473</v>
      </c>
      <c r="M177" s="123">
        <v>64379</v>
      </c>
    </row>
    <row r="178" spans="1:13">
      <c r="A178" s="122">
        <v>38961</v>
      </c>
      <c r="B178" s="123">
        <v>19898</v>
      </c>
      <c r="C178" s="123">
        <v>27296</v>
      </c>
      <c r="D178" s="123">
        <v>28789</v>
      </c>
      <c r="E178" s="123">
        <v>28459</v>
      </c>
      <c r="F178" s="123">
        <v>10331</v>
      </c>
      <c r="G178" s="123">
        <v>80778</v>
      </c>
      <c r="H178" s="123">
        <v>219853</v>
      </c>
      <c r="I178" s="123">
        <v>153923</v>
      </c>
      <c r="J178" s="123">
        <v>176642</v>
      </c>
      <c r="K178" s="123">
        <v>62382</v>
      </c>
      <c r="L178" s="123">
        <v>234701</v>
      </c>
      <c r="M178" s="123">
        <v>66981</v>
      </c>
    </row>
    <row r="179" spans="1:13">
      <c r="A179" s="122">
        <v>38991</v>
      </c>
      <c r="B179" s="123">
        <v>20226</v>
      </c>
      <c r="C179" s="123">
        <v>26339</v>
      </c>
      <c r="D179" s="123">
        <v>30762</v>
      </c>
      <c r="E179" s="123">
        <v>26844</v>
      </c>
      <c r="F179" s="123">
        <v>10542</v>
      </c>
      <c r="G179" s="123">
        <v>63415</v>
      </c>
      <c r="H179" s="123">
        <v>208239</v>
      </c>
      <c r="I179" s="123">
        <v>153537</v>
      </c>
      <c r="J179" s="123">
        <v>158286</v>
      </c>
      <c r="K179" s="123">
        <v>62048</v>
      </c>
      <c r="L179" s="123">
        <v>216952</v>
      </c>
      <c r="M179" s="123">
        <v>66492</v>
      </c>
    </row>
    <row r="180" spans="1:13">
      <c r="A180" s="122">
        <v>39022</v>
      </c>
      <c r="B180" s="123">
        <v>19864</v>
      </c>
      <c r="C180" s="123">
        <v>26718</v>
      </c>
      <c r="D180" s="123">
        <v>28551</v>
      </c>
      <c r="E180" s="123">
        <v>29456</v>
      </c>
      <c r="F180" s="123">
        <v>10361</v>
      </c>
      <c r="G180" s="123">
        <v>71307</v>
      </c>
      <c r="H180" s="123">
        <v>210917</v>
      </c>
      <c r="I180" s="123">
        <v>153502</v>
      </c>
      <c r="J180" s="123">
        <v>165969</v>
      </c>
      <c r="K180" s="123">
        <v>63034</v>
      </c>
      <c r="L180" s="123">
        <v>224809</v>
      </c>
      <c r="M180" s="123">
        <v>66484</v>
      </c>
    </row>
    <row r="181" spans="1:13">
      <c r="A181" s="122">
        <v>39052</v>
      </c>
      <c r="B181" s="123">
        <v>20594</v>
      </c>
      <c r="C181" s="123">
        <v>28236</v>
      </c>
      <c r="D181" s="123">
        <v>30928</v>
      </c>
      <c r="E181" s="123">
        <v>28059</v>
      </c>
      <c r="F181" s="123">
        <v>10453</v>
      </c>
      <c r="G181" s="123">
        <v>70744</v>
      </c>
      <c r="H181" s="123">
        <v>217834</v>
      </c>
      <c r="I181" s="123">
        <v>158499</v>
      </c>
      <c r="J181" s="123">
        <v>166342</v>
      </c>
      <c r="K181" s="123">
        <v>63554</v>
      </c>
      <c r="L181" s="123">
        <v>229243</v>
      </c>
      <c r="M181" s="123">
        <v>65935</v>
      </c>
    </row>
    <row r="182" spans="1:13">
      <c r="A182" s="122">
        <v>39083</v>
      </c>
      <c r="B182" s="123">
        <v>20765</v>
      </c>
      <c r="C182" s="123">
        <v>28777</v>
      </c>
      <c r="D182" s="123">
        <v>27673</v>
      </c>
      <c r="E182" s="123">
        <v>26084</v>
      </c>
      <c r="F182" s="123">
        <v>11063</v>
      </c>
      <c r="G182" s="123">
        <v>69567</v>
      </c>
      <c r="H182" s="123">
        <v>210186</v>
      </c>
      <c r="I182" s="123">
        <v>153402</v>
      </c>
      <c r="J182" s="123">
        <v>163751</v>
      </c>
      <c r="K182" s="123">
        <v>61212</v>
      </c>
      <c r="L182" s="123">
        <v>222969</v>
      </c>
      <c r="M182" s="123">
        <v>64155</v>
      </c>
    </row>
    <row r="183" spans="1:13">
      <c r="A183" s="122">
        <v>39114</v>
      </c>
      <c r="B183" s="123">
        <v>20468</v>
      </c>
      <c r="C183" s="123">
        <v>28441</v>
      </c>
      <c r="D183" s="123">
        <v>28352</v>
      </c>
      <c r="E183" s="123">
        <v>28525</v>
      </c>
      <c r="F183" s="123">
        <v>10881</v>
      </c>
      <c r="G183" s="123">
        <v>65811</v>
      </c>
      <c r="H183" s="123">
        <v>211415</v>
      </c>
      <c r="I183" s="123">
        <v>155151</v>
      </c>
      <c r="J183" s="123">
        <v>161671</v>
      </c>
      <c r="K183" s="123">
        <v>62911</v>
      </c>
      <c r="L183" s="123">
        <v>220962</v>
      </c>
      <c r="M183" s="123">
        <v>63735</v>
      </c>
    </row>
    <row r="184" spans="1:13">
      <c r="A184" s="122">
        <v>39142</v>
      </c>
      <c r="B184" s="123">
        <v>21519</v>
      </c>
      <c r="C184" s="123">
        <v>28215</v>
      </c>
      <c r="D184" s="123">
        <v>31639</v>
      </c>
      <c r="E184" s="123">
        <v>24998</v>
      </c>
      <c r="F184" s="123">
        <v>11135</v>
      </c>
      <c r="G184" s="123">
        <v>73170</v>
      </c>
      <c r="H184" s="123">
        <v>222472</v>
      </c>
      <c r="I184" s="123">
        <v>156356</v>
      </c>
      <c r="J184" s="123">
        <v>169322</v>
      </c>
      <c r="K184" s="123">
        <v>63835</v>
      </c>
      <c r="L184" s="123">
        <v>229526</v>
      </c>
      <c r="M184" s="123">
        <v>66936</v>
      </c>
    </row>
    <row r="185" spans="1:13">
      <c r="A185" s="122">
        <v>39173</v>
      </c>
      <c r="B185" s="123">
        <v>22929</v>
      </c>
      <c r="C185" s="123">
        <v>29030</v>
      </c>
      <c r="D185" s="123">
        <v>30183</v>
      </c>
      <c r="E185" s="123">
        <v>26997</v>
      </c>
      <c r="F185" s="123">
        <v>11348</v>
      </c>
      <c r="G185" s="123">
        <v>74260</v>
      </c>
      <c r="H185" s="123">
        <v>223837</v>
      </c>
      <c r="I185" s="123">
        <v>159160</v>
      </c>
      <c r="J185" s="123">
        <v>173518</v>
      </c>
      <c r="K185" s="123">
        <v>64069</v>
      </c>
      <c r="L185" s="123">
        <v>233420</v>
      </c>
      <c r="M185" s="123">
        <v>66118</v>
      </c>
    </row>
    <row r="186" spans="1:13">
      <c r="A186" s="122">
        <v>39203</v>
      </c>
      <c r="B186" s="123">
        <v>22093</v>
      </c>
      <c r="C186" s="123">
        <v>29147</v>
      </c>
      <c r="D186" s="123">
        <v>29128</v>
      </c>
      <c r="E186" s="123">
        <v>28272</v>
      </c>
      <c r="F186" s="123">
        <v>10776</v>
      </c>
      <c r="G186" s="123">
        <v>70300</v>
      </c>
      <c r="H186" s="123">
        <v>218415</v>
      </c>
      <c r="I186" s="123">
        <v>158536</v>
      </c>
      <c r="J186" s="123">
        <v>168025</v>
      </c>
      <c r="K186" s="123">
        <v>64007</v>
      </c>
      <c r="L186" s="123">
        <v>228836</v>
      </c>
      <c r="M186" s="123">
        <v>64975</v>
      </c>
    </row>
    <row r="187" spans="1:13">
      <c r="A187" s="122">
        <v>39234</v>
      </c>
      <c r="B187" s="123">
        <v>19676</v>
      </c>
      <c r="C187" s="123">
        <v>29553</v>
      </c>
      <c r="D187" s="123">
        <v>29693</v>
      </c>
      <c r="E187" s="123">
        <v>26272</v>
      </c>
      <c r="F187" s="123">
        <v>10584</v>
      </c>
      <c r="G187" s="123">
        <v>74299</v>
      </c>
      <c r="H187" s="123">
        <v>221064</v>
      </c>
      <c r="I187" s="123">
        <v>154569</v>
      </c>
      <c r="J187" s="123">
        <v>168611</v>
      </c>
      <c r="K187" s="123">
        <v>64457</v>
      </c>
      <c r="L187" s="123">
        <v>228868</v>
      </c>
      <c r="M187" s="123">
        <v>64874</v>
      </c>
    </row>
    <row r="188" spans="1:13">
      <c r="A188" s="122">
        <v>39264</v>
      </c>
      <c r="B188" s="123">
        <v>20204</v>
      </c>
      <c r="C188" s="123">
        <v>29163</v>
      </c>
      <c r="D188" s="123">
        <v>31550</v>
      </c>
      <c r="E188" s="123">
        <v>26859</v>
      </c>
      <c r="F188" s="123">
        <v>10494</v>
      </c>
      <c r="G188" s="123">
        <v>76409</v>
      </c>
      <c r="H188" s="123">
        <v>221982</v>
      </c>
      <c r="I188" s="123">
        <v>156767</v>
      </c>
      <c r="J188" s="123">
        <v>172388</v>
      </c>
      <c r="K188" s="123">
        <v>62473</v>
      </c>
      <c r="L188" s="123">
        <v>233176</v>
      </c>
      <c r="M188" s="123">
        <v>64902</v>
      </c>
    </row>
    <row r="189" spans="1:13">
      <c r="A189" s="122">
        <v>39295</v>
      </c>
      <c r="B189" s="123">
        <v>20679</v>
      </c>
      <c r="C189" s="123">
        <v>29552</v>
      </c>
      <c r="D189" s="123">
        <v>30825</v>
      </c>
      <c r="E189" s="123">
        <v>28016</v>
      </c>
      <c r="F189" s="123">
        <v>10581</v>
      </c>
      <c r="G189" s="123">
        <v>77628</v>
      </c>
      <c r="H189" s="123">
        <v>219485</v>
      </c>
      <c r="I189" s="123">
        <v>158130</v>
      </c>
      <c r="J189" s="123">
        <v>174874</v>
      </c>
      <c r="K189" s="123">
        <v>64516</v>
      </c>
      <c r="L189" s="123">
        <v>235758</v>
      </c>
      <c r="M189" s="123">
        <v>66265</v>
      </c>
    </row>
    <row r="190" spans="1:13">
      <c r="A190" s="122">
        <v>39326</v>
      </c>
      <c r="B190" s="123">
        <v>21745</v>
      </c>
      <c r="C190" s="123">
        <v>28710</v>
      </c>
      <c r="D190" s="123">
        <v>30400</v>
      </c>
      <c r="E190" s="123">
        <v>27589</v>
      </c>
      <c r="F190" s="123">
        <v>10557</v>
      </c>
      <c r="G190" s="123">
        <v>68827</v>
      </c>
      <c r="H190" s="123">
        <v>217157</v>
      </c>
      <c r="I190" s="123">
        <v>157646</v>
      </c>
      <c r="J190" s="123">
        <v>167739</v>
      </c>
      <c r="K190" s="123">
        <v>65890</v>
      </c>
      <c r="L190" s="123">
        <v>226473</v>
      </c>
      <c r="M190" s="123">
        <v>65393</v>
      </c>
    </row>
    <row r="191" spans="1:13">
      <c r="A191" s="122">
        <v>39356</v>
      </c>
      <c r="B191" s="123">
        <v>22939</v>
      </c>
      <c r="C191" s="123">
        <v>29748</v>
      </c>
      <c r="D191" s="123">
        <v>30291</v>
      </c>
      <c r="E191" s="123">
        <v>27360</v>
      </c>
      <c r="F191" s="123">
        <v>10632</v>
      </c>
      <c r="G191" s="123">
        <v>70868</v>
      </c>
      <c r="H191" s="123">
        <v>217527</v>
      </c>
      <c r="I191" s="123">
        <v>159832</v>
      </c>
      <c r="J191" s="123">
        <v>171492</v>
      </c>
      <c r="K191" s="123">
        <v>64461</v>
      </c>
      <c r="L191" s="123">
        <v>230700</v>
      </c>
      <c r="M191" s="123">
        <v>64974</v>
      </c>
    </row>
    <row r="192" spans="1:13">
      <c r="A192" s="122">
        <v>39387</v>
      </c>
      <c r="B192" s="123">
        <v>23789</v>
      </c>
      <c r="C192" s="123">
        <v>29709</v>
      </c>
      <c r="D192" s="123">
        <v>30210</v>
      </c>
      <c r="E192" s="123">
        <v>26942</v>
      </c>
      <c r="F192" s="123">
        <v>10914</v>
      </c>
      <c r="G192" s="123">
        <v>66931</v>
      </c>
      <c r="H192" s="123">
        <v>219719</v>
      </c>
      <c r="I192" s="123">
        <v>160074</v>
      </c>
      <c r="J192" s="123">
        <v>168015</v>
      </c>
      <c r="K192" s="123">
        <v>64372</v>
      </c>
      <c r="L192" s="123">
        <v>227005</v>
      </c>
      <c r="M192" s="123">
        <v>65466</v>
      </c>
    </row>
    <row r="193" spans="1:13">
      <c r="A193" s="122">
        <v>39417</v>
      </c>
      <c r="B193" s="123">
        <v>23632</v>
      </c>
      <c r="C193" s="123">
        <v>30547</v>
      </c>
      <c r="D193" s="123">
        <v>32705</v>
      </c>
      <c r="E193" s="123">
        <v>27226</v>
      </c>
      <c r="F193" s="123">
        <v>11188</v>
      </c>
      <c r="G193" s="123">
        <v>81143</v>
      </c>
      <c r="H193" s="123">
        <v>229953</v>
      </c>
      <c r="I193" s="123">
        <v>163300</v>
      </c>
      <c r="J193" s="123">
        <v>186161</v>
      </c>
      <c r="K193" s="123">
        <v>65587</v>
      </c>
      <c r="L193" s="123">
        <v>244443</v>
      </c>
      <c r="M193" s="123">
        <v>68096</v>
      </c>
    </row>
    <row r="194" spans="1:13">
      <c r="A194" s="122">
        <v>39448</v>
      </c>
      <c r="B194" s="123">
        <v>24326</v>
      </c>
      <c r="C194" s="123">
        <v>30827</v>
      </c>
      <c r="D194" s="123">
        <v>32472</v>
      </c>
      <c r="E194" s="123">
        <v>27824</v>
      </c>
      <c r="F194" s="123">
        <v>11333</v>
      </c>
      <c r="G194" s="123">
        <v>74774</v>
      </c>
      <c r="H194" s="123">
        <v>226573</v>
      </c>
      <c r="I194" s="123">
        <v>164615</v>
      </c>
      <c r="J194" s="123">
        <v>180937</v>
      </c>
      <c r="K194" s="123">
        <v>65807</v>
      </c>
      <c r="L194" s="123">
        <v>239389</v>
      </c>
      <c r="M194" s="123">
        <v>68408</v>
      </c>
    </row>
    <row r="195" spans="1:13">
      <c r="A195" s="122">
        <v>39479</v>
      </c>
      <c r="B195" s="123">
        <v>24974</v>
      </c>
      <c r="C195" s="123">
        <v>30063</v>
      </c>
      <c r="D195" s="123">
        <v>29328</v>
      </c>
      <c r="E195" s="123">
        <v>27257</v>
      </c>
      <c r="F195" s="123">
        <v>12050</v>
      </c>
      <c r="G195" s="123">
        <v>74052</v>
      </c>
      <c r="H195" s="123">
        <v>221341</v>
      </c>
      <c r="I195" s="123">
        <v>160985</v>
      </c>
      <c r="J195" s="123">
        <v>177311</v>
      </c>
      <c r="K195" s="123">
        <v>64582</v>
      </c>
      <c r="L195" s="123">
        <v>235037</v>
      </c>
      <c r="M195" s="123">
        <v>66568</v>
      </c>
    </row>
    <row r="196" spans="1:13">
      <c r="A196" s="122">
        <v>39508</v>
      </c>
      <c r="B196" s="123">
        <v>25772</v>
      </c>
      <c r="C196" s="123">
        <v>31419</v>
      </c>
      <c r="D196" s="123">
        <v>32974</v>
      </c>
      <c r="E196" s="123">
        <v>26952</v>
      </c>
      <c r="F196" s="123">
        <v>9827</v>
      </c>
      <c r="G196" s="123">
        <v>70915</v>
      </c>
      <c r="H196" s="123">
        <v>221367</v>
      </c>
      <c r="I196" s="123">
        <v>163953</v>
      </c>
      <c r="J196" s="123">
        <v>179954</v>
      </c>
      <c r="K196" s="123">
        <v>65100</v>
      </c>
      <c r="L196" s="123">
        <v>234868</v>
      </c>
      <c r="M196" s="123">
        <v>66526</v>
      </c>
    </row>
    <row r="197" spans="1:13">
      <c r="A197" s="122">
        <v>39539</v>
      </c>
      <c r="B197" s="123">
        <v>26430</v>
      </c>
      <c r="C197" s="123">
        <v>31306</v>
      </c>
      <c r="D197" s="123">
        <v>33586</v>
      </c>
      <c r="E197" s="123">
        <v>27245</v>
      </c>
      <c r="F197" s="123">
        <v>11237</v>
      </c>
      <c r="G197" s="123">
        <v>63785</v>
      </c>
      <c r="H197" s="123">
        <v>218861</v>
      </c>
      <c r="I197" s="123">
        <v>167301</v>
      </c>
      <c r="J197" s="123">
        <v>175116</v>
      </c>
      <c r="K197" s="123">
        <v>66376</v>
      </c>
      <c r="L197" s="123">
        <v>231086</v>
      </c>
      <c r="M197" s="123">
        <v>69373</v>
      </c>
    </row>
    <row r="198" spans="1:13">
      <c r="A198" s="122">
        <v>39569</v>
      </c>
      <c r="B198" s="123">
        <v>25471</v>
      </c>
      <c r="C198" s="123">
        <v>31195</v>
      </c>
      <c r="D198" s="123">
        <v>31466</v>
      </c>
      <c r="E198" s="123">
        <v>27941</v>
      </c>
      <c r="F198" s="123">
        <v>11551</v>
      </c>
      <c r="G198" s="123">
        <v>62809</v>
      </c>
      <c r="H198" s="123">
        <v>214179</v>
      </c>
      <c r="I198" s="123">
        <v>164561</v>
      </c>
      <c r="J198" s="123">
        <v>172674</v>
      </c>
      <c r="K198" s="123">
        <v>65844</v>
      </c>
      <c r="L198" s="123">
        <v>227370</v>
      </c>
      <c r="M198" s="123">
        <v>68443</v>
      </c>
    </row>
    <row r="199" spans="1:13">
      <c r="A199" s="122">
        <v>39600</v>
      </c>
      <c r="B199" s="123">
        <v>26934</v>
      </c>
      <c r="C199" s="123">
        <v>31511</v>
      </c>
      <c r="D199" s="123">
        <v>30963</v>
      </c>
      <c r="E199" s="123">
        <v>27929</v>
      </c>
      <c r="F199" s="123">
        <v>11607</v>
      </c>
      <c r="G199" s="123">
        <v>62640</v>
      </c>
      <c r="H199" s="123">
        <v>215671</v>
      </c>
      <c r="I199" s="123">
        <v>166622</v>
      </c>
      <c r="J199" s="123">
        <v>174406</v>
      </c>
      <c r="K199" s="123">
        <v>65903</v>
      </c>
      <c r="L199" s="123">
        <v>229262</v>
      </c>
      <c r="M199" s="123">
        <v>67754</v>
      </c>
    </row>
    <row r="200" spans="1:13">
      <c r="A200" s="122">
        <v>39630</v>
      </c>
      <c r="B200" s="123">
        <v>25875</v>
      </c>
      <c r="C200" s="123">
        <v>30437</v>
      </c>
      <c r="D200" s="123">
        <v>32448</v>
      </c>
      <c r="E200" s="123">
        <v>25458</v>
      </c>
      <c r="F200" s="123">
        <v>11107</v>
      </c>
      <c r="G200" s="123">
        <v>58116</v>
      </c>
      <c r="H200" s="123">
        <v>208607</v>
      </c>
      <c r="I200" s="123">
        <v>162295</v>
      </c>
      <c r="J200" s="123">
        <v>167115</v>
      </c>
      <c r="K200" s="123">
        <v>64947</v>
      </c>
      <c r="L200" s="123">
        <v>220411</v>
      </c>
      <c r="M200" s="123">
        <v>67856</v>
      </c>
    </row>
    <row r="201" spans="1:13">
      <c r="A201" s="122">
        <v>39661</v>
      </c>
      <c r="B201" s="123">
        <v>22927</v>
      </c>
      <c r="C201" s="123">
        <v>30170</v>
      </c>
      <c r="D201" s="123">
        <v>30317</v>
      </c>
      <c r="E201" s="123">
        <v>26089</v>
      </c>
      <c r="F201" s="123">
        <v>10904</v>
      </c>
      <c r="G201" s="123">
        <v>57241</v>
      </c>
      <c r="H201" s="123">
        <v>201813</v>
      </c>
      <c r="I201" s="123">
        <v>156865</v>
      </c>
      <c r="J201" s="123">
        <v>161832</v>
      </c>
      <c r="K201" s="123">
        <v>64063</v>
      </c>
      <c r="L201" s="123">
        <v>214106</v>
      </c>
      <c r="M201" s="123">
        <v>66142</v>
      </c>
    </row>
    <row r="202" spans="1:13">
      <c r="A202" s="122">
        <v>39692</v>
      </c>
      <c r="B202" s="123">
        <v>21397</v>
      </c>
      <c r="C202" s="123">
        <v>28674</v>
      </c>
      <c r="D202" s="123">
        <v>30885</v>
      </c>
      <c r="E202" s="123">
        <v>26400</v>
      </c>
      <c r="F202" s="123">
        <v>10419</v>
      </c>
      <c r="G202" s="123">
        <v>61853</v>
      </c>
      <c r="H202" s="123">
        <v>196922</v>
      </c>
      <c r="I202" s="123">
        <v>153392</v>
      </c>
      <c r="J202" s="123">
        <v>162265</v>
      </c>
      <c r="K202" s="123">
        <v>65383</v>
      </c>
      <c r="L202" s="123">
        <v>215245</v>
      </c>
      <c r="M202" s="123">
        <v>63854</v>
      </c>
    </row>
    <row r="203" spans="1:13">
      <c r="A203" s="122">
        <v>39722</v>
      </c>
      <c r="B203" s="123">
        <v>17188</v>
      </c>
      <c r="C203" s="123">
        <v>28317</v>
      </c>
      <c r="D203" s="123">
        <v>27577</v>
      </c>
      <c r="E203" s="123">
        <v>23958</v>
      </c>
      <c r="F203" s="123">
        <v>9336</v>
      </c>
      <c r="G203" s="123">
        <v>50888</v>
      </c>
      <c r="H203" s="123">
        <v>179810</v>
      </c>
      <c r="I203" s="123">
        <v>141024</v>
      </c>
      <c r="J203" s="123">
        <v>141208</v>
      </c>
      <c r="K203" s="123">
        <v>62212</v>
      </c>
      <c r="L203" s="123">
        <v>191912</v>
      </c>
      <c r="M203" s="123">
        <v>59330</v>
      </c>
    </row>
    <row r="204" spans="1:13">
      <c r="A204" s="122">
        <v>39753</v>
      </c>
      <c r="B204" s="123">
        <v>16168</v>
      </c>
      <c r="C204" s="123">
        <v>26774</v>
      </c>
      <c r="D204" s="123">
        <v>27493</v>
      </c>
      <c r="E204" s="123">
        <v>25442</v>
      </c>
      <c r="F204" s="123">
        <v>9298</v>
      </c>
      <c r="G204" s="123">
        <v>43080</v>
      </c>
      <c r="H204" s="123">
        <v>171297</v>
      </c>
      <c r="I204" s="123">
        <v>138472</v>
      </c>
      <c r="J204" s="123">
        <v>132791</v>
      </c>
      <c r="K204" s="123">
        <v>61766</v>
      </c>
      <c r="L204" s="123">
        <v>181552</v>
      </c>
      <c r="M204" s="123">
        <v>60759</v>
      </c>
    </row>
    <row r="205" spans="1:13">
      <c r="A205" s="122">
        <v>39783</v>
      </c>
      <c r="B205" s="123">
        <v>13351</v>
      </c>
      <c r="C205" s="123">
        <v>25609</v>
      </c>
      <c r="D205" s="123">
        <v>24149</v>
      </c>
      <c r="E205" s="123">
        <v>24007</v>
      </c>
      <c r="F205" s="123">
        <v>9311</v>
      </c>
      <c r="G205" s="123">
        <v>45887</v>
      </c>
      <c r="H205" s="123">
        <v>154844</v>
      </c>
      <c r="I205" s="123">
        <v>127962</v>
      </c>
      <c r="J205" s="123">
        <v>127770</v>
      </c>
      <c r="K205" s="123">
        <v>61419</v>
      </c>
      <c r="L205" s="123">
        <v>173849</v>
      </c>
      <c r="M205" s="123">
        <v>55512</v>
      </c>
    </row>
    <row r="206" spans="1:13">
      <c r="A206" s="122">
        <v>39814</v>
      </c>
      <c r="B206" s="123">
        <v>12303</v>
      </c>
      <c r="C206" s="123">
        <v>22077</v>
      </c>
      <c r="D206" s="123">
        <v>20343</v>
      </c>
      <c r="E206" s="123">
        <v>21324</v>
      </c>
      <c r="F206" s="123">
        <v>8528</v>
      </c>
      <c r="G206" s="123">
        <v>36137</v>
      </c>
      <c r="H206" s="123">
        <v>144441</v>
      </c>
      <c r="I206" s="123">
        <v>114948</v>
      </c>
      <c r="J206" s="123">
        <v>108060</v>
      </c>
      <c r="K206" s="123">
        <v>56454</v>
      </c>
      <c r="L206" s="123">
        <v>151085</v>
      </c>
      <c r="M206" s="123">
        <v>49530</v>
      </c>
    </row>
    <row r="207" spans="1:13">
      <c r="A207" s="122">
        <v>39845</v>
      </c>
      <c r="B207" s="123">
        <v>12269</v>
      </c>
      <c r="C207" s="123">
        <v>21879</v>
      </c>
      <c r="D207" s="123">
        <v>20697</v>
      </c>
      <c r="E207" s="123">
        <v>22732</v>
      </c>
      <c r="F207" s="123">
        <v>8468</v>
      </c>
      <c r="G207" s="123">
        <v>32239</v>
      </c>
      <c r="H207" s="123">
        <v>139166</v>
      </c>
      <c r="I207" s="123">
        <v>116595</v>
      </c>
      <c r="J207" s="123">
        <v>105786</v>
      </c>
      <c r="K207" s="123">
        <v>56185</v>
      </c>
      <c r="L207" s="123">
        <v>148834</v>
      </c>
      <c r="M207" s="123">
        <v>50163</v>
      </c>
    </row>
    <row r="208" spans="1:13">
      <c r="A208" s="122">
        <v>39873</v>
      </c>
      <c r="B208" s="123">
        <v>11050</v>
      </c>
      <c r="C208" s="123">
        <v>21479</v>
      </c>
      <c r="D208" s="123">
        <v>19798</v>
      </c>
      <c r="E208" s="123">
        <v>23032</v>
      </c>
      <c r="F208" s="123">
        <v>8164</v>
      </c>
      <c r="G208" s="123">
        <v>33011</v>
      </c>
      <c r="H208" s="123">
        <v>135287</v>
      </c>
      <c r="I208" s="123">
        <v>113312</v>
      </c>
      <c r="J208" s="123">
        <v>103874</v>
      </c>
      <c r="K208" s="123">
        <v>54618</v>
      </c>
      <c r="L208" s="123">
        <v>146323</v>
      </c>
      <c r="M208" s="123">
        <v>49254</v>
      </c>
    </row>
    <row r="209" spans="1:13">
      <c r="A209" s="122">
        <v>39904</v>
      </c>
      <c r="B209" s="123">
        <v>11111</v>
      </c>
      <c r="C209" s="123">
        <v>21498</v>
      </c>
      <c r="D209" s="123">
        <v>19419</v>
      </c>
      <c r="E209" s="123">
        <v>21268</v>
      </c>
      <c r="F209" s="123">
        <v>8180</v>
      </c>
      <c r="G209" s="123">
        <v>36866</v>
      </c>
      <c r="H209" s="123">
        <v>133533</v>
      </c>
      <c r="I209" s="123">
        <v>110601</v>
      </c>
      <c r="J209" s="123">
        <v>105714</v>
      </c>
      <c r="K209" s="123">
        <v>52500</v>
      </c>
      <c r="L209" s="123">
        <v>147467</v>
      </c>
      <c r="M209" s="123">
        <v>47096</v>
      </c>
    </row>
    <row r="210" spans="1:13">
      <c r="A210" s="122">
        <v>39934</v>
      </c>
      <c r="B210" s="123">
        <v>11951</v>
      </c>
      <c r="C210" s="123">
        <v>21580</v>
      </c>
      <c r="D210" s="123">
        <v>20673</v>
      </c>
      <c r="E210" s="123">
        <v>21614</v>
      </c>
      <c r="F210" s="123">
        <v>8113</v>
      </c>
      <c r="G210" s="123">
        <v>36175</v>
      </c>
      <c r="H210" s="123">
        <v>136506</v>
      </c>
      <c r="I210" s="123">
        <v>113080</v>
      </c>
      <c r="J210" s="123">
        <v>108460</v>
      </c>
      <c r="K210" s="123">
        <v>52123</v>
      </c>
      <c r="L210" s="123">
        <v>149255</v>
      </c>
      <c r="M210" s="123">
        <v>48652</v>
      </c>
    </row>
    <row r="211" spans="1:13">
      <c r="A211" s="122">
        <v>39965</v>
      </c>
      <c r="B211" s="123">
        <v>13772</v>
      </c>
      <c r="C211" s="123">
        <v>20521</v>
      </c>
      <c r="D211" s="123">
        <v>21809</v>
      </c>
      <c r="E211" s="123">
        <v>22222</v>
      </c>
      <c r="F211" s="123">
        <v>7983</v>
      </c>
      <c r="G211" s="123">
        <v>31548</v>
      </c>
      <c r="H211" s="123">
        <v>137316</v>
      </c>
      <c r="I211" s="123">
        <v>115485</v>
      </c>
      <c r="J211" s="123">
        <v>107285</v>
      </c>
      <c r="K211" s="123">
        <v>52810</v>
      </c>
      <c r="L211" s="123">
        <v>147033</v>
      </c>
      <c r="M211" s="123">
        <v>50533</v>
      </c>
    </row>
    <row r="212" spans="1:13">
      <c r="A212" s="122">
        <v>39995</v>
      </c>
      <c r="B212" s="123">
        <v>13804</v>
      </c>
      <c r="C212" s="123">
        <v>21937</v>
      </c>
      <c r="D212" s="123">
        <v>21507</v>
      </c>
      <c r="E212" s="123">
        <v>22050</v>
      </c>
      <c r="F212" s="123">
        <v>8627</v>
      </c>
      <c r="G212" s="123">
        <v>35986</v>
      </c>
      <c r="H212" s="123">
        <v>142708</v>
      </c>
      <c r="I212" s="123">
        <v>117705</v>
      </c>
      <c r="J212" s="123">
        <v>111891</v>
      </c>
      <c r="K212" s="123">
        <v>52915</v>
      </c>
      <c r="L212" s="123">
        <v>153691</v>
      </c>
      <c r="M212" s="123">
        <v>50984</v>
      </c>
    </row>
    <row r="213" spans="1:13">
      <c r="A213" s="122">
        <v>40026</v>
      </c>
      <c r="B213" s="123">
        <v>14489</v>
      </c>
      <c r="C213" s="123">
        <v>22009</v>
      </c>
      <c r="D213" s="123">
        <v>21197</v>
      </c>
      <c r="E213" s="123">
        <v>21340</v>
      </c>
      <c r="F213" s="123">
        <v>8441</v>
      </c>
      <c r="G213" s="123">
        <v>40347</v>
      </c>
      <c r="H213" s="123">
        <v>147236</v>
      </c>
      <c r="I213" s="123">
        <v>117142</v>
      </c>
      <c r="J213" s="123">
        <v>114790</v>
      </c>
      <c r="K213" s="123">
        <v>52006</v>
      </c>
      <c r="L213" s="123">
        <v>157489</v>
      </c>
      <c r="M213" s="123">
        <v>49900</v>
      </c>
    </row>
    <row r="214" spans="1:13">
      <c r="A214" s="122">
        <v>40057</v>
      </c>
      <c r="B214" s="123">
        <v>14787</v>
      </c>
      <c r="C214" s="123">
        <v>23168</v>
      </c>
      <c r="D214" s="123">
        <v>23728</v>
      </c>
      <c r="E214" s="123">
        <v>22631</v>
      </c>
      <c r="F214" s="123">
        <v>8242</v>
      </c>
      <c r="G214" s="123">
        <v>35999</v>
      </c>
      <c r="H214" s="123">
        <v>147422</v>
      </c>
      <c r="I214" s="123">
        <v>122042</v>
      </c>
      <c r="J214" s="123">
        <v>114607</v>
      </c>
      <c r="K214" s="123">
        <v>52759</v>
      </c>
      <c r="L214" s="123">
        <v>158041</v>
      </c>
      <c r="M214" s="123">
        <v>53034</v>
      </c>
    </row>
    <row r="215" spans="1:13">
      <c r="A215" s="122">
        <v>40087</v>
      </c>
      <c r="B215" s="123">
        <v>15692</v>
      </c>
      <c r="C215" s="123">
        <v>23955</v>
      </c>
      <c r="D215" s="123">
        <v>22448</v>
      </c>
      <c r="E215" s="123">
        <v>21899</v>
      </c>
      <c r="F215" s="123">
        <v>8902</v>
      </c>
      <c r="G215" s="123">
        <v>38853</v>
      </c>
      <c r="H215" s="123">
        <v>150367</v>
      </c>
      <c r="I215" s="123">
        <v>122244</v>
      </c>
      <c r="J215" s="123">
        <v>117510</v>
      </c>
      <c r="K215" s="123">
        <v>52915</v>
      </c>
      <c r="L215" s="123">
        <v>161097</v>
      </c>
      <c r="M215" s="123">
        <v>51978</v>
      </c>
    </row>
    <row r="216" spans="1:13">
      <c r="A216" s="122">
        <v>40118</v>
      </c>
      <c r="B216" s="123">
        <v>15670</v>
      </c>
      <c r="C216" s="123">
        <v>23389</v>
      </c>
      <c r="D216" s="123">
        <v>23043</v>
      </c>
      <c r="E216" s="123">
        <v>22262</v>
      </c>
      <c r="F216" s="123">
        <v>8744</v>
      </c>
      <c r="G216" s="123">
        <v>37887</v>
      </c>
      <c r="H216" s="123">
        <v>151373</v>
      </c>
      <c r="I216" s="123">
        <v>122532</v>
      </c>
      <c r="J216" s="123">
        <v>115535</v>
      </c>
      <c r="K216" s="123">
        <v>53410</v>
      </c>
      <c r="L216" s="123">
        <v>160419</v>
      </c>
      <c r="M216" s="123">
        <v>52771</v>
      </c>
    </row>
    <row r="217" spans="1:13">
      <c r="A217" s="122">
        <v>40148</v>
      </c>
      <c r="B217" s="123">
        <v>16177</v>
      </c>
      <c r="C217" s="123">
        <v>23198</v>
      </c>
      <c r="D217" s="123">
        <v>24802</v>
      </c>
      <c r="E217" s="123">
        <v>22004</v>
      </c>
      <c r="F217" s="123">
        <v>8619</v>
      </c>
      <c r="G217" s="123">
        <v>36095</v>
      </c>
      <c r="H217" s="123">
        <v>150419</v>
      </c>
      <c r="I217" s="123">
        <v>124425</v>
      </c>
      <c r="J217" s="123">
        <v>115220</v>
      </c>
      <c r="K217" s="123">
        <v>54404</v>
      </c>
      <c r="L217" s="123">
        <v>160520</v>
      </c>
      <c r="M217" s="123">
        <v>54616</v>
      </c>
    </row>
    <row r="218" spans="1:13">
      <c r="A218" s="122">
        <v>40179</v>
      </c>
      <c r="B218" s="123">
        <v>18835</v>
      </c>
      <c r="C218" s="123">
        <v>23783</v>
      </c>
      <c r="D218" s="123">
        <v>23345</v>
      </c>
      <c r="E218" s="123">
        <v>22392</v>
      </c>
      <c r="F218" s="123">
        <v>8996</v>
      </c>
      <c r="G218" s="123">
        <v>53959</v>
      </c>
      <c r="H218" s="123">
        <v>163907</v>
      </c>
      <c r="I218" s="123">
        <v>127057</v>
      </c>
      <c r="J218" s="123">
        <v>134068</v>
      </c>
      <c r="K218" s="123">
        <v>54128</v>
      </c>
      <c r="L218" s="123">
        <v>181016</v>
      </c>
      <c r="M218" s="123">
        <v>52331</v>
      </c>
    </row>
    <row r="219" spans="1:13">
      <c r="A219" s="122">
        <v>40210</v>
      </c>
      <c r="B219" s="123">
        <v>19066</v>
      </c>
      <c r="C219" s="123">
        <v>24533</v>
      </c>
      <c r="D219" s="123">
        <v>24743</v>
      </c>
      <c r="E219" s="123">
        <v>21631</v>
      </c>
      <c r="F219" s="123">
        <v>8703</v>
      </c>
      <c r="G219" s="123">
        <v>51640</v>
      </c>
      <c r="H219" s="123">
        <v>165895</v>
      </c>
      <c r="I219" s="123">
        <v>128810</v>
      </c>
      <c r="J219" s="123">
        <v>135156</v>
      </c>
      <c r="K219" s="123">
        <v>54345</v>
      </c>
      <c r="L219" s="123">
        <v>180450</v>
      </c>
      <c r="M219" s="123">
        <v>53488</v>
      </c>
    </row>
    <row r="220" spans="1:13">
      <c r="A220" s="122">
        <v>40238</v>
      </c>
      <c r="B220" s="123">
        <v>20286</v>
      </c>
      <c r="C220" s="123">
        <v>25084</v>
      </c>
      <c r="D220" s="123">
        <v>27302</v>
      </c>
      <c r="E220" s="123">
        <v>22797</v>
      </c>
      <c r="F220" s="123">
        <v>9213</v>
      </c>
      <c r="G220" s="123">
        <v>47313</v>
      </c>
      <c r="H220" s="123">
        <v>167256</v>
      </c>
      <c r="I220" s="123">
        <v>134835</v>
      </c>
      <c r="J220" s="123">
        <v>135916</v>
      </c>
      <c r="K220" s="123">
        <v>55474</v>
      </c>
      <c r="L220" s="123">
        <v>182148</v>
      </c>
      <c r="M220" s="123">
        <v>56487</v>
      </c>
    </row>
    <row r="221" spans="1:13">
      <c r="A221" s="122">
        <v>40269</v>
      </c>
      <c r="B221" s="123">
        <v>19979</v>
      </c>
      <c r="C221" s="123">
        <v>25292</v>
      </c>
      <c r="D221" s="123">
        <v>23394</v>
      </c>
      <c r="E221" s="123">
        <v>22672</v>
      </c>
      <c r="F221" s="123">
        <v>9068</v>
      </c>
      <c r="G221" s="123">
        <v>51752</v>
      </c>
      <c r="H221" s="123">
        <v>169689</v>
      </c>
      <c r="I221" s="123">
        <v>131196</v>
      </c>
      <c r="J221" s="123">
        <v>135504</v>
      </c>
      <c r="K221" s="123">
        <v>55320</v>
      </c>
      <c r="L221" s="123">
        <v>182948</v>
      </c>
      <c r="M221" s="123">
        <v>52283</v>
      </c>
    </row>
    <row r="222" spans="1:13">
      <c r="A222" s="122">
        <v>40299</v>
      </c>
      <c r="B222" s="123">
        <v>20568</v>
      </c>
      <c r="C222" s="123">
        <v>24995</v>
      </c>
      <c r="D222" s="123">
        <v>29255</v>
      </c>
      <c r="E222" s="123">
        <v>22218</v>
      </c>
      <c r="F222" s="123">
        <v>8844</v>
      </c>
      <c r="G222" s="123">
        <v>53051</v>
      </c>
      <c r="H222" s="123">
        <v>176036</v>
      </c>
      <c r="I222" s="123">
        <v>136881</v>
      </c>
      <c r="J222" s="123">
        <v>141747</v>
      </c>
      <c r="K222" s="123">
        <v>55853</v>
      </c>
      <c r="L222" s="123">
        <v>189932</v>
      </c>
      <c r="M222" s="123">
        <v>57262</v>
      </c>
    </row>
    <row r="223" spans="1:13">
      <c r="A223" s="122">
        <v>40330</v>
      </c>
      <c r="B223" s="123">
        <v>19547</v>
      </c>
      <c r="C223" s="123">
        <v>25309</v>
      </c>
      <c r="D223" s="123">
        <v>30528</v>
      </c>
      <c r="E223" s="123">
        <v>21992</v>
      </c>
      <c r="F223" s="123">
        <v>9259</v>
      </c>
      <c r="G223" s="123">
        <v>48441</v>
      </c>
      <c r="H223" s="123">
        <v>174280</v>
      </c>
      <c r="I223" s="123">
        <v>137226</v>
      </c>
      <c r="J223" s="123">
        <v>137251</v>
      </c>
      <c r="K223" s="123">
        <v>56221</v>
      </c>
      <c r="L223" s="123">
        <v>185667</v>
      </c>
      <c r="M223" s="123">
        <v>59605</v>
      </c>
    </row>
    <row r="224" spans="1:13">
      <c r="A224" s="122">
        <v>40360</v>
      </c>
      <c r="B224" s="123">
        <v>20606</v>
      </c>
      <c r="C224" s="123">
        <v>25333</v>
      </c>
      <c r="D224" s="123">
        <v>27142</v>
      </c>
      <c r="E224" s="123">
        <v>22231</v>
      </c>
      <c r="F224" s="123">
        <v>9161</v>
      </c>
      <c r="G224" s="123">
        <v>52850</v>
      </c>
      <c r="H224" s="123">
        <v>173972</v>
      </c>
      <c r="I224" s="123">
        <v>134656</v>
      </c>
      <c r="J224" s="123">
        <v>137391</v>
      </c>
      <c r="K224" s="123">
        <v>56101</v>
      </c>
      <c r="L224" s="123">
        <v>187506</v>
      </c>
      <c r="M224" s="123">
        <v>56474</v>
      </c>
    </row>
    <row r="225" spans="1:13">
      <c r="A225" s="122">
        <v>40391</v>
      </c>
      <c r="B225" s="123">
        <v>20306</v>
      </c>
      <c r="C225" s="123">
        <v>25976</v>
      </c>
      <c r="D225" s="123">
        <v>28354</v>
      </c>
      <c r="E225" s="123">
        <v>22976</v>
      </c>
      <c r="F225" s="123">
        <v>9086</v>
      </c>
      <c r="G225" s="123">
        <v>54652</v>
      </c>
      <c r="H225" s="123">
        <v>179013</v>
      </c>
      <c r="I225" s="123">
        <v>137093</v>
      </c>
      <c r="J225" s="123">
        <v>141407</v>
      </c>
      <c r="K225" s="123">
        <v>56400</v>
      </c>
      <c r="L225" s="123">
        <v>191745</v>
      </c>
      <c r="M225" s="123">
        <v>58224</v>
      </c>
    </row>
    <row r="226" spans="1:13">
      <c r="A226" s="122">
        <v>40422</v>
      </c>
      <c r="B226" s="123">
        <v>20731</v>
      </c>
      <c r="C226" s="123">
        <v>25593</v>
      </c>
      <c r="D226" s="123">
        <v>29896</v>
      </c>
      <c r="E226" s="123">
        <v>23547</v>
      </c>
      <c r="F226" s="123">
        <v>9369</v>
      </c>
      <c r="G226" s="123">
        <v>62684</v>
      </c>
      <c r="H226" s="123">
        <v>186703</v>
      </c>
      <c r="I226" s="123">
        <v>139248</v>
      </c>
      <c r="J226" s="123">
        <v>151095</v>
      </c>
      <c r="K226" s="123">
        <v>57430</v>
      </c>
      <c r="L226" s="123">
        <v>201932</v>
      </c>
      <c r="M226" s="123">
        <v>60134</v>
      </c>
    </row>
    <row r="227" spans="1:13">
      <c r="A227" s="122">
        <v>40452</v>
      </c>
      <c r="B227" s="123">
        <v>20058</v>
      </c>
      <c r="C227" s="123">
        <v>25119</v>
      </c>
      <c r="D227" s="123">
        <v>28437</v>
      </c>
      <c r="E227" s="123">
        <v>21199</v>
      </c>
      <c r="F227" s="123">
        <v>9189</v>
      </c>
      <c r="G227" s="123">
        <v>58548</v>
      </c>
      <c r="H227" s="123">
        <v>181818</v>
      </c>
      <c r="I227" s="123">
        <v>134518</v>
      </c>
      <c r="J227" s="123">
        <v>142783</v>
      </c>
      <c r="K227" s="123">
        <v>57026</v>
      </c>
      <c r="L227" s="123">
        <v>193066</v>
      </c>
      <c r="M227" s="123">
        <v>57479</v>
      </c>
    </row>
    <row r="228" spans="1:13">
      <c r="A228" s="122">
        <v>40483</v>
      </c>
      <c r="B228" s="123">
        <v>22776</v>
      </c>
      <c r="C228" s="123">
        <v>26577</v>
      </c>
      <c r="D228" s="123">
        <v>29238</v>
      </c>
      <c r="E228" s="123">
        <v>23319</v>
      </c>
      <c r="F228" s="123">
        <v>9841</v>
      </c>
      <c r="G228" s="123">
        <v>54752</v>
      </c>
      <c r="H228" s="123">
        <v>182184</v>
      </c>
      <c r="I228" s="123">
        <v>142450</v>
      </c>
      <c r="J228" s="123">
        <v>147906</v>
      </c>
      <c r="K228" s="123">
        <v>57721</v>
      </c>
      <c r="L228" s="123">
        <v>197202</v>
      </c>
      <c r="M228" s="123">
        <v>60405</v>
      </c>
    </row>
    <row r="229" spans="1:13">
      <c r="A229" s="122">
        <v>40513</v>
      </c>
      <c r="B229" s="123">
        <v>21436</v>
      </c>
      <c r="C229" s="123">
        <v>26674</v>
      </c>
      <c r="D229" s="123">
        <v>32533</v>
      </c>
      <c r="E229" s="123">
        <v>23852</v>
      </c>
      <c r="F229" s="123">
        <v>9625</v>
      </c>
      <c r="G229" s="123">
        <v>49236</v>
      </c>
      <c r="H229" s="123">
        <v>179976</v>
      </c>
      <c r="I229" s="123">
        <v>144216</v>
      </c>
      <c r="J229" s="123">
        <v>143125</v>
      </c>
      <c r="K229" s="123">
        <v>58923</v>
      </c>
      <c r="L229" s="123">
        <v>193452</v>
      </c>
      <c r="M229" s="123">
        <v>61939</v>
      </c>
    </row>
    <row r="230" spans="1:13">
      <c r="A230" s="122">
        <v>40544</v>
      </c>
      <c r="B230" s="123">
        <v>23291</v>
      </c>
      <c r="C230" s="123">
        <v>25422</v>
      </c>
      <c r="D230" s="123">
        <v>29851</v>
      </c>
      <c r="E230" s="123">
        <v>23892</v>
      </c>
      <c r="F230" s="123">
        <v>9631</v>
      </c>
      <c r="G230" s="123">
        <v>60523</v>
      </c>
      <c r="H230" s="123">
        <v>187397</v>
      </c>
      <c r="I230" s="123">
        <v>143113</v>
      </c>
      <c r="J230" s="123">
        <v>152922</v>
      </c>
      <c r="K230" s="123">
        <v>59305</v>
      </c>
      <c r="L230" s="123">
        <v>203636</v>
      </c>
      <c r="M230" s="123">
        <v>60963</v>
      </c>
    </row>
    <row r="231" spans="1:13">
      <c r="A231" s="122">
        <v>40575</v>
      </c>
      <c r="B231" s="123">
        <v>21452</v>
      </c>
      <c r="C231" s="123">
        <v>27299</v>
      </c>
      <c r="D231" s="123">
        <v>28160</v>
      </c>
      <c r="E231" s="123">
        <v>23634</v>
      </c>
      <c r="F231" s="123">
        <v>9930</v>
      </c>
      <c r="G231" s="123">
        <v>55332</v>
      </c>
      <c r="H231" s="123">
        <v>183093</v>
      </c>
      <c r="I231" s="123">
        <v>141061</v>
      </c>
      <c r="J231" s="123">
        <v>146046</v>
      </c>
      <c r="K231" s="123">
        <v>57810</v>
      </c>
      <c r="L231" s="123">
        <v>196393</v>
      </c>
      <c r="M231" s="123">
        <v>59078</v>
      </c>
    </row>
    <row r="232" spans="1:13">
      <c r="A232" s="122">
        <v>40603</v>
      </c>
      <c r="B232" s="123">
        <v>23173</v>
      </c>
      <c r="C232" s="123">
        <v>27507</v>
      </c>
      <c r="D232" s="123">
        <v>31078</v>
      </c>
      <c r="E232" s="123">
        <v>22813</v>
      </c>
      <c r="F232" s="123">
        <v>10043</v>
      </c>
      <c r="G232" s="123">
        <v>66841</v>
      </c>
      <c r="H232" s="123">
        <v>197694</v>
      </c>
      <c r="I232" s="123">
        <v>145907</v>
      </c>
      <c r="J232" s="123">
        <v>160009</v>
      </c>
      <c r="K232" s="123">
        <v>60078</v>
      </c>
      <c r="L232" s="123">
        <v>212748</v>
      </c>
      <c r="M232" s="123">
        <v>62497</v>
      </c>
    </row>
    <row r="233" spans="1:13">
      <c r="A233" s="122">
        <v>40634</v>
      </c>
      <c r="B233" s="123">
        <v>22263</v>
      </c>
      <c r="C233" s="123">
        <v>26745</v>
      </c>
      <c r="D233" s="123">
        <v>30709</v>
      </c>
      <c r="E233" s="123">
        <v>23190</v>
      </c>
      <c r="F233" s="123">
        <v>9483</v>
      </c>
      <c r="G233" s="123">
        <v>57343</v>
      </c>
      <c r="H233" s="123">
        <v>185170</v>
      </c>
      <c r="I233" s="123">
        <v>143390</v>
      </c>
      <c r="J233" s="123">
        <v>150734</v>
      </c>
      <c r="K233" s="123">
        <v>60132</v>
      </c>
      <c r="L233" s="123">
        <v>200733</v>
      </c>
      <c r="M233" s="123">
        <v>61562</v>
      </c>
    </row>
    <row r="234" spans="1:13">
      <c r="A234" s="122">
        <v>40664</v>
      </c>
      <c r="B234" s="123">
        <v>23281</v>
      </c>
      <c r="C234" s="123">
        <v>26860</v>
      </c>
      <c r="D234" s="123">
        <v>32496</v>
      </c>
      <c r="E234" s="123">
        <v>23217</v>
      </c>
      <c r="F234" s="123">
        <v>9767</v>
      </c>
      <c r="G234" s="123">
        <v>60716</v>
      </c>
      <c r="H234" s="123">
        <v>191707</v>
      </c>
      <c r="I234" s="123">
        <v>146454</v>
      </c>
      <c r="J234" s="123">
        <v>157155</v>
      </c>
      <c r="K234" s="123">
        <v>60499</v>
      </c>
      <c r="L234" s="123">
        <v>207170</v>
      </c>
      <c r="M234" s="123">
        <v>63711</v>
      </c>
    </row>
    <row r="235" spans="1:13">
      <c r="A235" s="122">
        <v>40695</v>
      </c>
      <c r="B235" s="123">
        <v>22515</v>
      </c>
      <c r="C235" s="123">
        <v>27642</v>
      </c>
      <c r="D235" s="123">
        <v>32015</v>
      </c>
      <c r="E235" s="123">
        <v>23336</v>
      </c>
      <c r="F235" s="123">
        <v>9834</v>
      </c>
      <c r="G235" s="123">
        <v>55382</v>
      </c>
      <c r="H235" s="123">
        <v>188604</v>
      </c>
      <c r="I235" s="123">
        <v>146197</v>
      </c>
      <c r="J235" s="123">
        <v>150694</v>
      </c>
      <c r="K235" s="123">
        <v>61342</v>
      </c>
      <c r="L235" s="123">
        <v>201579</v>
      </c>
      <c r="M235" s="123">
        <v>63751</v>
      </c>
    </row>
    <row r="236" spans="1:13">
      <c r="A236" s="122">
        <v>40725</v>
      </c>
      <c r="B236" s="123">
        <v>23436</v>
      </c>
      <c r="C236" s="123">
        <v>27687</v>
      </c>
      <c r="D236" s="123">
        <v>33029</v>
      </c>
      <c r="E236" s="123">
        <v>22682</v>
      </c>
      <c r="F236" s="123">
        <v>9926</v>
      </c>
      <c r="G236" s="123">
        <v>58561</v>
      </c>
      <c r="H236" s="123">
        <v>194162</v>
      </c>
      <c r="I236" s="123">
        <v>147897</v>
      </c>
      <c r="J236" s="123">
        <v>153291</v>
      </c>
      <c r="K236" s="123">
        <v>61751</v>
      </c>
      <c r="L236" s="123">
        <v>206458</v>
      </c>
      <c r="M236" s="123">
        <v>64756</v>
      </c>
    </row>
    <row r="237" spans="1:13">
      <c r="A237" s="122">
        <v>40756</v>
      </c>
      <c r="B237" s="123">
        <v>23740</v>
      </c>
      <c r="C237" s="123">
        <v>27147</v>
      </c>
      <c r="D237" s="123">
        <v>31708</v>
      </c>
      <c r="E237" s="123">
        <v>23767</v>
      </c>
      <c r="F237" s="123">
        <v>10353</v>
      </c>
      <c r="G237" s="123">
        <v>69209</v>
      </c>
      <c r="H237" s="123">
        <v>201795</v>
      </c>
      <c r="I237" s="123">
        <v>147496</v>
      </c>
      <c r="J237" s="123">
        <v>164357</v>
      </c>
      <c r="K237" s="123">
        <v>64278</v>
      </c>
      <c r="L237" s="123">
        <v>216705</v>
      </c>
      <c r="M237" s="123">
        <v>64464</v>
      </c>
    </row>
    <row r="238" spans="1:13">
      <c r="A238" s="122">
        <v>40787</v>
      </c>
      <c r="B238" s="123">
        <v>23677</v>
      </c>
      <c r="C238" s="123">
        <v>28199</v>
      </c>
      <c r="D238" s="123">
        <v>31862</v>
      </c>
      <c r="E238" s="123">
        <v>23688</v>
      </c>
      <c r="F238" s="123">
        <v>10431</v>
      </c>
      <c r="G238" s="123">
        <v>56081</v>
      </c>
      <c r="H238" s="123">
        <v>192112</v>
      </c>
      <c r="I238" s="123">
        <v>148657</v>
      </c>
      <c r="J238" s="123">
        <v>153647</v>
      </c>
      <c r="K238" s="123">
        <v>63686</v>
      </c>
      <c r="L238" s="123">
        <v>204738</v>
      </c>
      <c r="M238" s="123">
        <v>65581</v>
      </c>
    </row>
    <row r="239" spans="1:13">
      <c r="A239" s="122">
        <v>40817</v>
      </c>
      <c r="B239" s="123">
        <v>23688</v>
      </c>
      <c r="C239" s="123">
        <v>28260</v>
      </c>
      <c r="D239" s="123">
        <v>34010</v>
      </c>
      <c r="E239" s="123">
        <v>23904</v>
      </c>
      <c r="F239" s="123">
        <v>10188</v>
      </c>
      <c r="G239" s="123">
        <v>59170</v>
      </c>
      <c r="H239" s="123">
        <v>199429</v>
      </c>
      <c r="I239" s="123">
        <v>151629</v>
      </c>
      <c r="J239" s="123">
        <v>157127</v>
      </c>
      <c r="K239" s="123">
        <v>63570</v>
      </c>
      <c r="L239" s="123">
        <v>210799</v>
      </c>
      <c r="M239" s="123">
        <v>67427</v>
      </c>
    </row>
    <row r="240" spans="1:13">
      <c r="A240" s="122">
        <v>40848</v>
      </c>
      <c r="B240" s="123">
        <v>24544</v>
      </c>
      <c r="C240" s="123">
        <v>28914</v>
      </c>
      <c r="D240" s="123">
        <v>31837</v>
      </c>
      <c r="E240" s="123">
        <v>23401</v>
      </c>
      <c r="F240" s="123">
        <v>10045</v>
      </c>
      <c r="G240" s="123">
        <v>65088</v>
      </c>
      <c r="H240" s="123">
        <v>203549</v>
      </c>
      <c r="I240" s="123">
        <v>150443</v>
      </c>
      <c r="J240" s="123">
        <v>162380</v>
      </c>
      <c r="K240" s="123">
        <v>63758</v>
      </c>
      <c r="L240" s="123">
        <v>215531</v>
      </c>
      <c r="M240" s="123">
        <v>64660</v>
      </c>
    </row>
    <row r="241" spans="1:13">
      <c r="A241" s="122">
        <v>40878</v>
      </c>
      <c r="B241" s="123">
        <v>24927</v>
      </c>
      <c r="C241" s="123">
        <v>28750</v>
      </c>
      <c r="D241" s="123">
        <v>35470</v>
      </c>
      <c r="E241" s="123">
        <v>23424</v>
      </c>
      <c r="F241" s="123">
        <v>10350</v>
      </c>
      <c r="G241" s="123">
        <v>69034</v>
      </c>
      <c r="H241" s="123">
        <v>214193</v>
      </c>
      <c r="I241" s="123">
        <v>154801</v>
      </c>
      <c r="J241" s="123">
        <v>170486</v>
      </c>
      <c r="K241" s="123">
        <v>65920</v>
      </c>
      <c r="L241" s="123">
        <v>223835</v>
      </c>
      <c r="M241" s="123">
        <v>68881</v>
      </c>
    </row>
    <row r="242" spans="1:13">
      <c r="A242" s="122">
        <v>40909</v>
      </c>
      <c r="B242" s="123">
        <v>24032</v>
      </c>
      <c r="C242" s="123">
        <v>29025</v>
      </c>
      <c r="D242" s="123">
        <v>32827</v>
      </c>
      <c r="E242" s="123">
        <v>23025</v>
      </c>
      <c r="F242" s="123">
        <v>10608</v>
      </c>
      <c r="G242" s="123">
        <v>72792</v>
      </c>
      <c r="H242" s="123">
        <v>213798</v>
      </c>
      <c r="I242" s="123">
        <v>151719</v>
      </c>
      <c r="J242" s="123">
        <v>169869</v>
      </c>
      <c r="K242" s="123">
        <v>64937</v>
      </c>
      <c r="L242" s="123">
        <v>224511</v>
      </c>
      <c r="M242" s="123">
        <v>67525</v>
      </c>
    </row>
    <row r="243" spans="1:13">
      <c r="A243" s="122">
        <v>40940</v>
      </c>
      <c r="B243" s="123">
        <v>23437</v>
      </c>
      <c r="C243" s="123">
        <v>29577</v>
      </c>
      <c r="D243" s="123">
        <v>34669</v>
      </c>
      <c r="E243" s="123">
        <v>23993</v>
      </c>
      <c r="F243" s="123">
        <v>10440</v>
      </c>
      <c r="G243" s="123">
        <v>74244</v>
      </c>
      <c r="H243" s="123">
        <v>215027</v>
      </c>
      <c r="I243" s="123">
        <v>154185</v>
      </c>
      <c r="J243" s="123">
        <v>173639</v>
      </c>
      <c r="K243" s="123">
        <v>66132</v>
      </c>
      <c r="L243" s="123">
        <v>228429</v>
      </c>
      <c r="M243" s="123">
        <v>70075</v>
      </c>
    </row>
    <row r="244" spans="1:13">
      <c r="A244" s="122">
        <v>40969</v>
      </c>
      <c r="B244" s="123">
        <v>22871</v>
      </c>
      <c r="C244" s="123">
        <v>29980</v>
      </c>
      <c r="D244" s="123">
        <v>35027</v>
      </c>
      <c r="E244" s="123">
        <v>22863</v>
      </c>
      <c r="F244" s="123">
        <v>10562</v>
      </c>
      <c r="G244" s="123">
        <v>66147</v>
      </c>
      <c r="H244" s="123">
        <v>207437</v>
      </c>
      <c r="I244" s="123">
        <v>153583</v>
      </c>
      <c r="J244" s="123">
        <v>164506</v>
      </c>
      <c r="K244" s="123">
        <v>67944</v>
      </c>
      <c r="L244" s="123">
        <v>219730</v>
      </c>
      <c r="M244" s="123">
        <v>69719</v>
      </c>
    </row>
    <row r="245" spans="1:13">
      <c r="A245" s="122">
        <v>41000</v>
      </c>
      <c r="B245" s="123">
        <v>23144</v>
      </c>
      <c r="C245" s="123">
        <v>29153</v>
      </c>
      <c r="D245" s="123">
        <v>33147</v>
      </c>
      <c r="E245" s="123">
        <v>23240</v>
      </c>
      <c r="F245" s="123">
        <v>10511</v>
      </c>
      <c r="G245" s="123">
        <v>67092</v>
      </c>
      <c r="H245" s="123">
        <v>208556</v>
      </c>
      <c r="I245" s="123">
        <v>151536</v>
      </c>
      <c r="J245" s="123">
        <v>161577</v>
      </c>
      <c r="K245" s="123">
        <v>66849</v>
      </c>
      <c r="L245" s="123">
        <v>218628</v>
      </c>
      <c r="M245" s="123">
        <v>67645</v>
      </c>
    </row>
    <row r="246" spans="1:13">
      <c r="A246" s="122">
        <v>41030</v>
      </c>
      <c r="B246" s="123">
        <v>21478</v>
      </c>
      <c r="C246" s="123">
        <v>28374</v>
      </c>
      <c r="D246" s="123">
        <v>34221</v>
      </c>
      <c r="E246" s="123">
        <v>23413</v>
      </c>
      <c r="F246" s="123">
        <v>10787</v>
      </c>
      <c r="G246" s="123">
        <v>69947</v>
      </c>
      <c r="H246" s="123">
        <v>209652</v>
      </c>
      <c r="I246" s="123">
        <v>150929</v>
      </c>
      <c r="J246" s="123">
        <v>163899</v>
      </c>
      <c r="K246" s="123">
        <v>67240</v>
      </c>
      <c r="L246" s="123">
        <v>220876</v>
      </c>
      <c r="M246" s="123">
        <v>69182</v>
      </c>
    </row>
    <row r="247" spans="1:13">
      <c r="A247" s="122">
        <v>41061</v>
      </c>
      <c r="B247" s="123">
        <v>20854</v>
      </c>
      <c r="C247" s="123">
        <v>28419</v>
      </c>
      <c r="D247" s="123">
        <v>33787</v>
      </c>
      <c r="E247" s="123">
        <v>21312</v>
      </c>
      <c r="F247" s="123">
        <v>10134</v>
      </c>
      <c r="G247" s="123">
        <v>69347</v>
      </c>
      <c r="H247" s="123">
        <v>201871</v>
      </c>
      <c r="I247" s="123">
        <v>147024</v>
      </c>
      <c r="J247" s="123">
        <v>159806</v>
      </c>
      <c r="K247" s="123">
        <v>67691</v>
      </c>
      <c r="L247" s="123">
        <v>216371</v>
      </c>
      <c r="M247" s="123">
        <v>66971</v>
      </c>
    </row>
    <row r="248" spans="1:13">
      <c r="A248" s="122">
        <v>41091</v>
      </c>
      <c r="B248" s="123">
        <v>20895</v>
      </c>
      <c r="C248" s="123">
        <v>28407</v>
      </c>
      <c r="D248" s="123">
        <v>32376</v>
      </c>
      <c r="E248" s="123">
        <v>21477</v>
      </c>
      <c r="F248" s="123">
        <v>10294</v>
      </c>
      <c r="G248" s="123">
        <v>78015</v>
      </c>
      <c r="H248" s="123">
        <v>210138</v>
      </c>
      <c r="I248" s="123">
        <v>146060</v>
      </c>
      <c r="J248" s="123">
        <v>167134</v>
      </c>
      <c r="K248" s="123">
        <v>66900</v>
      </c>
      <c r="L248" s="123">
        <v>224075</v>
      </c>
      <c r="M248" s="123">
        <v>65070</v>
      </c>
    </row>
    <row r="249" spans="1:13">
      <c r="A249" s="122">
        <v>41122</v>
      </c>
      <c r="B249" s="123">
        <v>20743</v>
      </c>
      <c r="C249" s="123">
        <v>28309</v>
      </c>
      <c r="D249" s="123">
        <v>29893</v>
      </c>
      <c r="E249" s="123">
        <v>20952</v>
      </c>
      <c r="F249" s="123">
        <v>10288</v>
      </c>
      <c r="G249" s="123">
        <v>60147</v>
      </c>
      <c r="H249" s="123">
        <v>192404</v>
      </c>
      <c r="I249" s="123">
        <v>142907</v>
      </c>
      <c r="J249" s="123">
        <v>147480</v>
      </c>
      <c r="K249" s="123">
        <v>65497</v>
      </c>
      <c r="L249" s="123">
        <v>203054</v>
      </c>
      <c r="M249" s="123">
        <v>63645</v>
      </c>
    </row>
    <row r="250" spans="1:13">
      <c r="A250" s="122">
        <v>41153</v>
      </c>
      <c r="B250" s="123">
        <v>20965</v>
      </c>
      <c r="C250" s="123">
        <v>28251</v>
      </c>
      <c r="D250" s="123">
        <v>31358</v>
      </c>
      <c r="E250" s="123">
        <v>20827</v>
      </c>
      <c r="F250" s="123">
        <v>10019</v>
      </c>
      <c r="G250" s="123">
        <v>72737</v>
      </c>
      <c r="H250" s="123">
        <v>205808</v>
      </c>
      <c r="I250" s="123">
        <v>144383</v>
      </c>
      <c r="J250" s="123">
        <v>161573</v>
      </c>
      <c r="K250" s="123">
        <v>65411</v>
      </c>
      <c r="L250" s="123">
        <v>217120</v>
      </c>
      <c r="M250" s="123">
        <v>63932</v>
      </c>
    </row>
    <row r="251" spans="1:13">
      <c r="A251" s="122">
        <v>41183</v>
      </c>
      <c r="B251" s="123">
        <v>21390</v>
      </c>
      <c r="C251" s="123">
        <v>28295</v>
      </c>
      <c r="D251" s="123">
        <v>32923</v>
      </c>
      <c r="E251" s="123">
        <v>21116</v>
      </c>
      <c r="F251" s="123">
        <v>10393</v>
      </c>
      <c r="G251" s="123">
        <v>71737</v>
      </c>
      <c r="H251" s="123">
        <v>206576</v>
      </c>
      <c r="I251" s="123">
        <v>147371</v>
      </c>
      <c r="J251" s="123">
        <v>163826</v>
      </c>
      <c r="K251" s="123">
        <v>65637</v>
      </c>
      <c r="L251" s="123">
        <v>219108</v>
      </c>
      <c r="M251" s="123">
        <v>66051</v>
      </c>
    </row>
    <row r="252" spans="1:13">
      <c r="A252" s="122">
        <v>41214</v>
      </c>
      <c r="B252" s="123">
        <v>21281</v>
      </c>
      <c r="C252" s="123">
        <v>28503</v>
      </c>
      <c r="D252" s="123">
        <v>32312</v>
      </c>
      <c r="E252" s="123">
        <v>21197</v>
      </c>
      <c r="F252" s="123">
        <v>10751</v>
      </c>
      <c r="G252" s="123">
        <v>66873</v>
      </c>
      <c r="H252" s="123">
        <v>203305</v>
      </c>
      <c r="I252" s="123">
        <v>147150</v>
      </c>
      <c r="J252" s="123">
        <v>157271</v>
      </c>
      <c r="K252" s="123">
        <v>67449</v>
      </c>
      <c r="L252" s="123">
        <v>214023</v>
      </c>
      <c r="M252" s="123">
        <v>66204</v>
      </c>
    </row>
    <row r="253" spans="1:13">
      <c r="A253" s="122">
        <v>41244</v>
      </c>
      <c r="B253" s="123">
        <v>21667</v>
      </c>
      <c r="C253" s="123">
        <v>27090</v>
      </c>
      <c r="D253" s="123">
        <v>31799</v>
      </c>
      <c r="E253" s="123">
        <v>22100</v>
      </c>
      <c r="F253" s="123">
        <v>10105</v>
      </c>
      <c r="G253" s="123">
        <v>86527</v>
      </c>
      <c r="H253" s="123">
        <v>211264</v>
      </c>
      <c r="I253" s="123">
        <v>146228</v>
      </c>
      <c r="J253" s="123">
        <v>175437</v>
      </c>
      <c r="K253" s="123">
        <v>67154</v>
      </c>
      <c r="L253" s="123">
        <v>232755</v>
      </c>
      <c r="M253" s="123">
        <v>66840</v>
      </c>
    </row>
    <row r="254" spans="1:13">
      <c r="A254" s="122">
        <v>41275</v>
      </c>
      <c r="B254" s="123">
        <v>22089</v>
      </c>
      <c r="C254" s="123">
        <v>30141</v>
      </c>
      <c r="D254" s="123">
        <v>34235</v>
      </c>
      <c r="E254" s="123">
        <v>21125</v>
      </c>
      <c r="F254" s="123">
        <v>9998</v>
      </c>
      <c r="G254" s="123">
        <v>71005</v>
      </c>
      <c r="H254" s="123">
        <v>213298</v>
      </c>
      <c r="I254" s="123">
        <v>151783</v>
      </c>
      <c r="J254" s="123">
        <v>163977</v>
      </c>
      <c r="K254" s="123">
        <v>66841</v>
      </c>
      <c r="L254" s="123">
        <v>222788</v>
      </c>
      <c r="M254" s="123">
        <v>69879</v>
      </c>
    </row>
    <row r="255" spans="1:13">
      <c r="A255" s="122">
        <v>41306</v>
      </c>
      <c r="B255" s="123">
        <v>22457</v>
      </c>
      <c r="C255" s="123">
        <v>29192</v>
      </c>
      <c r="D255" s="123">
        <v>32487</v>
      </c>
      <c r="E255" s="123">
        <v>20371</v>
      </c>
      <c r="F255" s="123">
        <v>10366</v>
      </c>
      <c r="G255" s="123">
        <v>82661</v>
      </c>
      <c r="H255" s="123">
        <v>220700</v>
      </c>
      <c r="I255" s="123">
        <v>149626</v>
      </c>
      <c r="J255" s="123">
        <v>171886</v>
      </c>
      <c r="K255" s="123">
        <v>67781</v>
      </c>
      <c r="L255" s="123">
        <v>232287</v>
      </c>
      <c r="M255" s="123">
        <v>66361</v>
      </c>
    </row>
    <row r="256" spans="1:13">
      <c r="A256" s="122">
        <v>41334</v>
      </c>
      <c r="B256" s="123">
        <v>21178</v>
      </c>
      <c r="C256" s="123">
        <v>29733</v>
      </c>
      <c r="D256" s="123">
        <v>31326</v>
      </c>
      <c r="E256" s="123">
        <v>19580</v>
      </c>
      <c r="F256" s="123">
        <v>10080</v>
      </c>
      <c r="G256" s="123">
        <v>71051</v>
      </c>
      <c r="H256" s="123">
        <v>210080</v>
      </c>
      <c r="I256" s="123">
        <v>146226</v>
      </c>
      <c r="J256" s="123">
        <v>157898</v>
      </c>
      <c r="K256" s="123">
        <v>67952</v>
      </c>
      <c r="L256" s="123">
        <v>217277</v>
      </c>
      <c r="M256" s="123">
        <v>66318</v>
      </c>
    </row>
    <row r="257" spans="1:13">
      <c r="A257" s="122">
        <v>41365</v>
      </c>
      <c r="B257" s="123">
        <v>21896</v>
      </c>
      <c r="C257" s="123">
        <v>29362</v>
      </c>
      <c r="D257" s="123">
        <v>31967</v>
      </c>
      <c r="E257" s="123">
        <v>21416</v>
      </c>
      <c r="F257" s="123">
        <v>10158</v>
      </c>
      <c r="G257" s="123">
        <v>78470</v>
      </c>
      <c r="H257" s="123">
        <v>216982</v>
      </c>
      <c r="I257" s="123">
        <v>149557</v>
      </c>
      <c r="J257" s="123">
        <v>167999</v>
      </c>
      <c r="K257" s="123">
        <v>66418</v>
      </c>
      <c r="L257" s="123">
        <v>228027</v>
      </c>
      <c r="M257" s="123">
        <v>67762</v>
      </c>
    </row>
    <row r="258" spans="1:13">
      <c r="A258" s="122">
        <v>41395</v>
      </c>
      <c r="B258" s="123">
        <v>21814</v>
      </c>
      <c r="C258" s="123">
        <v>28920</v>
      </c>
      <c r="D258" s="123">
        <v>32205</v>
      </c>
      <c r="E258" s="123">
        <v>21805</v>
      </c>
      <c r="F258" s="123">
        <v>10781</v>
      </c>
      <c r="G258" s="123">
        <v>84735</v>
      </c>
      <c r="H258" s="123">
        <v>224465</v>
      </c>
      <c r="I258" s="123">
        <v>150641</v>
      </c>
      <c r="J258" s="123">
        <v>175159</v>
      </c>
      <c r="K258" s="123">
        <v>67597</v>
      </c>
      <c r="L258" s="123">
        <v>235376</v>
      </c>
      <c r="M258" s="123">
        <v>69035</v>
      </c>
    </row>
    <row r="259" spans="1:13">
      <c r="A259" s="122">
        <v>41426</v>
      </c>
      <c r="B259" s="123">
        <v>22062</v>
      </c>
      <c r="C259" s="123">
        <v>28898</v>
      </c>
      <c r="D259" s="123">
        <v>32273</v>
      </c>
      <c r="E259" s="123">
        <v>21571</v>
      </c>
      <c r="F259" s="123">
        <v>10369</v>
      </c>
      <c r="G259" s="123">
        <v>96701</v>
      </c>
      <c r="H259" s="123">
        <v>235211</v>
      </c>
      <c r="I259" s="123">
        <v>150559</v>
      </c>
      <c r="J259" s="123">
        <v>187171</v>
      </c>
      <c r="K259" s="123">
        <v>66735</v>
      </c>
      <c r="L259" s="123">
        <v>247260</v>
      </c>
      <c r="M259" s="123">
        <v>69343</v>
      </c>
    </row>
    <row r="260" spans="1:13">
      <c r="A260" s="122">
        <v>41456</v>
      </c>
      <c r="B260" s="123">
        <v>21296</v>
      </c>
      <c r="C260" s="123">
        <v>28683</v>
      </c>
      <c r="D260" s="123">
        <v>32321</v>
      </c>
      <c r="E260" s="123">
        <v>20922</v>
      </c>
      <c r="F260" s="123">
        <v>9934</v>
      </c>
      <c r="G260" s="123">
        <v>74679</v>
      </c>
      <c r="H260" s="123">
        <v>209913</v>
      </c>
      <c r="I260" s="123">
        <v>148258</v>
      </c>
      <c r="J260" s="123">
        <v>163879</v>
      </c>
      <c r="K260" s="123">
        <v>65819</v>
      </c>
      <c r="L260" s="123">
        <v>222937</v>
      </c>
      <c r="M260" s="123">
        <v>66316</v>
      </c>
    </row>
    <row r="261" spans="1:13">
      <c r="A261" s="122">
        <v>41487</v>
      </c>
      <c r="B261" s="123">
        <v>21617</v>
      </c>
      <c r="C261" s="123">
        <v>29026</v>
      </c>
      <c r="D261" s="123">
        <v>30941</v>
      </c>
      <c r="E261" s="123">
        <v>20152</v>
      </c>
      <c r="F261" s="123">
        <v>10111</v>
      </c>
      <c r="G261" s="123">
        <v>74714</v>
      </c>
      <c r="H261" s="123">
        <v>211847</v>
      </c>
      <c r="I261" s="123">
        <v>147624</v>
      </c>
      <c r="J261" s="123">
        <v>162223</v>
      </c>
      <c r="K261" s="123">
        <v>66036</v>
      </c>
      <c r="L261" s="123">
        <v>222338</v>
      </c>
      <c r="M261" s="123">
        <v>65933</v>
      </c>
    </row>
    <row r="262" spans="1:13">
      <c r="A262" s="122">
        <v>41518</v>
      </c>
      <c r="B262" s="123">
        <v>21829</v>
      </c>
      <c r="C262" s="123">
        <v>28911</v>
      </c>
      <c r="D262" s="123">
        <v>31443</v>
      </c>
      <c r="E262" s="123">
        <v>20799</v>
      </c>
      <c r="F262" s="123">
        <v>10234</v>
      </c>
      <c r="G262" s="123">
        <v>90588</v>
      </c>
      <c r="H262" s="123">
        <v>225775</v>
      </c>
      <c r="I262" s="123">
        <v>148342</v>
      </c>
      <c r="J262" s="123">
        <v>178822</v>
      </c>
      <c r="K262" s="123">
        <v>65417</v>
      </c>
      <c r="L262" s="123">
        <v>238930</v>
      </c>
      <c r="M262" s="123">
        <v>66371</v>
      </c>
    </row>
    <row r="263" spans="1:13">
      <c r="A263" s="122">
        <v>41548</v>
      </c>
      <c r="B263" s="123">
        <v>22175</v>
      </c>
      <c r="C263" s="123">
        <v>28499</v>
      </c>
      <c r="D263" s="123">
        <v>31357</v>
      </c>
      <c r="E263" s="123">
        <v>21497</v>
      </c>
      <c r="F263" s="123">
        <v>10291</v>
      </c>
      <c r="G263" s="123">
        <v>85212</v>
      </c>
      <c r="H263" s="123">
        <v>223139</v>
      </c>
      <c r="I263" s="123">
        <v>148888</v>
      </c>
      <c r="J263" s="123">
        <v>173141</v>
      </c>
      <c r="K263" s="123">
        <v>65186</v>
      </c>
      <c r="L263" s="123">
        <v>234100</v>
      </c>
      <c r="M263" s="123">
        <v>65016</v>
      </c>
    </row>
    <row r="264" spans="1:13">
      <c r="A264" s="122">
        <v>41579</v>
      </c>
      <c r="B264" s="123">
        <v>21827</v>
      </c>
      <c r="C264" s="123">
        <v>28815</v>
      </c>
      <c r="D264" s="123">
        <v>33105</v>
      </c>
      <c r="E264" s="123">
        <v>21702</v>
      </c>
      <c r="F264" s="123">
        <v>9442</v>
      </c>
      <c r="G264" s="123">
        <v>91506</v>
      </c>
      <c r="H264" s="123">
        <v>232225</v>
      </c>
      <c r="I264" s="123">
        <v>150582</v>
      </c>
      <c r="J264" s="123">
        <v>177119</v>
      </c>
      <c r="K264" s="123">
        <v>68009</v>
      </c>
      <c r="L264" s="123">
        <v>242088</v>
      </c>
      <c r="M264" s="123">
        <v>68053</v>
      </c>
    </row>
    <row r="265" spans="1:13">
      <c r="A265" s="122">
        <v>41609</v>
      </c>
      <c r="B265" s="123">
        <v>20961</v>
      </c>
      <c r="C265" s="123">
        <v>26914</v>
      </c>
      <c r="D265" s="123">
        <v>34589</v>
      </c>
      <c r="E265" s="123">
        <v>20263</v>
      </c>
      <c r="F265" s="123">
        <v>10149</v>
      </c>
      <c r="G265" s="123">
        <v>88749</v>
      </c>
      <c r="H265" s="123">
        <v>227537</v>
      </c>
      <c r="I265" s="123">
        <v>148149</v>
      </c>
      <c r="J265" s="123">
        <v>175160</v>
      </c>
      <c r="K265" s="123">
        <v>67503</v>
      </c>
      <c r="L265" s="123">
        <v>236898</v>
      </c>
      <c r="M265" s="123">
        <v>67775</v>
      </c>
    </row>
    <row r="266" spans="1:13">
      <c r="A266" s="122">
        <v>41640</v>
      </c>
      <c r="B266" s="123">
        <v>21604</v>
      </c>
      <c r="C266" s="123">
        <v>29180</v>
      </c>
      <c r="D266" s="123">
        <v>33963</v>
      </c>
      <c r="E266" s="123">
        <v>21545</v>
      </c>
      <c r="F266" s="123">
        <v>10399</v>
      </c>
      <c r="G266" s="123">
        <v>75469</v>
      </c>
      <c r="H266" s="123">
        <v>216655</v>
      </c>
      <c r="I266" s="123">
        <v>151235</v>
      </c>
      <c r="J266" s="123">
        <v>166758</v>
      </c>
      <c r="K266" s="123">
        <v>66205</v>
      </c>
      <c r="L266" s="123">
        <v>226704</v>
      </c>
      <c r="M266" s="123">
        <v>68237</v>
      </c>
    </row>
    <row r="267" spans="1:13">
      <c r="A267" s="122">
        <v>41671</v>
      </c>
      <c r="B267" s="123">
        <v>21705</v>
      </c>
      <c r="C267" s="123">
        <v>29170</v>
      </c>
      <c r="D267" s="123">
        <v>34170</v>
      </c>
      <c r="E267" s="123">
        <v>21254</v>
      </c>
      <c r="F267" s="123">
        <v>10298</v>
      </c>
      <c r="G267" s="123">
        <v>79163</v>
      </c>
      <c r="H267" s="123">
        <v>219545</v>
      </c>
      <c r="I267" s="123">
        <v>151319</v>
      </c>
      <c r="J267" s="123">
        <v>168991</v>
      </c>
      <c r="K267" s="123">
        <v>67120</v>
      </c>
      <c r="L267" s="123">
        <v>230482</v>
      </c>
      <c r="M267" s="123">
        <v>67386</v>
      </c>
    </row>
    <row r="268" spans="1:13">
      <c r="A268" s="122">
        <v>41699</v>
      </c>
      <c r="B268" s="123">
        <v>22141</v>
      </c>
      <c r="C268" s="123">
        <v>29465</v>
      </c>
      <c r="D268" s="123">
        <v>34421</v>
      </c>
      <c r="E268" s="123">
        <v>21560</v>
      </c>
      <c r="F268" s="123">
        <v>10677</v>
      </c>
      <c r="G268" s="123">
        <v>81807</v>
      </c>
      <c r="H268" s="123">
        <v>223009</v>
      </c>
      <c r="I268" s="123">
        <v>153561</v>
      </c>
      <c r="J268" s="123">
        <v>173176</v>
      </c>
      <c r="K268" s="123">
        <v>68135</v>
      </c>
      <c r="L268" s="123">
        <v>235368</v>
      </c>
      <c r="M268" s="123">
        <v>68683</v>
      </c>
    </row>
    <row r="269" spans="1:13">
      <c r="A269" s="122">
        <v>41730</v>
      </c>
      <c r="B269" s="123">
        <v>21769</v>
      </c>
      <c r="C269" s="123">
        <v>29192</v>
      </c>
      <c r="D269" s="123">
        <v>32875</v>
      </c>
      <c r="E269" s="123">
        <v>21674</v>
      </c>
      <c r="F269" s="123">
        <v>10680</v>
      </c>
      <c r="G269" s="123">
        <v>83733</v>
      </c>
      <c r="H269" s="123">
        <v>216304</v>
      </c>
      <c r="I269" s="123">
        <v>151991</v>
      </c>
      <c r="J269" s="123">
        <v>174125</v>
      </c>
      <c r="K269" s="123">
        <v>66704</v>
      </c>
      <c r="L269" s="123">
        <v>235724</v>
      </c>
      <c r="M269" s="123">
        <v>66486</v>
      </c>
    </row>
    <row r="270" spans="1:13">
      <c r="A270" s="122">
        <v>41760</v>
      </c>
      <c r="B270" s="123">
        <v>22149</v>
      </c>
      <c r="C270" s="123">
        <v>30136</v>
      </c>
      <c r="D270" s="123">
        <v>32732</v>
      </c>
      <c r="E270" s="123">
        <v>20805</v>
      </c>
      <c r="F270" s="123">
        <v>10499</v>
      </c>
      <c r="G270" s="123">
        <v>77461</v>
      </c>
      <c r="H270" s="123">
        <v>217466</v>
      </c>
      <c r="I270" s="123">
        <v>152270</v>
      </c>
      <c r="J270" s="123">
        <v>166404</v>
      </c>
      <c r="K270" s="123">
        <v>67233</v>
      </c>
      <c r="L270" s="123">
        <v>229731</v>
      </c>
      <c r="M270" s="123">
        <v>65819</v>
      </c>
    </row>
    <row r="271" spans="1:13">
      <c r="A271" s="122">
        <v>41791</v>
      </c>
      <c r="B271" s="123">
        <v>22513</v>
      </c>
      <c r="C271" s="123">
        <v>29878</v>
      </c>
      <c r="D271" s="123">
        <v>35010</v>
      </c>
      <c r="E271" s="123">
        <v>21813</v>
      </c>
      <c r="F271" s="123">
        <v>10922</v>
      </c>
      <c r="G271" s="123">
        <v>83559</v>
      </c>
      <c r="H271" s="123">
        <v>226627</v>
      </c>
      <c r="I271" s="123">
        <v>156439</v>
      </c>
      <c r="J271" s="123">
        <v>177673</v>
      </c>
      <c r="K271" s="123">
        <v>67210</v>
      </c>
      <c r="L271" s="123">
        <v>239998</v>
      </c>
      <c r="M271" s="123">
        <v>69618</v>
      </c>
    </row>
    <row r="272" spans="1:13">
      <c r="A272" s="122">
        <v>41821</v>
      </c>
      <c r="B272" s="123">
        <v>22669</v>
      </c>
      <c r="C272" s="123">
        <v>29922</v>
      </c>
      <c r="D272" s="123">
        <v>32864</v>
      </c>
      <c r="E272" s="123">
        <v>21178</v>
      </c>
      <c r="F272" s="123">
        <v>10698</v>
      </c>
      <c r="G272" s="123">
        <v>150828</v>
      </c>
      <c r="H272" s="123">
        <v>293790</v>
      </c>
      <c r="I272" s="123">
        <v>153393</v>
      </c>
      <c r="J272" s="123">
        <v>239368</v>
      </c>
      <c r="K272" s="123">
        <v>67196</v>
      </c>
      <c r="L272" s="123">
        <v>304221</v>
      </c>
      <c r="M272" s="123">
        <v>67842</v>
      </c>
    </row>
    <row r="273" spans="1:13">
      <c r="A273" s="122">
        <v>41852</v>
      </c>
      <c r="B273" s="123">
        <v>22140</v>
      </c>
      <c r="C273" s="123">
        <v>30254</v>
      </c>
      <c r="D273" s="123">
        <v>34363</v>
      </c>
      <c r="E273" s="123">
        <v>21622</v>
      </c>
      <c r="F273" s="123">
        <v>10741</v>
      </c>
      <c r="G273" s="123">
        <v>79797</v>
      </c>
      <c r="H273" s="123">
        <v>224569</v>
      </c>
      <c r="I273" s="123">
        <v>155316</v>
      </c>
      <c r="J273" s="123">
        <v>170619</v>
      </c>
      <c r="K273" s="123">
        <v>69173</v>
      </c>
      <c r="L273" s="123">
        <v>235113</v>
      </c>
      <c r="M273" s="123">
        <v>68514</v>
      </c>
    </row>
    <row r="274" spans="1:13">
      <c r="A274" s="122">
        <v>41883</v>
      </c>
      <c r="B274" s="123">
        <v>23030</v>
      </c>
      <c r="C274" s="123">
        <v>30247</v>
      </c>
      <c r="D274" s="123">
        <v>34622</v>
      </c>
      <c r="E274" s="123">
        <v>21161</v>
      </c>
      <c r="F274" s="123">
        <v>11076</v>
      </c>
      <c r="G274" s="123">
        <v>83694</v>
      </c>
      <c r="H274" s="123">
        <v>229338</v>
      </c>
      <c r="I274" s="123">
        <v>156845</v>
      </c>
      <c r="J274" s="123">
        <v>175815</v>
      </c>
      <c r="K274" s="123">
        <v>69236</v>
      </c>
      <c r="L274" s="123">
        <v>240539</v>
      </c>
      <c r="M274" s="123">
        <v>69207</v>
      </c>
    </row>
    <row r="275" spans="1:13">
      <c r="A275" s="122">
        <v>41913</v>
      </c>
      <c r="B275" s="123">
        <v>22003</v>
      </c>
      <c r="C275" s="123">
        <v>30389</v>
      </c>
      <c r="D275" s="123">
        <v>32310</v>
      </c>
      <c r="E275" s="123">
        <v>20638</v>
      </c>
      <c r="F275" s="123">
        <v>10813</v>
      </c>
      <c r="G275" s="123">
        <v>79283</v>
      </c>
      <c r="H275" s="123">
        <v>219533</v>
      </c>
      <c r="I275" s="123">
        <v>152664</v>
      </c>
      <c r="J275" s="123">
        <v>166867</v>
      </c>
      <c r="K275" s="123">
        <v>66959</v>
      </c>
      <c r="L275" s="123">
        <v>231947</v>
      </c>
      <c r="M275" s="123">
        <v>65557</v>
      </c>
    </row>
    <row r="276" spans="1:13">
      <c r="A276" s="122">
        <v>41944</v>
      </c>
      <c r="B276" s="123">
        <v>21119</v>
      </c>
      <c r="C276" s="123">
        <v>30027</v>
      </c>
      <c r="D276" s="123">
        <v>30906</v>
      </c>
      <c r="E276" s="123">
        <v>19832</v>
      </c>
      <c r="F276" s="123">
        <v>10825</v>
      </c>
      <c r="G276" s="123">
        <v>81306</v>
      </c>
      <c r="H276" s="123">
        <v>221162</v>
      </c>
      <c r="I276" s="123">
        <v>148984</v>
      </c>
      <c r="J276" s="123">
        <v>167086</v>
      </c>
      <c r="K276" s="123">
        <v>65797</v>
      </c>
      <c r="L276" s="123">
        <v>230290</v>
      </c>
      <c r="M276" s="123">
        <v>63687</v>
      </c>
    </row>
    <row r="277" spans="1:13">
      <c r="A277" s="122">
        <v>41974</v>
      </c>
      <c r="B277" s="123">
        <v>21151</v>
      </c>
      <c r="C277" s="123">
        <v>30093</v>
      </c>
      <c r="D277" s="123">
        <v>31291</v>
      </c>
      <c r="E277" s="123">
        <v>19989</v>
      </c>
      <c r="F277" s="123">
        <v>11054</v>
      </c>
      <c r="G277" s="123">
        <v>74511</v>
      </c>
      <c r="H277" s="123">
        <v>213860</v>
      </c>
      <c r="I277" s="123">
        <v>150461</v>
      </c>
      <c r="J277" s="123">
        <v>159597</v>
      </c>
      <c r="K277" s="123">
        <v>67092</v>
      </c>
      <c r="L277" s="123">
        <v>224972</v>
      </c>
      <c r="M277" s="123">
        <v>66300</v>
      </c>
    </row>
    <row r="278" spans="1:13">
      <c r="A278" s="122">
        <v>42005</v>
      </c>
      <c r="B278" s="123">
        <v>20665</v>
      </c>
      <c r="C278" s="123">
        <v>28218</v>
      </c>
      <c r="D278" s="123">
        <v>31752</v>
      </c>
      <c r="E278" s="123">
        <v>19683</v>
      </c>
      <c r="F278" s="123">
        <v>10481</v>
      </c>
      <c r="G278" s="123">
        <v>72833</v>
      </c>
      <c r="H278" s="123">
        <v>211466</v>
      </c>
      <c r="I278" s="123">
        <v>147633</v>
      </c>
      <c r="J278" s="123">
        <v>157463</v>
      </c>
      <c r="K278" s="123">
        <v>65491</v>
      </c>
      <c r="L278" s="123">
        <v>220466</v>
      </c>
      <c r="M278" s="123">
        <v>64791</v>
      </c>
    </row>
    <row r="279" spans="1:13">
      <c r="A279" s="122">
        <v>42036</v>
      </c>
      <c r="B279" s="123">
        <v>20269</v>
      </c>
      <c r="C279" s="123">
        <v>28222</v>
      </c>
      <c r="D279" s="123">
        <v>31431</v>
      </c>
      <c r="E279" s="123">
        <v>19430</v>
      </c>
      <c r="F279" s="123">
        <v>10731</v>
      </c>
      <c r="G279" s="123">
        <v>70777</v>
      </c>
      <c r="H279" s="123">
        <v>209406</v>
      </c>
      <c r="I279" s="123">
        <v>146519</v>
      </c>
      <c r="J279" s="123">
        <v>154298</v>
      </c>
      <c r="K279" s="123">
        <v>65735</v>
      </c>
      <c r="L279" s="123">
        <v>217296</v>
      </c>
      <c r="M279" s="123">
        <v>64232</v>
      </c>
    </row>
    <row r="280" spans="1:13">
      <c r="A280" s="122">
        <v>42064</v>
      </c>
      <c r="B280" s="123">
        <v>19109</v>
      </c>
      <c r="C280" s="123">
        <v>28278</v>
      </c>
      <c r="D280" s="123">
        <v>31230</v>
      </c>
      <c r="E280" s="123">
        <v>21180</v>
      </c>
      <c r="F280" s="123">
        <v>10866</v>
      </c>
      <c r="G280" s="123">
        <v>81215</v>
      </c>
      <c r="H280" s="123">
        <v>217526</v>
      </c>
      <c r="I280" s="123">
        <v>147167</v>
      </c>
      <c r="J280" s="123">
        <v>162504</v>
      </c>
      <c r="K280" s="123">
        <v>66307</v>
      </c>
      <c r="L280" s="123">
        <v>228382</v>
      </c>
      <c r="M280" s="123">
        <v>64712</v>
      </c>
    </row>
    <row r="281" spans="1:13">
      <c r="A281" s="122">
        <v>42095</v>
      </c>
      <c r="B281" s="123">
        <v>19310</v>
      </c>
      <c r="C281" s="123">
        <v>28053</v>
      </c>
      <c r="D281" s="123">
        <v>31031</v>
      </c>
      <c r="E281" s="123">
        <v>20645</v>
      </c>
      <c r="F281" s="123">
        <v>10728</v>
      </c>
      <c r="G281" s="123">
        <v>79824</v>
      </c>
      <c r="H281" s="123">
        <v>215883</v>
      </c>
      <c r="I281" s="123">
        <v>146695</v>
      </c>
      <c r="J281" s="123">
        <v>161812</v>
      </c>
      <c r="K281" s="123">
        <v>65722</v>
      </c>
      <c r="L281" s="123">
        <v>226519</v>
      </c>
      <c r="M281" s="123">
        <v>64365</v>
      </c>
    </row>
    <row r="282" spans="1:13">
      <c r="A282" s="122">
        <v>42125</v>
      </c>
      <c r="B282" s="123">
        <v>19320</v>
      </c>
      <c r="C282" s="123">
        <v>28090</v>
      </c>
      <c r="D282" s="123">
        <v>30704</v>
      </c>
      <c r="E282" s="123">
        <v>20134</v>
      </c>
      <c r="F282" s="123">
        <v>10395</v>
      </c>
      <c r="G282" s="123">
        <v>69060</v>
      </c>
      <c r="H282" s="123">
        <v>204127</v>
      </c>
      <c r="I282" s="123">
        <v>145002</v>
      </c>
      <c r="J282" s="123">
        <v>149281</v>
      </c>
      <c r="K282" s="123">
        <v>64884</v>
      </c>
      <c r="L282" s="123">
        <v>214062</v>
      </c>
      <c r="M282" s="123">
        <v>62596</v>
      </c>
    </row>
    <row r="283" spans="1:13">
      <c r="A283" s="122">
        <v>42156</v>
      </c>
      <c r="B283" s="123">
        <v>19263</v>
      </c>
      <c r="C283" s="123">
        <v>28745</v>
      </c>
      <c r="D283" s="123">
        <v>31301</v>
      </c>
      <c r="E283" s="123">
        <v>20748</v>
      </c>
      <c r="F283" s="123">
        <v>10619</v>
      </c>
      <c r="G283" s="123">
        <v>87504</v>
      </c>
      <c r="H283" s="123">
        <v>222452</v>
      </c>
      <c r="I283" s="123">
        <v>147593</v>
      </c>
      <c r="J283" s="123">
        <v>168996</v>
      </c>
      <c r="K283" s="123">
        <v>65496</v>
      </c>
      <c r="L283" s="123">
        <v>235097</v>
      </c>
      <c r="M283" s="123">
        <v>63739</v>
      </c>
    </row>
    <row r="284" spans="1:13">
      <c r="A284" s="122">
        <v>42186</v>
      </c>
      <c r="B284" s="123">
        <v>17917</v>
      </c>
      <c r="C284" s="123">
        <v>28647</v>
      </c>
      <c r="D284" s="123">
        <v>30851</v>
      </c>
      <c r="E284" s="123">
        <v>20748</v>
      </c>
      <c r="F284" s="123">
        <v>10561</v>
      </c>
      <c r="G284" s="123">
        <v>82660</v>
      </c>
      <c r="H284" s="123">
        <v>216416</v>
      </c>
      <c r="I284" s="123">
        <v>145962</v>
      </c>
      <c r="J284" s="123">
        <v>161459</v>
      </c>
      <c r="K284" s="123">
        <v>64938</v>
      </c>
      <c r="L284" s="123">
        <v>228622</v>
      </c>
      <c r="M284" s="123">
        <v>63551</v>
      </c>
    </row>
    <row r="285" spans="1:13">
      <c r="A285" s="122">
        <v>42217</v>
      </c>
      <c r="B285" s="123">
        <v>18242</v>
      </c>
      <c r="C285" s="123">
        <v>27817</v>
      </c>
      <c r="D285" s="123">
        <v>31938</v>
      </c>
      <c r="E285" s="123">
        <v>20559</v>
      </c>
      <c r="F285" s="123">
        <v>10590</v>
      </c>
      <c r="G285" s="123">
        <v>77893</v>
      </c>
      <c r="H285" s="123">
        <v>215447</v>
      </c>
      <c r="I285" s="123">
        <v>146304</v>
      </c>
      <c r="J285" s="123">
        <v>158114</v>
      </c>
      <c r="K285" s="123">
        <v>64879</v>
      </c>
      <c r="L285" s="123">
        <v>224197</v>
      </c>
      <c r="M285" s="123">
        <v>63525</v>
      </c>
    </row>
    <row r="286" spans="1:13">
      <c r="A286" s="122">
        <v>42248</v>
      </c>
      <c r="B286" s="123">
        <v>18165</v>
      </c>
      <c r="C286" s="123">
        <v>28445</v>
      </c>
      <c r="D286" s="123">
        <v>31145</v>
      </c>
      <c r="E286" s="123">
        <v>20381</v>
      </c>
      <c r="F286" s="123">
        <v>10448</v>
      </c>
      <c r="G286" s="123">
        <v>72579</v>
      </c>
      <c r="H286" s="123">
        <v>209174</v>
      </c>
      <c r="I286" s="123">
        <v>145912</v>
      </c>
      <c r="J286" s="123">
        <v>151480</v>
      </c>
      <c r="K286" s="123">
        <v>64821</v>
      </c>
      <c r="L286" s="123">
        <v>218491</v>
      </c>
      <c r="M286" s="123">
        <v>63188</v>
      </c>
    </row>
    <row r="287" spans="1:13">
      <c r="A287" s="122">
        <v>42278</v>
      </c>
      <c r="B287" s="123">
        <v>17846</v>
      </c>
      <c r="C287" s="123">
        <v>27509</v>
      </c>
      <c r="D287" s="123">
        <v>31220</v>
      </c>
      <c r="E287" s="123">
        <v>20228</v>
      </c>
      <c r="F287" s="123">
        <v>10170</v>
      </c>
      <c r="G287" s="123">
        <v>78524</v>
      </c>
      <c r="H287" s="123">
        <v>210661</v>
      </c>
      <c r="I287" s="123">
        <v>144202</v>
      </c>
      <c r="J287" s="123">
        <v>157257</v>
      </c>
      <c r="K287" s="123">
        <v>64110</v>
      </c>
      <c r="L287" s="123">
        <v>222726</v>
      </c>
      <c r="M287" s="123">
        <v>62996</v>
      </c>
    </row>
    <row r="288" spans="1:13">
      <c r="A288" s="122">
        <v>42309</v>
      </c>
      <c r="B288" s="123">
        <v>17524</v>
      </c>
      <c r="C288" s="123">
        <v>27755</v>
      </c>
      <c r="D288" s="123">
        <v>30404</v>
      </c>
      <c r="E288" s="123">
        <v>20056</v>
      </c>
      <c r="F288" s="123">
        <v>10386</v>
      </c>
      <c r="G288" s="123">
        <v>84175</v>
      </c>
      <c r="H288" s="123">
        <v>212466</v>
      </c>
      <c r="I288" s="123">
        <v>143541</v>
      </c>
      <c r="J288" s="123">
        <v>161313</v>
      </c>
      <c r="K288" s="123">
        <v>63224</v>
      </c>
      <c r="L288" s="123">
        <v>227716</v>
      </c>
      <c r="M288" s="123">
        <v>61848</v>
      </c>
    </row>
    <row r="289" spans="1:13">
      <c r="A289" s="122">
        <v>42339</v>
      </c>
      <c r="B289" s="123">
        <v>17124</v>
      </c>
      <c r="C289" s="123">
        <v>27850</v>
      </c>
      <c r="D289" s="123">
        <v>28655</v>
      </c>
      <c r="E289" s="123">
        <v>20596</v>
      </c>
      <c r="F289" s="123">
        <v>10557</v>
      </c>
      <c r="G289" s="123">
        <v>78075</v>
      </c>
      <c r="H289" s="123">
        <v>209769</v>
      </c>
      <c r="I289" s="123">
        <v>142203</v>
      </c>
      <c r="J289" s="123">
        <v>154376</v>
      </c>
      <c r="K289" s="123">
        <v>63244</v>
      </c>
      <c r="L289" s="123">
        <v>220278</v>
      </c>
      <c r="M289" s="123">
        <v>60613</v>
      </c>
    </row>
    <row r="290" spans="1:13">
      <c r="A290" s="122">
        <v>42370</v>
      </c>
      <c r="B290" s="123">
        <v>17074</v>
      </c>
      <c r="C290" s="123">
        <v>28420</v>
      </c>
      <c r="D290" s="123">
        <v>29897</v>
      </c>
      <c r="E290" s="123">
        <v>20960</v>
      </c>
      <c r="F290" s="123">
        <v>10594</v>
      </c>
      <c r="G290" s="123">
        <v>79952</v>
      </c>
      <c r="H290" s="123">
        <v>212421</v>
      </c>
      <c r="I290" s="123">
        <v>144204</v>
      </c>
      <c r="J290" s="123">
        <v>157726</v>
      </c>
      <c r="K290" s="123">
        <v>62116</v>
      </c>
      <c r="L290" s="123">
        <v>224156</v>
      </c>
      <c r="M290" s="123">
        <v>61637</v>
      </c>
    </row>
    <row r="291" spans="1:13">
      <c r="A291" s="122">
        <v>42401</v>
      </c>
      <c r="B291" s="123">
        <v>16624</v>
      </c>
      <c r="C291" s="123">
        <v>28096</v>
      </c>
      <c r="D291" s="123">
        <v>29329</v>
      </c>
      <c r="E291" s="123">
        <v>21271</v>
      </c>
      <c r="F291" s="123">
        <v>10191</v>
      </c>
      <c r="G291" s="123">
        <v>75891</v>
      </c>
      <c r="H291" s="123">
        <v>208470</v>
      </c>
      <c r="I291" s="123">
        <v>142619</v>
      </c>
      <c r="J291" s="123">
        <v>151625</v>
      </c>
      <c r="K291" s="123">
        <v>61521</v>
      </c>
      <c r="L291" s="123">
        <v>218510</v>
      </c>
      <c r="M291" s="123">
        <v>61150</v>
      </c>
    </row>
    <row r="292" spans="1:13">
      <c r="A292" s="122">
        <v>42430</v>
      </c>
      <c r="B292" s="123">
        <v>16547</v>
      </c>
      <c r="C292" s="123">
        <v>27216</v>
      </c>
      <c r="D292" s="123">
        <v>28993</v>
      </c>
      <c r="E292" s="123">
        <v>21033</v>
      </c>
      <c r="F292" s="123">
        <v>9848</v>
      </c>
      <c r="G292" s="123">
        <v>74816</v>
      </c>
      <c r="H292" s="123">
        <v>201996</v>
      </c>
      <c r="I292" s="123">
        <v>141372</v>
      </c>
      <c r="J292" s="123">
        <v>150655</v>
      </c>
      <c r="K292" s="123">
        <v>61133</v>
      </c>
      <c r="L292" s="123">
        <v>216188</v>
      </c>
      <c r="M292" s="123">
        <v>60583</v>
      </c>
    </row>
    <row r="293" spans="1:13">
      <c r="A293" s="122">
        <v>42461</v>
      </c>
      <c r="B293" s="123">
        <v>16598</v>
      </c>
      <c r="C293" s="123">
        <v>28237</v>
      </c>
      <c r="D293" s="123">
        <v>28552</v>
      </c>
      <c r="E293" s="123">
        <v>21755</v>
      </c>
      <c r="F293" s="123">
        <v>9956</v>
      </c>
      <c r="G293" s="123">
        <v>82538</v>
      </c>
      <c r="H293" s="123">
        <v>211258</v>
      </c>
      <c r="I293" s="123">
        <v>142360</v>
      </c>
      <c r="J293" s="123">
        <v>159038</v>
      </c>
      <c r="K293" s="123">
        <v>61671</v>
      </c>
      <c r="L293" s="123">
        <v>224898</v>
      </c>
      <c r="M293" s="123">
        <v>60924</v>
      </c>
    </row>
    <row r="294" spans="1:13">
      <c r="A294" s="122">
        <v>42491</v>
      </c>
      <c r="B294" s="123">
        <v>16633</v>
      </c>
      <c r="C294" s="123">
        <v>28019</v>
      </c>
      <c r="D294" s="123">
        <v>28204</v>
      </c>
      <c r="E294" s="123">
        <v>21603</v>
      </c>
      <c r="F294" s="123">
        <v>9939</v>
      </c>
      <c r="G294" s="123">
        <v>79293</v>
      </c>
      <c r="H294" s="123">
        <v>211188</v>
      </c>
      <c r="I294" s="123">
        <v>141615</v>
      </c>
      <c r="J294" s="123">
        <v>156740</v>
      </c>
      <c r="K294" s="123">
        <v>61126</v>
      </c>
      <c r="L294" s="123">
        <v>220908</v>
      </c>
      <c r="M294" s="123">
        <v>59566</v>
      </c>
    </row>
    <row r="295" spans="1:13">
      <c r="A295" s="122">
        <v>42522</v>
      </c>
      <c r="B295" s="123">
        <v>16422</v>
      </c>
      <c r="C295" s="123">
        <v>27681</v>
      </c>
      <c r="D295" s="123">
        <v>28317</v>
      </c>
      <c r="E295" s="123">
        <v>21509</v>
      </c>
      <c r="F295" s="123">
        <v>9874</v>
      </c>
      <c r="G295" s="123">
        <v>72247</v>
      </c>
      <c r="H295" s="123">
        <v>202807</v>
      </c>
      <c r="I295" s="123">
        <v>140743</v>
      </c>
      <c r="J295" s="123">
        <v>147954</v>
      </c>
      <c r="K295" s="123">
        <v>60609</v>
      </c>
      <c r="L295" s="123">
        <v>212990</v>
      </c>
      <c r="M295" s="123">
        <v>59608</v>
      </c>
    </row>
    <row r="296" spans="1:13">
      <c r="A296" s="122">
        <v>42552</v>
      </c>
      <c r="B296" s="123">
        <v>16721</v>
      </c>
      <c r="C296" s="123">
        <v>27783</v>
      </c>
      <c r="D296" s="123">
        <v>28850</v>
      </c>
      <c r="E296" s="123">
        <v>21512</v>
      </c>
      <c r="F296" s="123">
        <v>10246</v>
      </c>
      <c r="G296" s="123">
        <v>72207</v>
      </c>
      <c r="H296" s="123">
        <v>204914</v>
      </c>
      <c r="I296" s="123">
        <v>141693</v>
      </c>
      <c r="J296" s="123">
        <v>149687</v>
      </c>
      <c r="K296" s="123">
        <v>59441</v>
      </c>
      <c r="L296" s="123">
        <v>213900</v>
      </c>
      <c r="M296" s="123">
        <v>59809</v>
      </c>
    </row>
    <row r="297" spans="1:13">
      <c r="A297" s="122">
        <v>42583</v>
      </c>
      <c r="B297" s="123">
        <v>16645</v>
      </c>
      <c r="C297" s="123">
        <v>27556</v>
      </c>
      <c r="D297" s="123">
        <v>29501</v>
      </c>
      <c r="E297" s="123">
        <v>21391</v>
      </c>
      <c r="F297" s="123">
        <v>10041</v>
      </c>
      <c r="G297" s="123">
        <v>81266</v>
      </c>
      <c r="H297" s="123">
        <v>209179</v>
      </c>
      <c r="I297" s="123">
        <v>141908</v>
      </c>
      <c r="J297" s="123">
        <v>158627</v>
      </c>
      <c r="K297" s="123">
        <v>59905</v>
      </c>
      <c r="L297" s="123">
        <v>223174</v>
      </c>
      <c r="M297" s="123">
        <v>61691</v>
      </c>
    </row>
    <row r="298" spans="1:13">
      <c r="A298" s="122">
        <v>42614</v>
      </c>
      <c r="B298" s="123">
        <v>16761</v>
      </c>
      <c r="C298" s="123">
        <v>27298</v>
      </c>
      <c r="D298" s="123">
        <v>28886</v>
      </c>
      <c r="E298" s="123">
        <v>21205</v>
      </c>
      <c r="F298" s="123">
        <v>10123</v>
      </c>
      <c r="G298" s="123">
        <v>71691</v>
      </c>
      <c r="H298" s="123">
        <v>201229</v>
      </c>
      <c r="I298" s="123">
        <v>141062</v>
      </c>
      <c r="J298" s="123">
        <v>148303</v>
      </c>
      <c r="K298" s="123">
        <v>59991</v>
      </c>
      <c r="L298" s="123">
        <v>212753</v>
      </c>
      <c r="M298" s="123">
        <v>59308</v>
      </c>
    </row>
    <row r="299" spans="1:13">
      <c r="A299" s="122">
        <v>42644</v>
      </c>
      <c r="B299" s="123">
        <v>16742</v>
      </c>
      <c r="C299" s="123">
        <v>28303</v>
      </c>
      <c r="D299" s="123">
        <v>29010</v>
      </c>
      <c r="E299" s="123">
        <v>20922</v>
      </c>
      <c r="F299" s="123">
        <v>10150</v>
      </c>
      <c r="G299" s="123">
        <v>96379</v>
      </c>
      <c r="H299" s="123">
        <v>225358</v>
      </c>
      <c r="I299" s="123">
        <v>141987</v>
      </c>
      <c r="J299" s="123">
        <v>174438</v>
      </c>
      <c r="K299" s="123">
        <v>59411</v>
      </c>
      <c r="L299" s="123">
        <v>238366</v>
      </c>
      <c r="M299" s="123">
        <v>59351</v>
      </c>
    </row>
    <row r="300" spans="1:13">
      <c r="A300" s="122">
        <v>42675</v>
      </c>
      <c r="B300" s="123">
        <v>17295</v>
      </c>
      <c r="C300" s="123">
        <v>28256</v>
      </c>
      <c r="D300" s="123">
        <v>28794</v>
      </c>
      <c r="E300" s="123">
        <v>20849</v>
      </c>
      <c r="F300" s="123">
        <v>10265</v>
      </c>
      <c r="G300" s="123">
        <v>77423</v>
      </c>
      <c r="H300" s="123">
        <v>202565</v>
      </c>
      <c r="I300" s="123">
        <v>142386</v>
      </c>
      <c r="J300" s="123">
        <v>156039</v>
      </c>
      <c r="K300" s="123">
        <v>59487</v>
      </c>
      <c r="L300" s="123">
        <v>219809</v>
      </c>
      <c r="M300" s="123">
        <v>59244</v>
      </c>
    </row>
    <row r="301" spans="1:13">
      <c r="A301" s="122">
        <v>42705</v>
      </c>
      <c r="B301" s="123">
        <v>17358</v>
      </c>
      <c r="C301" s="123">
        <v>27416</v>
      </c>
      <c r="D301" s="123">
        <v>29063</v>
      </c>
      <c r="E301" s="123">
        <v>21377</v>
      </c>
      <c r="F301" s="123">
        <v>10576</v>
      </c>
      <c r="G301" s="123">
        <v>73781</v>
      </c>
      <c r="H301" s="123">
        <v>201103</v>
      </c>
      <c r="I301" s="123">
        <v>142620</v>
      </c>
      <c r="J301" s="123">
        <v>151674</v>
      </c>
      <c r="K301" s="123">
        <v>60013</v>
      </c>
      <c r="L301" s="123">
        <v>216401</v>
      </c>
      <c r="M301" s="123">
        <v>59539</v>
      </c>
    </row>
    <row r="302" spans="1:13">
      <c r="A302" s="122">
        <v>42736</v>
      </c>
      <c r="B302" s="123">
        <v>17767</v>
      </c>
      <c r="C302" s="123">
        <v>27949</v>
      </c>
      <c r="D302" s="123">
        <v>29553</v>
      </c>
      <c r="E302" s="123">
        <v>21416</v>
      </c>
      <c r="F302" s="123">
        <v>10576</v>
      </c>
      <c r="G302" s="123">
        <v>72701</v>
      </c>
      <c r="H302" s="123">
        <v>206243</v>
      </c>
      <c r="I302" s="123">
        <v>144995</v>
      </c>
      <c r="J302" s="123">
        <v>153023</v>
      </c>
      <c r="K302" s="123">
        <v>59778</v>
      </c>
      <c r="L302" s="123">
        <v>217696</v>
      </c>
      <c r="M302" s="123">
        <v>60419</v>
      </c>
    </row>
    <row r="303" spans="1:13">
      <c r="A303" s="122">
        <v>42767</v>
      </c>
      <c r="B303" s="123">
        <v>18278</v>
      </c>
      <c r="C303" s="123">
        <v>27387</v>
      </c>
      <c r="D303" s="123">
        <v>29430</v>
      </c>
      <c r="E303" s="123">
        <v>21789</v>
      </c>
      <c r="F303" s="123">
        <v>10535</v>
      </c>
      <c r="G303" s="123">
        <v>69658</v>
      </c>
      <c r="H303" s="123">
        <v>210003</v>
      </c>
      <c r="I303" s="123">
        <v>145319</v>
      </c>
      <c r="J303" s="123">
        <v>151001</v>
      </c>
      <c r="K303" s="123">
        <v>59987</v>
      </c>
      <c r="L303" s="123">
        <v>214977</v>
      </c>
      <c r="M303" s="123">
        <v>60740</v>
      </c>
    </row>
    <row r="304" spans="1:13">
      <c r="A304" s="122">
        <v>42795</v>
      </c>
      <c r="B304" s="123">
        <v>18435</v>
      </c>
      <c r="C304" s="123">
        <v>29026</v>
      </c>
      <c r="D304" s="123">
        <v>30188</v>
      </c>
      <c r="E304" s="123">
        <v>21068</v>
      </c>
      <c r="F304" s="123">
        <v>10579</v>
      </c>
      <c r="G304" s="123">
        <v>74893</v>
      </c>
      <c r="H304" s="123">
        <v>210478</v>
      </c>
      <c r="I304" s="123">
        <v>146922</v>
      </c>
      <c r="J304" s="123">
        <v>157865</v>
      </c>
      <c r="K304" s="123">
        <v>60681</v>
      </c>
      <c r="L304" s="123">
        <v>221815</v>
      </c>
      <c r="M304" s="123">
        <v>61013</v>
      </c>
    </row>
    <row r="305" spans="1:13">
      <c r="A305" s="122">
        <v>42826</v>
      </c>
      <c r="B305" s="123">
        <v>18356</v>
      </c>
      <c r="C305" s="123">
        <v>28187</v>
      </c>
      <c r="D305" s="123">
        <v>30432</v>
      </c>
      <c r="E305" s="123">
        <v>21249</v>
      </c>
      <c r="F305" s="123">
        <v>10411</v>
      </c>
      <c r="G305" s="123">
        <v>77002</v>
      </c>
      <c r="H305" s="123">
        <v>211179</v>
      </c>
      <c r="I305" s="123">
        <v>146163</v>
      </c>
      <c r="J305" s="123">
        <v>160341</v>
      </c>
      <c r="K305" s="123">
        <v>60445</v>
      </c>
      <c r="L305" s="123">
        <v>223165</v>
      </c>
      <c r="M305" s="123">
        <v>61308</v>
      </c>
    </row>
    <row r="306" spans="1:13">
      <c r="A306" s="122">
        <v>42856</v>
      </c>
      <c r="B306" s="123">
        <v>18545</v>
      </c>
      <c r="C306" s="123">
        <v>28757</v>
      </c>
      <c r="D306" s="123">
        <v>30820</v>
      </c>
      <c r="E306" s="123">
        <v>21310</v>
      </c>
      <c r="F306" s="123">
        <v>10517</v>
      </c>
      <c r="G306" s="123">
        <v>73305</v>
      </c>
      <c r="H306" s="123">
        <v>209836</v>
      </c>
      <c r="I306" s="123">
        <v>147528</v>
      </c>
      <c r="J306" s="123">
        <v>156192</v>
      </c>
      <c r="K306" s="123">
        <v>61109</v>
      </c>
      <c r="L306" s="123">
        <v>220833</v>
      </c>
      <c r="M306" s="123">
        <v>61404</v>
      </c>
    </row>
    <row r="307" spans="1:13">
      <c r="A307" s="122">
        <v>42887</v>
      </c>
      <c r="B307" s="123">
        <v>18514</v>
      </c>
      <c r="C307" s="123">
        <v>28505</v>
      </c>
      <c r="D307" s="123">
        <v>30453</v>
      </c>
      <c r="E307" s="123">
        <v>21044</v>
      </c>
      <c r="F307" s="123">
        <v>10059</v>
      </c>
      <c r="G307" s="123">
        <v>92849</v>
      </c>
      <c r="H307" s="123">
        <v>226112</v>
      </c>
      <c r="I307" s="123">
        <v>146109</v>
      </c>
      <c r="J307" s="123">
        <v>174911</v>
      </c>
      <c r="K307" s="123">
        <v>60720</v>
      </c>
      <c r="L307" s="123">
        <v>238958</v>
      </c>
      <c r="M307" s="123">
        <v>60378</v>
      </c>
    </row>
    <row r="308" spans="1:13">
      <c r="A308" s="122">
        <v>42917</v>
      </c>
      <c r="B308" s="123">
        <v>18695</v>
      </c>
      <c r="C308" s="123">
        <v>28879</v>
      </c>
      <c r="D308" s="123">
        <v>30687</v>
      </c>
      <c r="E308" s="123">
        <v>21851</v>
      </c>
      <c r="F308" s="123">
        <v>10022</v>
      </c>
      <c r="G308" s="123">
        <v>73546</v>
      </c>
      <c r="H308" s="123">
        <v>208934</v>
      </c>
      <c r="I308" s="123">
        <v>147906</v>
      </c>
      <c r="J308" s="123">
        <v>158851</v>
      </c>
      <c r="K308" s="123">
        <v>60854</v>
      </c>
      <c r="L308" s="123">
        <v>221452</v>
      </c>
      <c r="M308" s="123">
        <v>61535</v>
      </c>
    </row>
    <row r="309" spans="1:13">
      <c r="A309" s="122">
        <v>42948</v>
      </c>
      <c r="B309" s="123">
        <v>19360</v>
      </c>
      <c r="C309" s="123">
        <v>29078</v>
      </c>
      <c r="D309" s="123">
        <v>30481</v>
      </c>
      <c r="E309" s="123">
        <v>21724</v>
      </c>
      <c r="F309" s="123">
        <v>10263</v>
      </c>
      <c r="G309" s="123">
        <v>74107</v>
      </c>
      <c r="H309" s="123">
        <v>211561</v>
      </c>
      <c r="I309" s="123">
        <v>148674</v>
      </c>
      <c r="J309" s="123">
        <v>158587</v>
      </c>
      <c r="K309" s="123">
        <v>61707</v>
      </c>
      <c r="L309" s="123">
        <v>222781</v>
      </c>
      <c r="M309" s="123">
        <v>61552</v>
      </c>
    </row>
    <row r="310" spans="1:13">
      <c r="A310" s="122">
        <v>42979</v>
      </c>
      <c r="B310" s="123">
        <v>18811</v>
      </c>
      <c r="C310" s="123">
        <v>29780</v>
      </c>
      <c r="D310" s="123">
        <v>30880</v>
      </c>
      <c r="E310" s="123">
        <v>22353</v>
      </c>
      <c r="F310" s="123">
        <v>10613</v>
      </c>
      <c r="G310" s="123">
        <v>82953</v>
      </c>
      <c r="H310" s="123">
        <v>214530</v>
      </c>
      <c r="I310" s="123">
        <v>150573</v>
      </c>
      <c r="J310" s="123">
        <v>169627</v>
      </c>
      <c r="K310" s="123">
        <v>62405</v>
      </c>
      <c r="L310" s="123">
        <v>233526</v>
      </c>
      <c r="M310" s="123">
        <v>64088</v>
      </c>
    </row>
    <row r="311" spans="1:13">
      <c r="A311" s="122">
        <v>43009</v>
      </c>
      <c r="B311" s="123">
        <v>19652</v>
      </c>
      <c r="C311" s="123">
        <v>29571</v>
      </c>
      <c r="D311" s="123">
        <v>32079</v>
      </c>
      <c r="E311" s="123">
        <v>22167</v>
      </c>
      <c r="F311" s="123">
        <v>10665</v>
      </c>
      <c r="G311" s="123">
        <v>76892</v>
      </c>
      <c r="H311" s="123">
        <v>218187</v>
      </c>
      <c r="I311" s="123">
        <v>152791</v>
      </c>
      <c r="J311" s="123">
        <v>164246</v>
      </c>
      <c r="K311" s="123">
        <v>62741</v>
      </c>
      <c r="L311" s="123">
        <v>229683</v>
      </c>
      <c r="M311" s="123">
        <v>63703</v>
      </c>
    </row>
    <row r="312" spans="1:13">
      <c r="A312" s="122">
        <v>43040</v>
      </c>
      <c r="B312" s="123">
        <v>19619</v>
      </c>
      <c r="C312" s="123">
        <v>30077</v>
      </c>
      <c r="D312" s="123">
        <v>30927</v>
      </c>
      <c r="E312" s="123">
        <v>22833</v>
      </c>
      <c r="F312" s="123">
        <v>10645</v>
      </c>
      <c r="G312" s="123">
        <v>83472</v>
      </c>
      <c r="H312" s="123">
        <v>223365</v>
      </c>
      <c r="I312" s="123">
        <v>153425</v>
      </c>
      <c r="J312" s="123">
        <v>170535</v>
      </c>
      <c r="K312" s="123">
        <v>63498</v>
      </c>
      <c r="L312" s="123">
        <v>236897</v>
      </c>
      <c r="M312" s="123">
        <v>63645</v>
      </c>
    </row>
    <row r="313" spans="1:13">
      <c r="A313" s="122">
        <v>43070</v>
      </c>
      <c r="B313" s="123">
        <v>19651</v>
      </c>
      <c r="C313" s="123">
        <v>30366</v>
      </c>
      <c r="D313" s="123">
        <v>31987</v>
      </c>
      <c r="E313" s="123">
        <v>21855</v>
      </c>
      <c r="F313" s="123">
        <v>10748</v>
      </c>
      <c r="G313" s="123">
        <v>80684</v>
      </c>
      <c r="H313" s="123">
        <v>226348</v>
      </c>
      <c r="I313" s="123">
        <v>154358</v>
      </c>
      <c r="J313" s="123">
        <v>169117</v>
      </c>
      <c r="K313" s="123">
        <v>63977</v>
      </c>
      <c r="L313" s="123">
        <v>235042</v>
      </c>
      <c r="M313" s="123">
        <v>63795</v>
      </c>
    </row>
    <row r="314" spans="1:13">
      <c r="A314" s="122">
        <v>43101</v>
      </c>
      <c r="B314" s="123">
        <v>20045</v>
      </c>
      <c r="C314" s="123">
        <v>30658</v>
      </c>
      <c r="D314" s="123">
        <v>31674</v>
      </c>
      <c r="E314" s="123">
        <v>21694</v>
      </c>
      <c r="F314" s="123">
        <v>10502</v>
      </c>
      <c r="G314" s="123">
        <v>71387</v>
      </c>
      <c r="H314" s="123">
        <v>215201</v>
      </c>
      <c r="I314" s="123">
        <v>153988</v>
      </c>
      <c r="J314" s="123">
        <v>158706</v>
      </c>
      <c r="K314" s="123">
        <v>63556</v>
      </c>
      <c r="L314" s="123">
        <v>225375</v>
      </c>
      <c r="M314" s="123">
        <v>63324</v>
      </c>
    </row>
    <row r="315" spans="1:13">
      <c r="A315" s="122">
        <v>43132</v>
      </c>
      <c r="B315" s="123">
        <v>20835</v>
      </c>
      <c r="C315" s="123">
        <v>30968</v>
      </c>
      <c r="D315" s="123">
        <v>32460</v>
      </c>
      <c r="E315" s="123">
        <v>21341</v>
      </c>
      <c r="F315" s="123">
        <v>10779</v>
      </c>
      <c r="G315" s="123">
        <v>74250</v>
      </c>
      <c r="H315" s="123">
        <v>216508</v>
      </c>
      <c r="I315" s="123">
        <v>156117</v>
      </c>
      <c r="J315" s="123">
        <v>163066</v>
      </c>
      <c r="K315" s="123">
        <v>64012</v>
      </c>
      <c r="L315" s="123">
        <v>230367</v>
      </c>
      <c r="M315" s="123">
        <v>64087</v>
      </c>
    </row>
    <row r="316" spans="1:13">
      <c r="A316" s="122">
        <v>43160</v>
      </c>
      <c r="B316" s="123">
        <v>21181</v>
      </c>
      <c r="C316" s="123">
        <v>31923</v>
      </c>
      <c r="D316" s="123">
        <v>31836</v>
      </c>
      <c r="E316" s="123">
        <v>21408</v>
      </c>
      <c r="F316" s="123">
        <v>10876</v>
      </c>
      <c r="G316" s="123">
        <v>82192</v>
      </c>
      <c r="H316" s="123">
        <v>228341</v>
      </c>
      <c r="I316" s="123">
        <v>156933</v>
      </c>
      <c r="J316" s="123">
        <v>171976</v>
      </c>
      <c r="K316" s="123">
        <v>63867</v>
      </c>
      <c r="L316" s="123">
        <v>239125</v>
      </c>
      <c r="M316" s="123">
        <v>63553</v>
      </c>
    </row>
    <row r="317" spans="1:13">
      <c r="A317" s="122">
        <v>43191</v>
      </c>
      <c r="B317" s="123">
        <v>21959</v>
      </c>
      <c r="C317" s="123">
        <v>32221</v>
      </c>
      <c r="D317" s="123">
        <v>32280</v>
      </c>
      <c r="E317" s="123">
        <v>21856</v>
      </c>
      <c r="F317" s="123">
        <v>11022</v>
      </c>
      <c r="G317" s="123">
        <v>80453</v>
      </c>
      <c r="H317" s="123">
        <v>228749</v>
      </c>
      <c r="I317" s="123">
        <v>159378</v>
      </c>
      <c r="J317" s="123">
        <v>170999</v>
      </c>
      <c r="K317" s="123">
        <v>65011</v>
      </c>
      <c r="L317" s="123">
        <v>239831</v>
      </c>
      <c r="M317" s="123">
        <v>64909</v>
      </c>
    </row>
    <row r="318" spans="1:13">
      <c r="A318" s="122">
        <v>43221</v>
      </c>
      <c r="B318" s="123">
        <v>21989</v>
      </c>
      <c r="C318" s="123">
        <v>32337</v>
      </c>
      <c r="D318" s="123">
        <v>33533</v>
      </c>
      <c r="E318" s="123">
        <v>22150</v>
      </c>
      <c r="F318" s="123">
        <v>11016</v>
      </c>
      <c r="G318" s="123">
        <v>79915</v>
      </c>
      <c r="H318" s="123">
        <v>226554</v>
      </c>
      <c r="I318" s="123">
        <v>161173</v>
      </c>
      <c r="J318" s="123">
        <v>175471</v>
      </c>
      <c r="K318" s="123">
        <v>65092</v>
      </c>
      <c r="L318" s="123">
        <v>241088</v>
      </c>
      <c r="M318" s="123">
        <v>66231</v>
      </c>
    </row>
    <row r="319" spans="1:13">
      <c r="A319" s="122">
        <v>43252</v>
      </c>
      <c r="B319" s="123">
        <v>21982</v>
      </c>
      <c r="C319" s="123">
        <v>32344</v>
      </c>
      <c r="D319" s="123">
        <v>33808</v>
      </c>
      <c r="E319" s="123">
        <v>22335</v>
      </c>
      <c r="F319" s="123">
        <v>11168</v>
      </c>
      <c r="G319" s="123">
        <v>79556</v>
      </c>
      <c r="H319" s="123">
        <v>226427</v>
      </c>
      <c r="I319" s="123">
        <v>161822</v>
      </c>
      <c r="J319" s="123">
        <v>173527</v>
      </c>
      <c r="K319" s="123">
        <v>65980</v>
      </c>
      <c r="L319" s="123">
        <v>241378</v>
      </c>
      <c r="M319" s="123">
        <v>67247</v>
      </c>
    </row>
    <row r="320" spans="1:13">
      <c r="A320" s="122">
        <v>43282</v>
      </c>
      <c r="B320" s="123">
        <v>22084</v>
      </c>
      <c r="C320" s="123">
        <v>32251</v>
      </c>
      <c r="D320" s="123">
        <v>34160</v>
      </c>
      <c r="E320" s="123">
        <v>22478</v>
      </c>
      <c r="F320" s="123">
        <v>11106</v>
      </c>
      <c r="G320" s="123">
        <v>71618</v>
      </c>
      <c r="H320" s="123">
        <v>222741</v>
      </c>
      <c r="I320" s="123">
        <v>162169</v>
      </c>
      <c r="J320" s="123">
        <v>164780</v>
      </c>
      <c r="K320" s="123">
        <v>66517</v>
      </c>
      <c r="L320" s="123">
        <v>233787</v>
      </c>
      <c r="M320" s="123">
        <v>68749</v>
      </c>
    </row>
    <row r="321" spans="1:13">
      <c r="A321" s="122">
        <v>43313</v>
      </c>
      <c r="B321" s="123">
        <v>21863</v>
      </c>
      <c r="C321" s="123">
        <v>31965</v>
      </c>
      <c r="D321" s="123">
        <v>33335</v>
      </c>
      <c r="E321" s="123">
        <v>22193</v>
      </c>
      <c r="F321" s="123">
        <v>11169</v>
      </c>
      <c r="G321" s="123">
        <v>87873</v>
      </c>
      <c r="H321" s="123">
        <v>230514</v>
      </c>
      <c r="I321" s="123">
        <v>160301</v>
      </c>
      <c r="J321" s="123">
        <v>179888</v>
      </c>
      <c r="K321" s="123">
        <v>66126</v>
      </c>
      <c r="L321" s="123">
        <v>248174</v>
      </c>
      <c r="M321" s="123">
        <v>66798</v>
      </c>
    </row>
    <row r="322" spans="1:13">
      <c r="A322" s="122">
        <v>43344</v>
      </c>
      <c r="B322" s="123">
        <v>21740</v>
      </c>
      <c r="C322" s="123">
        <v>31305</v>
      </c>
      <c r="D322" s="123">
        <v>33662</v>
      </c>
      <c r="E322" s="123">
        <v>21724</v>
      </c>
      <c r="F322" s="123">
        <v>11103</v>
      </c>
      <c r="G322" s="123">
        <v>85583</v>
      </c>
      <c r="H322" s="123">
        <v>225632</v>
      </c>
      <c r="I322" s="123">
        <v>159376</v>
      </c>
      <c r="J322" s="123">
        <v>176616</v>
      </c>
      <c r="K322" s="123">
        <v>65978</v>
      </c>
      <c r="L322" s="123">
        <v>244959</v>
      </c>
      <c r="M322" s="123">
        <v>66399</v>
      </c>
    </row>
    <row r="323" spans="1:13">
      <c r="A323" s="122">
        <v>43374</v>
      </c>
      <c r="B323" s="123">
        <v>21833</v>
      </c>
      <c r="C323" s="123">
        <v>31559</v>
      </c>
      <c r="D323" s="123">
        <v>34214</v>
      </c>
      <c r="E323" s="123">
        <v>22537</v>
      </c>
      <c r="F323" s="123">
        <v>11308</v>
      </c>
      <c r="G323" s="123">
        <v>78497</v>
      </c>
      <c r="H323" s="123">
        <v>224668</v>
      </c>
      <c r="I323" s="123">
        <v>160988</v>
      </c>
      <c r="J323" s="123">
        <v>170058</v>
      </c>
      <c r="K323" s="123">
        <v>66450</v>
      </c>
      <c r="L323" s="123">
        <v>239485</v>
      </c>
      <c r="M323" s="123">
        <v>67104</v>
      </c>
    </row>
    <row r="324" spans="1:13">
      <c r="A324" s="122">
        <v>43405</v>
      </c>
      <c r="B324" s="123">
        <v>21438</v>
      </c>
      <c r="C324" s="123">
        <v>31962</v>
      </c>
      <c r="D324" s="123">
        <v>31364</v>
      </c>
      <c r="E324" s="123">
        <v>22597</v>
      </c>
      <c r="F324" s="123">
        <v>10903</v>
      </c>
      <c r="G324" s="123">
        <v>72091</v>
      </c>
      <c r="H324" s="123">
        <v>214673</v>
      </c>
      <c r="I324" s="123">
        <v>157324</v>
      </c>
      <c r="J324" s="123">
        <v>160838</v>
      </c>
      <c r="K324" s="123">
        <v>65739</v>
      </c>
      <c r="L324" s="123">
        <v>229415</v>
      </c>
      <c r="M324" s="123">
        <v>64292</v>
      </c>
    </row>
    <row r="325" spans="1:13">
      <c r="A325" s="122">
        <v>43435</v>
      </c>
      <c r="B325" s="123">
        <v>21299</v>
      </c>
      <c r="C325" s="123">
        <v>31929</v>
      </c>
      <c r="D325" s="123">
        <v>32331</v>
      </c>
      <c r="E325" s="123">
        <v>22470</v>
      </c>
      <c r="F325" s="123">
        <v>10884</v>
      </c>
      <c r="G325" s="123">
        <v>84231</v>
      </c>
      <c r="H325" s="123">
        <v>230978</v>
      </c>
      <c r="I325" s="123">
        <v>158140</v>
      </c>
      <c r="J325" s="123">
        <v>172950</v>
      </c>
      <c r="K325" s="123">
        <v>66066</v>
      </c>
      <c r="L325" s="123">
        <v>242371</v>
      </c>
      <c r="M325" s="123">
        <v>64894</v>
      </c>
    </row>
    <row r="326" spans="1:13">
      <c r="A326" s="122">
        <v>43466</v>
      </c>
      <c r="B326" s="123">
        <v>20097</v>
      </c>
      <c r="C326" s="123">
        <v>31899</v>
      </c>
      <c r="D326" s="123">
        <v>33372</v>
      </c>
      <c r="E326" s="123">
        <v>22092</v>
      </c>
      <c r="F326" s="123">
        <v>10918</v>
      </c>
      <c r="G326" s="123">
        <v>94833</v>
      </c>
      <c r="H326" s="123">
        <v>239654</v>
      </c>
      <c r="I326" s="123">
        <v>157472</v>
      </c>
      <c r="J326" s="123">
        <v>183707</v>
      </c>
      <c r="K326" s="123">
        <v>65825</v>
      </c>
      <c r="L326" s="123">
        <v>252305</v>
      </c>
      <c r="M326" s="123">
        <v>65841</v>
      </c>
    </row>
    <row r="327" spans="1:13">
      <c r="A327" s="122">
        <v>43497</v>
      </c>
      <c r="B327" s="123">
        <v>20659</v>
      </c>
      <c r="C327" s="123">
        <v>31883</v>
      </c>
      <c r="D327" s="123">
        <v>32674</v>
      </c>
      <c r="E327" s="123">
        <v>21831</v>
      </c>
      <c r="F327" s="123">
        <v>10899</v>
      </c>
      <c r="G327" s="123">
        <v>86261</v>
      </c>
      <c r="H327" s="123">
        <v>230943</v>
      </c>
      <c r="I327" s="123">
        <v>156980</v>
      </c>
      <c r="J327" s="123">
        <v>174574</v>
      </c>
      <c r="K327" s="123">
        <v>65952</v>
      </c>
      <c r="L327" s="123">
        <v>243241</v>
      </c>
      <c r="M327" s="123">
        <v>65221</v>
      </c>
    </row>
    <row r="328" spans="1:13">
      <c r="A328" s="122">
        <v>43525</v>
      </c>
      <c r="B328" s="123">
        <v>20480</v>
      </c>
      <c r="C328" s="123">
        <v>31435</v>
      </c>
      <c r="D328" s="123">
        <v>32516</v>
      </c>
      <c r="E328" s="123">
        <v>22183</v>
      </c>
      <c r="F328" s="123">
        <v>11181</v>
      </c>
      <c r="G328" s="123">
        <v>99157</v>
      </c>
      <c r="H328" s="123">
        <v>239381</v>
      </c>
      <c r="I328" s="123">
        <v>156767</v>
      </c>
      <c r="J328" s="123">
        <v>186986</v>
      </c>
      <c r="K328" s="123">
        <v>65892</v>
      </c>
      <c r="L328" s="123">
        <v>255924</v>
      </c>
      <c r="M328" s="123">
        <v>66457</v>
      </c>
    </row>
    <row r="329" spans="1:13">
      <c r="A329" s="122">
        <v>43556</v>
      </c>
      <c r="B329" s="123">
        <v>20466</v>
      </c>
      <c r="C329" s="123">
        <v>32121</v>
      </c>
      <c r="D329" s="123">
        <v>32665</v>
      </c>
      <c r="E329" s="123">
        <v>22571</v>
      </c>
      <c r="F329" s="123">
        <v>11283</v>
      </c>
      <c r="G329" s="123">
        <v>94823</v>
      </c>
      <c r="H329" s="123">
        <v>237159</v>
      </c>
      <c r="I329" s="123">
        <v>157850</v>
      </c>
      <c r="J329" s="123">
        <v>186141</v>
      </c>
      <c r="K329" s="123">
        <v>66315</v>
      </c>
      <c r="L329" s="123">
        <v>252673</v>
      </c>
      <c r="M329" s="123">
        <v>65737</v>
      </c>
    </row>
    <row r="330" spans="1:13">
      <c r="A330" s="122">
        <v>43586</v>
      </c>
      <c r="B330" s="123">
        <v>20044</v>
      </c>
      <c r="C330" s="123">
        <v>32035</v>
      </c>
      <c r="D330" s="123">
        <v>32752</v>
      </c>
      <c r="E330" s="123">
        <v>22247</v>
      </c>
      <c r="F330" s="123">
        <v>11236</v>
      </c>
      <c r="G330" s="123">
        <v>82353</v>
      </c>
      <c r="H330" s="123">
        <v>225087</v>
      </c>
      <c r="I330" s="123">
        <v>157491</v>
      </c>
      <c r="J330" s="123">
        <v>172609</v>
      </c>
      <c r="K330" s="123">
        <v>66597</v>
      </c>
      <c r="L330" s="123">
        <v>239844</v>
      </c>
      <c r="M330" s="123">
        <v>65271</v>
      </c>
    </row>
    <row r="331" spans="1:13">
      <c r="A331" s="122">
        <v>43617</v>
      </c>
      <c r="B331" s="123">
        <v>20419</v>
      </c>
      <c r="C331" s="123">
        <v>32315</v>
      </c>
      <c r="D331" s="123">
        <v>33198</v>
      </c>
      <c r="E331" s="123">
        <v>22159</v>
      </c>
      <c r="F331" s="123">
        <v>11494</v>
      </c>
      <c r="G331" s="123">
        <v>85886</v>
      </c>
      <c r="H331" s="123">
        <v>236096</v>
      </c>
      <c r="I331" s="123">
        <v>158841</v>
      </c>
      <c r="J331" s="123">
        <v>176033</v>
      </c>
      <c r="K331" s="123">
        <v>66297</v>
      </c>
      <c r="L331" s="123">
        <v>244727</v>
      </c>
      <c r="M331" s="123">
        <v>66139</v>
      </c>
    </row>
    <row r="332" spans="1:13">
      <c r="A332" s="122">
        <v>43647</v>
      </c>
      <c r="B332" s="123">
        <v>19853</v>
      </c>
      <c r="C332" s="123">
        <v>32216</v>
      </c>
      <c r="D332" s="123">
        <v>32224</v>
      </c>
      <c r="E332" s="123">
        <v>22156</v>
      </c>
      <c r="F332" s="123">
        <v>11456</v>
      </c>
      <c r="G332" s="123">
        <v>92805</v>
      </c>
      <c r="H332" s="123">
        <v>236007</v>
      </c>
      <c r="I332" s="123">
        <v>156943</v>
      </c>
      <c r="J332" s="123">
        <v>181883</v>
      </c>
      <c r="K332" s="123">
        <v>65881</v>
      </c>
      <c r="L332" s="123">
        <v>249748</v>
      </c>
      <c r="M332" s="123">
        <v>65823</v>
      </c>
    </row>
    <row r="333" spans="1:13">
      <c r="A333" s="122">
        <v>43678</v>
      </c>
      <c r="B333" s="123">
        <v>19709</v>
      </c>
      <c r="C333" s="123">
        <v>32362</v>
      </c>
      <c r="D333" s="123">
        <v>32623</v>
      </c>
      <c r="E333" s="123">
        <v>22152</v>
      </c>
      <c r="F333" s="123">
        <v>11232</v>
      </c>
      <c r="G333" s="123">
        <v>88540</v>
      </c>
      <c r="H333" s="123">
        <v>230663</v>
      </c>
      <c r="I333" s="123">
        <v>157074</v>
      </c>
      <c r="J333" s="123">
        <v>178316</v>
      </c>
      <c r="K333" s="123">
        <v>65847</v>
      </c>
      <c r="L333" s="123">
        <v>245614</v>
      </c>
      <c r="M333" s="123">
        <v>65593</v>
      </c>
    </row>
    <row r="334" spans="1:13">
      <c r="A334" s="122">
        <v>43709</v>
      </c>
      <c r="B334" s="123">
        <v>19471</v>
      </c>
      <c r="C334" s="123">
        <v>31504</v>
      </c>
      <c r="D334" s="123">
        <v>32814</v>
      </c>
      <c r="E334" s="123">
        <v>22039</v>
      </c>
      <c r="F334" s="123">
        <v>11294</v>
      </c>
      <c r="G334" s="123">
        <v>89205</v>
      </c>
      <c r="H334" s="123">
        <v>228583</v>
      </c>
      <c r="I334" s="123">
        <v>156112</v>
      </c>
      <c r="J334" s="123">
        <v>178552</v>
      </c>
      <c r="K334" s="123">
        <v>65250</v>
      </c>
      <c r="L334" s="123">
        <v>245317</v>
      </c>
      <c r="M334" s="123">
        <v>65187</v>
      </c>
    </row>
    <row r="335" spans="1:13">
      <c r="A335" s="122">
        <v>43739</v>
      </c>
      <c r="B335" s="123">
        <v>19236</v>
      </c>
      <c r="C335" s="123">
        <v>31678</v>
      </c>
      <c r="D335" s="123">
        <v>32987</v>
      </c>
      <c r="E335" s="123">
        <v>21855</v>
      </c>
      <c r="F335" s="123">
        <v>11193</v>
      </c>
      <c r="G335" s="123">
        <v>94655</v>
      </c>
      <c r="H335" s="123">
        <v>231646</v>
      </c>
      <c r="I335" s="123">
        <v>156018</v>
      </c>
      <c r="J335" s="123">
        <v>184702</v>
      </c>
      <c r="K335" s="123">
        <v>65403</v>
      </c>
      <c r="L335" s="123">
        <v>250673</v>
      </c>
      <c r="M335" s="123">
        <v>65642</v>
      </c>
    </row>
    <row r="336" spans="1:13">
      <c r="A336" s="122">
        <v>43770</v>
      </c>
      <c r="B336" s="123">
        <v>19840</v>
      </c>
      <c r="C336" s="123">
        <v>31947</v>
      </c>
      <c r="D336" s="123">
        <v>32206</v>
      </c>
      <c r="E336" s="123">
        <v>22041</v>
      </c>
      <c r="F336" s="123">
        <v>11253</v>
      </c>
      <c r="G336" s="123">
        <v>77906</v>
      </c>
      <c r="H336" s="123">
        <v>223422</v>
      </c>
      <c r="I336" s="123">
        <v>156261</v>
      </c>
      <c r="J336" s="123">
        <v>168277</v>
      </c>
      <c r="K336" s="123">
        <v>65034</v>
      </c>
      <c r="L336" s="123">
        <v>234167</v>
      </c>
      <c r="M336" s="123">
        <v>65189</v>
      </c>
    </row>
    <row r="337" spans="1:13">
      <c r="A337" s="122">
        <v>43800</v>
      </c>
      <c r="B337" s="123">
        <v>19237</v>
      </c>
      <c r="C337" s="123">
        <v>31332</v>
      </c>
      <c r="D337" s="123">
        <v>31602</v>
      </c>
      <c r="E337" s="123">
        <v>21965</v>
      </c>
      <c r="F337" s="123">
        <v>11197</v>
      </c>
      <c r="G337" s="123">
        <v>85927</v>
      </c>
      <c r="H337" s="123">
        <v>220138</v>
      </c>
      <c r="I337" s="123">
        <v>154416</v>
      </c>
      <c r="J337" s="123">
        <v>175060</v>
      </c>
      <c r="K337" s="123">
        <v>65223</v>
      </c>
      <c r="L337" s="123">
        <v>240343</v>
      </c>
      <c r="M337" s="123">
        <v>65045</v>
      </c>
    </row>
    <row r="338" spans="1:13">
      <c r="A338" s="122">
        <v>43831</v>
      </c>
      <c r="B338" s="123">
        <v>19217</v>
      </c>
      <c r="C338" s="123">
        <v>30820</v>
      </c>
      <c r="D338" s="123">
        <v>32031</v>
      </c>
      <c r="E338" s="123">
        <v>22629</v>
      </c>
      <c r="F338" s="123">
        <v>11017</v>
      </c>
      <c r="G338" s="123">
        <v>73989</v>
      </c>
      <c r="H338" s="123">
        <v>216266</v>
      </c>
      <c r="I338" s="123">
        <v>154889</v>
      </c>
      <c r="J338" s="123">
        <v>164144</v>
      </c>
      <c r="K338" s="123">
        <v>65297</v>
      </c>
      <c r="L338" s="123">
        <v>228878</v>
      </c>
      <c r="M338" s="123">
        <v>65765</v>
      </c>
    </row>
    <row r="339" spans="1:13">
      <c r="A339" s="122">
        <v>43862</v>
      </c>
      <c r="B339" s="123">
        <v>19169</v>
      </c>
      <c r="C339" s="123">
        <v>30551</v>
      </c>
      <c r="D339" s="123">
        <v>31308</v>
      </c>
      <c r="E339" s="123">
        <v>22704</v>
      </c>
      <c r="F339" s="123">
        <v>11236</v>
      </c>
      <c r="G339" s="123">
        <v>76895</v>
      </c>
      <c r="H339" s="123">
        <v>214429</v>
      </c>
      <c r="I339" s="123">
        <v>154006</v>
      </c>
      <c r="J339" s="123">
        <v>164739</v>
      </c>
      <c r="K339" s="123">
        <v>64967</v>
      </c>
      <c r="L339" s="123">
        <v>230901</v>
      </c>
      <c r="M339" s="123">
        <v>64885</v>
      </c>
    </row>
    <row r="340" spans="1:13">
      <c r="A340" s="122">
        <v>43891</v>
      </c>
      <c r="B340" s="123">
        <v>17935</v>
      </c>
      <c r="C340" s="123">
        <v>28792</v>
      </c>
      <c r="D340" s="123">
        <v>31101</v>
      </c>
      <c r="E340" s="123">
        <v>22617</v>
      </c>
      <c r="F340" s="123">
        <v>11446</v>
      </c>
      <c r="G340" s="123">
        <v>32465</v>
      </c>
      <c r="H340" s="123">
        <v>166862</v>
      </c>
      <c r="I340" s="123">
        <v>150552</v>
      </c>
      <c r="J340" s="123">
        <v>125115</v>
      </c>
      <c r="K340" s="123">
        <v>64064</v>
      </c>
      <c r="L340" s="123">
        <v>183017</v>
      </c>
      <c r="M340" s="123">
        <v>64103</v>
      </c>
    </row>
    <row r="341" spans="1:13">
      <c r="A341" s="122">
        <v>43922</v>
      </c>
      <c r="B341" s="123">
        <v>15615</v>
      </c>
      <c r="C341" s="123">
        <v>24962</v>
      </c>
      <c r="D341" s="123">
        <v>28238</v>
      </c>
      <c r="E341" s="123">
        <v>22605</v>
      </c>
      <c r="F341" s="123">
        <v>10129</v>
      </c>
      <c r="G341" s="123">
        <v>23950</v>
      </c>
      <c r="H341" s="123">
        <v>149372</v>
      </c>
      <c r="I341" s="123">
        <v>137883</v>
      </c>
      <c r="J341" s="123">
        <v>121997</v>
      </c>
      <c r="K341" s="123">
        <v>59402</v>
      </c>
      <c r="L341" s="123">
        <v>161833</v>
      </c>
      <c r="M341" s="123">
        <v>59872</v>
      </c>
    </row>
    <row r="342" spans="1:13">
      <c r="A342" s="122">
        <v>43952</v>
      </c>
      <c r="B342" s="123">
        <v>16103</v>
      </c>
      <c r="C342" s="123">
        <v>26975</v>
      </c>
      <c r="D342" s="123">
        <v>29246</v>
      </c>
      <c r="E342" s="123">
        <v>22699</v>
      </c>
      <c r="F342" s="123">
        <v>10288</v>
      </c>
      <c r="G342" s="123">
        <v>35952</v>
      </c>
      <c r="H342" s="123">
        <v>166186</v>
      </c>
      <c r="I342" s="123">
        <v>143011</v>
      </c>
      <c r="J342" s="123">
        <v>134339</v>
      </c>
      <c r="K342" s="123">
        <v>60874</v>
      </c>
      <c r="L342" s="123">
        <v>178963</v>
      </c>
      <c r="M342" s="123">
        <v>61297</v>
      </c>
    </row>
    <row r="343" spans="1:13">
      <c r="A343" s="122">
        <v>43983</v>
      </c>
      <c r="B343" s="123">
        <v>17719</v>
      </c>
      <c r="C343" s="123">
        <v>29075</v>
      </c>
      <c r="D343" s="123">
        <v>30519</v>
      </c>
      <c r="E343" s="123">
        <v>22999</v>
      </c>
      <c r="F343" s="123">
        <v>10435</v>
      </c>
      <c r="G343" s="123">
        <v>48591</v>
      </c>
      <c r="H343" s="123">
        <v>187472</v>
      </c>
      <c r="I343" s="123">
        <v>150635</v>
      </c>
      <c r="J343" s="123">
        <v>135912</v>
      </c>
      <c r="K343" s="123">
        <v>63672</v>
      </c>
      <c r="L343" s="123">
        <v>199226</v>
      </c>
      <c r="M343" s="123">
        <v>64300</v>
      </c>
    </row>
    <row r="344" spans="1:13">
      <c r="A344" s="122">
        <v>44013</v>
      </c>
      <c r="B344" s="123">
        <v>18203</v>
      </c>
      <c r="C344" s="123">
        <v>30303</v>
      </c>
      <c r="D344" s="123">
        <v>31520</v>
      </c>
      <c r="E344" s="123">
        <v>23302</v>
      </c>
      <c r="F344" s="123">
        <v>11154</v>
      </c>
      <c r="G344" s="123">
        <v>62848</v>
      </c>
      <c r="H344" s="123">
        <v>205339</v>
      </c>
      <c r="I344" s="123">
        <v>155900</v>
      </c>
      <c r="J344" s="123">
        <v>146079</v>
      </c>
      <c r="K344" s="123">
        <v>65681</v>
      </c>
      <c r="L344" s="123">
        <v>218748</v>
      </c>
      <c r="M344" s="123">
        <v>66189</v>
      </c>
    </row>
    <row r="345" spans="1:13">
      <c r="A345" s="122">
        <v>44044</v>
      </c>
      <c r="B345" s="123">
        <v>18738</v>
      </c>
      <c r="C345" s="123">
        <v>30310</v>
      </c>
      <c r="D345" s="123">
        <v>32251</v>
      </c>
      <c r="E345" s="123">
        <v>23790</v>
      </c>
      <c r="F345" s="123">
        <v>11040</v>
      </c>
      <c r="G345" s="123">
        <v>65007</v>
      </c>
      <c r="H345" s="123">
        <v>210181</v>
      </c>
      <c r="I345" s="123">
        <v>158055</v>
      </c>
      <c r="J345" s="123">
        <v>151866</v>
      </c>
      <c r="K345" s="123">
        <v>67055</v>
      </c>
      <c r="L345" s="123">
        <v>223062</v>
      </c>
      <c r="M345" s="123">
        <v>67791</v>
      </c>
    </row>
    <row r="346" spans="1:13">
      <c r="A346" s="122">
        <v>44075</v>
      </c>
      <c r="B346" s="123">
        <v>19293</v>
      </c>
      <c r="C346" s="123">
        <v>30998</v>
      </c>
      <c r="D346" s="123">
        <v>32547</v>
      </c>
      <c r="E346" s="123">
        <v>23658</v>
      </c>
      <c r="F346" s="123">
        <v>11198</v>
      </c>
      <c r="G346" s="123">
        <v>66550</v>
      </c>
      <c r="H346" s="123">
        <v>215572</v>
      </c>
      <c r="I346" s="123">
        <v>160114</v>
      </c>
      <c r="J346" s="123">
        <v>154765</v>
      </c>
      <c r="K346" s="123">
        <v>67319</v>
      </c>
      <c r="L346" s="123">
        <v>226664</v>
      </c>
      <c r="M346" s="123">
        <v>68646</v>
      </c>
    </row>
    <row r="347" spans="1:13">
      <c r="A347" s="122">
        <v>44105</v>
      </c>
      <c r="B347" s="123">
        <v>19679</v>
      </c>
      <c r="C347" s="123">
        <v>31692</v>
      </c>
      <c r="D347" s="123">
        <v>32893</v>
      </c>
      <c r="E347" s="123">
        <v>24445</v>
      </c>
      <c r="F347" s="123">
        <v>11354</v>
      </c>
      <c r="G347" s="123">
        <v>65906</v>
      </c>
      <c r="H347" s="123">
        <v>215790</v>
      </c>
      <c r="I347" s="123">
        <v>162930</v>
      </c>
      <c r="J347" s="123">
        <v>157040</v>
      </c>
      <c r="K347" s="123">
        <v>68790</v>
      </c>
      <c r="L347" s="123">
        <v>228836</v>
      </c>
      <c r="M347" s="123">
        <v>69626</v>
      </c>
    </row>
    <row r="348" spans="1:13">
      <c r="A348" s="122">
        <v>44136</v>
      </c>
      <c r="B348" s="123">
        <v>20065</v>
      </c>
      <c r="C348" s="123">
        <v>31623</v>
      </c>
      <c r="D348" s="123">
        <v>32966</v>
      </c>
      <c r="E348" s="123">
        <v>24559</v>
      </c>
      <c r="F348" s="123">
        <v>11421</v>
      </c>
      <c r="G348" s="123">
        <v>69598</v>
      </c>
      <c r="H348" s="123">
        <v>220355</v>
      </c>
      <c r="I348" s="123">
        <v>164240</v>
      </c>
      <c r="J348" s="123">
        <v>160496</v>
      </c>
      <c r="K348" s="123">
        <v>69601</v>
      </c>
      <c r="L348" s="123">
        <v>233838</v>
      </c>
      <c r="M348" s="123">
        <v>70563</v>
      </c>
    </row>
    <row r="349" spans="1:13">
      <c r="A349" s="122">
        <v>44166</v>
      </c>
      <c r="B349" s="123">
        <v>20298</v>
      </c>
      <c r="C349" s="123">
        <v>32789</v>
      </c>
      <c r="D349" s="123">
        <v>34392</v>
      </c>
      <c r="E349" s="123">
        <v>24561</v>
      </c>
      <c r="F349" s="123">
        <v>11784</v>
      </c>
      <c r="G349" s="123">
        <v>69879</v>
      </c>
      <c r="H349" s="123">
        <v>226260</v>
      </c>
      <c r="I349" s="123">
        <v>167549</v>
      </c>
      <c r="J349" s="123">
        <v>162628</v>
      </c>
      <c r="K349" s="123">
        <v>70042</v>
      </c>
      <c r="L349" s="123">
        <v>237428</v>
      </c>
      <c r="M349" s="123">
        <v>71619</v>
      </c>
    </row>
    <row r="350" spans="1:13">
      <c r="A350" s="122">
        <v>44197</v>
      </c>
      <c r="B350" s="123">
        <v>20852</v>
      </c>
      <c r="C350" s="123">
        <v>33731</v>
      </c>
      <c r="D350" s="123">
        <v>34411</v>
      </c>
      <c r="E350" s="123">
        <v>24715</v>
      </c>
      <c r="F350" s="123">
        <v>12338</v>
      </c>
      <c r="G350" s="123">
        <v>72159</v>
      </c>
      <c r="H350" s="123">
        <v>227501</v>
      </c>
      <c r="I350" s="123">
        <v>171001</v>
      </c>
      <c r="J350" s="123">
        <v>168315</v>
      </c>
      <c r="K350" s="123">
        <v>71414</v>
      </c>
      <c r="L350" s="123">
        <v>243160</v>
      </c>
      <c r="M350" s="123">
        <v>72386</v>
      </c>
    </row>
    <row r="351" spans="1:13">
      <c r="A351" s="122">
        <v>44228</v>
      </c>
      <c r="B351" s="123">
        <v>20840</v>
      </c>
      <c r="C351" s="123">
        <v>33691</v>
      </c>
      <c r="D351" s="123">
        <v>34488</v>
      </c>
      <c r="E351" s="123">
        <v>24536</v>
      </c>
      <c r="F351" s="123">
        <v>12534</v>
      </c>
      <c r="G351" s="123">
        <v>76183</v>
      </c>
      <c r="H351" s="123">
        <v>230452</v>
      </c>
      <c r="I351" s="123">
        <v>170078</v>
      </c>
      <c r="J351" s="123">
        <v>176058</v>
      </c>
      <c r="K351" s="123">
        <v>70785</v>
      </c>
      <c r="L351" s="123">
        <v>246261</v>
      </c>
      <c r="M351" s="123">
        <v>72150</v>
      </c>
    </row>
    <row r="352" spans="1:13">
      <c r="A352" s="122">
        <v>44256</v>
      </c>
      <c r="B352" s="123">
        <v>21959</v>
      </c>
      <c r="C352" s="123">
        <v>36034</v>
      </c>
      <c r="D352" s="123">
        <v>35598</v>
      </c>
      <c r="E352" s="123">
        <v>24675</v>
      </c>
      <c r="F352" s="123">
        <v>12521</v>
      </c>
      <c r="G352" s="123">
        <v>73843</v>
      </c>
      <c r="H352" s="123">
        <v>235711</v>
      </c>
      <c r="I352" s="123">
        <v>175624</v>
      </c>
      <c r="J352" s="123">
        <v>177221</v>
      </c>
      <c r="K352" s="123">
        <v>71883</v>
      </c>
      <c r="L352" s="123">
        <v>249467</v>
      </c>
      <c r="M352" s="123">
        <v>73318</v>
      </c>
    </row>
    <row r="353" spans="1:13">
      <c r="A353" s="122">
        <v>44287</v>
      </c>
      <c r="B353" s="123">
        <v>23133</v>
      </c>
      <c r="C353" s="123">
        <v>36597</v>
      </c>
      <c r="D353" s="123">
        <v>36400</v>
      </c>
      <c r="E353" s="123">
        <v>24787</v>
      </c>
      <c r="F353" s="123">
        <v>12579</v>
      </c>
      <c r="G353" s="123">
        <v>68988</v>
      </c>
      <c r="H353" s="123">
        <v>236886</v>
      </c>
      <c r="I353" s="123">
        <v>178656</v>
      </c>
      <c r="J353" s="123">
        <v>179098</v>
      </c>
      <c r="K353" s="123">
        <v>72559</v>
      </c>
      <c r="L353" s="123">
        <v>247644</v>
      </c>
      <c r="M353" s="123">
        <v>75315</v>
      </c>
    </row>
    <row r="354" spans="1:13">
      <c r="A354" s="122">
        <v>44317</v>
      </c>
      <c r="B354" s="123">
        <v>23829</v>
      </c>
      <c r="C354" s="123">
        <v>35863</v>
      </c>
      <c r="D354" s="123">
        <v>36616</v>
      </c>
      <c r="E354" s="123">
        <v>24777</v>
      </c>
      <c r="F354" s="123">
        <v>12959</v>
      </c>
      <c r="G354" s="123">
        <v>75889</v>
      </c>
      <c r="H354" s="123">
        <v>243568</v>
      </c>
      <c r="I354" s="123">
        <v>179640</v>
      </c>
      <c r="J354" s="123">
        <v>185820</v>
      </c>
      <c r="K354" s="123">
        <v>73260</v>
      </c>
      <c r="L354" s="123">
        <v>255529</v>
      </c>
      <c r="M354" s="123">
        <v>75742</v>
      </c>
    </row>
    <row r="355" spans="1:13">
      <c r="A355" s="122">
        <v>44348</v>
      </c>
      <c r="B355" s="123">
        <v>24033</v>
      </c>
      <c r="C355" s="123">
        <v>35446</v>
      </c>
      <c r="D355" s="123">
        <v>37393</v>
      </c>
      <c r="E355" s="123">
        <v>24973</v>
      </c>
      <c r="F355" s="123">
        <v>12981</v>
      </c>
      <c r="G355" s="123">
        <v>76929</v>
      </c>
      <c r="H355" s="123">
        <v>245971</v>
      </c>
      <c r="I355" s="123">
        <v>180734</v>
      </c>
      <c r="J355" s="123">
        <v>186999</v>
      </c>
      <c r="K355" s="123">
        <v>73732</v>
      </c>
      <c r="L355" s="123">
        <v>257663</v>
      </c>
      <c r="M355" s="123">
        <v>76530</v>
      </c>
    </row>
    <row r="356" spans="1:13">
      <c r="A356" s="122">
        <v>44378</v>
      </c>
      <c r="B356" s="123">
        <v>24442</v>
      </c>
      <c r="C356" s="123">
        <v>35720</v>
      </c>
      <c r="D356" s="123">
        <v>38524</v>
      </c>
      <c r="E356" s="123">
        <v>24950</v>
      </c>
      <c r="F356" s="123">
        <v>12859</v>
      </c>
      <c r="G356" s="123">
        <v>76636</v>
      </c>
      <c r="H356" s="123">
        <v>244787</v>
      </c>
      <c r="I356" s="123">
        <v>182210</v>
      </c>
      <c r="J356" s="123">
        <v>186219</v>
      </c>
      <c r="K356" s="123">
        <v>74393</v>
      </c>
      <c r="L356" s="123">
        <v>258846</v>
      </c>
      <c r="M356" s="123">
        <v>76736</v>
      </c>
    </row>
    <row r="357" spans="1:13">
      <c r="A357" s="122">
        <v>44409</v>
      </c>
      <c r="B357" s="123">
        <v>24118</v>
      </c>
      <c r="C357" s="123">
        <v>36439</v>
      </c>
      <c r="D357" s="123">
        <v>38129</v>
      </c>
      <c r="E357" s="123">
        <v>25341</v>
      </c>
      <c r="F357" s="123">
        <v>13034</v>
      </c>
      <c r="G357" s="123">
        <v>80747</v>
      </c>
      <c r="H357" s="123">
        <v>250697</v>
      </c>
      <c r="I357" s="123">
        <v>182829</v>
      </c>
      <c r="J357" s="123">
        <v>192482</v>
      </c>
      <c r="K357" s="123">
        <v>74956</v>
      </c>
      <c r="L357" s="123">
        <v>263576</v>
      </c>
      <c r="M357" s="123">
        <v>77206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5792D-7DCA-426D-9922-A0F5B4F90D0E}">
  <dimension ref="B3:V74"/>
  <sheetViews>
    <sheetView zoomScale="150" zoomScaleNormal="150" workbookViewId="0">
      <pane xSplit="2" ySplit="6" topLeftCell="C37" activePane="bottomRight" state="frozen"/>
      <selection pane="topRight" activeCell="C1" sqref="C1"/>
      <selection pane="bottomLeft" activeCell="A7" sqref="A7"/>
      <selection pane="bottomRight" activeCell="B71" sqref="B71"/>
    </sheetView>
  </sheetViews>
  <sheetFormatPr baseColWidth="10" defaultColWidth="9.1640625" defaultRowHeight="15"/>
  <cols>
    <col min="1" max="1" width="9.1640625" style="76"/>
    <col min="2" max="2" width="10.6640625" style="76" bestFit="1" customWidth="1"/>
    <col min="3" max="16384" width="9.1640625" style="76"/>
  </cols>
  <sheetData>
    <row r="3" spans="2:22" ht="16" thickBot="1"/>
    <row r="4" spans="2:22" ht="19">
      <c r="C4" s="156" t="s">
        <v>11</v>
      </c>
      <c r="D4" s="157"/>
      <c r="E4" s="156" t="s">
        <v>21</v>
      </c>
      <c r="F4" s="157"/>
      <c r="G4" s="158" t="s">
        <v>111</v>
      </c>
      <c r="H4" s="159"/>
      <c r="I4" s="156" t="s">
        <v>22</v>
      </c>
      <c r="J4" s="157"/>
      <c r="K4" s="156" t="s">
        <v>112</v>
      </c>
      <c r="L4" s="157"/>
      <c r="M4" s="156" t="s">
        <v>13</v>
      </c>
      <c r="N4" s="157"/>
      <c r="O4" s="156" t="s">
        <v>113</v>
      </c>
      <c r="P4" s="157"/>
      <c r="Q4" s="156" t="s">
        <v>19</v>
      </c>
      <c r="R4" s="157"/>
      <c r="S4" s="156" t="s">
        <v>12</v>
      </c>
      <c r="T4" s="157"/>
      <c r="U4" s="156" t="s">
        <v>114</v>
      </c>
      <c r="V4" s="157"/>
    </row>
    <row r="5" spans="2:22" ht="15.75" customHeight="1" thickBot="1">
      <c r="C5" s="115" t="s">
        <v>9</v>
      </c>
      <c r="D5" s="116" t="s">
        <v>80</v>
      </c>
      <c r="E5" s="115" t="s">
        <v>7</v>
      </c>
      <c r="F5" s="116" t="s">
        <v>80</v>
      </c>
      <c r="G5" s="117" t="s">
        <v>16</v>
      </c>
      <c r="H5" s="116" t="s">
        <v>80</v>
      </c>
      <c r="I5" s="115" t="s">
        <v>8</v>
      </c>
      <c r="J5" s="116" t="s">
        <v>80</v>
      </c>
      <c r="K5" s="117" t="s">
        <v>6</v>
      </c>
      <c r="L5" s="116" t="s">
        <v>80</v>
      </c>
      <c r="M5" s="117" t="s">
        <v>2</v>
      </c>
      <c r="N5" s="116" t="s">
        <v>80</v>
      </c>
      <c r="O5" s="117" t="s">
        <v>3</v>
      </c>
      <c r="P5" s="116" t="s">
        <v>80</v>
      </c>
      <c r="Q5" s="117" t="s">
        <v>4</v>
      </c>
      <c r="R5" s="116" t="s">
        <v>80</v>
      </c>
      <c r="S5" s="117" t="s">
        <v>1</v>
      </c>
      <c r="T5" s="116" t="s">
        <v>80</v>
      </c>
      <c r="U5" s="117" t="s">
        <v>5</v>
      </c>
      <c r="V5" s="116" t="s">
        <v>80</v>
      </c>
    </row>
    <row r="7" spans="2:22">
      <c r="B7" s="118">
        <v>42370</v>
      </c>
      <c r="C7" s="119">
        <f>VLOOKUP(B7,Database!$A:$M,MATCH(Recap!$C$5,Database!$A$1:$M$1,),)</f>
        <v>224156</v>
      </c>
      <c r="D7" s="120"/>
      <c r="E7" s="119">
        <f>VLOOKUP(B7,Database!$A:$M,MATCH(Recap!$E$5,Database!$A$1:$M$1,),)</f>
        <v>144204</v>
      </c>
      <c r="F7" s="120"/>
      <c r="G7" s="119">
        <f>VLOOKUP(B7,Database!$A:$M,MATCH(Recap!$G$5,Database!$A$1:$M$1,),)</f>
        <v>61637</v>
      </c>
      <c r="H7" s="120"/>
      <c r="I7" s="119">
        <f>VLOOKUP(B7,Database!$A:$M,MATCH(Recap!$I$5,Database!$A$1:$M$1,),)</f>
        <v>157726</v>
      </c>
      <c r="J7" s="120"/>
      <c r="K7" s="119">
        <f>VLOOKUP(B7,Database!$A:$M,MATCH(Recap!$K$5,Database!$A$1:$M$1,),)</f>
        <v>79952</v>
      </c>
      <c r="L7" s="120"/>
      <c r="M7" s="119">
        <f>VLOOKUP(B7,Database!$A:$M,MATCH(Recap!$M$5,Database!$A$1:$M$1,),)</f>
        <v>28420</v>
      </c>
      <c r="N7" s="120"/>
      <c r="O7" s="119">
        <f>VLOOKUP(B7,Database!$A:$M,MATCH(Recap!$O$5,Database!$A$1:$M$1,),)</f>
        <v>29897</v>
      </c>
      <c r="P7" s="120"/>
      <c r="Q7" s="119">
        <f>VLOOKUP(B7,Database!$A:$M,MATCH(Recap!$Q$5,Database!$A$1:$M$1,),)</f>
        <v>20960</v>
      </c>
      <c r="R7" s="120"/>
      <c r="S7" s="119">
        <f>VLOOKUP(B7,Database!$A:$M,MATCH(Recap!$S$5,Database!$A$1:$M$1,),)</f>
        <v>17074</v>
      </c>
      <c r="T7" s="120"/>
      <c r="U7" s="119">
        <f>VLOOKUP(B7,Database!$A:$M,MATCH(Recap!$U$5,Database!$A$1:$M$1,),)</f>
        <v>10594</v>
      </c>
      <c r="V7" s="120"/>
    </row>
    <row r="8" spans="2:22">
      <c r="B8" s="118">
        <v>42401</v>
      </c>
      <c r="C8" s="119">
        <f>VLOOKUP(B8,Database!$A:$M,MATCH(Recap!$C$5,Database!$A$1:$M$1,),)</f>
        <v>218510</v>
      </c>
      <c r="D8" s="121">
        <f>(C8-C7)/C7</f>
        <v>-2.5187815628401649E-2</v>
      </c>
      <c r="E8" s="119">
        <f>VLOOKUP(B8,Database!$A:$M,MATCH(Recap!$E$5,Database!$A$1:$M$1,),)</f>
        <v>142619</v>
      </c>
      <c r="F8" s="121">
        <f>(E8-E7)/E7</f>
        <v>-1.0991373332223794E-2</v>
      </c>
      <c r="G8" s="119">
        <f>VLOOKUP(B8,Database!$A:$M,MATCH(Recap!$G$5,Database!$A$1:$M$1,),)</f>
        <v>61150</v>
      </c>
      <c r="H8" s="121">
        <f>(G8-G7)/G7</f>
        <v>-7.9010983662410571E-3</v>
      </c>
      <c r="I8" s="119">
        <f>VLOOKUP(B8,Database!$A:$M,MATCH(Recap!$I$5,Database!$A$1:$M$1,),)</f>
        <v>151625</v>
      </c>
      <c r="J8" s="121">
        <f>(I8-I7)/I7</f>
        <v>-3.8681003766024624E-2</v>
      </c>
      <c r="K8" s="119">
        <f>VLOOKUP(B8,Database!$A:$M,MATCH(Recap!$K$5,Database!$A$1:$M$1,),)</f>
        <v>75891</v>
      </c>
      <c r="L8" s="121">
        <f>(K8-K7)/K7</f>
        <v>-5.0792975785471282E-2</v>
      </c>
      <c r="M8" s="119">
        <f>VLOOKUP(B8,Database!$A:$M,MATCH(Recap!$M$5,Database!$A$1:$M$1,),)</f>
        <v>28096</v>
      </c>
      <c r="N8" s="121">
        <f>(M8-M7)/M7</f>
        <v>-1.1400422237860662E-2</v>
      </c>
      <c r="O8" s="119">
        <f>VLOOKUP(B8,Database!$A:$M,MATCH(Recap!$O$5,Database!$A$1:$M$1,),)</f>
        <v>29329</v>
      </c>
      <c r="P8" s="121">
        <f>(O8-O7)/O7</f>
        <v>-1.899856172860153E-2</v>
      </c>
      <c r="Q8" s="119">
        <f>VLOOKUP(B8,Database!$A:$M,MATCH(Recap!$Q$5,Database!$A$1:$M$1,),)</f>
        <v>21271</v>
      </c>
      <c r="R8" s="121">
        <f>(Q8-Q7)/Q7</f>
        <v>1.4837786259541986E-2</v>
      </c>
      <c r="S8" s="119">
        <f>VLOOKUP(B8,Database!$A:$M,MATCH(Recap!$S$5,Database!$A$1:$M$1,),)</f>
        <v>16624</v>
      </c>
      <c r="T8" s="121">
        <f>(S8-S7)/S7</f>
        <v>-2.6355862715239545E-2</v>
      </c>
      <c r="U8" s="119">
        <f>VLOOKUP(B8,Database!$A:$M,MATCH(Recap!$U$5,Database!$A$1:$M$1,),)</f>
        <v>10191</v>
      </c>
      <c r="V8" s="121">
        <f>(U8-U7)/U7</f>
        <v>-3.8040400226543328E-2</v>
      </c>
    </row>
    <row r="9" spans="2:22">
      <c r="B9" s="118">
        <v>42430</v>
      </c>
      <c r="C9" s="119">
        <f>VLOOKUP(B9,Database!$A:$M,MATCH(Recap!$C$5,Database!$A$1:$M$1,),)</f>
        <v>216188</v>
      </c>
      <c r="D9" s="121">
        <f t="shared" ref="D9:D49" si="0">(C9-C8)/C8</f>
        <v>-1.0626515948926822E-2</v>
      </c>
      <c r="E9" s="119">
        <f>VLOOKUP(B9,Database!$A:$M,MATCH(Recap!$E$5,Database!$A$1:$M$1,),)</f>
        <v>141372</v>
      </c>
      <c r="F9" s="121">
        <f t="shared" ref="F9:F49" si="1">(E9-E8)/E8</f>
        <v>-8.7435755404258898E-3</v>
      </c>
      <c r="G9" s="119">
        <f>VLOOKUP(B9,Database!$A:$M,MATCH(Recap!$G$5,Database!$A$1:$M$1,),)</f>
        <v>60583</v>
      </c>
      <c r="H9" s="121">
        <f t="shared" ref="H9:H49" si="2">(G9-G8)/G8</f>
        <v>-9.2722812755519218E-3</v>
      </c>
      <c r="I9" s="119">
        <f>VLOOKUP(B9,Database!$A:$M,MATCH(Recap!$I$5,Database!$A$1:$M$1,),)</f>
        <v>150655</v>
      </c>
      <c r="J9" s="121">
        <f t="shared" ref="J9:J49" si="3">(I9-I8)/I8</f>
        <v>-6.3973619126133554E-3</v>
      </c>
      <c r="K9" s="119">
        <f>VLOOKUP(B9,Database!$A:$M,MATCH(Recap!$K$5,Database!$A$1:$M$1,),)</f>
        <v>74816</v>
      </c>
      <c r="L9" s="121">
        <f t="shared" ref="L9:L49" si="4">(K9-K8)/K8</f>
        <v>-1.4165052509520232E-2</v>
      </c>
      <c r="M9" s="119">
        <f>VLOOKUP(B9,Database!$A:$M,MATCH(Recap!$M$5,Database!$A$1:$M$1,),)</f>
        <v>27216</v>
      </c>
      <c r="N9" s="121">
        <f t="shared" ref="N9:N49" si="5">(M9-M8)/M8</f>
        <v>-3.1321184510250573E-2</v>
      </c>
      <c r="O9" s="119">
        <f>VLOOKUP(B9,Database!$A:$M,MATCH(Recap!$O$5,Database!$A$1:$M$1,),)</f>
        <v>28993</v>
      </c>
      <c r="P9" s="121">
        <f t="shared" ref="P9:P49" si="6">(O9-O8)/O8</f>
        <v>-1.1456237853319241E-2</v>
      </c>
      <c r="Q9" s="119">
        <f>VLOOKUP(B9,Database!$A:$M,MATCH(Recap!$Q$5,Database!$A$1:$M$1,),)</f>
        <v>21033</v>
      </c>
      <c r="R9" s="121">
        <f t="shared" ref="R9:R49" si="7">(Q9-Q8)/Q8</f>
        <v>-1.1188942691927977E-2</v>
      </c>
      <c r="S9" s="119">
        <f>VLOOKUP(B9,Database!$A:$M,MATCH(Recap!$S$5,Database!$A$1:$M$1,),)</f>
        <v>16547</v>
      </c>
      <c r="T9" s="121">
        <f t="shared" ref="T9:T49" si="8">(S9-S8)/S8</f>
        <v>-4.6318575553416751E-3</v>
      </c>
      <c r="U9" s="119">
        <f>VLOOKUP(B9,Database!$A:$M,MATCH(Recap!$U$5,Database!$A$1:$M$1,),)</f>
        <v>9848</v>
      </c>
      <c r="V9" s="121">
        <f t="shared" ref="V9:V49" si="9">(U9-U8)/U8</f>
        <v>-3.3657148464331273E-2</v>
      </c>
    </row>
    <row r="10" spans="2:22">
      <c r="B10" s="118">
        <v>42461</v>
      </c>
      <c r="C10" s="119">
        <f>VLOOKUP(B10,Database!$A:$M,MATCH(Recap!$C$5,Database!$A$1:$M$1,),)</f>
        <v>224898</v>
      </c>
      <c r="D10" s="121">
        <f t="shared" si="0"/>
        <v>4.0289007715506871E-2</v>
      </c>
      <c r="E10" s="119">
        <f>VLOOKUP(B10,Database!$A:$M,MATCH(Recap!$E$5,Database!$A$1:$M$1,),)</f>
        <v>142360</v>
      </c>
      <c r="F10" s="121">
        <f t="shared" si="1"/>
        <v>6.988654047477577E-3</v>
      </c>
      <c r="G10" s="119">
        <f>VLOOKUP(B10,Database!$A:$M,MATCH(Recap!$G$5,Database!$A$1:$M$1,),)</f>
        <v>60924</v>
      </c>
      <c r="H10" s="121">
        <f t="shared" si="2"/>
        <v>5.6286416981661518E-3</v>
      </c>
      <c r="I10" s="119">
        <f>VLOOKUP(B10,Database!$A:$M,MATCH(Recap!$I$5,Database!$A$1:$M$1,),)</f>
        <v>159038</v>
      </c>
      <c r="J10" s="121">
        <f t="shared" si="3"/>
        <v>5.5643689223723078E-2</v>
      </c>
      <c r="K10" s="119">
        <f>VLOOKUP(B10,Database!$A:$M,MATCH(Recap!$K$5,Database!$A$1:$M$1,),)</f>
        <v>82538</v>
      </c>
      <c r="L10" s="121">
        <f t="shared" si="4"/>
        <v>0.10321321642429426</v>
      </c>
      <c r="M10" s="119">
        <f>VLOOKUP(B10,Database!$A:$M,MATCH(Recap!$M$5,Database!$A$1:$M$1,),)</f>
        <v>28237</v>
      </c>
      <c r="N10" s="121">
        <f t="shared" si="5"/>
        <v>3.7514697236919456E-2</v>
      </c>
      <c r="O10" s="119">
        <f>VLOOKUP(B10,Database!$A:$M,MATCH(Recap!$O$5,Database!$A$1:$M$1,),)</f>
        <v>28552</v>
      </c>
      <c r="P10" s="121">
        <f t="shared" si="6"/>
        <v>-1.5210568068154382E-2</v>
      </c>
      <c r="Q10" s="119">
        <f>VLOOKUP(B10,Database!$A:$M,MATCH(Recap!$Q$5,Database!$A$1:$M$1,),)</f>
        <v>21755</v>
      </c>
      <c r="R10" s="121">
        <f t="shared" si="7"/>
        <v>3.4327009936766031E-2</v>
      </c>
      <c r="S10" s="119">
        <f>VLOOKUP(B10,Database!$A:$M,MATCH(Recap!$S$5,Database!$A$1:$M$1,),)</f>
        <v>16598</v>
      </c>
      <c r="T10" s="121">
        <f t="shared" si="8"/>
        <v>3.0821296911826917E-3</v>
      </c>
      <c r="U10" s="119">
        <f>VLOOKUP(B10,Database!$A:$M,MATCH(Recap!$U$5,Database!$A$1:$M$1,),)</f>
        <v>9956</v>
      </c>
      <c r="V10" s="121">
        <f t="shared" si="9"/>
        <v>1.0966693744922826E-2</v>
      </c>
    </row>
    <row r="11" spans="2:22">
      <c r="B11" s="118">
        <v>42491</v>
      </c>
      <c r="C11" s="119">
        <f>VLOOKUP(B11,Database!$A:$M,MATCH(Recap!$C$5,Database!$A$1:$M$1,),)</f>
        <v>220908</v>
      </c>
      <c r="D11" s="121">
        <f t="shared" si="0"/>
        <v>-1.7741376090494358E-2</v>
      </c>
      <c r="E11" s="119">
        <f>VLOOKUP(B11,Database!$A:$M,MATCH(Recap!$E$5,Database!$A$1:$M$1,),)</f>
        <v>141615</v>
      </c>
      <c r="F11" s="121">
        <f t="shared" si="1"/>
        <v>-5.2332115762854731E-3</v>
      </c>
      <c r="G11" s="119">
        <f>VLOOKUP(B11,Database!$A:$M,MATCH(Recap!$G$5,Database!$A$1:$M$1,),)</f>
        <v>59566</v>
      </c>
      <c r="H11" s="121">
        <f t="shared" si="2"/>
        <v>-2.2290066312126582E-2</v>
      </c>
      <c r="I11" s="119">
        <f>VLOOKUP(B11,Database!$A:$M,MATCH(Recap!$I$5,Database!$A$1:$M$1,),)</f>
        <v>156740</v>
      </c>
      <c r="J11" s="121">
        <f t="shared" si="3"/>
        <v>-1.4449376878481872E-2</v>
      </c>
      <c r="K11" s="119">
        <f>VLOOKUP(B11,Database!$A:$M,MATCH(Recap!$K$5,Database!$A$1:$M$1,),)</f>
        <v>79293</v>
      </c>
      <c r="L11" s="121">
        <f t="shared" si="4"/>
        <v>-3.9315224502653325E-2</v>
      </c>
      <c r="M11" s="119">
        <f>VLOOKUP(B11,Database!$A:$M,MATCH(Recap!$M$5,Database!$A$1:$M$1,),)</f>
        <v>28019</v>
      </c>
      <c r="N11" s="121">
        <f t="shared" si="5"/>
        <v>-7.7203668945001244E-3</v>
      </c>
      <c r="O11" s="119">
        <f>VLOOKUP(B11,Database!$A:$M,MATCH(Recap!$O$5,Database!$A$1:$M$1,),)</f>
        <v>28204</v>
      </c>
      <c r="P11" s="121">
        <f t="shared" si="6"/>
        <v>-1.2188288035864388E-2</v>
      </c>
      <c r="Q11" s="119">
        <f>VLOOKUP(B11,Database!$A:$M,MATCH(Recap!$Q$5,Database!$A$1:$M$1,),)</f>
        <v>21603</v>
      </c>
      <c r="R11" s="121">
        <f t="shared" si="7"/>
        <v>-6.9868995633187774E-3</v>
      </c>
      <c r="S11" s="119">
        <f>VLOOKUP(B11,Database!$A:$M,MATCH(Recap!$S$5,Database!$A$1:$M$1,),)</f>
        <v>16633</v>
      </c>
      <c r="T11" s="121">
        <f t="shared" si="8"/>
        <v>2.1086877937100857E-3</v>
      </c>
      <c r="U11" s="119">
        <f>VLOOKUP(B11,Database!$A:$M,MATCH(Recap!$U$5,Database!$A$1:$M$1,),)</f>
        <v>9939</v>
      </c>
      <c r="V11" s="121">
        <f t="shared" si="9"/>
        <v>-1.7075130574527922E-3</v>
      </c>
    </row>
    <row r="12" spans="2:22">
      <c r="B12" s="118">
        <v>42522</v>
      </c>
      <c r="C12" s="119">
        <f>VLOOKUP(B12,Database!$A:$M,MATCH(Recap!$C$5,Database!$A$1:$M$1,),)</f>
        <v>212990</v>
      </c>
      <c r="D12" s="121">
        <f t="shared" si="0"/>
        <v>-3.5842975356256905E-2</v>
      </c>
      <c r="E12" s="119">
        <f>VLOOKUP(B12,Database!$A:$M,MATCH(Recap!$E$5,Database!$A$1:$M$1,),)</f>
        <v>140743</v>
      </c>
      <c r="F12" s="121">
        <f t="shared" si="1"/>
        <v>-6.1575398086360904E-3</v>
      </c>
      <c r="G12" s="119">
        <f>VLOOKUP(B12,Database!$A:$M,MATCH(Recap!$G$5,Database!$A$1:$M$1,),)</f>
        <v>59608</v>
      </c>
      <c r="H12" s="121">
        <f t="shared" si="2"/>
        <v>7.0510022496054797E-4</v>
      </c>
      <c r="I12" s="119">
        <f>VLOOKUP(B12,Database!$A:$M,MATCH(Recap!$I$5,Database!$A$1:$M$1,),)</f>
        <v>147954</v>
      </c>
      <c r="J12" s="121">
        <f t="shared" si="3"/>
        <v>-5.6054612734464722E-2</v>
      </c>
      <c r="K12" s="119">
        <f>VLOOKUP(B12,Database!$A:$M,MATCH(Recap!$K$5,Database!$A$1:$M$1,),)</f>
        <v>72247</v>
      </c>
      <c r="L12" s="121">
        <f t="shared" si="4"/>
        <v>-8.8860302927118412E-2</v>
      </c>
      <c r="M12" s="119">
        <f>VLOOKUP(B12,Database!$A:$M,MATCH(Recap!$M$5,Database!$A$1:$M$1,),)</f>
        <v>27681</v>
      </c>
      <c r="N12" s="121">
        <f t="shared" si="5"/>
        <v>-1.2063242799528891E-2</v>
      </c>
      <c r="O12" s="119">
        <f>VLOOKUP(B12,Database!$A:$M,MATCH(Recap!$O$5,Database!$A$1:$M$1,),)</f>
        <v>28317</v>
      </c>
      <c r="P12" s="121">
        <f t="shared" si="6"/>
        <v>4.0065238973195291E-3</v>
      </c>
      <c r="Q12" s="119">
        <f>VLOOKUP(B12,Database!$A:$M,MATCH(Recap!$Q$5,Database!$A$1:$M$1,),)</f>
        <v>21509</v>
      </c>
      <c r="R12" s="121">
        <f t="shared" si="7"/>
        <v>-4.3512475119196412E-3</v>
      </c>
      <c r="S12" s="119">
        <f>VLOOKUP(B12,Database!$A:$M,MATCH(Recap!$S$5,Database!$A$1:$M$1,),)</f>
        <v>16422</v>
      </c>
      <c r="T12" s="121">
        <f t="shared" si="8"/>
        <v>-1.2685624962424097E-2</v>
      </c>
      <c r="U12" s="119">
        <f>VLOOKUP(B12,Database!$A:$M,MATCH(Recap!$U$5,Database!$A$1:$M$1,),)</f>
        <v>9874</v>
      </c>
      <c r="V12" s="121">
        <f t="shared" si="9"/>
        <v>-6.5398933494315321E-3</v>
      </c>
    </row>
    <row r="13" spans="2:22">
      <c r="B13" s="118">
        <v>42552</v>
      </c>
      <c r="C13" s="119">
        <f>VLOOKUP(B13,Database!$A:$M,MATCH(Recap!$C$5,Database!$A$1:$M$1,),)</f>
        <v>213900</v>
      </c>
      <c r="D13" s="121">
        <f t="shared" si="0"/>
        <v>4.2725010563876235E-3</v>
      </c>
      <c r="E13" s="119">
        <f>VLOOKUP(B13,Database!$A:$M,MATCH(Recap!$E$5,Database!$A$1:$M$1,),)</f>
        <v>141693</v>
      </c>
      <c r="F13" s="121">
        <f t="shared" si="1"/>
        <v>6.7498916464762016E-3</v>
      </c>
      <c r="G13" s="119">
        <f>VLOOKUP(B13,Database!$A:$M,MATCH(Recap!$G$5,Database!$A$1:$M$1,),)</f>
        <v>59809</v>
      </c>
      <c r="H13" s="121">
        <f t="shared" si="2"/>
        <v>3.3720305999194737E-3</v>
      </c>
      <c r="I13" s="119">
        <f>VLOOKUP(B13,Database!$A:$M,MATCH(Recap!$I$5,Database!$A$1:$M$1,),)</f>
        <v>149687</v>
      </c>
      <c r="J13" s="121">
        <f t="shared" si="3"/>
        <v>1.1713100017573029E-2</v>
      </c>
      <c r="K13" s="119">
        <f>VLOOKUP(B13,Database!$A:$M,MATCH(Recap!$K$5,Database!$A$1:$M$1,),)</f>
        <v>72207</v>
      </c>
      <c r="L13" s="121">
        <f t="shared" si="4"/>
        <v>-5.536562071781527E-4</v>
      </c>
      <c r="M13" s="119">
        <f>VLOOKUP(B13,Database!$A:$M,MATCH(Recap!$M$5,Database!$A$1:$M$1,),)</f>
        <v>27783</v>
      </c>
      <c r="N13" s="121">
        <f t="shared" si="5"/>
        <v>3.6848379755066653E-3</v>
      </c>
      <c r="O13" s="119">
        <f>VLOOKUP(B13,Database!$A:$M,MATCH(Recap!$O$5,Database!$A$1:$M$1,),)</f>
        <v>28850</v>
      </c>
      <c r="P13" s="121">
        <f t="shared" si="6"/>
        <v>1.882261539004838E-2</v>
      </c>
      <c r="Q13" s="119">
        <f>VLOOKUP(B13,Database!$A:$M,MATCH(Recap!$Q$5,Database!$A$1:$M$1,),)</f>
        <v>21512</v>
      </c>
      <c r="R13" s="121">
        <f t="shared" si="7"/>
        <v>1.3947649821005161E-4</v>
      </c>
      <c r="S13" s="119">
        <f>VLOOKUP(B13,Database!$A:$M,MATCH(Recap!$S$5,Database!$A$1:$M$1,),)</f>
        <v>16721</v>
      </c>
      <c r="T13" s="121">
        <f t="shared" si="8"/>
        <v>1.8207282913165267E-2</v>
      </c>
      <c r="U13" s="119">
        <f>VLOOKUP(B13,Database!$A:$M,MATCH(Recap!$U$5,Database!$A$1:$M$1,),)</f>
        <v>10246</v>
      </c>
      <c r="V13" s="121">
        <f t="shared" si="9"/>
        <v>3.767470123556816E-2</v>
      </c>
    </row>
    <row r="14" spans="2:22">
      <c r="B14" s="118">
        <v>42583</v>
      </c>
      <c r="C14" s="119">
        <f>VLOOKUP(B14,Database!$A:$M,MATCH(Recap!$C$5,Database!$A$1:$M$1,),)</f>
        <v>223174</v>
      </c>
      <c r="D14" s="121">
        <f t="shared" si="0"/>
        <v>4.3356708742402994E-2</v>
      </c>
      <c r="E14" s="119">
        <f>VLOOKUP(B14,Database!$A:$M,MATCH(Recap!$E$5,Database!$A$1:$M$1,),)</f>
        <v>141908</v>
      </c>
      <c r="F14" s="121">
        <f t="shared" si="1"/>
        <v>1.5173650074456748E-3</v>
      </c>
      <c r="G14" s="119">
        <f>VLOOKUP(B14,Database!$A:$M,MATCH(Recap!$G$5,Database!$A$1:$M$1,),)</f>
        <v>61691</v>
      </c>
      <c r="H14" s="121">
        <f t="shared" si="2"/>
        <v>3.1466836094902105E-2</v>
      </c>
      <c r="I14" s="119">
        <f>VLOOKUP(B14,Database!$A:$M,MATCH(Recap!$I$5,Database!$A$1:$M$1,),)</f>
        <v>158627</v>
      </c>
      <c r="J14" s="121">
        <f t="shared" si="3"/>
        <v>5.9724625384969969E-2</v>
      </c>
      <c r="K14" s="119">
        <f>VLOOKUP(B14,Database!$A:$M,MATCH(Recap!$K$5,Database!$A$1:$M$1,),)</f>
        <v>81266</v>
      </c>
      <c r="L14" s="121">
        <f t="shared" si="4"/>
        <v>0.12545875053665156</v>
      </c>
      <c r="M14" s="119">
        <f>VLOOKUP(B14,Database!$A:$M,MATCH(Recap!$M$5,Database!$A$1:$M$1,),)</f>
        <v>27556</v>
      </c>
      <c r="N14" s="121">
        <f t="shared" si="5"/>
        <v>-8.1704639527768776E-3</v>
      </c>
      <c r="O14" s="119">
        <f>VLOOKUP(B14,Database!$A:$M,MATCH(Recap!$O$5,Database!$A$1:$M$1,),)</f>
        <v>29501</v>
      </c>
      <c r="P14" s="121">
        <f t="shared" si="6"/>
        <v>2.2564991334488735E-2</v>
      </c>
      <c r="Q14" s="119">
        <f>VLOOKUP(B14,Database!$A:$M,MATCH(Recap!$Q$5,Database!$A$1:$M$1,),)</f>
        <v>21391</v>
      </c>
      <c r="R14" s="121">
        <f t="shared" si="7"/>
        <v>-5.6247675715879507E-3</v>
      </c>
      <c r="S14" s="119">
        <f>VLOOKUP(B14,Database!$A:$M,MATCH(Recap!$S$5,Database!$A$1:$M$1,),)</f>
        <v>16645</v>
      </c>
      <c r="T14" s="121">
        <f t="shared" si="8"/>
        <v>-4.5451827043837094E-3</v>
      </c>
      <c r="U14" s="119">
        <f>VLOOKUP(B14,Database!$A:$M,MATCH(Recap!$U$5,Database!$A$1:$M$1,),)</f>
        <v>10041</v>
      </c>
      <c r="V14" s="121">
        <f t="shared" si="9"/>
        <v>-2.0007807925043919E-2</v>
      </c>
    </row>
    <row r="15" spans="2:22">
      <c r="B15" s="118">
        <v>42614</v>
      </c>
      <c r="C15" s="119">
        <f>VLOOKUP(B15,Database!$A:$M,MATCH(Recap!$C$5,Database!$A$1:$M$1,),)</f>
        <v>212753</v>
      </c>
      <c r="D15" s="121">
        <f t="shared" si="0"/>
        <v>-4.6694507424700007E-2</v>
      </c>
      <c r="E15" s="119">
        <f>VLOOKUP(B15,Database!$A:$M,MATCH(Recap!$E$5,Database!$A$1:$M$1,),)</f>
        <v>141062</v>
      </c>
      <c r="F15" s="121">
        <f t="shared" si="1"/>
        <v>-5.9616089297291203E-3</v>
      </c>
      <c r="G15" s="119">
        <f>VLOOKUP(B15,Database!$A:$M,MATCH(Recap!$G$5,Database!$A$1:$M$1,),)</f>
        <v>59308</v>
      </c>
      <c r="H15" s="121">
        <f t="shared" si="2"/>
        <v>-3.8628000842910633E-2</v>
      </c>
      <c r="I15" s="119">
        <f>VLOOKUP(B15,Database!$A:$M,MATCH(Recap!$I$5,Database!$A$1:$M$1,),)</f>
        <v>148303</v>
      </c>
      <c r="J15" s="121">
        <f t="shared" si="3"/>
        <v>-6.5083497765197604E-2</v>
      </c>
      <c r="K15" s="119">
        <f>VLOOKUP(B15,Database!$A:$M,MATCH(Recap!$K$5,Database!$A$1:$M$1,),)</f>
        <v>71691</v>
      </c>
      <c r="L15" s="121">
        <f t="shared" si="4"/>
        <v>-0.1178229517879556</v>
      </c>
      <c r="M15" s="119">
        <f>VLOOKUP(B15,Database!$A:$M,MATCH(Recap!$M$5,Database!$A$1:$M$1,),)</f>
        <v>27298</v>
      </c>
      <c r="N15" s="121">
        <f t="shared" si="5"/>
        <v>-9.3627522136739728E-3</v>
      </c>
      <c r="O15" s="119">
        <f>VLOOKUP(B15,Database!$A:$M,MATCH(Recap!$O$5,Database!$A$1:$M$1,),)</f>
        <v>28886</v>
      </c>
      <c r="P15" s="121">
        <f t="shared" si="6"/>
        <v>-2.0846750957594657E-2</v>
      </c>
      <c r="Q15" s="119">
        <f>VLOOKUP(B15,Database!$A:$M,MATCH(Recap!$Q$5,Database!$A$1:$M$1,),)</f>
        <v>21205</v>
      </c>
      <c r="R15" s="121">
        <f t="shared" si="7"/>
        <v>-8.6952456640643268E-3</v>
      </c>
      <c r="S15" s="119">
        <f>VLOOKUP(B15,Database!$A:$M,MATCH(Recap!$S$5,Database!$A$1:$M$1,),)</f>
        <v>16761</v>
      </c>
      <c r="T15" s="121">
        <f t="shared" si="8"/>
        <v>6.9690597777110246E-3</v>
      </c>
      <c r="U15" s="119">
        <f>VLOOKUP(B15,Database!$A:$M,MATCH(Recap!$U$5,Database!$A$1:$M$1,),)</f>
        <v>10123</v>
      </c>
      <c r="V15" s="121">
        <f t="shared" si="9"/>
        <v>8.1665172791554625E-3</v>
      </c>
    </row>
    <row r="16" spans="2:22">
      <c r="B16" s="118">
        <v>42644</v>
      </c>
      <c r="C16" s="119">
        <f>VLOOKUP(B16,Database!$A:$M,MATCH(Recap!$C$5,Database!$A$1:$M$1,),)</f>
        <v>238366</v>
      </c>
      <c r="D16" s="121">
        <f t="shared" si="0"/>
        <v>0.12038843165548782</v>
      </c>
      <c r="E16" s="119">
        <f>VLOOKUP(B16,Database!$A:$M,MATCH(Recap!$E$5,Database!$A$1:$M$1,),)</f>
        <v>141987</v>
      </c>
      <c r="F16" s="121">
        <f t="shared" si="1"/>
        <v>6.5574002920701533E-3</v>
      </c>
      <c r="G16" s="119">
        <f>VLOOKUP(B16,Database!$A:$M,MATCH(Recap!$G$5,Database!$A$1:$M$1,),)</f>
        <v>59351</v>
      </c>
      <c r="H16" s="121">
        <f t="shared" si="2"/>
        <v>7.2502866392392252E-4</v>
      </c>
      <c r="I16" s="119">
        <f>VLOOKUP(B16,Database!$A:$M,MATCH(Recap!$I$5,Database!$A$1:$M$1,),)</f>
        <v>174438</v>
      </c>
      <c r="J16" s="121">
        <f t="shared" si="3"/>
        <v>0.17622704867736999</v>
      </c>
      <c r="K16" s="119">
        <f>VLOOKUP(B16,Database!$A:$M,MATCH(Recap!$K$5,Database!$A$1:$M$1,),)</f>
        <v>96379</v>
      </c>
      <c r="L16" s="121">
        <f t="shared" si="4"/>
        <v>0.3443667963900629</v>
      </c>
      <c r="M16" s="119">
        <f>VLOOKUP(B16,Database!$A:$M,MATCH(Recap!$M$5,Database!$A$1:$M$1,),)</f>
        <v>28303</v>
      </c>
      <c r="N16" s="121">
        <f t="shared" si="5"/>
        <v>3.6815883947541941E-2</v>
      </c>
      <c r="O16" s="119">
        <f>VLOOKUP(B16,Database!$A:$M,MATCH(Recap!$O$5,Database!$A$1:$M$1,),)</f>
        <v>29010</v>
      </c>
      <c r="P16" s="121">
        <f t="shared" si="6"/>
        <v>4.2927369660042923E-3</v>
      </c>
      <c r="Q16" s="119">
        <f>VLOOKUP(B16,Database!$A:$M,MATCH(Recap!$Q$5,Database!$A$1:$M$1,),)</f>
        <v>20922</v>
      </c>
      <c r="R16" s="121">
        <f t="shared" si="7"/>
        <v>-1.3345908983730252E-2</v>
      </c>
      <c r="S16" s="119">
        <f>VLOOKUP(B16,Database!$A:$M,MATCH(Recap!$S$5,Database!$A$1:$M$1,),)</f>
        <v>16742</v>
      </c>
      <c r="T16" s="121">
        <f t="shared" si="8"/>
        <v>-1.1335839150408687E-3</v>
      </c>
      <c r="U16" s="119">
        <f>VLOOKUP(B16,Database!$A:$M,MATCH(Recap!$U$5,Database!$A$1:$M$1,),)</f>
        <v>10150</v>
      </c>
      <c r="V16" s="121">
        <f t="shared" si="9"/>
        <v>2.6671935197075964E-3</v>
      </c>
    </row>
    <row r="17" spans="2:22">
      <c r="B17" s="118">
        <v>42675</v>
      </c>
      <c r="C17" s="119">
        <f>VLOOKUP(B17,Database!$A:$M,MATCH(Recap!$C$5,Database!$A$1:$M$1,),)</f>
        <v>219809</v>
      </c>
      <c r="D17" s="121">
        <f t="shared" si="0"/>
        <v>-7.785086799291846E-2</v>
      </c>
      <c r="E17" s="119">
        <f>VLOOKUP(B17,Database!$A:$M,MATCH(Recap!$E$5,Database!$A$1:$M$1,),)</f>
        <v>142386</v>
      </c>
      <c r="F17" s="121">
        <f t="shared" si="1"/>
        <v>2.8101164191087916E-3</v>
      </c>
      <c r="G17" s="119">
        <f>VLOOKUP(B17,Database!$A:$M,MATCH(Recap!$G$5,Database!$A$1:$M$1,),)</f>
        <v>59244</v>
      </c>
      <c r="H17" s="121">
        <f t="shared" si="2"/>
        <v>-1.8028339876328958E-3</v>
      </c>
      <c r="I17" s="119">
        <f>VLOOKUP(B17,Database!$A:$M,MATCH(Recap!$I$5,Database!$A$1:$M$1,),)</f>
        <v>156039</v>
      </c>
      <c r="J17" s="121">
        <f t="shared" si="3"/>
        <v>-0.10547587108313555</v>
      </c>
      <c r="K17" s="119">
        <f>VLOOKUP(B17,Database!$A:$M,MATCH(Recap!$K$5,Database!$A$1:$M$1,),)</f>
        <v>77423</v>
      </c>
      <c r="L17" s="121">
        <f t="shared" si="4"/>
        <v>-0.19668184978055386</v>
      </c>
      <c r="M17" s="119">
        <f>VLOOKUP(B17,Database!$A:$M,MATCH(Recap!$M$5,Database!$A$1:$M$1,),)</f>
        <v>28256</v>
      </c>
      <c r="N17" s="121">
        <f t="shared" si="5"/>
        <v>-1.660601349680246E-3</v>
      </c>
      <c r="O17" s="119">
        <f>VLOOKUP(B17,Database!$A:$M,MATCH(Recap!$O$5,Database!$A$1:$M$1,),)</f>
        <v>28794</v>
      </c>
      <c r="P17" s="121">
        <f t="shared" si="6"/>
        <v>-7.4457083764219237E-3</v>
      </c>
      <c r="Q17" s="119">
        <f>VLOOKUP(B17,Database!$A:$M,MATCH(Recap!$Q$5,Database!$A$1:$M$1,),)</f>
        <v>20849</v>
      </c>
      <c r="R17" s="121">
        <f t="shared" si="7"/>
        <v>-3.4891501768473379E-3</v>
      </c>
      <c r="S17" s="119">
        <f>VLOOKUP(B17,Database!$A:$M,MATCH(Recap!$S$5,Database!$A$1:$M$1,),)</f>
        <v>17295</v>
      </c>
      <c r="T17" s="121">
        <f t="shared" si="8"/>
        <v>3.3030701230438421E-2</v>
      </c>
      <c r="U17" s="119">
        <f>VLOOKUP(B17,Database!$A:$M,MATCH(Recap!$U$5,Database!$A$1:$M$1,),)</f>
        <v>10265</v>
      </c>
      <c r="V17" s="121">
        <f t="shared" si="9"/>
        <v>1.1330049261083743E-2</v>
      </c>
    </row>
    <row r="18" spans="2:22">
      <c r="B18" s="118">
        <v>42705</v>
      </c>
      <c r="C18" s="119">
        <f>VLOOKUP(B18,Database!$A:$M,MATCH(Recap!$C$5,Database!$A$1:$M$1,),)</f>
        <v>216401</v>
      </c>
      <c r="D18" s="121">
        <f t="shared" si="0"/>
        <v>-1.5504369702787421E-2</v>
      </c>
      <c r="E18" s="119">
        <f>VLOOKUP(B18,Database!$A:$M,MATCH(Recap!$E$5,Database!$A$1:$M$1,),)</f>
        <v>142620</v>
      </c>
      <c r="F18" s="121">
        <f t="shared" si="1"/>
        <v>1.6434199991572204E-3</v>
      </c>
      <c r="G18" s="119">
        <f>VLOOKUP(B18,Database!$A:$M,MATCH(Recap!$G$5,Database!$A$1:$M$1,),)</f>
        <v>59539</v>
      </c>
      <c r="H18" s="121">
        <f t="shared" si="2"/>
        <v>4.9794071973533185E-3</v>
      </c>
      <c r="I18" s="119">
        <f>VLOOKUP(B18,Database!$A:$M,MATCH(Recap!$I$5,Database!$A$1:$M$1,),)</f>
        <v>151674</v>
      </c>
      <c r="J18" s="121">
        <f t="shared" si="3"/>
        <v>-2.7973775786822527E-2</v>
      </c>
      <c r="K18" s="119">
        <f>VLOOKUP(B18,Database!$A:$M,MATCH(Recap!$K$5,Database!$A$1:$M$1,),)</f>
        <v>73781</v>
      </c>
      <c r="L18" s="121">
        <f t="shared" si="4"/>
        <v>-4.7040285186572467E-2</v>
      </c>
      <c r="M18" s="119">
        <f>VLOOKUP(B18,Database!$A:$M,MATCH(Recap!$M$5,Database!$A$1:$M$1,),)</f>
        <v>27416</v>
      </c>
      <c r="N18" s="121">
        <f t="shared" si="5"/>
        <v>-2.9728199320498302E-2</v>
      </c>
      <c r="O18" s="119">
        <f>VLOOKUP(B18,Database!$A:$M,MATCH(Recap!$O$5,Database!$A$1:$M$1,),)</f>
        <v>29063</v>
      </c>
      <c r="P18" s="121">
        <f t="shared" si="6"/>
        <v>9.342224074459957E-3</v>
      </c>
      <c r="Q18" s="119">
        <f>VLOOKUP(B18,Database!$A:$M,MATCH(Recap!$Q$5,Database!$A$1:$M$1,),)</f>
        <v>21377</v>
      </c>
      <c r="R18" s="121">
        <f t="shared" si="7"/>
        <v>2.5324955633363712E-2</v>
      </c>
      <c r="S18" s="119">
        <f>VLOOKUP(B18,Database!$A:$M,MATCH(Recap!$S$5,Database!$A$1:$M$1,),)</f>
        <v>17358</v>
      </c>
      <c r="T18" s="121">
        <f t="shared" si="8"/>
        <v>3.6426712922810059E-3</v>
      </c>
      <c r="U18" s="119">
        <f>VLOOKUP(B18,Database!$A:$M,MATCH(Recap!$U$5,Database!$A$1:$M$1,),)</f>
        <v>10576</v>
      </c>
      <c r="V18" s="121">
        <f t="shared" si="9"/>
        <v>3.0297126156843643E-2</v>
      </c>
    </row>
    <row r="19" spans="2:22">
      <c r="B19" s="118">
        <v>42736</v>
      </c>
      <c r="C19" s="119">
        <f>VLOOKUP(B19,Database!$A:$M,MATCH(Recap!$C$5,Database!$A$1:$M$1,),)</f>
        <v>217696</v>
      </c>
      <c r="D19" s="121">
        <f t="shared" si="0"/>
        <v>5.9842607011982383E-3</v>
      </c>
      <c r="E19" s="119">
        <f>VLOOKUP(B19,Database!$A:$M,MATCH(Recap!$E$5,Database!$A$1:$M$1,),)</f>
        <v>144995</v>
      </c>
      <c r="F19" s="121">
        <f t="shared" si="1"/>
        <v>1.6652643388024121E-2</v>
      </c>
      <c r="G19" s="119">
        <f>VLOOKUP(B19,Database!$A:$M,MATCH(Recap!$G$5,Database!$A$1:$M$1,),)</f>
        <v>60419</v>
      </c>
      <c r="H19" s="121">
        <f t="shared" si="2"/>
        <v>1.4780228085792506E-2</v>
      </c>
      <c r="I19" s="119">
        <f>VLOOKUP(B19,Database!$A:$M,MATCH(Recap!$I$5,Database!$A$1:$M$1,),)</f>
        <v>153023</v>
      </c>
      <c r="J19" s="121">
        <f t="shared" si="3"/>
        <v>8.8940754512968605E-3</v>
      </c>
      <c r="K19" s="119">
        <f>VLOOKUP(B19,Database!$A:$M,MATCH(Recap!$K$5,Database!$A$1:$M$1,),)</f>
        <v>72701</v>
      </c>
      <c r="L19" s="121">
        <f t="shared" si="4"/>
        <v>-1.4637914910342772E-2</v>
      </c>
      <c r="M19" s="119">
        <f>VLOOKUP(B19,Database!$A:$M,MATCH(Recap!$M$5,Database!$A$1:$M$1,),)</f>
        <v>27949</v>
      </c>
      <c r="N19" s="121">
        <f t="shared" si="5"/>
        <v>1.9441202217683105E-2</v>
      </c>
      <c r="O19" s="119">
        <f>VLOOKUP(B19,Database!$A:$M,MATCH(Recap!$O$5,Database!$A$1:$M$1,),)</f>
        <v>29553</v>
      </c>
      <c r="P19" s="121">
        <f t="shared" si="6"/>
        <v>1.6859924990537796E-2</v>
      </c>
      <c r="Q19" s="119">
        <f>VLOOKUP(B19,Database!$A:$M,MATCH(Recap!$Q$5,Database!$A$1:$M$1,),)</f>
        <v>21416</v>
      </c>
      <c r="R19" s="121">
        <f t="shared" si="7"/>
        <v>1.8243907002853533E-3</v>
      </c>
      <c r="S19" s="119">
        <f>VLOOKUP(B19,Database!$A:$M,MATCH(Recap!$S$5,Database!$A$1:$M$1,),)</f>
        <v>17767</v>
      </c>
      <c r="T19" s="121">
        <f t="shared" si="8"/>
        <v>2.3562622421938011E-2</v>
      </c>
      <c r="U19" s="119">
        <f>VLOOKUP(B19,Database!$A:$M,MATCH(Recap!$U$5,Database!$A$1:$M$1,),)</f>
        <v>10576</v>
      </c>
      <c r="V19" s="121">
        <f t="shared" si="9"/>
        <v>0</v>
      </c>
    </row>
    <row r="20" spans="2:22">
      <c r="B20" s="118">
        <v>42767</v>
      </c>
      <c r="C20" s="119">
        <f>VLOOKUP(B20,Database!$A:$M,MATCH(Recap!$C$5,Database!$A$1:$M$1,),)</f>
        <v>214977</v>
      </c>
      <c r="D20" s="121">
        <f t="shared" si="0"/>
        <v>-1.2489894164339262E-2</v>
      </c>
      <c r="E20" s="119">
        <f>VLOOKUP(B20,Database!$A:$M,MATCH(Recap!$E$5,Database!$A$1:$M$1,),)</f>
        <v>145319</v>
      </c>
      <c r="F20" s="121">
        <f t="shared" si="1"/>
        <v>2.2345598124073243E-3</v>
      </c>
      <c r="G20" s="119">
        <f>VLOOKUP(B20,Database!$A:$M,MATCH(Recap!$G$5,Database!$A$1:$M$1,),)</f>
        <v>60740</v>
      </c>
      <c r="H20" s="121">
        <f t="shared" si="2"/>
        <v>5.3128982604809744E-3</v>
      </c>
      <c r="I20" s="119">
        <f>VLOOKUP(B20,Database!$A:$M,MATCH(Recap!$I$5,Database!$A$1:$M$1,),)</f>
        <v>151001</v>
      </c>
      <c r="J20" s="121">
        <f t="shared" si="3"/>
        <v>-1.3213699901322023E-2</v>
      </c>
      <c r="K20" s="119">
        <f>VLOOKUP(B20,Database!$A:$M,MATCH(Recap!$K$5,Database!$A$1:$M$1,),)</f>
        <v>69658</v>
      </c>
      <c r="L20" s="121">
        <f t="shared" si="4"/>
        <v>-4.1856370613884267E-2</v>
      </c>
      <c r="M20" s="119">
        <f>VLOOKUP(B20,Database!$A:$M,MATCH(Recap!$M$5,Database!$A$1:$M$1,),)</f>
        <v>27387</v>
      </c>
      <c r="N20" s="121">
        <f t="shared" si="5"/>
        <v>-2.0108053955418797E-2</v>
      </c>
      <c r="O20" s="119">
        <f>VLOOKUP(B20,Database!$A:$M,MATCH(Recap!$O$5,Database!$A$1:$M$1,),)</f>
        <v>29430</v>
      </c>
      <c r="P20" s="121">
        <f t="shared" si="6"/>
        <v>-4.1620140087300778E-3</v>
      </c>
      <c r="Q20" s="119">
        <f>VLOOKUP(B20,Database!$A:$M,MATCH(Recap!$Q$5,Database!$A$1:$M$1,),)</f>
        <v>21789</v>
      </c>
      <c r="R20" s="121">
        <f t="shared" si="7"/>
        <v>1.7416884572282406E-2</v>
      </c>
      <c r="S20" s="119">
        <f>VLOOKUP(B20,Database!$A:$M,MATCH(Recap!$S$5,Database!$A$1:$M$1,),)</f>
        <v>18278</v>
      </c>
      <c r="T20" s="121">
        <f t="shared" si="8"/>
        <v>2.8761186469297012E-2</v>
      </c>
      <c r="U20" s="119">
        <f>VLOOKUP(B20,Database!$A:$M,MATCH(Recap!$U$5,Database!$A$1:$M$1,),)</f>
        <v>10535</v>
      </c>
      <c r="V20" s="121">
        <f t="shared" si="9"/>
        <v>-3.8767019667170955E-3</v>
      </c>
    </row>
    <row r="21" spans="2:22">
      <c r="B21" s="118">
        <v>42795</v>
      </c>
      <c r="C21" s="119">
        <f>VLOOKUP(B21,Database!$A:$M,MATCH(Recap!$C$5,Database!$A$1:$M$1,),)</f>
        <v>221815</v>
      </c>
      <c r="D21" s="121">
        <f t="shared" si="0"/>
        <v>3.1808053884834195E-2</v>
      </c>
      <c r="E21" s="119">
        <f>VLOOKUP(B21,Database!$A:$M,MATCH(Recap!$E$5,Database!$A$1:$M$1,),)</f>
        <v>146922</v>
      </c>
      <c r="F21" s="121">
        <f t="shared" si="1"/>
        <v>1.1030904424060172E-2</v>
      </c>
      <c r="G21" s="119">
        <f>VLOOKUP(B21,Database!$A:$M,MATCH(Recap!$G$5,Database!$A$1:$M$1,),)</f>
        <v>61013</v>
      </c>
      <c r="H21" s="121">
        <f t="shared" si="2"/>
        <v>4.4945670069147185E-3</v>
      </c>
      <c r="I21" s="119">
        <f>VLOOKUP(B21,Database!$A:$M,MATCH(Recap!$I$5,Database!$A$1:$M$1,),)</f>
        <v>157865</v>
      </c>
      <c r="J21" s="121">
        <f t="shared" si="3"/>
        <v>4.5456652604949639E-2</v>
      </c>
      <c r="K21" s="119">
        <f>VLOOKUP(B21,Database!$A:$M,MATCH(Recap!$K$5,Database!$A$1:$M$1,),)</f>
        <v>74893</v>
      </c>
      <c r="L21" s="121">
        <f t="shared" si="4"/>
        <v>7.5152889833184994E-2</v>
      </c>
      <c r="M21" s="119">
        <f>VLOOKUP(B21,Database!$A:$M,MATCH(Recap!$M$5,Database!$A$1:$M$1,),)</f>
        <v>29026</v>
      </c>
      <c r="N21" s="121">
        <f t="shared" si="5"/>
        <v>5.984591229415416E-2</v>
      </c>
      <c r="O21" s="119">
        <f>VLOOKUP(B21,Database!$A:$M,MATCH(Recap!$O$5,Database!$A$1:$M$1,),)</f>
        <v>30188</v>
      </c>
      <c r="P21" s="121">
        <f t="shared" si="6"/>
        <v>2.5756031260618418E-2</v>
      </c>
      <c r="Q21" s="119">
        <f>VLOOKUP(B21,Database!$A:$M,MATCH(Recap!$Q$5,Database!$A$1:$M$1,),)</f>
        <v>21068</v>
      </c>
      <c r="R21" s="121">
        <f t="shared" si="7"/>
        <v>-3.3090091330487861E-2</v>
      </c>
      <c r="S21" s="119">
        <f>VLOOKUP(B21,Database!$A:$M,MATCH(Recap!$S$5,Database!$A$1:$M$1,),)</f>
        <v>18435</v>
      </c>
      <c r="T21" s="121">
        <f t="shared" si="8"/>
        <v>8.5895612211401677E-3</v>
      </c>
      <c r="U21" s="119">
        <f>VLOOKUP(B21,Database!$A:$M,MATCH(Recap!$U$5,Database!$A$1:$M$1,),)</f>
        <v>10579</v>
      </c>
      <c r="V21" s="121">
        <f t="shared" si="9"/>
        <v>4.1765543426672998E-3</v>
      </c>
    </row>
    <row r="22" spans="2:22">
      <c r="B22" s="118">
        <v>42826</v>
      </c>
      <c r="C22" s="119">
        <f>VLOOKUP(B22,Database!$A:$M,MATCH(Recap!$C$5,Database!$A$1:$M$1,),)</f>
        <v>223165</v>
      </c>
      <c r="D22" s="121">
        <f t="shared" si="0"/>
        <v>6.0861528751437006E-3</v>
      </c>
      <c r="E22" s="119">
        <f>VLOOKUP(B22,Database!$A:$M,MATCH(Recap!$E$5,Database!$A$1:$M$1,),)</f>
        <v>146163</v>
      </c>
      <c r="F22" s="121">
        <f t="shared" si="1"/>
        <v>-5.1660064524033161E-3</v>
      </c>
      <c r="G22" s="119">
        <f>VLOOKUP(B22,Database!$A:$M,MATCH(Recap!$G$5,Database!$A$1:$M$1,),)</f>
        <v>61308</v>
      </c>
      <c r="H22" s="121">
        <f t="shared" si="2"/>
        <v>4.8350351564420699E-3</v>
      </c>
      <c r="I22" s="119">
        <f>VLOOKUP(B22,Database!$A:$M,MATCH(Recap!$I$5,Database!$A$1:$M$1,),)</f>
        <v>160341</v>
      </c>
      <c r="J22" s="121">
        <f t="shared" si="3"/>
        <v>1.5684287207424066E-2</v>
      </c>
      <c r="K22" s="119">
        <f>VLOOKUP(B22,Database!$A:$M,MATCH(Recap!$K$5,Database!$A$1:$M$1,),)</f>
        <v>77002</v>
      </c>
      <c r="L22" s="121">
        <f t="shared" si="4"/>
        <v>2.8160175183261454E-2</v>
      </c>
      <c r="M22" s="119">
        <f>VLOOKUP(B22,Database!$A:$M,MATCH(Recap!$M$5,Database!$A$1:$M$1,),)</f>
        <v>28187</v>
      </c>
      <c r="N22" s="121">
        <f t="shared" si="5"/>
        <v>-2.8905119547991454E-2</v>
      </c>
      <c r="O22" s="119">
        <f>VLOOKUP(B22,Database!$A:$M,MATCH(Recap!$O$5,Database!$A$1:$M$1,),)</f>
        <v>30432</v>
      </c>
      <c r="P22" s="121">
        <f t="shared" si="6"/>
        <v>8.0826818603418581E-3</v>
      </c>
      <c r="Q22" s="119">
        <f>VLOOKUP(B22,Database!$A:$M,MATCH(Recap!$Q$5,Database!$A$1:$M$1,),)</f>
        <v>21249</v>
      </c>
      <c r="R22" s="121">
        <f t="shared" si="7"/>
        <v>8.5912284032656164E-3</v>
      </c>
      <c r="S22" s="119">
        <f>VLOOKUP(B22,Database!$A:$M,MATCH(Recap!$S$5,Database!$A$1:$M$1,),)</f>
        <v>18356</v>
      </c>
      <c r="T22" s="121">
        <f t="shared" si="8"/>
        <v>-4.285326823976132E-3</v>
      </c>
      <c r="U22" s="119">
        <f>VLOOKUP(B22,Database!$A:$M,MATCH(Recap!$U$5,Database!$A$1:$M$1,),)</f>
        <v>10411</v>
      </c>
      <c r="V22" s="121">
        <f t="shared" si="9"/>
        <v>-1.5880518007373098E-2</v>
      </c>
    </row>
    <row r="23" spans="2:22">
      <c r="B23" s="118">
        <v>42856</v>
      </c>
      <c r="C23" s="119">
        <f>VLOOKUP(B23,Database!$A:$M,MATCH(Recap!$C$5,Database!$A$1:$M$1,),)</f>
        <v>220833</v>
      </c>
      <c r="D23" s="121">
        <f t="shared" si="0"/>
        <v>-1.0449667286536868E-2</v>
      </c>
      <c r="E23" s="119">
        <f>VLOOKUP(B23,Database!$A:$M,MATCH(Recap!$E$5,Database!$A$1:$M$1,),)</f>
        <v>147528</v>
      </c>
      <c r="F23" s="121">
        <f t="shared" si="1"/>
        <v>9.3388887748609428E-3</v>
      </c>
      <c r="G23" s="119">
        <f>VLOOKUP(B23,Database!$A:$M,MATCH(Recap!$G$5,Database!$A$1:$M$1,),)</f>
        <v>61404</v>
      </c>
      <c r="H23" s="121">
        <f t="shared" si="2"/>
        <v>1.5658641612840086E-3</v>
      </c>
      <c r="I23" s="119">
        <f>VLOOKUP(B23,Database!$A:$M,MATCH(Recap!$I$5,Database!$A$1:$M$1,),)</f>
        <v>156192</v>
      </c>
      <c r="J23" s="121">
        <f t="shared" si="3"/>
        <v>-2.5876101558553334E-2</v>
      </c>
      <c r="K23" s="119">
        <f>VLOOKUP(B23,Database!$A:$M,MATCH(Recap!$K$5,Database!$A$1:$M$1,),)</f>
        <v>73305</v>
      </c>
      <c r="L23" s="121">
        <f t="shared" si="4"/>
        <v>-4.8011739954806371E-2</v>
      </c>
      <c r="M23" s="119">
        <f>VLOOKUP(B23,Database!$A:$M,MATCH(Recap!$M$5,Database!$A$1:$M$1,),)</f>
        <v>28757</v>
      </c>
      <c r="N23" s="121">
        <f t="shared" si="5"/>
        <v>2.0222088196686416E-2</v>
      </c>
      <c r="O23" s="119">
        <f>VLOOKUP(B23,Database!$A:$M,MATCH(Recap!$O$5,Database!$A$1:$M$1,),)</f>
        <v>30820</v>
      </c>
      <c r="P23" s="121">
        <f t="shared" si="6"/>
        <v>1.2749737118822293E-2</v>
      </c>
      <c r="Q23" s="119">
        <f>VLOOKUP(B23,Database!$A:$M,MATCH(Recap!$Q$5,Database!$A$1:$M$1,),)</f>
        <v>21310</v>
      </c>
      <c r="R23" s="121">
        <f t="shared" si="7"/>
        <v>2.870723328156619E-3</v>
      </c>
      <c r="S23" s="119">
        <f>VLOOKUP(B23,Database!$A:$M,MATCH(Recap!$S$5,Database!$A$1:$M$1,),)</f>
        <v>18545</v>
      </c>
      <c r="T23" s="121">
        <f t="shared" si="8"/>
        <v>1.0296360862933101E-2</v>
      </c>
      <c r="U23" s="119">
        <f>VLOOKUP(B23,Database!$A:$M,MATCH(Recap!$U$5,Database!$A$1:$M$1,),)</f>
        <v>10517</v>
      </c>
      <c r="V23" s="121">
        <f t="shared" si="9"/>
        <v>1.0181538757083854E-2</v>
      </c>
    </row>
    <row r="24" spans="2:22">
      <c r="B24" s="118">
        <v>42887</v>
      </c>
      <c r="C24" s="119">
        <f>VLOOKUP(B24,Database!$A:$M,MATCH(Recap!$C$5,Database!$A$1:$M$1,),)</f>
        <v>238958</v>
      </c>
      <c r="D24" s="121">
        <f t="shared" si="0"/>
        <v>8.2075595585804656E-2</v>
      </c>
      <c r="E24" s="119">
        <f>VLOOKUP(B24,Database!$A:$M,MATCH(Recap!$E$5,Database!$A$1:$M$1,),)</f>
        <v>146109</v>
      </c>
      <c r="F24" s="121">
        <f t="shared" si="1"/>
        <v>-9.6185130958190996E-3</v>
      </c>
      <c r="G24" s="119">
        <f>VLOOKUP(B24,Database!$A:$M,MATCH(Recap!$G$5,Database!$A$1:$M$1,),)</f>
        <v>60378</v>
      </c>
      <c r="H24" s="121">
        <f t="shared" si="2"/>
        <v>-1.6709009185069377E-2</v>
      </c>
      <c r="I24" s="119">
        <f>VLOOKUP(B24,Database!$A:$M,MATCH(Recap!$I$5,Database!$A$1:$M$1,),)</f>
        <v>174911</v>
      </c>
      <c r="J24" s="121">
        <f t="shared" si="3"/>
        <v>0.11984608686744519</v>
      </c>
      <c r="K24" s="119">
        <f>VLOOKUP(B24,Database!$A:$M,MATCH(Recap!$K$5,Database!$A$1:$M$1,),)</f>
        <v>92849</v>
      </c>
      <c r="L24" s="121">
        <f t="shared" si="4"/>
        <v>0.26661210012959552</v>
      </c>
      <c r="M24" s="119">
        <f>VLOOKUP(B24,Database!$A:$M,MATCH(Recap!$M$5,Database!$A$1:$M$1,),)</f>
        <v>28505</v>
      </c>
      <c r="N24" s="121">
        <f t="shared" si="5"/>
        <v>-8.7630837709079534E-3</v>
      </c>
      <c r="O24" s="119">
        <f>VLOOKUP(B24,Database!$A:$M,MATCH(Recap!$O$5,Database!$A$1:$M$1,),)</f>
        <v>30453</v>
      </c>
      <c r="P24" s="121">
        <f t="shared" si="6"/>
        <v>-1.190785204412719E-2</v>
      </c>
      <c r="Q24" s="119">
        <f>VLOOKUP(B24,Database!$A:$M,MATCH(Recap!$Q$5,Database!$A$1:$M$1,),)</f>
        <v>21044</v>
      </c>
      <c r="R24" s="121">
        <f t="shared" si="7"/>
        <v>-1.2482402627874237E-2</v>
      </c>
      <c r="S24" s="119">
        <f>VLOOKUP(B24,Database!$A:$M,MATCH(Recap!$S$5,Database!$A$1:$M$1,),)</f>
        <v>18514</v>
      </c>
      <c r="T24" s="121">
        <f t="shared" si="8"/>
        <v>-1.6716095982744674E-3</v>
      </c>
      <c r="U24" s="119">
        <f>VLOOKUP(B24,Database!$A:$M,MATCH(Recap!$U$5,Database!$A$1:$M$1,),)</f>
        <v>10059</v>
      </c>
      <c r="V24" s="121">
        <f t="shared" si="9"/>
        <v>-4.3548540458305598E-2</v>
      </c>
    </row>
    <row r="25" spans="2:22">
      <c r="B25" s="118">
        <v>42917</v>
      </c>
      <c r="C25" s="119">
        <f>VLOOKUP(B25,Database!$A:$M,MATCH(Recap!$C$5,Database!$A$1:$M$1,),)</f>
        <v>221452</v>
      </c>
      <c r="D25" s="121">
        <f t="shared" si="0"/>
        <v>-7.325973602055591E-2</v>
      </c>
      <c r="E25" s="119">
        <f>VLOOKUP(B25,Database!$A:$M,MATCH(Recap!$E$5,Database!$A$1:$M$1,),)</f>
        <v>147906</v>
      </c>
      <c r="F25" s="121">
        <f t="shared" si="1"/>
        <v>1.2299037020306757E-2</v>
      </c>
      <c r="G25" s="119">
        <f>VLOOKUP(B25,Database!$A:$M,MATCH(Recap!$G$5,Database!$A$1:$M$1,),)</f>
        <v>61535</v>
      </c>
      <c r="H25" s="121">
        <f t="shared" si="2"/>
        <v>1.9162608897280466E-2</v>
      </c>
      <c r="I25" s="119">
        <f>VLOOKUP(B25,Database!$A:$M,MATCH(Recap!$I$5,Database!$A$1:$M$1,),)</f>
        <v>158851</v>
      </c>
      <c r="J25" s="121">
        <f t="shared" si="3"/>
        <v>-9.1818124646248667E-2</v>
      </c>
      <c r="K25" s="119">
        <f>VLOOKUP(B25,Database!$A:$M,MATCH(Recap!$K$5,Database!$A$1:$M$1,),)</f>
        <v>73546</v>
      </c>
      <c r="L25" s="121">
        <f t="shared" si="4"/>
        <v>-0.20789669247918663</v>
      </c>
      <c r="M25" s="119">
        <f>VLOOKUP(B25,Database!$A:$M,MATCH(Recap!$M$5,Database!$A$1:$M$1,),)</f>
        <v>28879</v>
      </c>
      <c r="N25" s="121">
        <f t="shared" si="5"/>
        <v>1.3120505174530783E-2</v>
      </c>
      <c r="O25" s="119">
        <f>VLOOKUP(B25,Database!$A:$M,MATCH(Recap!$O$5,Database!$A$1:$M$1,),)</f>
        <v>30687</v>
      </c>
      <c r="P25" s="121">
        <f t="shared" si="6"/>
        <v>7.6839720224608412E-3</v>
      </c>
      <c r="Q25" s="119">
        <f>VLOOKUP(B25,Database!$A:$M,MATCH(Recap!$Q$5,Database!$A$1:$M$1,),)</f>
        <v>21851</v>
      </c>
      <c r="R25" s="121">
        <f t="shared" si="7"/>
        <v>3.8348222771336246E-2</v>
      </c>
      <c r="S25" s="119">
        <f>VLOOKUP(B25,Database!$A:$M,MATCH(Recap!$S$5,Database!$A$1:$M$1,),)</f>
        <v>18695</v>
      </c>
      <c r="T25" s="121">
        <f t="shared" si="8"/>
        <v>9.7763854380468838E-3</v>
      </c>
      <c r="U25" s="119">
        <f>VLOOKUP(B25,Database!$A:$M,MATCH(Recap!$U$5,Database!$A$1:$M$1,),)</f>
        <v>10022</v>
      </c>
      <c r="V25" s="121">
        <f t="shared" si="9"/>
        <v>-3.6782980415548264E-3</v>
      </c>
    </row>
    <row r="26" spans="2:22">
      <c r="B26" s="118">
        <v>42948</v>
      </c>
      <c r="C26" s="119">
        <f>VLOOKUP(B26,Database!$A:$M,MATCH(Recap!$C$5,Database!$A$1:$M$1,),)</f>
        <v>222781</v>
      </c>
      <c r="D26" s="121">
        <f t="shared" si="0"/>
        <v>6.0013005075592006E-3</v>
      </c>
      <c r="E26" s="119">
        <f>VLOOKUP(B26,Database!$A:$M,MATCH(Recap!$E$5,Database!$A$1:$M$1,),)</f>
        <v>148674</v>
      </c>
      <c r="F26" s="121">
        <f t="shared" si="1"/>
        <v>5.1924871201979635E-3</v>
      </c>
      <c r="G26" s="119">
        <f>VLOOKUP(B26,Database!$A:$M,MATCH(Recap!$G$5,Database!$A$1:$M$1,),)</f>
        <v>61552</v>
      </c>
      <c r="H26" s="121">
        <f t="shared" si="2"/>
        <v>2.7626553993662144E-4</v>
      </c>
      <c r="I26" s="119">
        <f>VLOOKUP(B26,Database!$A:$M,MATCH(Recap!$I$5,Database!$A$1:$M$1,),)</f>
        <v>158587</v>
      </c>
      <c r="J26" s="121">
        <f t="shared" si="3"/>
        <v>-1.6619347690603145E-3</v>
      </c>
      <c r="K26" s="119">
        <f>VLOOKUP(B26,Database!$A:$M,MATCH(Recap!$K$5,Database!$A$1:$M$1,),)</f>
        <v>74107</v>
      </c>
      <c r="L26" s="121">
        <f t="shared" si="4"/>
        <v>7.6278791504636552E-3</v>
      </c>
      <c r="M26" s="119">
        <f>VLOOKUP(B26,Database!$A:$M,MATCH(Recap!$M$5,Database!$A$1:$M$1,),)</f>
        <v>29078</v>
      </c>
      <c r="N26" s="121">
        <f t="shared" si="5"/>
        <v>6.8908203192631322E-3</v>
      </c>
      <c r="O26" s="119">
        <f>VLOOKUP(B26,Database!$A:$M,MATCH(Recap!$O$5,Database!$A$1:$M$1,),)</f>
        <v>30481</v>
      </c>
      <c r="P26" s="121">
        <f t="shared" si="6"/>
        <v>-6.7129403330400492E-3</v>
      </c>
      <c r="Q26" s="119">
        <f>VLOOKUP(B26,Database!$A:$M,MATCH(Recap!$Q$5,Database!$A$1:$M$1,),)</f>
        <v>21724</v>
      </c>
      <c r="R26" s="121">
        <f t="shared" si="7"/>
        <v>-5.8120909798178577E-3</v>
      </c>
      <c r="S26" s="119">
        <f>VLOOKUP(B26,Database!$A:$M,MATCH(Recap!$S$5,Database!$A$1:$M$1,),)</f>
        <v>19360</v>
      </c>
      <c r="T26" s="121">
        <f t="shared" si="8"/>
        <v>3.5571008290986895E-2</v>
      </c>
      <c r="U26" s="119">
        <f>VLOOKUP(B26,Database!$A:$M,MATCH(Recap!$U$5,Database!$A$1:$M$1,),)</f>
        <v>10263</v>
      </c>
      <c r="V26" s="121">
        <f t="shared" si="9"/>
        <v>2.4047096387946519E-2</v>
      </c>
    </row>
    <row r="27" spans="2:22">
      <c r="B27" s="118">
        <v>42979</v>
      </c>
      <c r="C27" s="119">
        <f>VLOOKUP(B27,Database!$A:$M,MATCH(Recap!$C$5,Database!$A$1:$M$1,),)</f>
        <v>233526</v>
      </c>
      <c r="D27" s="121">
        <f t="shared" si="0"/>
        <v>4.8231222590795444E-2</v>
      </c>
      <c r="E27" s="119">
        <f>VLOOKUP(B27,Database!$A:$M,MATCH(Recap!$E$5,Database!$A$1:$M$1,),)</f>
        <v>150573</v>
      </c>
      <c r="F27" s="121">
        <f t="shared" si="1"/>
        <v>1.2772912546914726E-2</v>
      </c>
      <c r="G27" s="119">
        <f>VLOOKUP(B27,Database!$A:$M,MATCH(Recap!$G$5,Database!$A$1:$M$1,),)</f>
        <v>64088</v>
      </c>
      <c r="H27" s="121">
        <f t="shared" si="2"/>
        <v>4.1200935794125294E-2</v>
      </c>
      <c r="I27" s="119">
        <f>VLOOKUP(B27,Database!$A:$M,MATCH(Recap!$I$5,Database!$A$1:$M$1,),)</f>
        <v>169627</v>
      </c>
      <c r="J27" s="121">
        <f t="shared" si="3"/>
        <v>6.9614785575110194E-2</v>
      </c>
      <c r="K27" s="119">
        <f>VLOOKUP(B27,Database!$A:$M,MATCH(Recap!$K$5,Database!$A$1:$M$1,),)</f>
        <v>82953</v>
      </c>
      <c r="L27" s="121">
        <f t="shared" si="4"/>
        <v>0.11936794095024761</v>
      </c>
      <c r="M27" s="119">
        <f>VLOOKUP(B27,Database!$A:$M,MATCH(Recap!$M$5,Database!$A$1:$M$1,),)</f>
        <v>29780</v>
      </c>
      <c r="N27" s="121">
        <f t="shared" si="5"/>
        <v>2.414196299607951E-2</v>
      </c>
      <c r="O27" s="119">
        <f>VLOOKUP(B27,Database!$A:$M,MATCH(Recap!$O$5,Database!$A$1:$M$1,),)</f>
        <v>30880</v>
      </c>
      <c r="P27" s="121">
        <f t="shared" si="6"/>
        <v>1.3090121715166825E-2</v>
      </c>
      <c r="Q27" s="119">
        <f>VLOOKUP(B27,Database!$A:$M,MATCH(Recap!$Q$5,Database!$A$1:$M$1,),)</f>
        <v>22353</v>
      </c>
      <c r="R27" s="121">
        <f t="shared" si="7"/>
        <v>2.8954152089854537E-2</v>
      </c>
      <c r="S27" s="119">
        <f>VLOOKUP(B27,Database!$A:$M,MATCH(Recap!$S$5,Database!$A$1:$M$1,),)</f>
        <v>18811</v>
      </c>
      <c r="T27" s="121">
        <f t="shared" si="8"/>
        <v>-2.8357438016528926E-2</v>
      </c>
      <c r="U27" s="119">
        <f>VLOOKUP(B27,Database!$A:$M,MATCH(Recap!$U$5,Database!$A$1:$M$1,),)</f>
        <v>10613</v>
      </c>
      <c r="V27" s="121">
        <f t="shared" si="9"/>
        <v>3.4103088765468186E-2</v>
      </c>
    </row>
    <row r="28" spans="2:22">
      <c r="B28" s="118">
        <v>43009</v>
      </c>
      <c r="C28" s="119">
        <f>VLOOKUP(B28,Database!$A:$M,MATCH(Recap!$C$5,Database!$A$1:$M$1,),)</f>
        <v>229683</v>
      </c>
      <c r="D28" s="121">
        <f t="shared" si="0"/>
        <v>-1.6456411705762956E-2</v>
      </c>
      <c r="E28" s="119">
        <f>VLOOKUP(B28,Database!$A:$M,MATCH(Recap!$E$5,Database!$A$1:$M$1,),)</f>
        <v>152791</v>
      </c>
      <c r="F28" s="121">
        <f t="shared" si="1"/>
        <v>1.4730396551838642E-2</v>
      </c>
      <c r="G28" s="119">
        <f>VLOOKUP(B28,Database!$A:$M,MATCH(Recap!$G$5,Database!$A$1:$M$1,),)</f>
        <v>63703</v>
      </c>
      <c r="H28" s="121">
        <f t="shared" si="2"/>
        <v>-6.0073648732992136E-3</v>
      </c>
      <c r="I28" s="119">
        <f>VLOOKUP(B28,Database!$A:$M,MATCH(Recap!$I$5,Database!$A$1:$M$1,),)</f>
        <v>164246</v>
      </c>
      <c r="J28" s="121">
        <f t="shared" si="3"/>
        <v>-3.1722544170444567E-2</v>
      </c>
      <c r="K28" s="119">
        <f>VLOOKUP(B28,Database!$A:$M,MATCH(Recap!$K$5,Database!$A$1:$M$1,),)</f>
        <v>76892</v>
      </c>
      <c r="L28" s="121">
        <f t="shared" si="4"/>
        <v>-7.3065470808771238E-2</v>
      </c>
      <c r="M28" s="119">
        <f>VLOOKUP(B28,Database!$A:$M,MATCH(Recap!$M$5,Database!$A$1:$M$1,),)</f>
        <v>29571</v>
      </c>
      <c r="N28" s="121">
        <f t="shared" si="5"/>
        <v>-7.0181329751511081E-3</v>
      </c>
      <c r="O28" s="119">
        <f>VLOOKUP(B28,Database!$A:$M,MATCH(Recap!$O$5,Database!$A$1:$M$1,),)</f>
        <v>32079</v>
      </c>
      <c r="P28" s="121">
        <f t="shared" si="6"/>
        <v>3.8827720207253884E-2</v>
      </c>
      <c r="Q28" s="119">
        <f>VLOOKUP(B28,Database!$A:$M,MATCH(Recap!$Q$5,Database!$A$1:$M$1,),)</f>
        <v>22167</v>
      </c>
      <c r="R28" s="121">
        <f t="shared" si="7"/>
        <v>-8.3210307341296478E-3</v>
      </c>
      <c r="S28" s="119">
        <f>VLOOKUP(B28,Database!$A:$M,MATCH(Recap!$S$5,Database!$A$1:$M$1,),)</f>
        <v>19652</v>
      </c>
      <c r="T28" s="121">
        <f t="shared" si="8"/>
        <v>4.470788368507788E-2</v>
      </c>
      <c r="U28" s="119">
        <f>VLOOKUP(B28,Database!$A:$M,MATCH(Recap!$U$5,Database!$A$1:$M$1,),)</f>
        <v>10665</v>
      </c>
      <c r="V28" s="121">
        <f t="shared" si="9"/>
        <v>4.8996513709601433E-3</v>
      </c>
    </row>
    <row r="29" spans="2:22">
      <c r="B29" s="118">
        <v>43040</v>
      </c>
      <c r="C29" s="119">
        <f>VLOOKUP(B29,Database!$A:$M,MATCH(Recap!$C$5,Database!$A$1:$M$1,),)</f>
        <v>236897</v>
      </c>
      <c r="D29" s="121">
        <f t="shared" si="0"/>
        <v>3.1408506506794144E-2</v>
      </c>
      <c r="E29" s="119">
        <f>VLOOKUP(B29,Database!$A:$M,MATCH(Recap!$E$5,Database!$A$1:$M$1,),)</f>
        <v>153425</v>
      </c>
      <c r="F29" s="121">
        <f t="shared" si="1"/>
        <v>4.1494590649972839E-3</v>
      </c>
      <c r="G29" s="119">
        <f>VLOOKUP(B29,Database!$A:$M,MATCH(Recap!$G$5,Database!$A$1:$M$1,),)</f>
        <v>63645</v>
      </c>
      <c r="H29" s="121">
        <f t="shared" si="2"/>
        <v>-9.1047517385366465E-4</v>
      </c>
      <c r="I29" s="119">
        <f>VLOOKUP(B29,Database!$A:$M,MATCH(Recap!$I$5,Database!$A$1:$M$1,),)</f>
        <v>170535</v>
      </c>
      <c r="J29" s="121">
        <f t="shared" si="3"/>
        <v>3.8290125786929363E-2</v>
      </c>
      <c r="K29" s="119">
        <f>VLOOKUP(B29,Database!$A:$M,MATCH(Recap!$K$5,Database!$A$1:$M$1,),)</f>
        <v>83472</v>
      </c>
      <c r="L29" s="121">
        <f t="shared" si="4"/>
        <v>8.557457212713937E-2</v>
      </c>
      <c r="M29" s="119">
        <f>VLOOKUP(B29,Database!$A:$M,MATCH(Recap!$M$5,Database!$A$1:$M$1,),)</f>
        <v>30077</v>
      </c>
      <c r="N29" s="121">
        <f t="shared" si="5"/>
        <v>1.711135910182273E-2</v>
      </c>
      <c r="O29" s="119">
        <f>VLOOKUP(B29,Database!$A:$M,MATCH(Recap!$O$5,Database!$A$1:$M$1,),)</f>
        <v>30927</v>
      </c>
      <c r="P29" s="121">
        <f t="shared" si="6"/>
        <v>-3.591134386982138E-2</v>
      </c>
      <c r="Q29" s="119">
        <f>VLOOKUP(B29,Database!$A:$M,MATCH(Recap!$Q$5,Database!$A$1:$M$1,),)</f>
        <v>22833</v>
      </c>
      <c r="R29" s="121">
        <f t="shared" si="7"/>
        <v>3.0044660982541615E-2</v>
      </c>
      <c r="S29" s="119">
        <f>VLOOKUP(B29,Database!$A:$M,MATCH(Recap!$S$5,Database!$A$1:$M$1,),)</f>
        <v>19619</v>
      </c>
      <c r="T29" s="121">
        <f t="shared" si="8"/>
        <v>-1.6792184001628333E-3</v>
      </c>
      <c r="U29" s="119">
        <f>VLOOKUP(B29,Database!$A:$M,MATCH(Recap!$U$5,Database!$A$1:$M$1,),)</f>
        <v>10645</v>
      </c>
      <c r="V29" s="121">
        <f t="shared" si="9"/>
        <v>-1.875293014533521E-3</v>
      </c>
    </row>
    <row r="30" spans="2:22">
      <c r="B30" s="118">
        <v>43070</v>
      </c>
      <c r="C30" s="119">
        <f>VLOOKUP(B30,Database!$A:$M,MATCH(Recap!$C$5,Database!$A$1:$M$1,),)</f>
        <v>235042</v>
      </c>
      <c r="D30" s="121">
        <f t="shared" si="0"/>
        <v>-7.8304073078173213E-3</v>
      </c>
      <c r="E30" s="119">
        <f>VLOOKUP(B30,Database!$A:$M,MATCH(Recap!$E$5,Database!$A$1:$M$1,),)</f>
        <v>154358</v>
      </c>
      <c r="F30" s="121">
        <f t="shared" si="1"/>
        <v>6.081147140296562E-3</v>
      </c>
      <c r="G30" s="119">
        <f>VLOOKUP(B30,Database!$A:$M,MATCH(Recap!$G$5,Database!$A$1:$M$1,),)</f>
        <v>63795</v>
      </c>
      <c r="H30" s="121">
        <f t="shared" si="2"/>
        <v>2.3568230025925053E-3</v>
      </c>
      <c r="I30" s="119">
        <f>VLOOKUP(B30,Database!$A:$M,MATCH(Recap!$I$5,Database!$A$1:$M$1,),)</f>
        <v>169117</v>
      </c>
      <c r="J30" s="121">
        <f t="shared" si="3"/>
        <v>-8.3150086492508862E-3</v>
      </c>
      <c r="K30" s="119">
        <f>VLOOKUP(B30,Database!$A:$M,MATCH(Recap!$K$5,Database!$A$1:$M$1,),)</f>
        <v>80684</v>
      </c>
      <c r="L30" s="121">
        <f t="shared" si="4"/>
        <v>-3.340042169829404E-2</v>
      </c>
      <c r="M30" s="119">
        <f>VLOOKUP(B30,Database!$A:$M,MATCH(Recap!$M$5,Database!$A$1:$M$1,),)</f>
        <v>30366</v>
      </c>
      <c r="N30" s="121">
        <f t="shared" si="5"/>
        <v>9.6086710775675765E-3</v>
      </c>
      <c r="O30" s="119">
        <f>VLOOKUP(B30,Database!$A:$M,MATCH(Recap!$O$5,Database!$A$1:$M$1,),)</f>
        <v>31987</v>
      </c>
      <c r="P30" s="121">
        <f t="shared" si="6"/>
        <v>3.4274258738319269E-2</v>
      </c>
      <c r="Q30" s="119">
        <f>VLOOKUP(B30,Database!$A:$M,MATCH(Recap!$Q$5,Database!$A$1:$M$1,),)</f>
        <v>21855</v>
      </c>
      <c r="R30" s="121">
        <f t="shared" si="7"/>
        <v>-4.2832742083826043E-2</v>
      </c>
      <c r="S30" s="119">
        <f>VLOOKUP(B30,Database!$A:$M,MATCH(Recap!$S$5,Database!$A$1:$M$1,),)</f>
        <v>19651</v>
      </c>
      <c r="T30" s="121">
        <f t="shared" si="8"/>
        <v>1.631071920077476E-3</v>
      </c>
      <c r="U30" s="119">
        <f>VLOOKUP(B30,Database!$A:$M,MATCH(Recap!$U$5,Database!$A$1:$M$1,),)</f>
        <v>10748</v>
      </c>
      <c r="V30" s="121">
        <f t="shared" si="9"/>
        <v>9.6759041803663685E-3</v>
      </c>
    </row>
    <row r="31" spans="2:22">
      <c r="B31" s="118">
        <v>43101</v>
      </c>
      <c r="C31" s="119">
        <f>VLOOKUP(B31,Database!$A:$M,MATCH(Recap!$C$5,Database!$A$1:$M$1,),)</f>
        <v>225375</v>
      </c>
      <c r="D31" s="121">
        <f t="shared" si="0"/>
        <v>-4.112881953012653E-2</v>
      </c>
      <c r="E31" s="119">
        <f>VLOOKUP(B31,Database!$A:$M,MATCH(Recap!$E$5,Database!$A$1:$M$1,),)</f>
        <v>153988</v>
      </c>
      <c r="F31" s="121">
        <f t="shared" si="1"/>
        <v>-2.3970250975006153E-3</v>
      </c>
      <c r="G31" s="119">
        <f>VLOOKUP(B31,Database!$A:$M,MATCH(Recap!$G$5,Database!$A$1:$M$1,),)</f>
        <v>63324</v>
      </c>
      <c r="H31" s="121">
        <f t="shared" si="2"/>
        <v>-7.3830237479426287E-3</v>
      </c>
      <c r="I31" s="119">
        <f>VLOOKUP(B31,Database!$A:$M,MATCH(Recap!$I$5,Database!$A$1:$M$1,),)</f>
        <v>158706</v>
      </c>
      <c r="J31" s="121">
        <f t="shared" si="3"/>
        <v>-6.1560931189649767E-2</v>
      </c>
      <c r="K31" s="119">
        <f>VLOOKUP(B31,Database!$A:$M,MATCH(Recap!$K$5,Database!$A$1:$M$1,),)</f>
        <v>71387</v>
      </c>
      <c r="L31" s="121">
        <f t="shared" si="4"/>
        <v>-0.11522730652917555</v>
      </c>
      <c r="M31" s="119">
        <f>VLOOKUP(B31,Database!$A:$M,MATCH(Recap!$M$5,Database!$A$1:$M$1,),)</f>
        <v>30658</v>
      </c>
      <c r="N31" s="121">
        <f t="shared" si="5"/>
        <v>9.616017914773102E-3</v>
      </c>
      <c r="O31" s="119">
        <f>VLOOKUP(B31,Database!$A:$M,MATCH(Recap!$O$5,Database!$A$1:$M$1,),)</f>
        <v>31674</v>
      </c>
      <c r="P31" s="121">
        <f t="shared" si="6"/>
        <v>-9.7852252477569016E-3</v>
      </c>
      <c r="Q31" s="119">
        <f>VLOOKUP(B31,Database!$A:$M,MATCH(Recap!$Q$5,Database!$A$1:$M$1,),)</f>
        <v>21694</v>
      </c>
      <c r="R31" s="121">
        <f t="shared" si="7"/>
        <v>-7.3667353008464885E-3</v>
      </c>
      <c r="S31" s="119">
        <f>VLOOKUP(B31,Database!$A:$M,MATCH(Recap!$S$5,Database!$A$1:$M$1,),)</f>
        <v>20045</v>
      </c>
      <c r="T31" s="121">
        <f t="shared" si="8"/>
        <v>2.004987023561142E-2</v>
      </c>
      <c r="U31" s="119">
        <f>VLOOKUP(B31,Database!$A:$M,MATCH(Recap!$U$5,Database!$A$1:$M$1,),)</f>
        <v>10502</v>
      </c>
      <c r="V31" s="121">
        <f t="shared" si="9"/>
        <v>-2.2887979158913285E-2</v>
      </c>
    </row>
    <row r="32" spans="2:22">
      <c r="B32" s="118">
        <v>43132</v>
      </c>
      <c r="C32" s="119">
        <f>VLOOKUP(B32,Database!$A:$M,MATCH(Recap!$C$5,Database!$A$1:$M$1,),)</f>
        <v>230367</v>
      </c>
      <c r="D32" s="121">
        <f t="shared" si="0"/>
        <v>2.2149750415973377E-2</v>
      </c>
      <c r="E32" s="119">
        <f>VLOOKUP(B32,Database!$A:$M,MATCH(Recap!$E$5,Database!$A$1:$M$1,),)</f>
        <v>156117</v>
      </c>
      <c r="F32" s="121">
        <f t="shared" si="1"/>
        <v>1.3825752656051122E-2</v>
      </c>
      <c r="G32" s="119">
        <f>VLOOKUP(B32,Database!$A:$M,MATCH(Recap!$G$5,Database!$A$1:$M$1,),)</f>
        <v>64087</v>
      </c>
      <c r="H32" s="121">
        <f t="shared" si="2"/>
        <v>1.2049144084391384E-2</v>
      </c>
      <c r="I32" s="119">
        <f>VLOOKUP(B32,Database!$A:$M,MATCH(Recap!$I$5,Database!$A$1:$M$1,),)</f>
        <v>163066</v>
      </c>
      <c r="J32" s="121">
        <f t="shared" si="3"/>
        <v>2.7472181265988684E-2</v>
      </c>
      <c r="K32" s="119">
        <f>VLOOKUP(B32,Database!$A:$M,MATCH(Recap!$K$5,Database!$A$1:$M$1,),)</f>
        <v>74250</v>
      </c>
      <c r="L32" s="121">
        <f t="shared" si="4"/>
        <v>4.0105341308641629E-2</v>
      </c>
      <c r="M32" s="119">
        <f>VLOOKUP(B32,Database!$A:$M,MATCH(Recap!$M$5,Database!$A$1:$M$1,),)</f>
        <v>30968</v>
      </c>
      <c r="N32" s="121">
        <f t="shared" si="5"/>
        <v>1.0111553265053167E-2</v>
      </c>
      <c r="O32" s="119">
        <f>VLOOKUP(B32,Database!$A:$M,MATCH(Recap!$O$5,Database!$A$1:$M$1,),)</f>
        <v>32460</v>
      </c>
      <c r="P32" s="121">
        <f t="shared" si="6"/>
        <v>2.481530592915325E-2</v>
      </c>
      <c r="Q32" s="119">
        <f>VLOOKUP(B32,Database!$A:$M,MATCH(Recap!$Q$5,Database!$A$1:$M$1,),)</f>
        <v>21341</v>
      </c>
      <c r="R32" s="121">
        <f t="shared" si="7"/>
        <v>-1.6271780215727852E-2</v>
      </c>
      <c r="S32" s="119">
        <f>VLOOKUP(B32,Database!$A:$M,MATCH(Recap!$S$5,Database!$A$1:$M$1,),)</f>
        <v>20835</v>
      </c>
      <c r="T32" s="121">
        <f t="shared" si="8"/>
        <v>3.9411324519830385E-2</v>
      </c>
      <c r="U32" s="119">
        <f>VLOOKUP(B32,Database!$A:$M,MATCH(Recap!$U$5,Database!$A$1:$M$1,),)</f>
        <v>10779</v>
      </c>
      <c r="V32" s="121">
        <f t="shared" si="9"/>
        <v>2.6375928394591505E-2</v>
      </c>
    </row>
    <row r="33" spans="2:22">
      <c r="B33" s="118">
        <v>43160</v>
      </c>
      <c r="C33" s="119">
        <f>VLOOKUP(B33,Database!$A:$M,MATCH(Recap!$C$5,Database!$A$1:$M$1,),)</f>
        <v>239125</v>
      </c>
      <c r="D33" s="121">
        <f t="shared" si="0"/>
        <v>3.8017598006658937E-2</v>
      </c>
      <c r="E33" s="119">
        <f>VLOOKUP(B33,Database!$A:$M,MATCH(Recap!$E$5,Database!$A$1:$M$1,),)</f>
        <v>156933</v>
      </c>
      <c r="F33" s="121">
        <f t="shared" si="1"/>
        <v>5.2268490939487693E-3</v>
      </c>
      <c r="G33" s="119">
        <f>VLOOKUP(B33,Database!$A:$M,MATCH(Recap!$G$5,Database!$A$1:$M$1,),)</f>
        <v>63553</v>
      </c>
      <c r="H33" s="121">
        <f t="shared" si="2"/>
        <v>-8.3324231123316737E-3</v>
      </c>
      <c r="I33" s="119">
        <f>VLOOKUP(B33,Database!$A:$M,MATCH(Recap!$I$5,Database!$A$1:$M$1,),)</f>
        <v>171976</v>
      </c>
      <c r="J33" s="121">
        <f t="shared" si="3"/>
        <v>5.4640452332184515E-2</v>
      </c>
      <c r="K33" s="119">
        <f>VLOOKUP(B33,Database!$A:$M,MATCH(Recap!$K$5,Database!$A$1:$M$1,),)</f>
        <v>82192</v>
      </c>
      <c r="L33" s="121">
        <f t="shared" si="4"/>
        <v>0.10696296296296297</v>
      </c>
      <c r="M33" s="119">
        <f>VLOOKUP(B33,Database!$A:$M,MATCH(Recap!$M$5,Database!$A$1:$M$1,),)</f>
        <v>31923</v>
      </c>
      <c r="N33" s="121">
        <f t="shared" si="5"/>
        <v>3.0838284680960993E-2</v>
      </c>
      <c r="O33" s="119">
        <f>VLOOKUP(B33,Database!$A:$M,MATCH(Recap!$O$5,Database!$A$1:$M$1,),)</f>
        <v>31836</v>
      </c>
      <c r="P33" s="121">
        <f t="shared" si="6"/>
        <v>-1.9223659889094271E-2</v>
      </c>
      <c r="Q33" s="119">
        <f>VLOOKUP(B33,Database!$A:$M,MATCH(Recap!$Q$5,Database!$A$1:$M$1,),)</f>
        <v>21408</v>
      </c>
      <c r="R33" s="121">
        <f t="shared" si="7"/>
        <v>3.1394967433578556E-3</v>
      </c>
      <c r="S33" s="119">
        <f>VLOOKUP(B33,Database!$A:$M,MATCH(Recap!$S$5,Database!$A$1:$M$1,),)</f>
        <v>21181</v>
      </c>
      <c r="T33" s="121">
        <f t="shared" si="8"/>
        <v>1.6606671466282696E-2</v>
      </c>
      <c r="U33" s="119">
        <f>VLOOKUP(B33,Database!$A:$M,MATCH(Recap!$U$5,Database!$A$1:$M$1,),)</f>
        <v>10876</v>
      </c>
      <c r="V33" s="121">
        <f t="shared" si="9"/>
        <v>8.9989794971704236E-3</v>
      </c>
    </row>
    <row r="34" spans="2:22">
      <c r="B34" s="118">
        <v>43191</v>
      </c>
      <c r="C34" s="119">
        <f>VLOOKUP(B34,Database!$A:$M,MATCH(Recap!$C$5,Database!$A$1:$M$1,),)</f>
        <v>239831</v>
      </c>
      <c r="D34" s="121">
        <f t="shared" si="0"/>
        <v>2.9524307370622058E-3</v>
      </c>
      <c r="E34" s="119">
        <f>VLOOKUP(B34,Database!$A:$M,MATCH(Recap!$E$5,Database!$A$1:$M$1,),)</f>
        <v>159378</v>
      </c>
      <c r="F34" s="121">
        <f t="shared" si="1"/>
        <v>1.5579897153562347E-2</v>
      </c>
      <c r="G34" s="119">
        <f>VLOOKUP(B34,Database!$A:$M,MATCH(Recap!$G$5,Database!$A$1:$M$1,),)</f>
        <v>64909</v>
      </c>
      <c r="H34" s="121">
        <f t="shared" si="2"/>
        <v>2.133652227274873E-2</v>
      </c>
      <c r="I34" s="119">
        <f>VLOOKUP(B34,Database!$A:$M,MATCH(Recap!$I$5,Database!$A$1:$M$1,),)</f>
        <v>170999</v>
      </c>
      <c r="J34" s="121">
        <f t="shared" si="3"/>
        <v>-5.6810252593385126E-3</v>
      </c>
      <c r="K34" s="119">
        <f>VLOOKUP(B34,Database!$A:$M,MATCH(Recap!$K$5,Database!$A$1:$M$1,),)</f>
        <v>80453</v>
      </c>
      <c r="L34" s="121">
        <f t="shared" si="4"/>
        <v>-2.1157776912594899E-2</v>
      </c>
      <c r="M34" s="119">
        <f>VLOOKUP(B34,Database!$A:$M,MATCH(Recap!$M$5,Database!$A$1:$M$1,),)</f>
        <v>32221</v>
      </c>
      <c r="N34" s="121">
        <f t="shared" si="5"/>
        <v>9.3349622529210908E-3</v>
      </c>
      <c r="O34" s="119">
        <f>VLOOKUP(B34,Database!$A:$M,MATCH(Recap!$O$5,Database!$A$1:$M$1,),)</f>
        <v>32280</v>
      </c>
      <c r="P34" s="121">
        <f t="shared" si="6"/>
        <v>1.394647568790049E-2</v>
      </c>
      <c r="Q34" s="119">
        <f>VLOOKUP(B34,Database!$A:$M,MATCH(Recap!$Q$5,Database!$A$1:$M$1,),)</f>
        <v>21856</v>
      </c>
      <c r="R34" s="121">
        <f t="shared" si="7"/>
        <v>2.0926756352765322E-2</v>
      </c>
      <c r="S34" s="119">
        <f>VLOOKUP(B34,Database!$A:$M,MATCH(Recap!$S$5,Database!$A$1:$M$1,),)</f>
        <v>21959</v>
      </c>
      <c r="T34" s="121">
        <f t="shared" si="8"/>
        <v>3.6731032529153489E-2</v>
      </c>
      <c r="U34" s="119">
        <f>VLOOKUP(B34,Database!$A:$M,MATCH(Recap!$U$5,Database!$A$1:$M$1,),)</f>
        <v>11022</v>
      </c>
      <c r="V34" s="121">
        <f t="shared" si="9"/>
        <v>1.3424052960647297E-2</v>
      </c>
    </row>
    <row r="35" spans="2:22">
      <c r="B35" s="118">
        <v>43221</v>
      </c>
      <c r="C35" s="119">
        <f>VLOOKUP(B35,Database!$A:$M,MATCH(Recap!$C$5,Database!$A$1:$M$1,),)</f>
        <v>241088</v>
      </c>
      <c r="D35" s="121">
        <f t="shared" si="0"/>
        <v>5.2411906717647009E-3</v>
      </c>
      <c r="E35" s="119">
        <f>VLOOKUP(B35,Database!$A:$M,MATCH(Recap!$E$5,Database!$A$1:$M$1,),)</f>
        <v>161173</v>
      </c>
      <c r="F35" s="121">
        <f t="shared" si="1"/>
        <v>1.1262533097416205E-2</v>
      </c>
      <c r="G35" s="119">
        <f>VLOOKUP(B35,Database!$A:$M,MATCH(Recap!$G$5,Database!$A$1:$M$1,),)</f>
        <v>66231</v>
      </c>
      <c r="H35" s="121">
        <f t="shared" si="2"/>
        <v>2.0366975303886981E-2</v>
      </c>
      <c r="I35" s="119">
        <f>VLOOKUP(B35,Database!$A:$M,MATCH(Recap!$I$5,Database!$A$1:$M$1,),)</f>
        <v>175471</v>
      </c>
      <c r="J35" s="121">
        <f t="shared" si="3"/>
        <v>2.6152199720466202E-2</v>
      </c>
      <c r="K35" s="119">
        <f>VLOOKUP(B35,Database!$A:$M,MATCH(Recap!$K$5,Database!$A$1:$M$1,),)</f>
        <v>79915</v>
      </c>
      <c r="L35" s="121">
        <f t="shared" si="4"/>
        <v>-6.6871341031409645E-3</v>
      </c>
      <c r="M35" s="119">
        <f>VLOOKUP(B35,Database!$A:$M,MATCH(Recap!$M$5,Database!$A$1:$M$1,),)</f>
        <v>32337</v>
      </c>
      <c r="N35" s="121">
        <f t="shared" si="5"/>
        <v>3.6001365569038827E-3</v>
      </c>
      <c r="O35" s="119">
        <f>VLOOKUP(B35,Database!$A:$M,MATCH(Recap!$O$5,Database!$A$1:$M$1,),)</f>
        <v>33533</v>
      </c>
      <c r="P35" s="121">
        <f t="shared" si="6"/>
        <v>3.8816604708798018E-2</v>
      </c>
      <c r="Q35" s="119">
        <f>VLOOKUP(B35,Database!$A:$M,MATCH(Recap!$Q$5,Database!$A$1:$M$1,),)</f>
        <v>22150</v>
      </c>
      <c r="R35" s="121">
        <f t="shared" si="7"/>
        <v>1.3451683748169839E-2</v>
      </c>
      <c r="S35" s="119">
        <f>VLOOKUP(B35,Database!$A:$M,MATCH(Recap!$S$5,Database!$A$1:$M$1,),)</f>
        <v>21989</v>
      </c>
      <c r="T35" s="121">
        <f t="shared" si="8"/>
        <v>1.3661824308939387E-3</v>
      </c>
      <c r="U35" s="119">
        <f>VLOOKUP(B35,Database!$A:$M,MATCH(Recap!$U$5,Database!$A$1:$M$1,),)</f>
        <v>11016</v>
      </c>
      <c r="V35" s="121">
        <f t="shared" si="9"/>
        <v>-5.4436581382689172E-4</v>
      </c>
    </row>
    <row r="36" spans="2:22">
      <c r="B36" s="118">
        <v>43252</v>
      </c>
      <c r="C36" s="119">
        <f>VLOOKUP(B36,Database!$A:$M,MATCH(Recap!$C$5,Database!$A$1:$M$1,),)</f>
        <v>241378</v>
      </c>
      <c r="D36" s="121">
        <f t="shared" si="0"/>
        <v>1.2028802760817626E-3</v>
      </c>
      <c r="E36" s="119">
        <f>VLOOKUP(B36,Database!$A:$M,MATCH(Recap!$E$5,Database!$A$1:$M$1,),)</f>
        <v>161822</v>
      </c>
      <c r="F36" s="121">
        <f t="shared" si="1"/>
        <v>4.0267290427056643E-3</v>
      </c>
      <c r="G36" s="119">
        <f>VLOOKUP(B36,Database!$A:$M,MATCH(Recap!$G$5,Database!$A$1:$M$1,),)</f>
        <v>67247</v>
      </c>
      <c r="H36" s="121">
        <f t="shared" si="2"/>
        <v>1.5340248524105026E-2</v>
      </c>
      <c r="I36" s="119">
        <f>VLOOKUP(B36,Database!$A:$M,MATCH(Recap!$I$5,Database!$A$1:$M$1,),)</f>
        <v>173527</v>
      </c>
      <c r="J36" s="121">
        <f t="shared" si="3"/>
        <v>-1.1078753754181603E-2</v>
      </c>
      <c r="K36" s="119">
        <f>VLOOKUP(B36,Database!$A:$M,MATCH(Recap!$K$5,Database!$A$1:$M$1,),)</f>
        <v>79556</v>
      </c>
      <c r="L36" s="121">
        <f t="shared" si="4"/>
        <v>-4.4922730401051117E-3</v>
      </c>
      <c r="M36" s="119">
        <f>VLOOKUP(B36,Database!$A:$M,MATCH(Recap!$M$5,Database!$A$1:$M$1,),)</f>
        <v>32344</v>
      </c>
      <c r="N36" s="121">
        <f t="shared" si="5"/>
        <v>2.1647029718279369E-4</v>
      </c>
      <c r="O36" s="119">
        <f>VLOOKUP(B36,Database!$A:$M,MATCH(Recap!$O$5,Database!$A$1:$M$1,),)</f>
        <v>33808</v>
      </c>
      <c r="P36" s="121">
        <f t="shared" si="6"/>
        <v>8.2008767482778158E-3</v>
      </c>
      <c r="Q36" s="119">
        <f>VLOOKUP(B36,Database!$A:$M,MATCH(Recap!$Q$5,Database!$A$1:$M$1,),)</f>
        <v>22335</v>
      </c>
      <c r="R36" s="121">
        <f t="shared" si="7"/>
        <v>8.3521444695259586E-3</v>
      </c>
      <c r="S36" s="119">
        <f>VLOOKUP(B36,Database!$A:$M,MATCH(Recap!$S$5,Database!$A$1:$M$1,),)</f>
        <v>21982</v>
      </c>
      <c r="T36" s="121">
        <f t="shared" si="8"/>
        <v>-3.1834098867615626E-4</v>
      </c>
      <c r="U36" s="119">
        <f>VLOOKUP(B36,Database!$A:$M,MATCH(Recap!$U$5,Database!$A$1:$M$1,),)</f>
        <v>11168</v>
      </c>
      <c r="V36" s="121">
        <f t="shared" si="9"/>
        <v>1.3798111837327523E-2</v>
      </c>
    </row>
    <row r="37" spans="2:22">
      <c r="B37" s="118">
        <v>43282</v>
      </c>
      <c r="C37" s="119">
        <f>VLOOKUP(B37,Database!$A:$M,MATCH(Recap!$C$5,Database!$A$1:$M$1,),)</f>
        <v>233787</v>
      </c>
      <c r="D37" s="121">
        <f t="shared" si="0"/>
        <v>-3.1448599292396157E-2</v>
      </c>
      <c r="E37" s="119">
        <f>VLOOKUP(B37,Database!$A:$M,MATCH(Recap!$E$5,Database!$A$1:$M$1,),)</f>
        <v>162169</v>
      </c>
      <c r="F37" s="121">
        <f t="shared" si="1"/>
        <v>2.1443314258877038E-3</v>
      </c>
      <c r="G37" s="119">
        <f>VLOOKUP(B37,Database!$A:$M,MATCH(Recap!$G$5,Database!$A$1:$M$1,),)</f>
        <v>68749</v>
      </c>
      <c r="H37" s="121">
        <f t="shared" si="2"/>
        <v>2.2335568872960877E-2</v>
      </c>
      <c r="I37" s="119">
        <f>VLOOKUP(B37,Database!$A:$M,MATCH(Recap!$I$5,Database!$A$1:$M$1,),)</f>
        <v>164780</v>
      </c>
      <c r="J37" s="121">
        <f t="shared" si="3"/>
        <v>-5.0407141251793672E-2</v>
      </c>
      <c r="K37" s="119">
        <f>VLOOKUP(B37,Database!$A:$M,MATCH(Recap!$K$5,Database!$A$1:$M$1,),)</f>
        <v>71618</v>
      </c>
      <c r="L37" s="121">
        <f t="shared" si="4"/>
        <v>-9.9778772185630249E-2</v>
      </c>
      <c r="M37" s="119">
        <f>VLOOKUP(B37,Database!$A:$M,MATCH(Recap!$M$5,Database!$A$1:$M$1,),)</f>
        <v>32251</v>
      </c>
      <c r="N37" s="121">
        <f t="shared" si="5"/>
        <v>-2.8753400939896118E-3</v>
      </c>
      <c r="O37" s="119">
        <f>VLOOKUP(B37,Database!$A:$M,MATCH(Recap!$O$5,Database!$A$1:$M$1,),)</f>
        <v>34160</v>
      </c>
      <c r="P37" s="121">
        <f t="shared" si="6"/>
        <v>1.0411736867013724E-2</v>
      </c>
      <c r="Q37" s="119">
        <f>VLOOKUP(B37,Database!$A:$M,MATCH(Recap!$Q$5,Database!$A$1:$M$1,),)</f>
        <v>22478</v>
      </c>
      <c r="R37" s="121">
        <f t="shared" si="7"/>
        <v>6.4025072755764497E-3</v>
      </c>
      <c r="S37" s="119">
        <f>VLOOKUP(B37,Database!$A:$M,MATCH(Recap!$S$5,Database!$A$1:$M$1,),)</f>
        <v>22084</v>
      </c>
      <c r="T37" s="121">
        <f t="shared" si="8"/>
        <v>4.6401601310162863E-3</v>
      </c>
      <c r="U37" s="119">
        <f>VLOOKUP(B37,Database!$A:$M,MATCH(Recap!$U$5,Database!$A$1:$M$1,),)</f>
        <v>11106</v>
      </c>
      <c r="V37" s="121">
        <f t="shared" si="9"/>
        <v>-5.5515759312320919E-3</v>
      </c>
    </row>
    <row r="38" spans="2:22">
      <c r="B38" s="118">
        <v>43313</v>
      </c>
      <c r="C38" s="119">
        <f>VLOOKUP(B38,Database!$A:$M,MATCH(Recap!$C$5,Database!$A$1:$M$1,),)</f>
        <v>248174</v>
      </c>
      <c r="D38" s="121">
        <f t="shared" si="0"/>
        <v>6.1538922181301782E-2</v>
      </c>
      <c r="E38" s="119">
        <f>VLOOKUP(B38,Database!$A:$M,MATCH(Recap!$E$5,Database!$A$1:$M$1,),)</f>
        <v>160301</v>
      </c>
      <c r="F38" s="121">
        <f t="shared" si="1"/>
        <v>-1.1518847621925276E-2</v>
      </c>
      <c r="G38" s="119">
        <f>VLOOKUP(B38,Database!$A:$M,MATCH(Recap!$G$5,Database!$A$1:$M$1,),)</f>
        <v>66798</v>
      </c>
      <c r="H38" s="121">
        <f t="shared" si="2"/>
        <v>-2.8378594597739604E-2</v>
      </c>
      <c r="I38" s="119">
        <f>VLOOKUP(B38,Database!$A:$M,MATCH(Recap!$I$5,Database!$A$1:$M$1,),)</f>
        <v>179888</v>
      </c>
      <c r="J38" s="121">
        <f t="shared" si="3"/>
        <v>9.1685884209248697E-2</v>
      </c>
      <c r="K38" s="119">
        <f>VLOOKUP(B38,Database!$A:$M,MATCH(Recap!$K$5,Database!$A$1:$M$1,),)</f>
        <v>87873</v>
      </c>
      <c r="L38" s="121">
        <f t="shared" si="4"/>
        <v>0.22696808065011589</v>
      </c>
      <c r="M38" s="119">
        <f>VLOOKUP(B38,Database!$A:$M,MATCH(Recap!$M$5,Database!$A$1:$M$1,),)</f>
        <v>31965</v>
      </c>
      <c r="N38" s="121">
        <f t="shared" si="5"/>
        <v>-8.8679420793153704E-3</v>
      </c>
      <c r="O38" s="119">
        <f>VLOOKUP(B38,Database!$A:$M,MATCH(Recap!$O$5,Database!$A$1:$M$1,),)</f>
        <v>33335</v>
      </c>
      <c r="P38" s="121">
        <f t="shared" si="6"/>
        <v>-2.4151053864168617E-2</v>
      </c>
      <c r="Q38" s="119">
        <f>VLOOKUP(B38,Database!$A:$M,MATCH(Recap!$Q$5,Database!$A$1:$M$1,),)</f>
        <v>22193</v>
      </c>
      <c r="R38" s="121">
        <f t="shared" si="7"/>
        <v>-1.2679063973663137E-2</v>
      </c>
      <c r="S38" s="119">
        <f>VLOOKUP(B38,Database!$A:$M,MATCH(Recap!$S$5,Database!$A$1:$M$1,),)</f>
        <v>21863</v>
      </c>
      <c r="T38" s="121">
        <f t="shared" si="8"/>
        <v>-1.0007245064299945E-2</v>
      </c>
      <c r="U38" s="119">
        <f>VLOOKUP(B38,Database!$A:$M,MATCH(Recap!$U$5,Database!$A$1:$M$1,),)</f>
        <v>11169</v>
      </c>
      <c r="V38" s="121">
        <f t="shared" si="9"/>
        <v>5.6726094003241492E-3</v>
      </c>
    </row>
    <row r="39" spans="2:22">
      <c r="B39" s="118">
        <v>43344</v>
      </c>
      <c r="C39" s="119">
        <f>VLOOKUP(B39,Database!$A:$M,MATCH(Recap!$C$5,Database!$A$1:$M$1,),)</f>
        <v>244959</v>
      </c>
      <c r="D39" s="121">
        <f t="shared" si="0"/>
        <v>-1.2954620548486142E-2</v>
      </c>
      <c r="E39" s="119">
        <f>VLOOKUP(B39,Database!$A:$M,MATCH(Recap!$E$5,Database!$A$1:$M$1,),)</f>
        <v>159376</v>
      </c>
      <c r="F39" s="121">
        <f t="shared" si="1"/>
        <v>-5.7703944454494983E-3</v>
      </c>
      <c r="G39" s="119">
        <f>VLOOKUP(B39,Database!$A:$M,MATCH(Recap!$G$5,Database!$A$1:$M$1,),)</f>
        <v>66399</v>
      </c>
      <c r="H39" s="121">
        <f t="shared" si="2"/>
        <v>-5.9732327315189081E-3</v>
      </c>
      <c r="I39" s="119">
        <f>VLOOKUP(B39,Database!$A:$M,MATCH(Recap!$I$5,Database!$A$1:$M$1,),)</f>
        <v>176616</v>
      </c>
      <c r="J39" s="121">
        <f t="shared" si="3"/>
        <v>-1.81890954371609E-2</v>
      </c>
      <c r="K39" s="119">
        <f>VLOOKUP(B39,Database!$A:$M,MATCH(Recap!$K$5,Database!$A$1:$M$1,),)</f>
        <v>85583</v>
      </c>
      <c r="L39" s="121">
        <f t="shared" si="4"/>
        <v>-2.6060337077373028E-2</v>
      </c>
      <c r="M39" s="119">
        <f>VLOOKUP(B39,Database!$A:$M,MATCH(Recap!$M$5,Database!$A$1:$M$1,),)</f>
        <v>31305</v>
      </c>
      <c r="N39" s="121">
        <f t="shared" si="5"/>
        <v>-2.0647583294228063E-2</v>
      </c>
      <c r="O39" s="119">
        <f>VLOOKUP(B39,Database!$A:$M,MATCH(Recap!$O$5,Database!$A$1:$M$1,),)</f>
        <v>33662</v>
      </c>
      <c r="P39" s="121">
        <f t="shared" si="6"/>
        <v>9.8095095245237744E-3</v>
      </c>
      <c r="Q39" s="119">
        <f>VLOOKUP(B39,Database!$A:$M,MATCH(Recap!$Q$5,Database!$A$1:$M$1,),)</f>
        <v>21724</v>
      </c>
      <c r="R39" s="121">
        <f t="shared" si="7"/>
        <v>-2.1132789618348129E-2</v>
      </c>
      <c r="S39" s="119">
        <f>VLOOKUP(B39,Database!$A:$M,MATCH(Recap!$S$5,Database!$A$1:$M$1,),)</f>
        <v>21740</v>
      </c>
      <c r="T39" s="121">
        <f t="shared" si="8"/>
        <v>-5.6259433746512376E-3</v>
      </c>
      <c r="U39" s="119">
        <f>VLOOKUP(B39,Database!$A:$M,MATCH(Recap!$U$5,Database!$A$1:$M$1,),)</f>
        <v>11103</v>
      </c>
      <c r="V39" s="121">
        <f t="shared" si="9"/>
        <v>-5.9092130002686002E-3</v>
      </c>
    </row>
    <row r="40" spans="2:22">
      <c r="B40" s="118">
        <v>43374</v>
      </c>
      <c r="C40" s="119">
        <f>VLOOKUP(B40,Database!$A:$M,MATCH(Recap!$C$5,Database!$A$1:$M$1,),)</f>
        <v>239485</v>
      </c>
      <c r="D40" s="121">
        <f t="shared" si="0"/>
        <v>-2.2346596777419896E-2</v>
      </c>
      <c r="E40" s="119">
        <f>VLOOKUP(B40,Database!$A:$M,MATCH(Recap!$E$5,Database!$A$1:$M$1,),)</f>
        <v>160988</v>
      </c>
      <c r="F40" s="121">
        <f t="shared" si="1"/>
        <v>1.0114446340728842E-2</v>
      </c>
      <c r="G40" s="119">
        <f>VLOOKUP(B40,Database!$A:$M,MATCH(Recap!$G$5,Database!$A$1:$M$1,),)</f>
        <v>67104</v>
      </c>
      <c r="H40" s="121">
        <f t="shared" si="2"/>
        <v>1.0617629783581078E-2</v>
      </c>
      <c r="I40" s="119">
        <f>VLOOKUP(B40,Database!$A:$M,MATCH(Recap!$I$5,Database!$A$1:$M$1,),)</f>
        <v>170058</v>
      </c>
      <c r="J40" s="121">
        <f t="shared" si="3"/>
        <v>-3.7131403723331971E-2</v>
      </c>
      <c r="K40" s="119">
        <f>VLOOKUP(B40,Database!$A:$M,MATCH(Recap!$K$5,Database!$A$1:$M$1,),)</f>
        <v>78497</v>
      </c>
      <c r="L40" s="121">
        <f t="shared" si="4"/>
        <v>-8.2796817124896296E-2</v>
      </c>
      <c r="M40" s="119">
        <f>VLOOKUP(B40,Database!$A:$M,MATCH(Recap!$M$5,Database!$A$1:$M$1,),)</f>
        <v>31559</v>
      </c>
      <c r="N40" s="121">
        <f t="shared" si="5"/>
        <v>8.1137198530586169E-3</v>
      </c>
      <c r="O40" s="119">
        <f>VLOOKUP(B40,Database!$A:$M,MATCH(Recap!$O$5,Database!$A$1:$M$1,),)</f>
        <v>34214</v>
      </c>
      <c r="P40" s="121">
        <f t="shared" si="6"/>
        <v>1.6398312637395284E-2</v>
      </c>
      <c r="Q40" s="119">
        <f>VLOOKUP(B40,Database!$A:$M,MATCH(Recap!$Q$5,Database!$A$1:$M$1,),)</f>
        <v>22537</v>
      </c>
      <c r="R40" s="121">
        <f t="shared" si="7"/>
        <v>3.742404713680722E-2</v>
      </c>
      <c r="S40" s="119">
        <f>VLOOKUP(B40,Database!$A:$M,MATCH(Recap!$S$5,Database!$A$1:$M$1,),)</f>
        <v>21833</v>
      </c>
      <c r="T40" s="121">
        <f t="shared" si="8"/>
        <v>4.2778288868445266E-3</v>
      </c>
      <c r="U40" s="119">
        <f>VLOOKUP(B40,Database!$A:$M,MATCH(Recap!$U$5,Database!$A$1:$M$1,),)</f>
        <v>11308</v>
      </c>
      <c r="V40" s="121">
        <f t="shared" si="9"/>
        <v>1.8463478339187607E-2</v>
      </c>
    </row>
    <row r="41" spans="2:22">
      <c r="B41" s="118">
        <v>43405</v>
      </c>
      <c r="C41" s="119">
        <f>VLOOKUP(B41,Database!$A:$M,MATCH(Recap!$C$5,Database!$A$1:$M$1,),)</f>
        <v>229415</v>
      </c>
      <c r="D41" s="121">
        <f t="shared" si="0"/>
        <v>-4.2048562540451383E-2</v>
      </c>
      <c r="E41" s="119">
        <f>VLOOKUP(B41,Database!$A:$M,MATCH(Recap!$E$5,Database!$A$1:$M$1,),)</f>
        <v>157324</v>
      </c>
      <c r="F41" s="121">
        <f t="shared" si="1"/>
        <v>-2.2759460332447138E-2</v>
      </c>
      <c r="G41" s="119">
        <f>VLOOKUP(B41,Database!$A:$M,MATCH(Recap!$G$5,Database!$A$1:$M$1,),)</f>
        <v>64292</v>
      </c>
      <c r="H41" s="121">
        <f t="shared" si="2"/>
        <v>-4.1905102527420121E-2</v>
      </c>
      <c r="I41" s="119">
        <f>VLOOKUP(B41,Database!$A:$M,MATCH(Recap!$I$5,Database!$A$1:$M$1,),)</f>
        <v>160838</v>
      </c>
      <c r="J41" s="121">
        <f t="shared" si="3"/>
        <v>-5.4216796622328853E-2</v>
      </c>
      <c r="K41" s="119">
        <f>VLOOKUP(B41,Database!$A:$M,MATCH(Recap!$K$5,Database!$A$1:$M$1,),)</f>
        <v>72091</v>
      </c>
      <c r="L41" s="121">
        <f t="shared" si="4"/>
        <v>-8.1608214326662168E-2</v>
      </c>
      <c r="M41" s="119">
        <f>VLOOKUP(B41,Database!$A:$M,MATCH(Recap!$M$5,Database!$A$1:$M$1,),)</f>
        <v>31962</v>
      </c>
      <c r="N41" s="121">
        <f t="shared" si="5"/>
        <v>1.2769732881270002E-2</v>
      </c>
      <c r="O41" s="119">
        <f>VLOOKUP(B41,Database!$A:$M,MATCH(Recap!$O$5,Database!$A$1:$M$1,),)</f>
        <v>31364</v>
      </c>
      <c r="P41" s="121">
        <f t="shared" si="6"/>
        <v>-8.3299234231601099E-2</v>
      </c>
      <c r="Q41" s="119">
        <f>VLOOKUP(B41,Database!$A:$M,MATCH(Recap!$Q$5,Database!$A$1:$M$1,),)</f>
        <v>22597</v>
      </c>
      <c r="R41" s="121">
        <f t="shared" si="7"/>
        <v>2.6622886808359589E-3</v>
      </c>
      <c r="S41" s="119">
        <f>VLOOKUP(B41,Database!$A:$M,MATCH(Recap!$S$5,Database!$A$1:$M$1,),)</f>
        <v>21438</v>
      </c>
      <c r="T41" s="121">
        <f t="shared" si="8"/>
        <v>-1.8091879265332296E-2</v>
      </c>
      <c r="U41" s="119">
        <f>VLOOKUP(B41,Database!$A:$M,MATCH(Recap!$U$5,Database!$A$1:$M$1,),)</f>
        <v>10903</v>
      </c>
      <c r="V41" s="121">
        <f t="shared" si="9"/>
        <v>-3.5815351963211887E-2</v>
      </c>
    </row>
    <row r="42" spans="2:22">
      <c r="B42" s="118">
        <v>43435</v>
      </c>
      <c r="C42" s="119">
        <f>VLOOKUP(B42,Database!$A:$M,MATCH(Recap!$C$5,Database!$A$1:$M$1,),)</f>
        <v>242371</v>
      </c>
      <c r="D42" s="121">
        <f t="shared" si="0"/>
        <v>5.6474075365603817E-2</v>
      </c>
      <c r="E42" s="119">
        <f>VLOOKUP(B42,Database!$A:$M,MATCH(Recap!$E$5,Database!$A$1:$M$1,),)</f>
        <v>158140</v>
      </c>
      <c r="F42" s="121">
        <f t="shared" si="1"/>
        <v>5.1867483664285166E-3</v>
      </c>
      <c r="G42" s="119">
        <f>VLOOKUP(B42,Database!$A:$M,MATCH(Recap!$G$5,Database!$A$1:$M$1,),)</f>
        <v>64894</v>
      </c>
      <c r="H42" s="121">
        <f t="shared" si="2"/>
        <v>9.3635288993965029E-3</v>
      </c>
      <c r="I42" s="119">
        <f>VLOOKUP(B42,Database!$A:$M,MATCH(Recap!$I$5,Database!$A$1:$M$1,),)</f>
        <v>172950</v>
      </c>
      <c r="J42" s="121">
        <f t="shared" si="3"/>
        <v>7.530558698814957E-2</v>
      </c>
      <c r="K42" s="119">
        <f>VLOOKUP(B42,Database!$A:$M,MATCH(Recap!$K$5,Database!$A$1:$M$1,),)</f>
        <v>84231</v>
      </c>
      <c r="L42" s="121">
        <f t="shared" si="4"/>
        <v>0.16839827440318486</v>
      </c>
      <c r="M42" s="119">
        <f>VLOOKUP(B42,Database!$A:$M,MATCH(Recap!$M$5,Database!$A$1:$M$1,),)</f>
        <v>31929</v>
      </c>
      <c r="N42" s="121">
        <f t="shared" si="5"/>
        <v>-1.0324760653275765E-3</v>
      </c>
      <c r="O42" s="119">
        <f>VLOOKUP(B42,Database!$A:$M,MATCH(Recap!$O$5,Database!$A$1:$M$1,),)</f>
        <v>32331</v>
      </c>
      <c r="P42" s="121">
        <f t="shared" si="6"/>
        <v>3.0831526590996045E-2</v>
      </c>
      <c r="Q42" s="119">
        <f>VLOOKUP(B42,Database!$A:$M,MATCH(Recap!$Q$5,Database!$A$1:$M$1,),)</f>
        <v>22470</v>
      </c>
      <c r="R42" s="121">
        <f t="shared" si="7"/>
        <v>-5.6202150727972739E-3</v>
      </c>
      <c r="S42" s="119">
        <f>VLOOKUP(B42,Database!$A:$M,MATCH(Recap!$S$5,Database!$A$1:$M$1,),)</f>
        <v>21299</v>
      </c>
      <c r="T42" s="121">
        <f t="shared" si="8"/>
        <v>-6.4838137885996827E-3</v>
      </c>
      <c r="U42" s="119">
        <f>VLOOKUP(B42,Database!$A:$M,MATCH(Recap!$U$5,Database!$A$1:$M$1,),)</f>
        <v>10884</v>
      </c>
      <c r="V42" s="121">
        <f t="shared" si="9"/>
        <v>-1.7426396404659269E-3</v>
      </c>
    </row>
    <row r="43" spans="2:22">
      <c r="B43" s="118">
        <v>43466</v>
      </c>
      <c r="C43" s="119">
        <f>VLOOKUP(B43,Database!$A:$M,MATCH(Recap!$C$5,Database!$A$1:$M$1,),)</f>
        <v>252305</v>
      </c>
      <c r="D43" s="121">
        <f t="shared" si="0"/>
        <v>4.0986751715345486E-2</v>
      </c>
      <c r="E43" s="119">
        <f>VLOOKUP(B43,Database!$A:$M,MATCH(Recap!$E$5,Database!$A$1:$M$1,),)</f>
        <v>157472</v>
      </c>
      <c r="F43" s="121">
        <f t="shared" si="1"/>
        <v>-4.2241052232199318E-3</v>
      </c>
      <c r="G43" s="119">
        <f>VLOOKUP(B43,Database!$A:$M,MATCH(Recap!$G$5,Database!$A$1:$M$1,),)</f>
        <v>65841</v>
      </c>
      <c r="H43" s="121">
        <f t="shared" si="2"/>
        <v>1.4593028631306439E-2</v>
      </c>
      <c r="I43" s="119">
        <f>VLOOKUP(B43,Database!$A:$M,MATCH(Recap!$I$5,Database!$A$1:$M$1,),)</f>
        <v>183707</v>
      </c>
      <c r="J43" s="121">
        <f t="shared" si="3"/>
        <v>6.2197166811217112E-2</v>
      </c>
      <c r="K43" s="119">
        <f>VLOOKUP(B43,Database!$A:$M,MATCH(Recap!$K$5,Database!$A$1:$M$1,),)</f>
        <v>94833</v>
      </c>
      <c r="L43" s="121">
        <f t="shared" si="4"/>
        <v>0.125868148306443</v>
      </c>
      <c r="M43" s="119">
        <f>VLOOKUP(B43,Database!$A:$M,MATCH(Recap!$M$5,Database!$A$1:$M$1,),)</f>
        <v>31899</v>
      </c>
      <c r="N43" s="121">
        <f t="shared" si="5"/>
        <v>-9.3958470356102599E-4</v>
      </c>
      <c r="O43" s="119">
        <f>VLOOKUP(B43,Database!$A:$M,MATCH(Recap!$O$5,Database!$A$1:$M$1,),)</f>
        <v>33372</v>
      </c>
      <c r="P43" s="121">
        <f t="shared" si="6"/>
        <v>3.2198199870093716E-2</v>
      </c>
      <c r="Q43" s="119">
        <f>VLOOKUP(B43,Database!$A:$M,MATCH(Recap!$Q$5,Database!$A$1:$M$1,),)</f>
        <v>22092</v>
      </c>
      <c r="R43" s="121">
        <f t="shared" si="7"/>
        <v>-1.6822429906542057E-2</v>
      </c>
      <c r="S43" s="119">
        <f>VLOOKUP(B43,Database!$A:$M,MATCH(Recap!$S$5,Database!$A$1:$M$1,),)</f>
        <v>20097</v>
      </c>
      <c r="T43" s="121">
        <f t="shared" si="8"/>
        <v>-5.6434574393163996E-2</v>
      </c>
      <c r="U43" s="119">
        <f>VLOOKUP(B43,Database!$A:$M,MATCH(Recap!$U$5,Database!$A$1:$M$1,),)</f>
        <v>10918</v>
      </c>
      <c r="V43" s="121">
        <f t="shared" si="9"/>
        <v>3.1238515251745683E-3</v>
      </c>
    </row>
    <row r="44" spans="2:22">
      <c r="B44" s="118">
        <v>43497</v>
      </c>
      <c r="C44" s="119">
        <f>VLOOKUP(B44,Database!$A:$M,MATCH(Recap!$C$5,Database!$A$1:$M$1,),)</f>
        <v>243241</v>
      </c>
      <c r="D44" s="121">
        <f t="shared" si="0"/>
        <v>-3.5924773587523037E-2</v>
      </c>
      <c r="E44" s="119">
        <f>VLOOKUP(B44,Database!$A:$M,MATCH(Recap!$E$5,Database!$A$1:$M$1,),)</f>
        <v>156980</v>
      </c>
      <c r="F44" s="121">
        <f t="shared" si="1"/>
        <v>-3.1243649664702295E-3</v>
      </c>
      <c r="G44" s="119">
        <f>VLOOKUP(B44,Database!$A:$M,MATCH(Recap!$G$5,Database!$A$1:$M$1,),)</f>
        <v>65221</v>
      </c>
      <c r="H44" s="121">
        <f t="shared" si="2"/>
        <v>-9.416624899378806E-3</v>
      </c>
      <c r="I44" s="119">
        <f>VLOOKUP(B44,Database!$A:$M,MATCH(Recap!$I$5,Database!$A$1:$M$1,),)</f>
        <v>174574</v>
      </c>
      <c r="J44" s="121">
        <f t="shared" si="3"/>
        <v>-4.9715035355212378E-2</v>
      </c>
      <c r="K44" s="119">
        <f>VLOOKUP(B44,Database!$A:$M,MATCH(Recap!$K$5,Database!$A$1:$M$1,),)</f>
        <v>86261</v>
      </c>
      <c r="L44" s="121">
        <f t="shared" si="4"/>
        <v>-9.0390475889194688E-2</v>
      </c>
      <c r="M44" s="119">
        <f>VLOOKUP(B44,Database!$A:$M,MATCH(Recap!$M$5,Database!$A$1:$M$1,),)</f>
        <v>31883</v>
      </c>
      <c r="N44" s="121">
        <f t="shared" si="5"/>
        <v>-5.0158312172795389E-4</v>
      </c>
      <c r="O44" s="119">
        <f>VLOOKUP(B44,Database!$A:$M,MATCH(Recap!$O$5,Database!$A$1:$M$1,),)</f>
        <v>32674</v>
      </c>
      <c r="P44" s="121">
        <f t="shared" si="6"/>
        <v>-2.0915737744216709E-2</v>
      </c>
      <c r="Q44" s="119">
        <f>VLOOKUP(B44,Database!$A:$M,MATCH(Recap!$Q$5,Database!$A$1:$M$1,),)</f>
        <v>21831</v>
      </c>
      <c r="R44" s="121">
        <f t="shared" si="7"/>
        <v>-1.1814231395980446E-2</v>
      </c>
      <c r="S44" s="119">
        <f>VLOOKUP(B44,Database!$A:$M,MATCH(Recap!$S$5,Database!$A$1:$M$1,),)</f>
        <v>20659</v>
      </c>
      <c r="T44" s="121">
        <f t="shared" si="8"/>
        <v>2.7964372791959E-2</v>
      </c>
      <c r="U44" s="119">
        <f>VLOOKUP(B44,Database!$A:$M,MATCH(Recap!$U$5,Database!$A$1:$M$1,),)</f>
        <v>10899</v>
      </c>
      <c r="V44" s="121">
        <f t="shared" si="9"/>
        <v>-1.7402454662026011E-3</v>
      </c>
    </row>
    <row r="45" spans="2:22">
      <c r="B45" s="118">
        <v>43525</v>
      </c>
      <c r="C45" s="119">
        <f>VLOOKUP(B45,Database!$A:$M,MATCH(Recap!$C$5,Database!$A$1:$M$1,),)</f>
        <v>255924</v>
      </c>
      <c r="D45" s="121">
        <f t="shared" si="0"/>
        <v>5.2141703084595113E-2</v>
      </c>
      <c r="E45" s="119">
        <f>VLOOKUP(B45,Database!$A:$M,MATCH(Recap!$E$5,Database!$A$1:$M$1,),)</f>
        <v>156767</v>
      </c>
      <c r="F45" s="121">
        <f t="shared" si="1"/>
        <v>-1.3568607465919225E-3</v>
      </c>
      <c r="G45" s="119">
        <f>VLOOKUP(B45,Database!$A:$M,MATCH(Recap!$G$5,Database!$A$1:$M$1,),)</f>
        <v>66457</v>
      </c>
      <c r="H45" s="121">
        <f t="shared" si="2"/>
        <v>1.8950951380690268E-2</v>
      </c>
      <c r="I45" s="119">
        <f>VLOOKUP(B45,Database!$A:$M,MATCH(Recap!$I$5,Database!$A$1:$M$1,),)</f>
        <v>186986</v>
      </c>
      <c r="J45" s="121">
        <f t="shared" si="3"/>
        <v>7.1098789052207081E-2</v>
      </c>
      <c r="K45" s="119">
        <f>VLOOKUP(B45,Database!$A:$M,MATCH(Recap!$K$5,Database!$A$1:$M$1,),)</f>
        <v>99157</v>
      </c>
      <c r="L45" s="121">
        <f t="shared" si="4"/>
        <v>0.14949977394187408</v>
      </c>
      <c r="M45" s="119">
        <f>VLOOKUP(B45,Database!$A:$M,MATCH(Recap!$M$5,Database!$A$1:$M$1,),)</f>
        <v>31435</v>
      </c>
      <c r="N45" s="121">
        <f t="shared" si="5"/>
        <v>-1.4051375341090864E-2</v>
      </c>
      <c r="O45" s="119">
        <f>VLOOKUP(B45,Database!$A:$M,MATCH(Recap!$O$5,Database!$A$1:$M$1,),)</f>
        <v>32516</v>
      </c>
      <c r="P45" s="121">
        <f t="shared" si="6"/>
        <v>-4.8356491399889822E-3</v>
      </c>
      <c r="Q45" s="119">
        <f>VLOOKUP(B45,Database!$A:$M,MATCH(Recap!$Q$5,Database!$A$1:$M$1,),)</f>
        <v>22183</v>
      </c>
      <c r="R45" s="121">
        <f t="shared" si="7"/>
        <v>1.6123860565251249E-2</v>
      </c>
      <c r="S45" s="119">
        <f>VLOOKUP(B45,Database!$A:$M,MATCH(Recap!$S$5,Database!$A$1:$M$1,),)</f>
        <v>20480</v>
      </c>
      <c r="T45" s="121">
        <f t="shared" si="8"/>
        <v>-8.6645045742775543E-3</v>
      </c>
      <c r="U45" s="119">
        <f>VLOOKUP(B45,Database!$A:$M,MATCH(Recap!$U$5,Database!$A$1:$M$1,),)</f>
        <v>11181</v>
      </c>
      <c r="V45" s="121">
        <f t="shared" si="9"/>
        <v>2.5873933388384257E-2</v>
      </c>
    </row>
    <row r="46" spans="2:22">
      <c r="B46" s="118">
        <v>43556</v>
      </c>
      <c r="C46" s="119">
        <f>VLOOKUP(B46,Database!$A:$M,MATCH(Recap!$C$5,Database!$A$1:$M$1,),)</f>
        <v>252673</v>
      </c>
      <c r="D46" s="121">
        <f t="shared" si="0"/>
        <v>-1.2702989950141448E-2</v>
      </c>
      <c r="E46" s="119">
        <f>VLOOKUP(B46,Database!$A:$M,MATCH(Recap!$E$5,Database!$A$1:$M$1,),)</f>
        <v>157850</v>
      </c>
      <c r="F46" s="121">
        <f t="shared" si="1"/>
        <v>6.9083416790523518E-3</v>
      </c>
      <c r="G46" s="119">
        <f>VLOOKUP(B46,Database!$A:$M,MATCH(Recap!$G$5,Database!$A$1:$M$1,),)</f>
        <v>65737</v>
      </c>
      <c r="H46" s="121">
        <f t="shared" si="2"/>
        <v>-1.0834073160088479E-2</v>
      </c>
      <c r="I46" s="119">
        <f>VLOOKUP(B46,Database!$A:$M,MATCH(Recap!$I$5,Database!$A$1:$M$1,),)</f>
        <v>186141</v>
      </c>
      <c r="J46" s="121">
        <f t="shared" si="3"/>
        <v>-4.5190549025060697E-3</v>
      </c>
      <c r="K46" s="119">
        <f>VLOOKUP(B46,Database!$A:$M,MATCH(Recap!$K$5,Database!$A$1:$M$1,),)</f>
        <v>94823</v>
      </c>
      <c r="L46" s="121">
        <f t="shared" si="4"/>
        <v>-4.3708462337505166E-2</v>
      </c>
      <c r="M46" s="119">
        <f>VLOOKUP(B46,Database!$A:$M,MATCH(Recap!$M$5,Database!$A$1:$M$1,),)</f>
        <v>32121</v>
      </c>
      <c r="N46" s="121">
        <f t="shared" si="5"/>
        <v>2.1822808970892317E-2</v>
      </c>
      <c r="O46" s="119">
        <f>VLOOKUP(B46,Database!$A:$M,MATCH(Recap!$O$5,Database!$A$1:$M$1,),)</f>
        <v>32665</v>
      </c>
      <c r="P46" s="121">
        <f t="shared" si="6"/>
        <v>4.5823594538073565E-3</v>
      </c>
      <c r="Q46" s="119">
        <f>VLOOKUP(B46,Database!$A:$M,MATCH(Recap!$Q$5,Database!$A$1:$M$1,),)</f>
        <v>22571</v>
      </c>
      <c r="R46" s="121">
        <f t="shared" si="7"/>
        <v>1.7490871387999821E-2</v>
      </c>
      <c r="S46" s="119">
        <f>VLOOKUP(B46,Database!$A:$M,MATCH(Recap!$S$5,Database!$A$1:$M$1,),)</f>
        <v>20466</v>
      </c>
      <c r="T46" s="121">
        <f t="shared" si="8"/>
        <v>-6.8359374999999996E-4</v>
      </c>
      <c r="U46" s="119">
        <f>VLOOKUP(B46,Database!$A:$M,MATCH(Recap!$U$5,Database!$A$1:$M$1,),)</f>
        <v>11283</v>
      </c>
      <c r="V46" s="121">
        <f t="shared" si="9"/>
        <v>9.1226187281996246E-3</v>
      </c>
    </row>
    <row r="47" spans="2:22">
      <c r="B47" s="118">
        <v>43586</v>
      </c>
      <c r="C47" s="119">
        <f>VLOOKUP(B47,Database!$A:$M,MATCH(Recap!$C$5,Database!$A$1:$M$1,),)</f>
        <v>239844</v>
      </c>
      <c r="D47" s="121">
        <f t="shared" si="0"/>
        <v>-5.0773133654961153E-2</v>
      </c>
      <c r="E47" s="119">
        <f>VLOOKUP(B47,Database!$A:$M,MATCH(Recap!$E$5,Database!$A$1:$M$1,),)</f>
        <v>157491</v>
      </c>
      <c r="F47" s="121">
        <f t="shared" si="1"/>
        <v>-2.2743110547988597E-3</v>
      </c>
      <c r="G47" s="119">
        <f>VLOOKUP(B47,Database!$A:$M,MATCH(Recap!$G$5,Database!$A$1:$M$1,),)</f>
        <v>65271</v>
      </c>
      <c r="H47" s="121">
        <f t="shared" si="2"/>
        <v>-7.0888540700062373E-3</v>
      </c>
      <c r="I47" s="119">
        <f>VLOOKUP(B47,Database!$A:$M,MATCH(Recap!$I$5,Database!$A$1:$M$1,),)</f>
        <v>172609</v>
      </c>
      <c r="J47" s="121">
        <f t="shared" si="3"/>
        <v>-7.2697578717208999E-2</v>
      </c>
      <c r="K47" s="119">
        <f>VLOOKUP(B47,Database!$A:$M,MATCH(Recap!$K$5,Database!$A$1:$M$1,),)</f>
        <v>82353</v>
      </c>
      <c r="L47" s="121">
        <f t="shared" si="4"/>
        <v>-0.13150817839553694</v>
      </c>
      <c r="M47" s="119">
        <f>VLOOKUP(B47,Database!$A:$M,MATCH(Recap!$M$5,Database!$A$1:$M$1,),)</f>
        <v>32035</v>
      </c>
      <c r="N47" s="121">
        <f t="shared" si="5"/>
        <v>-2.6773761713520749E-3</v>
      </c>
      <c r="O47" s="119">
        <f>VLOOKUP(B47,Database!$A:$M,MATCH(Recap!$O$5,Database!$A$1:$M$1,),)</f>
        <v>32752</v>
      </c>
      <c r="P47" s="121">
        <f t="shared" si="6"/>
        <v>2.6634011939384661E-3</v>
      </c>
      <c r="Q47" s="119">
        <f>VLOOKUP(B47,Database!$A:$M,MATCH(Recap!$Q$5,Database!$A$1:$M$1,),)</f>
        <v>22247</v>
      </c>
      <c r="R47" s="121">
        <f t="shared" si="7"/>
        <v>-1.4354702937397545E-2</v>
      </c>
      <c r="S47" s="119">
        <f>VLOOKUP(B47,Database!$A:$M,MATCH(Recap!$S$5,Database!$A$1:$M$1,),)</f>
        <v>20044</v>
      </c>
      <c r="T47" s="121">
        <f t="shared" si="8"/>
        <v>-2.0619564155184209E-2</v>
      </c>
      <c r="U47" s="119">
        <f>VLOOKUP(B47,Database!$A:$M,MATCH(Recap!$U$5,Database!$A$1:$M$1,),)</f>
        <v>11236</v>
      </c>
      <c r="V47" s="121">
        <f t="shared" si="9"/>
        <v>-4.1655588052822833E-3</v>
      </c>
    </row>
    <row r="48" spans="2:22">
      <c r="B48" s="118">
        <v>43617</v>
      </c>
      <c r="C48" s="119">
        <f>VLOOKUP(B48,Database!$A:$M,MATCH(Recap!$C$5,Database!$A$1:$M$1,),)</f>
        <v>244727</v>
      </c>
      <c r="D48" s="121">
        <f t="shared" si="0"/>
        <v>2.0359066726705691E-2</v>
      </c>
      <c r="E48" s="119">
        <f>VLOOKUP(B48,Database!$A:$M,MATCH(Recap!$E$5,Database!$A$1:$M$1,),)</f>
        <v>158841</v>
      </c>
      <c r="F48" s="121">
        <f t="shared" si="1"/>
        <v>8.5719183953368756E-3</v>
      </c>
      <c r="G48" s="119">
        <f>VLOOKUP(B48,Database!$A:$M,MATCH(Recap!$G$5,Database!$A$1:$M$1,),)</f>
        <v>66139</v>
      </c>
      <c r="H48" s="121">
        <f t="shared" si="2"/>
        <v>1.3298402046850823E-2</v>
      </c>
      <c r="I48" s="119">
        <f>VLOOKUP(B48,Database!$A:$M,MATCH(Recap!$I$5,Database!$A$1:$M$1,),)</f>
        <v>176033</v>
      </c>
      <c r="J48" s="121">
        <f t="shared" si="3"/>
        <v>1.9836740842018665E-2</v>
      </c>
      <c r="K48" s="119">
        <f>VLOOKUP(B48,Database!$A:$M,MATCH(Recap!$K$5,Database!$A$1:$M$1,),)</f>
        <v>85886</v>
      </c>
      <c r="L48" s="121">
        <f t="shared" si="4"/>
        <v>4.2900683642368827E-2</v>
      </c>
      <c r="M48" s="119">
        <f>VLOOKUP(B48,Database!$A:$M,MATCH(Recap!$M$5,Database!$A$1:$M$1,),)</f>
        <v>32315</v>
      </c>
      <c r="N48" s="121">
        <f t="shared" si="5"/>
        <v>8.7404401435929452E-3</v>
      </c>
      <c r="O48" s="119">
        <f>VLOOKUP(B48,Database!$A:$M,MATCH(Recap!$O$5,Database!$A$1:$M$1,),)</f>
        <v>33198</v>
      </c>
      <c r="P48" s="121">
        <f t="shared" si="6"/>
        <v>1.3617489008304836E-2</v>
      </c>
      <c r="Q48" s="119">
        <f>VLOOKUP(B48,Database!$A:$M,MATCH(Recap!$Q$5,Database!$A$1:$M$1,),)</f>
        <v>22159</v>
      </c>
      <c r="R48" s="121">
        <f t="shared" si="7"/>
        <v>-3.9555895176877779E-3</v>
      </c>
      <c r="S48" s="119">
        <f>VLOOKUP(B48,Database!$A:$M,MATCH(Recap!$S$5,Database!$A$1:$M$1,),)</f>
        <v>20419</v>
      </c>
      <c r="T48" s="121">
        <f t="shared" si="8"/>
        <v>1.8708840550788267E-2</v>
      </c>
      <c r="U48" s="119">
        <f>VLOOKUP(B48,Database!$A:$M,MATCH(Recap!$U$5,Database!$A$1:$M$1,),)</f>
        <v>11494</v>
      </c>
      <c r="V48" s="121">
        <f t="shared" si="9"/>
        <v>2.2961908152367389E-2</v>
      </c>
    </row>
    <row r="49" spans="2:22">
      <c r="B49" s="118">
        <v>43647</v>
      </c>
      <c r="C49" s="119">
        <f>VLOOKUP(B49,Database!$A:$M,MATCH(Recap!$C$5,Database!$A$1:$M$1,),)</f>
        <v>249748</v>
      </c>
      <c r="D49" s="121">
        <f t="shared" si="0"/>
        <v>2.0516739060258981E-2</v>
      </c>
      <c r="E49" s="119">
        <f>VLOOKUP(B49,Database!$A:$M,MATCH(Recap!$E$5,Database!$A$1:$M$1,),)</f>
        <v>156943</v>
      </c>
      <c r="F49" s="121">
        <f t="shared" si="1"/>
        <v>-1.1949055974213207E-2</v>
      </c>
      <c r="G49" s="119">
        <f>VLOOKUP(B49,Database!$A:$M,MATCH(Recap!$G$5,Database!$A$1:$M$1,),)</f>
        <v>65823</v>
      </c>
      <c r="H49" s="121">
        <f t="shared" si="2"/>
        <v>-4.7778164169400804E-3</v>
      </c>
      <c r="I49" s="119">
        <f>VLOOKUP(B49,Database!$A:$M,MATCH(Recap!$I$5,Database!$A$1:$M$1,),)</f>
        <v>181883</v>
      </c>
      <c r="J49" s="121">
        <f t="shared" si="3"/>
        <v>3.3232405287644928E-2</v>
      </c>
      <c r="K49" s="119">
        <f>VLOOKUP(B49,Database!$A:$M,MATCH(Recap!$K$5,Database!$A$1:$M$1,),)</f>
        <v>92805</v>
      </c>
      <c r="L49" s="121">
        <f t="shared" si="4"/>
        <v>8.0560277577253564E-2</v>
      </c>
      <c r="M49" s="119">
        <f>VLOOKUP(B49,Database!$A:$M,MATCH(Recap!$M$5,Database!$A$1:$M$1,),)</f>
        <v>32216</v>
      </c>
      <c r="N49" s="121">
        <f t="shared" si="5"/>
        <v>-3.0635927587807522E-3</v>
      </c>
      <c r="O49" s="119">
        <f>VLOOKUP(B49,Database!$A:$M,MATCH(Recap!$O$5,Database!$A$1:$M$1,),)</f>
        <v>32224</v>
      </c>
      <c r="P49" s="121">
        <f t="shared" si="6"/>
        <v>-2.933911681426592E-2</v>
      </c>
      <c r="Q49" s="119">
        <f>VLOOKUP(B49,Database!$A:$M,MATCH(Recap!$Q$5,Database!$A$1:$M$1,),)</f>
        <v>22156</v>
      </c>
      <c r="R49" s="121">
        <f t="shared" si="7"/>
        <v>-1.3538517081095717E-4</v>
      </c>
      <c r="S49" s="119">
        <f>VLOOKUP(B49,Database!$A:$M,MATCH(Recap!$S$5,Database!$A$1:$M$1,),)</f>
        <v>19853</v>
      </c>
      <c r="T49" s="121">
        <f t="shared" si="8"/>
        <v>-2.7719281061756206E-2</v>
      </c>
      <c r="U49" s="119">
        <f>VLOOKUP(B49,Database!$A:$M,MATCH(Recap!$U$5,Database!$A$1:$M$1,),)</f>
        <v>11456</v>
      </c>
      <c r="V49" s="121">
        <f t="shared" si="9"/>
        <v>-3.3060727336001391E-3</v>
      </c>
    </row>
    <row r="50" spans="2:22">
      <c r="B50" s="118">
        <v>43678</v>
      </c>
      <c r="C50" s="119">
        <f>VLOOKUP(B50,Database!$A:$M,MATCH(Recap!$C$5,Database!$A$1:$M$1,),)</f>
        <v>245614</v>
      </c>
      <c r="D50" s="121">
        <f t="shared" ref="D50:D52" si="10">(C50-C49)/C49</f>
        <v>-1.6552685106587441E-2</v>
      </c>
      <c r="E50" s="119">
        <f>VLOOKUP(B50,Database!$A:$M,MATCH(Recap!$E$5,Database!$A$1:$M$1,),)</f>
        <v>157074</v>
      </c>
      <c r="F50" s="121">
        <f t="shared" ref="F50:F52" si="11">(E50-E49)/E49</f>
        <v>8.3469794766252714E-4</v>
      </c>
      <c r="G50" s="119">
        <f>VLOOKUP(B50,Database!$A:$M,MATCH(Recap!$G$5,Database!$A$1:$M$1,),)</f>
        <v>65593</v>
      </c>
      <c r="H50" s="121">
        <f t="shared" ref="H50:H52" si="12">(G50-G49)/G49</f>
        <v>-3.4942193458213696E-3</v>
      </c>
      <c r="I50" s="119">
        <f>VLOOKUP(B50,Database!$A:$M,MATCH(Recap!$I$5,Database!$A$1:$M$1,),)</f>
        <v>178316</v>
      </c>
      <c r="J50" s="121">
        <f t="shared" ref="J50:J52" si="13">(I50-I49)/I49</f>
        <v>-1.961150849722074E-2</v>
      </c>
      <c r="K50" s="119">
        <f>VLOOKUP(B50,Database!$A:$M,MATCH(Recap!$K$5,Database!$A$1:$M$1,),)</f>
        <v>88540</v>
      </c>
      <c r="L50" s="121">
        <f t="shared" ref="L50:L52" si="14">(K50-K49)/K49</f>
        <v>-4.5956575615537953E-2</v>
      </c>
      <c r="M50" s="119">
        <f>VLOOKUP(B50,Database!$A:$M,MATCH(Recap!$M$5,Database!$A$1:$M$1,),)</f>
        <v>32362</v>
      </c>
      <c r="N50" s="121">
        <f t="shared" ref="N50:N52" si="15">(M50-M49)/M49</f>
        <v>4.5319096101316117E-3</v>
      </c>
      <c r="O50" s="119">
        <f>VLOOKUP(B50,Database!$A:$M,MATCH(Recap!$O$5,Database!$A$1:$M$1,),)</f>
        <v>32623</v>
      </c>
      <c r="P50" s="121">
        <f t="shared" ref="P50:P52" si="16">(O50-O49)/O49</f>
        <v>1.2382075471698114E-2</v>
      </c>
      <c r="Q50" s="119">
        <f>VLOOKUP(B50,Database!$A:$M,MATCH(Recap!$Q$5,Database!$A$1:$M$1,),)</f>
        <v>22152</v>
      </c>
      <c r="R50" s="121">
        <f t="shared" ref="R50:R52" si="17">(Q50-Q49)/Q49</f>
        <v>-1.8053800324968405E-4</v>
      </c>
      <c r="S50" s="119">
        <f>VLOOKUP(B50,Database!$A:$M,MATCH(Recap!$S$5,Database!$A$1:$M$1,),)</f>
        <v>19709</v>
      </c>
      <c r="T50" s="121">
        <f t="shared" ref="T50:T52" si="18">(S50-S49)/S49</f>
        <v>-7.2533118420389864E-3</v>
      </c>
      <c r="U50" s="119">
        <f>VLOOKUP(B50,Database!$A:$M,MATCH(Recap!$U$5,Database!$A$1:$M$1,),)</f>
        <v>11232</v>
      </c>
      <c r="V50" s="121">
        <f t="shared" ref="V50:V52" si="19">(U50-U49)/U49</f>
        <v>-1.9553072625698324E-2</v>
      </c>
    </row>
    <row r="51" spans="2:22">
      <c r="B51" s="118">
        <v>43709</v>
      </c>
      <c r="C51" s="119">
        <f>VLOOKUP(B51,Database!$A:$M,MATCH(Recap!$C$5,Database!$A$1:$M$1,),)</f>
        <v>245317</v>
      </c>
      <c r="D51" s="121">
        <f t="shared" si="10"/>
        <v>-1.2092144584592084E-3</v>
      </c>
      <c r="E51" s="119">
        <f>VLOOKUP(B51,Database!$A:$M,MATCH(Recap!$E$5,Database!$A$1:$M$1,),)</f>
        <v>156112</v>
      </c>
      <c r="F51" s="121">
        <f t="shared" si="11"/>
        <v>-6.1245018271642668E-3</v>
      </c>
      <c r="G51" s="119">
        <f>VLOOKUP(B51,Database!$A:$M,MATCH(Recap!$G$5,Database!$A$1:$M$1,),)</f>
        <v>65187</v>
      </c>
      <c r="H51" s="121">
        <f t="shared" si="12"/>
        <v>-6.1896848749104323E-3</v>
      </c>
      <c r="I51" s="119">
        <f>VLOOKUP(B51,Database!$A:$M,MATCH(Recap!$I$5,Database!$A$1:$M$1,),)</f>
        <v>178552</v>
      </c>
      <c r="J51" s="121">
        <f t="shared" si="13"/>
        <v>1.3234931245653782E-3</v>
      </c>
      <c r="K51" s="119">
        <f>VLOOKUP(B51,Database!$A:$M,MATCH(Recap!$K$5,Database!$A$1:$M$1,),)</f>
        <v>89205</v>
      </c>
      <c r="L51" s="121">
        <f t="shared" si="14"/>
        <v>7.5107296137339056E-3</v>
      </c>
      <c r="M51" s="119">
        <f>VLOOKUP(B51,Database!$A:$M,MATCH(Recap!$M$5,Database!$A$1:$M$1,),)</f>
        <v>31504</v>
      </c>
      <c r="N51" s="121">
        <f t="shared" si="15"/>
        <v>-2.6512576478585997E-2</v>
      </c>
      <c r="O51" s="119">
        <f>VLOOKUP(B51,Database!$A:$M,MATCH(Recap!$O$5,Database!$A$1:$M$1,),)</f>
        <v>32814</v>
      </c>
      <c r="P51" s="121">
        <f t="shared" si="16"/>
        <v>5.8547650430677747E-3</v>
      </c>
      <c r="Q51" s="119">
        <f>VLOOKUP(B51,Database!$A:$M,MATCH(Recap!$Q$5,Database!$A$1:$M$1,),)</f>
        <v>22039</v>
      </c>
      <c r="R51" s="121">
        <f t="shared" si="17"/>
        <v>-5.1011195377392562E-3</v>
      </c>
      <c r="S51" s="119">
        <f>VLOOKUP(B51,Database!$A:$M,MATCH(Recap!$S$5,Database!$A$1:$M$1,),)</f>
        <v>19471</v>
      </c>
      <c r="T51" s="121">
        <f t="shared" si="18"/>
        <v>-1.2075701456187528E-2</v>
      </c>
      <c r="U51" s="119">
        <f>VLOOKUP(B51,Database!$A:$M,MATCH(Recap!$U$5,Database!$A$1:$M$1,),)</f>
        <v>11294</v>
      </c>
      <c r="V51" s="121">
        <f t="shared" si="19"/>
        <v>5.5199430199430197E-3</v>
      </c>
    </row>
    <row r="52" spans="2:22">
      <c r="B52" s="118">
        <v>43739</v>
      </c>
      <c r="C52" s="119">
        <f>VLOOKUP(B52,Database!$A:$M,MATCH(Recap!$C$5,Database!$A$1:$M$1,),)</f>
        <v>250673</v>
      </c>
      <c r="D52" s="121">
        <f t="shared" si="10"/>
        <v>2.1832975293192072E-2</v>
      </c>
      <c r="E52" s="119">
        <f>VLOOKUP(B52,Database!$A:$M,MATCH(Recap!$E$5,Database!$A$1:$M$1,),)</f>
        <v>156018</v>
      </c>
      <c r="F52" s="121">
        <f t="shared" si="11"/>
        <v>-6.0213180280824024E-4</v>
      </c>
      <c r="G52" s="119">
        <f>VLOOKUP(B52,Database!$A:$M,MATCH(Recap!$G$5,Database!$A$1:$M$1,),)</f>
        <v>65642</v>
      </c>
      <c r="H52" s="121">
        <f t="shared" si="12"/>
        <v>6.9799193090646907E-3</v>
      </c>
      <c r="I52" s="119">
        <f>VLOOKUP(B52,Database!$A:$M,MATCH(Recap!$I$5,Database!$A$1:$M$1,),)</f>
        <v>184702</v>
      </c>
      <c r="J52" s="121">
        <f t="shared" si="13"/>
        <v>3.4443747479725798E-2</v>
      </c>
      <c r="K52" s="119">
        <f>VLOOKUP(B52,Database!$A:$M,MATCH(Recap!$K$5,Database!$A$1:$M$1,),)</f>
        <v>94655</v>
      </c>
      <c r="L52" s="121">
        <f t="shared" si="14"/>
        <v>6.1095230087999552E-2</v>
      </c>
      <c r="M52" s="119">
        <f>VLOOKUP(B52,Database!$A:$M,MATCH(Recap!$M$5,Database!$A$1:$M$1,),)</f>
        <v>31678</v>
      </c>
      <c r="N52" s="121">
        <f t="shared" si="15"/>
        <v>5.5231081767394613E-3</v>
      </c>
      <c r="O52" s="119">
        <f>VLOOKUP(B52,Database!$A:$M,MATCH(Recap!$O$5,Database!$A$1:$M$1,),)</f>
        <v>32987</v>
      </c>
      <c r="P52" s="121">
        <f t="shared" si="16"/>
        <v>5.2721399402693974E-3</v>
      </c>
      <c r="Q52" s="119">
        <f>VLOOKUP(B52,Database!$A:$M,MATCH(Recap!$Q$5,Database!$A$1:$M$1,),)</f>
        <v>21855</v>
      </c>
      <c r="R52" s="121">
        <f t="shared" si="17"/>
        <v>-8.3488361540904766E-3</v>
      </c>
      <c r="S52" s="119">
        <f>VLOOKUP(B52,Database!$A:$M,MATCH(Recap!$S$5,Database!$A$1:$M$1,),)</f>
        <v>19236</v>
      </c>
      <c r="T52" s="121">
        <f t="shared" si="18"/>
        <v>-1.2069231164295618E-2</v>
      </c>
      <c r="U52" s="119">
        <f>VLOOKUP(B52,Database!$A:$M,MATCH(Recap!$U$5,Database!$A$1:$M$1,),)</f>
        <v>11193</v>
      </c>
      <c r="V52" s="121">
        <f t="shared" si="19"/>
        <v>-8.9428014875154952E-3</v>
      </c>
    </row>
    <row r="53" spans="2:22">
      <c r="B53" s="118">
        <v>43770</v>
      </c>
      <c r="C53" s="119">
        <f>VLOOKUP(B53,Database!$A:$M,MATCH(Recap!$C$5,Database!$A$1:$M$1,),)</f>
        <v>234167</v>
      </c>
      <c r="D53" s="121">
        <f t="shared" ref="D53:D54" si="20">(C53-C52)/C52</f>
        <v>-6.5846740574373785E-2</v>
      </c>
      <c r="E53" s="119">
        <f>VLOOKUP(B53,Database!$A:$M,MATCH(Recap!$E$5,Database!$A$1:$M$1,),)</f>
        <v>156261</v>
      </c>
      <c r="F53" s="121">
        <f t="shared" ref="F53:F54" si="21">(E53-E52)/E52</f>
        <v>1.5575125947006115E-3</v>
      </c>
      <c r="G53" s="119">
        <f>VLOOKUP(B53,Database!$A:$M,MATCH(Recap!$G$5,Database!$A$1:$M$1,),)</f>
        <v>65189</v>
      </c>
      <c r="H53" s="121">
        <f t="shared" ref="H53:H54" si="22">(G53-G52)/G52</f>
        <v>-6.9010694372505406E-3</v>
      </c>
      <c r="I53" s="119">
        <f>VLOOKUP(B53,Database!$A:$M,MATCH(Recap!$I$5,Database!$A$1:$M$1,),)</f>
        <v>168277</v>
      </c>
      <c r="J53" s="121">
        <f t="shared" ref="J53:J54" si="23">(I53-I52)/I52</f>
        <v>-8.8927028402507824E-2</v>
      </c>
      <c r="K53" s="119">
        <f>VLOOKUP(B53,Database!$A:$M,MATCH(Recap!$K$5,Database!$A$1:$M$1,),)</f>
        <v>77906</v>
      </c>
      <c r="L53" s="121">
        <f t="shared" ref="L53:L54" si="24">(K53-K52)/K52</f>
        <v>-0.17694786329301146</v>
      </c>
      <c r="M53" s="119">
        <f>VLOOKUP(B53,Database!$A:$M,MATCH(Recap!$M$5,Database!$A$1:$M$1,),)</f>
        <v>31947</v>
      </c>
      <c r="N53" s="121">
        <f t="shared" ref="N53:N54" si="25">(M53-M52)/M52</f>
        <v>8.4916977081886478E-3</v>
      </c>
      <c r="O53" s="119">
        <f>VLOOKUP(B53,Database!$A:$M,MATCH(Recap!$O$5,Database!$A$1:$M$1,),)</f>
        <v>32206</v>
      </c>
      <c r="P53" s="121">
        <f t="shared" ref="P53:P54" si="26">(O53-O52)/O52</f>
        <v>-2.3675993573225817E-2</v>
      </c>
      <c r="Q53" s="119">
        <f>VLOOKUP(B53,Database!$A:$M,MATCH(Recap!$Q$5,Database!$A$1:$M$1,),)</f>
        <v>22041</v>
      </c>
      <c r="R53" s="121">
        <f t="shared" ref="R53:R54" si="27">(Q53-Q52)/Q52</f>
        <v>8.5106382978723406E-3</v>
      </c>
      <c r="S53" s="119">
        <f>VLOOKUP(B53,Database!$A:$M,MATCH(Recap!$S$5,Database!$A$1:$M$1,),)</f>
        <v>19840</v>
      </c>
      <c r="T53" s="121">
        <f t="shared" ref="T53:T54" si="28">(S53-S52)/S52</f>
        <v>3.1399459347057602E-2</v>
      </c>
      <c r="U53" s="119">
        <f>VLOOKUP(B53,Database!$A:$M,MATCH(Recap!$U$5,Database!$A$1:$M$1,),)</f>
        <v>11253</v>
      </c>
      <c r="V53" s="121">
        <f t="shared" ref="V53:V54" si="29">(U53-U52)/U52</f>
        <v>5.3604931653712141E-3</v>
      </c>
    </row>
    <row r="54" spans="2:22">
      <c r="B54" s="118">
        <v>43800</v>
      </c>
      <c r="C54" s="119">
        <f>VLOOKUP(B54,Database!$A:$M,MATCH(Recap!$C$5,Database!$A$1:$M$1,),)</f>
        <v>240343</v>
      </c>
      <c r="D54" s="121">
        <f t="shared" si="20"/>
        <v>2.6374339680655258E-2</v>
      </c>
      <c r="E54" s="119">
        <f>VLOOKUP(B54,Database!$A:$M,MATCH(Recap!$E$5,Database!$A$1:$M$1,),)</f>
        <v>154416</v>
      </c>
      <c r="F54" s="121">
        <f t="shared" si="21"/>
        <v>-1.1807168775318217E-2</v>
      </c>
      <c r="G54" s="119">
        <f>VLOOKUP(B54,Database!$A:$M,MATCH(Recap!$G$5,Database!$A$1:$M$1,),)</f>
        <v>65045</v>
      </c>
      <c r="H54" s="121">
        <f t="shared" si="22"/>
        <v>-2.2089616346316096E-3</v>
      </c>
      <c r="I54" s="119">
        <f>VLOOKUP(B54,Database!$A:$M,MATCH(Recap!$I$5,Database!$A$1:$M$1,),)</f>
        <v>175060</v>
      </c>
      <c r="J54" s="121">
        <f t="shared" si="23"/>
        <v>4.0308538897175492E-2</v>
      </c>
      <c r="K54" s="119">
        <f>VLOOKUP(B54,Database!$A:$M,MATCH(Recap!$K$5,Database!$A$1:$M$1,),)</f>
        <v>85927</v>
      </c>
      <c r="L54" s="121">
        <f t="shared" si="24"/>
        <v>0.10295741021230714</v>
      </c>
      <c r="M54" s="119">
        <f>VLOOKUP(B54,Database!$A:$M,MATCH(Recap!$M$5,Database!$A$1:$M$1,),)</f>
        <v>31332</v>
      </c>
      <c r="N54" s="121">
        <f t="shared" si="25"/>
        <v>-1.9250633862334492E-2</v>
      </c>
      <c r="O54" s="119">
        <f>VLOOKUP(B54,Database!$A:$M,MATCH(Recap!$O$5,Database!$A$1:$M$1,),)</f>
        <v>31602</v>
      </c>
      <c r="P54" s="121">
        <f t="shared" si="26"/>
        <v>-1.8754269390796746E-2</v>
      </c>
      <c r="Q54" s="119">
        <f>VLOOKUP(B54,Database!$A:$M,MATCH(Recap!$Q$5,Database!$A$1:$M$1,),)</f>
        <v>21965</v>
      </c>
      <c r="R54" s="121">
        <f t="shared" si="27"/>
        <v>-3.4481194138196998E-3</v>
      </c>
      <c r="S54" s="119">
        <f>VLOOKUP(B54,Database!$A:$M,MATCH(Recap!$S$5,Database!$A$1:$M$1,),)</f>
        <v>19237</v>
      </c>
      <c r="T54" s="121">
        <f t="shared" si="28"/>
        <v>-3.0393145161290321E-2</v>
      </c>
      <c r="U54" s="119">
        <f>VLOOKUP(B54,Database!$A:$M,MATCH(Recap!$U$5,Database!$A$1:$M$1,),)</f>
        <v>11197</v>
      </c>
      <c r="V54" s="121">
        <f t="shared" si="29"/>
        <v>-4.9764507242513112E-3</v>
      </c>
    </row>
    <row r="55" spans="2:22">
      <c r="B55" s="118">
        <v>43831</v>
      </c>
      <c r="C55" s="119">
        <f>VLOOKUP(B55,Database!$A:$M,MATCH(Recap!$C$5,Database!$A$1:$M$1,),)</f>
        <v>228878</v>
      </c>
      <c r="D55" s="121">
        <f t="shared" ref="D55:D56" si="30">(C55-C54)/C54</f>
        <v>-4.7702658284202164E-2</v>
      </c>
      <c r="E55" s="119">
        <f>VLOOKUP(B55,Database!$A:$M,MATCH(Recap!$E$5,Database!$A$1:$M$1,),)</f>
        <v>154889</v>
      </c>
      <c r="F55" s="121">
        <f t="shared" ref="F55:F56" si="31">(E55-E54)/E54</f>
        <v>3.0631540772976893E-3</v>
      </c>
      <c r="G55" s="119">
        <f>VLOOKUP(B55,Database!$A:$M,MATCH(Recap!$G$5,Database!$A$1:$M$1,),)</f>
        <v>65765</v>
      </c>
      <c r="H55" s="121">
        <f t="shared" ref="H55:H56" si="32">(G55-G54)/G54</f>
        <v>1.1069259743254669E-2</v>
      </c>
      <c r="I55" s="119">
        <f>VLOOKUP(B55,Database!$A:$M,MATCH(Recap!$I$5,Database!$A$1:$M$1,),)</f>
        <v>164144</v>
      </c>
      <c r="J55" s="121">
        <f t="shared" ref="J55:J56" si="33">(I55-I54)/I54</f>
        <v>-6.235576373814692E-2</v>
      </c>
      <c r="K55" s="119">
        <f>VLOOKUP(B55,Database!$A:$M,MATCH(Recap!$K$5,Database!$A$1:$M$1,),)</f>
        <v>73989</v>
      </c>
      <c r="L55" s="121">
        <f t="shared" ref="L55:L56" si="34">(K55-K54)/K54</f>
        <v>-0.13893188404110465</v>
      </c>
      <c r="M55" s="119">
        <f>VLOOKUP(B55,Database!$A:$M,MATCH(Recap!$M$5,Database!$A$1:$M$1,),)</f>
        <v>30820</v>
      </c>
      <c r="N55" s="121">
        <f t="shared" ref="N55:N56" si="35">(M55-M54)/M54</f>
        <v>-1.6341120898761649E-2</v>
      </c>
      <c r="O55" s="119">
        <f>VLOOKUP(B55,Database!$A:$M,MATCH(Recap!$O$5,Database!$A$1:$M$1,),)</f>
        <v>32031</v>
      </c>
      <c r="P55" s="121">
        <f t="shared" ref="P55:P56" si="36">(O55-O54)/O54</f>
        <v>1.3575090184165559E-2</v>
      </c>
      <c r="Q55" s="119">
        <f>VLOOKUP(B55,Database!$A:$M,MATCH(Recap!$Q$5,Database!$A$1:$M$1,),)</f>
        <v>22629</v>
      </c>
      <c r="R55" s="121">
        <f t="shared" ref="R55:R56" si="37">(Q55-Q54)/Q54</f>
        <v>3.0229911222399271E-2</v>
      </c>
      <c r="S55" s="119">
        <f>VLOOKUP(B55,Database!$A:$M,MATCH(Recap!$S$5,Database!$A$1:$M$1,),)</f>
        <v>19217</v>
      </c>
      <c r="T55" s="121">
        <f t="shared" ref="T55:T56" si="38">(S55-S54)/S54</f>
        <v>-1.0396631491396788E-3</v>
      </c>
      <c r="U55" s="119">
        <f>VLOOKUP(B55,Database!$A:$M,MATCH(Recap!$U$5,Database!$A$1:$M$1,),)</f>
        <v>11017</v>
      </c>
      <c r="V55" s="121">
        <f t="shared" ref="V55:V56" si="39">(U55-U54)/U54</f>
        <v>-1.6075734571760293E-2</v>
      </c>
    </row>
    <row r="56" spans="2:22">
      <c r="B56" s="118">
        <v>43862</v>
      </c>
      <c r="C56" s="119">
        <f>VLOOKUP(B56,Database!$A:$M,MATCH(Recap!$C$5,Database!$A$1:$M$1,),)</f>
        <v>230901</v>
      </c>
      <c r="D56" s="121">
        <f t="shared" si="30"/>
        <v>8.8387699997378513E-3</v>
      </c>
      <c r="E56" s="119">
        <f>VLOOKUP(B56,Database!$A:$M,MATCH(Recap!$E$5,Database!$A$1:$M$1,),)</f>
        <v>154006</v>
      </c>
      <c r="F56" s="121">
        <f t="shared" si="31"/>
        <v>-5.7008567425704858E-3</v>
      </c>
      <c r="G56" s="119">
        <f>VLOOKUP(B56,Database!$A:$M,MATCH(Recap!$G$5,Database!$A$1:$M$1,),)</f>
        <v>64885</v>
      </c>
      <c r="H56" s="121">
        <f t="shared" si="32"/>
        <v>-1.3380977723713222E-2</v>
      </c>
      <c r="I56" s="119">
        <f>VLOOKUP(B56,Database!$A:$M,MATCH(Recap!$I$5,Database!$A$1:$M$1,),)</f>
        <v>164739</v>
      </c>
      <c r="J56" s="121">
        <f t="shared" si="33"/>
        <v>3.6248659713422359E-3</v>
      </c>
      <c r="K56" s="119">
        <f>VLOOKUP(B56,Database!$A:$M,MATCH(Recap!$K$5,Database!$A$1:$M$1,),)</f>
        <v>76895</v>
      </c>
      <c r="L56" s="121">
        <f t="shared" si="34"/>
        <v>3.9276108610739435E-2</v>
      </c>
      <c r="M56" s="119">
        <f>VLOOKUP(B56,Database!$A:$M,MATCH(Recap!$M$5,Database!$A$1:$M$1,),)</f>
        <v>30551</v>
      </c>
      <c r="N56" s="121">
        <f t="shared" si="35"/>
        <v>-8.7280986372485405E-3</v>
      </c>
      <c r="O56" s="119">
        <f>VLOOKUP(B56,Database!$A:$M,MATCH(Recap!$O$5,Database!$A$1:$M$1,),)</f>
        <v>31308</v>
      </c>
      <c r="P56" s="121">
        <f t="shared" si="36"/>
        <v>-2.2571883487871126E-2</v>
      </c>
      <c r="Q56" s="119">
        <f>VLOOKUP(B56,Database!$A:$M,MATCH(Recap!$Q$5,Database!$A$1:$M$1,),)</f>
        <v>22704</v>
      </c>
      <c r="R56" s="121">
        <f t="shared" si="37"/>
        <v>3.3143311679703037E-3</v>
      </c>
      <c r="S56" s="119">
        <f>VLOOKUP(B56,Database!$A:$M,MATCH(Recap!$S$5,Database!$A$1:$M$1,),)</f>
        <v>19169</v>
      </c>
      <c r="T56" s="121">
        <f t="shared" si="38"/>
        <v>-2.4977884165062183E-3</v>
      </c>
      <c r="U56" s="119">
        <f>VLOOKUP(B56,Database!$A:$M,MATCH(Recap!$U$5,Database!$A$1:$M$1,),)</f>
        <v>11236</v>
      </c>
      <c r="V56" s="121">
        <f t="shared" si="39"/>
        <v>1.987836979213942E-2</v>
      </c>
    </row>
    <row r="57" spans="2:22">
      <c r="B57" s="118">
        <v>43891</v>
      </c>
      <c r="C57" s="119">
        <f>VLOOKUP(B57,Database!$A:$M,MATCH(Recap!$C$5,Database!$A$1:$M$1,),)</f>
        <v>183017</v>
      </c>
      <c r="D57" s="121">
        <f t="shared" ref="D57:D58" si="40">(C57-C56)/C56</f>
        <v>-0.20737891997003044</v>
      </c>
      <c r="E57" s="119">
        <f>VLOOKUP(B57,Database!$A:$M,MATCH(Recap!$E$5,Database!$A$1:$M$1,),)</f>
        <v>150552</v>
      </c>
      <c r="F57" s="121">
        <f t="shared" ref="F57:F58" si="41">(E57-E56)/E56</f>
        <v>-2.2427697622170565E-2</v>
      </c>
      <c r="G57" s="119">
        <f>VLOOKUP(B57,Database!$A:$M,MATCH(Recap!$G$5,Database!$A$1:$M$1,),)</f>
        <v>64103</v>
      </c>
      <c r="H57" s="121">
        <f t="shared" ref="H57:H58" si="42">(G57-G56)/G56</f>
        <v>-1.2052092163057717E-2</v>
      </c>
      <c r="I57" s="119">
        <f>VLOOKUP(B57,Database!$A:$M,MATCH(Recap!$I$5,Database!$A$1:$M$1,),)</f>
        <v>125115</v>
      </c>
      <c r="J57" s="121">
        <f t="shared" ref="J57:J58" si="43">(I57-I56)/I56</f>
        <v>-0.24052592282337515</v>
      </c>
      <c r="K57" s="119">
        <f>VLOOKUP(B57,Database!$A:$M,MATCH(Recap!$K$5,Database!$A$1:$M$1,),)</f>
        <v>32465</v>
      </c>
      <c r="L57" s="121">
        <f t="shared" ref="L57:L58" si="44">(K57-K56)/K56</f>
        <v>-0.5778008973275246</v>
      </c>
      <c r="M57" s="119">
        <f>VLOOKUP(B57,Database!$A:$M,MATCH(Recap!$M$5,Database!$A$1:$M$1,),)</f>
        <v>28792</v>
      </c>
      <c r="N57" s="121">
        <f t="shared" ref="N57:N58" si="45">(M57-M56)/M56</f>
        <v>-5.7575856764099376E-2</v>
      </c>
      <c r="O57" s="119">
        <f>VLOOKUP(B57,Database!$A:$M,MATCH(Recap!$O$5,Database!$A$1:$M$1,),)</f>
        <v>31101</v>
      </c>
      <c r="P57" s="121">
        <f t="shared" ref="P57:P58" si="46">(O57-O56)/O56</f>
        <v>-6.6117286316596394E-3</v>
      </c>
      <c r="Q57" s="119">
        <f>VLOOKUP(B57,Database!$A:$M,MATCH(Recap!$Q$5,Database!$A$1:$M$1,),)</f>
        <v>22617</v>
      </c>
      <c r="R57" s="121">
        <f t="shared" ref="R57:R58" si="47">(Q57-Q56)/Q56</f>
        <v>-3.831923890063425E-3</v>
      </c>
      <c r="S57" s="119">
        <f>VLOOKUP(B57,Database!$A:$M,MATCH(Recap!$S$5,Database!$A$1:$M$1,),)</f>
        <v>17935</v>
      </c>
      <c r="T57" s="121">
        <f t="shared" ref="T57:T58" si="48">(S57-S56)/S56</f>
        <v>-6.4374771766915334E-2</v>
      </c>
      <c r="U57" s="119">
        <f>VLOOKUP(B57,Database!$A:$M,MATCH(Recap!$U$5,Database!$A$1:$M$1,),)</f>
        <v>11446</v>
      </c>
      <c r="V57" s="121">
        <f t="shared" ref="V57:V58" si="49">(U57-U56)/U56</f>
        <v>1.8689925240299037E-2</v>
      </c>
    </row>
    <row r="58" spans="2:22">
      <c r="B58" s="118">
        <v>43922</v>
      </c>
      <c r="C58" s="119">
        <f>VLOOKUP(B58,Database!$A:$M,MATCH(Recap!$C$5,Database!$A$1:$M$1,),)</f>
        <v>161833</v>
      </c>
      <c r="D58" s="121">
        <f t="shared" si="40"/>
        <v>-0.11574881021981565</v>
      </c>
      <c r="E58" s="119">
        <f>VLOOKUP(B58,Database!$A:$M,MATCH(Recap!$E$5,Database!$A$1:$M$1,),)</f>
        <v>137883</v>
      </c>
      <c r="F58" s="121">
        <f t="shared" si="41"/>
        <v>-8.4150326797385627E-2</v>
      </c>
      <c r="G58" s="119">
        <f>VLOOKUP(B58,Database!$A:$M,MATCH(Recap!$G$5,Database!$A$1:$M$1,),)</f>
        <v>59872</v>
      </c>
      <c r="H58" s="121">
        <f t="shared" si="42"/>
        <v>-6.6003151178571987E-2</v>
      </c>
      <c r="I58" s="119">
        <f>VLOOKUP(B58,Database!$A:$M,MATCH(Recap!$I$5,Database!$A$1:$M$1,),)</f>
        <v>121997</v>
      </c>
      <c r="J58" s="121">
        <f t="shared" si="43"/>
        <v>-2.4921072613195861E-2</v>
      </c>
      <c r="K58" s="119">
        <f>VLOOKUP(B58,Database!$A:$M,MATCH(Recap!$K$5,Database!$A$1:$M$1,),)</f>
        <v>23950</v>
      </c>
      <c r="L58" s="121">
        <f t="shared" si="44"/>
        <v>-0.26228245803172645</v>
      </c>
      <c r="M58" s="119">
        <f>VLOOKUP(B58,Database!$A:$M,MATCH(Recap!$M$5,Database!$A$1:$M$1,),)</f>
        <v>24962</v>
      </c>
      <c r="N58" s="121">
        <f t="shared" si="45"/>
        <v>-0.133023061961656</v>
      </c>
      <c r="O58" s="119">
        <f>VLOOKUP(B58,Database!$A:$M,MATCH(Recap!$O$5,Database!$A$1:$M$1,),)</f>
        <v>28238</v>
      </c>
      <c r="P58" s="121">
        <f t="shared" si="46"/>
        <v>-9.2054917848300694E-2</v>
      </c>
      <c r="Q58" s="119">
        <f>VLOOKUP(B58,Database!$A:$M,MATCH(Recap!$Q$5,Database!$A$1:$M$1,),)</f>
        <v>22605</v>
      </c>
      <c r="R58" s="121">
        <f t="shared" si="47"/>
        <v>-5.3057434673033554E-4</v>
      </c>
      <c r="S58" s="119">
        <f>VLOOKUP(B58,Database!$A:$M,MATCH(Recap!$S$5,Database!$A$1:$M$1,),)</f>
        <v>15615</v>
      </c>
      <c r="T58" s="121">
        <f t="shared" si="48"/>
        <v>-0.12935600780596598</v>
      </c>
      <c r="U58" s="119">
        <f>VLOOKUP(B58,Database!$A:$M,MATCH(Recap!$U$5,Database!$A$1:$M$1,),)</f>
        <v>10129</v>
      </c>
      <c r="V58" s="121">
        <f t="shared" si="49"/>
        <v>-0.11506203040363445</v>
      </c>
    </row>
    <row r="59" spans="2:22">
      <c r="B59" s="118">
        <v>43952</v>
      </c>
      <c r="C59" s="119">
        <f>VLOOKUP(B59,Database!$A:$M,MATCH(Recap!$C$5,Database!$A$1:$M$1,),)</f>
        <v>178963</v>
      </c>
      <c r="D59" s="121">
        <f t="shared" ref="D59:D61" si="50">(C59-C58)/C58</f>
        <v>0.10584985756922259</v>
      </c>
      <c r="E59" s="119">
        <f>VLOOKUP(B59,Database!$A:$M,MATCH(Recap!$E$5,Database!$A$1:$M$1,),)</f>
        <v>143011</v>
      </c>
      <c r="F59" s="121">
        <f t="shared" ref="F59:F61" si="51">(E59-E58)/E58</f>
        <v>3.7190951748946571E-2</v>
      </c>
      <c r="G59" s="119">
        <f>VLOOKUP(B59,Database!$A:$M,MATCH(Recap!$G$5,Database!$A$1:$M$1,),)</f>
        <v>61297</v>
      </c>
      <c r="H59" s="121">
        <f t="shared" ref="H59:H61" si="52">(G59-G58)/G58</f>
        <v>2.380077498663816E-2</v>
      </c>
      <c r="I59" s="119">
        <f>VLOOKUP(B59,Database!$A:$M,MATCH(Recap!$I$5,Database!$A$1:$M$1,),)</f>
        <v>134339</v>
      </c>
      <c r="J59" s="121">
        <f t="shared" ref="J59:J61" si="53">(I59-I58)/I58</f>
        <v>0.10116642212513423</v>
      </c>
      <c r="K59" s="119">
        <f>VLOOKUP(B59,Database!$A:$M,MATCH(Recap!$K$5,Database!$A$1:$M$1,),)</f>
        <v>35952</v>
      </c>
      <c r="L59" s="121">
        <f t="shared" ref="L59:L61" si="54">(K59-K58)/K58</f>
        <v>0.50112734864300623</v>
      </c>
      <c r="M59" s="119">
        <f>VLOOKUP(B59,Database!$A:$M,MATCH(Recap!$M$5,Database!$A$1:$M$1,),)</f>
        <v>26975</v>
      </c>
      <c r="N59" s="121">
        <f t="shared" ref="N59:N61" si="55">(M59-M58)/M58</f>
        <v>8.0642576716609252E-2</v>
      </c>
      <c r="O59" s="119">
        <f>VLOOKUP(B59,Database!$A:$M,MATCH(Recap!$O$5,Database!$A$1:$M$1,),)</f>
        <v>29246</v>
      </c>
      <c r="P59" s="121">
        <f t="shared" ref="P59:P61" si="56">(O59-O58)/O58</f>
        <v>3.5696579077838374E-2</v>
      </c>
      <c r="Q59" s="119">
        <f>VLOOKUP(B59,Database!$A:$M,MATCH(Recap!$Q$5,Database!$A$1:$M$1,),)</f>
        <v>22699</v>
      </c>
      <c r="R59" s="121">
        <f t="shared" ref="R59:R61" si="57">(Q59-Q58)/Q58</f>
        <v>4.1583720415837204E-3</v>
      </c>
      <c r="S59" s="119">
        <f>VLOOKUP(B59,Database!$A:$M,MATCH(Recap!$S$5,Database!$A$1:$M$1,),)</f>
        <v>16103</v>
      </c>
      <c r="T59" s="121">
        <f t="shared" ref="T59:T61" si="58">(S59-S58)/S58</f>
        <v>3.1252001280819723E-2</v>
      </c>
      <c r="U59" s="119">
        <f>VLOOKUP(B59,Database!$A:$M,MATCH(Recap!$U$5,Database!$A$1:$M$1,),)</f>
        <v>10288</v>
      </c>
      <c r="V59" s="121">
        <f t="shared" ref="V59:V61" si="59">(U59-U58)/U58</f>
        <v>1.5697502221344653E-2</v>
      </c>
    </row>
    <row r="60" spans="2:22">
      <c r="B60" s="118">
        <v>43983</v>
      </c>
      <c r="C60" s="119">
        <f>VLOOKUP(B60,Database!$A:$M,MATCH(Recap!$C$5,Database!$A$1:$M$1,),)</f>
        <v>199226</v>
      </c>
      <c r="D60" s="121">
        <f t="shared" si="50"/>
        <v>0.11322452126975967</v>
      </c>
      <c r="E60" s="119">
        <f>VLOOKUP(B60,Database!$A:$M,MATCH(Recap!$E$5,Database!$A$1:$M$1,),)</f>
        <v>150635</v>
      </c>
      <c r="F60" s="121">
        <f t="shared" si="51"/>
        <v>5.3310584500492968E-2</v>
      </c>
      <c r="G60" s="119">
        <f>VLOOKUP(B60,Database!$A:$M,MATCH(Recap!$G$5,Database!$A$1:$M$1,),)</f>
        <v>64300</v>
      </c>
      <c r="H60" s="121">
        <f t="shared" si="52"/>
        <v>4.8990978351305933E-2</v>
      </c>
      <c r="I60" s="119">
        <f>VLOOKUP(B60,Database!$A:$M,MATCH(Recap!$I$5,Database!$A$1:$M$1,),)</f>
        <v>135912</v>
      </c>
      <c r="J60" s="121">
        <f t="shared" si="53"/>
        <v>1.1709183483575135E-2</v>
      </c>
      <c r="K60" s="119">
        <f>VLOOKUP(B60,Database!$A:$M,MATCH(Recap!$K$5,Database!$A$1:$M$1,),)</f>
        <v>48591</v>
      </c>
      <c r="L60" s="121">
        <f t="shared" si="54"/>
        <v>0.35155206942590123</v>
      </c>
      <c r="M60" s="119">
        <f>VLOOKUP(B60,Database!$A:$M,MATCH(Recap!$M$5,Database!$A$1:$M$1,),)</f>
        <v>29075</v>
      </c>
      <c r="N60" s="121">
        <f t="shared" si="55"/>
        <v>7.7849860982391106E-2</v>
      </c>
      <c r="O60" s="119">
        <f>VLOOKUP(B60,Database!$A:$M,MATCH(Recap!$O$5,Database!$A$1:$M$1,),)</f>
        <v>30519</v>
      </c>
      <c r="P60" s="121">
        <f t="shared" si="56"/>
        <v>4.352731997538125E-2</v>
      </c>
      <c r="Q60" s="119">
        <f>VLOOKUP(B60,Database!$A:$M,MATCH(Recap!$Q$5,Database!$A$1:$M$1,),)</f>
        <v>22999</v>
      </c>
      <c r="R60" s="121">
        <f t="shared" si="57"/>
        <v>1.3216441252918631E-2</v>
      </c>
      <c r="S60" s="119">
        <f>VLOOKUP(B60,Database!$A:$M,MATCH(Recap!$S$5,Database!$A$1:$M$1,),)</f>
        <v>17719</v>
      </c>
      <c r="T60" s="121">
        <f t="shared" si="58"/>
        <v>0.10035397130969384</v>
      </c>
      <c r="U60" s="119">
        <f>VLOOKUP(B60,Database!$A:$M,MATCH(Recap!$U$5,Database!$A$1:$M$1,),)</f>
        <v>10435</v>
      </c>
      <c r="V60" s="121">
        <f t="shared" si="59"/>
        <v>1.4288491446345256E-2</v>
      </c>
    </row>
    <row r="61" spans="2:22">
      <c r="B61" s="118">
        <v>44013</v>
      </c>
      <c r="C61" s="119">
        <f>VLOOKUP(B61,Database!$A:$M,MATCH(Recap!$C$5,Database!$A$1:$M$1,),)</f>
        <v>218748</v>
      </c>
      <c r="D61" s="121">
        <f t="shared" si="50"/>
        <v>9.7989218274723178E-2</v>
      </c>
      <c r="E61" s="119">
        <f>VLOOKUP(B61,Database!$A:$M,MATCH(Recap!$E$5,Database!$A$1:$M$1,),)</f>
        <v>155900</v>
      </c>
      <c r="F61" s="121">
        <f t="shared" si="51"/>
        <v>3.4952036379327513E-2</v>
      </c>
      <c r="G61" s="119">
        <f>VLOOKUP(B61,Database!$A:$M,MATCH(Recap!$G$5,Database!$A$1:$M$1,),)</f>
        <v>66189</v>
      </c>
      <c r="H61" s="121">
        <f t="shared" si="52"/>
        <v>2.937791601866252E-2</v>
      </c>
      <c r="I61" s="119">
        <f>VLOOKUP(B61,Database!$A:$M,MATCH(Recap!$I$5,Database!$A$1:$M$1,),)</f>
        <v>146079</v>
      </c>
      <c r="J61" s="121">
        <f t="shared" si="53"/>
        <v>7.4805756666078055E-2</v>
      </c>
      <c r="K61" s="119">
        <f>VLOOKUP(B61,Database!$A:$M,MATCH(Recap!$K$5,Database!$A$1:$M$1,),)</f>
        <v>62848</v>
      </c>
      <c r="L61" s="121">
        <f t="shared" si="54"/>
        <v>0.29340824432508078</v>
      </c>
      <c r="M61" s="119">
        <f>VLOOKUP(B61,Database!$A:$M,MATCH(Recap!$M$5,Database!$A$1:$M$1,),)</f>
        <v>30303</v>
      </c>
      <c r="N61" s="121">
        <f t="shared" si="55"/>
        <v>4.2235597592433359E-2</v>
      </c>
      <c r="O61" s="119">
        <f>VLOOKUP(B61,Database!$A:$M,MATCH(Recap!$O$5,Database!$A$1:$M$1,),)</f>
        <v>31520</v>
      </c>
      <c r="P61" s="121">
        <f t="shared" si="56"/>
        <v>3.2799239817818411E-2</v>
      </c>
      <c r="Q61" s="119">
        <f>VLOOKUP(B61,Database!$A:$M,MATCH(Recap!$Q$5,Database!$A$1:$M$1,),)</f>
        <v>23302</v>
      </c>
      <c r="R61" s="121">
        <f t="shared" si="57"/>
        <v>1.3174485847210749E-2</v>
      </c>
      <c r="S61" s="119">
        <f>VLOOKUP(B61,Database!$A:$M,MATCH(Recap!$S$5,Database!$A$1:$M$1,),)</f>
        <v>18203</v>
      </c>
      <c r="T61" s="121">
        <f t="shared" si="58"/>
        <v>2.7315311247813081E-2</v>
      </c>
      <c r="U61" s="119">
        <f>VLOOKUP(B61,Database!$A:$M,MATCH(Recap!$U$5,Database!$A$1:$M$1,),)</f>
        <v>11154</v>
      </c>
      <c r="V61" s="121">
        <f t="shared" si="59"/>
        <v>6.8902731193100142E-2</v>
      </c>
    </row>
    <row r="62" spans="2:22">
      <c r="B62" s="118">
        <v>44044</v>
      </c>
      <c r="C62" s="119">
        <f>VLOOKUP(B62,Database!$A:$M,MATCH(Recap!$C$5,Database!$A$1:$M$1,),)</f>
        <v>223062</v>
      </c>
      <c r="D62" s="121">
        <f t="shared" ref="D62:D65" si="60">(C62-C61)/C61</f>
        <v>1.9721323166383236E-2</v>
      </c>
      <c r="E62" s="119">
        <f>VLOOKUP(B62,Database!$A:$M,MATCH(Recap!$E$5,Database!$A$1:$M$1,),)</f>
        <v>158055</v>
      </c>
      <c r="F62" s="121">
        <f t="shared" ref="F62:F65" si="61">(E62-E61)/E61</f>
        <v>1.3822963438101347E-2</v>
      </c>
      <c r="G62" s="119">
        <f>VLOOKUP(B62,Database!$A:$M,MATCH(Recap!$G$5,Database!$A$1:$M$1,),)</f>
        <v>67791</v>
      </c>
      <c r="H62" s="121">
        <f t="shared" ref="H62:H65" si="62">(G62-G61)/G61</f>
        <v>2.4203417486289264E-2</v>
      </c>
      <c r="I62" s="119">
        <f>VLOOKUP(B62,Database!$A:$M,MATCH(Recap!$I$5,Database!$A$1:$M$1,),)</f>
        <v>151866</v>
      </c>
      <c r="J62" s="121">
        <f t="shared" ref="J62:J65" si="63">(I62-I61)/I61</f>
        <v>3.9615550489803461E-2</v>
      </c>
      <c r="K62" s="119">
        <f>VLOOKUP(B62,Database!$A:$M,MATCH(Recap!$K$5,Database!$A$1:$M$1,),)</f>
        <v>65007</v>
      </c>
      <c r="L62" s="121">
        <f t="shared" ref="L62:L65" si="64">(K62-K61)/K61</f>
        <v>3.435272403258656E-2</v>
      </c>
      <c r="M62" s="119">
        <f>VLOOKUP(B62,Database!$A:$M,MATCH(Recap!$M$5,Database!$A$1:$M$1,),)</f>
        <v>30310</v>
      </c>
      <c r="N62" s="121">
        <f t="shared" ref="N62:N65" si="65">(M62-M61)/M61</f>
        <v>2.3100023100023099E-4</v>
      </c>
      <c r="O62" s="119">
        <f>VLOOKUP(B62,Database!$A:$M,MATCH(Recap!$O$5,Database!$A$1:$M$1,),)</f>
        <v>32251</v>
      </c>
      <c r="P62" s="121">
        <f t="shared" ref="P62:P65" si="66">(O62-O61)/O61</f>
        <v>2.3191624365482232E-2</v>
      </c>
      <c r="Q62" s="119">
        <f>VLOOKUP(B62,Database!$A:$M,MATCH(Recap!$Q$5,Database!$A$1:$M$1,),)</f>
        <v>23790</v>
      </c>
      <c r="R62" s="121">
        <f t="shared" ref="R62:R65" si="67">(Q62-Q61)/Q61</f>
        <v>2.0942408376963352E-2</v>
      </c>
      <c r="S62" s="119">
        <f>VLOOKUP(B62,Database!$A:$M,MATCH(Recap!$S$5,Database!$A$1:$M$1,),)</f>
        <v>18738</v>
      </c>
      <c r="T62" s="121">
        <f t="shared" ref="T62:T65" si="68">(S62-S61)/S61</f>
        <v>2.9390759764873924E-2</v>
      </c>
      <c r="U62" s="119">
        <f>VLOOKUP(B62,Database!$A:$M,MATCH(Recap!$U$5,Database!$A$1:$M$1,),)</f>
        <v>11040</v>
      </c>
      <c r="V62" s="121">
        <f t="shared" ref="V62:V65" si="69">(U62-U61)/U61</f>
        <v>-1.0220548682087143E-2</v>
      </c>
    </row>
    <row r="63" spans="2:22">
      <c r="B63" s="118">
        <v>44075</v>
      </c>
      <c r="C63" s="119">
        <f>VLOOKUP(B63,Database!$A:$M,MATCH(Recap!$C$5,Database!$A$1:$M$1,),)</f>
        <v>226664</v>
      </c>
      <c r="D63" s="121">
        <f t="shared" si="60"/>
        <v>1.6147976795689092E-2</v>
      </c>
      <c r="E63" s="119">
        <f>VLOOKUP(B63,Database!$A:$M,MATCH(Recap!$E$5,Database!$A$1:$M$1,),)</f>
        <v>160114</v>
      </c>
      <c r="F63" s="121">
        <f t="shared" si="61"/>
        <v>1.3027110815855241E-2</v>
      </c>
      <c r="G63" s="119">
        <f>VLOOKUP(B63,Database!$A:$M,MATCH(Recap!$G$5,Database!$A$1:$M$1,),)</f>
        <v>68646</v>
      </c>
      <c r="H63" s="121">
        <f t="shared" si="62"/>
        <v>1.261229366730097E-2</v>
      </c>
      <c r="I63" s="119">
        <f>VLOOKUP(B63,Database!$A:$M,MATCH(Recap!$I$5,Database!$A$1:$M$1,),)</f>
        <v>154765</v>
      </c>
      <c r="J63" s="121">
        <f t="shared" si="63"/>
        <v>1.908919705529875E-2</v>
      </c>
      <c r="K63" s="119">
        <f>VLOOKUP(B63,Database!$A:$M,MATCH(Recap!$K$5,Database!$A$1:$M$1,),)</f>
        <v>66550</v>
      </c>
      <c r="L63" s="121">
        <f t="shared" si="64"/>
        <v>2.3735905364037718E-2</v>
      </c>
      <c r="M63" s="119">
        <f>VLOOKUP(B63,Database!$A:$M,MATCH(Recap!$M$5,Database!$A$1:$M$1,),)</f>
        <v>30998</v>
      </c>
      <c r="N63" s="121">
        <f t="shared" si="65"/>
        <v>2.2698779280765424E-2</v>
      </c>
      <c r="O63" s="119">
        <f>VLOOKUP(B63,Database!$A:$M,MATCH(Recap!$O$5,Database!$A$1:$M$1,),)</f>
        <v>32547</v>
      </c>
      <c r="P63" s="121">
        <f t="shared" si="66"/>
        <v>9.1780099841865369E-3</v>
      </c>
      <c r="Q63" s="119">
        <f>VLOOKUP(B63,Database!$A:$M,MATCH(Recap!$Q$5,Database!$A$1:$M$1,),)</f>
        <v>23658</v>
      </c>
      <c r="R63" s="121">
        <f t="shared" si="67"/>
        <v>-5.5485498108448928E-3</v>
      </c>
      <c r="S63" s="119">
        <f>VLOOKUP(B63,Database!$A:$M,MATCH(Recap!$S$5,Database!$A$1:$M$1,),)</f>
        <v>19293</v>
      </c>
      <c r="T63" s="121">
        <f t="shared" si="68"/>
        <v>2.9618956131924432E-2</v>
      </c>
      <c r="U63" s="119">
        <f>VLOOKUP(B63,Database!$A:$M,MATCH(Recap!$U$5,Database!$A$1:$M$1,),)</f>
        <v>11198</v>
      </c>
      <c r="V63" s="121">
        <f t="shared" si="69"/>
        <v>1.4311594202898551E-2</v>
      </c>
    </row>
    <row r="64" spans="2:22">
      <c r="B64" s="118">
        <v>44105</v>
      </c>
      <c r="C64" s="119">
        <f>VLOOKUP(B64,Database!$A:$M,MATCH(Recap!$C$5,Database!$A$1:$M$1,),)</f>
        <v>228836</v>
      </c>
      <c r="D64" s="121">
        <f t="shared" si="60"/>
        <v>9.5824656760667773E-3</v>
      </c>
      <c r="E64" s="119">
        <f>VLOOKUP(B64,Database!$A:$M,MATCH(Recap!$E$5,Database!$A$1:$M$1,),)</f>
        <v>162930</v>
      </c>
      <c r="F64" s="121">
        <f t="shared" si="61"/>
        <v>1.7587468928388524E-2</v>
      </c>
      <c r="G64" s="119">
        <f>VLOOKUP(B64,Database!$A:$M,MATCH(Recap!$G$5,Database!$A$1:$M$1,),)</f>
        <v>69626</v>
      </c>
      <c r="H64" s="121">
        <f t="shared" si="62"/>
        <v>1.4276141362934475E-2</v>
      </c>
      <c r="I64" s="119">
        <f>VLOOKUP(B64,Database!$A:$M,MATCH(Recap!$I$5,Database!$A$1:$M$1,),)</f>
        <v>157040</v>
      </c>
      <c r="J64" s="121">
        <f t="shared" si="63"/>
        <v>1.4699706005879883E-2</v>
      </c>
      <c r="K64" s="119">
        <f>VLOOKUP(B64,Database!$A:$M,MATCH(Recap!$K$5,Database!$A$1:$M$1,),)</f>
        <v>65906</v>
      </c>
      <c r="L64" s="121">
        <f t="shared" si="64"/>
        <v>-9.6769346356123213E-3</v>
      </c>
      <c r="M64" s="119">
        <f>VLOOKUP(B64,Database!$A:$M,MATCH(Recap!$M$5,Database!$A$1:$M$1,),)</f>
        <v>31692</v>
      </c>
      <c r="N64" s="121">
        <f t="shared" si="65"/>
        <v>2.2388541196206205E-2</v>
      </c>
      <c r="O64" s="119">
        <f>VLOOKUP(B64,Database!$A:$M,MATCH(Recap!$O$5,Database!$A$1:$M$1,),)</f>
        <v>32893</v>
      </c>
      <c r="P64" s="121">
        <f t="shared" si="66"/>
        <v>1.0630780102620824E-2</v>
      </c>
      <c r="Q64" s="119">
        <f>VLOOKUP(B64,Database!$A:$M,MATCH(Recap!$Q$5,Database!$A$1:$M$1,),)</f>
        <v>24445</v>
      </c>
      <c r="R64" s="121">
        <f t="shared" si="67"/>
        <v>3.3265702933468595E-2</v>
      </c>
      <c r="S64" s="119">
        <f>VLOOKUP(B64,Database!$A:$M,MATCH(Recap!$S$5,Database!$A$1:$M$1,),)</f>
        <v>19679</v>
      </c>
      <c r="T64" s="121">
        <f t="shared" si="68"/>
        <v>2.0007256517908051E-2</v>
      </c>
      <c r="U64" s="119">
        <f>VLOOKUP(B64,Database!$A:$M,MATCH(Recap!$U$5,Database!$A$1:$M$1,),)</f>
        <v>11354</v>
      </c>
      <c r="V64" s="121">
        <f t="shared" si="69"/>
        <v>1.3931059117699589E-2</v>
      </c>
    </row>
    <row r="65" spans="2:22">
      <c r="B65" s="118">
        <v>44136</v>
      </c>
      <c r="C65" s="119">
        <f>VLOOKUP(B65,Database!$A:$M,MATCH(Recap!$C$5,Database!$A$1:$M$1,),)</f>
        <v>233838</v>
      </c>
      <c r="D65" s="121">
        <f t="shared" si="60"/>
        <v>2.1858448845461377E-2</v>
      </c>
      <c r="E65" s="119">
        <f>VLOOKUP(B65,Database!$A:$M,MATCH(Recap!$E$5,Database!$A$1:$M$1,),)</f>
        <v>164240</v>
      </c>
      <c r="F65" s="121">
        <f t="shared" si="61"/>
        <v>8.0402626894985584E-3</v>
      </c>
      <c r="G65" s="119">
        <f>VLOOKUP(B65,Database!$A:$M,MATCH(Recap!$G$5,Database!$A$1:$M$1,),)</f>
        <v>70563</v>
      </c>
      <c r="H65" s="121">
        <f t="shared" si="62"/>
        <v>1.3457616407663804E-2</v>
      </c>
      <c r="I65" s="119">
        <f>VLOOKUP(B65,Database!$A:$M,MATCH(Recap!$I$5,Database!$A$1:$M$1,),)</f>
        <v>160496</v>
      </c>
      <c r="J65" s="121">
        <f t="shared" si="63"/>
        <v>2.2007131940906775E-2</v>
      </c>
      <c r="K65" s="119">
        <f>VLOOKUP(B65,Database!$A:$M,MATCH(Recap!$K$5,Database!$A$1:$M$1,),)</f>
        <v>69598</v>
      </c>
      <c r="L65" s="121">
        <f t="shared" si="64"/>
        <v>5.6019178830455499E-2</v>
      </c>
      <c r="M65" s="119">
        <f>VLOOKUP(B65,Database!$A:$M,MATCH(Recap!$M$5,Database!$A$1:$M$1,),)</f>
        <v>31623</v>
      </c>
      <c r="N65" s="121">
        <f t="shared" si="65"/>
        <v>-2.1772056039379025E-3</v>
      </c>
      <c r="O65" s="119">
        <f>VLOOKUP(B65,Database!$A:$M,MATCH(Recap!$O$5,Database!$A$1:$M$1,),)</f>
        <v>32966</v>
      </c>
      <c r="P65" s="121">
        <f t="shared" si="66"/>
        <v>2.2193171799471012E-3</v>
      </c>
      <c r="Q65" s="119">
        <f>VLOOKUP(B65,Database!$A:$M,MATCH(Recap!$Q$5,Database!$A$1:$M$1,),)</f>
        <v>24559</v>
      </c>
      <c r="R65" s="121">
        <f t="shared" si="67"/>
        <v>4.6635303743096752E-3</v>
      </c>
      <c r="S65" s="119">
        <f>VLOOKUP(B65,Database!$A:$M,MATCH(Recap!$S$5,Database!$A$1:$M$1,),)</f>
        <v>20065</v>
      </c>
      <c r="T65" s="121">
        <f t="shared" si="68"/>
        <v>1.9614817826109049E-2</v>
      </c>
      <c r="U65" s="119">
        <f>VLOOKUP(B65,Database!$A:$M,MATCH(Recap!$U$5,Database!$A$1:$M$1,),)</f>
        <v>11421</v>
      </c>
      <c r="V65" s="121">
        <f t="shared" si="69"/>
        <v>5.9010040514356175E-3</v>
      </c>
    </row>
    <row r="66" spans="2:22">
      <c r="B66" s="118">
        <v>44166</v>
      </c>
      <c r="C66" s="119">
        <f>VLOOKUP(B66,Database!$A:$M,MATCH(Recap!$C$5,Database!$A$1:$M$1,),)</f>
        <v>237428</v>
      </c>
      <c r="D66" s="121">
        <f t="shared" ref="D66:D67" si="70">(C66-C65)/C65</f>
        <v>1.5352509001958621E-2</v>
      </c>
      <c r="E66" s="119">
        <f>VLOOKUP(B66,Database!$A:$M,MATCH(Recap!$E$5,Database!$A$1:$M$1,),)</f>
        <v>167549</v>
      </c>
      <c r="F66" s="121">
        <f t="shared" ref="F66:F67" si="71">(E66-E65)/E65</f>
        <v>2.0147345348270822E-2</v>
      </c>
      <c r="G66" s="119">
        <f>VLOOKUP(B66,Database!$A:$M,MATCH(Recap!$G$5,Database!$A$1:$M$1,),)</f>
        <v>71619</v>
      </c>
      <c r="H66" s="121">
        <f t="shared" ref="H66:H67" si="72">(G66-G65)/G65</f>
        <v>1.4965350112665279E-2</v>
      </c>
      <c r="I66" s="119">
        <f>VLOOKUP(B66,Database!$A:$M,MATCH(Recap!$I$5,Database!$A$1:$M$1,),)</f>
        <v>162628</v>
      </c>
      <c r="J66" s="121">
        <f t="shared" ref="J66:J67" si="73">(I66-I65)/I65</f>
        <v>1.3283820157511714E-2</v>
      </c>
      <c r="K66" s="119">
        <f>VLOOKUP(B66,Database!$A:$M,MATCH(Recap!$K$5,Database!$A$1:$M$1,),)</f>
        <v>69879</v>
      </c>
      <c r="L66" s="121">
        <f t="shared" ref="L66:L67" si="74">(K66-K65)/K65</f>
        <v>4.0374723411592288E-3</v>
      </c>
      <c r="M66" s="119">
        <f>VLOOKUP(B66,Database!$A:$M,MATCH(Recap!$M$5,Database!$A$1:$M$1,),)</f>
        <v>32789</v>
      </c>
      <c r="N66" s="121">
        <f t="shared" ref="N66:N67" si="75">(M66-M65)/M65</f>
        <v>3.6871897036966764E-2</v>
      </c>
      <c r="O66" s="119">
        <f>VLOOKUP(B66,Database!$A:$M,MATCH(Recap!$O$5,Database!$A$1:$M$1,),)</f>
        <v>34392</v>
      </c>
      <c r="P66" s="121">
        <f t="shared" ref="P66:P67" si="76">(O66-O65)/O65</f>
        <v>4.325668870957957E-2</v>
      </c>
      <c r="Q66" s="119">
        <f>VLOOKUP(B66,Database!$A:$M,MATCH(Recap!$Q$5,Database!$A$1:$M$1,),)</f>
        <v>24561</v>
      </c>
      <c r="R66" s="121">
        <f t="shared" ref="R66:R67" si="77">(Q66-Q65)/Q65</f>
        <v>8.1436540575756343E-5</v>
      </c>
      <c r="S66" s="119">
        <f>VLOOKUP(B66,Database!$A:$M,MATCH(Recap!$S$5,Database!$A$1:$M$1,),)</f>
        <v>20298</v>
      </c>
      <c r="T66" s="121">
        <f t="shared" ref="T66:T67" si="78">(S66-S65)/S65</f>
        <v>1.1612260154497882E-2</v>
      </c>
      <c r="U66" s="119">
        <f>VLOOKUP(B66,Database!$A:$M,MATCH(Recap!$U$5,Database!$A$1:$M$1,),)</f>
        <v>11784</v>
      </c>
      <c r="V66" s="121">
        <f t="shared" ref="V66:V67" si="79">(U66-U65)/U65</f>
        <v>3.1783556606251644E-2</v>
      </c>
    </row>
    <row r="67" spans="2:22">
      <c r="B67" s="118">
        <v>44197</v>
      </c>
      <c r="C67" s="119">
        <f>VLOOKUP(B67,Database!$A:$M,MATCH(Recap!$C$5,Database!$A$1:$M$1,),)</f>
        <v>243160</v>
      </c>
      <c r="D67" s="121">
        <f t="shared" si="70"/>
        <v>2.4142055696884952E-2</v>
      </c>
      <c r="E67" s="119">
        <f>VLOOKUP(B67,Database!$A:$M,MATCH(Recap!$E$5,Database!$A$1:$M$1,),)</f>
        <v>171001</v>
      </c>
      <c r="F67" s="121">
        <f t="shared" si="71"/>
        <v>2.0602928098645768E-2</v>
      </c>
      <c r="G67" s="119">
        <f>VLOOKUP(B67,Database!$A:$M,MATCH(Recap!$G$5,Database!$A$1:$M$1,),)</f>
        <v>72386</v>
      </c>
      <c r="H67" s="121">
        <f t="shared" si="72"/>
        <v>1.0709448610005725E-2</v>
      </c>
      <c r="I67" s="119">
        <f>VLOOKUP(B67,Database!$A:$M,MATCH(Recap!$I$5,Database!$A$1:$M$1,),)</f>
        <v>168315</v>
      </c>
      <c r="J67" s="121">
        <f t="shared" si="73"/>
        <v>3.4969377966893769E-2</v>
      </c>
      <c r="K67" s="119">
        <f>VLOOKUP(B67,Database!$A:$M,MATCH(Recap!$K$5,Database!$A$1:$M$1,),)</f>
        <v>72159</v>
      </c>
      <c r="L67" s="121">
        <f t="shared" si="74"/>
        <v>3.2627828102863521E-2</v>
      </c>
      <c r="M67" s="119">
        <f>VLOOKUP(B67,Database!$A:$M,MATCH(Recap!$M$5,Database!$A$1:$M$1,),)</f>
        <v>33731</v>
      </c>
      <c r="N67" s="121">
        <f t="shared" si="75"/>
        <v>2.8729146970020433E-2</v>
      </c>
      <c r="O67" s="119">
        <f>VLOOKUP(B67,Database!$A:$M,MATCH(Recap!$O$5,Database!$A$1:$M$1,),)</f>
        <v>34411</v>
      </c>
      <c r="P67" s="121">
        <f t="shared" si="76"/>
        <v>5.524540590835078E-4</v>
      </c>
      <c r="Q67" s="119">
        <f>VLOOKUP(B67,Database!$A:$M,MATCH(Recap!$Q$5,Database!$A$1:$M$1,),)</f>
        <v>24715</v>
      </c>
      <c r="R67" s="121">
        <f t="shared" si="77"/>
        <v>6.2701030088351453E-3</v>
      </c>
      <c r="S67" s="119">
        <f>VLOOKUP(B67,Database!$A:$M,MATCH(Recap!$S$5,Database!$A$1:$M$1,),)</f>
        <v>20852</v>
      </c>
      <c r="T67" s="121">
        <f t="shared" si="78"/>
        <v>2.7293329392058332E-2</v>
      </c>
      <c r="U67" s="119">
        <f>VLOOKUP(B67,Database!$A:$M,MATCH(Recap!$U$5,Database!$A$1:$M$1,),)</f>
        <v>12338</v>
      </c>
      <c r="V67" s="121">
        <f t="shared" si="79"/>
        <v>4.7012898845892735E-2</v>
      </c>
    </row>
    <row r="68" spans="2:22">
      <c r="B68" s="118">
        <v>44228</v>
      </c>
      <c r="C68" s="119">
        <f>VLOOKUP(B68,Database!$A:$M,MATCH(Recap!$C$5,Database!$A$1:$M$1,),)</f>
        <v>246261</v>
      </c>
      <c r="D68" s="121">
        <f t="shared" ref="D68:D69" si="80">(C68-C67)/C67</f>
        <v>1.2752919888139497E-2</v>
      </c>
      <c r="E68" s="119">
        <f>VLOOKUP(B68,Database!$A:$M,MATCH(Recap!$E$5,Database!$A$1:$M$1,),)</f>
        <v>170078</v>
      </c>
      <c r="F68" s="121">
        <f t="shared" ref="F68:F69" si="81">(E68-E67)/E67</f>
        <v>-5.3976292536300954E-3</v>
      </c>
      <c r="G68" s="119">
        <f>VLOOKUP(B68,Database!$A:$M,MATCH(Recap!$G$5,Database!$A$1:$M$1,),)</f>
        <v>72150</v>
      </c>
      <c r="H68" s="121">
        <f t="shared" ref="H68:H69" si="82">(G68-G67)/G67</f>
        <v>-3.2602989528361837E-3</v>
      </c>
      <c r="I68" s="119">
        <f>VLOOKUP(B68,Database!$A:$M,MATCH(Recap!$I$5,Database!$A$1:$M$1,),)</f>
        <v>176058</v>
      </c>
      <c r="J68" s="121">
        <f t="shared" ref="J68:J69" si="83">(I68-I67)/I67</f>
        <v>4.6003030032973888E-2</v>
      </c>
      <c r="K68" s="119">
        <f>VLOOKUP(B68,Database!$A:$M,MATCH(Recap!$K$5,Database!$A$1:$M$1,),)</f>
        <v>76183</v>
      </c>
      <c r="L68" s="121">
        <f t="shared" ref="L68:L69" si="84">(K68-K67)/K67</f>
        <v>5.5765739547388407E-2</v>
      </c>
      <c r="M68" s="119">
        <f>VLOOKUP(B68,Database!$A:$M,MATCH(Recap!$M$5,Database!$A$1:$M$1,),)</f>
        <v>33691</v>
      </c>
      <c r="N68" s="121">
        <f t="shared" ref="N68:N69" si="85">(M68-M67)/M67</f>
        <v>-1.1858527763778128E-3</v>
      </c>
      <c r="O68" s="119">
        <f>VLOOKUP(B68,Database!$A:$M,MATCH(Recap!$O$5,Database!$A$1:$M$1,),)</f>
        <v>34488</v>
      </c>
      <c r="P68" s="121">
        <f t="shared" ref="P68:P69" si="86">(O68-O67)/O67</f>
        <v>2.2376565633082444E-3</v>
      </c>
      <c r="Q68" s="119">
        <f>VLOOKUP(B68,Database!$A:$M,MATCH(Recap!$Q$5,Database!$A$1:$M$1,),)</f>
        <v>24536</v>
      </c>
      <c r="R68" s="121">
        <f t="shared" ref="R68:R69" si="87">(Q68-Q67)/Q67</f>
        <v>-7.2425652437790814E-3</v>
      </c>
      <c r="S68" s="119">
        <f>VLOOKUP(B68,Database!$A:$M,MATCH(Recap!$S$5,Database!$A$1:$M$1,),)</f>
        <v>20840</v>
      </c>
      <c r="T68" s="121">
        <f t="shared" ref="T68:T69" si="88">(S68-S67)/S67</f>
        <v>-5.7548436600805678E-4</v>
      </c>
      <c r="U68" s="119">
        <f>VLOOKUP(B68,Database!$A:$M,MATCH(Recap!$U$5,Database!$A$1:$M$1,),)</f>
        <v>12534</v>
      </c>
      <c r="V68" s="121">
        <f t="shared" ref="V68:V69" si="89">(U68-U67)/U67</f>
        <v>1.5885881017993191E-2</v>
      </c>
    </row>
    <row r="69" spans="2:22">
      <c r="B69" s="118">
        <v>44256</v>
      </c>
      <c r="C69" s="119">
        <f>VLOOKUP(B69,Database!$A:$M,MATCH(Recap!$C$5,Database!$A$1:$M$1,),)</f>
        <v>249467</v>
      </c>
      <c r="D69" s="121">
        <f t="shared" si="80"/>
        <v>1.3018707793763528E-2</v>
      </c>
      <c r="E69" s="119">
        <f>VLOOKUP(B69,Database!$A:$M,MATCH(Recap!$E$5,Database!$A$1:$M$1,),)</f>
        <v>175624</v>
      </c>
      <c r="F69" s="121">
        <f t="shared" si="81"/>
        <v>3.2608567833582236E-2</v>
      </c>
      <c r="G69" s="119">
        <f>VLOOKUP(B69,Database!$A:$M,MATCH(Recap!$G$5,Database!$A$1:$M$1,),)</f>
        <v>73318</v>
      </c>
      <c r="H69" s="121">
        <f t="shared" si="82"/>
        <v>1.6188496188496188E-2</v>
      </c>
      <c r="I69" s="119">
        <f>VLOOKUP(B69,Database!$A:$M,MATCH(Recap!$I$5,Database!$A$1:$M$1,),)</f>
        <v>177221</v>
      </c>
      <c r="J69" s="121">
        <f t="shared" si="83"/>
        <v>6.6057776414590649E-3</v>
      </c>
      <c r="K69" s="119">
        <f>VLOOKUP(B69,Database!$A:$M,MATCH(Recap!$K$5,Database!$A$1:$M$1,),)</f>
        <v>73843</v>
      </c>
      <c r="L69" s="121">
        <f t="shared" si="84"/>
        <v>-3.0715513959807306E-2</v>
      </c>
      <c r="M69" s="119">
        <f>VLOOKUP(B69,Database!$A:$M,MATCH(Recap!$M$5,Database!$A$1:$M$1,),)</f>
        <v>36034</v>
      </c>
      <c r="N69" s="121">
        <f t="shared" si="85"/>
        <v>6.9543795078804427E-2</v>
      </c>
      <c r="O69" s="119">
        <f>VLOOKUP(B69,Database!$A:$M,MATCH(Recap!$O$5,Database!$A$1:$M$1,),)</f>
        <v>35598</v>
      </c>
      <c r="P69" s="121">
        <f t="shared" si="86"/>
        <v>3.2185107863604734E-2</v>
      </c>
      <c r="Q69" s="119">
        <f>VLOOKUP(B69,Database!$A:$M,MATCH(Recap!$Q$5,Database!$A$1:$M$1,),)</f>
        <v>24675</v>
      </c>
      <c r="R69" s="121">
        <f t="shared" si="87"/>
        <v>5.6651450929246817E-3</v>
      </c>
      <c r="S69" s="119">
        <f>VLOOKUP(B69,Database!$A:$M,MATCH(Recap!$S$5,Database!$A$1:$M$1,),)</f>
        <v>21959</v>
      </c>
      <c r="T69" s="121">
        <f t="shared" si="88"/>
        <v>5.3694817658349325E-2</v>
      </c>
      <c r="U69" s="119">
        <f>VLOOKUP(B69,Database!$A:$M,MATCH(Recap!$U$5,Database!$A$1:$M$1,),)</f>
        <v>12521</v>
      </c>
      <c r="V69" s="121">
        <f t="shared" si="89"/>
        <v>-1.0371788734641774E-3</v>
      </c>
    </row>
    <row r="70" spans="2:22">
      <c r="B70" s="118">
        <v>44287</v>
      </c>
      <c r="C70" s="119">
        <f>VLOOKUP(B70,Database!$A:$M,MATCH(Recap!$C$5,Database!$A$1:$M$1,),)</f>
        <v>247644</v>
      </c>
      <c r="D70" s="121">
        <f t="shared" ref="D70:D71" si="90">(C70-C69)/C69</f>
        <v>-7.3075797600484233E-3</v>
      </c>
      <c r="E70" s="119">
        <f>VLOOKUP(B70,Database!$A:$M,MATCH(Recap!$E$5,Database!$A$1:$M$1,),)</f>
        <v>178656</v>
      </c>
      <c r="F70" s="121">
        <f t="shared" ref="F70:F71" si="91">(E70-E69)/E69</f>
        <v>1.7264155240741583E-2</v>
      </c>
      <c r="G70" s="119">
        <f>VLOOKUP(B70,Database!$A:$M,MATCH(Recap!$G$5,Database!$A$1:$M$1,),)</f>
        <v>75315</v>
      </c>
      <c r="H70" s="121">
        <f t="shared" ref="H70:H71" si="92">(G70-G69)/G69</f>
        <v>2.7237513298235084E-2</v>
      </c>
      <c r="I70" s="119">
        <f>VLOOKUP(B70,Database!$A:$M,MATCH(Recap!$I$5,Database!$A$1:$M$1,),)</f>
        <v>179098</v>
      </c>
      <c r="J70" s="121">
        <f t="shared" ref="J70:J71" si="93">(I70-I69)/I69</f>
        <v>1.0591295613950943E-2</v>
      </c>
      <c r="K70" s="119">
        <f>VLOOKUP(B70,Database!$A:$M,MATCH(Recap!$K$5,Database!$A$1:$M$1,),)</f>
        <v>68988</v>
      </c>
      <c r="L70" s="121">
        <f t="shared" ref="L70:L71" si="94">(K70-K69)/K69</f>
        <v>-6.5747599637067833E-2</v>
      </c>
      <c r="M70" s="119">
        <f>VLOOKUP(B70,Database!$A:$M,MATCH(Recap!$M$5,Database!$A$1:$M$1,),)</f>
        <v>36597</v>
      </c>
      <c r="N70" s="121">
        <f t="shared" ref="N70:N71" si="95">(M70-M69)/M69</f>
        <v>1.5624132763501138E-2</v>
      </c>
      <c r="O70" s="119">
        <f>VLOOKUP(B70,Database!$A:$M,MATCH(Recap!$O$5,Database!$A$1:$M$1,),)</f>
        <v>36400</v>
      </c>
      <c r="P70" s="121">
        <f t="shared" ref="P70:P71" si="96">(O70-O69)/O69</f>
        <v>2.2529355581774258E-2</v>
      </c>
      <c r="Q70" s="119">
        <f>VLOOKUP(B70,Database!$A:$M,MATCH(Recap!$Q$5,Database!$A$1:$M$1,),)</f>
        <v>24787</v>
      </c>
      <c r="R70" s="121">
        <f t="shared" ref="R70:R71" si="97">(Q70-Q69)/Q69</f>
        <v>4.5390070921985815E-3</v>
      </c>
      <c r="S70" s="119">
        <f>VLOOKUP(B70,Database!$A:$M,MATCH(Recap!$S$5,Database!$A$1:$M$1,),)</f>
        <v>23133</v>
      </c>
      <c r="T70" s="121">
        <f t="shared" ref="T70:T71" si="98">(S70-S69)/S69</f>
        <v>5.3463272462316136E-2</v>
      </c>
      <c r="U70" s="119">
        <f>VLOOKUP(B70,Database!$A:$M,MATCH(Recap!$U$5,Database!$A$1:$M$1,),)</f>
        <v>12579</v>
      </c>
      <c r="V70" s="121">
        <f t="shared" ref="V70:V71" si="99">(U70-U69)/U69</f>
        <v>4.6322178739717276E-3</v>
      </c>
    </row>
    <row r="71" spans="2:22">
      <c r="B71" s="118">
        <v>44317</v>
      </c>
      <c r="C71" s="119">
        <f>VLOOKUP(B71,Database!$A:$M,MATCH(Recap!$C$5,Database!$A$1:$M$1,),)</f>
        <v>255529</v>
      </c>
      <c r="D71" s="121">
        <f t="shared" si="90"/>
        <v>3.1840060732341587E-2</v>
      </c>
      <c r="E71" s="119">
        <f>VLOOKUP(B71,Database!$A:$M,MATCH(Recap!$E$5,Database!$A$1:$M$1,),)</f>
        <v>179640</v>
      </c>
      <c r="F71" s="121">
        <f t="shared" si="91"/>
        <v>5.5077915099408922E-3</v>
      </c>
      <c r="G71" s="119">
        <f>VLOOKUP(B71,Database!$A:$M,MATCH(Recap!$G$5,Database!$A$1:$M$1,),)</f>
        <v>75742</v>
      </c>
      <c r="H71" s="121">
        <f t="shared" si="92"/>
        <v>5.6695213436898364E-3</v>
      </c>
      <c r="I71" s="119">
        <f>VLOOKUP(B71,Database!$A:$M,MATCH(Recap!$I$5,Database!$A$1:$M$1,),)</f>
        <v>185820</v>
      </c>
      <c r="J71" s="121">
        <f t="shared" si="93"/>
        <v>3.7532524092954697E-2</v>
      </c>
      <c r="K71" s="119">
        <f>VLOOKUP(B71,Database!$A:$M,MATCH(Recap!$K$5,Database!$A$1:$M$1,),)</f>
        <v>75889</v>
      </c>
      <c r="L71" s="121">
        <f t="shared" si="94"/>
        <v>0.10003188960398909</v>
      </c>
      <c r="M71" s="119">
        <f>VLOOKUP(B71,Database!$A:$M,MATCH(Recap!$M$5,Database!$A$1:$M$1,),)</f>
        <v>35863</v>
      </c>
      <c r="N71" s="121">
        <f t="shared" si="95"/>
        <v>-2.0056288766838813E-2</v>
      </c>
      <c r="O71" s="119">
        <f>VLOOKUP(B71,Database!$A:$M,MATCH(Recap!$O$5,Database!$A$1:$M$1,),)</f>
        <v>36616</v>
      </c>
      <c r="P71" s="121">
        <f t="shared" si="96"/>
        <v>5.9340659340659345E-3</v>
      </c>
      <c r="Q71" s="119">
        <f>VLOOKUP(B71,Database!$A:$M,MATCH(Recap!$Q$5,Database!$A$1:$M$1,),)</f>
        <v>24777</v>
      </c>
      <c r="R71" s="121">
        <f t="shared" si="97"/>
        <v>-4.03437285673942E-4</v>
      </c>
      <c r="S71" s="119">
        <f>VLOOKUP(B71,Database!$A:$M,MATCH(Recap!$S$5,Database!$A$1:$M$1,),)</f>
        <v>23829</v>
      </c>
      <c r="T71" s="121">
        <f t="shared" si="98"/>
        <v>3.0086888860070028E-2</v>
      </c>
      <c r="U71" s="119">
        <f>VLOOKUP(B71,Database!$A:$M,MATCH(Recap!$U$5,Database!$A$1:$M$1,),)</f>
        <v>12959</v>
      </c>
      <c r="V71" s="121">
        <f t="shared" si="99"/>
        <v>3.0209078623101994E-2</v>
      </c>
    </row>
    <row r="72" spans="2:22">
      <c r="B72" s="118">
        <v>44348</v>
      </c>
      <c r="C72" s="119">
        <f>VLOOKUP(B72,Database!$A:$M,MATCH(Recap!$C$5,Database!$A$1:$M$1,),)</f>
        <v>257663</v>
      </c>
      <c r="D72" s="121">
        <f t="shared" ref="D72:D73" si="100">(C72-C71)/C71</f>
        <v>8.3513025918780254E-3</v>
      </c>
      <c r="E72" s="119">
        <f>VLOOKUP(B72,Database!$A:$M,MATCH(Recap!$E$5,Database!$A$1:$M$1,),)</f>
        <v>180734</v>
      </c>
      <c r="F72" s="121">
        <f t="shared" ref="F72:F73" si="101">(E72-E71)/E71</f>
        <v>6.089957693164106E-3</v>
      </c>
      <c r="G72" s="119">
        <f>VLOOKUP(B72,Database!$A:$M,MATCH(Recap!$G$5,Database!$A$1:$M$1,),)</f>
        <v>76530</v>
      </c>
      <c r="H72" s="121">
        <f t="shared" ref="H72:H73" si="102">(G72-G71)/G71</f>
        <v>1.0403739008740196E-2</v>
      </c>
      <c r="I72" s="119">
        <f>VLOOKUP(B72,Database!$A:$M,MATCH(Recap!$I$5,Database!$A$1:$M$1,),)</f>
        <v>186999</v>
      </c>
      <c r="J72" s="121">
        <f t="shared" ref="J72:J73" si="103">(I72-I71)/I71</f>
        <v>6.3448498546980949E-3</v>
      </c>
      <c r="K72" s="119">
        <f>VLOOKUP(B72,Database!$A:$M,MATCH(Recap!$K$5,Database!$A$1:$M$1,),)</f>
        <v>76929</v>
      </c>
      <c r="L72" s="121">
        <f t="shared" ref="L72:L73" si="104">(K72-K71)/K71</f>
        <v>1.3704225908893253E-2</v>
      </c>
      <c r="M72" s="119">
        <f>VLOOKUP(B72,Database!$A:$M,MATCH(Recap!$M$5,Database!$A$1:$M$1,),)</f>
        <v>35446</v>
      </c>
      <c r="N72" s="121">
        <f t="shared" ref="N72:N73" si="105">(M72-M71)/M71</f>
        <v>-1.1627582745447954E-2</v>
      </c>
      <c r="O72" s="119">
        <f>VLOOKUP(B72,Database!$A:$M,MATCH(Recap!$O$5,Database!$A$1:$M$1,),)</f>
        <v>37393</v>
      </c>
      <c r="P72" s="121">
        <f t="shared" ref="P72:P73" si="106">(O72-O71)/O71</f>
        <v>2.1220231592746341E-2</v>
      </c>
      <c r="Q72" s="119">
        <f>VLOOKUP(B72,Database!$A:$M,MATCH(Recap!$Q$5,Database!$A$1:$M$1,),)</f>
        <v>24973</v>
      </c>
      <c r="R72" s="121">
        <f t="shared" ref="R72:R73" si="107">(Q72-Q71)/Q71</f>
        <v>7.9105622149574194E-3</v>
      </c>
      <c r="S72" s="119">
        <f>VLOOKUP(B72,Database!$A:$M,MATCH(Recap!$S$5,Database!$A$1:$M$1,),)</f>
        <v>24033</v>
      </c>
      <c r="T72" s="121">
        <f t="shared" ref="T72:T73" si="108">(S72-S71)/S71</f>
        <v>8.5609971043686256E-3</v>
      </c>
      <c r="U72" s="119">
        <f>VLOOKUP(B72,Database!$A:$M,MATCH(Recap!$U$5,Database!$A$1:$M$1,),)</f>
        <v>12981</v>
      </c>
      <c r="V72" s="121">
        <f t="shared" ref="V72:V73" si="109">(U72-U71)/U71</f>
        <v>1.6976618566247395E-3</v>
      </c>
    </row>
    <row r="73" spans="2:22">
      <c r="B73" s="118">
        <v>44378</v>
      </c>
      <c r="C73" s="119">
        <f>VLOOKUP(B73,Database!$A:$M,MATCH(Recap!$C$5,Database!$A$1:$M$1,),)</f>
        <v>258846</v>
      </c>
      <c r="D73" s="121">
        <f t="shared" si="100"/>
        <v>4.5912684397837484E-3</v>
      </c>
      <c r="E73" s="119">
        <f>VLOOKUP(B73,Database!$A:$M,MATCH(Recap!$E$5,Database!$A$1:$M$1,),)</f>
        <v>182210</v>
      </c>
      <c r="F73" s="121">
        <f t="shared" si="101"/>
        <v>8.1666980202950192E-3</v>
      </c>
      <c r="G73" s="119">
        <f>VLOOKUP(B73,Database!$A:$M,MATCH(Recap!$G$5,Database!$A$1:$M$1,),)</f>
        <v>76736</v>
      </c>
      <c r="H73" s="121">
        <f t="shared" si="102"/>
        <v>2.6917548673722723E-3</v>
      </c>
      <c r="I73" s="119">
        <f>VLOOKUP(B73,Database!$A:$M,MATCH(Recap!$I$5,Database!$A$1:$M$1,),)</f>
        <v>186219</v>
      </c>
      <c r="J73" s="121">
        <f t="shared" si="103"/>
        <v>-4.1711453002422471E-3</v>
      </c>
      <c r="K73" s="119">
        <f>VLOOKUP(B73,Database!$A:$M,MATCH(Recap!$K$5,Database!$A$1:$M$1,),)</f>
        <v>76636</v>
      </c>
      <c r="L73" s="121">
        <f t="shared" si="104"/>
        <v>-3.8087067295818223E-3</v>
      </c>
      <c r="M73" s="119">
        <f>VLOOKUP(B73,Database!$A:$M,MATCH(Recap!$M$5,Database!$A$1:$M$1,),)</f>
        <v>35720</v>
      </c>
      <c r="N73" s="121">
        <f t="shared" si="105"/>
        <v>7.7300682728657678E-3</v>
      </c>
      <c r="O73" s="119">
        <f>VLOOKUP(B73,Database!$A:$M,MATCH(Recap!$O$5,Database!$A$1:$M$1,),)</f>
        <v>38524</v>
      </c>
      <c r="P73" s="121">
        <f t="shared" si="106"/>
        <v>3.024630278394352E-2</v>
      </c>
      <c r="Q73" s="119">
        <f>VLOOKUP(B73,Database!$A:$M,MATCH(Recap!$Q$5,Database!$A$1:$M$1,),)</f>
        <v>24950</v>
      </c>
      <c r="R73" s="121">
        <f t="shared" si="107"/>
        <v>-9.2099467424818806E-4</v>
      </c>
      <c r="S73" s="119">
        <f>VLOOKUP(B73,Database!$A:$M,MATCH(Recap!$S$5,Database!$A$1:$M$1,),)</f>
        <v>24442</v>
      </c>
      <c r="T73" s="121">
        <f t="shared" si="108"/>
        <v>1.7018266550160196E-2</v>
      </c>
      <c r="U73" s="119">
        <f>VLOOKUP(B73,Database!$A:$M,MATCH(Recap!$U$5,Database!$A$1:$M$1,),)</f>
        <v>12859</v>
      </c>
      <c r="V73" s="121">
        <f t="shared" si="109"/>
        <v>-9.3983514367151997E-3</v>
      </c>
    </row>
    <row r="74" spans="2:22">
      <c r="B74" s="118">
        <v>44409</v>
      </c>
      <c r="C74" s="119">
        <f>VLOOKUP(B74,Database!$A:$M,MATCH(Recap!$C$5,Database!$A$1:$M$1,),)</f>
        <v>263576</v>
      </c>
      <c r="D74" s="121">
        <f t="shared" ref="D74" si="110">(C74-C73)/C73</f>
        <v>1.827341353546124E-2</v>
      </c>
      <c r="E74" s="119">
        <f>VLOOKUP(B74,Database!$A:$M,MATCH(Recap!$E$5,Database!$A$1:$M$1,),)</f>
        <v>182829</v>
      </c>
      <c r="F74" s="121">
        <f t="shared" ref="F74" si="111">(E74-E73)/E73</f>
        <v>3.3971790790845728E-3</v>
      </c>
      <c r="G74" s="119">
        <f>VLOOKUP(B74,Database!$A:$M,MATCH(Recap!$G$5,Database!$A$1:$M$1,),)</f>
        <v>77206</v>
      </c>
      <c r="H74" s="121">
        <f t="shared" ref="H74" si="112">(G74-G73)/G73</f>
        <v>6.1248957464553793E-3</v>
      </c>
      <c r="I74" s="119">
        <f>VLOOKUP(B74,Database!$A:$M,MATCH(Recap!$I$5,Database!$A$1:$M$1,),)</f>
        <v>192482</v>
      </c>
      <c r="J74" s="121">
        <f t="shared" ref="J74" si="113">(I74-I73)/I73</f>
        <v>3.3632443520800775E-2</v>
      </c>
      <c r="K74" s="119">
        <f>VLOOKUP(B74,Database!$A:$M,MATCH(Recap!$K$5,Database!$A$1:$M$1,),)</f>
        <v>80747</v>
      </c>
      <c r="L74" s="121">
        <f t="shared" ref="L74" si="114">(K74-K73)/K73</f>
        <v>5.3643196408998381E-2</v>
      </c>
      <c r="M74" s="119">
        <f>VLOOKUP(B74,Database!$A:$M,MATCH(Recap!$M$5,Database!$A$1:$M$1,),)</f>
        <v>36439</v>
      </c>
      <c r="N74" s="121">
        <f t="shared" ref="N74" si="115">(M74-M73)/M73</f>
        <v>2.0128779395296753E-2</v>
      </c>
      <c r="O74" s="119">
        <f>VLOOKUP(B74,Database!$A:$M,MATCH(Recap!$O$5,Database!$A$1:$M$1,),)</f>
        <v>38129</v>
      </c>
      <c r="P74" s="121">
        <f t="shared" ref="P74" si="116">(O74-O73)/O73</f>
        <v>-1.0253348561935417E-2</v>
      </c>
      <c r="Q74" s="119">
        <f>VLOOKUP(B74,Database!$A:$M,MATCH(Recap!$Q$5,Database!$A$1:$M$1,),)</f>
        <v>25341</v>
      </c>
      <c r="R74" s="121">
        <f t="shared" ref="R74" si="117">(Q74-Q73)/Q73</f>
        <v>1.5671342685370741E-2</v>
      </c>
      <c r="S74" s="119">
        <f>VLOOKUP(B74,Database!$A:$M,MATCH(Recap!$S$5,Database!$A$1:$M$1,),)</f>
        <v>24118</v>
      </c>
      <c r="T74" s="121">
        <f t="shared" ref="T74" si="118">(S74-S73)/S73</f>
        <v>-1.325587104164962E-2</v>
      </c>
      <c r="U74" s="119">
        <f>VLOOKUP(B74,Database!$A:$M,MATCH(Recap!$U$5,Database!$A$1:$M$1,),)</f>
        <v>13034</v>
      </c>
      <c r="V74" s="121">
        <f t="shared" ref="V74" si="119">(U74-U73)/U73</f>
        <v>1.3609145345672292E-2</v>
      </c>
    </row>
  </sheetData>
  <mergeCells count="10">
    <mergeCell ref="M4:N4"/>
    <mergeCell ref="O4:P4"/>
    <mergeCell ref="Q4:R4"/>
    <mergeCell ref="S4:T4"/>
    <mergeCell ref="U4:V4"/>
    <mergeCell ref="C4:D4"/>
    <mergeCell ref="E4:F4"/>
    <mergeCell ref="G4:H4"/>
    <mergeCell ref="I4:J4"/>
    <mergeCell ref="K4:L4"/>
  </mergeCells>
  <conditionalFormatting sqref="D8:D74">
    <cfRule type="colorScale" priority="11">
      <colorScale>
        <cfvo type="min"/>
        <cfvo type="percentile" val="50"/>
        <cfvo type="max"/>
        <color rgb="FFF8696B"/>
        <color rgb="FFFFEB84"/>
        <color rgb="FF63BE7B"/>
      </colorScale>
    </cfRule>
  </conditionalFormatting>
  <conditionalFormatting sqref="F8:F74">
    <cfRule type="colorScale" priority="12">
      <colorScale>
        <cfvo type="min"/>
        <cfvo type="percentile" val="50"/>
        <cfvo type="max"/>
        <color rgb="FFF8696B"/>
        <color rgb="FFFFEB84"/>
        <color rgb="FF63BE7B"/>
      </colorScale>
    </cfRule>
  </conditionalFormatting>
  <conditionalFormatting sqref="H8:H74">
    <cfRule type="colorScale" priority="13">
      <colorScale>
        <cfvo type="min"/>
        <cfvo type="percentile" val="50"/>
        <cfvo type="max"/>
        <color rgb="FFF8696B"/>
        <color rgb="FFFFEB84"/>
        <color rgb="FF63BE7B"/>
      </colorScale>
    </cfRule>
  </conditionalFormatting>
  <conditionalFormatting sqref="J8:J74">
    <cfRule type="colorScale" priority="14">
      <colorScale>
        <cfvo type="min"/>
        <cfvo type="percentile" val="50"/>
        <cfvo type="max"/>
        <color rgb="FFF8696B"/>
        <color rgb="FFFFEB84"/>
        <color rgb="FF63BE7B"/>
      </colorScale>
    </cfRule>
  </conditionalFormatting>
  <conditionalFormatting sqref="L8:L74">
    <cfRule type="colorScale" priority="15">
      <colorScale>
        <cfvo type="min"/>
        <cfvo type="percentile" val="50"/>
        <cfvo type="max"/>
        <color rgb="FFF8696B"/>
        <color rgb="FFFFEB84"/>
        <color rgb="FF63BE7B"/>
      </colorScale>
    </cfRule>
  </conditionalFormatting>
  <conditionalFormatting sqref="N8:N74">
    <cfRule type="colorScale" priority="16">
      <colorScale>
        <cfvo type="min"/>
        <cfvo type="percentile" val="50"/>
        <cfvo type="max"/>
        <color rgb="FFF8696B"/>
        <color rgb="FFFFEB84"/>
        <color rgb="FF63BE7B"/>
      </colorScale>
    </cfRule>
  </conditionalFormatting>
  <conditionalFormatting sqref="P8:P74">
    <cfRule type="colorScale" priority="17">
      <colorScale>
        <cfvo type="min"/>
        <cfvo type="percentile" val="50"/>
        <cfvo type="max"/>
        <color rgb="FFF8696B"/>
        <color rgb="FFFFEB84"/>
        <color rgb="FF63BE7B"/>
      </colorScale>
    </cfRule>
  </conditionalFormatting>
  <conditionalFormatting sqref="R8:R74">
    <cfRule type="colorScale" priority="18">
      <colorScale>
        <cfvo type="min"/>
        <cfvo type="percentile" val="50"/>
        <cfvo type="max"/>
        <color rgb="FFF8696B"/>
        <color rgb="FFFFEB84"/>
        <color rgb="FF63BE7B"/>
      </colorScale>
    </cfRule>
  </conditionalFormatting>
  <conditionalFormatting sqref="T8:T74">
    <cfRule type="colorScale" priority="19">
      <colorScale>
        <cfvo type="min"/>
        <cfvo type="percentile" val="50"/>
        <cfvo type="max"/>
        <color rgb="FFF8696B"/>
        <color rgb="FFFFEB84"/>
        <color rgb="FF63BE7B"/>
      </colorScale>
    </cfRule>
  </conditionalFormatting>
  <conditionalFormatting sqref="V8:V74">
    <cfRule type="colorScale" priority="20">
      <colorScale>
        <cfvo type="min"/>
        <cfvo type="percentile" val="50"/>
        <cfvo type="max"/>
        <color rgb="FFF8696B"/>
        <color rgb="FFFFEB84"/>
        <color rgb="FF63BE7B"/>
      </colorScale>
    </cfRule>
  </conditionalFormatting>
  <pageMargins left="0.7" right="0.7" top="0.75" bottom="0.75" header="0.3" footer="0.3"/>
  <ignoredErrors>
    <ignoredError sqref="E8:V8 E9:E48 G16:G48 G9:G15 I9:V48 E49:V49 E50:E52 G50:G52 I50:I52 K50:K52 M50:M52 O50:O52 Q50:Q52 S50:S52 U50:U52 E53:V54 E55:V58 E59:U65" 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FF0000"/>
  </sheetPr>
  <dimension ref="A1:C360"/>
  <sheetViews>
    <sheetView zoomScale="150" zoomScaleNormal="150" workbookViewId="0">
      <pane ySplit="5" topLeftCell="A326" activePane="bottomLeft" state="frozen"/>
      <selection pane="bottomLeft" activeCell="A361" sqref="A361"/>
    </sheetView>
  </sheetViews>
  <sheetFormatPr baseColWidth="10" defaultColWidth="8.83203125" defaultRowHeight="15"/>
  <cols>
    <col min="1" max="1" width="10.83203125" style="83" customWidth="1"/>
    <col min="2" max="2" width="24.5" style="84" customWidth="1"/>
    <col min="3" max="3" width="14.83203125" style="86" customWidth="1"/>
    <col min="4" max="240" width="9.1640625" style="2"/>
    <col min="241" max="241" width="10.83203125" style="2" customWidth="1"/>
    <col min="242" max="242" width="18.1640625" style="2" customWidth="1"/>
    <col min="243" max="243" width="15" style="2" customWidth="1"/>
    <col min="244" max="247" width="13" style="2" customWidth="1"/>
    <col min="248" max="248" width="17.5" style="2" customWidth="1"/>
    <col min="249" max="496" width="9.1640625" style="2"/>
    <col min="497" max="497" width="10.83203125" style="2" customWidth="1"/>
    <col min="498" max="498" width="18.1640625" style="2" customWidth="1"/>
    <col min="499" max="499" width="15" style="2" customWidth="1"/>
    <col min="500" max="503" width="13" style="2" customWidth="1"/>
    <col min="504" max="504" width="17.5" style="2" customWidth="1"/>
    <col min="505" max="752" width="9.1640625" style="2"/>
    <col min="753" max="753" width="10.83203125" style="2" customWidth="1"/>
    <col min="754" max="754" width="18.1640625" style="2" customWidth="1"/>
    <col min="755" max="755" width="15" style="2" customWidth="1"/>
    <col min="756" max="759" width="13" style="2" customWidth="1"/>
    <col min="760" max="760" width="17.5" style="2" customWidth="1"/>
    <col min="761" max="1008" width="9.1640625" style="2"/>
    <col min="1009" max="1009" width="10.83203125" style="2" customWidth="1"/>
    <col min="1010" max="1010" width="18.1640625" style="2" customWidth="1"/>
    <col min="1011" max="1011" width="15" style="2" customWidth="1"/>
    <col min="1012" max="1015" width="13" style="2" customWidth="1"/>
    <col min="1016" max="1016" width="17.5" style="2" customWidth="1"/>
    <col min="1017" max="1264" width="9.1640625" style="2"/>
    <col min="1265" max="1265" width="10.83203125" style="2" customWidth="1"/>
    <col min="1266" max="1266" width="18.1640625" style="2" customWidth="1"/>
    <col min="1267" max="1267" width="15" style="2" customWidth="1"/>
    <col min="1268" max="1271" width="13" style="2" customWidth="1"/>
    <col min="1272" max="1272" width="17.5" style="2" customWidth="1"/>
    <col min="1273" max="1520" width="9.1640625" style="2"/>
    <col min="1521" max="1521" width="10.83203125" style="2" customWidth="1"/>
    <col min="1522" max="1522" width="18.1640625" style="2" customWidth="1"/>
    <col min="1523" max="1523" width="15" style="2" customWidth="1"/>
    <col min="1524" max="1527" width="13" style="2" customWidth="1"/>
    <col min="1528" max="1528" width="17.5" style="2" customWidth="1"/>
    <col min="1529" max="1776" width="9.1640625" style="2"/>
    <col min="1777" max="1777" width="10.83203125" style="2" customWidth="1"/>
    <col min="1778" max="1778" width="18.1640625" style="2" customWidth="1"/>
    <col min="1779" max="1779" width="15" style="2" customWidth="1"/>
    <col min="1780" max="1783" width="13" style="2" customWidth="1"/>
    <col min="1784" max="1784" width="17.5" style="2" customWidth="1"/>
    <col min="1785" max="2032" width="9.1640625" style="2"/>
    <col min="2033" max="2033" width="10.83203125" style="2" customWidth="1"/>
    <col min="2034" max="2034" width="18.1640625" style="2" customWidth="1"/>
    <col min="2035" max="2035" width="15" style="2" customWidth="1"/>
    <col min="2036" max="2039" width="13" style="2" customWidth="1"/>
    <col min="2040" max="2040" width="17.5" style="2" customWidth="1"/>
    <col min="2041" max="2288" width="9.1640625" style="2"/>
    <col min="2289" max="2289" width="10.83203125" style="2" customWidth="1"/>
    <col min="2290" max="2290" width="18.1640625" style="2" customWidth="1"/>
    <col min="2291" max="2291" width="15" style="2" customWidth="1"/>
    <col min="2292" max="2295" width="13" style="2" customWidth="1"/>
    <col min="2296" max="2296" width="17.5" style="2" customWidth="1"/>
    <col min="2297" max="2544" width="9.1640625" style="2"/>
    <col min="2545" max="2545" width="10.83203125" style="2" customWidth="1"/>
    <col min="2546" max="2546" width="18.1640625" style="2" customWidth="1"/>
    <col min="2547" max="2547" width="15" style="2" customWidth="1"/>
    <col min="2548" max="2551" width="13" style="2" customWidth="1"/>
    <col min="2552" max="2552" width="17.5" style="2" customWidth="1"/>
    <col min="2553" max="2800" width="9.1640625" style="2"/>
    <col min="2801" max="2801" width="10.83203125" style="2" customWidth="1"/>
    <col min="2802" max="2802" width="18.1640625" style="2" customWidth="1"/>
    <col min="2803" max="2803" width="15" style="2" customWidth="1"/>
    <col min="2804" max="2807" width="13" style="2" customWidth="1"/>
    <col min="2808" max="2808" width="17.5" style="2" customWidth="1"/>
    <col min="2809" max="3056" width="9.1640625" style="2"/>
    <col min="3057" max="3057" width="10.83203125" style="2" customWidth="1"/>
    <col min="3058" max="3058" width="18.1640625" style="2" customWidth="1"/>
    <col min="3059" max="3059" width="15" style="2" customWidth="1"/>
    <col min="3060" max="3063" width="13" style="2" customWidth="1"/>
    <col min="3064" max="3064" width="17.5" style="2" customWidth="1"/>
    <col min="3065" max="3312" width="9.1640625" style="2"/>
    <col min="3313" max="3313" width="10.83203125" style="2" customWidth="1"/>
    <col min="3314" max="3314" width="18.1640625" style="2" customWidth="1"/>
    <col min="3315" max="3315" width="15" style="2" customWidth="1"/>
    <col min="3316" max="3319" width="13" style="2" customWidth="1"/>
    <col min="3320" max="3320" width="17.5" style="2" customWidth="1"/>
    <col min="3321" max="3568" width="9.1640625" style="2"/>
    <col min="3569" max="3569" width="10.83203125" style="2" customWidth="1"/>
    <col min="3570" max="3570" width="18.1640625" style="2" customWidth="1"/>
    <col min="3571" max="3571" width="15" style="2" customWidth="1"/>
    <col min="3572" max="3575" width="13" style="2" customWidth="1"/>
    <col min="3576" max="3576" width="17.5" style="2" customWidth="1"/>
    <col min="3577" max="3824" width="9.1640625" style="2"/>
    <col min="3825" max="3825" width="10.83203125" style="2" customWidth="1"/>
    <col min="3826" max="3826" width="18.1640625" style="2" customWidth="1"/>
    <col min="3827" max="3827" width="15" style="2" customWidth="1"/>
    <col min="3828" max="3831" width="13" style="2" customWidth="1"/>
    <col min="3832" max="3832" width="17.5" style="2" customWidth="1"/>
    <col min="3833" max="4080" width="9.1640625" style="2"/>
    <col min="4081" max="4081" width="10.83203125" style="2" customWidth="1"/>
    <col min="4082" max="4082" width="18.1640625" style="2" customWidth="1"/>
    <col min="4083" max="4083" width="15" style="2" customWidth="1"/>
    <col min="4084" max="4087" width="13" style="2" customWidth="1"/>
    <col min="4088" max="4088" width="17.5" style="2" customWidth="1"/>
    <col min="4089" max="4336" width="9.1640625" style="2"/>
    <col min="4337" max="4337" width="10.83203125" style="2" customWidth="1"/>
    <col min="4338" max="4338" width="18.1640625" style="2" customWidth="1"/>
    <col min="4339" max="4339" width="15" style="2" customWidth="1"/>
    <col min="4340" max="4343" width="13" style="2" customWidth="1"/>
    <col min="4344" max="4344" width="17.5" style="2" customWidth="1"/>
    <col min="4345" max="4592" width="9.1640625" style="2"/>
    <col min="4593" max="4593" width="10.83203125" style="2" customWidth="1"/>
    <col min="4594" max="4594" width="18.1640625" style="2" customWidth="1"/>
    <col min="4595" max="4595" width="15" style="2" customWidth="1"/>
    <col min="4596" max="4599" width="13" style="2" customWidth="1"/>
    <col min="4600" max="4600" width="17.5" style="2" customWidth="1"/>
    <col min="4601" max="4848" width="9.1640625" style="2"/>
    <col min="4849" max="4849" width="10.83203125" style="2" customWidth="1"/>
    <col min="4850" max="4850" width="18.1640625" style="2" customWidth="1"/>
    <col min="4851" max="4851" width="15" style="2" customWidth="1"/>
    <col min="4852" max="4855" width="13" style="2" customWidth="1"/>
    <col min="4856" max="4856" width="17.5" style="2" customWidth="1"/>
    <col min="4857" max="5104" width="9.1640625" style="2"/>
    <col min="5105" max="5105" width="10.83203125" style="2" customWidth="1"/>
    <col min="5106" max="5106" width="18.1640625" style="2" customWidth="1"/>
    <col min="5107" max="5107" width="15" style="2" customWidth="1"/>
    <col min="5108" max="5111" width="13" style="2" customWidth="1"/>
    <col min="5112" max="5112" width="17.5" style="2" customWidth="1"/>
    <col min="5113" max="5360" width="9.1640625" style="2"/>
    <col min="5361" max="5361" width="10.83203125" style="2" customWidth="1"/>
    <col min="5362" max="5362" width="18.1640625" style="2" customWidth="1"/>
    <col min="5363" max="5363" width="15" style="2" customWidth="1"/>
    <col min="5364" max="5367" width="13" style="2" customWidth="1"/>
    <col min="5368" max="5368" width="17.5" style="2" customWidth="1"/>
    <col min="5369" max="5616" width="9.1640625" style="2"/>
    <col min="5617" max="5617" width="10.83203125" style="2" customWidth="1"/>
    <col min="5618" max="5618" width="18.1640625" style="2" customWidth="1"/>
    <col min="5619" max="5619" width="15" style="2" customWidth="1"/>
    <col min="5620" max="5623" width="13" style="2" customWidth="1"/>
    <col min="5624" max="5624" width="17.5" style="2" customWidth="1"/>
    <col min="5625" max="5872" width="9.1640625" style="2"/>
    <col min="5873" max="5873" width="10.83203125" style="2" customWidth="1"/>
    <col min="5874" max="5874" width="18.1640625" style="2" customWidth="1"/>
    <col min="5875" max="5875" width="15" style="2" customWidth="1"/>
    <col min="5876" max="5879" width="13" style="2" customWidth="1"/>
    <col min="5880" max="5880" width="17.5" style="2" customWidth="1"/>
    <col min="5881" max="6128" width="9.1640625" style="2"/>
    <col min="6129" max="6129" width="10.83203125" style="2" customWidth="1"/>
    <col min="6130" max="6130" width="18.1640625" style="2" customWidth="1"/>
    <col min="6131" max="6131" width="15" style="2" customWidth="1"/>
    <col min="6132" max="6135" width="13" style="2" customWidth="1"/>
    <col min="6136" max="6136" width="17.5" style="2" customWidth="1"/>
    <col min="6137" max="6384" width="9.1640625" style="2"/>
    <col min="6385" max="6385" width="10.83203125" style="2" customWidth="1"/>
    <col min="6386" max="6386" width="18.1640625" style="2" customWidth="1"/>
    <col min="6387" max="6387" width="15" style="2" customWidth="1"/>
    <col min="6388" max="6391" width="13" style="2" customWidth="1"/>
    <col min="6392" max="6392" width="17.5" style="2" customWidth="1"/>
    <col min="6393" max="6640" width="9.1640625" style="2"/>
    <col min="6641" max="6641" width="10.83203125" style="2" customWidth="1"/>
    <col min="6642" max="6642" width="18.1640625" style="2" customWidth="1"/>
    <col min="6643" max="6643" width="15" style="2" customWidth="1"/>
    <col min="6644" max="6647" width="13" style="2" customWidth="1"/>
    <col min="6648" max="6648" width="17.5" style="2" customWidth="1"/>
    <col min="6649" max="6896" width="9.1640625" style="2"/>
    <col min="6897" max="6897" width="10.83203125" style="2" customWidth="1"/>
    <col min="6898" max="6898" width="18.1640625" style="2" customWidth="1"/>
    <col min="6899" max="6899" width="15" style="2" customWidth="1"/>
    <col min="6900" max="6903" width="13" style="2" customWidth="1"/>
    <col min="6904" max="6904" width="17.5" style="2" customWidth="1"/>
    <col min="6905" max="7152" width="9.1640625" style="2"/>
    <col min="7153" max="7153" width="10.83203125" style="2" customWidth="1"/>
    <col min="7154" max="7154" width="18.1640625" style="2" customWidth="1"/>
    <col min="7155" max="7155" width="15" style="2" customWidth="1"/>
    <col min="7156" max="7159" width="13" style="2" customWidth="1"/>
    <col min="7160" max="7160" width="17.5" style="2" customWidth="1"/>
    <col min="7161" max="7408" width="9.1640625" style="2"/>
    <col min="7409" max="7409" width="10.83203125" style="2" customWidth="1"/>
    <col min="7410" max="7410" width="18.1640625" style="2" customWidth="1"/>
    <col min="7411" max="7411" width="15" style="2" customWidth="1"/>
    <col min="7412" max="7415" width="13" style="2" customWidth="1"/>
    <col min="7416" max="7416" width="17.5" style="2" customWidth="1"/>
    <col min="7417" max="7664" width="9.1640625" style="2"/>
    <col min="7665" max="7665" width="10.83203125" style="2" customWidth="1"/>
    <col min="7666" max="7666" width="18.1640625" style="2" customWidth="1"/>
    <col min="7667" max="7667" width="15" style="2" customWidth="1"/>
    <col min="7668" max="7671" width="13" style="2" customWidth="1"/>
    <col min="7672" max="7672" width="17.5" style="2" customWidth="1"/>
    <col min="7673" max="7920" width="9.1640625" style="2"/>
    <col min="7921" max="7921" width="10.83203125" style="2" customWidth="1"/>
    <col min="7922" max="7922" width="18.1640625" style="2" customWidth="1"/>
    <col min="7923" max="7923" width="15" style="2" customWidth="1"/>
    <col min="7924" max="7927" width="13" style="2" customWidth="1"/>
    <col min="7928" max="7928" width="17.5" style="2" customWidth="1"/>
    <col min="7929" max="8176" width="9.1640625" style="2"/>
    <col min="8177" max="8177" width="10.83203125" style="2" customWidth="1"/>
    <col min="8178" max="8178" width="18.1640625" style="2" customWidth="1"/>
    <col min="8179" max="8179" width="15" style="2" customWidth="1"/>
    <col min="8180" max="8183" width="13" style="2" customWidth="1"/>
    <col min="8184" max="8184" width="17.5" style="2" customWidth="1"/>
    <col min="8185" max="8432" width="9.1640625" style="2"/>
    <col min="8433" max="8433" width="10.83203125" style="2" customWidth="1"/>
    <col min="8434" max="8434" width="18.1640625" style="2" customWidth="1"/>
    <col min="8435" max="8435" width="15" style="2" customWidth="1"/>
    <col min="8436" max="8439" width="13" style="2" customWidth="1"/>
    <col min="8440" max="8440" width="17.5" style="2" customWidth="1"/>
    <col min="8441" max="8688" width="9.1640625" style="2"/>
    <col min="8689" max="8689" width="10.83203125" style="2" customWidth="1"/>
    <col min="8690" max="8690" width="18.1640625" style="2" customWidth="1"/>
    <col min="8691" max="8691" width="15" style="2" customWidth="1"/>
    <col min="8692" max="8695" width="13" style="2" customWidth="1"/>
    <col min="8696" max="8696" width="17.5" style="2" customWidth="1"/>
    <col min="8697" max="8944" width="9.1640625" style="2"/>
    <col min="8945" max="8945" width="10.83203125" style="2" customWidth="1"/>
    <col min="8946" max="8946" width="18.1640625" style="2" customWidth="1"/>
    <col min="8947" max="8947" width="15" style="2" customWidth="1"/>
    <col min="8948" max="8951" width="13" style="2" customWidth="1"/>
    <col min="8952" max="8952" width="17.5" style="2" customWidth="1"/>
    <col min="8953" max="9200" width="9.1640625" style="2"/>
    <col min="9201" max="9201" width="10.83203125" style="2" customWidth="1"/>
    <col min="9202" max="9202" width="18.1640625" style="2" customWidth="1"/>
    <col min="9203" max="9203" width="15" style="2" customWidth="1"/>
    <col min="9204" max="9207" width="13" style="2" customWidth="1"/>
    <col min="9208" max="9208" width="17.5" style="2" customWidth="1"/>
    <col min="9209" max="9456" width="9.1640625" style="2"/>
    <col min="9457" max="9457" width="10.83203125" style="2" customWidth="1"/>
    <col min="9458" max="9458" width="18.1640625" style="2" customWidth="1"/>
    <col min="9459" max="9459" width="15" style="2" customWidth="1"/>
    <col min="9460" max="9463" width="13" style="2" customWidth="1"/>
    <col min="9464" max="9464" width="17.5" style="2" customWidth="1"/>
    <col min="9465" max="9712" width="9.1640625" style="2"/>
    <col min="9713" max="9713" width="10.83203125" style="2" customWidth="1"/>
    <col min="9714" max="9714" width="18.1640625" style="2" customWidth="1"/>
    <col min="9715" max="9715" width="15" style="2" customWidth="1"/>
    <col min="9716" max="9719" width="13" style="2" customWidth="1"/>
    <col min="9720" max="9720" width="17.5" style="2" customWidth="1"/>
    <col min="9721" max="9968" width="9.1640625" style="2"/>
    <col min="9969" max="9969" width="10.83203125" style="2" customWidth="1"/>
    <col min="9970" max="9970" width="18.1640625" style="2" customWidth="1"/>
    <col min="9971" max="9971" width="15" style="2" customWidth="1"/>
    <col min="9972" max="9975" width="13" style="2" customWidth="1"/>
    <col min="9976" max="9976" width="17.5" style="2" customWidth="1"/>
    <col min="9977" max="10224" width="9.1640625" style="2"/>
    <col min="10225" max="10225" width="10.83203125" style="2" customWidth="1"/>
    <col min="10226" max="10226" width="18.1640625" style="2" customWidth="1"/>
    <col min="10227" max="10227" width="15" style="2" customWidth="1"/>
    <col min="10228" max="10231" width="13" style="2" customWidth="1"/>
    <col min="10232" max="10232" width="17.5" style="2" customWidth="1"/>
    <col min="10233" max="10480" width="9.1640625" style="2"/>
    <col min="10481" max="10481" width="10.83203125" style="2" customWidth="1"/>
    <col min="10482" max="10482" width="18.1640625" style="2" customWidth="1"/>
    <col min="10483" max="10483" width="15" style="2" customWidth="1"/>
    <col min="10484" max="10487" width="13" style="2" customWidth="1"/>
    <col min="10488" max="10488" width="17.5" style="2" customWidth="1"/>
    <col min="10489" max="10736" width="9.1640625" style="2"/>
    <col min="10737" max="10737" width="10.83203125" style="2" customWidth="1"/>
    <col min="10738" max="10738" width="18.1640625" style="2" customWidth="1"/>
    <col min="10739" max="10739" width="15" style="2" customWidth="1"/>
    <col min="10740" max="10743" width="13" style="2" customWidth="1"/>
    <col min="10744" max="10744" width="17.5" style="2" customWidth="1"/>
    <col min="10745" max="10992" width="9.1640625" style="2"/>
    <col min="10993" max="10993" width="10.83203125" style="2" customWidth="1"/>
    <col min="10994" max="10994" width="18.1640625" style="2" customWidth="1"/>
    <col min="10995" max="10995" width="15" style="2" customWidth="1"/>
    <col min="10996" max="10999" width="13" style="2" customWidth="1"/>
    <col min="11000" max="11000" width="17.5" style="2" customWidth="1"/>
    <col min="11001" max="11248" width="9.1640625" style="2"/>
    <col min="11249" max="11249" width="10.83203125" style="2" customWidth="1"/>
    <col min="11250" max="11250" width="18.1640625" style="2" customWidth="1"/>
    <col min="11251" max="11251" width="15" style="2" customWidth="1"/>
    <col min="11252" max="11255" width="13" style="2" customWidth="1"/>
    <col min="11256" max="11256" width="17.5" style="2" customWidth="1"/>
    <col min="11257" max="11504" width="9.1640625" style="2"/>
    <col min="11505" max="11505" width="10.83203125" style="2" customWidth="1"/>
    <col min="11506" max="11506" width="18.1640625" style="2" customWidth="1"/>
    <col min="11507" max="11507" width="15" style="2" customWidth="1"/>
    <col min="11508" max="11511" width="13" style="2" customWidth="1"/>
    <col min="11512" max="11512" width="17.5" style="2" customWidth="1"/>
    <col min="11513" max="11760" width="9.1640625" style="2"/>
    <col min="11761" max="11761" width="10.83203125" style="2" customWidth="1"/>
    <col min="11762" max="11762" width="18.1640625" style="2" customWidth="1"/>
    <col min="11763" max="11763" width="15" style="2" customWidth="1"/>
    <col min="11764" max="11767" width="13" style="2" customWidth="1"/>
    <col min="11768" max="11768" width="17.5" style="2" customWidth="1"/>
    <col min="11769" max="12016" width="9.1640625" style="2"/>
    <col min="12017" max="12017" width="10.83203125" style="2" customWidth="1"/>
    <col min="12018" max="12018" width="18.1640625" style="2" customWidth="1"/>
    <col min="12019" max="12019" width="15" style="2" customWidth="1"/>
    <col min="12020" max="12023" width="13" style="2" customWidth="1"/>
    <col min="12024" max="12024" width="17.5" style="2" customWidth="1"/>
    <col min="12025" max="12272" width="9.1640625" style="2"/>
    <col min="12273" max="12273" width="10.83203125" style="2" customWidth="1"/>
    <col min="12274" max="12274" width="18.1640625" style="2" customWidth="1"/>
    <col min="12275" max="12275" width="15" style="2" customWidth="1"/>
    <col min="12276" max="12279" width="13" style="2" customWidth="1"/>
    <col min="12280" max="12280" width="17.5" style="2" customWidth="1"/>
    <col min="12281" max="12528" width="9.1640625" style="2"/>
    <col min="12529" max="12529" width="10.83203125" style="2" customWidth="1"/>
    <col min="12530" max="12530" width="18.1640625" style="2" customWidth="1"/>
    <col min="12531" max="12531" width="15" style="2" customWidth="1"/>
    <col min="12532" max="12535" width="13" style="2" customWidth="1"/>
    <col min="12536" max="12536" width="17.5" style="2" customWidth="1"/>
    <col min="12537" max="12784" width="9.1640625" style="2"/>
    <col min="12785" max="12785" width="10.83203125" style="2" customWidth="1"/>
    <col min="12786" max="12786" width="18.1640625" style="2" customWidth="1"/>
    <col min="12787" max="12787" width="15" style="2" customWidth="1"/>
    <col min="12788" max="12791" width="13" style="2" customWidth="1"/>
    <col min="12792" max="12792" width="17.5" style="2" customWidth="1"/>
    <col min="12793" max="13040" width="9.1640625" style="2"/>
    <col min="13041" max="13041" width="10.83203125" style="2" customWidth="1"/>
    <col min="13042" max="13042" width="18.1640625" style="2" customWidth="1"/>
    <col min="13043" max="13043" width="15" style="2" customWidth="1"/>
    <col min="13044" max="13047" width="13" style="2" customWidth="1"/>
    <col min="13048" max="13048" width="17.5" style="2" customWidth="1"/>
    <col min="13049" max="13296" width="9.1640625" style="2"/>
    <col min="13297" max="13297" width="10.83203125" style="2" customWidth="1"/>
    <col min="13298" max="13298" width="18.1640625" style="2" customWidth="1"/>
    <col min="13299" max="13299" width="15" style="2" customWidth="1"/>
    <col min="13300" max="13303" width="13" style="2" customWidth="1"/>
    <col min="13304" max="13304" width="17.5" style="2" customWidth="1"/>
    <col min="13305" max="13552" width="9.1640625" style="2"/>
    <col min="13553" max="13553" width="10.83203125" style="2" customWidth="1"/>
    <col min="13554" max="13554" width="18.1640625" style="2" customWidth="1"/>
    <col min="13555" max="13555" width="15" style="2" customWidth="1"/>
    <col min="13556" max="13559" width="13" style="2" customWidth="1"/>
    <col min="13560" max="13560" width="17.5" style="2" customWidth="1"/>
    <col min="13561" max="13808" width="9.1640625" style="2"/>
    <col min="13809" max="13809" width="10.83203125" style="2" customWidth="1"/>
    <col min="13810" max="13810" width="18.1640625" style="2" customWidth="1"/>
    <col min="13811" max="13811" width="15" style="2" customWidth="1"/>
    <col min="13812" max="13815" width="13" style="2" customWidth="1"/>
    <col min="13816" max="13816" width="17.5" style="2" customWidth="1"/>
    <col min="13817" max="14064" width="9.1640625" style="2"/>
    <col min="14065" max="14065" width="10.83203125" style="2" customWidth="1"/>
    <col min="14066" max="14066" width="18.1640625" style="2" customWidth="1"/>
    <col min="14067" max="14067" width="15" style="2" customWidth="1"/>
    <col min="14068" max="14071" width="13" style="2" customWidth="1"/>
    <col min="14072" max="14072" width="17.5" style="2" customWidth="1"/>
    <col min="14073" max="14320" width="9.1640625" style="2"/>
    <col min="14321" max="14321" width="10.83203125" style="2" customWidth="1"/>
    <col min="14322" max="14322" width="18.1640625" style="2" customWidth="1"/>
    <col min="14323" max="14323" width="15" style="2" customWidth="1"/>
    <col min="14324" max="14327" width="13" style="2" customWidth="1"/>
    <col min="14328" max="14328" width="17.5" style="2" customWidth="1"/>
    <col min="14329" max="14576" width="9.1640625" style="2"/>
    <col min="14577" max="14577" width="10.83203125" style="2" customWidth="1"/>
    <col min="14578" max="14578" width="18.1640625" style="2" customWidth="1"/>
    <col min="14579" max="14579" width="15" style="2" customWidth="1"/>
    <col min="14580" max="14583" width="13" style="2" customWidth="1"/>
    <col min="14584" max="14584" width="17.5" style="2" customWidth="1"/>
    <col min="14585" max="14832" width="9.1640625" style="2"/>
    <col min="14833" max="14833" width="10.83203125" style="2" customWidth="1"/>
    <col min="14834" max="14834" width="18.1640625" style="2" customWidth="1"/>
    <col min="14835" max="14835" width="15" style="2" customWidth="1"/>
    <col min="14836" max="14839" width="13" style="2" customWidth="1"/>
    <col min="14840" max="14840" width="17.5" style="2" customWidth="1"/>
    <col min="14841" max="15088" width="9.1640625" style="2"/>
    <col min="15089" max="15089" width="10.83203125" style="2" customWidth="1"/>
    <col min="15090" max="15090" width="18.1640625" style="2" customWidth="1"/>
    <col min="15091" max="15091" width="15" style="2" customWidth="1"/>
    <col min="15092" max="15095" width="13" style="2" customWidth="1"/>
    <col min="15096" max="15096" width="17.5" style="2" customWidth="1"/>
    <col min="15097" max="15344" width="9.1640625" style="2"/>
    <col min="15345" max="15345" width="10.83203125" style="2" customWidth="1"/>
    <col min="15346" max="15346" width="18.1640625" style="2" customWidth="1"/>
    <col min="15347" max="15347" width="15" style="2" customWidth="1"/>
    <col min="15348" max="15351" width="13" style="2" customWidth="1"/>
    <col min="15352" max="15352" width="17.5" style="2" customWidth="1"/>
    <col min="15353" max="15600" width="9.1640625" style="2"/>
    <col min="15601" max="15601" width="10.83203125" style="2" customWidth="1"/>
    <col min="15602" max="15602" width="18.1640625" style="2" customWidth="1"/>
    <col min="15603" max="15603" width="15" style="2" customWidth="1"/>
    <col min="15604" max="15607" width="13" style="2" customWidth="1"/>
    <col min="15608" max="15608" width="17.5" style="2" customWidth="1"/>
    <col min="15609" max="15856" width="9.1640625" style="2"/>
    <col min="15857" max="15857" width="10.83203125" style="2" customWidth="1"/>
    <col min="15858" max="15858" width="18.1640625" style="2" customWidth="1"/>
    <col min="15859" max="15859" width="15" style="2" customWidth="1"/>
    <col min="15860" max="15863" width="13" style="2" customWidth="1"/>
    <col min="15864" max="15864" width="17.5" style="2" customWidth="1"/>
    <col min="15865" max="16112" width="9.1640625" style="2"/>
    <col min="16113" max="16113" width="10.83203125" style="2" customWidth="1"/>
    <col min="16114" max="16114" width="18.1640625" style="2" customWidth="1"/>
    <col min="16115" max="16115" width="15" style="2" customWidth="1"/>
    <col min="16116" max="16119" width="13" style="2" customWidth="1"/>
    <col min="16120" max="16120" width="17.5" style="2" customWidth="1"/>
    <col min="16121" max="16384" width="9.1640625" style="2"/>
  </cols>
  <sheetData>
    <row r="1" spans="1:3">
      <c r="A1" s="83" t="s">
        <v>16</v>
      </c>
      <c r="B1" s="84" t="s">
        <v>17</v>
      </c>
      <c r="C1" s="85"/>
    </row>
    <row r="2" spans="1:3">
      <c r="A2" s="83" t="s">
        <v>86</v>
      </c>
      <c r="B2" s="83"/>
      <c r="C2" s="84"/>
    </row>
    <row r="3" spans="1:3">
      <c r="B3" s="83"/>
      <c r="C3" s="84"/>
    </row>
    <row r="4" spans="1:3" ht="16" thickBot="1"/>
    <row r="5" spans="1:3" ht="68.25" customHeight="1">
      <c r="A5" s="88" t="s">
        <v>10</v>
      </c>
      <c r="B5" s="89" t="s">
        <v>74</v>
      </c>
      <c r="C5" s="90" t="s">
        <v>87</v>
      </c>
    </row>
    <row r="6" spans="1:3">
      <c r="A6" s="91">
        <v>33635</v>
      </c>
      <c r="B6" s="92">
        <f>VLOOKUP(A6,Database!A:M,MATCH($A$1,Database!$A$1:$M$1,),)</f>
        <v>33857</v>
      </c>
      <c r="C6" s="93"/>
    </row>
    <row r="7" spans="1:3">
      <c r="A7" s="91">
        <v>33664</v>
      </c>
      <c r="B7" s="92">
        <f>VLOOKUP(A7,Database!A:M,MATCH($A$1,Database!$A$1:$M$1,),)</f>
        <v>35258</v>
      </c>
      <c r="C7" s="94">
        <f>(Table535[[#This Row],[New Orders - Nondefense Capital Goods Excluding Aircraft]]-B6)/B6</f>
        <v>4.1379921434267657E-2</v>
      </c>
    </row>
    <row r="8" spans="1:3">
      <c r="A8" s="91">
        <v>33695</v>
      </c>
      <c r="B8" s="92">
        <f>VLOOKUP(A8,Database!A:M,MATCH($A$1,Database!$A$1:$M$1,),)</f>
        <v>35992</v>
      </c>
      <c r="C8" s="94">
        <f>(Table535[[#This Row],[New Orders - Nondefense Capital Goods Excluding Aircraft]]-B7)/B7</f>
        <v>2.0817970389698792E-2</v>
      </c>
    </row>
    <row r="9" spans="1:3">
      <c r="A9" s="91">
        <v>33725</v>
      </c>
      <c r="B9" s="92">
        <f>VLOOKUP(A9,Database!A:M,MATCH($A$1,Database!$A$1:$M$1,),)</f>
        <v>36811</v>
      </c>
      <c r="C9" s="94">
        <f>(Table535[[#This Row],[New Orders - Nondefense Capital Goods Excluding Aircraft]]-B8)/B8</f>
        <v>2.2755056679262059E-2</v>
      </c>
    </row>
    <row r="10" spans="1:3">
      <c r="A10" s="91">
        <v>33756</v>
      </c>
      <c r="B10" s="92">
        <f>VLOOKUP(A10,Database!A:M,MATCH($A$1,Database!$A$1:$M$1,),)</f>
        <v>36666</v>
      </c>
      <c r="C10" s="94">
        <f>(Table535[[#This Row],[New Orders - Nondefense Capital Goods Excluding Aircraft]]-B9)/B9</f>
        <v>-3.9390399608812583E-3</v>
      </c>
    </row>
    <row r="11" spans="1:3">
      <c r="A11" s="91">
        <v>33786</v>
      </c>
      <c r="B11" s="92">
        <f>VLOOKUP(A11,Database!A:M,MATCH($A$1,Database!$A$1:$M$1,),)</f>
        <v>36629</v>
      </c>
      <c r="C11" s="94">
        <f>(Table535[[#This Row],[New Orders - Nondefense Capital Goods Excluding Aircraft]]-B10)/B10</f>
        <v>-1.009109256531937E-3</v>
      </c>
    </row>
    <row r="12" spans="1:3">
      <c r="A12" s="91">
        <v>33817</v>
      </c>
      <c r="B12" s="92">
        <f>VLOOKUP(A12,Database!A:M,MATCH($A$1,Database!$A$1:$M$1,),)</f>
        <v>36131</v>
      </c>
      <c r="C12" s="94">
        <f>(Table535[[#This Row],[New Orders - Nondefense Capital Goods Excluding Aircraft]]-B11)/B11</f>
        <v>-1.3595784760708728E-2</v>
      </c>
    </row>
    <row r="13" spans="1:3">
      <c r="A13" s="91">
        <v>33848</v>
      </c>
      <c r="B13" s="92">
        <f>VLOOKUP(A13,Database!A:M,MATCH($A$1,Database!$A$1:$M$1,),)</f>
        <v>37629</v>
      </c>
      <c r="C13" s="94">
        <f>(Table535[[#This Row],[New Orders - Nondefense Capital Goods Excluding Aircraft]]-B12)/B12</f>
        <v>4.146024189753951E-2</v>
      </c>
    </row>
    <row r="14" spans="1:3">
      <c r="A14" s="91">
        <v>33878</v>
      </c>
      <c r="B14" s="92">
        <f>VLOOKUP(A14,Database!A:M,MATCH($A$1,Database!$A$1:$M$1,),)</f>
        <v>36668</v>
      </c>
      <c r="C14" s="94">
        <f>(Table535[[#This Row],[New Orders - Nondefense Capital Goods Excluding Aircraft]]-B13)/B13</f>
        <v>-2.553881314943262E-2</v>
      </c>
    </row>
    <row r="15" spans="1:3">
      <c r="A15" s="91">
        <v>33909</v>
      </c>
      <c r="B15" s="92">
        <f>VLOOKUP(A15,Database!A:M,MATCH($A$1,Database!$A$1:$M$1,),)</f>
        <v>37573</v>
      </c>
      <c r="C15" s="94">
        <f>(Table535[[#This Row],[New Orders - Nondefense Capital Goods Excluding Aircraft]]-B14)/B14</f>
        <v>2.4680920693792952E-2</v>
      </c>
    </row>
    <row r="16" spans="1:3">
      <c r="A16" s="91">
        <v>33939</v>
      </c>
      <c r="B16" s="92">
        <f>VLOOKUP(A16,Database!A:M,MATCH($A$1,Database!$A$1:$M$1,),)</f>
        <v>38374</v>
      </c>
      <c r="C16" s="94">
        <f>(Table535[[#This Row],[New Orders - Nondefense Capital Goods Excluding Aircraft]]-B15)/B15</f>
        <v>2.1318499986692573E-2</v>
      </c>
    </row>
    <row r="17" spans="1:3">
      <c r="A17" s="91">
        <v>33970</v>
      </c>
      <c r="B17" s="92">
        <f>VLOOKUP(A17,Database!A:M,MATCH($A$1,Database!$A$1:$M$1,),)</f>
        <v>37041</v>
      </c>
      <c r="C17" s="94">
        <f>(Table535[[#This Row],[New Orders - Nondefense Capital Goods Excluding Aircraft]]-B16)/B16</f>
        <v>-3.4737061552092566E-2</v>
      </c>
    </row>
    <row r="18" spans="1:3">
      <c r="A18" s="91">
        <v>34001</v>
      </c>
      <c r="B18" s="92">
        <f>VLOOKUP(A18,Database!A:M,MATCH($A$1,Database!$A$1:$M$1,),)</f>
        <v>36962</v>
      </c>
      <c r="C18" s="94">
        <f>(Table535[[#This Row],[New Orders - Nondefense Capital Goods Excluding Aircraft]]-B17)/B17</f>
        <v>-2.1327717934181041E-3</v>
      </c>
    </row>
    <row r="19" spans="1:3">
      <c r="A19" s="91">
        <v>34029</v>
      </c>
      <c r="B19" s="92">
        <f>VLOOKUP(A19,Database!A:M,MATCH($A$1,Database!$A$1:$M$1,),)</f>
        <v>36895</v>
      </c>
      <c r="C19" s="94">
        <f>(Table535[[#This Row],[New Orders - Nondefense Capital Goods Excluding Aircraft]]-B18)/B18</f>
        <v>-1.8126724744332017E-3</v>
      </c>
    </row>
    <row r="20" spans="1:3">
      <c r="A20" s="91">
        <v>34060</v>
      </c>
      <c r="B20" s="92">
        <f>VLOOKUP(A20,Database!A:M,MATCH($A$1,Database!$A$1:$M$1,),)</f>
        <v>37729</v>
      </c>
      <c r="C20" s="94">
        <f>(Table535[[#This Row],[New Orders - Nondefense Capital Goods Excluding Aircraft]]-B19)/B19</f>
        <v>2.2604688982246917E-2</v>
      </c>
    </row>
    <row r="21" spans="1:3">
      <c r="A21" s="91">
        <v>34090</v>
      </c>
      <c r="B21" s="92">
        <f>VLOOKUP(A21,Database!A:M,MATCH($A$1,Database!$A$1:$M$1,),)</f>
        <v>37869</v>
      </c>
      <c r="C21" s="94">
        <f>(Table535[[#This Row],[New Orders - Nondefense Capital Goods Excluding Aircraft]]-B20)/B20</f>
        <v>3.7106734872379339E-3</v>
      </c>
    </row>
    <row r="22" spans="1:3">
      <c r="A22" s="91">
        <v>34121</v>
      </c>
      <c r="B22" s="92">
        <f>VLOOKUP(A22,Database!A:M,MATCH($A$1,Database!$A$1:$M$1,),)</f>
        <v>38381</v>
      </c>
      <c r="C22" s="94">
        <f>(Table535[[#This Row],[New Orders - Nondefense Capital Goods Excluding Aircraft]]-B21)/B21</f>
        <v>1.3520293643877577E-2</v>
      </c>
    </row>
    <row r="23" spans="1:3">
      <c r="A23" s="91">
        <v>34151</v>
      </c>
      <c r="B23" s="92">
        <f>VLOOKUP(A23,Database!A:M,MATCH($A$1,Database!$A$1:$M$1,),)</f>
        <v>38915</v>
      </c>
      <c r="C23" s="94">
        <f>(Table535[[#This Row],[New Orders - Nondefense Capital Goods Excluding Aircraft]]-B22)/B22</f>
        <v>1.3913134102811286E-2</v>
      </c>
    </row>
    <row r="24" spans="1:3">
      <c r="A24" s="91">
        <v>34182</v>
      </c>
      <c r="B24" s="92">
        <f>VLOOKUP(A24,Database!A:M,MATCH($A$1,Database!$A$1:$M$1,),)</f>
        <v>39309</v>
      </c>
      <c r="C24" s="94">
        <f>(Table535[[#This Row],[New Orders - Nondefense Capital Goods Excluding Aircraft]]-B23)/B23</f>
        <v>1.0124630605165103E-2</v>
      </c>
    </row>
    <row r="25" spans="1:3">
      <c r="A25" s="91">
        <v>34213</v>
      </c>
      <c r="B25" s="92">
        <f>VLOOKUP(A25,Database!A:M,MATCH($A$1,Database!$A$1:$M$1,),)</f>
        <v>39307</v>
      </c>
      <c r="C25" s="94">
        <f>(Table535[[#This Row],[New Orders - Nondefense Capital Goods Excluding Aircraft]]-B24)/B24</f>
        <v>-5.0878933577552216E-5</v>
      </c>
    </row>
    <row r="26" spans="1:3">
      <c r="A26" s="91">
        <v>34243</v>
      </c>
      <c r="B26" s="92">
        <f>VLOOKUP(A26,Database!A:M,MATCH($A$1,Database!$A$1:$M$1,),)</f>
        <v>40550</v>
      </c>
      <c r="C26" s="94">
        <f>(Table535[[#This Row],[New Orders - Nondefense Capital Goods Excluding Aircraft]]-B25)/B25</f>
        <v>3.1622866156155394E-2</v>
      </c>
    </row>
    <row r="27" spans="1:3">
      <c r="A27" s="91">
        <v>34274</v>
      </c>
      <c r="B27" s="92">
        <f>VLOOKUP(A27,Database!A:M,MATCH($A$1,Database!$A$1:$M$1,),)</f>
        <v>40301</v>
      </c>
      <c r="C27" s="94">
        <f>(Table535[[#This Row],[New Orders - Nondefense Capital Goods Excluding Aircraft]]-B26)/B26</f>
        <v>-6.1405672009864362E-3</v>
      </c>
    </row>
    <row r="28" spans="1:3">
      <c r="A28" s="91">
        <v>34304</v>
      </c>
      <c r="B28" s="92">
        <f>VLOOKUP(A28,Database!A:M,MATCH($A$1,Database!$A$1:$M$1,),)</f>
        <v>43296</v>
      </c>
      <c r="C28" s="94">
        <f>(Table535[[#This Row],[New Orders - Nondefense Capital Goods Excluding Aircraft]]-B27)/B27</f>
        <v>7.4315773802138899E-2</v>
      </c>
    </row>
    <row r="29" spans="1:3">
      <c r="A29" s="91">
        <v>34335</v>
      </c>
      <c r="B29" s="92">
        <f>VLOOKUP(A29,Database!A:M,MATCH($A$1,Database!$A$1:$M$1,),)</f>
        <v>39801</v>
      </c>
      <c r="C29" s="94">
        <f>(Table535[[#This Row],[New Orders - Nondefense Capital Goods Excluding Aircraft]]-B28)/B28</f>
        <v>-8.0723392461197335E-2</v>
      </c>
    </row>
    <row r="30" spans="1:3">
      <c r="A30" s="91">
        <v>34366</v>
      </c>
      <c r="B30" s="92">
        <f>VLOOKUP(A30,Database!A:M,MATCH($A$1,Database!$A$1:$M$1,),)</f>
        <v>41736</v>
      </c>
      <c r="C30" s="94">
        <f>(Table535[[#This Row],[New Orders - Nondefense Capital Goods Excluding Aircraft]]-B29)/B29</f>
        <v>4.8616868922891382E-2</v>
      </c>
    </row>
    <row r="31" spans="1:3">
      <c r="A31" s="91">
        <v>34394</v>
      </c>
      <c r="B31" s="92">
        <f>VLOOKUP(A31,Database!A:M,MATCH($A$1,Database!$A$1:$M$1,),)</f>
        <v>41245</v>
      </c>
      <c r="C31" s="94">
        <f>(Table535[[#This Row],[New Orders - Nondefense Capital Goods Excluding Aircraft]]-B30)/B30</f>
        <v>-1.1764423998466552E-2</v>
      </c>
    </row>
    <row r="32" spans="1:3">
      <c r="A32" s="91">
        <v>34425</v>
      </c>
      <c r="B32" s="92">
        <f>VLOOKUP(A32,Database!A:M,MATCH($A$1,Database!$A$1:$M$1,),)</f>
        <v>42992</v>
      </c>
      <c r="C32" s="94">
        <f>(Table535[[#This Row],[New Orders - Nondefense Capital Goods Excluding Aircraft]]-B31)/B31</f>
        <v>4.2356649290823133E-2</v>
      </c>
    </row>
    <row r="33" spans="1:3">
      <c r="A33" s="91">
        <v>34455</v>
      </c>
      <c r="B33" s="92">
        <f>VLOOKUP(A33,Database!A:M,MATCH($A$1,Database!$A$1:$M$1,),)</f>
        <v>42849</v>
      </c>
      <c r="C33" s="94">
        <f>(Table535[[#This Row],[New Orders - Nondefense Capital Goods Excluding Aircraft]]-B32)/B32</f>
        <v>-3.3262002232973577E-3</v>
      </c>
    </row>
    <row r="34" spans="1:3">
      <c r="A34" s="91">
        <v>34486</v>
      </c>
      <c r="B34" s="92">
        <f>VLOOKUP(A34,Database!A:M,MATCH($A$1,Database!$A$1:$M$1,),)</f>
        <v>44555</v>
      </c>
      <c r="C34" s="94">
        <f>(Table535[[#This Row],[New Orders - Nondefense Capital Goods Excluding Aircraft]]-B33)/B33</f>
        <v>3.9814231370627083E-2</v>
      </c>
    </row>
    <row r="35" spans="1:3">
      <c r="A35" s="91">
        <v>34516</v>
      </c>
      <c r="B35" s="92">
        <f>VLOOKUP(A35,Database!A:M,MATCH($A$1,Database!$A$1:$M$1,),)</f>
        <v>44016</v>
      </c>
      <c r="C35" s="94">
        <f>(Table535[[#This Row],[New Orders - Nondefense Capital Goods Excluding Aircraft]]-B34)/B34</f>
        <v>-1.2097407698350354E-2</v>
      </c>
    </row>
    <row r="36" spans="1:3">
      <c r="A36" s="91">
        <v>34547</v>
      </c>
      <c r="B36" s="92">
        <f>VLOOKUP(A36,Database!A:M,MATCH($A$1,Database!$A$1:$M$1,),)</f>
        <v>44406</v>
      </c>
      <c r="C36" s="94">
        <f>(Table535[[#This Row],[New Orders - Nondefense Capital Goods Excluding Aircraft]]-B35)/B35</f>
        <v>8.8604143947655402E-3</v>
      </c>
    </row>
    <row r="37" spans="1:3">
      <c r="A37" s="91">
        <v>34578</v>
      </c>
      <c r="B37" s="92">
        <f>VLOOKUP(A37,Database!A:M,MATCH($A$1,Database!$A$1:$M$1,),)</f>
        <v>44507</v>
      </c>
      <c r="C37" s="94">
        <f>(Table535[[#This Row],[New Orders - Nondefense Capital Goods Excluding Aircraft]]-B36)/B36</f>
        <v>2.274467414313381E-3</v>
      </c>
    </row>
    <row r="38" spans="1:3">
      <c r="A38" s="91">
        <v>34608</v>
      </c>
      <c r="B38" s="92">
        <f>VLOOKUP(A38,Database!A:M,MATCH($A$1,Database!$A$1:$M$1,),)</f>
        <v>45959</v>
      </c>
      <c r="C38" s="94">
        <f>(Table535[[#This Row],[New Orders - Nondefense Capital Goods Excluding Aircraft]]-B37)/B37</f>
        <v>3.2624081605140763E-2</v>
      </c>
    </row>
    <row r="39" spans="1:3">
      <c r="A39" s="91">
        <v>34639</v>
      </c>
      <c r="B39" s="92">
        <f>VLOOKUP(A39,Database!A:M,MATCH($A$1,Database!$A$1:$M$1,),)</f>
        <v>45942</v>
      </c>
      <c r="C39" s="94">
        <f>(Table535[[#This Row],[New Orders - Nondefense Capital Goods Excluding Aircraft]]-B38)/B38</f>
        <v>-3.698949063295546E-4</v>
      </c>
    </row>
    <row r="40" spans="1:3">
      <c r="A40" s="91">
        <v>34669</v>
      </c>
      <c r="B40" s="92">
        <f>VLOOKUP(A40,Database!A:M,MATCH($A$1,Database!$A$1:$M$1,),)</f>
        <v>46186</v>
      </c>
      <c r="C40" s="94">
        <f>(Table535[[#This Row],[New Orders - Nondefense Capital Goods Excluding Aircraft]]-B39)/B39</f>
        <v>5.3110443602803533E-3</v>
      </c>
    </row>
    <row r="41" spans="1:3">
      <c r="A41" s="91">
        <v>34700</v>
      </c>
      <c r="B41" s="92">
        <f>VLOOKUP(A41,Database!A:M,MATCH($A$1,Database!$A$1:$M$1,),)</f>
        <v>47317</v>
      </c>
      <c r="C41" s="94">
        <f>(Table535[[#This Row],[New Orders - Nondefense Capital Goods Excluding Aircraft]]-B40)/B40</f>
        <v>2.4487940068419003E-2</v>
      </c>
    </row>
    <row r="42" spans="1:3">
      <c r="A42" s="91">
        <v>34731</v>
      </c>
      <c r="B42" s="92">
        <f>VLOOKUP(A42,Database!A:M,MATCH($A$1,Database!$A$1:$M$1,),)</f>
        <v>46200</v>
      </c>
      <c r="C42" s="94">
        <f>(Table535[[#This Row],[New Orders - Nondefense Capital Goods Excluding Aircraft]]-B41)/B41</f>
        <v>-2.3606737536192066E-2</v>
      </c>
    </row>
    <row r="43" spans="1:3">
      <c r="A43" s="91">
        <v>34759</v>
      </c>
      <c r="B43" s="92">
        <f>VLOOKUP(A43,Database!A:M,MATCH($A$1,Database!$A$1:$M$1,),)</f>
        <v>46095</v>
      </c>
      <c r="C43" s="94">
        <f>(Table535[[#This Row],[New Orders - Nondefense Capital Goods Excluding Aircraft]]-B42)/B42</f>
        <v>-2.2727272727272726E-3</v>
      </c>
    </row>
    <row r="44" spans="1:3">
      <c r="A44" s="91">
        <v>34790</v>
      </c>
      <c r="B44" s="92">
        <f>VLOOKUP(A44,Database!A:M,MATCH($A$1,Database!$A$1:$M$1,),)</f>
        <v>46776</v>
      </c>
      <c r="C44" s="94">
        <f>(Table535[[#This Row],[New Orders - Nondefense Capital Goods Excluding Aircraft]]-B43)/B43</f>
        <v>1.4773836641718191E-2</v>
      </c>
    </row>
    <row r="45" spans="1:3">
      <c r="A45" s="91">
        <v>34820</v>
      </c>
      <c r="B45" s="92">
        <f>VLOOKUP(A45,Database!A:M,MATCH($A$1,Database!$A$1:$M$1,),)</f>
        <v>48401</v>
      </c>
      <c r="C45" s="94">
        <f>(Table535[[#This Row],[New Orders - Nondefense Capital Goods Excluding Aircraft]]-B44)/B44</f>
        <v>3.4740037626133057E-2</v>
      </c>
    </row>
    <row r="46" spans="1:3">
      <c r="A46" s="91">
        <v>34851</v>
      </c>
      <c r="B46" s="92">
        <f>VLOOKUP(A46,Database!A:M,MATCH($A$1,Database!$A$1:$M$1,),)</f>
        <v>47970</v>
      </c>
      <c r="C46" s="94">
        <f>(Table535[[#This Row],[New Orders - Nondefense Capital Goods Excluding Aircraft]]-B45)/B45</f>
        <v>-8.9047746947377125E-3</v>
      </c>
    </row>
    <row r="47" spans="1:3">
      <c r="A47" s="91">
        <v>34881</v>
      </c>
      <c r="B47" s="92">
        <f>VLOOKUP(A47,Database!A:M,MATCH($A$1,Database!$A$1:$M$1,),)</f>
        <v>45962</v>
      </c>
      <c r="C47" s="94">
        <f>(Table535[[#This Row],[New Orders - Nondefense Capital Goods Excluding Aircraft]]-B46)/B46</f>
        <v>-4.1859495518032107E-2</v>
      </c>
    </row>
    <row r="48" spans="1:3">
      <c r="A48" s="91">
        <v>34912</v>
      </c>
      <c r="B48" s="92">
        <f>VLOOKUP(A48,Database!A:M,MATCH($A$1,Database!$A$1:$M$1,),)</f>
        <v>47502</v>
      </c>
      <c r="C48" s="94">
        <f>(Table535[[#This Row],[New Orders - Nondefense Capital Goods Excluding Aircraft]]-B47)/B47</f>
        <v>3.350593968930856E-2</v>
      </c>
    </row>
    <row r="49" spans="1:3">
      <c r="A49" s="91">
        <v>34943</v>
      </c>
      <c r="B49" s="92">
        <f>VLOOKUP(A49,Database!A:M,MATCH($A$1,Database!$A$1:$M$1,),)</f>
        <v>49431</v>
      </c>
      <c r="C49" s="94">
        <f>(Table535[[#This Row],[New Orders - Nondefense Capital Goods Excluding Aircraft]]-B48)/B48</f>
        <v>4.0608816470885434E-2</v>
      </c>
    </row>
    <row r="50" spans="1:3">
      <c r="A50" s="91">
        <v>34973</v>
      </c>
      <c r="B50" s="92">
        <f>VLOOKUP(A50,Database!A:M,MATCH($A$1,Database!$A$1:$M$1,),)</f>
        <v>50283</v>
      </c>
      <c r="C50" s="94">
        <f>(Table535[[#This Row],[New Orders - Nondefense Capital Goods Excluding Aircraft]]-B49)/B49</f>
        <v>1.723614735692177E-2</v>
      </c>
    </row>
    <row r="51" spans="1:3">
      <c r="A51" s="91">
        <v>35004</v>
      </c>
      <c r="B51" s="92">
        <f>VLOOKUP(A51,Database!A:M,MATCH($A$1,Database!$A$1:$M$1,),)</f>
        <v>49798</v>
      </c>
      <c r="C51" s="94">
        <f>(Table535[[#This Row],[New Orders - Nondefense Capital Goods Excluding Aircraft]]-B50)/B50</f>
        <v>-9.6454069964003741E-3</v>
      </c>
    </row>
    <row r="52" spans="1:3">
      <c r="A52" s="91">
        <v>35034</v>
      </c>
      <c r="B52" s="92">
        <f>VLOOKUP(A52,Database!A:M,MATCH($A$1,Database!$A$1:$M$1,),)</f>
        <v>51221</v>
      </c>
      <c r="C52" s="94">
        <f>(Table535[[#This Row],[New Orders - Nondefense Capital Goods Excluding Aircraft]]-B51)/B51</f>
        <v>2.85754447969798E-2</v>
      </c>
    </row>
    <row r="53" spans="1:3">
      <c r="A53" s="91">
        <v>35065</v>
      </c>
      <c r="B53" s="92">
        <f>VLOOKUP(A53,Database!A:M,MATCH($A$1,Database!$A$1:$M$1,),)</f>
        <v>47931</v>
      </c>
      <c r="C53" s="94">
        <f>(Table535[[#This Row],[New Orders - Nondefense Capital Goods Excluding Aircraft]]-B52)/B52</f>
        <v>-6.4231467562132716E-2</v>
      </c>
    </row>
    <row r="54" spans="1:3">
      <c r="A54" s="91">
        <v>35096</v>
      </c>
      <c r="B54" s="92">
        <f>VLOOKUP(A54,Database!A:M,MATCH($A$1,Database!$A$1:$M$1,),)</f>
        <v>49183</v>
      </c>
      <c r="C54" s="94">
        <f>(Table535[[#This Row],[New Orders - Nondefense Capital Goods Excluding Aircraft]]-B53)/B53</f>
        <v>2.6120882101354031E-2</v>
      </c>
    </row>
    <row r="55" spans="1:3">
      <c r="A55" s="91">
        <v>35125</v>
      </c>
      <c r="B55" s="92">
        <f>VLOOKUP(A55,Database!A:M,MATCH($A$1,Database!$A$1:$M$1,),)</f>
        <v>49780</v>
      </c>
      <c r="C55" s="94">
        <f>(Table535[[#This Row],[New Orders - Nondefense Capital Goods Excluding Aircraft]]-B54)/B54</f>
        <v>1.2138340483500397E-2</v>
      </c>
    </row>
    <row r="56" spans="1:3">
      <c r="A56" s="91">
        <v>35156</v>
      </c>
      <c r="B56" s="92">
        <f>VLOOKUP(A56,Database!A:M,MATCH($A$1,Database!$A$1:$M$1,),)</f>
        <v>48102</v>
      </c>
      <c r="C56" s="94">
        <f>(Table535[[#This Row],[New Orders - Nondefense Capital Goods Excluding Aircraft]]-B55)/B55</f>
        <v>-3.3708316593009241E-2</v>
      </c>
    </row>
    <row r="57" spans="1:3">
      <c r="A57" s="91">
        <v>35186</v>
      </c>
      <c r="B57" s="92">
        <f>VLOOKUP(A57,Database!A:M,MATCH($A$1,Database!$A$1:$M$1,),)</f>
        <v>50505</v>
      </c>
      <c r="C57" s="94">
        <f>(Table535[[#This Row],[New Orders - Nondefense Capital Goods Excluding Aircraft]]-B56)/B56</f>
        <v>4.9956342771610325E-2</v>
      </c>
    </row>
    <row r="58" spans="1:3">
      <c r="A58" s="91">
        <v>35217</v>
      </c>
      <c r="B58" s="92">
        <f>VLOOKUP(A58,Database!A:M,MATCH($A$1,Database!$A$1:$M$1,),)</f>
        <v>51556</v>
      </c>
      <c r="C58" s="94">
        <f>(Table535[[#This Row],[New Orders - Nondefense Capital Goods Excluding Aircraft]]-B57)/B57</f>
        <v>2.0809820809820811E-2</v>
      </c>
    </row>
    <row r="59" spans="1:3">
      <c r="A59" s="91">
        <v>35247</v>
      </c>
      <c r="B59" s="92">
        <f>VLOOKUP(A59,Database!A:M,MATCH($A$1,Database!$A$1:$M$1,),)</f>
        <v>51047</v>
      </c>
      <c r="C59" s="94">
        <f>(Table535[[#This Row],[New Orders - Nondefense Capital Goods Excluding Aircraft]]-B58)/B58</f>
        <v>-9.8727597175886413E-3</v>
      </c>
    </row>
    <row r="60" spans="1:3">
      <c r="A60" s="91">
        <v>35278</v>
      </c>
      <c r="B60" s="92">
        <f>VLOOKUP(A60,Database!A:M,MATCH($A$1,Database!$A$1:$M$1,),)</f>
        <v>50780</v>
      </c>
      <c r="C60" s="94">
        <f>(Table535[[#This Row],[New Orders - Nondefense Capital Goods Excluding Aircraft]]-B59)/B59</f>
        <v>-5.2304738770153E-3</v>
      </c>
    </row>
    <row r="61" spans="1:3">
      <c r="A61" s="91">
        <v>35309</v>
      </c>
      <c r="B61" s="92">
        <f>VLOOKUP(A61,Database!A:M,MATCH($A$1,Database!$A$1:$M$1,),)</f>
        <v>49824</v>
      </c>
      <c r="C61" s="94">
        <f>(Table535[[#This Row],[New Orders - Nondefense Capital Goods Excluding Aircraft]]-B60)/B60</f>
        <v>-1.8826309570697124E-2</v>
      </c>
    </row>
    <row r="62" spans="1:3">
      <c r="A62" s="91">
        <v>35339</v>
      </c>
      <c r="B62" s="92">
        <f>VLOOKUP(A62,Database!A:M,MATCH($A$1,Database!$A$1:$M$1,),)</f>
        <v>52556</v>
      </c>
      <c r="C62" s="94">
        <f>(Table535[[#This Row],[New Orders - Nondefense Capital Goods Excluding Aircraft]]-B61)/B61</f>
        <v>5.4833012202954397E-2</v>
      </c>
    </row>
    <row r="63" spans="1:3">
      <c r="A63" s="91">
        <v>35370</v>
      </c>
      <c r="B63" s="92">
        <f>VLOOKUP(A63,Database!A:M,MATCH($A$1,Database!$A$1:$M$1,),)</f>
        <v>52664</v>
      </c>
      <c r="C63" s="94">
        <f>(Table535[[#This Row],[New Orders - Nondefense Capital Goods Excluding Aircraft]]-B62)/B62</f>
        <v>2.0549509095060506E-3</v>
      </c>
    </row>
    <row r="64" spans="1:3">
      <c r="A64" s="91">
        <v>35400</v>
      </c>
      <c r="B64" s="92">
        <f>VLOOKUP(A64,Database!A:M,MATCH($A$1,Database!$A$1:$M$1,),)</f>
        <v>50765</v>
      </c>
      <c r="C64" s="94">
        <f>(Table535[[#This Row],[New Orders - Nondefense Capital Goods Excluding Aircraft]]-B63)/B63</f>
        <v>-3.6058787786723376E-2</v>
      </c>
    </row>
    <row r="65" spans="1:3">
      <c r="A65" s="91">
        <v>35431</v>
      </c>
      <c r="B65" s="92">
        <f>VLOOKUP(A65,Database!A:M,MATCH($A$1,Database!$A$1:$M$1,),)</f>
        <v>51958</v>
      </c>
      <c r="C65" s="94">
        <f>(Table535[[#This Row],[New Orders - Nondefense Capital Goods Excluding Aircraft]]-B64)/B64</f>
        <v>2.3500443218753077E-2</v>
      </c>
    </row>
    <row r="66" spans="1:3">
      <c r="A66" s="91">
        <v>35462</v>
      </c>
      <c r="B66" s="92">
        <f>VLOOKUP(A66,Database!A:M,MATCH($A$1,Database!$A$1:$M$1,),)</f>
        <v>54285</v>
      </c>
      <c r="C66" s="94">
        <f>(Table535[[#This Row],[New Orders - Nondefense Capital Goods Excluding Aircraft]]-B65)/B65</f>
        <v>4.4786173447784752E-2</v>
      </c>
    </row>
    <row r="67" spans="1:3">
      <c r="A67" s="91">
        <v>35490</v>
      </c>
      <c r="B67" s="92">
        <f>VLOOKUP(A67,Database!A:M,MATCH($A$1,Database!$A$1:$M$1,),)</f>
        <v>54195</v>
      </c>
      <c r="C67" s="94">
        <f>(Table535[[#This Row],[New Orders - Nondefense Capital Goods Excluding Aircraft]]-B66)/B66</f>
        <v>-1.6579165515335729E-3</v>
      </c>
    </row>
    <row r="68" spans="1:3">
      <c r="A68" s="91">
        <v>35521</v>
      </c>
      <c r="B68" s="92">
        <f>VLOOKUP(A68,Database!A:M,MATCH($A$1,Database!$A$1:$M$1,),)</f>
        <v>55044</v>
      </c>
      <c r="C68" s="94">
        <f>(Table535[[#This Row],[New Orders - Nondefense Capital Goods Excluding Aircraft]]-B67)/B67</f>
        <v>1.566565181289787E-2</v>
      </c>
    </row>
    <row r="69" spans="1:3">
      <c r="A69" s="91">
        <v>35551</v>
      </c>
      <c r="B69" s="92">
        <f>VLOOKUP(A69,Database!A:M,MATCH($A$1,Database!$A$1:$M$1,),)</f>
        <v>53924</v>
      </c>
      <c r="C69" s="94">
        <f>(Table535[[#This Row],[New Orders - Nondefense Capital Goods Excluding Aircraft]]-B68)/B68</f>
        <v>-2.0347358476854881E-2</v>
      </c>
    </row>
    <row r="70" spans="1:3">
      <c r="A70" s="91">
        <v>35582</v>
      </c>
      <c r="B70" s="92">
        <f>VLOOKUP(A70,Database!A:M,MATCH($A$1,Database!$A$1:$M$1,),)</f>
        <v>55972</v>
      </c>
      <c r="C70" s="94">
        <f>(Table535[[#This Row],[New Orders - Nondefense Capital Goods Excluding Aircraft]]-B69)/B69</f>
        <v>3.7979378384392852E-2</v>
      </c>
    </row>
    <row r="71" spans="1:3">
      <c r="A71" s="91">
        <v>35612</v>
      </c>
      <c r="B71" s="92">
        <f>VLOOKUP(A71,Database!A:M,MATCH($A$1,Database!$A$1:$M$1,),)</f>
        <v>58969</v>
      </c>
      <c r="C71" s="94">
        <f>(Table535[[#This Row],[New Orders - Nondefense Capital Goods Excluding Aircraft]]-B70)/B70</f>
        <v>5.3544629457585938E-2</v>
      </c>
    </row>
    <row r="72" spans="1:3">
      <c r="A72" s="91">
        <v>35643</v>
      </c>
      <c r="B72" s="92">
        <f>VLOOKUP(A72,Database!A:M,MATCH($A$1,Database!$A$1:$M$1,),)</f>
        <v>58232</v>
      </c>
      <c r="C72" s="94">
        <f>(Table535[[#This Row],[New Orders - Nondefense Capital Goods Excluding Aircraft]]-B71)/B71</f>
        <v>-1.2498092217945022E-2</v>
      </c>
    </row>
    <row r="73" spans="1:3">
      <c r="A73" s="91">
        <v>35674</v>
      </c>
      <c r="B73" s="92">
        <f>VLOOKUP(A73,Database!A:M,MATCH($A$1,Database!$A$1:$M$1,),)</f>
        <v>60143</v>
      </c>
      <c r="C73" s="94">
        <f>(Table535[[#This Row],[New Orders - Nondefense Capital Goods Excluding Aircraft]]-B72)/B72</f>
        <v>3.2817007830745981E-2</v>
      </c>
    </row>
    <row r="74" spans="1:3">
      <c r="A74" s="91">
        <v>35704</v>
      </c>
      <c r="B74" s="92">
        <f>VLOOKUP(A74,Database!A:M,MATCH($A$1,Database!$A$1:$M$1,),)</f>
        <v>57582</v>
      </c>
      <c r="C74" s="94">
        <f>(Table535[[#This Row],[New Orders - Nondefense Capital Goods Excluding Aircraft]]-B73)/B73</f>
        <v>-4.2581846598939196E-2</v>
      </c>
    </row>
    <row r="75" spans="1:3">
      <c r="A75" s="91">
        <v>35735</v>
      </c>
      <c r="B75" s="92">
        <f>VLOOKUP(A75,Database!A:M,MATCH($A$1,Database!$A$1:$M$1,),)</f>
        <v>57967</v>
      </c>
      <c r="C75" s="94">
        <f>(Table535[[#This Row],[New Orders - Nondefense Capital Goods Excluding Aircraft]]-B74)/B74</f>
        <v>6.686117189399465E-3</v>
      </c>
    </row>
    <row r="76" spans="1:3">
      <c r="A76" s="91">
        <v>35765</v>
      </c>
      <c r="B76" s="92">
        <f>VLOOKUP(A76,Database!A:M,MATCH($A$1,Database!$A$1:$M$1,),)</f>
        <v>58401</v>
      </c>
      <c r="C76" s="94">
        <f>(Table535[[#This Row],[New Orders - Nondefense Capital Goods Excluding Aircraft]]-B75)/B75</f>
        <v>7.4870184760294648E-3</v>
      </c>
    </row>
    <row r="77" spans="1:3">
      <c r="A77" s="91">
        <v>35796</v>
      </c>
      <c r="B77" s="92">
        <f>VLOOKUP(A77,Database!A:M,MATCH($A$1,Database!$A$1:$M$1,),)</f>
        <v>56811</v>
      </c>
      <c r="C77" s="94">
        <f>(Table535[[#This Row],[New Orders - Nondefense Capital Goods Excluding Aircraft]]-B76)/B76</f>
        <v>-2.7225561206143729E-2</v>
      </c>
    </row>
    <row r="78" spans="1:3">
      <c r="A78" s="91">
        <v>35827</v>
      </c>
      <c r="B78" s="92">
        <f>VLOOKUP(A78,Database!A:M,MATCH($A$1,Database!$A$1:$M$1,),)</f>
        <v>59362</v>
      </c>
      <c r="C78" s="94">
        <f>(Table535[[#This Row],[New Orders - Nondefense Capital Goods Excluding Aircraft]]-B77)/B77</f>
        <v>4.4903275774057838E-2</v>
      </c>
    </row>
    <row r="79" spans="1:3">
      <c r="A79" s="91">
        <v>35855</v>
      </c>
      <c r="B79" s="92">
        <f>VLOOKUP(A79,Database!A:M,MATCH($A$1,Database!$A$1:$M$1,),)</f>
        <v>57672</v>
      </c>
      <c r="C79" s="94">
        <f>(Table535[[#This Row],[New Orders - Nondefense Capital Goods Excluding Aircraft]]-B78)/B78</f>
        <v>-2.8469391193019104E-2</v>
      </c>
    </row>
    <row r="80" spans="1:3">
      <c r="A80" s="91">
        <v>35886</v>
      </c>
      <c r="B80" s="92">
        <f>VLOOKUP(A80,Database!A:M,MATCH($A$1,Database!$A$1:$M$1,),)</f>
        <v>55909</v>
      </c>
      <c r="C80" s="94">
        <f>(Table535[[#This Row],[New Orders - Nondefense Capital Goods Excluding Aircraft]]-B79)/B79</f>
        <v>-3.0569427105007631E-2</v>
      </c>
    </row>
    <row r="81" spans="1:3">
      <c r="A81" s="91">
        <v>35916</v>
      </c>
      <c r="B81" s="92">
        <f>VLOOKUP(A81,Database!A:M,MATCH($A$1,Database!$A$1:$M$1,),)</f>
        <v>58575</v>
      </c>
      <c r="C81" s="94">
        <f>(Table535[[#This Row],[New Orders - Nondefense Capital Goods Excluding Aircraft]]-B80)/B80</f>
        <v>4.7684630381512813E-2</v>
      </c>
    </row>
    <row r="82" spans="1:3">
      <c r="A82" s="91">
        <v>35947</v>
      </c>
      <c r="B82" s="92">
        <f>VLOOKUP(A82,Database!A:M,MATCH($A$1,Database!$A$1:$M$1,),)</f>
        <v>59020</v>
      </c>
      <c r="C82" s="94">
        <f>(Table535[[#This Row],[New Orders - Nondefense Capital Goods Excluding Aircraft]]-B81)/B81</f>
        <v>7.5970977379428081E-3</v>
      </c>
    </row>
    <row r="83" spans="1:3">
      <c r="A83" s="91">
        <v>35977</v>
      </c>
      <c r="B83" s="92">
        <f>VLOOKUP(A83,Database!A:M,MATCH($A$1,Database!$A$1:$M$1,),)</f>
        <v>56670</v>
      </c>
      <c r="C83" s="94">
        <f>(Table535[[#This Row],[New Orders - Nondefense Capital Goods Excluding Aircraft]]-B82)/B82</f>
        <v>-3.981701118264995E-2</v>
      </c>
    </row>
    <row r="84" spans="1:3">
      <c r="A84" s="91">
        <v>36008</v>
      </c>
      <c r="B84" s="92">
        <f>VLOOKUP(A84,Database!A:M,MATCH($A$1,Database!$A$1:$M$1,),)</f>
        <v>57658</v>
      </c>
      <c r="C84" s="94">
        <f>(Table535[[#This Row],[New Orders - Nondefense Capital Goods Excluding Aircraft]]-B83)/B83</f>
        <v>1.7434268572436917E-2</v>
      </c>
    </row>
    <row r="85" spans="1:3">
      <c r="A85" s="91">
        <v>36039</v>
      </c>
      <c r="B85" s="92">
        <f>VLOOKUP(A85,Database!A:M,MATCH($A$1,Database!$A$1:$M$1,),)</f>
        <v>60257</v>
      </c>
      <c r="C85" s="94">
        <f>(Table535[[#This Row],[New Orders - Nondefense Capital Goods Excluding Aircraft]]-B84)/B84</f>
        <v>4.5076138610427002E-2</v>
      </c>
    </row>
    <row r="86" spans="1:3">
      <c r="A86" s="91">
        <v>36069</v>
      </c>
      <c r="B86" s="92">
        <f>VLOOKUP(A86,Database!A:M,MATCH($A$1,Database!$A$1:$M$1,),)</f>
        <v>56319</v>
      </c>
      <c r="C86" s="94">
        <f>(Table535[[#This Row],[New Orders - Nondefense Capital Goods Excluding Aircraft]]-B85)/B85</f>
        <v>-6.5353402924141588E-2</v>
      </c>
    </row>
    <row r="87" spans="1:3">
      <c r="A87" s="91">
        <v>36100</v>
      </c>
      <c r="B87" s="92">
        <f>VLOOKUP(A87,Database!A:M,MATCH($A$1,Database!$A$1:$M$1,),)</f>
        <v>58162</v>
      </c>
      <c r="C87" s="94">
        <f>(Table535[[#This Row],[New Orders - Nondefense Capital Goods Excluding Aircraft]]-B86)/B86</f>
        <v>3.2724302633214367E-2</v>
      </c>
    </row>
    <row r="88" spans="1:3">
      <c r="A88" s="91">
        <v>36130</v>
      </c>
      <c r="B88" s="92">
        <f>VLOOKUP(A88,Database!A:M,MATCH($A$1,Database!$A$1:$M$1,),)</f>
        <v>60818</v>
      </c>
      <c r="C88" s="94">
        <f>(Table535[[#This Row],[New Orders - Nondefense Capital Goods Excluding Aircraft]]-B87)/B87</f>
        <v>4.566555482961384E-2</v>
      </c>
    </row>
    <row r="89" spans="1:3">
      <c r="A89" s="91">
        <v>36161</v>
      </c>
      <c r="B89" s="92">
        <f>VLOOKUP(A89,Database!A:M,MATCH($A$1,Database!$A$1:$M$1,),)</f>
        <v>57160</v>
      </c>
      <c r="C89" s="94">
        <f>(Table535[[#This Row],[New Orders - Nondefense Capital Goods Excluding Aircraft]]-B88)/B88</f>
        <v>-6.0146667105133347E-2</v>
      </c>
    </row>
    <row r="90" spans="1:3">
      <c r="A90" s="91">
        <v>36192</v>
      </c>
      <c r="B90" s="92">
        <f>VLOOKUP(A90,Database!A:M,MATCH($A$1,Database!$A$1:$M$1,),)</f>
        <v>58576</v>
      </c>
      <c r="C90" s="94">
        <f>(Table535[[#This Row],[New Orders - Nondefense Capital Goods Excluding Aircraft]]-B89)/B89</f>
        <v>2.4772568229531142E-2</v>
      </c>
    </row>
    <row r="91" spans="1:3">
      <c r="A91" s="91">
        <v>36220</v>
      </c>
      <c r="B91" s="92">
        <f>VLOOKUP(A91,Database!A:M,MATCH($A$1,Database!$A$1:$M$1,),)</f>
        <v>59657</v>
      </c>
      <c r="C91" s="94">
        <f>(Table535[[#This Row],[New Orders - Nondefense Capital Goods Excluding Aircraft]]-B90)/B90</f>
        <v>1.8454657197487026E-2</v>
      </c>
    </row>
    <row r="92" spans="1:3">
      <c r="A92" s="91">
        <v>36251</v>
      </c>
      <c r="B92" s="92">
        <f>VLOOKUP(A92,Database!A:M,MATCH($A$1,Database!$A$1:$M$1,),)</f>
        <v>58929</v>
      </c>
      <c r="C92" s="94">
        <f>(Table535[[#This Row],[New Orders - Nondefense Capital Goods Excluding Aircraft]]-B91)/B91</f>
        <v>-1.220309435606886E-2</v>
      </c>
    </row>
    <row r="93" spans="1:3">
      <c r="A93" s="91">
        <v>36281</v>
      </c>
      <c r="B93" s="92">
        <f>VLOOKUP(A93,Database!A:M,MATCH($A$1,Database!$A$1:$M$1,),)</f>
        <v>59814</v>
      </c>
      <c r="C93" s="94">
        <f>(Table535[[#This Row],[New Orders - Nondefense Capital Goods Excluding Aircraft]]-B92)/B92</f>
        <v>1.5018072595835666E-2</v>
      </c>
    </row>
    <row r="94" spans="1:3">
      <c r="A94" s="91">
        <v>36312</v>
      </c>
      <c r="B94" s="92">
        <f>VLOOKUP(A94,Database!A:M,MATCH($A$1,Database!$A$1:$M$1,),)</f>
        <v>59045</v>
      </c>
      <c r="C94" s="94">
        <f>(Table535[[#This Row],[New Orders - Nondefense Capital Goods Excluding Aircraft]]-B93)/B93</f>
        <v>-1.2856521884508643E-2</v>
      </c>
    </row>
    <row r="95" spans="1:3">
      <c r="A95" s="91">
        <v>36342</v>
      </c>
      <c r="B95" s="92">
        <f>VLOOKUP(A95,Database!A:M,MATCH($A$1,Database!$A$1:$M$1,),)</f>
        <v>62074</v>
      </c>
      <c r="C95" s="94">
        <f>(Table535[[#This Row],[New Orders - Nondefense Capital Goods Excluding Aircraft]]-B94)/B94</f>
        <v>5.1299856042001865E-2</v>
      </c>
    </row>
    <row r="96" spans="1:3">
      <c r="A96" s="91">
        <v>36373</v>
      </c>
      <c r="B96" s="92">
        <f>VLOOKUP(A96,Database!A:M,MATCH($A$1,Database!$A$1:$M$1,),)</f>
        <v>61732</v>
      </c>
      <c r="C96" s="94">
        <f>(Table535[[#This Row],[New Orders - Nondefense Capital Goods Excluding Aircraft]]-B95)/B95</f>
        <v>-5.5095531140251959E-3</v>
      </c>
    </row>
    <row r="97" spans="1:3">
      <c r="A97" s="91">
        <v>36404</v>
      </c>
      <c r="B97" s="92">
        <f>VLOOKUP(A97,Database!A:M,MATCH($A$1,Database!$A$1:$M$1,),)</f>
        <v>63231</v>
      </c>
      <c r="C97" s="94">
        <f>(Table535[[#This Row],[New Orders - Nondefense Capital Goods Excluding Aircraft]]-B96)/B96</f>
        <v>2.4282381908896519E-2</v>
      </c>
    </row>
    <row r="98" spans="1:3">
      <c r="A98" s="91">
        <v>36434</v>
      </c>
      <c r="B98" s="92">
        <f>VLOOKUP(A98,Database!A:M,MATCH($A$1,Database!$A$1:$M$1,),)</f>
        <v>61451</v>
      </c>
      <c r="C98" s="94">
        <f>(Table535[[#This Row],[New Orders - Nondefense Capital Goods Excluding Aircraft]]-B97)/B97</f>
        <v>-2.815074884154924E-2</v>
      </c>
    </row>
    <row r="99" spans="1:3">
      <c r="A99" s="91">
        <v>36465</v>
      </c>
      <c r="B99" s="92">
        <f>VLOOKUP(A99,Database!A:M,MATCH($A$1,Database!$A$1:$M$1,),)</f>
        <v>61849</v>
      </c>
      <c r="C99" s="94">
        <f>(Table535[[#This Row],[New Orders - Nondefense Capital Goods Excluding Aircraft]]-B98)/B98</f>
        <v>6.4767050170054189E-3</v>
      </c>
    </row>
    <row r="100" spans="1:3">
      <c r="A100" s="91">
        <v>36495</v>
      </c>
      <c r="B100" s="92">
        <f>VLOOKUP(A100,Database!A:M,MATCH($A$1,Database!$A$1:$M$1,),)</f>
        <v>65451</v>
      </c>
      <c r="C100" s="94">
        <f>(Table535[[#This Row],[New Orders - Nondefense Capital Goods Excluding Aircraft]]-B99)/B99</f>
        <v>5.8238613397144659E-2</v>
      </c>
    </row>
    <row r="101" spans="1:3">
      <c r="A101" s="91">
        <v>36526</v>
      </c>
      <c r="B101" s="92">
        <f>VLOOKUP(A101,Database!A:M,MATCH($A$1,Database!$A$1:$M$1,),)</f>
        <v>63975</v>
      </c>
      <c r="C101" s="94">
        <f>(Table535[[#This Row],[New Orders - Nondefense Capital Goods Excluding Aircraft]]-B100)/B100</f>
        <v>-2.2551221524499242E-2</v>
      </c>
    </row>
    <row r="102" spans="1:3">
      <c r="A102" s="91">
        <v>36557</v>
      </c>
      <c r="B102" s="92">
        <f>VLOOKUP(A102,Database!A:M,MATCH($A$1,Database!$A$1:$M$1,),)</f>
        <v>58497</v>
      </c>
      <c r="C102" s="94">
        <f>(Table535[[#This Row],[New Orders - Nondefense Capital Goods Excluding Aircraft]]-B101)/B101</f>
        <v>-8.5627198124267292E-2</v>
      </c>
    </row>
    <row r="103" spans="1:3">
      <c r="A103" s="91">
        <v>36586</v>
      </c>
      <c r="B103" s="92">
        <f>VLOOKUP(A103,Database!A:M,MATCH($A$1,Database!$A$1:$M$1,),)</f>
        <v>63642</v>
      </c>
      <c r="C103" s="94">
        <f>(Table535[[#This Row],[New Orders - Nondefense Capital Goods Excluding Aircraft]]-B102)/B102</f>
        <v>8.7953228370685671E-2</v>
      </c>
    </row>
    <row r="104" spans="1:3">
      <c r="A104" s="91">
        <v>36617</v>
      </c>
      <c r="B104" s="92">
        <f>VLOOKUP(A104,Database!A:M,MATCH($A$1,Database!$A$1:$M$1,),)</f>
        <v>64414</v>
      </c>
      <c r="C104" s="94">
        <f>(Table535[[#This Row],[New Orders - Nondefense Capital Goods Excluding Aircraft]]-B103)/B103</f>
        <v>1.2130354168630779E-2</v>
      </c>
    </row>
    <row r="105" spans="1:3">
      <c r="A105" s="91">
        <v>36647</v>
      </c>
      <c r="B105" s="92">
        <f>VLOOKUP(A105,Database!A:M,MATCH($A$1,Database!$A$1:$M$1,),)</f>
        <v>63753</v>
      </c>
      <c r="C105" s="94">
        <f>(Table535[[#This Row],[New Orders - Nondefense Capital Goods Excluding Aircraft]]-B104)/B104</f>
        <v>-1.0261744341292265E-2</v>
      </c>
    </row>
    <row r="106" spans="1:3">
      <c r="A106" s="91">
        <v>36678</v>
      </c>
      <c r="B106" s="92">
        <f>VLOOKUP(A106,Database!A:M,MATCH($A$1,Database!$A$1:$M$1,),)</f>
        <v>68292</v>
      </c>
      <c r="C106" s="94">
        <f>(Table535[[#This Row],[New Orders - Nondefense Capital Goods Excluding Aircraft]]-B105)/B105</f>
        <v>7.119664956943203E-2</v>
      </c>
    </row>
    <row r="107" spans="1:3">
      <c r="A107" s="91">
        <v>36708</v>
      </c>
      <c r="B107" s="92">
        <f>VLOOKUP(A107,Database!A:M,MATCH($A$1,Database!$A$1:$M$1,),)</f>
        <v>63581</v>
      </c>
      <c r="C107" s="94">
        <f>(Table535[[#This Row],[New Orders - Nondefense Capital Goods Excluding Aircraft]]-B106)/B106</f>
        <v>-6.8983189831898314E-2</v>
      </c>
    </row>
    <row r="108" spans="1:3">
      <c r="A108" s="91">
        <v>36739</v>
      </c>
      <c r="B108" s="92">
        <f>VLOOKUP(A108,Database!A:M,MATCH($A$1,Database!$A$1:$M$1,),)</f>
        <v>64759</v>
      </c>
      <c r="C108" s="94">
        <f>(Table535[[#This Row],[New Orders - Nondefense Capital Goods Excluding Aircraft]]-B107)/B107</f>
        <v>1.8527547537786446E-2</v>
      </c>
    </row>
    <row r="109" spans="1:3">
      <c r="A109" s="91">
        <v>36770</v>
      </c>
      <c r="B109" s="92">
        <f>VLOOKUP(A109,Database!A:M,MATCH($A$1,Database!$A$1:$M$1,),)</f>
        <v>66733</v>
      </c>
      <c r="C109" s="94">
        <f>(Table535[[#This Row],[New Orders - Nondefense Capital Goods Excluding Aircraft]]-B108)/B108</f>
        <v>3.0482249571488134E-2</v>
      </c>
    </row>
    <row r="110" spans="1:3">
      <c r="A110" s="91">
        <v>36800</v>
      </c>
      <c r="B110" s="92">
        <f>VLOOKUP(A110,Database!A:M,MATCH($A$1,Database!$A$1:$M$1,),)</f>
        <v>63580</v>
      </c>
      <c r="C110" s="94">
        <f>(Table535[[#This Row],[New Orders - Nondefense Capital Goods Excluding Aircraft]]-B109)/B109</f>
        <v>-4.724798825168957E-2</v>
      </c>
    </row>
    <row r="111" spans="1:3">
      <c r="A111" s="91">
        <v>36831</v>
      </c>
      <c r="B111" s="92">
        <f>VLOOKUP(A111,Database!A:M,MATCH($A$1,Database!$A$1:$M$1,),)</f>
        <v>62569</v>
      </c>
      <c r="C111" s="94">
        <f>(Table535[[#This Row],[New Orders - Nondefense Capital Goods Excluding Aircraft]]-B110)/B110</f>
        <v>-1.5901226800880779E-2</v>
      </c>
    </row>
    <row r="112" spans="1:3">
      <c r="A112" s="91">
        <v>36861</v>
      </c>
      <c r="B112" s="92">
        <f>VLOOKUP(A112,Database!A:M,MATCH($A$1,Database!$A$1:$M$1,),)</f>
        <v>62554</v>
      </c>
      <c r="C112" s="94">
        <f>(Table535[[#This Row],[New Orders - Nondefense Capital Goods Excluding Aircraft]]-B111)/B111</f>
        <v>-2.3973533219325864E-4</v>
      </c>
    </row>
    <row r="113" spans="1:3">
      <c r="A113" s="91">
        <v>36892</v>
      </c>
      <c r="B113" s="92">
        <f>VLOOKUP(A113,Database!A:M,MATCH($A$1,Database!$A$1:$M$1,),)</f>
        <v>60808</v>
      </c>
      <c r="C113" s="94">
        <f>(Table535[[#This Row],[New Orders - Nondefense Capital Goods Excluding Aircraft]]-B112)/B112</f>
        <v>-2.7911884132109856E-2</v>
      </c>
    </row>
    <row r="114" spans="1:3">
      <c r="A114" s="91">
        <v>36923</v>
      </c>
      <c r="B114" s="92">
        <f>VLOOKUP(A114,Database!A:M,MATCH($A$1,Database!$A$1:$M$1,),)</f>
        <v>60697</v>
      </c>
      <c r="C114" s="94">
        <f>(Table535[[#This Row],[New Orders - Nondefense Capital Goods Excluding Aircraft]]-B113)/B113</f>
        <v>-1.82541770819629E-3</v>
      </c>
    </row>
    <row r="115" spans="1:3">
      <c r="A115" s="91">
        <v>36951</v>
      </c>
      <c r="B115" s="92">
        <f>VLOOKUP(A115,Database!A:M,MATCH($A$1,Database!$A$1:$M$1,),)</f>
        <v>58146</v>
      </c>
      <c r="C115" s="94">
        <f>(Table535[[#This Row],[New Orders - Nondefense Capital Goods Excluding Aircraft]]-B114)/B114</f>
        <v>-4.2028436331284905E-2</v>
      </c>
    </row>
    <row r="116" spans="1:3">
      <c r="A116" s="91">
        <v>36982</v>
      </c>
      <c r="B116" s="92">
        <f>VLOOKUP(A116,Database!A:M,MATCH($A$1,Database!$A$1:$M$1,),)</f>
        <v>54841</v>
      </c>
      <c r="C116" s="94">
        <f>(Table535[[#This Row],[New Orders - Nondefense Capital Goods Excluding Aircraft]]-B115)/B115</f>
        <v>-5.6839679427647644E-2</v>
      </c>
    </row>
    <row r="117" spans="1:3">
      <c r="A117" s="91">
        <v>37012</v>
      </c>
      <c r="B117" s="92">
        <f>VLOOKUP(A117,Database!A:M,MATCH($A$1,Database!$A$1:$M$1,),)</f>
        <v>56599</v>
      </c>
      <c r="C117" s="94">
        <f>(Table535[[#This Row],[New Orders - Nondefense Capital Goods Excluding Aircraft]]-B116)/B116</f>
        <v>3.2056308236538357E-2</v>
      </c>
    </row>
    <row r="118" spans="1:3">
      <c r="A118" s="91">
        <v>37043</v>
      </c>
      <c r="B118" s="92">
        <f>VLOOKUP(A118,Database!A:M,MATCH($A$1,Database!$A$1:$M$1,),)</f>
        <v>55428</v>
      </c>
      <c r="C118" s="94">
        <f>(Table535[[#This Row],[New Orders - Nondefense Capital Goods Excluding Aircraft]]-B117)/B117</f>
        <v>-2.0689411473700948E-2</v>
      </c>
    </row>
    <row r="119" spans="1:3">
      <c r="A119" s="91">
        <v>37073</v>
      </c>
      <c r="B119" s="92">
        <f>VLOOKUP(A119,Database!A:M,MATCH($A$1,Database!$A$1:$M$1,),)</f>
        <v>53436</v>
      </c>
      <c r="C119" s="94">
        <f>(Table535[[#This Row],[New Orders - Nondefense Capital Goods Excluding Aircraft]]-B118)/B118</f>
        <v>-3.5938514830049798E-2</v>
      </c>
    </row>
    <row r="120" spans="1:3">
      <c r="A120" s="91">
        <v>37104</v>
      </c>
      <c r="B120" s="92">
        <f>VLOOKUP(A120,Database!A:M,MATCH($A$1,Database!$A$1:$M$1,),)</f>
        <v>54169</v>
      </c>
      <c r="C120" s="94">
        <f>(Table535[[#This Row],[New Orders - Nondefense Capital Goods Excluding Aircraft]]-B119)/B119</f>
        <v>1.3717344112583277E-2</v>
      </c>
    </row>
    <row r="121" spans="1:3">
      <c r="A121" s="91">
        <v>37135</v>
      </c>
      <c r="B121" s="92">
        <f>VLOOKUP(A121,Database!A:M,MATCH($A$1,Database!$A$1:$M$1,),)</f>
        <v>50735</v>
      </c>
      <c r="C121" s="94">
        <f>(Table535[[#This Row],[New Orders - Nondefense Capital Goods Excluding Aircraft]]-B120)/B120</f>
        <v>-6.339419225017999E-2</v>
      </c>
    </row>
    <row r="122" spans="1:3">
      <c r="A122" s="91">
        <v>37165</v>
      </c>
      <c r="B122" s="92">
        <f>VLOOKUP(A122,Database!A:M,MATCH($A$1,Database!$A$1:$M$1,),)</f>
        <v>49736</v>
      </c>
      <c r="C122" s="94">
        <f>(Table535[[#This Row],[New Orders - Nondefense Capital Goods Excluding Aircraft]]-B121)/B121</f>
        <v>-1.9690548930718439E-2</v>
      </c>
    </row>
    <row r="123" spans="1:3">
      <c r="A123" s="91">
        <v>37196</v>
      </c>
      <c r="B123" s="92">
        <f>VLOOKUP(A123,Database!A:M,MATCH($A$1,Database!$A$1:$M$1,),)</f>
        <v>51335</v>
      </c>
      <c r="C123" s="94">
        <f>(Table535[[#This Row],[New Orders - Nondefense Capital Goods Excluding Aircraft]]-B122)/B122</f>
        <v>3.2149750683609458E-2</v>
      </c>
    </row>
    <row r="124" spans="1:3">
      <c r="A124" s="91">
        <v>37226</v>
      </c>
      <c r="B124" s="92">
        <f>VLOOKUP(A124,Database!A:M,MATCH($A$1,Database!$A$1:$M$1,),)</f>
        <v>51290</v>
      </c>
      <c r="C124" s="94">
        <f>(Table535[[#This Row],[New Orders - Nondefense Capital Goods Excluding Aircraft]]-B123)/B123</f>
        <v>-8.7659491574948868E-4</v>
      </c>
    </row>
    <row r="125" spans="1:3">
      <c r="A125" s="91">
        <v>37257</v>
      </c>
      <c r="B125" s="92">
        <f>VLOOKUP(A125,Database!A:M,MATCH($A$1,Database!$A$1:$M$1,),)</f>
        <v>47643</v>
      </c>
      <c r="C125" s="94">
        <f>(Table535[[#This Row],[New Orders - Nondefense Capital Goods Excluding Aircraft]]-B124)/B124</f>
        <v>-7.1105478650809129E-2</v>
      </c>
    </row>
    <row r="126" spans="1:3">
      <c r="A126" s="91">
        <v>37288</v>
      </c>
      <c r="B126" s="92">
        <f>VLOOKUP(A126,Database!A:M,MATCH($A$1,Database!$A$1:$M$1,),)</f>
        <v>50422</v>
      </c>
      <c r="C126" s="94">
        <f>(Table535[[#This Row],[New Orders - Nondefense Capital Goods Excluding Aircraft]]-B125)/B125</f>
        <v>5.8329660180928992E-2</v>
      </c>
    </row>
    <row r="127" spans="1:3">
      <c r="A127" s="91">
        <v>37316</v>
      </c>
      <c r="B127" s="92">
        <f>VLOOKUP(A127,Database!A:M,MATCH($A$1,Database!$A$1:$M$1,),)</f>
        <v>47371</v>
      </c>
      <c r="C127" s="94">
        <f>(Table535[[#This Row],[New Orders - Nondefense Capital Goods Excluding Aircraft]]-B126)/B126</f>
        <v>-6.0509301495379003E-2</v>
      </c>
    </row>
    <row r="128" spans="1:3">
      <c r="A128" s="91">
        <v>37347</v>
      </c>
      <c r="B128" s="92">
        <f>VLOOKUP(A128,Database!A:M,MATCH($A$1,Database!$A$1:$M$1,),)</f>
        <v>49964</v>
      </c>
      <c r="C128" s="94">
        <f>(Table535[[#This Row],[New Orders - Nondefense Capital Goods Excluding Aircraft]]-B127)/B127</f>
        <v>5.4738130923983025E-2</v>
      </c>
    </row>
    <row r="129" spans="1:3">
      <c r="A129" s="91">
        <v>37377</v>
      </c>
      <c r="B129" s="92">
        <f>VLOOKUP(A129,Database!A:M,MATCH($A$1,Database!$A$1:$M$1,),)</f>
        <v>50680</v>
      </c>
      <c r="C129" s="94">
        <f>(Table535[[#This Row],[New Orders - Nondefense Capital Goods Excluding Aircraft]]-B128)/B128</f>
        <v>1.4330317828836762E-2</v>
      </c>
    </row>
    <row r="130" spans="1:3">
      <c r="A130" s="91">
        <v>37408</v>
      </c>
      <c r="B130" s="92">
        <f>VLOOKUP(A130,Database!A:M,MATCH($A$1,Database!$A$1:$M$1,),)</f>
        <v>48847</v>
      </c>
      <c r="C130" s="94">
        <f>(Table535[[#This Row],[New Orders - Nondefense Capital Goods Excluding Aircraft]]-B129)/B129</f>
        <v>-3.6168113654301497E-2</v>
      </c>
    </row>
    <row r="131" spans="1:3">
      <c r="A131" s="91">
        <v>37438</v>
      </c>
      <c r="B131" s="92">
        <f>VLOOKUP(A131,Database!A:M,MATCH($A$1,Database!$A$1:$M$1,),)</f>
        <v>49531</v>
      </c>
      <c r="C131" s="94">
        <f>(Table535[[#This Row],[New Orders - Nondefense Capital Goods Excluding Aircraft]]-B130)/B130</f>
        <v>1.4002907036256064E-2</v>
      </c>
    </row>
    <row r="132" spans="1:3">
      <c r="A132" s="91">
        <v>37469</v>
      </c>
      <c r="B132" s="92">
        <f>VLOOKUP(A132,Database!A:M,MATCH($A$1,Database!$A$1:$M$1,),)</f>
        <v>51112</v>
      </c>
      <c r="C132" s="94">
        <f>(Table535[[#This Row],[New Orders - Nondefense Capital Goods Excluding Aircraft]]-B131)/B131</f>
        <v>3.1919404009610144E-2</v>
      </c>
    </row>
    <row r="133" spans="1:3">
      <c r="A133" s="91">
        <v>37500</v>
      </c>
      <c r="B133" s="92">
        <f>VLOOKUP(A133,Database!A:M,MATCH($A$1,Database!$A$1:$M$1,),)</f>
        <v>48089</v>
      </c>
      <c r="C133" s="94">
        <f>(Table535[[#This Row],[New Orders - Nondefense Capital Goods Excluding Aircraft]]-B132)/B132</f>
        <v>-5.914462357176397E-2</v>
      </c>
    </row>
    <row r="134" spans="1:3">
      <c r="A134" s="91">
        <v>37530</v>
      </c>
      <c r="B134" s="92">
        <f>VLOOKUP(A134,Database!A:M,MATCH($A$1,Database!$A$1:$M$1,),)</f>
        <v>49106</v>
      </c>
      <c r="C134" s="94">
        <f>(Table535[[#This Row],[New Orders - Nondefense Capital Goods Excluding Aircraft]]-B133)/B133</f>
        <v>2.1148287550167399E-2</v>
      </c>
    </row>
    <row r="135" spans="1:3">
      <c r="A135" s="91">
        <v>37561</v>
      </c>
      <c r="B135" s="92">
        <f>VLOOKUP(A135,Database!A:M,MATCH($A$1,Database!$A$1:$M$1,),)</f>
        <v>49620</v>
      </c>
      <c r="C135" s="94">
        <f>(Table535[[#This Row],[New Orders - Nondefense Capital Goods Excluding Aircraft]]-B134)/B134</f>
        <v>1.046715269009897E-2</v>
      </c>
    </row>
    <row r="136" spans="1:3">
      <c r="A136" s="91">
        <v>37591</v>
      </c>
      <c r="B136" s="92">
        <f>VLOOKUP(A136,Database!A:M,MATCH($A$1,Database!$A$1:$M$1,),)</f>
        <v>48744</v>
      </c>
      <c r="C136" s="94">
        <f>(Table535[[#This Row],[New Orders - Nondefense Capital Goods Excluding Aircraft]]-B135)/B135</f>
        <v>-1.7654171704957679E-2</v>
      </c>
    </row>
    <row r="137" spans="1:3">
      <c r="A137" s="91">
        <v>37622</v>
      </c>
      <c r="B137" s="92">
        <f>VLOOKUP(A137,Database!A:M,MATCH($A$1,Database!$A$1:$M$1,),)</f>
        <v>48896</v>
      </c>
      <c r="C137" s="94">
        <f>(Table535[[#This Row],[New Orders - Nondefense Capital Goods Excluding Aircraft]]-B136)/B136</f>
        <v>3.1183325127195141E-3</v>
      </c>
    </row>
    <row r="138" spans="1:3">
      <c r="A138" s="91">
        <v>37653</v>
      </c>
      <c r="B138" s="92">
        <f>VLOOKUP(A138,Database!A:M,MATCH($A$1,Database!$A$1:$M$1,),)</f>
        <v>49128</v>
      </c>
      <c r="C138" s="94">
        <f>(Table535[[#This Row],[New Orders - Nondefense Capital Goods Excluding Aircraft]]-B137)/B137</f>
        <v>4.744764397905759E-3</v>
      </c>
    </row>
    <row r="139" spans="1:3">
      <c r="A139" s="91">
        <v>37681</v>
      </c>
      <c r="B139" s="92">
        <f>VLOOKUP(A139,Database!A:M,MATCH($A$1,Database!$A$1:$M$1,),)</f>
        <v>51757</v>
      </c>
      <c r="C139" s="94">
        <f>(Table535[[#This Row],[New Orders - Nondefense Capital Goods Excluding Aircraft]]-B138)/B138</f>
        <v>5.3513271454160558E-2</v>
      </c>
    </row>
    <row r="140" spans="1:3">
      <c r="A140" s="91">
        <v>37712</v>
      </c>
      <c r="B140" s="92">
        <f>VLOOKUP(A140,Database!A:M,MATCH($A$1,Database!$A$1:$M$1,),)</f>
        <v>49199</v>
      </c>
      <c r="C140" s="94">
        <f>(Table535[[#This Row],[New Orders - Nondefense Capital Goods Excluding Aircraft]]-B139)/B139</f>
        <v>-4.9423266418069052E-2</v>
      </c>
    </row>
    <row r="141" spans="1:3">
      <c r="A141" s="91">
        <v>37742</v>
      </c>
      <c r="B141" s="92">
        <f>VLOOKUP(A141,Database!A:M,MATCH($A$1,Database!$A$1:$M$1,),)</f>
        <v>50849</v>
      </c>
      <c r="C141" s="94">
        <f>(Table535[[#This Row],[New Orders - Nondefense Capital Goods Excluding Aircraft]]-B140)/B140</f>
        <v>3.3537267017622309E-2</v>
      </c>
    </row>
    <row r="142" spans="1:3">
      <c r="A142" s="91">
        <v>37773</v>
      </c>
      <c r="B142" s="92">
        <f>VLOOKUP(A142,Database!A:M,MATCH($A$1,Database!$A$1:$M$1,),)</f>
        <v>49941</v>
      </c>
      <c r="C142" s="94">
        <f>(Table535[[#This Row],[New Orders - Nondefense Capital Goods Excluding Aircraft]]-B141)/B141</f>
        <v>-1.7856791677319121E-2</v>
      </c>
    </row>
    <row r="143" spans="1:3">
      <c r="A143" s="91">
        <v>37803</v>
      </c>
      <c r="B143" s="92">
        <f>VLOOKUP(A143,Database!A:M,MATCH($A$1,Database!$A$1:$M$1,),)</f>
        <v>49408</v>
      </c>
      <c r="C143" s="94">
        <f>(Table535[[#This Row],[New Orders - Nondefense Capital Goods Excluding Aircraft]]-B142)/B142</f>
        <v>-1.0672593660519413E-2</v>
      </c>
    </row>
    <row r="144" spans="1:3">
      <c r="A144" s="91">
        <v>37834</v>
      </c>
      <c r="B144" s="92">
        <f>VLOOKUP(A144,Database!A:M,MATCH($A$1,Database!$A$1:$M$1,),)</f>
        <v>50447</v>
      </c>
      <c r="C144" s="94">
        <f>(Table535[[#This Row],[New Orders - Nondefense Capital Goods Excluding Aircraft]]-B143)/B143</f>
        <v>2.102898316062176E-2</v>
      </c>
    </row>
    <row r="145" spans="1:3">
      <c r="A145" s="91">
        <v>37865</v>
      </c>
      <c r="B145" s="92">
        <f>VLOOKUP(A145,Database!A:M,MATCH($A$1,Database!$A$1:$M$1,),)</f>
        <v>51971</v>
      </c>
      <c r="C145" s="94">
        <f>(Table535[[#This Row],[New Orders - Nondefense Capital Goods Excluding Aircraft]]-B144)/B144</f>
        <v>3.0209923285824728E-2</v>
      </c>
    </row>
    <row r="146" spans="1:3">
      <c r="A146" s="91">
        <v>37895</v>
      </c>
      <c r="B146" s="92">
        <f>VLOOKUP(A146,Database!A:M,MATCH($A$1,Database!$A$1:$M$1,),)</f>
        <v>51088</v>
      </c>
      <c r="C146" s="94">
        <f>(Table535[[#This Row],[New Orders - Nondefense Capital Goods Excluding Aircraft]]-B145)/B145</f>
        <v>-1.6990244559465857E-2</v>
      </c>
    </row>
    <row r="147" spans="1:3">
      <c r="A147" s="91">
        <v>37926</v>
      </c>
      <c r="B147" s="92">
        <f>VLOOKUP(A147,Database!A:M,MATCH($A$1,Database!$A$1:$M$1,),)</f>
        <v>52318</v>
      </c>
      <c r="C147" s="94">
        <f>(Table535[[#This Row],[New Orders - Nondefense Capital Goods Excluding Aircraft]]-B146)/B146</f>
        <v>2.4076103977450674E-2</v>
      </c>
    </row>
    <row r="148" spans="1:3">
      <c r="A148" s="91">
        <v>37956</v>
      </c>
      <c r="B148" s="92">
        <f>VLOOKUP(A148,Database!A:M,MATCH($A$1,Database!$A$1:$M$1,),)</f>
        <v>53325</v>
      </c>
      <c r="C148" s="94">
        <f>(Table535[[#This Row],[New Orders - Nondefense Capital Goods Excluding Aircraft]]-B147)/B147</f>
        <v>1.9247677663519248E-2</v>
      </c>
    </row>
    <row r="149" spans="1:3">
      <c r="A149" s="91">
        <v>37987</v>
      </c>
      <c r="B149" s="92">
        <f>VLOOKUP(A149,Database!A:M,MATCH($A$1,Database!$A$1:$M$1,),)</f>
        <v>50190</v>
      </c>
      <c r="C149" s="94">
        <f>(Table535[[#This Row],[New Orders - Nondefense Capital Goods Excluding Aircraft]]-B148)/B148</f>
        <v>-5.8790436005625876E-2</v>
      </c>
    </row>
    <row r="150" spans="1:3">
      <c r="A150" s="91">
        <v>38018</v>
      </c>
      <c r="B150" s="92">
        <f>VLOOKUP(A150,Database!A:M,MATCH($A$1,Database!$A$1:$M$1,),)</f>
        <v>51210</v>
      </c>
      <c r="C150" s="94">
        <f>(Table535[[#This Row],[New Orders - Nondefense Capital Goods Excluding Aircraft]]-B149)/B149</f>
        <v>2.0322773460848775E-2</v>
      </c>
    </row>
    <row r="151" spans="1:3">
      <c r="A151" s="91">
        <v>38047</v>
      </c>
      <c r="B151" s="92">
        <f>VLOOKUP(A151,Database!A:M,MATCH($A$1,Database!$A$1:$M$1,),)</f>
        <v>54995</v>
      </c>
      <c r="C151" s="94">
        <f>(Table535[[#This Row],[New Orders - Nondefense Capital Goods Excluding Aircraft]]-B150)/B150</f>
        <v>7.3911345440343681E-2</v>
      </c>
    </row>
    <row r="152" spans="1:3">
      <c r="A152" s="91">
        <v>38078</v>
      </c>
      <c r="B152" s="92">
        <f>VLOOKUP(A152,Database!A:M,MATCH($A$1,Database!$A$1:$M$1,),)</f>
        <v>52065</v>
      </c>
      <c r="C152" s="94">
        <f>(Table535[[#This Row],[New Orders - Nondefense Capital Goods Excluding Aircraft]]-B151)/B151</f>
        <v>-5.3277570688244388E-2</v>
      </c>
    </row>
    <row r="153" spans="1:3">
      <c r="A153" s="91">
        <v>38108</v>
      </c>
      <c r="B153" s="92">
        <f>VLOOKUP(A153,Database!A:M,MATCH($A$1,Database!$A$1:$M$1,),)</f>
        <v>52405</v>
      </c>
      <c r="C153" s="94">
        <f>(Table535[[#This Row],[New Orders - Nondefense Capital Goods Excluding Aircraft]]-B152)/B152</f>
        <v>6.5302986651301258E-3</v>
      </c>
    </row>
    <row r="154" spans="1:3">
      <c r="A154" s="91">
        <v>38139</v>
      </c>
      <c r="B154" s="92">
        <f>VLOOKUP(A154,Database!A:M,MATCH($A$1,Database!$A$1:$M$1,),)</f>
        <v>53213</v>
      </c>
      <c r="C154" s="94">
        <f>(Table535[[#This Row],[New Orders - Nondefense Capital Goods Excluding Aircraft]]-B153)/B153</f>
        <v>1.541837610914989E-2</v>
      </c>
    </row>
    <row r="155" spans="1:3">
      <c r="A155" s="91">
        <v>38169</v>
      </c>
      <c r="B155" s="92">
        <f>VLOOKUP(A155,Database!A:M,MATCH($A$1,Database!$A$1:$M$1,),)</f>
        <v>53699</v>
      </c>
      <c r="C155" s="94">
        <f>(Table535[[#This Row],[New Orders - Nondefense Capital Goods Excluding Aircraft]]-B154)/B154</f>
        <v>9.1331065717024044E-3</v>
      </c>
    </row>
    <row r="156" spans="1:3">
      <c r="A156" s="91">
        <v>38200</v>
      </c>
      <c r="B156" s="92">
        <f>VLOOKUP(A156,Database!A:M,MATCH($A$1,Database!$A$1:$M$1,),)</f>
        <v>51950</v>
      </c>
      <c r="C156" s="94">
        <f>(Table535[[#This Row],[New Orders - Nondefense Capital Goods Excluding Aircraft]]-B155)/B155</f>
        <v>-3.2570438928099223E-2</v>
      </c>
    </row>
    <row r="157" spans="1:3">
      <c r="A157" s="91">
        <v>38231</v>
      </c>
      <c r="B157" s="92">
        <f>VLOOKUP(A157,Database!A:M,MATCH($A$1,Database!$A$1:$M$1,),)</f>
        <v>56227</v>
      </c>
      <c r="C157" s="94">
        <f>(Table535[[#This Row],[New Orders - Nondefense Capital Goods Excluding Aircraft]]-B156)/B156</f>
        <v>8.232916265640039E-2</v>
      </c>
    </row>
    <row r="158" spans="1:3">
      <c r="A158" s="91">
        <v>38261</v>
      </c>
      <c r="B158" s="92">
        <f>VLOOKUP(A158,Database!A:M,MATCH($A$1,Database!$A$1:$M$1,),)</f>
        <v>53948</v>
      </c>
      <c r="C158" s="94">
        <f>(Table535[[#This Row],[New Orders - Nondefense Capital Goods Excluding Aircraft]]-B157)/B157</f>
        <v>-4.0532128692620982E-2</v>
      </c>
    </row>
    <row r="159" spans="1:3">
      <c r="A159" s="91">
        <v>38292</v>
      </c>
      <c r="B159" s="92">
        <f>VLOOKUP(A159,Database!A:M,MATCH($A$1,Database!$A$1:$M$1,),)</f>
        <v>55318</v>
      </c>
      <c r="C159" s="94">
        <f>(Table535[[#This Row],[New Orders - Nondefense Capital Goods Excluding Aircraft]]-B158)/B158</f>
        <v>2.5394824645955365E-2</v>
      </c>
    </row>
    <row r="160" spans="1:3">
      <c r="A160" s="91">
        <v>38322</v>
      </c>
      <c r="B160" s="92">
        <f>VLOOKUP(A160,Database!A:M,MATCH($A$1,Database!$A$1:$M$1,),)</f>
        <v>56631</v>
      </c>
      <c r="C160" s="94">
        <f>(Table535[[#This Row],[New Orders - Nondefense Capital Goods Excluding Aircraft]]-B159)/B159</f>
        <v>2.3735492967930871E-2</v>
      </c>
    </row>
    <row r="161" spans="1:3">
      <c r="A161" s="91">
        <v>38353</v>
      </c>
      <c r="B161" s="92">
        <f>VLOOKUP(A161,Database!A:M,MATCH($A$1,Database!$A$1:$M$1,),)</f>
        <v>57884</v>
      </c>
      <c r="C161" s="94">
        <f>(Table535[[#This Row],[New Orders - Nondefense Capital Goods Excluding Aircraft]]-B160)/B160</f>
        <v>2.2125690876021967E-2</v>
      </c>
    </row>
    <row r="162" spans="1:3">
      <c r="A162" s="91">
        <v>38384</v>
      </c>
      <c r="B162" s="92">
        <f>VLOOKUP(A162,Database!A:M,MATCH($A$1,Database!$A$1:$M$1,),)</f>
        <v>57580</v>
      </c>
      <c r="C162" s="94">
        <f>(Table535[[#This Row],[New Orders - Nondefense Capital Goods Excluding Aircraft]]-B161)/B161</f>
        <v>-5.2518830764978234E-3</v>
      </c>
    </row>
    <row r="163" spans="1:3">
      <c r="A163" s="91">
        <v>38412</v>
      </c>
      <c r="B163" s="92">
        <f>VLOOKUP(A163,Database!A:M,MATCH($A$1,Database!$A$1:$M$1,),)</f>
        <v>56576</v>
      </c>
      <c r="C163" s="94">
        <f>(Table535[[#This Row],[New Orders - Nondefense Capital Goods Excluding Aircraft]]-B162)/B162</f>
        <v>-1.7436609934004862E-2</v>
      </c>
    </row>
    <row r="164" spans="1:3">
      <c r="A164" s="91">
        <v>38443</v>
      </c>
      <c r="B164" s="92">
        <f>VLOOKUP(A164,Database!A:M,MATCH($A$1,Database!$A$1:$M$1,),)</f>
        <v>58138</v>
      </c>
      <c r="C164" s="94">
        <f>(Table535[[#This Row],[New Orders - Nondefense Capital Goods Excluding Aircraft]]-B163)/B163</f>
        <v>2.7608880090497737E-2</v>
      </c>
    </row>
    <row r="165" spans="1:3">
      <c r="A165" s="91">
        <v>38473</v>
      </c>
      <c r="B165" s="92">
        <f>VLOOKUP(A165,Database!A:M,MATCH($A$1,Database!$A$1:$M$1,),)</f>
        <v>57105</v>
      </c>
      <c r="C165" s="94">
        <f>(Table535[[#This Row],[New Orders - Nondefense Capital Goods Excluding Aircraft]]-B164)/B164</f>
        <v>-1.7768069077023635E-2</v>
      </c>
    </row>
    <row r="166" spans="1:3">
      <c r="A166" s="91">
        <v>38504</v>
      </c>
      <c r="B166" s="92">
        <f>VLOOKUP(A166,Database!A:M,MATCH($A$1,Database!$A$1:$M$1,),)</f>
        <v>58903</v>
      </c>
      <c r="C166" s="94">
        <f>(Table535[[#This Row],[New Orders - Nondefense Capital Goods Excluding Aircraft]]-B165)/B165</f>
        <v>3.1485859381840467E-2</v>
      </c>
    </row>
    <row r="167" spans="1:3">
      <c r="A167" s="91">
        <v>38534</v>
      </c>
      <c r="B167" s="92">
        <f>VLOOKUP(A167,Database!A:M,MATCH($A$1,Database!$A$1:$M$1,),)</f>
        <v>57606</v>
      </c>
      <c r="C167" s="94">
        <f>(Table535[[#This Row],[New Orders - Nondefense Capital Goods Excluding Aircraft]]-B166)/B166</f>
        <v>-2.2019251990560752E-2</v>
      </c>
    </row>
    <row r="168" spans="1:3">
      <c r="A168" s="91">
        <v>38565</v>
      </c>
      <c r="B168" s="92">
        <f>VLOOKUP(A168,Database!A:M,MATCH($A$1,Database!$A$1:$M$1,),)</f>
        <v>60352</v>
      </c>
      <c r="C168" s="94">
        <f>(Table535[[#This Row],[New Orders - Nondefense Capital Goods Excluding Aircraft]]-B167)/B167</f>
        <v>4.7668645627191614E-2</v>
      </c>
    </row>
    <row r="169" spans="1:3">
      <c r="A169" s="91">
        <v>38596</v>
      </c>
      <c r="B169" s="92">
        <f>VLOOKUP(A169,Database!A:M,MATCH($A$1,Database!$A$1:$M$1,),)</f>
        <v>58344</v>
      </c>
      <c r="C169" s="94">
        <f>(Table535[[#This Row],[New Orders - Nondefense Capital Goods Excluding Aircraft]]-B168)/B168</f>
        <v>-3.3271474019088018E-2</v>
      </c>
    </row>
    <row r="170" spans="1:3">
      <c r="A170" s="91">
        <v>38626</v>
      </c>
      <c r="B170" s="92">
        <f>VLOOKUP(A170,Database!A:M,MATCH($A$1,Database!$A$1:$M$1,),)</f>
        <v>59751</v>
      </c>
      <c r="C170" s="94">
        <f>(Table535[[#This Row],[New Orders - Nondefense Capital Goods Excluding Aircraft]]-B169)/B169</f>
        <v>2.4115590292060882E-2</v>
      </c>
    </row>
    <row r="171" spans="1:3">
      <c r="A171" s="91">
        <v>38657</v>
      </c>
      <c r="B171" s="92">
        <f>VLOOKUP(A171,Database!A:M,MATCH($A$1,Database!$A$1:$M$1,),)</f>
        <v>60459</v>
      </c>
      <c r="C171" s="94">
        <f>(Table535[[#This Row],[New Orders - Nondefense Capital Goods Excluding Aircraft]]-B170)/B170</f>
        <v>1.1849174072400461E-2</v>
      </c>
    </row>
    <row r="172" spans="1:3">
      <c r="A172" s="91">
        <v>38687</v>
      </c>
      <c r="B172" s="92">
        <f>VLOOKUP(A172,Database!A:M,MATCH($A$1,Database!$A$1:$M$1,),)</f>
        <v>61271</v>
      </c>
      <c r="C172" s="94">
        <f>(Table535[[#This Row],[New Orders - Nondefense Capital Goods Excluding Aircraft]]-B171)/B171</f>
        <v>1.3430589324997105E-2</v>
      </c>
    </row>
    <row r="173" spans="1:3">
      <c r="A173" s="91">
        <v>38718</v>
      </c>
      <c r="B173" s="92">
        <f>VLOOKUP(A173,Database!A:M,MATCH($A$1,Database!$A$1:$M$1,),)</f>
        <v>62469</v>
      </c>
      <c r="C173" s="94">
        <f>(Table535[[#This Row],[New Orders - Nondefense Capital Goods Excluding Aircraft]]-B172)/B172</f>
        <v>1.9552479966052454E-2</v>
      </c>
    </row>
    <row r="174" spans="1:3">
      <c r="A174" s="91">
        <v>38749</v>
      </c>
      <c r="B174" s="92">
        <f>VLOOKUP(A174,Database!A:M,MATCH($A$1,Database!$A$1:$M$1,),)</f>
        <v>62592</v>
      </c>
      <c r="C174" s="94">
        <f>(Table535[[#This Row],[New Orders - Nondefense Capital Goods Excluding Aircraft]]-B173)/B173</f>
        <v>1.9689766123997502E-3</v>
      </c>
    </row>
    <row r="175" spans="1:3">
      <c r="A175" s="91">
        <v>38777</v>
      </c>
      <c r="B175" s="92">
        <f>VLOOKUP(A175,Database!A:M,MATCH($A$1,Database!$A$1:$M$1,),)</f>
        <v>65096</v>
      </c>
      <c r="C175" s="94">
        <f>(Table535[[#This Row],[New Orders - Nondefense Capital Goods Excluding Aircraft]]-B174)/B174</f>
        <v>4.000511247443763E-2</v>
      </c>
    </row>
    <row r="176" spans="1:3">
      <c r="A176" s="91">
        <v>38808</v>
      </c>
      <c r="B176" s="92">
        <f>VLOOKUP(A176,Database!A:M,MATCH($A$1,Database!$A$1:$M$1,),)</f>
        <v>63272</v>
      </c>
      <c r="C176" s="94">
        <f>(Table535[[#This Row],[New Orders - Nondefense Capital Goods Excluding Aircraft]]-B175)/B175</f>
        <v>-2.802015484822416E-2</v>
      </c>
    </row>
    <row r="177" spans="1:3">
      <c r="A177" s="91">
        <v>38838</v>
      </c>
      <c r="B177" s="92">
        <f>VLOOKUP(A177,Database!A:M,MATCH($A$1,Database!$A$1:$M$1,),)</f>
        <v>64145</v>
      </c>
      <c r="C177" s="94">
        <f>(Table535[[#This Row],[New Orders - Nondefense Capital Goods Excluding Aircraft]]-B176)/B176</f>
        <v>1.3797572385889493E-2</v>
      </c>
    </row>
    <row r="178" spans="1:3">
      <c r="A178" s="91">
        <v>38869</v>
      </c>
      <c r="B178" s="92">
        <f>VLOOKUP(A178,Database!A:M,MATCH($A$1,Database!$A$1:$M$1,),)</f>
        <v>63601</v>
      </c>
      <c r="C178" s="94">
        <f>(Table535[[#This Row],[New Orders - Nondefense Capital Goods Excluding Aircraft]]-B177)/B177</f>
        <v>-8.4807857198534575E-3</v>
      </c>
    </row>
    <row r="179" spans="1:3">
      <c r="A179" s="91">
        <v>38899</v>
      </c>
      <c r="B179" s="92">
        <f>VLOOKUP(A179,Database!A:M,MATCH($A$1,Database!$A$1:$M$1,),)</f>
        <v>63922</v>
      </c>
      <c r="C179" s="94">
        <f>(Table535[[#This Row],[New Orders - Nondefense Capital Goods Excluding Aircraft]]-B178)/B178</f>
        <v>5.047090454552601E-3</v>
      </c>
    </row>
    <row r="180" spans="1:3">
      <c r="A180" s="91">
        <v>38930</v>
      </c>
      <c r="B180" s="92">
        <f>VLOOKUP(A180,Database!A:M,MATCH($A$1,Database!$A$1:$M$1,),)</f>
        <v>64379</v>
      </c>
      <c r="C180" s="94">
        <f>(Table535[[#This Row],[New Orders - Nondefense Capital Goods Excluding Aircraft]]-B179)/B179</f>
        <v>7.1493382559994993E-3</v>
      </c>
    </row>
    <row r="181" spans="1:3">
      <c r="A181" s="91">
        <v>38961</v>
      </c>
      <c r="B181" s="92">
        <f>VLOOKUP(A181,Database!A:M,MATCH($A$1,Database!$A$1:$M$1,),)</f>
        <v>66981</v>
      </c>
      <c r="C181" s="94">
        <f>(Table535[[#This Row],[New Orders - Nondefense Capital Goods Excluding Aircraft]]-B180)/B180</f>
        <v>4.0416906133987789E-2</v>
      </c>
    </row>
    <row r="182" spans="1:3">
      <c r="A182" s="91">
        <v>38991</v>
      </c>
      <c r="B182" s="92">
        <f>VLOOKUP(A182,Database!A:M,MATCH($A$1,Database!$A$1:$M$1,),)</f>
        <v>66492</v>
      </c>
      <c r="C182" s="94">
        <f>(Table535[[#This Row],[New Orders - Nondefense Capital Goods Excluding Aircraft]]-B181)/B181</f>
        <v>-7.3005777757871636E-3</v>
      </c>
    </row>
    <row r="183" spans="1:3">
      <c r="A183" s="91">
        <v>39022</v>
      </c>
      <c r="B183" s="92">
        <f>VLOOKUP(A183,Database!A:M,MATCH($A$1,Database!$A$1:$M$1,),)</f>
        <v>66484</v>
      </c>
      <c r="C183" s="94">
        <f>(Table535[[#This Row],[New Orders - Nondefense Capital Goods Excluding Aircraft]]-B182)/B182</f>
        <v>-1.2031522589183661E-4</v>
      </c>
    </row>
    <row r="184" spans="1:3">
      <c r="A184" s="91">
        <v>39052</v>
      </c>
      <c r="B184" s="92">
        <f>VLOOKUP(A184,Database!A:M,MATCH($A$1,Database!$A$1:$M$1,),)</f>
        <v>65935</v>
      </c>
      <c r="C184" s="94">
        <f>(Table535[[#This Row],[New Orders - Nondefense Capital Goods Excluding Aircraft]]-B183)/B183</f>
        <v>-8.257625894952169E-3</v>
      </c>
    </row>
    <row r="185" spans="1:3">
      <c r="A185" s="91">
        <v>39083</v>
      </c>
      <c r="B185" s="92">
        <f>VLOOKUP(A185,Database!A:M,MATCH($A$1,Database!$A$1:$M$1,),)</f>
        <v>64155</v>
      </c>
      <c r="C185" s="94">
        <f>(Table535[[#This Row],[New Orders - Nondefense Capital Goods Excluding Aircraft]]-B184)/B184</f>
        <v>-2.6996284219306894E-2</v>
      </c>
    </row>
    <row r="186" spans="1:3">
      <c r="A186" s="91">
        <v>39114</v>
      </c>
      <c r="B186" s="92">
        <f>VLOOKUP(A186,Database!A:M,MATCH($A$1,Database!$A$1:$M$1,),)</f>
        <v>63735</v>
      </c>
      <c r="C186" s="94">
        <f>(Table535[[#This Row],[New Orders - Nondefense Capital Goods Excluding Aircraft]]-B185)/B185</f>
        <v>-6.5466448445171853E-3</v>
      </c>
    </row>
    <row r="187" spans="1:3">
      <c r="A187" s="91">
        <v>39142</v>
      </c>
      <c r="B187" s="92">
        <f>VLOOKUP(A187,Database!A:M,MATCH($A$1,Database!$A$1:$M$1,),)</f>
        <v>66936</v>
      </c>
      <c r="C187" s="94">
        <f>(Table535[[#This Row],[New Orders - Nondefense Capital Goods Excluding Aircraft]]-B186)/B186</f>
        <v>5.0223582019298656E-2</v>
      </c>
    </row>
    <row r="188" spans="1:3">
      <c r="A188" s="91">
        <v>39173</v>
      </c>
      <c r="B188" s="92">
        <f>VLOOKUP(A188,Database!A:M,MATCH($A$1,Database!$A$1:$M$1,),)</f>
        <v>66118</v>
      </c>
      <c r="C188" s="94">
        <f>(Table535[[#This Row],[New Orders - Nondefense Capital Goods Excluding Aircraft]]-B187)/B187</f>
        <v>-1.2220628660212741E-2</v>
      </c>
    </row>
    <row r="189" spans="1:3">
      <c r="A189" s="91">
        <v>39203</v>
      </c>
      <c r="B189" s="92">
        <f>VLOOKUP(A189,Database!A:M,MATCH($A$1,Database!$A$1:$M$1,),)</f>
        <v>64975</v>
      </c>
      <c r="C189" s="94">
        <f>(Table535[[#This Row],[New Orders - Nondefense Capital Goods Excluding Aircraft]]-B188)/B188</f>
        <v>-1.7287274267219214E-2</v>
      </c>
    </row>
    <row r="190" spans="1:3">
      <c r="A190" s="91">
        <v>39234</v>
      </c>
      <c r="B190" s="92">
        <f>VLOOKUP(A190,Database!A:M,MATCH($A$1,Database!$A$1:$M$1,),)</f>
        <v>64874</v>
      </c>
      <c r="C190" s="94">
        <f>(Table535[[#This Row],[New Orders - Nondefense Capital Goods Excluding Aircraft]]-B189)/B189</f>
        <v>-1.5544440169295883E-3</v>
      </c>
    </row>
    <row r="191" spans="1:3">
      <c r="A191" s="91">
        <v>39264</v>
      </c>
      <c r="B191" s="92">
        <f>VLOOKUP(A191,Database!A:M,MATCH($A$1,Database!$A$1:$M$1,),)</f>
        <v>64902</v>
      </c>
      <c r="C191" s="94">
        <f>(Table535[[#This Row],[New Orders - Nondefense Capital Goods Excluding Aircraft]]-B190)/B190</f>
        <v>4.3160588217159418E-4</v>
      </c>
    </row>
    <row r="192" spans="1:3">
      <c r="A192" s="91">
        <v>39295</v>
      </c>
      <c r="B192" s="92">
        <f>VLOOKUP(A192,Database!A:M,MATCH($A$1,Database!$A$1:$M$1,),)</f>
        <v>66265</v>
      </c>
      <c r="C192" s="94">
        <f>(Table535[[#This Row],[New Orders - Nondefense Capital Goods Excluding Aircraft]]-B191)/B191</f>
        <v>2.100089365504915E-2</v>
      </c>
    </row>
    <row r="193" spans="1:3">
      <c r="A193" s="91">
        <v>39326</v>
      </c>
      <c r="B193" s="92">
        <f>VLOOKUP(A193,Database!A:M,MATCH($A$1,Database!$A$1:$M$1,),)</f>
        <v>65393</v>
      </c>
      <c r="C193" s="94">
        <f>(Table535[[#This Row],[New Orders - Nondefense Capital Goods Excluding Aircraft]]-B192)/B192</f>
        <v>-1.3159284690258809E-2</v>
      </c>
    </row>
    <row r="194" spans="1:3">
      <c r="A194" s="91">
        <v>39356</v>
      </c>
      <c r="B194" s="92">
        <f>VLOOKUP(A194,Database!A:M,MATCH($A$1,Database!$A$1:$M$1,),)</f>
        <v>64974</v>
      </c>
      <c r="C194" s="94">
        <f>(Table535[[#This Row],[New Orders - Nondefense Capital Goods Excluding Aircraft]]-B193)/B193</f>
        <v>-6.4074136375453028E-3</v>
      </c>
    </row>
    <row r="195" spans="1:3">
      <c r="A195" s="91">
        <v>39387</v>
      </c>
      <c r="B195" s="92">
        <f>VLOOKUP(A195,Database!A:M,MATCH($A$1,Database!$A$1:$M$1,),)</f>
        <v>65466</v>
      </c>
      <c r="C195" s="94">
        <f>(Table535[[#This Row],[New Orders - Nondefense Capital Goods Excluding Aircraft]]-B194)/B194</f>
        <v>7.5722596731000093E-3</v>
      </c>
    </row>
    <row r="196" spans="1:3">
      <c r="A196" s="91">
        <v>39417</v>
      </c>
      <c r="B196" s="92">
        <f>VLOOKUP(A196,Database!A:M,MATCH($A$1,Database!$A$1:$M$1,),)</f>
        <v>68096</v>
      </c>
      <c r="C196" s="94">
        <f>(Table535[[#This Row],[New Orders - Nondefense Capital Goods Excluding Aircraft]]-B195)/B195</f>
        <v>4.0173525188647544E-2</v>
      </c>
    </row>
    <row r="197" spans="1:3">
      <c r="A197" s="91">
        <v>39448</v>
      </c>
      <c r="B197" s="92">
        <f>VLOOKUP(A197,Database!A:M,MATCH($A$1,Database!$A$1:$M$1,),)</f>
        <v>68408</v>
      </c>
      <c r="C197" s="94">
        <f>(Table535[[#This Row],[New Orders - Nondefense Capital Goods Excluding Aircraft]]-B196)/B196</f>
        <v>4.5817669172932328E-3</v>
      </c>
    </row>
    <row r="198" spans="1:3">
      <c r="A198" s="91">
        <v>39479</v>
      </c>
      <c r="B198" s="92">
        <f>VLOOKUP(A198,Database!A:M,MATCH($A$1,Database!$A$1:$M$1,),)</f>
        <v>66568</v>
      </c>
      <c r="C198" s="94">
        <f>(Table535[[#This Row],[New Orders - Nondefense Capital Goods Excluding Aircraft]]-B197)/B197</f>
        <v>-2.6897438896035551E-2</v>
      </c>
    </row>
    <row r="199" spans="1:3">
      <c r="A199" s="91">
        <v>39508</v>
      </c>
      <c r="B199" s="92">
        <f>VLOOKUP(A199,Database!A:M,MATCH($A$1,Database!$A$1:$M$1,),)</f>
        <v>66526</v>
      </c>
      <c r="C199" s="94">
        <f>(Table535[[#This Row],[New Orders - Nondefense Capital Goods Excluding Aircraft]]-B198)/B198</f>
        <v>-6.3093378199735606E-4</v>
      </c>
    </row>
    <row r="200" spans="1:3">
      <c r="A200" s="91">
        <v>39539</v>
      </c>
      <c r="B200" s="92">
        <f>VLOOKUP(A200,Database!A:M,MATCH($A$1,Database!$A$1:$M$1,),)</f>
        <v>69373</v>
      </c>
      <c r="C200" s="94">
        <f>(Table535[[#This Row],[New Orders - Nondefense Capital Goods Excluding Aircraft]]-B199)/B199</f>
        <v>4.2795298078946574E-2</v>
      </c>
    </row>
    <row r="201" spans="1:3">
      <c r="A201" s="91">
        <v>39569</v>
      </c>
      <c r="B201" s="92">
        <f>VLOOKUP(A201,Database!A:M,MATCH($A$1,Database!$A$1:$M$1,),)</f>
        <v>68443</v>
      </c>
      <c r="C201" s="94">
        <f>(Table535[[#This Row],[New Orders - Nondefense Capital Goods Excluding Aircraft]]-B200)/B200</f>
        <v>-1.340579187868479E-2</v>
      </c>
    </row>
    <row r="202" spans="1:3">
      <c r="A202" s="91">
        <v>39600</v>
      </c>
      <c r="B202" s="92">
        <f>VLOOKUP(A202,Database!A:M,MATCH($A$1,Database!$A$1:$M$1,),)</f>
        <v>67754</v>
      </c>
      <c r="C202" s="94">
        <f>(Table535[[#This Row],[New Orders - Nondefense Capital Goods Excluding Aircraft]]-B201)/B201</f>
        <v>-1.0066770889645398E-2</v>
      </c>
    </row>
    <row r="203" spans="1:3">
      <c r="A203" s="91">
        <v>39630</v>
      </c>
      <c r="B203" s="92">
        <f>VLOOKUP(A203,Database!A:M,MATCH($A$1,Database!$A$1:$M$1,),)</f>
        <v>67856</v>
      </c>
      <c r="C203" s="94">
        <f>(Table535[[#This Row],[New Orders - Nondefense Capital Goods Excluding Aircraft]]-B202)/B202</f>
        <v>1.50544617291968E-3</v>
      </c>
    </row>
    <row r="204" spans="1:3">
      <c r="A204" s="91">
        <v>39661</v>
      </c>
      <c r="B204" s="92">
        <f>VLOOKUP(A204,Database!A:M,MATCH($A$1,Database!$A$1:$M$1,),)</f>
        <v>66142</v>
      </c>
      <c r="C204" s="94">
        <f>(Table535[[#This Row],[New Orders - Nondefense Capital Goods Excluding Aircraft]]-B203)/B203</f>
        <v>-2.5259372789436452E-2</v>
      </c>
    </row>
    <row r="205" spans="1:3">
      <c r="A205" s="91">
        <v>39692</v>
      </c>
      <c r="B205" s="92">
        <f>VLOOKUP(A205,Database!A:M,MATCH($A$1,Database!$A$1:$M$1,),)</f>
        <v>63854</v>
      </c>
      <c r="C205" s="94">
        <f>(Table535[[#This Row],[New Orders - Nondefense Capital Goods Excluding Aircraft]]-B204)/B204</f>
        <v>-3.459224093616764E-2</v>
      </c>
    </row>
    <row r="206" spans="1:3">
      <c r="A206" s="91">
        <v>39722</v>
      </c>
      <c r="B206" s="92">
        <f>VLOOKUP(A206,Database!A:M,MATCH($A$1,Database!$A$1:$M$1,),)</f>
        <v>59330</v>
      </c>
      <c r="C206" s="94">
        <f>(Table535[[#This Row],[New Orders - Nondefense Capital Goods Excluding Aircraft]]-B205)/B205</f>
        <v>-7.0849124565414853E-2</v>
      </c>
    </row>
    <row r="207" spans="1:3">
      <c r="A207" s="91">
        <v>39753</v>
      </c>
      <c r="B207" s="92">
        <f>VLOOKUP(A207,Database!A:M,MATCH($A$1,Database!$A$1:$M$1,),)</f>
        <v>60759</v>
      </c>
      <c r="C207" s="94">
        <f>(Table535[[#This Row],[New Orders - Nondefense Capital Goods Excluding Aircraft]]-B206)/B206</f>
        <v>2.4085622787797068E-2</v>
      </c>
    </row>
    <row r="208" spans="1:3">
      <c r="A208" s="91">
        <v>39783</v>
      </c>
      <c r="B208" s="92">
        <f>VLOOKUP(A208,Database!A:M,MATCH($A$1,Database!$A$1:$M$1,),)</f>
        <v>55512</v>
      </c>
      <c r="C208" s="94">
        <f>(Table535[[#This Row],[New Orders - Nondefense Capital Goods Excluding Aircraft]]-B207)/B207</f>
        <v>-8.6357576655310325E-2</v>
      </c>
    </row>
    <row r="209" spans="1:3">
      <c r="A209" s="91">
        <v>39814</v>
      </c>
      <c r="B209" s="92">
        <f>VLOOKUP(A209,Database!A:M,MATCH($A$1,Database!$A$1:$M$1,),)</f>
        <v>49530</v>
      </c>
      <c r="C209" s="94">
        <f>(Table535[[#This Row],[New Orders - Nondefense Capital Goods Excluding Aircraft]]-B208)/B208</f>
        <v>-0.10776048421962819</v>
      </c>
    </row>
    <row r="210" spans="1:3">
      <c r="A210" s="91">
        <v>39845</v>
      </c>
      <c r="B210" s="92">
        <f>VLOOKUP(A210,Database!A:M,MATCH($A$1,Database!$A$1:$M$1,),)</f>
        <v>50163</v>
      </c>
      <c r="C210" s="94">
        <f>(Table535[[#This Row],[New Orders - Nondefense Capital Goods Excluding Aircraft]]-B209)/B209</f>
        <v>1.2780133252574197E-2</v>
      </c>
    </row>
    <row r="211" spans="1:3">
      <c r="A211" s="91">
        <v>39873</v>
      </c>
      <c r="B211" s="92">
        <f>VLOOKUP(A211,Database!A:M,MATCH($A$1,Database!$A$1:$M$1,),)</f>
        <v>49254</v>
      </c>
      <c r="C211" s="94">
        <f>(Table535[[#This Row],[New Orders - Nondefense Capital Goods Excluding Aircraft]]-B210)/B210</f>
        <v>-1.812092578195084E-2</v>
      </c>
    </row>
    <row r="212" spans="1:3">
      <c r="A212" s="91">
        <v>39904</v>
      </c>
      <c r="B212" s="92">
        <f>VLOOKUP(A212,Database!A:M,MATCH($A$1,Database!$A$1:$M$1,),)</f>
        <v>47096</v>
      </c>
      <c r="C212" s="94">
        <f>(Table535[[#This Row],[New Orders - Nondefense Capital Goods Excluding Aircraft]]-B211)/B211</f>
        <v>-4.3813700410118978E-2</v>
      </c>
    </row>
    <row r="213" spans="1:3">
      <c r="A213" s="91">
        <v>39934</v>
      </c>
      <c r="B213" s="92">
        <f>VLOOKUP(A213,Database!A:M,MATCH($A$1,Database!$A$1:$M$1,),)</f>
        <v>48652</v>
      </c>
      <c r="C213" s="94">
        <f>(Table535[[#This Row],[New Orders - Nondefense Capital Goods Excluding Aircraft]]-B212)/B212</f>
        <v>3.3038899269577031E-2</v>
      </c>
    </row>
    <row r="214" spans="1:3">
      <c r="A214" s="91">
        <v>39965</v>
      </c>
      <c r="B214" s="92">
        <f>VLOOKUP(A214,Database!A:M,MATCH($A$1,Database!$A$1:$M$1,),)</f>
        <v>50533</v>
      </c>
      <c r="C214" s="94">
        <f>(Table535[[#This Row],[New Orders - Nondefense Capital Goods Excluding Aircraft]]-B213)/B213</f>
        <v>3.8662336594590153E-2</v>
      </c>
    </row>
    <row r="215" spans="1:3">
      <c r="A215" s="91">
        <v>39995</v>
      </c>
      <c r="B215" s="92">
        <f>VLOOKUP(A215,Database!A:M,MATCH($A$1,Database!$A$1:$M$1,),)</f>
        <v>50984</v>
      </c>
      <c r="C215" s="94">
        <f>(Table535[[#This Row],[New Orders - Nondefense Capital Goods Excluding Aircraft]]-B214)/B214</f>
        <v>8.9248609819325992E-3</v>
      </c>
    </row>
    <row r="216" spans="1:3">
      <c r="A216" s="91">
        <v>40026</v>
      </c>
      <c r="B216" s="92">
        <f>VLOOKUP(A216,Database!A:M,MATCH($A$1,Database!$A$1:$M$1,),)</f>
        <v>49900</v>
      </c>
      <c r="C216" s="94">
        <f>(Table535[[#This Row],[New Orders - Nondefense Capital Goods Excluding Aircraft]]-B215)/B215</f>
        <v>-2.1261572257963282E-2</v>
      </c>
    </row>
    <row r="217" spans="1:3">
      <c r="A217" s="91">
        <v>40057</v>
      </c>
      <c r="B217" s="92">
        <f>VLOOKUP(A217,Database!A:M,MATCH($A$1,Database!$A$1:$M$1,),)</f>
        <v>53034</v>
      </c>
      <c r="C217" s="94">
        <f>(Table535[[#This Row],[New Orders - Nondefense Capital Goods Excluding Aircraft]]-B216)/B216</f>
        <v>6.2805611222444893E-2</v>
      </c>
    </row>
    <row r="218" spans="1:3">
      <c r="A218" s="91">
        <v>40087</v>
      </c>
      <c r="B218" s="92">
        <f>VLOOKUP(A218,Database!A:M,MATCH($A$1,Database!$A$1:$M$1,),)</f>
        <v>51978</v>
      </c>
      <c r="C218" s="94">
        <f>(Table535[[#This Row],[New Orders - Nondefense Capital Goods Excluding Aircraft]]-B217)/B217</f>
        <v>-1.9911754723384998E-2</v>
      </c>
    </row>
    <row r="219" spans="1:3">
      <c r="A219" s="91">
        <v>40118</v>
      </c>
      <c r="B219" s="92">
        <f>VLOOKUP(A219,Database!A:M,MATCH($A$1,Database!$A$1:$M$1,),)</f>
        <v>52771</v>
      </c>
      <c r="C219" s="94">
        <f>(Table535[[#This Row],[New Orders - Nondefense Capital Goods Excluding Aircraft]]-B218)/B218</f>
        <v>1.5256454653892032E-2</v>
      </c>
    </row>
    <row r="220" spans="1:3">
      <c r="A220" s="91">
        <v>40148</v>
      </c>
      <c r="B220" s="92">
        <f>VLOOKUP(A220,Database!A:M,MATCH($A$1,Database!$A$1:$M$1,),)</f>
        <v>54616</v>
      </c>
      <c r="C220" s="94">
        <f>(Table535[[#This Row],[New Orders - Nondefense Capital Goods Excluding Aircraft]]-B219)/B219</f>
        <v>3.4962384643080477E-2</v>
      </c>
    </row>
    <row r="221" spans="1:3">
      <c r="A221" s="91">
        <v>40179</v>
      </c>
      <c r="B221" s="92">
        <f>VLOOKUP(A221,Database!A:M,MATCH($A$1,Database!$A$1:$M$1,),)</f>
        <v>52331</v>
      </c>
      <c r="C221" s="94">
        <f>(Table535[[#This Row],[New Orders - Nondefense Capital Goods Excluding Aircraft]]-B220)/B220</f>
        <v>-4.183755675992383E-2</v>
      </c>
    </row>
    <row r="222" spans="1:3">
      <c r="A222" s="91">
        <v>40210</v>
      </c>
      <c r="B222" s="92">
        <f>VLOOKUP(A222,Database!A:M,MATCH($A$1,Database!$A$1:$M$1,),)</f>
        <v>53488</v>
      </c>
      <c r="C222" s="94">
        <f>(Table535[[#This Row],[New Orders - Nondefense Capital Goods Excluding Aircraft]]-B221)/B221</f>
        <v>2.2109266018230111E-2</v>
      </c>
    </row>
    <row r="223" spans="1:3">
      <c r="A223" s="91">
        <v>40238</v>
      </c>
      <c r="B223" s="92">
        <f>VLOOKUP(A223,Database!A:M,MATCH($A$1,Database!$A$1:$M$1,),)</f>
        <v>56487</v>
      </c>
      <c r="C223" s="94">
        <f>(Table535[[#This Row],[New Orders - Nondefense Capital Goods Excluding Aircraft]]-B222)/B222</f>
        <v>5.6068650912354176E-2</v>
      </c>
    </row>
    <row r="224" spans="1:3">
      <c r="A224" s="91">
        <v>40269</v>
      </c>
      <c r="B224" s="92">
        <f>VLOOKUP(A224,Database!A:M,MATCH($A$1,Database!$A$1:$M$1,),)</f>
        <v>52283</v>
      </c>
      <c r="C224" s="94">
        <f>(Table535[[#This Row],[New Orders - Nondefense Capital Goods Excluding Aircraft]]-B223)/B223</f>
        <v>-7.4424203799104222E-2</v>
      </c>
    </row>
    <row r="225" spans="1:3">
      <c r="A225" s="91">
        <v>40299</v>
      </c>
      <c r="B225" s="92">
        <f>VLOOKUP(A225,Database!A:M,MATCH($A$1,Database!$A$1:$M$1,),)</f>
        <v>57262</v>
      </c>
      <c r="C225" s="94">
        <f>(Table535[[#This Row],[New Orders - Nondefense Capital Goods Excluding Aircraft]]-B224)/B224</f>
        <v>9.5231719679436916E-2</v>
      </c>
    </row>
    <row r="226" spans="1:3">
      <c r="A226" s="91">
        <v>40330</v>
      </c>
      <c r="B226" s="92">
        <f>VLOOKUP(A226,Database!A:M,MATCH($A$1,Database!$A$1:$M$1,),)</f>
        <v>59605</v>
      </c>
      <c r="C226" s="94">
        <f>(Table535[[#This Row],[New Orders - Nondefense Capital Goods Excluding Aircraft]]-B225)/B225</f>
        <v>4.0917187663721141E-2</v>
      </c>
    </row>
    <row r="227" spans="1:3">
      <c r="A227" s="91">
        <v>40360</v>
      </c>
      <c r="B227" s="92">
        <f>VLOOKUP(A227,Database!A:M,MATCH($A$1,Database!$A$1:$M$1,),)</f>
        <v>56474</v>
      </c>
      <c r="C227" s="94">
        <f>(Table535[[#This Row],[New Orders - Nondefense Capital Goods Excluding Aircraft]]-B226)/B226</f>
        <v>-5.2529150239073903E-2</v>
      </c>
    </row>
    <row r="228" spans="1:3">
      <c r="A228" s="91">
        <v>40391</v>
      </c>
      <c r="B228" s="92">
        <f>VLOOKUP(A228,Database!A:M,MATCH($A$1,Database!$A$1:$M$1,),)</f>
        <v>58224</v>
      </c>
      <c r="C228" s="94">
        <f>(Table535[[#This Row],[New Orders - Nondefense Capital Goods Excluding Aircraft]]-B227)/B227</f>
        <v>3.098771115911747E-2</v>
      </c>
    </row>
    <row r="229" spans="1:3">
      <c r="A229" s="91">
        <v>40422</v>
      </c>
      <c r="B229" s="92">
        <f>VLOOKUP(A229,Database!A:M,MATCH($A$1,Database!$A$1:$M$1,),)</f>
        <v>60134</v>
      </c>
      <c r="C229" s="94">
        <f>(Table535[[#This Row],[New Orders - Nondefense Capital Goods Excluding Aircraft]]-B228)/B228</f>
        <v>3.2804341852157186E-2</v>
      </c>
    </row>
    <row r="230" spans="1:3">
      <c r="A230" s="91">
        <v>40452</v>
      </c>
      <c r="B230" s="92">
        <f>VLOOKUP(A230,Database!A:M,MATCH($A$1,Database!$A$1:$M$1,),)</f>
        <v>57479</v>
      </c>
      <c r="C230" s="94">
        <f>(Table535[[#This Row],[New Orders - Nondefense Capital Goods Excluding Aircraft]]-B229)/B229</f>
        <v>-4.415139521734792E-2</v>
      </c>
    </row>
    <row r="231" spans="1:3">
      <c r="A231" s="91">
        <v>40483</v>
      </c>
      <c r="B231" s="92">
        <f>VLOOKUP(A231,Database!A:M,MATCH($A$1,Database!$A$1:$M$1,),)</f>
        <v>60405</v>
      </c>
      <c r="C231" s="94">
        <f>(Table535[[#This Row],[New Orders - Nondefense Capital Goods Excluding Aircraft]]-B230)/B230</f>
        <v>5.090554811322396E-2</v>
      </c>
    </row>
    <row r="232" spans="1:3">
      <c r="A232" s="91">
        <v>40513</v>
      </c>
      <c r="B232" s="92">
        <f>VLOOKUP(A232,Database!A:M,MATCH($A$1,Database!$A$1:$M$1,),)</f>
        <v>61939</v>
      </c>
      <c r="C232" s="94">
        <f>(Table535[[#This Row],[New Orders - Nondefense Capital Goods Excluding Aircraft]]-B231)/B231</f>
        <v>2.5395248737687278E-2</v>
      </c>
    </row>
    <row r="233" spans="1:3">
      <c r="A233" s="91">
        <v>40544</v>
      </c>
      <c r="B233" s="92">
        <f>VLOOKUP(A233,Database!A:M,MATCH($A$1,Database!$A$1:$M$1,),)</f>
        <v>60963</v>
      </c>
      <c r="C233" s="94">
        <f>(Table535[[#This Row],[New Orders - Nondefense Capital Goods Excluding Aircraft]]-B232)/B232</f>
        <v>-1.5757438770403139E-2</v>
      </c>
    </row>
    <row r="234" spans="1:3">
      <c r="A234" s="91">
        <v>40575</v>
      </c>
      <c r="B234" s="92">
        <f>VLOOKUP(A234,Database!A:M,MATCH($A$1,Database!$A$1:$M$1,),)</f>
        <v>59078</v>
      </c>
      <c r="C234" s="94">
        <f>(Table535[[#This Row],[New Orders - Nondefense Capital Goods Excluding Aircraft]]-B233)/B233</f>
        <v>-3.0920394337549006E-2</v>
      </c>
    </row>
    <row r="235" spans="1:3">
      <c r="A235" s="91">
        <v>40603</v>
      </c>
      <c r="B235" s="92">
        <f>VLOOKUP(A235,Database!A:M,MATCH($A$1,Database!$A$1:$M$1,),)</f>
        <v>62497</v>
      </c>
      <c r="C235" s="94">
        <f>(Table535[[#This Row],[New Orders - Nondefense Capital Goods Excluding Aircraft]]-B234)/B234</f>
        <v>5.787264294661295E-2</v>
      </c>
    </row>
    <row r="236" spans="1:3">
      <c r="A236" s="91">
        <v>40634</v>
      </c>
      <c r="B236" s="92">
        <f>VLOOKUP(A236,Database!A:M,MATCH($A$1,Database!$A$1:$M$1,),)</f>
        <v>61562</v>
      </c>
      <c r="C236" s="94">
        <f>(Table535[[#This Row],[New Orders - Nondefense Capital Goods Excluding Aircraft]]-B235)/B235</f>
        <v>-1.4960718114469494E-2</v>
      </c>
    </row>
    <row r="237" spans="1:3">
      <c r="A237" s="91">
        <v>40664</v>
      </c>
      <c r="B237" s="92">
        <f>VLOOKUP(A237,Database!A:M,MATCH($A$1,Database!$A$1:$M$1,),)</f>
        <v>63711</v>
      </c>
      <c r="C237" s="94">
        <f>(Table535[[#This Row],[New Orders - Nondefense Capital Goods Excluding Aircraft]]-B236)/B236</f>
        <v>3.4907897729118613E-2</v>
      </c>
    </row>
    <row r="238" spans="1:3">
      <c r="A238" s="91">
        <v>40695</v>
      </c>
      <c r="B238" s="92">
        <f>VLOOKUP(A238,Database!A:M,MATCH($A$1,Database!$A$1:$M$1,),)</f>
        <v>63751</v>
      </c>
      <c r="C238" s="94">
        <f>(Table535[[#This Row],[New Orders - Nondefense Capital Goods Excluding Aircraft]]-B237)/B237</f>
        <v>6.2783506772770797E-4</v>
      </c>
    </row>
    <row r="239" spans="1:3">
      <c r="A239" s="91">
        <v>40725</v>
      </c>
      <c r="B239" s="92">
        <f>VLOOKUP(A239,Database!A:M,MATCH($A$1,Database!$A$1:$M$1,),)</f>
        <v>64756</v>
      </c>
      <c r="C239" s="94">
        <f>(Table535[[#This Row],[New Orders - Nondefense Capital Goods Excluding Aircraft]]-B238)/B238</f>
        <v>1.5764458596727895E-2</v>
      </c>
    </row>
    <row r="240" spans="1:3">
      <c r="A240" s="91">
        <v>40756</v>
      </c>
      <c r="B240" s="92">
        <f>VLOOKUP(A240,Database!A:M,MATCH($A$1,Database!$A$1:$M$1,),)</f>
        <v>64464</v>
      </c>
      <c r="C240" s="94">
        <f>(Table535[[#This Row],[New Orders - Nondefense Capital Goods Excluding Aircraft]]-B239)/B239</f>
        <v>-4.5092346655136208E-3</v>
      </c>
    </row>
    <row r="241" spans="1:3">
      <c r="A241" s="91">
        <v>40787</v>
      </c>
      <c r="B241" s="92">
        <f>VLOOKUP(A241,Database!A:M,MATCH($A$1,Database!$A$1:$M$1,),)</f>
        <v>65581</v>
      </c>
      <c r="C241" s="94">
        <f>(Table535[[#This Row],[New Orders - Nondefense Capital Goods Excluding Aircraft]]-B240)/B240</f>
        <v>1.7327500620501365E-2</v>
      </c>
    </row>
    <row r="242" spans="1:3">
      <c r="A242" s="91">
        <v>40817</v>
      </c>
      <c r="B242" s="92">
        <f>VLOOKUP(A242,Database!A:M,MATCH($A$1,Database!$A$1:$M$1,),)</f>
        <v>67427</v>
      </c>
      <c r="C242" s="94">
        <f>(Table535[[#This Row],[New Orders - Nondefense Capital Goods Excluding Aircraft]]-B241)/B241</f>
        <v>2.8148396639270521E-2</v>
      </c>
    </row>
    <row r="243" spans="1:3">
      <c r="A243" s="91">
        <v>40848</v>
      </c>
      <c r="B243" s="92">
        <f>VLOOKUP(A243,Database!A:M,MATCH($A$1,Database!$A$1:$M$1,),)</f>
        <v>64660</v>
      </c>
      <c r="C243" s="94">
        <f>(Table535[[#This Row],[New Orders - Nondefense Capital Goods Excluding Aircraft]]-B242)/B242</f>
        <v>-4.1036973319293457E-2</v>
      </c>
    </row>
    <row r="244" spans="1:3">
      <c r="A244" s="91">
        <v>40878</v>
      </c>
      <c r="B244" s="92">
        <f>VLOOKUP(A244,Database!A:M,MATCH($A$1,Database!$A$1:$M$1,),)</f>
        <v>68881</v>
      </c>
      <c r="C244" s="94">
        <f>(Table535[[#This Row],[New Orders - Nondefense Capital Goods Excluding Aircraft]]-B243)/B243</f>
        <v>6.527992576554284E-2</v>
      </c>
    </row>
    <row r="245" spans="1:3">
      <c r="A245" s="91">
        <v>40909</v>
      </c>
      <c r="B245" s="92">
        <f>VLOOKUP(A245,Database!A:M,MATCH($A$1,Database!$A$1:$M$1,),)</f>
        <v>67525</v>
      </c>
      <c r="C245" s="94">
        <f>(Table535[[#This Row],[New Orders - Nondefense Capital Goods Excluding Aircraft]]-B244)/B244</f>
        <v>-1.9686125346612272E-2</v>
      </c>
    </row>
    <row r="246" spans="1:3">
      <c r="A246" s="91">
        <v>40940</v>
      </c>
      <c r="B246" s="92">
        <f>VLOOKUP(A246,Database!A:M,MATCH($A$1,Database!$A$1:$M$1,),)</f>
        <v>70075</v>
      </c>
      <c r="C246" s="94">
        <f>(Table535[[#This Row],[New Orders - Nondefense Capital Goods Excluding Aircraft]]-B245)/B245</f>
        <v>3.776379118844872E-2</v>
      </c>
    </row>
    <row r="247" spans="1:3">
      <c r="A247" s="91">
        <v>40969</v>
      </c>
      <c r="B247" s="92">
        <f>VLOOKUP(A247,Database!A:M,MATCH($A$1,Database!$A$1:$M$1,),)</f>
        <v>69719</v>
      </c>
      <c r="C247" s="94">
        <f>(Table535[[#This Row],[New Orders - Nondefense Capital Goods Excluding Aircraft]]-B246)/B246</f>
        <v>-5.0802711380663577E-3</v>
      </c>
    </row>
    <row r="248" spans="1:3">
      <c r="A248" s="91">
        <v>41000</v>
      </c>
      <c r="B248" s="92">
        <f>VLOOKUP(A248,Database!A:M,MATCH($A$1,Database!$A$1:$M$1,),)</f>
        <v>67645</v>
      </c>
      <c r="C248" s="94">
        <f>(Table535[[#This Row],[New Orders - Nondefense Capital Goods Excluding Aircraft]]-B247)/B247</f>
        <v>-2.9747988353246605E-2</v>
      </c>
    </row>
    <row r="249" spans="1:3">
      <c r="A249" s="91">
        <v>41030</v>
      </c>
      <c r="B249" s="92">
        <f>VLOOKUP(A249,Database!A:M,MATCH($A$1,Database!$A$1:$M$1,),)</f>
        <v>69182</v>
      </c>
      <c r="C249" s="94">
        <f>(Table535[[#This Row],[New Orders - Nondefense Capital Goods Excluding Aircraft]]-B248)/B248</f>
        <v>2.2721561090989727E-2</v>
      </c>
    </row>
    <row r="250" spans="1:3">
      <c r="A250" s="91">
        <v>41061</v>
      </c>
      <c r="B250" s="92">
        <f>VLOOKUP(A250,Database!A:M,MATCH($A$1,Database!$A$1:$M$1,),)</f>
        <v>66971</v>
      </c>
      <c r="C250" s="94">
        <f>(Table535[[#This Row],[New Orders - Nondefense Capital Goods Excluding Aircraft]]-B249)/B249</f>
        <v>-3.1959180133560749E-2</v>
      </c>
    </row>
    <row r="251" spans="1:3">
      <c r="A251" s="91">
        <v>41091</v>
      </c>
      <c r="B251" s="92">
        <f>VLOOKUP(A251,Database!A:M,MATCH($A$1,Database!$A$1:$M$1,),)</f>
        <v>65070</v>
      </c>
      <c r="C251" s="94">
        <f>(Table535[[#This Row],[New Orders - Nondefense Capital Goods Excluding Aircraft]]-B250)/B250</f>
        <v>-2.8385420555165668E-2</v>
      </c>
    </row>
    <row r="252" spans="1:3">
      <c r="A252" s="91">
        <v>41122</v>
      </c>
      <c r="B252" s="92">
        <f>VLOOKUP(A252,Database!A:M,MATCH($A$1,Database!$A$1:$M$1,),)</f>
        <v>63645</v>
      </c>
      <c r="C252" s="94">
        <f>(Table535[[#This Row],[New Orders - Nondefense Capital Goods Excluding Aircraft]]-B251)/B251</f>
        <v>-2.1899492853849699E-2</v>
      </c>
    </row>
    <row r="253" spans="1:3">
      <c r="A253" s="91">
        <v>41153</v>
      </c>
      <c r="B253" s="92">
        <f>VLOOKUP(A253,Database!A:M,MATCH($A$1,Database!$A$1:$M$1,),)</f>
        <v>63932</v>
      </c>
      <c r="C253" s="94">
        <f>(Table535[[#This Row],[New Orders - Nondefense Capital Goods Excluding Aircraft]]-B252)/B252</f>
        <v>4.5093880116269932E-3</v>
      </c>
    </row>
    <row r="254" spans="1:3">
      <c r="A254" s="91">
        <v>41183</v>
      </c>
      <c r="B254" s="92">
        <f>VLOOKUP(A254,Database!A:M,MATCH($A$1,Database!$A$1:$M$1,),)</f>
        <v>66051</v>
      </c>
      <c r="C254" s="94">
        <f>(Table535[[#This Row],[New Orders - Nondefense Capital Goods Excluding Aircraft]]-B253)/B253</f>
        <v>3.3144591128073581E-2</v>
      </c>
    </row>
    <row r="255" spans="1:3">
      <c r="A255" s="91">
        <v>41214</v>
      </c>
      <c r="B255" s="92">
        <f>VLOOKUP(A255,Database!A:M,MATCH($A$1,Database!$A$1:$M$1,),)</f>
        <v>66204</v>
      </c>
      <c r="C255" s="94">
        <f>(Table535[[#This Row],[New Orders - Nondefense Capital Goods Excluding Aircraft]]-B254)/B254</f>
        <v>2.3163918790025887E-3</v>
      </c>
    </row>
    <row r="256" spans="1:3">
      <c r="A256" s="91">
        <v>41244</v>
      </c>
      <c r="B256" s="92">
        <f>VLOOKUP(A256,Database!A:M,MATCH($A$1,Database!$A$1:$M$1,),)</f>
        <v>66840</v>
      </c>
      <c r="C256" s="94">
        <f>(Table535[[#This Row],[New Orders - Nondefense Capital Goods Excluding Aircraft]]-B255)/B255</f>
        <v>9.6066702918252665E-3</v>
      </c>
    </row>
    <row r="257" spans="1:3">
      <c r="A257" s="91">
        <v>41275</v>
      </c>
      <c r="B257" s="92">
        <f>VLOOKUP(A257,Database!A:M,MATCH($A$1,Database!$A$1:$M$1,),)</f>
        <v>69879</v>
      </c>
      <c r="C257" s="94">
        <f>(Table535[[#This Row],[New Orders - Nondefense Capital Goods Excluding Aircraft]]-B256)/B256</f>
        <v>4.5466786355475762E-2</v>
      </c>
    </row>
    <row r="258" spans="1:3">
      <c r="A258" s="91">
        <v>41306</v>
      </c>
      <c r="B258" s="92">
        <f>VLOOKUP(A258,Database!A:M,MATCH($A$1,Database!$A$1:$M$1,),)</f>
        <v>66361</v>
      </c>
      <c r="C258" s="94">
        <f>(Table535[[#This Row],[New Orders - Nondefense Capital Goods Excluding Aircraft]]-B257)/B257</f>
        <v>-5.0344166344681522E-2</v>
      </c>
    </row>
    <row r="259" spans="1:3">
      <c r="A259" s="91">
        <v>41334</v>
      </c>
      <c r="B259" s="92">
        <f>VLOOKUP(A259,Database!A:M,MATCH($A$1,Database!$A$1:$M$1,),)</f>
        <v>66318</v>
      </c>
      <c r="C259" s="94">
        <f>(Table535[[#This Row],[New Orders - Nondefense Capital Goods Excluding Aircraft]]-B258)/B258</f>
        <v>-6.4797094679103695E-4</v>
      </c>
    </row>
    <row r="260" spans="1:3">
      <c r="A260" s="91">
        <v>41365</v>
      </c>
      <c r="B260" s="92">
        <f>VLOOKUP(A260,Database!A:M,MATCH($A$1,Database!$A$1:$M$1,),)</f>
        <v>67762</v>
      </c>
      <c r="C260" s="94">
        <f>(Table535[[#This Row],[New Orders - Nondefense Capital Goods Excluding Aircraft]]-B259)/B259</f>
        <v>2.1773877378690552E-2</v>
      </c>
    </row>
    <row r="261" spans="1:3">
      <c r="A261" s="91">
        <v>41395</v>
      </c>
      <c r="B261" s="92">
        <f>VLOOKUP(A261,Database!A:M,MATCH($A$1,Database!$A$1:$M$1,),)</f>
        <v>69035</v>
      </c>
      <c r="C261" s="94">
        <f>(Table535[[#This Row],[New Orders - Nondefense Capital Goods Excluding Aircraft]]-B260)/B260</f>
        <v>1.8786340426787874E-2</v>
      </c>
    </row>
    <row r="262" spans="1:3">
      <c r="A262" s="91">
        <v>41426</v>
      </c>
      <c r="B262" s="92">
        <f>VLOOKUP(A262,Database!A:M,MATCH($A$1,Database!$A$1:$M$1,),)</f>
        <v>69343</v>
      </c>
      <c r="C262" s="94">
        <f>(Table535[[#This Row],[New Orders - Nondefense Capital Goods Excluding Aircraft]]-B261)/B261</f>
        <v>4.4615050336785688E-3</v>
      </c>
    </row>
    <row r="263" spans="1:3">
      <c r="A263" s="91">
        <v>41456</v>
      </c>
      <c r="B263" s="92">
        <f>VLOOKUP(A263,Database!A:M,MATCH($A$1,Database!$A$1:$M$1,),)</f>
        <v>66316</v>
      </c>
      <c r="C263" s="94">
        <f>(Table535[[#This Row],[New Orders - Nondefense Capital Goods Excluding Aircraft]]-B262)/B262</f>
        <v>-4.3652567670853584E-2</v>
      </c>
    </row>
    <row r="264" spans="1:3">
      <c r="A264" s="91">
        <v>41487</v>
      </c>
      <c r="B264" s="92">
        <f>VLOOKUP(A264,Database!A:M,MATCH($A$1,Database!$A$1:$M$1,),)</f>
        <v>65933</v>
      </c>
      <c r="C264" s="94">
        <f>(Table535[[#This Row],[New Orders - Nondefense Capital Goods Excluding Aircraft]]-B263)/B263</f>
        <v>-5.7753784908619338E-3</v>
      </c>
    </row>
    <row r="265" spans="1:3">
      <c r="A265" s="91">
        <v>41518</v>
      </c>
      <c r="B265" s="92">
        <f>VLOOKUP(A265,Database!A:M,MATCH($A$1,Database!$A$1:$M$1,),)</f>
        <v>66371</v>
      </c>
      <c r="C265" s="94">
        <f>(Table535[[#This Row],[New Orders - Nondefense Capital Goods Excluding Aircraft]]-B264)/B264</f>
        <v>6.6431073969029164E-3</v>
      </c>
    </row>
    <row r="266" spans="1:3">
      <c r="A266" s="91">
        <v>41548</v>
      </c>
      <c r="B266" s="92">
        <f>VLOOKUP(A266,Database!A:M,MATCH($A$1,Database!$A$1:$M$1,),)</f>
        <v>65016</v>
      </c>
      <c r="C266" s="94">
        <f>(Table535[[#This Row],[New Orders - Nondefense Capital Goods Excluding Aircraft]]-B265)/B265</f>
        <v>-2.0415542932907444E-2</v>
      </c>
    </row>
    <row r="267" spans="1:3">
      <c r="A267" s="91">
        <v>41579</v>
      </c>
      <c r="B267" s="92">
        <f>VLOOKUP(A267,Database!A:M,MATCH($A$1,Database!$A$1:$M$1,),)</f>
        <v>68053</v>
      </c>
      <c r="C267" s="94">
        <f>(Table535[[#This Row],[New Orders - Nondefense Capital Goods Excluding Aircraft]]-B266)/B266</f>
        <v>4.6711578688322875E-2</v>
      </c>
    </row>
    <row r="268" spans="1:3">
      <c r="A268" s="91">
        <v>41609</v>
      </c>
      <c r="B268" s="92">
        <f>VLOOKUP(A268,Database!A:M,MATCH($A$1,Database!$A$1:$M$1,),)</f>
        <v>67775</v>
      </c>
      <c r="C268" s="94">
        <f>(Table535[[#This Row],[New Orders - Nondefense Capital Goods Excluding Aircraft]]-B267)/B267</f>
        <v>-4.0850513570305494E-3</v>
      </c>
    </row>
    <row r="269" spans="1:3">
      <c r="A269" s="91">
        <v>41640</v>
      </c>
      <c r="B269" s="92">
        <f>VLOOKUP(A269,Database!A:M,MATCH($A$1,Database!$A$1:$M$1,),)</f>
        <v>68237</v>
      </c>
      <c r="C269" s="94">
        <f>(Table535[[#This Row],[New Orders - Nondefense Capital Goods Excluding Aircraft]]-B268)/B268</f>
        <v>6.8166728144596093E-3</v>
      </c>
    </row>
    <row r="270" spans="1:3">
      <c r="A270" s="91">
        <v>41671</v>
      </c>
      <c r="B270" s="92">
        <f>VLOOKUP(A270,Database!A:M,MATCH($A$1,Database!$A$1:$M$1,),)</f>
        <v>67386</v>
      </c>
      <c r="C270" s="94">
        <f>(Table535[[#This Row],[New Orders - Nondefense Capital Goods Excluding Aircraft]]-B269)/B269</f>
        <v>-1.2471239943139353E-2</v>
      </c>
    </row>
    <row r="271" spans="1:3">
      <c r="A271" s="91">
        <v>41699</v>
      </c>
      <c r="B271" s="92">
        <f>VLOOKUP(A271,Database!A:M,MATCH($A$1,Database!$A$1:$M$1,),)</f>
        <v>68683</v>
      </c>
      <c r="C271" s="94">
        <f>(Table535[[#This Row],[New Orders - Nondefense Capital Goods Excluding Aircraft]]-B270)/B270</f>
        <v>1.9247321402071648E-2</v>
      </c>
    </row>
    <row r="272" spans="1:3">
      <c r="A272" s="91">
        <v>41730</v>
      </c>
      <c r="B272" s="92">
        <f>VLOOKUP(A272,Database!A:M,MATCH($A$1,Database!$A$1:$M$1,),)</f>
        <v>66486</v>
      </c>
      <c r="C272" s="94">
        <f>(Table535[[#This Row],[New Orders - Nondefense Capital Goods Excluding Aircraft]]-B271)/B271</f>
        <v>-3.1987536945095582E-2</v>
      </c>
    </row>
    <row r="273" spans="1:3">
      <c r="A273" s="91">
        <v>41760</v>
      </c>
      <c r="B273" s="92">
        <f>VLOOKUP(A273,Database!A:M,MATCH($A$1,Database!$A$1:$M$1,),)</f>
        <v>65819</v>
      </c>
      <c r="C273" s="94">
        <f>(Table535[[#This Row],[New Orders - Nondefense Capital Goods Excluding Aircraft]]-B272)/B272</f>
        <v>-1.0032187227386217E-2</v>
      </c>
    </row>
    <row r="274" spans="1:3">
      <c r="A274" s="91">
        <v>41791</v>
      </c>
      <c r="B274" s="92">
        <f>VLOOKUP(A274,Database!A:M,MATCH($A$1,Database!$A$1:$M$1,),)</f>
        <v>69618</v>
      </c>
      <c r="C274" s="94">
        <f>(Table535[[#This Row],[New Orders - Nondefense Capital Goods Excluding Aircraft]]-B273)/B273</f>
        <v>5.7718895759583097E-2</v>
      </c>
    </row>
    <row r="275" spans="1:3">
      <c r="A275" s="91">
        <v>41821</v>
      </c>
      <c r="B275" s="92">
        <f>VLOOKUP(A275,Database!A:M,MATCH($A$1,Database!$A$1:$M$1,),)</f>
        <v>67842</v>
      </c>
      <c r="C275" s="94">
        <f>(Table535[[#This Row],[New Orders - Nondefense Capital Goods Excluding Aircraft]]-B274)/B274</f>
        <v>-2.5510643799017494E-2</v>
      </c>
    </row>
    <row r="276" spans="1:3">
      <c r="A276" s="91">
        <v>41852</v>
      </c>
      <c r="B276" s="92">
        <f>VLOOKUP(A276,Database!A:M,MATCH($A$1,Database!$A$1:$M$1,),)</f>
        <v>68514</v>
      </c>
      <c r="C276" s="94">
        <f>(Table535[[#This Row],[New Orders - Nondefense Capital Goods Excluding Aircraft]]-B275)/B275</f>
        <v>9.9053683558857353E-3</v>
      </c>
    </row>
    <row r="277" spans="1:3">
      <c r="A277" s="91">
        <v>41883</v>
      </c>
      <c r="B277" s="92">
        <f>VLOOKUP(A277,Database!A:M,MATCH($A$1,Database!$A$1:$M$1,),)</f>
        <v>69207</v>
      </c>
      <c r="C277" s="94">
        <f>(Table535[[#This Row],[New Orders - Nondefense Capital Goods Excluding Aircraft]]-B276)/B276</f>
        <v>1.0114721078903582E-2</v>
      </c>
    </row>
    <row r="278" spans="1:3">
      <c r="A278" s="91">
        <v>41913</v>
      </c>
      <c r="B278" s="92">
        <f>VLOOKUP(A278,Database!A:M,MATCH($A$1,Database!$A$1:$M$1,),)</f>
        <v>65557</v>
      </c>
      <c r="C278" s="94">
        <f>(Table535[[#This Row],[New Orders - Nondefense Capital Goods Excluding Aircraft]]-B277)/B277</f>
        <v>-5.2740329735431385E-2</v>
      </c>
    </row>
    <row r="279" spans="1:3">
      <c r="A279" s="91">
        <v>41944</v>
      </c>
      <c r="B279" s="92">
        <f>VLOOKUP(A279,Database!A:M,MATCH($A$1,Database!$A$1:$M$1,),)</f>
        <v>63687</v>
      </c>
      <c r="C279" s="94">
        <f>(Table535[[#This Row],[New Orders - Nondefense Capital Goods Excluding Aircraft]]-B278)/B278</f>
        <v>-2.8524795216376589E-2</v>
      </c>
    </row>
    <row r="280" spans="1:3">
      <c r="A280" s="91">
        <v>41974</v>
      </c>
      <c r="B280" s="92">
        <f>VLOOKUP(A280,Database!A:M,MATCH($A$1,Database!$A$1:$M$1,),)</f>
        <v>66300</v>
      </c>
      <c r="C280" s="94">
        <f>(Table535[[#This Row],[New Orders - Nondefense Capital Goods Excluding Aircraft]]-B279)/B279</f>
        <v>4.1028781383955909E-2</v>
      </c>
    </row>
    <row r="281" spans="1:3">
      <c r="A281" s="91">
        <v>42005</v>
      </c>
      <c r="B281" s="92">
        <f>VLOOKUP(A281,Database!A:M,MATCH($A$1,Database!$A$1:$M$1,),)</f>
        <v>64791</v>
      </c>
      <c r="C281" s="94">
        <f>(Table535[[#This Row],[New Orders - Nondefense Capital Goods Excluding Aircraft]]-B280)/B280</f>
        <v>-2.2760180995475113E-2</v>
      </c>
    </row>
    <row r="282" spans="1:3">
      <c r="A282" s="91">
        <v>42036</v>
      </c>
      <c r="B282" s="92">
        <f>VLOOKUP(A282,Database!A:M,MATCH($A$1,Database!$A$1:$M$1,),)</f>
        <v>64232</v>
      </c>
      <c r="C282" s="94">
        <f>(Table535[[#This Row],[New Orders - Nondefense Capital Goods Excluding Aircraft]]-B281)/B281</f>
        <v>-8.6277415073081135E-3</v>
      </c>
    </row>
    <row r="283" spans="1:3">
      <c r="A283" s="91">
        <v>42064</v>
      </c>
      <c r="B283" s="92">
        <f>VLOOKUP(A283,Database!A:M,MATCH($A$1,Database!$A$1:$M$1,),)</f>
        <v>64712</v>
      </c>
      <c r="C283" s="94">
        <f>(Table535[[#This Row],[New Orders - Nondefense Capital Goods Excluding Aircraft]]-B282)/B282</f>
        <v>7.4729106987171503E-3</v>
      </c>
    </row>
    <row r="284" spans="1:3">
      <c r="A284" s="91">
        <v>42095</v>
      </c>
      <c r="B284" s="92">
        <f>VLOOKUP(A284,Database!A:M,MATCH($A$1,Database!$A$1:$M$1,),)</f>
        <v>64365</v>
      </c>
      <c r="C284" s="94">
        <f>(Table535[[#This Row],[New Orders - Nondefense Capital Goods Excluding Aircraft]]-B283)/B283</f>
        <v>-5.3622202991717143E-3</v>
      </c>
    </row>
    <row r="285" spans="1:3">
      <c r="A285" s="91">
        <v>42125</v>
      </c>
      <c r="B285" s="92">
        <f>VLOOKUP(A285,Database!A:M,MATCH($A$1,Database!$A$1:$M$1,),)</f>
        <v>62596</v>
      </c>
      <c r="C285" s="94">
        <f>(Table535[[#This Row],[New Orders - Nondefense Capital Goods Excluding Aircraft]]-B284)/B284</f>
        <v>-2.7483880991221937E-2</v>
      </c>
    </row>
    <row r="286" spans="1:3">
      <c r="A286" s="91">
        <v>42156</v>
      </c>
      <c r="B286" s="92">
        <f>VLOOKUP(A286,Database!A:M,MATCH($A$1,Database!$A$1:$M$1,),)</f>
        <v>63739</v>
      </c>
      <c r="C286" s="94">
        <f>(Table535[[#This Row],[New Orders - Nondefense Capital Goods Excluding Aircraft]]-B285)/B285</f>
        <v>1.8259952712633396E-2</v>
      </c>
    </row>
    <row r="287" spans="1:3">
      <c r="A287" s="91">
        <v>42186</v>
      </c>
      <c r="B287" s="92">
        <f>VLOOKUP(A287,Database!A:M,MATCH($A$1,Database!$A$1:$M$1,),)</f>
        <v>63551</v>
      </c>
      <c r="C287" s="94">
        <f>(Table535[[#This Row],[New Orders - Nondefense Capital Goods Excluding Aircraft]]-B286)/B286</f>
        <v>-2.9495285461020727E-3</v>
      </c>
    </row>
    <row r="288" spans="1:3">
      <c r="A288" s="91">
        <v>42217</v>
      </c>
      <c r="B288" s="92">
        <f>VLOOKUP(A288,Database!A:M,MATCH($A$1,Database!$A$1:$M$1,),)</f>
        <v>63525</v>
      </c>
      <c r="C288" s="94">
        <f>(Table535[[#This Row],[New Orders - Nondefense Capital Goods Excluding Aircraft]]-B287)/B287</f>
        <v>-4.091202341426571E-4</v>
      </c>
    </row>
    <row r="289" spans="1:3">
      <c r="A289" s="91">
        <v>42248</v>
      </c>
      <c r="B289" s="92">
        <f>VLOOKUP(A289,Database!A:M,MATCH($A$1,Database!$A$1:$M$1,),)</f>
        <v>63188</v>
      </c>
      <c r="C289" s="94">
        <f>(Table535[[#This Row],[New Orders - Nondefense Capital Goods Excluding Aircraft]]-B288)/B288</f>
        <v>-5.3049980322707599E-3</v>
      </c>
    </row>
    <row r="290" spans="1:3">
      <c r="A290" s="91">
        <v>42278</v>
      </c>
      <c r="B290" s="92">
        <f>VLOOKUP(A290,Database!A:M,MATCH($A$1,Database!$A$1:$M$1,),)</f>
        <v>62996</v>
      </c>
      <c r="C290" s="94">
        <f>(Table535[[#This Row],[New Orders - Nondefense Capital Goods Excluding Aircraft]]-B289)/B289</f>
        <v>-3.038551623726024E-3</v>
      </c>
    </row>
    <row r="291" spans="1:3">
      <c r="A291" s="91">
        <v>42309</v>
      </c>
      <c r="B291" s="92">
        <f>VLOOKUP(A291,Database!A:M,MATCH($A$1,Database!$A$1:$M$1,),)</f>
        <v>61848</v>
      </c>
      <c r="C291" s="94">
        <f>(Table535[[#This Row],[New Orders - Nondefense Capital Goods Excluding Aircraft]]-B290)/B290</f>
        <v>-1.8223379262175377E-2</v>
      </c>
    </row>
    <row r="292" spans="1:3">
      <c r="A292" s="91">
        <v>42339</v>
      </c>
      <c r="B292" s="92">
        <f>VLOOKUP(A292,Database!A:M,MATCH($A$1,Database!$A$1:$M$1,),)</f>
        <v>60613</v>
      </c>
      <c r="C292" s="94">
        <f>(Table535[[#This Row],[New Orders - Nondefense Capital Goods Excluding Aircraft]]-B291)/B291</f>
        <v>-1.9968309403699393E-2</v>
      </c>
    </row>
    <row r="293" spans="1:3">
      <c r="A293" s="91">
        <v>42370</v>
      </c>
      <c r="B293" s="92">
        <f>VLOOKUP(A293,Database!A:M,MATCH($A$1,Database!$A$1:$M$1,),)</f>
        <v>61637</v>
      </c>
      <c r="C293" s="94">
        <f>(Table535[[#This Row],[New Orders - Nondefense Capital Goods Excluding Aircraft]]-B292)/B292</f>
        <v>1.6894065629485425E-2</v>
      </c>
    </row>
    <row r="294" spans="1:3">
      <c r="A294" s="91">
        <v>42401</v>
      </c>
      <c r="B294" s="92">
        <f>VLOOKUP(A294,Database!A:M,MATCH($A$1,Database!$A$1:$M$1,),)</f>
        <v>61150</v>
      </c>
      <c r="C294" s="94">
        <f>(Table535[[#This Row],[New Orders - Nondefense Capital Goods Excluding Aircraft]]-B293)/B293</f>
        <v>-7.9010983662410571E-3</v>
      </c>
    </row>
    <row r="295" spans="1:3">
      <c r="A295" s="91">
        <v>42430</v>
      </c>
      <c r="B295" s="92">
        <f>VLOOKUP(A295,Database!A:M,MATCH($A$1,Database!$A$1:$M$1,),)</f>
        <v>60583</v>
      </c>
      <c r="C295" s="94">
        <f>(Table535[[#This Row],[New Orders - Nondefense Capital Goods Excluding Aircraft]]-B294)/B294</f>
        <v>-9.2722812755519218E-3</v>
      </c>
    </row>
    <row r="296" spans="1:3">
      <c r="A296" s="91">
        <v>42461</v>
      </c>
      <c r="B296" s="92">
        <f>VLOOKUP(A296,Database!A:M,MATCH($A$1,Database!$A$1:$M$1,),)</f>
        <v>60924</v>
      </c>
      <c r="C296" s="94">
        <f>(Table535[[#This Row],[New Orders - Nondefense Capital Goods Excluding Aircraft]]-B295)/B295</f>
        <v>5.6286416981661518E-3</v>
      </c>
    </row>
    <row r="297" spans="1:3">
      <c r="A297" s="91">
        <v>42491</v>
      </c>
      <c r="B297" s="92">
        <f>VLOOKUP(A297,Database!A:M,MATCH($A$1,Database!$A$1:$M$1,),)</f>
        <v>59566</v>
      </c>
      <c r="C297" s="94">
        <f>(Table535[[#This Row],[New Orders - Nondefense Capital Goods Excluding Aircraft]]-B296)/B296</f>
        <v>-2.2290066312126582E-2</v>
      </c>
    </row>
    <row r="298" spans="1:3">
      <c r="A298" s="91">
        <v>42522</v>
      </c>
      <c r="B298" s="92">
        <f>VLOOKUP(A298,Database!A:M,MATCH($A$1,Database!$A$1:$M$1,),)</f>
        <v>59608</v>
      </c>
      <c r="C298" s="94">
        <f>(Table535[[#This Row],[New Orders - Nondefense Capital Goods Excluding Aircraft]]-B297)/B297</f>
        <v>7.0510022496054797E-4</v>
      </c>
    </row>
    <row r="299" spans="1:3">
      <c r="A299" s="91">
        <v>42552</v>
      </c>
      <c r="B299" s="92">
        <f>VLOOKUP(A299,Database!A:M,MATCH($A$1,Database!$A$1:$M$1,),)</f>
        <v>59809</v>
      </c>
      <c r="C299" s="94">
        <f>(Table535[[#This Row],[New Orders - Nondefense Capital Goods Excluding Aircraft]]-B298)/B298</f>
        <v>3.3720305999194737E-3</v>
      </c>
    </row>
    <row r="300" spans="1:3">
      <c r="A300" s="91">
        <v>42583</v>
      </c>
      <c r="B300" s="92">
        <f>VLOOKUP(A300,Database!A:M,MATCH($A$1,Database!$A$1:$M$1,),)</f>
        <v>61691</v>
      </c>
      <c r="C300" s="94">
        <f>(Table535[[#This Row],[New Orders - Nondefense Capital Goods Excluding Aircraft]]-B299)/B299</f>
        <v>3.1466836094902105E-2</v>
      </c>
    </row>
    <row r="301" spans="1:3">
      <c r="A301" s="91">
        <v>42614</v>
      </c>
      <c r="B301" s="92">
        <f>VLOOKUP(A301,Database!A:M,MATCH($A$1,Database!$A$1:$M$1,),)</f>
        <v>59308</v>
      </c>
      <c r="C301" s="94">
        <f>(Table535[[#This Row],[New Orders - Nondefense Capital Goods Excluding Aircraft]]-B300)/B300</f>
        <v>-3.8628000842910633E-2</v>
      </c>
    </row>
    <row r="302" spans="1:3">
      <c r="A302" s="91">
        <v>42644</v>
      </c>
      <c r="B302" s="92">
        <f>VLOOKUP(A302,Database!A:M,MATCH($A$1,Database!$A$1:$M$1,),)</f>
        <v>59351</v>
      </c>
      <c r="C302" s="94">
        <f>(Table535[[#This Row],[New Orders - Nondefense Capital Goods Excluding Aircraft]]-B301)/B301</f>
        <v>7.2502866392392252E-4</v>
      </c>
    </row>
    <row r="303" spans="1:3">
      <c r="A303" s="91">
        <v>42675</v>
      </c>
      <c r="B303" s="92">
        <f>VLOOKUP(A303,Database!A:M,MATCH($A$1,Database!$A$1:$M$1,),)</f>
        <v>59244</v>
      </c>
      <c r="C303" s="94">
        <f>(Table535[[#This Row],[New Orders - Nondefense Capital Goods Excluding Aircraft]]-B302)/B302</f>
        <v>-1.8028339876328958E-3</v>
      </c>
    </row>
    <row r="304" spans="1:3">
      <c r="A304" s="91">
        <v>42705</v>
      </c>
      <c r="B304" s="92">
        <f>VLOOKUP(A304,Database!A:M,MATCH($A$1,Database!$A$1:$M$1,),)</f>
        <v>59539</v>
      </c>
      <c r="C304" s="94">
        <f>(Table535[[#This Row],[New Orders - Nondefense Capital Goods Excluding Aircraft]]-B303)/B303</f>
        <v>4.9794071973533185E-3</v>
      </c>
    </row>
    <row r="305" spans="1:3">
      <c r="A305" s="91">
        <v>42736</v>
      </c>
      <c r="B305" s="92">
        <f>VLOOKUP(A305,Database!A:M,MATCH($A$1,Database!$A$1:$M$1,),)</f>
        <v>60419</v>
      </c>
      <c r="C305" s="94">
        <f>(Table535[[#This Row],[New Orders - Nondefense Capital Goods Excluding Aircraft]]-B304)/B304</f>
        <v>1.4780228085792506E-2</v>
      </c>
    </row>
    <row r="306" spans="1:3">
      <c r="A306" s="91">
        <v>42767</v>
      </c>
      <c r="B306" s="92">
        <f>VLOOKUP(A306,Database!A:M,MATCH($A$1,Database!$A$1:$M$1,),)</f>
        <v>60740</v>
      </c>
      <c r="C306" s="94">
        <f>(Table535[[#This Row],[New Orders - Nondefense Capital Goods Excluding Aircraft]]-B305)/B305</f>
        <v>5.3128982604809744E-3</v>
      </c>
    </row>
    <row r="307" spans="1:3">
      <c r="A307" s="91">
        <v>42795</v>
      </c>
      <c r="B307" s="92">
        <f>VLOOKUP(A307,Database!A:M,MATCH($A$1,Database!$A$1:$M$1,),)</f>
        <v>61013</v>
      </c>
      <c r="C307" s="94">
        <f>(Table535[[#This Row],[New Orders - Nondefense Capital Goods Excluding Aircraft]]-B306)/B306</f>
        <v>4.4945670069147185E-3</v>
      </c>
    </row>
    <row r="308" spans="1:3">
      <c r="A308" s="91">
        <v>42826</v>
      </c>
      <c r="B308" s="92">
        <f>VLOOKUP(A308,Database!A:M,MATCH($A$1,Database!$A$1:$M$1,),)</f>
        <v>61308</v>
      </c>
      <c r="C308" s="94">
        <f>(Table535[[#This Row],[New Orders - Nondefense Capital Goods Excluding Aircraft]]-B307)/B307</f>
        <v>4.8350351564420699E-3</v>
      </c>
    </row>
    <row r="309" spans="1:3">
      <c r="A309" s="91">
        <v>42856</v>
      </c>
      <c r="B309" s="92">
        <f>VLOOKUP(A309,Database!A:M,MATCH($A$1,Database!$A$1:$M$1,),)</f>
        <v>61404</v>
      </c>
      <c r="C309" s="94">
        <f>(Table535[[#This Row],[New Orders - Nondefense Capital Goods Excluding Aircraft]]-B308)/B308</f>
        <v>1.5658641612840086E-3</v>
      </c>
    </row>
    <row r="310" spans="1:3">
      <c r="A310" s="91">
        <v>42887</v>
      </c>
      <c r="B310" s="92">
        <f>VLOOKUP(A310,Database!A:M,MATCH($A$1,Database!$A$1:$M$1,),)</f>
        <v>60378</v>
      </c>
      <c r="C310" s="94">
        <f>(Table535[[#This Row],[New Orders - Nondefense Capital Goods Excluding Aircraft]]-B309)/B309</f>
        <v>-1.6709009185069377E-2</v>
      </c>
    </row>
    <row r="311" spans="1:3">
      <c r="A311" s="91">
        <v>42917</v>
      </c>
      <c r="B311" s="92">
        <f>VLOOKUP(A311,Database!A:M,MATCH($A$1,Database!$A$1:$M$1,),)</f>
        <v>61535</v>
      </c>
      <c r="C311" s="94">
        <f>(Table535[[#This Row],[New Orders - Nondefense Capital Goods Excluding Aircraft]]-B310)/B310</f>
        <v>1.9162608897280466E-2</v>
      </c>
    </row>
    <row r="312" spans="1:3">
      <c r="A312" s="91">
        <v>42948</v>
      </c>
      <c r="B312" s="92">
        <f>VLOOKUP(A312,Database!A:M,MATCH($A$1,Database!$A$1:$M$1,),)</f>
        <v>61552</v>
      </c>
      <c r="C312" s="94">
        <f>(Table535[[#This Row],[New Orders - Nondefense Capital Goods Excluding Aircraft]]-B311)/B311</f>
        <v>2.7626553993662144E-4</v>
      </c>
    </row>
    <row r="313" spans="1:3">
      <c r="A313" s="91">
        <v>42979</v>
      </c>
      <c r="B313" s="92">
        <f>VLOOKUP(A313,Database!A:M,MATCH($A$1,Database!$A$1:$M$1,),)</f>
        <v>64088</v>
      </c>
      <c r="C313" s="94">
        <f>(Table535[[#This Row],[New Orders - Nondefense Capital Goods Excluding Aircraft]]-B312)/B312</f>
        <v>4.1200935794125294E-2</v>
      </c>
    </row>
    <row r="314" spans="1:3">
      <c r="A314" s="91">
        <v>43009</v>
      </c>
      <c r="B314" s="92">
        <f>VLOOKUP(A314,Database!A:M,MATCH($A$1,Database!$A$1:$M$1,),)</f>
        <v>63703</v>
      </c>
      <c r="C314" s="94">
        <f>(Table535[[#This Row],[New Orders - Nondefense Capital Goods Excluding Aircraft]]-B313)/B313</f>
        <v>-6.0073648732992136E-3</v>
      </c>
    </row>
    <row r="315" spans="1:3">
      <c r="A315" s="91">
        <v>43040</v>
      </c>
      <c r="B315" s="92">
        <f>VLOOKUP(A315,Database!A:M,MATCH($A$1,Database!$A$1:$M$1,),)</f>
        <v>63645</v>
      </c>
      <c r="C315" s="94">
        <f>(Table535[[#This Row],[New Orders - Nondefense Capital Goods Excluding Aircraft]]-B314)/B314</f>
        <v>-9.1047517385366465E-4</v>
      </c>
    </row>
    <row r="316" spans="1:3">
      <c r="A316" s="91">
        <v>43070</v>
      </c>
      <c r="B316" s="92">
        <f>VLOOKUP(A316,Database!A:M,MATCH($A$1,Database!$A$1:$M$1,),)</f>
        <v>63795</v>
      </c>
      <c r="C316" s="94">
        <f>(Table535[[#This Row],[New Orders - Nondefense Capital Goods Excluding Aircraft]]-B315)/B315</f>
        <v>2.3568230025925053E-3</v>
      </c>
    </row>
    <row r="317" spans="1:3">
      <c r="A317" s="91">
        <v>43101</v>
      </c>
      <c r="B317" s="92">
        <f>VLOOKUP(A317,Database!A:M,MATCH($A$1,Database!$A$1:$M$1,),)</f>
        <v>63324</v>
      </c>
      <c r="C317" s="94">
        <f>(Table535[[#This Row],[New Orders - Nondefense Capital Goods Excluding Aircraft]]-B316)/B316</f>
        <v>-7.3830237479426287E-3</v>
      </c>
    </row>
    <row r="318" spans="1:3">
      <c r="A318" s="91">
        <v>43132</v>
      </c>
      <c r="B318" s="92">
        <f>VLOOKUP(A318,Database!A:M,MATCH($A$1,Database!$A$1:$M$1,),)</f>
        <v>64087</v>
      </c>
      <c r="C318" s="94">
        <f>(Table535[[#This Row],[New Orders - Nondefense Capital Goods Excluding Aircraft]]-B317)/B317</f>
        <v>1.2049144084391384E-2</v>
      </c>
    </row>
    <row r="319" spans="1:3">
      <c r="A319" s="91">
        <v>43160</v>
      </c>
      <c r="B319" s="92">
        <f>VLOOKUP(A319,Database!A:M,MATCH($A$1,Database!$A$1:$M$1,),)</f>
        <v>63553</v>
      </c>
      <c r="C319" s="94">
        <f>(Table535[[#This Row],[New Orders - Nondefense Capital Goods Excluding Aircraft]]-B318)/B318</f>
        <v>-8.3324231123316737E-3</v>
      </c>
    </row>
    <row r="320" spans="1:3">
      <c r="A320" s="91">
        <v>43191</v>
      </c>
      <c r="B320" s="92">
        <f>VLOOKUP(A320,Database!A:M,MATCH($A$1,Database!$A$1:$M$1,),)</f>
        <v>64909</v>
      </c>
      <c r="C320" s="94">
        <f>(Table535[[#This Row],[New Orders - Nondefense Capital Goods Excluding Aircraft]]-B319)/B319</f>
        <v>2.133652227274873E-2</v>
      </c>
    </row>
    <row r="321" spans="1:3">
      <c r="A321" s="91">
        <v>43221</v>
      </c>
      <c r="B321" s="92">
        <f>VLOOKUP(A321,Database!A:M,MATCH($A$1,Database!$A$1:$M$1,),)</f>
        <v>66231</v>
      </c>
      <c r="C321" s="94">
        <f>(Table535[[#This Row],[New Orders - Nondefense Capital Goods Excluding Aircraft]]-B320)/B320</f>
        <v>2.0366975303886981E-2</v>
      </c>
    </row>
    <row r="322" spans="1:3">
      <c r="A322" s="91">
        <v>43252</v>
      </c>
      <c r="B322" s="92">
        <f>VLOOKUP(A322,Database!A:M,MATCH($A$1,Database!$A$1:$M$1,),)</f>
        <v>67247</v>
      </c>
      <c r="C322" s="94">
        <f>(Table535[[#This Row],[New Orders - Nondefense Capital Goods Excluding Aircraft]]-B321)/B321</f>
        <v>1.5340248524105026E-2</v>
      </c>
    </row>
    <row r="323" spans="1:3">
      <c r="A323" s="91">
        <v>43282</v>
      </c>
      <c r="B323" s="92">
        <f>VLOOKUP(A323,Database!A:M,MATCH($A$1,Database!$A$1:$M$1,),)</f>
        <v>68749</v>
      </c>
      <c r="C323" s="94">
        <f>(Table535[[#This Row],[New Orders - Nondefense Capital Goods Excluding Aircraft]]-B322)/B322</f>
        <v>2.2335568872960877E-2</v>
      </c>
    </row>
    <row r="324" spans="1:3">
      <c r="A324" s="91">
        <v>43313</v>
      </c>
      <c r="B324" s="92">
        <f>VLOOKUP(A324,Database!A:M,MATCH($A$1,Database!$A$1:$M$1,),)</f>
        <v>66798</v>
      </c>
      <c r="C324" s="94">
        <f>(Table535[[#This Row],[New Orders - Nondefense Capital Goods Excluding Aircraft]]-B323)/B323</f>
        <v>-2.8378594597739604E-2</v>
      </c>
    </row>
    <row r="325" spans="1:3">
      <c r="A325" s="91">
        <v>43344</v>
      </c>
      <c r="B325" s="92">
        <f>VLOOKUP(A325,Database!A:M,MATCH($A$1,Database!$A$1:$M$1,),)</f>
        <v>66399</v>
      </c>
      <c r="C325" s="94">
        <f>(Table535[[#This Row],[New Orders - Nondefense Capital Goods Excluding Aircraft]]-B324)/B324</f>
        <v>-5.9732327315189081E-3</v>
      </c>
    </row>
    <row r="326" spans="1:3">
      <c r="A326" s="91">
        <v>43374</v>
      </c>
      <c r="B326" s="92">
        <f>VLOOKUP(A326,Database!A:M,MATCH($A$1,Database!$A$1:$M$1,),)</f>
        <v>67104</v>
      </c>
      <c r="C326" s="94">
        <f>(Table535[[#This Row],[New Orders - Nondefense Capital Goods Excluding Aircraft]]-B325)/B325</f>
        <v>1.0617629783581078E-2</v>
      </c>
    </row>
    <row r="327" spans="1:3">
      <c r="A327" s="91">
        <v>43405</v>
      </c>
      <c r="B327" s="92">
        <f>VLOOKUP(A327,Database!A:M,MATCH($A$1,Database!$A$1:$M$1,),)</f>
        <v>64292</v>
      </c>
      <c r="C327" s="94">
        <f>(Table535[[#This Row],[New Orders - Nondefense Capital Goods Excluding Aircraft]]-B326)/B326</f>
        <v>-4.1905102527420121E-2</v>
      </c>
    </row>
    <row r="328" spans="1:3">
      <c r="A328" s="91">
        <v>43435</v>
      </c>
      <c r="B328" s="92">
        <f>VLOOKUP(A328,Database!A:M,MATCH($A$1,Database!$A$1:$M$1,),)</f>
        <v>64894</v>
      </c>
      <c r="C328" s="94">
        <f>(Table535[[#This Row],[New Orders - Nondefense Capital Goods Excluding Aircraft]]-B327)/B327</f>
        <v>9.3635288993965029E-3</v>
      </c>
    </row>
    <row r="329" spans="1:3">
      <c r="A329" s="91">
        <v>43466</v>
      </c>
      <c r="B329" s="92">
        <f>VLOOKUP(A329,Database!A:M,MATCH($A$1,Database!$A$1:$M$1,),)</f>
        <v>65841</v>
      </c>
      <c r="C329" s="94">
        <f>(Table535[[#This Row],[New Orders - Nondefense Capital Goods Excluding Aircraft]]-B328)/B328</f>
        <v>1.4593028631306439E-2</v>
      </c>
    </row>
    <row r="330" spans="1:3">
      <c r="A330" s="91">
        <v>43497</v>
      </c>
      <c r="B330" s="92">
        <f>VLOOKUP(A330,Database!A:M,MATCH($A$1,Database!$A$1:$M$1,),)</f>
        <v>65221</v>
      </c>
      <c r="C330" s="94">
        <f>(Table535[[#This Row],[New Orders - Nondefense Capital Goods Excluding Aircraft]]-B329)/B329</f>
        <v>-9.416624899378806E-3</v>
      </c>
    </row>
    <row r="331" spans="1:3">
      <c r="A331" s="91">
        <v>43525</v>
      </c>
      <c r="B331" s="92">
        <f>VLOOKUP(A331,Database!A:M,MATCH($A$1,Database!$A$1:$M$1,),)</f>
        <v>66457</v>
      </c>
      <c r="C331" s="94">
        <f>(Table535[[#This Row],[New Orders - Nondefense Capital Goods Excluding Aircraft]]-B330)/B330</f>
        <v>1.8950951380690268E-2</v>
      </c>
    </row>
    <row r="332" spans="1:3">
      <c r="A332" s="91">
        <v>43556</v>
      </c>
      <c r="B332" s="92">
        <f>VLOOKUP(A332,Database!A:M,MATCH($A$1,Database!$A$1:$M$1,),)</f>
        <v>65737</v>
      </c>
      <c r="C332" s="94">
        <f>(Table535[[#This Row],[New Orders - Nondefense Capital Goods Excluding Aircraft]]-B331)/B331</f>
        <v>-1.0834073160088479E-2</v>
      </c>
    </row>
    <row r="333" spans="1:3">
      <c r="A333" s="91">
        <v>43586</v>
      </c>
      <c r="B333" s="92">
        <f>VLOOKUP(A333,Database!A:M,MATCH($A$1,Database!$A$1:$M$1,),)</f>
        <v>65271</v>
      </c>
      <c r="C333" s="94">
        <f>(Table535[[#This Row],[New Orders - Nondefense Capital Goods Excluding Aircraft]]-B332)/B332</f>
        <v>-7.0888540700062373E-3</v>
      </c>
    </row>
    <row r="334" spans="1:3">
      <c r="A334" s="91">
        <v>43617</v>
      </c>
      <c r="B334" s="92">
        <f>VLOOKUP(A334,Database!A:M,MATCH($A$1,Database!$A$1:$M$1,),)</f>
        <v>66139</v>
      </c>
      <c r="C334" s="94">
        <f>(Table535[[#This Row],[New Orders - Nondefense Capital Goods Excluding Aircraft]]-B333)/B333</f>
        <v>1.3298402046850823E-2</v>
      </c>
    </row>
    <row r="335" spans="1:3">
      <c r="A335" s="91">
        <v>43647</v>
      </c>
      <c r="B335" s="92">
        <f>VLOOKUP(A335,Database!A:M,MATCH($A$1,Database!$A$1:$M$1,),)</f>
        <v>65823</v>
      </c>
      <c r="C335" s="94">
        <f>(Table535[[#This Row],[New Orders - Nondefense Capital Goods Excluding Aircraft]]-B334)/B334</f>
        <v>-4.7778164169400804E-3</v>
      </c>
    </row>
    <row r="336" spans="1:3">
      <c r="A336" s="91">
        <v>43678</v>
      </c>
      <c r="B336" s="92">
        <f>VLOOKUP(A336,Database!A:M,MATCH($A$1,Database!$A$1:$M$1,),)</f>
        <v>65593</v>
      </c>
      <c r="C336" s="94">
        <f>(Table535[[#This Row],[New Orders - Nondefense Capital Goods Excluding Aircraft]]-B335)/B335</f>
        <v>-3.4942193458213696E-3</v>
      </c>
    </row>
    <row r="337" spans="1:3">
      <c r="A337" s="91">
        <v>43709</v>
      </c>
      <c r="B337" s="92">
        <f>VLOOKUP(A337,Database!A:M,MATCH($A$1,Database!$A$1:$M$1,),)</f>
        <v>65187</v>
      </c>
      <c r="C337" s="94">
        <f>(Table535[[#This Row],[New Orders - Nondefense Capital Goods Excluding Aircraft]]-B336)/B336</f>
        <v>-6.1896848749104323E-3</v>
      </c>
    </row>
    <row r="338" spans="1:3">
      <c r="A338" s="91">
        <v>43739</v>
      </c>
      <c r="B338" s="92">
        <f>VLOOKUP(A338,Database!A:M,MATCH($A$1,Database!$A$1:$M$1,),)</f>
        <v>65642</v>
      </c>
      <c r="C338" s="94">
        <f>(Table535[[#This Row],[New Orders - Nondefense Capital Goods Excluding Aircraft]]-B337)/B337</f>
        <v>6.9799193090646907E-3</v>
      </c>
    </row>
    <row r="339" spans="1:3">
      <c r="A339" s="91">
        <v>43770</v>
      </c>
      <c r="B339" s="92">
        <f>VLOOKUP(A339,Database!A:M,MATCH($A$1,Database!$A$1:$M$1,),)</f>
        <v>65189</v>
      </c>
      <c r="C339" s="94">
        <f>(Table535[[#This Row],[New Orders - Nondefense Capital Goods Excluding Aircraft]]-B338)/B338</f>
        <v>-6.9010694372505406E-3</v>
      </c>
    </row>
    <row r="340" spans="1:3">
      <c r="A340" s="91">
        <v>43800</v>
      </c>
      <c r="B340" s="92">
        <f>VLOOKUP(A340,Database!A:M,MATCH($A$1,Database!$A$1:$M$1,),)</f>
        <v>65045</v>
      </c>
      <c r="C340" s="94">
        <f>(Table535[[#This Row],[New Orders - Nondefense Capital Goods Excluding Aircraft]]-B339)/B339</f>
        <v>-2.2089616346316096E-3</v>
      </c>
    </row>
    <row r="341" spans="1:3">
      <c r="A341" s="91">
        <v>43831</v>
      </c>
      <c r="B341" s="92">
        <f>VLOOKUP(A341,Database!A:M,MATCH($A$1,Database!$A$1:$M$1,),)</f>
        <v>65765</v>
      </c>
      <c r="C341" s="94">
        <f>(Table535[[#This Row],[New Orders - Nondefense Capital Goods Excluding Aircraft]]-B340)/B340</f>
        <v>1.1069259743254669E-2</v>
      </c>
    </row>
    <row r="342" spans="1:3">
      <c r="A342" s="91">
        <v>43862</v>
      </c>
      <c r="B342" s="92">
        <f>VLOOKUP(A342,Database!A:M,MATCH($A$1,Database!$A$1:$M$1,),)</f>
        <v>64885</v>
      </c>
      <c r="C342" s="94">
        <f>(Table535[[#This Row],[New Orders - Nondefense Capital Goods Excluding Aircraft]]-B341)/B341</f>
        <v>-1.3380977723713222E-2</v>
      </c>
    </row>
    <row r="343" spans="1:3">
      <c r="A343" s="91">
        <v>43891</v>
      </c>
      <c r="B343" s="92">
        <f>VLOOKUP(A343,Database!A:M,MATCH($A$1,Database!$A$1:$M$1,),)</f>
        <v>64103</v>
      </c>
      <c r="C343" s="94">
        <f>(Table535[[#This Row],[New Orders - Nondefense Capital Goods Excluding Aircraft]]-B342)/B342</f>
        <v>-1.2052092163057717E-2</v>
      </c>
    </row>
    <row r="344" spans="1:3">
      <c r="A344" s="91">
        <v>43922</v>
      </c>
      <c r="B344" s="92">
        <f>VLOOKUP(A344,Database!A:M,MATCH($A$1,Database!$A$1:$M$1,),)</f>
        <v>59872</v>
      </c>
      <c r="C344" s="94">
        <f>(Table535[[#This Row],[New Orders - Nondefense Capital Goods Excluding Aircraft]]-B343)/B343</f>
        <v>-6.6003151178571987E-2</v>
      </c>
    </row>
    <row r="345" spans="1:3">
      <c r="A345" s="91">
        <v>43952</v>
      </c>
      <c r="B345" s="92">
        <f>VLOOKUP(A345,Database!A:M,MATCH($A$1,Database!$A$1:$M$1,),)</f>
        <v>61297</v>
      </c>
      <c r="C345" s="94">
        <f>(Table535[[#This Row],[New Orders - Nondefense Capital Goods Excluding Aircraft]]-B344)/B344</f>
        <v>2.380077498663816E-2</v>
      </c>
    </row>
    <row r="346" spans="1:3">
      <c r="A346" s="91">
        <v>43983</v>
      </c>
      <c r="B346" s="92">
        <f>VLOOKUP(A346,Database!A:M,MATCH($A$1,Database!$A$1:$M$1,),)</f>
        <v>64300</v>
      </c>
      <c r="C346" s="94">
        <f>(Table535[[#This Row],[New Orders - Nondefense Capital Goods Excluding Aircraft]]-B345)/B345</f>
        <v>4.8990978351305933E-2</v>
      </c>
    </row>
    <row r="347" spans="1:3">
      <c r="A347" s="91">
        <v>44013</v>
      </c>
      <c r="B347" s="92">
        <f>VLOOKUP(A347,Database!A:M,MATCH($A$1,Database!$A$1:$M$1,),)</f>
        <v>66189</v>
      </c>
      <c r="C347" s="94">
        <f>(Table535[[#This Row],[New Orders - Nondefense Capital Goods Excluding Aircraft]]-B346)/B346</f>
        <v>2.937791601866252E-2</v>
      </c>
    </row>
    <row r="348" spans="1:3">
      <c r="A348" s="91">
        <v>44044</v>
      </c>
      <c r="B348" s="92">
        <f>VLOOKUP(A348,Database!A:M,MATCH($A$1,Database!$A$1:$M$1,),)</f>
        <v>67791</v>
      </c>
      <c r="C348" s="94">
        <f>(Table535[[#This Row],[New Orders - Nondefense Capital Goods Excluding Aircraft]]-B347)/B347</f>
        <v>2.4203417486289264E-2</v>
      </c>
    </row>
    <row r="349" spans="1:3">
      <c r="A349" s="91">
        <v>44075</v>
      </c>
      <c r="B349" s="92">
        <f>VLOOKUP(A349,Database!A:M,MATCH($A$1,Database!$A$1:$M$1,),)</f>
        <v>68646</v>
      </c>
      <c r="C349" s="94">
        <f>(Table535[[#This Row],[New Orders - Nondefense Capital Goods Excluding Aircraft]]-B348)/B348</f>
        <v>1.261229366730097E-2</v>
      </c>
    </row>
    <row r="350" spans="1:3">
      <c r="A350" s="91">
        <v>44105</v>
      </c>
      <c r="B350" s="92">
        <f>VLOOKUP(A350,Database!A:M,MATCH($A$1,Database!$A$1:$M$1,),)</f>
        <v>69626</v>
      </c>
      <c r="C350" s="94">
        <f>(Table535[[#This Row],[New Orders - Nondefense Capital Goods Excluding Aircraft]]-B349)/B349</f>
        <v>1.4276141362934475E-2</v>
      </c>
    </row>
    <row r="351" spans="1:3">
      <c r="A351" s="91">
        <v>44136</v>
      </c>
      <c r="B351" s="92">
        <f>VLOOKUP(A351,Database!A:M,MATCH($A$1,Database!$A$1:$M$1,),)</f>
        <v>70563</v>
      </c>
      <c r="C351" s="94">
        <f>(Table535[[#This Row],[New Orders - Nondefense Capital Goods Excluding Aircraft]]-B350)/B350</f>
        <v>1.3457616407663804E-2</v>
      </c>
    </row>
    <row r="352" spans="1:3">
      <c r="A352" s="91">
        <v>44166</v>
      </c>
      <c r="B352" s="92">
        <f>VLOOKUP(A352,Database!A:M,MATCH($A$1,Database!$A$1:$M$1,),)</f>
        <v>71619</v>
      </c>
      <c r="C352" s="94">
        <f>(Table535[[#This Row],[New Orders - Nondefense Capital Goods Excluding Aircraft]]-B351)/B351</f>
        <v>1.4965350112665279E-2</v>
      </c>
    </row>
    <row r="353" spans="1:3">
      <c r="A353" s="91">
        <v>44197</v>
      </c>
      <c r="B353" s="92">
        <f>VLOOKUP(A353,Database!A:M,MATCH($A$1,Database!$A$1:$M$1,),)</f>
        <v>72386</v>
      </c>
      <c r="C353" s="94">
        <f>(Table535[[#This Row],[New Orders - Nondefense Capital Goods Excluding Aircraft]]-B352)/B352</f>
        <v>1.0709448610005725E-2</v>
      </c>
    </row>
    <row r="354" spans="1:3">
      <c r="A354" s="91">
        <v>44228</v>
      </c>
      <c r="B354" s="92">
        <f>VLOOKUP(A354,Database!A:M,MATCH($A$1,Database!$A$1:$M$1,),)</f>
        <v>72150</v>
      </c>
      <c r="C354" s="94">
        <f>(Table535[[#This Row],[New Orders - Nondefense Capital Goods Excluding Aircraft]]-B353)/B353</f>
        <v>-3.2602989528361837E-3</v>
      </c>
    </row>
    <row r="355" spans="1:3">
      <c r="A355" s="91">
        <v>44256</v>
      </c>
      <c r="B355" s="92">
        <f>VLOOKUP(A355,Database!A:M,MATCH($A$1,Database!$A$1:$M$1,),)</f>
        <v>73318</v>
      </c>
      <c r="C355" s="94">
        <f>(Table535[[#This Row],[New Orders - Nondefense Capital Goods Excluding Aircraft]]-B354)/B354</f>
        <v>1.6188496188496188E-2</v>
      </c>
    </row>
    <row r="356" spans="1:3">
      <c r="A356" s="91">
        <v>44287</v>
      </c>
      <c r="B356" s="92">
        <f>VLOOKUP(A356,Database!A:M,MATCH($A$1,Database!$A$1:$M$1,),)</f>
        <v>75315</v>
      </c>
      <c r="C356" s="94">
        <f>(Table535[[#This Row],[New Orders - Nondefense Capital Goods Excluding Aircraft]]-B355)/B355</f>
        <v>2.7237513298235084E-2</v>
      </c>
    </row>
    <row r="357" spans="1:3">
      <c r="A357" s="91">
        <v>44317</v>
      </c>
      <c r="B357" s="92">
        <f>VLOOKUP(A357,Database!A:M,MATCH($A$1,Database!$A$1:$M$1,),)</f>
        <v>75742</v>
      </c>
      <c r="C357" s="94">
        <f>(Table535[[#This Row],[New Orders - Nondefense Capital Goods Excluding Aircraft]]-B356)/B356</f>
        <v>5.6695213436898364E-3</v>
      </c>
    </row>
    <row r="358" spans="1:3">
      <c r="A358" s="91">
        <v>44348</v>
      </c>
      <c r="B358" s="92">
        <f>VLOOKUP(A358,Database!A:M,MATCH($A$1,Database!$A$1:$M$1,),)</f>
        <v>76530</v>
      </c>
      <c r="C358" s="94">
        <f>(Table535[[#This Row],[New Orders - Nondefense Capital Goods Excluding Aircraft]]-B357)/B357</f>
        <v>1.0403739008740196E-2</v>
      </c>
    </row>
    <row r="359" spans="1:3">
      <c r="A359" s="91">
        <v>44378</v>
      </c>
      <c r="B359" s="92">
        <f>VLOOKUP(A359,Database!A:M,MATCH($A$1,Database!$A$1:$M$1,),)</f>
        <v>76736</v>
      </c>
      <c r="C359" s="94">
        <f>(Table535[[#This Row],[New Orders - Nondefense Capital Goods Excluding Aircraft]]-B358)/B358</f>
        <v>2.6917548673722723E-3</v>
      </c>
    </row>
    <row r="360" spans="1:3">
      <c r="A360" s="91">
        <v>44409</v>
      </c>
      <c r="B360" s="92">
        <f>VLOOKUP(A360,Database!A:M,MATCH($A$1,Database!$A$1:$M$1,),)</f>
        <v>77206</v>
      </c>
      <c r="C360" s="94">
        <f>(Table535[[#This Row],[New Orders - Nondefense Capital Goods Excluding Aircraft]]-B359)/B359</f>
        <v>6.1248957464553793E-3</v>
      </c>
    </row>
  </sheetData>
  <conditionalFormatting sqref="B4:B5 C2:C3">
    <cfRule type="colorScale" priority="2">
      <colorScale>
        <cfvo type="min"/>
        <cfvo type="percentile" val="50"/>
        <cfvo type="max"/>
        <color rgb="FFF8696B"/>
        <color rgb="FFFFEB84"/>
        <color rgb="FF63BE7B"/>
      </colorScale>
    </cfRule>
  </conditionalFormatting>
  <conditionalFormatting sqref="C221:C360">
    <cfRule type="colorScale" priority="1">
      <colorScale>
        <cfvo type="min"/>
        <cfvo type="percentile" val="50"/>
        <cfvo type="max"/>
        <color rgb="FFF8696B"/>
        <color rgb="FFFFEB84"/>
        <color rgb="FF63BE7B"/>
      </colorScale>
    </cfRule>
  </conditionalFormatting>
  <pageMargins left="0.7" right="0.7" top="0.75" bottom="0.75" header="0.3" footer="0.3"/>
  <ignoredErrors>
    <ignoredError sqref="C7:C333 C334:C338 C339:C344" calculatedColumn="1"/>
  </ignoredErrors>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E4DC1A-7E5D-4DFA-9C9C-52D46F7648E2}">
  <dimension ref="A1:C360"/>
  <sheetViews>
    <sheetView zoomScale="160" zoomScaleNormal="160" workbookViewId="0">
      <pane ySplit="5" topLeftCell="A324" activePane="bottomLeft" state="frozen"/>
      <selection pane="bottomLeft" activeCell="A362" sqref="A362"/>
    </sheetView>
  </sheetViews>
  <sheetFormatPr baseColWidth="10" defaultColWidth="8.83203125" defaultRowHeight="15"/>
  <cols>
    <col min="1" max="1" width="10.83203125" style="83" customWidth="1"/>
    <col min="2" max="2" width="24.5" style="84" customWidth="1"/>
    <col min="3" max="3" width="14.83203125" style="86" customWidth="1"/>
    <col min="4" max="240" width="9.1640625" style="2"/>
    <col min="241" max="241" width="10.83203125" style="2" customWidth="1"/>
    <col min="242" max="242" width="18.1640625" style="2" customWidth="1"/>
    <col min="243" max="243" width="15" style="2" customWidth="1"/>
    <col min="244" max="247" width="13" style="2" customWidth="1"/>
    <col min="248" max="248" width="17.5" style="2" customWidth="1"/>
    <col min="249" max="496" width="9.1640625" style="2"/>
    <col min="497" max="497" width="10.83203125" style="2" customWidth="1"/>
    <col min="498" max="498" width="18.1640625" style="2" customWidth="1"/>
    <col min="499" max="499" width="15" style="2" customWidth="1"/>
    <col min="500" max="503" width="13" style="2" customWidth="1"/>
    <col min="504" max="504" width="17.5" style="2" customWidth="1"/>
    <col min="505" max="752" width="9.1640625" style="2"/>
    <col min="753" max="753" width="10.83203125" style="2" customWidth="1"/>
    <col min="754" max="754" width="18.1640625" style="2" customWidth="1"/>
    <col min="755" max="755" width="15" style="2" customWidth="1"/>
    <col min="756" max="759" width="13" style="2" customWidth="1"/>
    <col min="760" max="760" width="17.5" style="2" customWidth="1"/>
    <col min="761" max="1008" width="9.1640625" style="2"/>
    <col min="1009" max="1009" width="10.83203125" style="2" customWidth="1"/>
    <col min="1010" max="1010" width="18.1640625" style="2" customWidth="1"/>
    <col min="1011" max="1011" width="15" style="2" customWidth="1"/>
    <col min="1012" max="1015" width="13" style="2" customWidth="1"/>
    <col min="1016" max="1016" width="17.5" style="2" customWidth="1"/>
    <col min="1017" max="1264" width="9.1640625" style="2"/>
    <col min="1265" max="1265" width="10.83203125" style="2" customWidth="1"/>
    <col min="1266" max="1266" width="18.1640625" style="2" customWidth="1"/>
    <col min="1267" max="1267" width="15" style="2" customWidth="1"/>
    <col min="1268" max="1271" width="13" style="2" customWidth="1"/>
    <col min="1272" max="1272" width="17.5" style="2" customWidth="1"/>
    <col min="1273" max="1520" width="9.1640625" style="2"/>
    <col min="1521" max="1521" width="10.83203125" style="2" customWidth="1"/>
    <col min="1522" max="1522" width="18.1640625" style="2" customWidth="1"/>
    <col min="1523" max="1523" width="15" style="2" customWidth="1"/>
    <col min="1524" max="1527" width="13" style="2" customWidth="1"/>
    <col min="1528" max="1528" width="17.5" style="2" customWidth="1"/>
    <col min="1529" max="1776" width="9.1640625" style="2"/>
    <col min="1777" max="1777" width="10.83203125" style="2" customWidth="1"/>
    <col min="1778" max="1778" width="18.1640625" style="2" customWidth="1"/>
    <col min="1779" max="1779" width="15" style="2" customWidth="1"/>
    <col min="1780" max="1783" width="13" style="2" customWidth="1"/>
    <col min="1784" max="1784" width="17.5" style="2" customWidth="1"/>
    <col min="1785" max="2032" width="9.1640625" style="2"/>
    <col min="2033" max="2033" width="10.83203125" style="2" customWidth="1"/>
    <col min="2034" max="2034" width="18.1640625" style="2" customWidth="1"/>
    <col min="2035" max="2035" width="15" style="2" customWidth="1"/>
    <col min="2036" max="2039" width="13" style="2" customWidth="1"/>
    <col min="2040" max="2040" width="17.5" style="2" customWidth="1"/>
    <col min="2041" max="2288" width="9.1640625" style="2"/>
    <col min="2289" max="2289" width="10.83203125" style="2" customWidth="1"/>
    <col min="2290" max="2290" width="18.1640625" style="2" customWidth="1"/>
    <col min="2291" max="2291" width="15" style="2" customWidth="1"/>
    <col min="2292" max="2295" width="13" style="2" customWidth="1"/>
    <col min="2296" max="2296" width="17.5" style="2" customWidth="1"/>
    <col min="2297" max="2544" width="9.1640625" style="2"/>
    <col min="2545" max="2545" width="10.83203125" style="2" customWidth="1"/>
    <col min="2546" max="2546" width="18.1640625" style="2" customWidth="1"/>
    <col min="2547" max="2547" width="15" style="2" customWidth="1"/>
    <col min="2548" max="2551" width="13" style="2" customWidth="1"/>
    <col min="2552" max="2552" width="17.5" style="2" customWidth="1"/>
    <col min="2553" max="2800" width="9.1640625" style="2"/>
    <col min="2801" max="2801" width="10.83203125" style="2" customWidth="1"/>
    <col min="2802" max="2802" width="18.1640625" style="2" customWidth="1"/>
    <col min="2803" max="2803" width="15" style="2" customWidth="1"/>
    <col min="2804" max="2807" width="13" style="2" customWidth="1"/>
    <col min="2808" max="2808" width="17.5" style="2" customWidth="1"/>
    <col min="2809" max="3056" width="9.1640625" style="2"/>
    <col min="3057" max="3057" width="10.83203125" style="2" customWidth="1"/>
    <col min="3058" max="3058" width="18.1640625" style="2" customWidth="1"/>
    <col min="3059" max="3059" width="15" style="2" customWidth="1"/>
    <col min="3060" max="3063" width="13" style="2" customWidth="1"/>
    <col min="3064" max="3064" width="17.5" style="2" customWidth="1"/>
    <col min="3065" max="3312" width="9.1640625" style="2"/>
    <col min="3313" max="3313" width="10.83203125" style="2" customWidth="1"/>
    <col min="3314" max="3314" width="18.1640625" style="2" customWidth="1"/>
    <col min="3315" max="3315" width="15" style="2" customWidth="1"/>
    <col min="3316" max="3319" width="13" style="2" customWidth="1"/>
    <col min="3320" max="3320" width="17.5" style="2" customWidth="1"/>
    <col min="3321" max="3568" width="9.1640625" style="2"/>
    <col min="3569" max="3569" width="10.83203125" style="2" customWidth="1"/>
    <col min="3570" max="3570" width="18.1640625" style="2" customWidth="1"/>
    <col min="3571" max="3571" width="15" style="2" customWidth="1"/>
    <col min="3572" max="3575" width="13" style="2" customWidth="1"/>
    <col min="3576" max="3576" width="17.5" style="2" customWidth="1"/>
    <col min="3577" max="3824" width="9.1640625" style="2"/>
    <col min="3825" max="3825" width="10.83203125" style="2" customWidth="1"/>
    <col min="3826" max="3826" width="18.1640625" style="2" customWidth="1"/>
    <col min="3827" max="3827" width="15" style="2" customWidth="1"/>
    <col min="3828" max="3831" width="13" style="2" customWidth="1"/>
    <col min="3832" max="3832" width="17.5" style="2" customWidth="1"/>
    <col min="3833" max="4080" width="9.1640625" style="2"/>
    <col min="4081" max="4081" width="10.83203125" style="2" customWidth="1"/>
    <col min="4082" max="4082" width="18.1640625" style="2" customWidth="1"/>
    <col min="4083" max="4083" width="15" style="2" customWidth="1"/>
    <col min="4084" max="4087" width="13" style="2" customWidth="1"/>
    <col min="4088" max="4088" width="17.5" style="2" customWidth="1"/>
    <col min="4089" max="4336" width="9.1640625" style="2"/>
    <col min="4337" max="4337" width="10.83203125" style="2" customWidth="1"/>
    <col min="4338" max="4338" width="18.1640625" style="2" customWidth="1"/>
    <col min="4339" max="4339" width="15" style="2" customWidth="1"/>
    <col min="4340" max="4343" width="13" style="2" customWidth="1"/>
    <col min="4344" max="4344" width="17.5" style="2" customWidth="1"/>
    <col min="4345" max="4592" width="9.1640625" style="2"/>
    <col min="4593" max="4593" width="10.83203125" style="2" customWidth="1"/>
    <col min="4594" max="4594" width="18.1640625" style="2" customWidth="1"/>
    <col min="4595" max="4595" width="15" style="2" customWidth="1"/>
    <col min="4596" max="4599" width="13" style="2" customWidth="1"/>
    <col min="4600" max="4600" width="17.5" style="2" customWidth="1"/>
    <col min="4601" max="4848" width="9.1640625" style="2"/>
    <col min="4849" max="4849" width="10.83203125" style="2" customWidth="1"/>
    <col min="4850" max="4850" width="18.1640625" style="2" customWidth="1"/>
    <col min="4851" max="4851" width="15" style="2" customWidth="1"/>
    <col min="4852" max="4855" width="13" style="2" customWidth="1"/>
    <col min="4856" max="4856" width="17.5" style="2" customWidth="1"/>
    <col min="4857" max="5104" width="9.1640625" style="2"/>
    <col min="5105" max="5105" width="10.83203125" style="2" customWidth="1"/>
    <col min="5106" max="5106" width="18.1640625" style="2" customWidth="1"/>
    <col min="5107" max="5107" width="15" style="2" customWidth="1"/>
    <col min="5108" max="5111" width="13" style="2" customWidth="1"/>
    <col min="5112" max="5112" width="17.5" style="2" customWidth="1"/>
    <col min="5113" max="5360" width="9.1640625" style="2"/>
    <col min="5361" max="5361" width="10.83203125" style="2" customWidth="1"/>
    <col min="5362" max="5362" width="18.1640625" style="2" customWidth="1"/>
    <col min="5363" max="5363" width="15" style="2" customWidth="1"/>
    <col min="5364" max="5367" width="13" style="2" customWidth="1"/>
    <col min="5368" max="5368" width="17.5" style="2" customWidth="1"/>
    <col min="5369" max="5616" width="9.1640625" style="2"/>
    <col min="5617" max="5617" width="10.83203125" style="2" customWidth="1"/>
    <col min="5618" max="5618" width="18.1640625" style="2" customWidth="1"/>
    <col min="5619" max="5619" width="15" style="2" customWidth="1"/>
    <col min="5620" max="5623" width="13" style="2" customWidth="1"/>
    <col min="5624" max="5624" width="17.5" style="2" customWidth="1"/>
    <col min="5625" max="5872" width="9.1640625" style="2"/>
    <col min="5873" max="5873" width="10.83203125" style="2" customWidth="1"/>
    <col min="5874" max="5874" width="18.1640625" style="2" customWidth="1"/>
    <col min="5875" max="5875" width="15" style="2" customWidth="1"/>
    <col min="5876" max="5879" width="13" style="2" customWidth="1"/>
    <col min="5880" max="5880" width="17.5" style="2" customWidth="1"/>
    <col min="5881" max="6128" width="9.1640625" style="2"/>
    <col min="6129" max="6129" width="10.83203125" style="2" customWidth="1"/>
    <col min="6130" max="6130" width="18.1640625" style="2" customWidth="1"/>
    <col min="6131" max="6131" width="15" style="2" customWidth="1"/>
    <col min="6132" max="6135" width="13" style="2" customWidth="1"/>
    <col min="6136" max="6136" width="17.5" style="2" customWidth="1"/>
    <col min="6137" max="6384" width="9.1640625" style="2"/>
    <col min="6385" max="6385" width="10.83203125" style="2" customWidth="1"/>
    <col min="6386" max="6386" width="18.1640625" style="2" customWidth="1"/>
    <col min="6387" max="6387" width="15" style="2" customWidth="1"/>
    <col min="6388" max="6391" width="13" style="2" customWidth="1"/>
    <col min="6392" max="6392" width="17.5" style="2" customWidth="1"/>
    <col min="6393" max="6640" width="9.1640625" style="2"/>
    <col min="6641" max="6641" width="10.83203125" style="2" customWidth="1"/>
    <col min="6642" max="6642" width="18.1640625" style="2" customWidth="1"/>
    <col min="6643" max="6643" width="15" style="2" customWidth="1"/>
    <col min="6644" max="6647" width="13" style="2" customWidth="1"/>
    <col min="6648" max="6648" width="17.5" style="2" customWidth="1"/>
    <col min="6649" max="6896" width="9.1640625" style="2"/>
    <col min="6897" max="6897" width="10.83203125" style="2" customWidth="1"/>
    <col min="6898" max="6898" width="18.1640625" style="2" customWidth="1"/>
    <col min="6899" max="6899" width="15" style="2" customWidth="1"/>
    <col min="6900" max="6903" width="13" style="2" customWidth="1"/>
    <col min="6904" max="6904" width="17.5" style="2" customWidth="1"/>
    <col min="6905" max="7152" width="9.1640625" style="2"/>
    <col min="7153" max="7153" width="10.83203125" style="2" customWidth="1"/>
    <col min="7154" max="7154" width="18.1640625" style="2" customWidth="1"/>
    <col min="7155" max="7155" width="15" style="2" customWidth="1"/>
    <col min="7156" max="7159" width="13" style="2" customWidth="1"/>
    <col min="7160" max="7160" width="17.5" style="2" customWidth="1"/>
    <col min="7161" max="7408" width="9.1640625" style="2"/>
    <col min="7409" max="7409" width="10.83203125" style="2" customWidth="1"/>
    <col min="7410" max="7410" width="18.1640625" style="2" customWidth="1"/>
    <col min="7411" max="7411" width="15" style="2" customWidth="1"/>
    <col min="7412" max="7415" width="13" style="2" customWidth="1"/>
    <col min="7416" max="7416" width="17.5" style="2" customWidth="1"/>
    <col min="7417" max="7664" width="9.1640625" style="2"/>
    <col min="7665" max="7665" width="10.83203125" style="2" customWidth="1"/>
    <col min="7666" max="7666" width="18.1640625" style="2" customWidth="1"/>
    <col min="7667" max="7667" width="15" style="2" customWidth="1"/>
    <col min="7668" max="7671" width="13" style="2" customWidth="1"/>
    <col min="7672" max="7672" width="17.5" style="2" customWidth="1"/>
    <col min="7673" max="7920" width="9.1640625" style="2"/>
    <col min="7921" max="7921" width="10.83203125" style="2" customWidth="1"/>
    <col min="7922" max="7922" width="18.1640625" style="2" customWidth="1"/>
    <col min="7923" max="7923" width="15" style="2" customWidth="1"/>
    <col min="7924" max="7927" width="13" style="2" customWidth="1"/>
    <col min="7928" max="7928" width="17.5" style="2" customWidth="1"/>
    <col min="7929" max="8176" width="9.1640625" style="2"/>
    <col min="8177" max="8177" width="10.83203125" style="2" customWidth="1"/>
    <col min="8178" max="8178" width="18.1640625" style="2" customWidth="1"/>
    <col min="8179" max="8179" width="15" style="2" customWidth="1"/>
    <col min="8180" max="8183" width="13" style="2" customWidth="1"/>
    <col min="8184" max="8184" width="17.5" style="2" customWidth="1"/>
    <col min="8185" max="8432" width="9.1640625" style="2"/>
    <col min="8433" max="8433" width="10.83203125" style="2" customWidth="1"/>
    <col min="8434" max="8434" width="18.1640625" style="2" customWidth="1"/>
    <col min="8435" max="8435" width="15" style="2" customWidth="1"/>
    <col min="8436" max="8439" width="13" style="2" customWidth="1"/>
    <col min="8440" max="8440" width="17.5" style="2" customWidth="1"/>
    <col min="8441" max="8688" width="9.1640625" style="2"/>
    <col min="8689" max="8689" width="10.83203125" style="2" customWidth="1"/>
    <col min="8690" max="8690" width="18.1640625" style="2" customWidth="1"/>
    <col min="8691" max="8691" width="15" style="2" customWidth="1"/>
    <col min="8692" max="8695" width="13" style="2" customWidth="1"/>
    <col min="8696" max="8696" width="17.5" style="2" customWidth="1"/>
    <col min="8697" max="8944" width="9.1640625" style="2"/>
    <col min="8945" max="8945" width="10.83203125" style="2" customWidth="1"/>
    <col min="8946" max="8946" width="18.1640625" style="2" customWidth="1"/>
    <col min="8947" max="8947" width="15" style="2" customWidth="1"/>
    <col min="8948" max="8951" width="13" style="2" customWidth="1"/>
    <col min="8952" max="8952" width="17.5" style="2" customWidth="1"/>
    <col min="8953" max="9200" width="9.1640625" style="2"/>
    <col min="9201" max="9201" width="10.83203125" style="2" customWidth="1"/>
    <col min="9202" max="9202" width="18.1640625" style="2" customWidth="1"/>
    <col min="9203" max="9203" width="15" style="2" customWidth="1"/>
    <col min="9204" max="9207" width="13" style="2" customWidth="1"/>
    <col min="9208" max="9208" width="17.5" style="2" customWidth="1"/>
    <col min="9209" max="9456" width="9.1640625" style="2"/>
    <col min="9457" max="9457" width="10.83203125" style="2" customWidth="1"/>
    <col min="9458" max="9458" width="18.1640625" style="2" customWidth="1"/>
    <col min="9459" max="9459" width="15" style="2" customWidth="1"/>
    <col min="9460" max="9463" width="13" style="2" customWidth="1"/>
    <col min="9464" max="9464" width="17.5" style="2" customWidth="1"/>
    <col min="9465" max="9712" width="9.1640625" style="2"/>
    <col min="9713" max="9713" width="10.83203125" style="2" customWidth="1"/>
    <col min="9714" max="9714" width="18.1640625" style="2" customWidth="1"/>
    <col min="9715" max="9715" width="15" style="2" customWidth="1"/>
    <col min="9716" max="9719" width="13" style="2" customWidth="1"/>
    <col min="9720" max="9720" width="17.5" style="2" customWidth="1"/>
    <col min="9721" max="9968" width="9.1640625" style="2"/>
    <col min="9969" max="9969" width="10.83203125" style="2" customWidth="1"/>
    <col min="9970" max="9970" width="18.1640625" style="2" customWidth="1"/>
    <col min="9971" max="9971" width="15" style="2" customWidth="1"/>
    <col min="9972" max="9975" width="13" style="2" customWidth="1"/>
    <col min="9976" max="9976" width="17.5" style="2" customWidth="1"/>
    <col min="9977" max="10224" width="9.1640625" style="2"/>
    <col min="10225" max="10225" width="10.83203125" style="2" customWidth="1"/>
    <col min="10226" max="10226" width="18.1640625" style="2" customWidth="1"/>
    <col min="10227" max="10227" width="15" style="2" customWidth="1"/>
    <col min="10228" max="10231" width="13" style="2" customWidth="1"/>
    <col min="10232" max="10232" width="17.5" style="2" customWidth="1"/>
    <col min="10233" max="10480" width="9.1640625" style="2"/>
    <col min="10481" max="10481" width="10.83203125" style="2" customWidth="1"/>
    <col min="10482" max="10482" width="18.1640625" style="2" customWidth="1"/>
    <col min="10483" max="10483" width="15" style="2" customWidth="1"/>
    <col min="10484" max="10487" width="13" style="2" customWidth="1"/>
    <col min="10488" max="10488" width="17.5" style="2" customWidth="1"/>
    <col min="10489" max="10736" width="9.1640625" style="2"/>
    <col min="10737" max="10737" width="10.83203125" style="2" customWidth="1"/>
    <col min="10738" max="10738" width="18.1640625" style="2" customWidth="1"/>
    <col min="10739" max="10739" width="15" style="2" customWidth="1"/>
    <col min="10740" max="10743" width="13" style="2" customWidth="1"/>
    <col min="10744" max="10744" width="17.5" style="2" customWidth="1"/>
    <col min="10745" max="10992" width="9.1640625" style="2"/>
    <col min="10993" max="10993" width="10.83203125" style="2" customWidth="1"/>
    <col min="10994" max="10994" width="18.1640625" style="2" customWidth="1"/>
    <col min="10995" max="10995" width="15" style="2" customWidth="1"/>
    <col min="10996" max="10999" width="13" style="2" customWidth="1"/>
    <col min="11000" max="11000" width="17.5" style="2" customWidth="1"/>
    <col min="11001" max="11248" width="9.1640625" style="2"/>
    <col min="11249" max="11249" width="10.83203125" style="2" customWidth="1"/>
    <col min="11250" max="11250" width="18.1640625" style="2" customWidth="1"/>
    <col min="11251" max="11251" width="15" style="2" customWidth="1"/>
    <col min="11252" max="11255" width="13" style="2" customWidth="1"/>
    <col min="11256" max="11256" width="17.5" style="2" customWidth="1"/>
    <col min="11257" max="11504" width="9.1640625" style="2"/>
    <col min="11505" max="11505" width="10.83203125" style="2" customWidth="1"/>
    <col min="11506" max="11506" width="18.1640625" style="2" customWidth="1"/>
    <col min="11507" max="11507" width="15" style="2" customWidth="1"/>
    <col min="11508" max="11511" width="13" style="2" customWidth="1"/>
    <col min="11512" max="11512" width="17.5" style="2" customWidth="1"/>
    <col min="11513" max="11760" width="9.1640625" style="2"/>
    <col min="11761" max="11761" width="10.83203125" style="2" customWidth="1"/>
    <col min="11762" max="11762" width="18.1640625" style="2" customWidth="1"/>
    <col min="11763" max="11763" width="15" style="2" customWidth="1"/>
    <col min="11764" max="11767" width="13" style="2" customWidth="1"/>
    <col min="11768" max="11768" width="17.5" style="2" customWidth="1"/>
    <col min="11769" max="12016" width="9.1640625" style="2"/>
    <col min="12017" max="12017" width="10.83203125" style="2" customWidth="1"/>
    <col min="12018" max="12018" width="18.1640625" style="2" customWidth="1"/>
    <col min="12019" max="12019" width="15" style="2" customWidth="1"/>
    <col min="12020" max="12023" width="13" style="2" customWidth="1"/>
    <col min="12024" max="12024" width="17.5" style="2" customWidth="1"/>
    <col min="12025" max="12272" width="9.1640625" style="2"/>
    <col min="12273" max="12273" width="10.83203125" style="2" customWidth="1"/>
    <col min="12274" max="12274" width="18.1640625" style="2" customWidth="1"/>
    <col min="12275" max="12275" width="15" style="2" customWidth="1"/>
    <col min="12276" max="12279" width="13" style="2" customWidth="1"/>
    <col min="12280" max="12280" width="17.5" style="2" customWidth="1"/>
    <col min="12281" max="12528" width="9.1640625" style="2"/>
    <col min="12529" max="12529" width="10.83203125" style="2" customWidth="1"/>
    <col min="12530" max="12530" width="18.1640625" style="2" customWidth="1"/>
    <col min="12531" max="12531" width="15" style="2" customWidth="1"/>
    <col min="12532" max="12535" width="13" style="2" customWidth="1"/>
    <col min="12536" max="12536" width="17.5" style="2" customWidth="1"/>
    <col min="12537" max="12784" width="9.1640625" style="2"/>
    <col min="12785" max="12785" width="10.83203125" style="2" customWidth="1"/>
    <col min="12786" max="12786" width="18.1640625" style="2" customWidth="1"/>
    <col min="12787" max="12787" width="15" style="2" customWidth="1"/>
    <col min="12788" max="12791" width="13" style="2" customWidth="1"/>
    <col min="12792" max="12792" width="17.5" style="2" customWidth="1"/>
    <col min="12793" max="13040" width="9.1640625" style="2"/>
    <col min="13041" max="13041" width="10.83203125" style="2" customWidth="1"/>
    <col min="13042" max="13042" width="18.1640625" style="2" customWidth="1"/>
    <col min="13043" max="13043" width="15" style="2" customWidth="1"/>
    <col min="13044" max="13047" width="13" style="2" customWidth="1"/>
    <col min="13048" max="13048" width="17.5" style="2" customWidth="1"/>
    <col min="13049" max="13296" width="9.1640625" style="2"/>
    <col min="13297" max="13297" width="10.83203125" style="2" customWidth="1"/>
    <col min="13298" max="13298" width="18.1640625" style="2" customWidth="1"/>
    <col min="13299" max="13299" width="15" style="2" customWidth="1"/>
    <col min="13300" max="13303" width="13" style="2" customWidth="1"/>
    <col min="13304" max="13304" width="17.5" style="2" customWidth="1"/>
    <col min="13305" max="13552" width="9.1640625" style="2"/>
    <col min="13553" max="13553" width="10.83203125" style="2" customWidth="1"/>
    <col min="13554" max="13554" width="18.1640625" style="2" customWidth="1"/>
    <col min="13555" max="13555" width="15" style="2" customWidth="1"/>
    <col min="13556" max="13559" width="13" style="2" customWidth="1"/>
    <col min="13560" max="13560" width="17.5" style="2" customWidth="1"/>
    <col min="13561" max="13808" width="9.1640625" style="2"/>
    <col min="13809" max="13809" width="10.83203125" style="2" customWidth="1"/>
    <col min="13810" max="13810" width="18.1640625" style="2" customWidth="1"/>
    <col min="13811" max="13811" width="15" style="2" customWidth="1"/>
    <col min="13812" max="13815" width="13" style="2" customWidth="1"/>
    <col min="13816" max="13816" width="17.5" style="2" customWidth="1"/>
    <col min="13817" max="14064" width="9.1640625" style="2"/>
    <col min="14065" max="14065" width="10.83203125" style="2" customWidth="1"/>
    <col min="14066" max="14066" width="18.1640625" style="2" customWidth="1"/>
    <col min="14067" max="14067" width="15" style="2" customWidth="1"/>
    <col min="14068" max="14071" width="13" style="2" customWidth="1"/>
    <col min="14072" max="14072" width="17.5" style="2" customWidth="1"/>
    <col min="14073" max="14320" width="9.1640625" style="2"/>
    <col min="14321" max="14321" width="10.83203125" style="2" customWidth="1"/>
    <col min="14322" max="14322" width="18.1640625" style="2" customWidth="1"/>
    <col min="14323" max="14323" width="15" style="2" customWidth="1"/>
    <col min="14324" max="14327" width="13" style="2" customWidth="1"/>
    <col min="14328" max="14328" width="17.5" style="2" customWidth="1"/>
    <col min="14329" max="14576" width="9.1640625" style="2"/>
    <col min="14577" max="14577" width="10.83203125" style="2" customWidth="1"/>
    <col min="14578" max="14578" width="18.1640625" style="2" customWidth="1"/>
    <col min="14579" max="14579" width="15" style="2" customWidth="1"/>
    <col min="14580" max="14583" width="13" style="2" customWidth="1"/>
    <col min="14584" max="14584" width="17.5" style="2" customWidth="1"/>
    <col min="14585" max="14832" width="9.1640625" style="2"/>
    <col min="14833" max="14833" width="10.83203125" style="2" customWidth="1"/>
    <col min="14834" max="14834" width="18.1640625" style="2" customWidth="1"/>
    <col min="14835" max="14835" width="15" style="2" customWidth="1"/>
    <col min="14836" max="14839" width="13" style="2" customWidth="1"/>
    <col min="14840" max="14840" width="17.5" style="2" customWidth="1"/>
    <col min="14841" max="15088" width="9.1640625" style="2"/>
    <col min="15089" max="15089" width="10.83203125" style="2" customWidth="1"/>
    <col min="15090" max="15090" width="18.1640625" style="2" customWidth="1"/>
    <col min="15091" max="15091" width="15" style="2" customWidth="1"/>
    <col min="15092" max="15095" width="13" style="2" customWidth="1"/>
    <col min="15096" max="15096" width="17.5" style="2" customWidth="1"/>
    <col min="15097" max="15344" width="9.1640625" style="2"/>
    <col min="15345" max="15345" width="10.83203125" style="2" customWidth="1"/>
    <col min="15346" max="15346" width="18.1640625" style="2" customWidth="1"/>
    <col min="15347" max="15347" width="15" style="2" customWidth="1"/>
    <col min="15348" max="15351" width="13" style="2" customWidth="1"/>
    <col min="15352" max="15352" width="17.5" style="2" customWidth="1"/>
    <col min="15353" max="15600" width="9.1640625" style="2"/>
    <col min="15601" max="15601" width="10.83203125" style="2" customWidth="1"/>
    <col min="15602" max="15602" width="18.1640625" style="2" customWidth="1"/>
    <col min="15603" max="15603" width="15" style="2" customWidth="1"/>
    <col min="15604" max="15607" width="13" style="2" customWidth="1"/>
    <col min="15608" max="15608" width="17.5" style="2" customWidth="1"/>
    <col min="15609" max="15856" width="9.1640625" style="2"/>
    <col min="15857" max="15857" width="10.83203125" style="2" customWidth="1"/>
    <col min="15858" max="15858" width="18.1640625" style="2" customWidth="1"/>
    <col min="15859" max="15859" width="15" style="2" customWidth="1"/>
    <col min="15860" max="15863" width="13" style="2" customWidth="1"/>
    <col min="15864" max="15864" width="17.5" style="2" customWidth="1"/>
    <col min="15865" max="16112" width="9.1640625" style="2"/>
    <col min="16113" max="16113" width="10.83203125" style="2" customWidth="1"/>
    <col min="16114" max="16114" width="18.1640625" style="2" customWidth="1"/>
    <col min="16115" max="16115" width="15" style="2" customWidth="1"/>
    <col min="16116" max="16119" width="13" style="2" customWidth="1"/>
    <col min="16120" max="16120" width="17.5" style="2" customWidth="1"/>
    <col min="16121" max="16384" width="9.1640625" style="2"/>
  </cols>
  <sheetData>
    <row r="1" spans="1:3">
      <c r="A1" s="1" t="s">
        <v>9</v>
      </c>
      <c r="C1" s="85"/>
    </row>
    <row r="2" spans="1:3">
      <c r="A2" s="87" t="s">
        <v>89</v>
      </c>
      <c r="B2" s="83"/>
      <c r="C2" s="84"/>
    </row>
    <row r="3" spans="1:3">
      <c r="B3" s="83"/>
      <c r="C3" s="84"/>
    </row>
    <row r="4" spans="1:3" ht="16" thickBot="1"/>
    <row r="5" spans="1:3" ht="68.25" customHeight="1">
      <c r="A5" s="88" t="s">
        <v>10</v>
      </c>
      <c r="B5" s="89" t="s">
        <v>89</v>
      </c>
      <c r="C5" s="90" t="s">
        <v>87</v>
      </c>
    </row>
    <row r="6" spans="1:3">
      <c r="A6" s="91">
        <v>33635</v>
      </c>
      <c r="B6" s="92">
        <f>VLOOKUP(A6,Database!A:M,MATCH($A$1,Database!$A$1:$M$1,),)</f>
        <v>114535</v>
      </c>
      <c r="C6" s="93"/>
    </row>
    <row r="7" spans="1:3">
      <c r="A7" s="91">
        <v>33664</v>
      </c>
      <c r="B7" s="92">
        <f>VLOOKUP(A7,Database!A:M,MATCH($A$1,Database!$A$1:$M$1,),)</f>
        <v>120025</v>
      </c>
      <c r="C7" s="94">
        <f>(Table53514[[#This Row],[Manufacturers'' New Orders: Durable Goods]]-B6)/B6</f>
        <v>4.7932946260968265E-2</v>
      </c>
    </row>
    <row r="8" spans="1:3">
      <c r="A8" s="91">
        <v>33695</v>
      </c>
      <c r="B8" s="92">
        <f>VLOOKUP(A8,Database!A:M,MATCH($A$1,Database!$A$1:$M$1,),)</f>
        <v>124470</v>
      </c>
      <c r="C8" s="94">
        <f>(Table53514[[#This Row],[Manufacturers'' New Orders: Durable Goods]]-B7)/B7</f>
        <v>3.7033951260154137E-2</v>
      </c>
    </row>
    <row r="9" spans="1:3">
      <c r="A9" s="91">
        <v>33725</v>
      </c>
      <c r="B9" s="92">
        <f>VLOOKUP(A9,Database!A:M,MATCH($A$1,Database!$A$1:$M$1,),)</f>
        <v>125822</v>
      </c>
      <c r="C9" s="94">
        <f>(Table53514[[#This Row],[Manufacturers'' New Orders: Durable Goods]]-B8)/B8</f>
        <v>1.0862055113682012E-2</v>
      </c>
    </row>
    <row r="10" spans="1:3">
      <c r="A10" s="91">
        <v>33756</v>
      </c>
      <c r="B10" s="92">
        <f>VLOOKUP(A10,Database!A:M,MATCH($A$1,Database!$A$1:$M$1,),)</f>
        <v>122834</v>
      </c>
      <c r="C10" s="94">
        <f>(Table53514[[#This Row],[Manufacturers'' New Orders: Durable Goods]]-B9)/B9</f>
        <v>-2.3747834242024448E-2</v>
      </c>
    </row>
    <row r="11" spans="1:3">
      <c r="A11" s="91">
        <v>33786</v>
      </c>
      <c r="B11" s="92">
        <f>VLOOKUP(A11,Database!A:M,MATCH($A$1,Database!$A$1:$M$1,),)</f>
        <v>122590</v>
      </c>
      <c r="C11" s="94">
        <f>(Table53514[[#This Row],[Manufacturers'' New Orders: Durable Goods]]-B10)/B10</f>
        <v>-1.9864206978523861E-3</v>
      </c>
    </row>
    <row r="12" spans="1:3">
      <c r="A12" s="91">
        <v>33817</v>
      </c>
      <c r="B12" s="92">
        <f>VLOOKUP(A12,Database!A:M,MATCH($A$1,Database!$A$1:$M$1,),)</f>
        <v>120411</v>
      </c>
      <c r="C12" s="94">
        <f>(Table53514[[#This Row],[Manufacturers'' New Orders: Durable Goods]]-B11)/B11</f>
        <v>-1.7774696141610244E-2</v>
      </c>
    </row>
    <row r="13" spans="1:3">
      <c r="A13" s="91">
        <v>33848</v>
      </c>
      <c r="B13" s="92">
        <f>VLOOKUP(A13,Database!A:M,MATCH($A$1,Database!$A$1:$M$1,),)</f>
        <v>120711</v>
      </c>
      <c r="C13" s="94">
        <f>(Table53514[[#This Row],[Manufacturers'' New Orders: Durable Goods]]-B12)/B12</f>
        <v>2.491466726461868E-3</v>
      </c>
    </row>
    <row r="14" spans="1:3">
      <c r="A14" s="91">
        <v>33878</v>
      </c>
      <c r="B14" s="92">
        <f>VLOOKUP(A14,Database!A:M,MATCH($A$1,Database!$A$1:$M$1,),)</f>
        <v>127392</v>
      </c>
      <c r="C14" s="94">
        <f>(Table53514[[#This Row],[Manufacturers'' New Orders: Durable Goods]]-B13)/B13</f>
        <v>5.5347068618435767E-2</v>
      </c>
    </row>
    <row r="15" spans="1:3">
      <c r="A15" s="91">
        <v>33909</v>
      </c>
      <c r="B15" s="92">
        <f>VLOOKUP(A15,Database!A:M,MATCH($A$1,Database!$A$1:$M$1,),)</f>
        <v>122374</v>
      </c>
      <c r="C15" s="94">
        <f>(Table53514[[#This Row],[Manufacturers'' New Orders: Durable Goods]]-B14)/B14</f>
        <v>-3.9390228585782464E-2</v>
      </c>
    </row>
    <row r="16" spans="1:3">
      <c r="A16" s="91">
        <v>33939</v>
      </c>
      <c r="B16" s="92">
        <f>VLOOKUP(A16,Database!A:M,MATCH($A$1,Database!$A$1:$M$1,),)</f>
        <v>126080</v>
      </c>
      <c r="C16" s="94">
        <f>(Table53514[[#This Row],[Manufacturers'' New Orders: Durable Goods]]-B15)/B15</f>
        <v>3.0284210698350956E-2</v>
      </c>
    </row>
    <row r="17" spans="1:3">
      <c r="A17" s="91">
        <v>33970</v>
      </c>
      <c r="B17" s="92">
        <f>VLOOKUP(A17,Database!A:M,MATCH($A$1,Database!$A$1:$M$1,),)</f>
        <v>121637</v>
      </c>
      <c r="C17" s="94">
        <f>(Table53514[[#This Row],[Manufacturers'' New Orders: Durable Goods]]-B16)/B16</f>
        <v>-3.523953045685279E-2</v>
      </c>
    </row>
    <row r="18" spans="1:3">
      <c r="A18" s="91">
        <v>34001</v>
      </c>
      <c r="B18" s="92">
        <f>VLOOKUP(A18,Database!A:M,MATCH($A$1,Database!$A$1:$M$1,),)</f>
        <v>128854</v>
      </c>
      <c r="C18" s="94">
        <f>(Table53514[[#This Row],[Manufacturers'' New Orders: Durable Goods]]-B17)/B17</f>
        <v>5.933227554115935E-2</v>
      </c>
    </row>
    <row r="19" spans="1:3">
      <c r="A19" s="91">
        <v>34029</v>
      </c>
      <c r="B19" s="92">
        <f>VLOOKUP(A19,Database!A:M,MATCH($A$1,Database!$A$1:$M$1,),)</f>
        <v>126762</v>
      </c>
      <c r="C19" s="94">
        <f>(Table53514[[#This Row],[Manufacturers'' New Orders: Durable Goods]]-B18)/B18</f>
        <v>-1.6235429245502662E-2</v>
      </c>
    </row>
    <row r="20" spans="1:3">
      <c r="A20" s="91">
        <v>34060</v>
      </c>
      <c r="B20" s="92">
        <f>VLOOKUP(A20,Database!A:M,MATCH($A$1,Database!$A$1:$M$1,),)</f>
        <v>127395</v>
      </c>
      <c r="C20" s="94">
        <f>(Table53514[[#This Row],[Manufacturers'' New Orders: Durable Goods]]-B19)/B19</f>
        <v>4.993610072419179E-3</v>
      </c>
    </row>
    <row r="21" spans="1:3">
      <c r="A21" s="91">
        <v>34090</v>
      </c>
      <c r="B21" s="92">
        <f>VLOOKUP(A21,Database!A:M,MATCH($A$1,Database!$A$1:$M$1,),)</f>
        <v>126529</v>
      </c>
      <c r="C21" s="94">
        <f>(Table53514[[#This Row],[Manufacturers'' New Orders: Durable Goods]]-B20)/B20</f>
        <v>-6.797755013933043E-3</v>
      </c>
    </row>
    <row r="22" spans="1:3">
      <c r="A22" s="91">
        <v>34121</v>
      </c>
      <c r="B22" s="92">
        <f>VLOOKUP(A22,Database!A:M,MATCH($A$1,Database!$A$1:$M$1,),)</f>
        <v>130212</v>
      </c>
      <c r="C22" s="94">
        <f>(Table53514[[#This Row],[Manufacturers'' New Orders: Durable Goods]]-B21)/B21</f>
        <v>2.9107951536801839E-2</v>
      </c>
    </row>
    <row r="23" spans="1:3">
      <c r="A23" s="91">
        <v>34151</v>
      </c>
      <c r="B23" s="92">
        <f>VLOOKUP(A23,Database!A:M,MATCH($A$1,Database!$A$1:$M$1,),)</f>
        <v>128111</v>
      </c>
      <c r="C23" s="94">
        <f>(Table53514[[#This Row],[Manufacturers'' New Orders: Durable Goods]]-B22)/B22</f>
        <v>-1.6135225632046203E-2</v>
      </c>
    </row>
    <row r="24" spans="1:3">
      <c r="A24" s="91">
        <v>34182</v>
      </c>
      <c r="B24" s="92">
        <f>VLOOKUP(A24,Database!A:M,MATCH($A$1,Database!$A$1:$M$1,),)</f>
        <v>129378</v>
      </c>
      <c r="C24" s="94">
        <f>(Table53514[[#This Row],[Manufacturers'' New Orders: Durable Goods]]-B23)/B23</f>
        <v>9.8898611360460856E-3</v>
      </c>
    </row>
    <row r="25" spans="1:3">
      <c r="A25" s="91">
        <v>34213</v>
      </c>
      <c r="B25" s="92">
        <f>VLOOKUP(A25,Database!A:M,MATCH($A$1,Database!$A$1:$M$1,),)</f>
        <v>127233</v>
      </c>
      <c r="C25" s="94">
        <f>(Table53514[[#This Row],[Manufacturers'' New Orders: Durable Goods]]-B24)/B24</f>
        <v>-1.6579325696795436E-2</v>
      </c>
    </row>
    <row r="26" spans="1:3">
      <c r="A26" s="91">
        <v>34243</v>
      </c>
      <c r="B26" s="92">
        <f>VLOOKUP(A26,Database!A:M,MATCH($A$1,Database!$A$1:$M$1,),)</f>
        <v>133168</v>
      </c>
      <c r="C26" s="94">
        <f>(Table53514[[#This Row],[Manufacturers'' New Orders: Durable Goods]]-B25)/B25</f>
        <v>4.6646703292384836E-2</v>
      </c>
    </row>
    <row r="27" spans="1:3">
      <c r="A27" s="91">
        <v>34274</v>
      </c>
      <c r="B27" s="92">
        <f>VLOOKUP(A27,Database!A:M,MATCH($A$1,Database!$A$1:$M$1,),)</f>
        <v>130391</v>
      </c>
      <c r="C27" s="94">
        <f>(Table53514[[#This Row],[Manufacturers'' New Orders: Durable Goods]]-B26)/B26</f>
        <v>-2.0853358164123512E-2</v>
      </c>
    </row>
    <row r="28" spans="1:3">
      <c r="A28" s="91">
        <v>34304</v>
      </c>
      <c r="B28" s="92">
        <f>VLOOKUP(A28,Database!A:M,MATCH($A$1,Database!$A$1:$M$1,),)</f>
        <v>133565</v>
      </c>
      <c r="C28" s="94">
        <f>(Table53514[[#This Row],[Manufacturers'' New Orders: Durable Goods]]-B27)/B27</f>
        <v>2.4342170855350447E-2</v>
      </c>
    </row>
    <row r="29" spans="1:3">
      <c r="A29" s="91">
        <v>34335</v>
      </c>
      <c r="B29" s="92">
        <f>VLOOKUP(A29,Database!A:M,MATCH($A$1,Database!$A$1:$M$1,),)</f>
        <v>138498</v>
      </c>
      <c r="C29" s="94">
        <f>(Table53514[[#This Row],[Manufacturers'' New Orders: Durable Goods]]-B28)/B28</f>
        <v>3.6933328342005765E-2</v>
      </c>
    </row>
    <row r="30" spans="1:3">
      <c r="A30" s="91">
        <v>34366</v>
      </c>
      <c r="B30" s="92">
        <f>VLOOKUP(A30,Database!A:M,MATCH($A$1,Database!$A$1:$M$1,),)</f>
        <v>137141</v>
      </c>
      <c r="C30" s="94">
        <f>(Table53514[[#This Row],[Manufacturers'' New Orders: Durable Goods]]-B29)/B29</f>
        <v>-9.7979754220277552E-3</v>
      </c>
    </row>
    <row r="31" spans="1:3">
      <c r="A31" s="91">
        <v>34394</v>
      </c>
      <c r="B31" s="92">
        <f>VLOOKUP(A31,Database!A:M,MATCH($A$1,Database!$A$1:$M$1,),)</f>
        <v>136548</v>
      </c>
      <c r="C31" s="94">
        <f>(Table53514[[#This Row],[Manufacturers'' New Orders: Durable Goods]]-B30)/B30</f>
        <v>-4.3240168877286883E-3</v>
      </c>
    </row>
    <row r="32" spans="1:3">
      <c r="A32" s="91">
        <v>34425</v>
      </c>
      <c r="B32" s="92">
        <f>VLOOKUP(A32,Database!A:M,MATCH($A$1,Database!$A$1:$M$1,),)</f>
        <v>140336</v>
      </c>
      <c r="C32" s="94">
        <f>(Table53514[[#This Row],[Manufacturers'' New Orders: Durable Goods]]-B31)/B31</f>
        <v>2.7741160617511789E-2</v>
      </c>
    </row>
    <row r="33" spans="1:3">
      <c r="A33" s="91">
        <v>34455</v>
      </c>
      <c r="B33" s="92">
        <f>VLOOKUP(A33,Database!A:M,MATCH($A$1,Database!$A$1:$M$1,),)</f>
        <v>142630</v>
      </c>
      <c r="C33" s="94">
        <f>(Table53514[[#This Row],[Manufacturers'' New Orders: Durable Goods]]-B32)/B32</f>
        <v>1.6346482727169081E-2</v>
      </c>
    </row>
    <row r="34" spans="1:3">
      <c r="A34" s="91">
        <v>34486</v>
      </c>
      <c r="B34" s="92">
        <f>VLOOKUP(A34,Database!A:M,MATCH($A$1,Database!$A$1:$M$1,),)</f>
        <v>145063</v>
      </c>
      <c r="C34" s="94">
        <f>(Table53514[[#This Row],[Manufacturers'' New Orders: Durable Goods]]-B33)/B33</f>
        <v>1.7058122414639276E-2</v>
      </c>
    </row>
    <row r="35" spans="1:3">
      <c r="A35" s="91">
        <v>34516</v>
      </c>
      <c r="B35" s="92">
        <f>VLOOKUP(A35,Database!A:M,MATCH($A$1,Database!$A$1:$M$1,),)</f>
        <v>145013</v>
      </c>
      <c r="C35" s="94">
        <f>(Table53514[[#This Row],[Manufacturers'' New Orders: Durable Goods]]-B34)/B34</f>
        <v>-3.4467782963264236E-4</v>
      </c>
    </row>
    <row r="36" spans="1:3">
      <c r="A36" s="91">
        <v>34547</v>
      </c>
      <c r="B36" s="92">
        <f>VLOOKUP(A36,Database!A:M,MATCH($A$1,Database!$A$1:$M$1,),)</f>
        <v>145884</v>
      </c>
      <c r="C36" s="94">
        <f>(Table53514[[#This Row],[Manufacturers'' New Orders: Durable Goods]]-B35)/B35</f>
        <v>6.0063580506575275E-3</v>
      </c>
    </row>
    <row r="37" spans="1:3">
      <c r="A37" s="91">
        <v>34578</v>
      </c>
      <c r="B37" s="92">
        <f>VLOOKUP(A37,Database!A:M,MATCH($A$1,Database!$A$1:$M$1,),)</f>
        <v>145487</v>
      </c>
      <c r="C37" s="94">
        <f>(Table53514[[#This Row],[Manufacturers'' New Orders: Durable Goods]]-B36)/B36</f>
        <v>-2.7213402429327412E-3</v>
      </c>
    </row>
    <row r="38" spans="1:3">
      <c r="A38" s="91">
        <v>34608</v>
      </c>
      <c r="B38" s="92">
        <f>VLOOKUP(A38,Database!A:M,MATCH($A$1,Database!$A$1:$M$1,),)</f>
        <v>149547</v>
      </c>
      <c r="C38" s="94">
        <f>(Table53514[[#This Row],[Manufacturers'' New Orders: Durable Goods]]-B37)/B37</f>
        <v>2.7906273412744782E-2</v>
      </c>
    </row>
    <row r="39" spans="1:3">
      <c r="A39" s="91">
        <v>34639</v>
      </c>
      <c r="B39" s="92">
        <f>VLOOKUP(A39,Database!A:M,MATCH($A$1,Database!$A$1:$M$1,),)</f>
        <v>150038</v>
      </c>
      <c r="C39" s="94">
        <f>(Table53514[[#This Row],[Manufacturers'' New Orders: Durable Goods]]-B38)/B38</f>
        <v>3.2832487445418495E-3</v>
      </c>
    </row>
    <row r="40" spans="1:3">
      <c r="A40" s="91">
        <v>34669</v>
      </c>
      <c r="B40" s="92">
        <f>VLOOKUP(A40,Database!A:M,MATCH($A$1,Database!$A$1:$M$1,),)</f>
        <v>152489</v>
      </c>
      <c r="C40" s="94">
        <f>(Table53514[[#This Row],[Manufacturers'' New Orders: Durable Goods]]-B39)/B39</f>
        <v>1.6335861581732627E-2</v>
      </c>
    </row>
    <row r="41" spans="1:3">
      <c r="A41" s="91">
        <v>34700</v>
      </c>
      <c r="B41" s="92">
        <f>VLOOKUP(A41,Database!A:M,MATCH($A$1,Database!$A$1:$M$1,),)</f>
        <v>150459</v>
      </c>
      <c r="C41" s="94">
        <f>(Table53514[[#This Row],[Manufacturers'' New Orders: Durable Goods]]-B40)/B40</f>
        <v>-1.3312435651096145E-2</v>
      </c>
    </row>
    <row r="42" spans="1:3">
      <c r="A42" s="91">
        <v>34731</v>
      </c>
      <c r="B42" s="92">
        <f>VLOOKUP(A42,Database!A:M,MATCH($A$1,Database!$A$1:$M$1,),)</f>
        <v>153856</v>
      </c>
      <c r="C42" s="94">
        <f>(Table53514[[#This Row],[Manufacturers'' New Orders: Durable Goods]]-B41)/B41</f>
        <v>2.2577579274087958E-2</v>
      </c>
    </row>
    <row r="43" spans="1:3">
      <c r="A43" s="91">
        <v>34759</v>
      </c>
      <c r="B43" s="92">
        <f>VLOOKUP(A43,Database!A:M,MATCH($A$1,Database!$A$1:$M$1,),)</f>
        <v>152888</v>
      </c>
      <c r="C43" s="94">
        <f>(Table53514[[#This Row],[Manufacturers'' New Orders: Durable Goods]]-B42)/B42</f>
        <v>-6.2915973377703823E-3</v>
      </c>
    </row>
    <row r="44" spans="1:3">
      <c r="A44" s="91">
        <v>34790</v>
      </c>
      <c r="B44" s="92">
        <f>VLOOKUP(A44,Database!A:M,MATCH($A$1,Database!$A$1:$M$1,),)</f>
        <v>151401</v>
      </c>
      <c r="C44" s="94">
        <f>(Table53514[[#This Row],[Manufacturers'' New Orders: Durable Goods]]-B43)/B43</f>
        <v>-9.7260739888022606E-3</v>
      </c>
    </row>
    <row r="45" spans="1:3">
      <c r="A45" s="91">
        <v>34820</v>
      </c>
      <c r="B45" s="92">
        <f>VLOOKUP(A45,Database!A:M,MATCH($A$1,Database!$A$1:$M$1,),)</f>
        <v>152838</v>
      </c>
      <c r="C45" s="94">
        <f>(Table53514[[#This Row],[Manufacturers'' New Orders: Durable Goods]]-B44)/B44</f>
        <v>9.4913507836804252E-3</v>
      </c>
    </row>
    <row r="46" spans="1:3">
      <c r="A46" s="91">
        <v>34851</v>
      </c>
      <c r="B46" s="92">
        <f>VLOOKUP(A46,Database!A:M,MATCH($A$1,Database!$A$1:$M$1,),)</f>
        <v>150051</v>
      </c>
      <c r="C46" s="94">
        <f>(Table53514[[#This Row],[Manufacturers'' New Orders: Durable Goods]]-B45)/B45</f>
        <v>-1.823499391512582E-2</v>
      </c>
    </row>
    <row r="47" spans="1:3">
      <c r="A47" s="91">
        <v>34881</v>
      </c>
      <c r="B47" s="92">
        <f>VLOOKUP(A47,Database!A:M,MATCH($A$1,Database!$A$1:$M$1,),)</f>
        <v>148915</v>
      </c>
      <c r="C47" s="94">
        <f>(Table53514[[#This Row],[Manufacturers'' New Orders: Durable Goods]]-B46)/B46</f>
        <v>-7.570759275179772E-3</v>
      </c>
    </row>
    <row r="48" spans="1:3">
      <c r="A48" s="91">
        <v>34912</v>
      </c>
      <c r="B48" s="92">
        <f>VLOOKUP(A48,Database!A:M,MATCH($A$1,Database!$A$1:$M$1,),)</f>
        <v>154372</v>
      </c>
      <c r="C48" s="94">
        <f>(Table53514[[#This Row],[Manufacturers'' New Orders: Durable Goods]]-B47)/B47</f>
        <v>3.6645065977235339E-2</v>
      </c>
    </row>
    <row r="49" spans="1:3">
      <c r="A49" s="91">
        <v>34943</v>
      </c>
      <c r="B49" s="92">
        <f>VLOOKUP(A49,Database!A:M,MATCH($A$1,Database!$A$1:$M$1,),)</f>
        <v>160175</v>
      </c>
      <c r="C49" s="94">
        <f>(Table53514[[#This Row],[Manufacturers'' New Orders: Durable Goods]]-B48)/B48</f>
        <v>3.759101391444044E-2</v>
      </c>
    </row>
    <row r="50" spans="1:3">
      <c r="A50" s="91">
        <v>34973</v>
      </c>
      <c r="B50" s="92">
        <f>VLOOKUP(A50,Database!A:M,MATCH($A$1,Database!$A$1:$M$1,),)</f>
        <v>155473</v>
      </c>
      <c r="C50" s="94">
        <f>(Table53514[[#This Row],[Manufacturers'' New Orders: Durable Goods]]-B49)/B49</f>
        <v>-2.9355392539410021E-2</v>
      </c>
    </row>
    <row r="51" spans="1:3">
      <c r="A51" s="91">
        <v>35004</v>
      </c>
      <c r="B51" s="92">
        <f>VLOOKUP(A51,Database!A:M,MATCH($A$1,Database!$A$1:$M$1,),)</f>
        <v>156146</v>
      </c>
      <c r="C51" s="94">
        <f>(Table53514[[#This Row],[Manufacturers'' New Orders: Durable Goods]]-B50)/B50</f>
        <v>4.3287258880963251E-3</v>
      </c>
    </row>
    <row r="52" spans="1:3">
      <c r="A52" s="91">
        <v>35034</v>
      </c>
      <c r="B52" s="92">
        <f>VLOOKUP(A52,Database!A:M,MATCH($A$1,Database!$A$1:$M$1,),)</f>
        <v>163279</v>
      </c>
      <c r="C52" s="94">
        <f>(Table53514[[#This Row],[Manufacturers'' New Orders: Durable Goods]]-B51)/B51</f>
        <v>4.5681605676738436E-2</v>
      </c>
    </row>
    <row r="53" spans="1:3">
      <c r="A53" s="91">
        <v>35065</v>
      </c>
      <c r="B53" s="92">
        <f>VLOOKUP(A53,Database!A:M,MATCH($A$1,Database!$A$1:$M$1,),)</f>
        <v>155806</v>
      </c>
      <c r="C53" s="94">
        <f>(Table53514[[#This Row],[Manufacturers'' New Orders: Durable Goods]]-B52)/B52</f>
        <v>-4.5768286184996232E-2</v>
      </c>
    </row>
    <row r="54" spans="1:3">
      <c r="A54" s="91">
        <v>35096</v>
      </c>
      <c r="B54" s="92">
        <f>VLOOKUP(A54,Database!A:M,MATCH($A$1,Database!$A$1:$M$1,),)</f>
        <v>150773</v>
      </c>
      <c r="C54" s="94">
        <f>(Table53514[[#This Row],[Manufacturers'' New Orders: Durable Goods]]-B53)/B53</f>
        <v>-3.2302992182586039E-2</v>
      </c>
    </row>
    <row r="55" spans="1:3">
      <c r="A55" s="91">
        <v>35125</v>
      </c>
      <c r="B55" s="92">
        <f>VLOOKUP(A55,Database!A:M,MATCH($A$1,Database!$A$1:$M$1,),)</f>
        <v>164976</v>
      </c>
      <c r="C55" s="94">
        <f>(Table53514[[#This Row],[Manufacturers'' New Orders: Durable Goods]]-B54)/B54</f>
        <v>9.420121639816148E-2</v>
      </c>
    </row>
    <row r="56" spans="1:3">
      <c r="A56" s="91">
        <v>35156</v>
      </c>
      <c r="B56" s="92">
        <f>VLOOKUP(A56,Database!A:M,MATCH($A$1,Database!$A$1:$M$1,),)</f>
        <v>156830</v>
      </c>
      <c r="C56" s="94">
        <f>(Table53514[[#This Row],[Manufacturers'' New Orders: Durable Goods]]-B55)/B55</f>
        <v>-4.9376879061196782E-2</v>
      </c>
    </row>
    <row r="57" spans="1:3">
      <c r="A57" s="91">
        <v>35186</v>
      </c>
      <c r="B57" s="92">
        <f>VLOOKUP(A57,Database!A:M,MATCH($A$1,Database!$A$1:$M$1,),)</f>
        <v>164502</v>
      </c>
      <c r="C57" s="94">
        <f>(Table53514[[#This Row],[Manufacturers'' New Orders: Durable Goods]]-B56)/B56</f>
        <v>4.8919211885481095E-2</v>
      </c>
    </row>
    <row r="58" spans="1:3">
      <c r="A58" s="91">
        <v>35217</v>
      </c>
      <c r="B58" s="92">
        <f>VLOOKUP(A58,Database!A:M,MATCH($A$1,Database!$A$1:$M$1,),)</f>
        <v>164599</v>
      </c>
      <c r="C58" s="94">
        <f>(Table53514[[#This Row],[Manufacturers'' New Orders: Durable Goods]]-B57)/B57</f>
        <v>5.8965848439532654E-4</v>
      </c>
    </row>
    <row r="59" spans="1:3">
      <c r="A59" s="91">
        <v>35247</v>
      </c>
      <c r="B59" s="92">
        <f>VLOOKUP(A59,Database!A:M,MATCH($A$1,Database!$A$1:$M$1,),)</f>
        <v>163588</v>
      </c>
      <c r="C59" s="94">
        <f>(Table53514[[#This Row],[Manufacturers'' New Orders: Durable Goods]]-B58)/B58</f>
        <v>-6.1422001348732371E-3</v>
      </c>
    </row>
    <row r="60" spans="1:3">
      <c r="A60" s="91">
        <v>35278</v>
      </c>
      <c r="B60" s="92">
        <f>VLOOKUP(A60,Database!A:M,MATCH($A$1,Database!$A$1:$M$1,),)</f>
        <v>157310</v>
      </c>
      <c r="C60" s="94">
        <f>(Table53514[[#This Row],[Manufacturers'' New Orders: Durable Goods]]-B59)/B59</f>
        <v>-3.8376898060982469E-2</v>
      </c>
    </row>
    <row r="61" spans="1:3">
      <c r="A61" s="91">
        <v>35309</v>
      </c>
      <c r="B61" s="92">
        <f>VLOOKUP(A61,Database!A:M,MATCH($A$1,Database!$A$1:$M$1,),)</f>
        <v>165442</v>
      </c>
      <c r="C61" s="94">
        <f>(Table53514[[#This Row],[Manufacturers'' New Orders: Durable Goods]]-B60)/B60</f>
        <v>5.1694107176911828E-2</v>
      </c>
    </row>
    <row r="62" spans="1:3">
      <c r="A62" s="91">
        <v>35339</v>
      </c>
      <c r="B62" s="92">
        <f>VLOOKUP(A62,Database!A:M,MATCH($A$1,Database!$A$1:$M$1,),)</f>
        <v>165266</v>
      </c>
      <c r="C62" s="94">
        <f>(Table53514[[#This Row],[Manufacturers'' New Orders: Durable Goods]]-B61)/B61</f>
        <v>-1.0638169267779645E-3</v>
      </c>
    </row>
    <row r="63" spans="1:3">
      <c r="A63" s="91">
        <v>35370</v>
      </c>
      <c r="B63" s="92">
        <f>VLOOKUP(A63,Database!A:M,MATCH($A$1,Database!$A$1:$M$1,),)</f>
        <v>170783</v>
      </c>
      <c r="C63" s="94">
        <f>(Table53514[[#This Row],[Manufacturers'' New Orders: Durable Goods]]-B62)/B62</f>
        <v>3.3382546924352254E-2</v>
      </c>
    </row>
    <row r="64" spans="1:3">
      <c r="A64" s="91">
        <v>35400</v>
      </c>
      <c r="B64" s="92">
        <f>VLOOKUP(A64,Database!A:M,MATCH($A$1,Database!$A$1:$M$1,),)</f>
        <v>162332</v>
      </c>
      <c r="C64" s="94">
        <f>(Table53514[[#This Row],[Manufacturers'' New Orders: Durable Goods]]-B63)/B63</f>
        <v>-4.9483847923973701E-2</v>
      </c>
    </row>
    <row r="65" spans="1:3">
      <c r="A65" s="91">
        <v>35431</v>
      </c>
      <c r="B65" s="92">
        <f>VLOOKUP(A65,Database!A:M,MATCH($A$1,Database!$A$1:$M$1,),)</f>
        <v>161827</v>
      </c>
      <c r="C65" s="94">
        <f>(Table53514[[#This Row],[Manufacturers'' New Orders: Durable Goods]]-B64)/B64</f>
        <v>-3.1109085084887762E-3</v>
      </c>
    </row>
    <row r="66" spans="1:3">
      <c r="A66" s="91">
        <v>35462</v>
      </c>
      <c r="B66" s="92">
        <f>VLOOKUP(A66,Database!A:M,MATCH($A$1,Database!$A$1:$M$1,),)</f>
        <v>170221</v>
      </c>
      <c r="C66" s="94">
        <f>(Table53514[[#This Row],[Manufacturers'' New Orders: Durable Goods]]-B65)/B65</f>
        <v>5.1870207072985348E-2</v>
      </c>
    </row>
    <row r="67" spans="1:3">
      <c r="A67" s="91">
        <v>35490</v>
      </c>
      <c r="B67" s="92">
        <f>VLOOKUP(A67,Database!A:M,MATCH($A$1,Database!$A$1:$M$1,),)</f>
        <v>167568</v>
      </c>
      <c r="C67" s="94">
        <f>(Table53514[[#This Row],[Manufacturers'' New Orders: Durable Goods]]-B66)/B66</f>
        <v>-1.5585621045581919E-2</v>
      </c>
    </row>
    <row r="68" spans="1:3">
      <c r="A68" s="91">
        <v>35521</v>
      </c>
      <c r="B68" s="92">
        <f>VLOOKUP(A68,Database!A:M,MATCH($A$1,Database!$A$1:$M$1,),)</f>
        <v>174054</v>
      </c>
      <c r="C68" s="94">
        <f>(Table53514[[#This Row],[Manufacturers'' New Orders: Durable Goods]]-B67)/B67</f>
        <v>3.8706674305356632E-2</v>
      </c>
    </row>
    <row r="69" spans="1:3">
      <c r="A69" s="91">
        <v>35551</v>
      </c>
      <c r="B69" s="92">
        <f>VLOOKUP(A69,Database!A:M,MATCH($A$1,Database!$A$1:$M$1,),)</f>
        <v>168586</v>
      </c>
      <c r="C69" s="94">
        <f>(Table53514[[#This Row],[Manufacturers'' New Orders: Durable Goods]]-B68)/B68</f>
        <v>-3.1415537706688729E-2</v>
      </c>
    </row>
    <row r="70" spans="1:3">
      <c r="A70" s="91">
        <v>35582</v>
      </c>
      <c r="B70" s="92">
        <f>VLOOKUP(A70,Database!A:M,MATCH($A$1,Database!$A$1:$M$1,),)</f>
        <v>174828</v>
      </c>
      <c r="C70" s="94">
        <f>(Table53514[[#This Row],[Manufacturers'' New Orders: Durable Goods]]-B69)/B69</f>
        <v>3.7025613040228729E-2</v>
      </c>
    </row>
    <row r="71" spans="1:3">
      <c r="A71" s="91">
        <v>35612</v>
      </c>
      <c r="B71" s="92">
        <f>VLOOKUP(A71,Database!A:M,MATCH($A$1,Database!$A$1:$M$1,),)</f>
        <v>178860</v>
      </c>
      <c r="C71" s="94">
        <f>(Table53514[[#This Row],[Manufacturers'' New Orders: Durable Goods]]-B70)/B70</f>
        <v>2.3062667307296315E-2</v>
      </c>
    </row>
    <row r="72" spans="1:3">
      <c r="A72" s="91">
        <v>35643</v>
      </c>
      <c r="B72" s="92">
        <f>VLOOKUP(A72,Database!A:M,MATCH($A$1,Database!$A$1:$M$1,),)</f>
        <v>177302</v>
      </c>
      <c r="C72" s="94">
        <f>(Table53514[[#This Row],[Manufacturers'' New Orders: Durable Goods]]-B71)/B71</f>
        <v>-8.7107234708710731E-3</v>
      </c>
    </row>
    <row r="73" spans="1:3">
      <c r="A73" s="91">
        <v>35674</v>
      </c>
      <c r="B73" s="92">
        <f>VLOOKUP(A73,Database!A:M,MATCH($A$1,Database!$A$1:$M$1,),)</f>
        <v>177835</v>
      </c>
      <c r="C73" s="94">
        <f>(Table53514[[#This Row],[Manufacturers'' New Orders: Durable Goods]]-B72)/B72</f>
        <v>3.0061702631668003E-3</v>
      </c>
    </row>
    <row r="74" spans="1:3">
      <c r="A74" s="91">
        <v>35704</v>
      </c>
      <c r="B74" s="92">
        <f>VLOOKUP(A74,Database!A:M,MATCH($A$1,Database!$A$1:$M$1,),)</f>
        <v>177801</v>
      </c>
      <c r="C74" s="94">
        <f>(Table53514[[#This Row],[Manufacturers'' New Orders: Durable Goods]]-B73)/B73</f>
        <v>-1.9118846121404673E-4</v>
      </c>
    </row>
    <row r="75" spans="1:3">
      <c r="A75" s="91">
        <v>35735</v>
      </c>
      <c r="B75" s="92">
        <f>VLOOKUP(A75,Database!A:M,MATCH($A$1,Database!$A$1:$M$1,),)</f>
        <v>191187</v>
      </c>
      <c r="C75" s="94">
        <f>(Table53514[[#This Row],[Manufacturers'' New Orders: Durable Goods]]-B74)/B74</f>
        <v>7.5286415711947621E-2</v>
      </c>
    </row>
    <row r="76" spans="1:3">
      <c r="A76" s="91">
        <v>35765</v>
      </c>
      <c r="B76" s="92">
        <f>VLOOKUP(A76,Database!A:M,MATCH($A$1,Database!$A$1:$M$1,),)</f>
        <v>173770</v>
      </c>
      <c r="C76" s="94">
        <f>(Table53514[[#This Row],[Manufacturers'' New Orders: Durable Goods]]-B75)/B75</f>
        <v>-9.1099290223707677E-2</v>
      </c>
    </row>
    <row r="77" spans="1:3">
      <c r="A77" s="91">
        <v>35796</v>
      </c>
      <c r="B77" s="92">
        <f>VLOOKUP(A77,Database!A:M,MATCH($A$1,Database!$A$1:$M$1,),)</f>
        <v>174288</v>
      </c>
      <c r="C77" s="94">
        <f>(Table53514[[#This Row],[Manufacturers'' New Orders: Durable Goods]]-B76)/B76</f>
        <v>2.9809518328825458E-3</v>
      </c>
    </row>
    <row r="78" spans="1:3">
      <c r="A78" s="91">
        <v>35827</v>
      </c>
      <c r="B78" s="92">
        <f>VLOOKUP(A78,Database!A:M,MATCH($A$1,Database!$A$1:$M$1,),)</f>
        <v>181270</v>
      </c>
      <c r="C78" s="94">
        <f>(Table53514[[#This Row],[Manufacturers'' New Orders: Durable Goods]]-B77)/B77</f>
        <v>4.0060130358946115E-2</v>
      </c>
    </row>
    <row r="79" spans="1:3">
      <c r="A79" s="91">
        <v>35855</v>
      </c>
      <c r="B79" s="92">
        <f>VLOOKUP(A79,Database!A:M,MATCH($A$1,Database!$A$1:$M$1,),)</f>
        <v>176886</v>
      </c>
      <c r="C79" s="94">
        <f>(Table53514[[#This Row],[Manufacturers'' New Orders: Durable Goods]]-B78)/B78</f>
        <v>-2.4184917526341922E-2</v>
      </c>
    </row>
    <row r="80" spans="1:3">
      <c r="A80" s="91">
        <v>35886</v>
      </c>
      <c r="B80" s="92">
        <f>VLOOKUP(A80,Database!A:M,MATCH($A$1,Database!$A$1:$M$1,),)</f>
        <v>180915</v>
      </c>
      <c r="C80" s="94">
        <f>(Table53514[[#This Row],[Manufacturers'' New Orders: Durable Goods]]-B79)/B79</f>
        <v>2.2777382042671553E-2</v>
      </c>
    </row>
    <row r="81" spans="1:3">
      <c r="A81" s="91">
        <v>35916</v>
      </c>
      <c r="B81" s="92">
        <f>VLOOKUP(A81,Database!A:M,MATCH($A$1,Database!$A$1:$M$1,),)</f>
        <v>180634</v>
      </c>
      <c r="C81" s="94">
        <f>(Table53514[[#This Row],[Manufacturers'' New Orders: Durable Goods]]-B80)/B80</f>
        <v>-1.5532155984854766E-3</v>
      </c>
    </row>
    <row r="82" spans="1:3">
      <c r="A82" s="91">
        <v>35947</v>
      </c>
      <c r="B82" s="92">
        <f>VLOOKUP(A82,Database!A:M,MATCH($A$1,Database!$A$1:$M$1,),)</f>
        <v>172189</v>
      </c>
      <c r="C82" s="94">
        <f>(Table53514[[#This Row],[Manufacturers'' New Orders: Durable Goods]]-B81)/B81</f>
        <v>-4.6751995748308732E-2</v>
      </c>
    </row>
    <row r="83" spans="1:3">
      <c r="A83" s="91">
        <v>35977</v>
      </c>
      <c r="B83" s="92">
        <f>VLOOKUP(A83,Database!A:M,MATCH($A$1,Database!$A$1:$M$1,),)</f>
        <v>170459</v>
      </c>
      <c r="C83" s="94">
        <f>(Table53514[[#This Row],[Manufacturers'' New Orders: Durable Goods]]-B82)/B82</f>
        <v>-1.0047099408208422E-2</v>
      </c>
    </row>
    <row r="84" spans="1:3">
      <c r="A84" s="91">
        <v>36008</v>
      </c>
      <c r="B84" s="92">
        <f>VLOOKUP(A84,Database!A:M,MATCH($A$1,Database!$A$1:$M$1,),)</f>
        <v>179033</v>
      </c>
      <c r="C84" s="94">
        <f>(Table53514[[#This Row],[Manufacturers'' New Orders: Durable Goods]]-B83)/B83</f>
        <v>5.0299485506778756E-2</v>
      </c>
    </row>
    <row r="85" spans="1:3">
      <c r="A85" s="91">
        <v>36039</v>
      </c>
      <c r="B85" s="92">
        <f>VLOOKUP(A85,Database!A:M,MATCH($A$1,Database!$A$1:$M$1,),)</f>
        <v>181422</v>
      </c>
      <c r="C85" s="94">
        <f>(Table53514[[#This Row],[Manufacturers'' New Orders: Durable Goods]]-B84)/B84</f>
        <v>1.334390866488301E-2</v>
      </c>
    </row>
    <row r="86" spans="1:3">
      <c r="A86" s="91">
        <v>36069</v>
      </c>
      <c r="B86" s="92">
        <f>VLOOKUP(A86,Database!A:M,MATCH($A$1,Database!$A$1:$M$1,),)</f>
        <v>178527</v>
      </c>
      <c r="C86" s="94">
        <f>(Table53514[[#This Row],[Manufacturers'' New Orders: Durable Goods]]-B85)/B85</f>
        <v>-1.5957270893276448E-2</v>
      </c>
    </row>
    <row r="87" spans="1:3">
      <c r="A87" s="91">
        <v>36100</v>
      </c>
      <c r="B87" s="92">
        <f>VLOOKUP(A87,Database!A:M,MATCH($A$1,Database!$A$1:$M$1,),)</f>
        <v>182400</v>
      </c>
      <c r="C87" s="94">
        <f>(Table53514[[#This Row],[Manufacturers'' New Orders: Durable Goods]]-B86)/B86</f>
        <v>2.1694197516342065E-2</v>
      </c>
    </row>
    <row r="88" spans="1:3">
      <c r="A88" s="91">
        <v>36130</v>
      </c>
      <c r="B88" s="92">
        <f>VLOOKUP(A88,Database!A:M,MATCH($A$1,Database!$A$1:$M$1,),)</f>
        <v>178424</v>
      </c>
      <c r="C88" s="94">
        <f>(Table53514[[#This Row],[Manufacturers'' New Orders: Durable Goods]]-B87)/B87</f>
        <v>-2.1798245614035087E-2</v>
      </c>
    </row>
    <row r="89" spans="1:3">
      <c r="A89" s="91">
        <v>36161</v>
      </c>
      <c r="B89" s="92">
        <f>VLOOKUP(A89,Database!A:M,MATCH($A$1,Database!$A$1:$M$1,),)</f>
        <v>186527</v>
      </c>
      <c r="C89" s="94">
        <f>(Table53514[[#This Row],[Manufacturers'' New Orders: Durable Goods]]-B88)/B88</f>
        <v>4.5414294041160382E-2</v>
      </c>
    </row>
    <row r="90" spans="1:3">
      <c r="A90" s="91">
        <v>36192</v>
      </c>
      <c r="B90" s="92">
        <f>VLOOKUP(A90,Database!A:M,MATCH($A$1,Database!$A$1:$M$1,),)</f>
        <v>185546</v>
      </c>
      <c r="C90" s="94">
        <f>(Table53514[[#This Row],[Manufacturers'' New Orders: Durable Goods]]-B89)/B89</f>
        <v>-5.2592922204292144E-3</v>
      </c>
    </row>
    <row r="91" spans="1:3">
      <c r="A91" s="91">
        <v>36220</v>
      </c>
      <c r="B91" s="92">
        <f>VLOOKUP(A91,Database!A:M,MATCH($A$1,Database!$A$1:$M$1,),)</f>
        <v>184689</v>
      </c>
      <c r="C91" s="94">
        <f>(Table53514[[#This Row],[Manufacturers'' New Orders: Durable Goods]]-B90)/B90</f>
        <v>-4.6188007286602781E-3</v>
      </c>
    </row>
    <row r="92" spans="1:3">
      <c r="A92" s="91">
        <v>36251</v>
      </c>
      <c r="B92" s="92">
        <f>VLOOKUP(A92,Database!A:M,MATCH($A$1,Database!$A$1:$M$1,),)</f>
        <v>182993</v>
      </c>
      <c r="C92" s="94">
        <f>(Table53514[[#This Row],[Manufacturers'' New Orders: Durable Goods]]-B91)/B91</f>
        <v>-9.1830049434454674E-3</v>
      </c>
    </row>
    <row r="93" spans="1:3">
      <c r="A93" s="91">
        <v>36281</v>
      </c>
      <c r="B93" s="92">
        <f>VLOOKUP(A93,Database!A:M,MATCH($A$1,Database!$A$1:$M$1,),)</f>
        <v>185963</v>
      </c>
      <c r="C93" s="94">
        <f>(Table53514[[#This Row],[Manufacturers'' New Orders: Durable Goods]]-B92)/B92</f>
        <v>1.6230129021328685E-2</v>
      </c>
    </row>
    <row r="94" spans="1:3">
      <c r="A94" s="91">
        <v>36312</v>
      </c>
      <c r="B94" s="92">
        <f>VLOOKUP(A94,Database!A:M,MATCH($A$1,Database!$A$1:$M$1,),)</f>
        <v>182590</v>
      </c>
      <c r="C94" s="94">
        <f>(Table53514[[#This Row],[Manufacturers'' New Orders: Durable Goods]]-B93)/B93</f>
        <v>-1.8138016702247222E-2</v>
      </c>
    </row>
    <row r="95" spans="1:3">
      <c r="A95" s="91">
        <v>36342</v>
      </c>
      <c r="B95" s="92">
        <f>VLOOKUP(A95,Database!A:M,MATCH($A$1,Database!$A$1:$M$1,),)</f>
        <v>189083</v>
      </c>
      <c r="C95" s="94">
        <f>(Table53514[[#This Row],[Manufacturers'' New Orders: Durable Goods]]-B94)/B94</f>
        <v>3.5560545484418643E-2</v>
      </c>
    </row>
    <row r="96" spans="1:3">
      <c r="A96" s="91">
        <v>36373</v>
      </c>
      <c r="B96" s="92">
        <f>VLOOKUP(A96,Database!A:M,MATCH($A$1,Database!$A$1:$M$1,),)</f>
        <v>189414</v>
      </c>
      <c r="C96" s="94">
        <f>(Table53514[[#This Row],[Manufacturers'' New Orders: Durable Goods]]-B95)/B95</f>
        <v>1.7505539895178307E-3</v>
      </c>
    </row>
    <row r="97" spans="1:3">
      <c r="A97" s="91">
        <v>36404</v>
      </c>
      <c r="B97" s="92">
        <f>VLOOKUP(A97,Database!A:M,MATCH($A$1,Database!$A$1:$M$1,),)</f>
        <v>188910</v>
      </c>
      <c r="C97" s="94">
        <f>(Table53514[[#This Row],[Manufacturers'' New Orders: Durable Goods]]-B96)/B96</f>
        <v>-2.6608381640216669E-3</v>
      </c>
    </row>
    <row r="98" spans="1:3">
      <c r="A98" s="91">
        <v>36434</v>
      </c>
      <c r="B98" s="92">
        <f>VLOOKUP(A98,Database!A:M,MATCH($A$1,Database!$A$1:$M$1,),)</f>
        <v>194547</v>
      </c>
      <c r="C98" s="94">
        <f>(Table53514[[#This Row],[Manufacturers'' New Orders: Durable Goods]]-B97)/B97</f>
        <v>2.9839606161664284E-2</v>
      </c>
    </row>
    <row r="99" spans="1:3">
      <c r="A99" s="91">
        <v>36465</v>
      </c>
      <c r="B99" s="92">
        <f>VLOOKUP(A99,Database!A:M,MATCH($A$1,Database!$A$1:$M$1,),)</f>
        <v>186597</v>
      </c>
      <c r="C99" s="94">
        <f>(Table53514[[#This Row],[Manufacturers'' New Orders: Durable Goods]]-B98)/B98</f>
        <v>-4.0864161359465835E-2</v>
      </c>
    </row>
    <row r="100" spans="1:3">
      <c r="A100" s="91">
        <v>36495</v>
      </c>
      <c r="B100" s="92">
        <f>VLOOKUP(A100,Database!A:M,MATCH($A$1,Database!$A$1:$M$1,),)</f>
        <v>196344</v>
      </c>
      <c r="C100" s="94">
        <f>(Table53514[[#This Row],[Manufacturers'' New Orders: Durable Goods]]-B99)/B99</f>
        <v>5.2235566488207208E-2</v>
      </c>
    </row>
    <row r="101" spans="1:3">
      <c r="A101" s="91">
        <v>36526</v>
      </c>
      <c r="B101" s="92">
        <f>VLOOKUP(A101,Database!A:M,MATCH($A$1,Database!$A$1:$M$1,),)</f>
        <v>201360</v>
      </c>
      <c r="C101" s="94">
        <f>(Table53514[[#This Row],[Manufacturers'' New Orders: Durable Goods]]-B100)/B100</f>
        <v>2.554699914435888E-2</v>
      </c>
    </row>
    <row r="102" spans="1:3">
      <c r="A102" s="91">
        <v>36557</v>
      </c>
      <c r="B102" s="92">
        <f>VLOOKUP(A102,Database!A:M,MATCH($A$1,Database!$A$1:$M$1,),)</f>
        <v>183911</v>
      </c>
      <c r="C102" s="94">
        <f>(Table53514[[#This Row],[Manufacturers'' New Orders: Durable Goods]]-B101)/B101</f>
        <v>-8.6655740961462058E-2</v>
      </c>
    </row>
    <row r="103" spans="1:3">
      <c r="A103" s="91">
        <v>36586</v>
      </c>
      <c r="B103" s="92">
        <f>VLOOKUP(A103,Database!A:M,MATCH($A$1,Database!$A$1:$M$1,),)</f>
        <v>192130</v>
      </c>
      <c r="C103" s="94">
        <f>(Table53514[[#This Row],[Manufacturers'' New Orders: Durable Goods]]-B102)/B102</f>
        <v>4.4690094665354438E-2</v>
      </c>
    </row>
    <row r="104" spans="1:3">
      <c r="A104" s="91">
        <v>36617</v>
      </c>
      <c r="B104" s="92">
        <f>VLOOKUP(A104,Database!A:M,MATCH($A$1,Database!$A$1:$M$1,),)</f>
        <v>195044</v>
      </c>
      <c r="C104" s="94">
        <f>(Table53514[[#This Row],[Manufacturers'' New Orders: Durable Goods]]-B103)/B103</f>
        <v>1.5166814136261905E-2</v>
      </c>
    </row>
    <row r="105" spans="1:3">
      <c r="A105" s="91">
        <v>36647</v>
      </c>
      <c r="B105" s="92">
        <f>VLOOKUP(A105,Database!A:M,MATCH($A$1,Database!$A$1:$M$1,),)</f>
        <v>188606</v>
      </c>
      <c r="C105" s="94">
        <f>(Table53514[[#This Row],[Manufacturers'' New Orders: Durable Goods]]-B104)/B104</f>
        <v>-3.3007936670699942E-2</v>
      </c>
    </row>
    <row r="106" spans="1:3">
      <c r="A106" s="91">
        <v>36678</v>
      </c>
      <c r="B106" s="92">
        <f>VLOOKUP(A106,Database!A:M,MATCH($A$1,Database!$A$1:$M$1,),)</f>
        <v>219745</v>
      </c>
      <c r="C106" s="94">
        <f>(Table53514[[#This Row],[Manufacturers'' New Orders: Durable Goods]]-B105)/B105</f>
        <v>0.16510079212750389</v>
      </c>
    </row>
    <row r="107" spans="1:3">
      <c r="A107" s="91">
        <v>36708</v>
      </c>
      <c r="B107" s="92">
        <f>VLOOKUP(A107,Database!A:M,MATCH($A$1,Database!$A$1:$M$1,),)</f>
        <v>189265</v>
      </c>
      <c r="C107" s="94">
        <f>(Table53514[[#This Row],[Manufacturers'' New Orders: Durable Goods]]-B106)/B106</f>
        <v>-0.1387062276729846</v>
      </c>
    </row>
    <row r="108" spans="1:3">
      <c r="A108" s="91">
        <v>36739</v>
      </c>
      <c r="B108" s="92">
        <f>VLOOKUP(A108,Database!A:M,MATCH($A$1,Database!$A$1:$M$1,),)</f>
        <v>188730</v>
      </c>
      <c r="C108" s="94">
        <f>(Table53514[[#This Row],[Manufacturers'' New Orders: Durable Goods]]-B107)/B107</f>
        <v>-2.8267244339946636E-3</v>
      </c>
    </row>
    <row r="109" spans="1:3">
      <c r="A109" s="91">
        <v>36770</v>
      </c>
      <c r="B109" s="92">
        <f>VLOOKUP(A109,Database!A:M,MATCH($A$1,Database!$A$1:$M$1,),)</f>
        <v>199947</v>
      </c>
      <c r="C109" s="94">
        <f>(Table53514[[#This Row],[Manufacturers'' New Orders: Durable Goods]]-B108)/B108</f>
        <v>5.9434112223811793E-2</v>
      </c>
    </row>
    <row r="110" spans="1:3">
      <c r="A110" s="91">
        <v>36800</v>
      </c>
      <c r="B110" s="92">
        <f>VLOOKUP(A110,Database!A:M,MATCH($A$1,Database!$A$1:$M$1,),)</f>
        <v>186158</v>
      </c>
      <c r="C110" s="94">
        <f>(Table53514[[#This Row],[Manufacturers'' New Orders: Durable Goods]]-B109)/B109</f>
        <v>-6.8963275267946003E-2</v>
      </c>
    </row>
    <row r="111" spans="1:3">
      <c r="A111" s="91">
        <v>36831</v>
      </c>
      <c r="B111" s="92">
        <f>VLOOKUP(A111,Database!A:M,MATCH($A$1,Database!$A$1:$M$1,),)</f>
        <v>189392</v>
      </c>
      <c r="C111" s="94">
        <f>(Table53514[[#This Row],[Manufacturers'' New Orders: Durable Goods]]-B110)/B110</f>
        <v>1.7372339625479433E-2</v>
      </c>
    </row>
    <row r="112" spans="1:3">
      <c r="A112" s="91">
        <v>36861</v>
      </c>
      <c r="B112" s="92">
        <f>VLOOKUP(A112,Database!A:M,MATCH($A$1,Database!$A$1:$M$1,),)</f>
        <v>188659</v>
      </c>
      <c r="C112" s="94">
        <f>(Table53514[[#This Row],[Manufacturers'' New Orders: Durable Goods]]-B111)/B111</f>
        <v>-3.8702796316634281E-3</v>
      </c>
    </row>
    <row r="113" spans="1:3">
      <c r="A113" s="91">
        <v>36892</v>
      </c>
      <c r="B113" s="92">
        <f>VLOOKUP(A113,Database!A:M,MATCH($A$1,Database!$A$1:$M$1,),)</f>
        <v>177056</v>
      </c>
      <c r="C113" s="94">
        <f>(Table53514[[#This Row],[Manufacturers'' New Orders: Durable Goods]]-B112)/B112</f>
        <v>-6.1502499218166112E-2</v>
      </c>
    </row>
    <row r="114" spans="1:3">
      <c r="A114" s="91">
        <v>36923</v>
      </c>
      <c r="B114" s="92">
        <f>VLOOKUP(A114,Database!A:M,MATCH($A$1,Database!$A$1:$M$1,),)</f>
        <v>180276</v>
      </c>
      <c r="C114" s="94">
        <f>(Table53514[[#This Row],[Manufacturers'' New Orders: Durable Goods]]-B113)/B113</f>
        <v>1.8186336526296764E-2</v>
      </c>
    </row>
    <row r="115" spans="1:3">
      <c r="A115" s="91">
        <v>36951</v>
      </c>
      <c r="B115" s="92">
        <f>VLOOKUP(A115,Database!A:M,MATCH($A$1,Database!$A$1:$M$1,),)</f>
        <v>182209</v>
      </c>
      <c r="C115" s="94">
        <f>(Table53514[[#This Row],[Manufacturers'' New Orders: Durable Goods]]-B114)/B114</f>
        <v>1.0722447802258759E-2</v>
      </c>
    </row>
    <row r="116" spans="1:3">
      <c r="A116" s="91">
        <v>36982</v>
      </c>
      <c r="B116" s="92">
        <f>VLOOKUP(A116,Database!A:M,MATCH($A$1,Database!$A$1:$M$1,),)</f>
        <v>171850</v>
      </c>
      <c r="C116" s="94">
        <f>(Table53514[[#This Row],[Manufacturers'' New Orders: Durable Goods]]-B115)/B115</f>
        <v>-5.6852295989769992E-2</v>
      </c>
    </row>
    <row r="117" spans="1:3">
      <c r="A117" s="91">
        <v>37012</v>
      </c>
      <c r="B117" s="92">
        <f>VLOOKUP(A117,Database!A:M,MATCH($A$1,Database!$A$1:$M$1,),)</f>
        <v>177749</v>
      </c>
      <c r="C117" s="94">
        <f>(Table53514[[#This Row],[Manufacturers'' New Orders: Durable Goods]]-B116)/B116</f>
        <v>3.4326447483270295E-2</v>
      </c>
    </row>
    <row r="118" spans="1:3">
      <c r="A118" s="91">
        <v>37043</v>
      </c>
      <c r="B118" s="92">
        <f>VLOOKUP(A118,Database!A:M,MATCH($A$1,Database!$A$1:$M$1,),)</f>
        <v>176350</v>
      </c>
      <c r="C118" s="94">
        <f>(Table53514[[#This Row],[Manufacturers'' New Orders: Durable Goods]]-B117)/B117</f>
        <v>-7.870649061316801E-3</v>
      </c>
    </row>
    <row r="119" spans="1:3">
      <c r="A119" s="91">
        <v>37073</v>
      </c>
      <c r="B119" s="92">
        <f>VLOOKUP(A119,Database!A:M,MATCH($A$1,Database!$A$1:$M$1,),)</f>
        <v>170129</v>
      </c>
      <c r="C119" s="94">
        <f>(Table53514[[#This Row],[Manufacturers'' New Orders: Durable Goods]]-B118)/B118</f>
        <v>-3.5276438899914941E-2</v>
      </c>
    </row>
    <row r="120" spans="1:3">
      <c r="A120" s="91">
        <v>37104</v>
      </c>
      <c r="B120" s="92">
        <f>VLOOKUP(A120,Database!A:M,MATCH($A$1,Database!$A$1:$M$1,),)</f>
        <v>170484</v>
      </c>
      <c r="C120" s="94">
        <f>(Table53514[[#This Row],[Manufacturers'' New Orders: Durable Goods]]-B119)/B119</f>
        <v>2.0866518935631199E-3</v>
      </c>
    </row>
    <row r="121" spans="1:3">
      <c r="A121" s="91">
        <v>37135</v>
      </c>
      <c r="B121" s="92">
        <f>VLOOKUP(A121,Database!A:M,MATCH($A$1,Database!$A$1:$M$1,),)</f>
        <v>164123</v>
      </c>
      <c r="C121" s="94">
        <f>(Table53514[[#This Row],[Manufacturers'' New Orders: Durable Goods]]-B120)/B120</f>
        <v>-3.7311419253419673E-2</v>
      </c>
    </row>
    <row r="122" spans="1:3">
      <c r="A122" s="91">
        <v>37165</v>
      </c>
      <c r="B122" s="92">
        <f>VLOOKUP(A122,Database!A:M,MATCH($A$1,Database!$A$1:$M$1,),)</f>
        <v>171530</v>
      </c>
      <c r="C122" s="94">
        <f>(Table53514[[#This Row],[Manufacturers'' New Orders: Durable Goods]]-B121)/B121</f>
        <v>4.5130786056798863E-2</v>
      </c>
    </row>
    <row r="123" spans="1:3">
      <c r="A123" s="91">
        <v>37196</v>
      </c>
      <c r="B123" s="92">
        <f>VLOOKUP(A123,Database!A:M,MATCH($A$1,Database!$A$1:$M$1,),)</f>
        <v>163811</v>
      </c>
      <c r="C123" s="94">
        <f>(Table53514[[#This Row],[Manufacturers'' New Orders: Durable Goods]]-B122)/B122</f>
        <v>-4.5000874482597798E-2</v>
      </c>
    </row>
    <row r="124" spans="1:3">
      <c r="A124" s="91">
        <v>37226</v>
      </c>
      <c r="B124" s="92">
        <f>VLOOKUP(A124,Database!A:M,MATCH($A$1,Database!$A$1:$M$1,),)</f>
        <v>165304</v>
      </c>
      <c r="C124" s="94">
        <f>(Table53514[[#This Row],[Manufacturers'' New Orders: Durable Goods]]-B123)/B123</f>
        <v>9.1141620526094102E-3</v>
      </c>
    </row>
    <row r="125" spans="1:3">
      <c r="A125" s="91">
        <v>37257</v>
      </c>
      <c r="B125" s="92">
        <f>VLOOKUP(A125,Database!A:M,MATCH($A$1,Database!$A$1:$M$1,),)</f>
        <v>163324</v>
      </c>
      <c r="C125" s="94">
        <f>(Table53514[[#This Row],[Manufacturers'' New Orders: Durable Goods]]-B124)/B124</f>
        <v>-1.197793156850409E-2</v>
      </c>
    </row>
    <row r="126" spans="1:3">
      <c r="A126" s="91">
        <v>37288</v>
      </c>
      <c r="B126" s="92">
        <f>VLOOKUP(A126,Database!A:M,MATCH($A$1,Database!$A$1:$M$1,),)</f>
        <v>172406</v>
      </c>
      <c r="C126" s="94">
        <f>(Table53514[[#This Row],[Manufacturers'' New Orders: Durable Goods]]-B125)/B125</f>
        <v>5.5607259190321078E-2</v>
      </c>
    </row>
    <row r="127" spans="1:3">
      <c r="A127" s="91">
        <v>37316</v>
      </c>
      <c r="B127" s="92">
        <f>VLOOKUP(A127,Database!A:M,MATCH($A$1,Database!$A$1:$M$1,),)</f>
        <v>167853</v>
      </c>
      <c r="C127" s="94">
        <f>(Table53514[[#This Row],[Manufacturers'' New Orders: Durable Goods]]-B126)/B126</f>
        <v>-2.6408593668433813E-2</v>
      </c>
    </row>
    <row r="128" spans="1:3">
      <c r="A128" s="91">
        <v>37347</v>
      </c>
      <c r="B128" s="92">
        <f>VLOOKUP(A128,Database!A:M,MATCH($A$1,Database!$A$1:$M$1,),)</f>
        <v>171852</v>
      </c>
      <c r="C128" s="94">
        <f>(Table53514[[#This Row],[Manufacturers'' New Orders: Durable Goods]]-B127)/B127</f>
        <v>2.3824417794141302E-2</v>
      </c>
    </row>
    <row r="129" spans="1:3">
      <c r="A129" s="91">
        <v>37377</v>
      </c>
      <c r="B129" s="92">
        <f>VLOOKUP(A129,Database!A:M,MATCH($A$1,Database!$A$1:$M$1,),)</f>
        <v>171854</v>
      </c>
      <c r="C129" s="94">
        <f>(Table53514[[#This Row],[Manufacturers'' New Orders: Durable Goods]]-B128)/B128</f>
        <v>1.163792100179224E-5</v>
      </c>
    </row>
    <row r="130" spans="1:3">
      <c r="A130" s="91">
        <v>37408</v>
      </c>
      <c r="B130" s="92">
        <f>VLOOKUP(A130,Database!A:M,MATCH($A$1,Database!$A$1:$M$1,),)</f>
        <v>166070</v>
      </c>
      <c r="C130" s="94">
        <f>(Table53514[[#This Row],[Manufacturers'' New Orders: Durable Goods]]-B129)/B129</f>
        <v>-3.3656475845776065E-2</v>
      </c>
    </row>
    <row r="131" spans="1:3">
      <c r="A131" s="91">
        <v>37438</v>
      </c>
      <c r="B131" s="92">
        <f>VLOOKUP(A131,Database!A:M,MATCH($A$1,Database!$A$1:$M$1,),)</f>
        <v>174282</v>
      </c>
      <c r="C131" s="94">
        <f>(Table53514[[#This Row],[Manufacturers'' New Orders: Durable Goods]]-B130)/B130</f>
        <v>4.9449027518516285E-2</v>
      </c>
    </row>
    <row r="132" spans="1:3">
      <c r="A132" s="91">
        <v>37469</v>
      </c>
      <c r="B132" s="92">
        <f>VLOOKUP(A132,Database!A:M,MATCH($A$1,Database!$A$1:$M$1,),)</f>
        <v>177126</v>
      </c>
      <c r="C132" s="94">
        <f>(Table53514[[#This Row],[Manufacturers'' New Orders: Durable Goods]]-B131)/B131</f>
        <v>1.6318380555651185E-2</v>
      </c>
    </row>
    <row r="133" spans="1:3">
      <c r="A133" s="91">
        <v>37500</v>
      </c>
      <c r="B133" s="92">
        <f>VLOOKUP(A133,Database!A:M,MATCH($A$1,Database!$A$1:$M$1,),)</f>
        <v>166838</v>
      </c>
      <c r="C133" s="94">
        <f>(Table53514[[#This Row],[Manufacturers'' New Orders: Durable Goods]]-B132)/B132</f>
        <v>-5.8082946602983188E-2</v>
      </c>
    </row>
    <row r="134" spans="1:3">
      <c r="A134" s="91">
        <v>37530</v>
      </c>
      <c r="B134" s="92">
        <f>VLOOKUP(A134,Database!A:M,MATCH($A$1,Database!$A$1:$M$1,),)</f>
        <v>169134</v>
      </c>
      <c r="C134" s="94">
        <f>(Table53514[[#This Row],[Manufacturers'' New Orders: Durable Goods]]-B133)/B133</f>
        <v>1.3761852815305866E-2</v>
      </c>
    </row>
    <row r="135" spans="1:3">
      <c r="A135" s="91">
        <v>37561</v>
      </c>
      <c r="B135" s="92">
        <f>VLOOKUP(A135,Database!A:M,MATCH($A$1,Database!$A$1:$M$1,),)</f>
        <v>170023</v>
      </c>
      <c r="C135" s="94">
        <f>(Table53514[[#This Row],[Manufacturers'' New Orders: Durable Goods]]-B134)/B134</f>
        <v>5.2561874017051568E-3</v>
      </c>
    </row>
    <row r="136" spans="1:3">
      <c r="A136" s="91">
        <v>37591</v>
      </c>
      <c r="B136" s="92">
        <f>VLOOKUP(A136,Database!A:M,MATCH($A$1,Database!$A$1:$M$1,),)</f>
        <v>163962</v>
      </c>
      <c r="C136" s="94">
        <f>(Table53514[[#This Row],[Manufacturers'' New Orders: Durable Goods]]-B135)/B135</f>
        <v>-3.5648118195773515E-2</v>
      </c>
    </row>
    <row r="137" spans="1:3">
      <c r="A137" s="91">
        <v>37622</v>
      </c>
      <c r="B137" s="92">
        <f>VLOOKUP(A137,Database!A:M,MATCH($A$1,Database!$A$1:$M$1,),)</f>
        <v>169994</v>
      </c>
      <c r="C137" s="94">
        <f>(Table53514[[#This Row],[Manufacturers'' New Orders: Durable Goods]]-B136)/B136</f>
        <v>3.6789012088166768E-2</v>
      </c>
    </row>
    <row r="138" spans="1:3">
      <c r="A138" s="91">
        <v>37653</v>
      </c>
      <c r="B138" s="92">
        <f>VLOOKUP(A138,Database!A:M,MATCH($A$1,Database!$A$1:$M$1,),)</f>
        <v>174113</v>
      </c>
      <c r="C138" s="94">
        <f>(Table53514[[#This Row],[Manufacturers'' New Orders: Durable Goods]]-B137)/B137</f>
        <v>2.4230266950598257E-2</v>
      </c>
    </row>
    <row r="139" spans="1:3">
      <c r="A139" s="91">
        <v>37681</v>
      </c>
      <c r="B139" s="92">
        <f>VLOOKUP(A139,Database!A:M,MATCH($A$1,Database!$A$1:$M$1,),)</f>
        <v>172245</v>
      </c>
      <c r="C139" s="94">
        <f>(Table53514[[#This Row],[Manufacturers'' New Orders: Durable Goods]]-B138)/B138</f>
        <v>-1.0728664717740777E-2</v>
      </c>
    </row>
    <row r="140" spans="1:3">
      <c r="A140" s="91">
        <v>37712</v>
      </c>
      <c r="B140" s="92">
        <f>VLOOKUP(A140,Database!A:M,MATCH($A$1,Database!$A$1:$M$1,),)</f>
        <v>169347</v>
      </c>
      <c r="C140" s="94">
        <f>(Table53514[[#This Row],[Manufacturers'' New Orders: Durable Goods]]-B139)/B139</f>
        <v>-1.6824871549246712E-2</v>
      </c>
    </row>
    <row r="141" spans="1:3">
      <c r="A141" s="91">
        <v>37742</v>
      </c>
      <c r="B141" s="92">
        <f>VLOOKUP(A141,Database!A:M,MATCH($A$1,Database!$A$1:$M$1,),)</f>
        <v>171542</v>
      </c>
      <c r="C141" s="94">
        <f>(Table53514[[#This Row],[Manufacturers'' New Orders: Durable Goods]]-B140)/B140</f>
        <v>1.2961552315659562E-2</v>
      </c>
    </row>
    <row r="142" spans="1:3">
      <c r="A142" s="91">
        <v>37773</v>
      </c>
      <c r="B142" s="92">
        <f>VLOOKUP(A142,Database!A:M,MATCH($A$1,Database!$A$1:$M$1,),)</f>
        <v>173507</v>
      </c>
      <c r="C142" s="94">
        <f>(Table53514[[#This Row],[Manufacturers'' New Orders: Durable Goods]]-B141)/B141</f>
        <v>1.1454920660829418E-2</v>
      </c>
    </row>
    <row r="143" spans="1:3">
      <c r="A143" s="91">
        <v>37803</v>
      </c>
      <c r="B143" s="92">
        <f>VLOOKUP(A143,Database!A:M,MATCH($A$1,Database!$A$1:$M$1,),)</f>
        <v>173320</v>
      </c>
      <c r="C143" s="94">
        <f>(Table53514[[#This Row],[Manufacturers'' New Orders: Durable Goods]]-B142)/B142</f>
        <v>-1.0777663149037216E-3</v>
      </c>
    </row>
    <row r="144" spans="1:3">
      <c r="A144" s="91">
        <v>37834</v>
      </c>
      <c r="B144" s="92">
        <f>VLOOKUP(A144,Database!A:M,MATCH($A$1,Database!$A$1:$M$1,),)</f>
        <v>173044</v>
      </c>
      <c r="C144" s="94">
        <f>(Table53514[[#This Row],[Manufacturers'' New Orders: Durable Goods]]-B143)/B143</f>
        <v>-1.5924301869374568E-3</v>
      </c>
    </row>
    <row r="145" spans="1:3">
      <c r="A145" s="91">
        <v>37865</v>
      </c>
      <c r="B145" s="92">
        <f>VLOOKUP(A145,Database!A:M,MATCH($A$1,Database!$A$1:$M$1,),)</f>
        <v>178690</v>
      </c>
      <c r="C145" s="94">
        <f>(Table53514[[#This Row],[Manufacturers'' New Orders: Durable Goods]]-B144)/B144</f>
        <v>3.2627539816462867E-2</v>
      </c>
    </row>
    <row r="146" spans="1:3">
      <c r="A146" s="91">
        <v>37895</v>
      </c>
      <c r="B146" s="92">
        <f>VLOOKUP(A146,Database!A:M,MATCH($A$1,Database!$A$1:$M$1,),)</f>
        <v>183704</v>
      </c>
      <c r="C146" s="94">
        <f>(Table53514[[#This Row],[Manufacturers'' New Orders: Durable Goods]]-B145)/B145</f>
        <v>2.8059768313839609E-2</v>
      </c>
    </row>
    <row r="147" spans="1:3">
      <c r="A147" s="91">
        <v>37926</v>
      </c>
      <c r="B147" s="92">
        <f>VLOOKUP(A147,Database!A:M,MATCH($A$1,Database!$A$1:$M$1,),)</f>
        <v>181685</v>
      </c>
      <c r="C147" s="94">
        <f>(Table53514[[#This Row],[Manufacturers'' New Orders: Durable Goods]]-B146)/B146</f>
        <v>-1.0990506466925053E-2</v>
      </c>
    </row>
    <row r="148" spans="1:3">
      <c r="A148" s="91">
        <v>37956</v>
      </c>
      <c r="B148" s="92">
        <f>VLOOKUP(A148,Database!A:M,MATCH($A$1,Database!$A$1:$M$1,),)</f>
        <v>181513</v>
      </c>
      <c r="C148" s="94">
        <f>(Table53514[[#This Row],[Manufacturers'' New Orders: Durable Goods]]-B147)/B147</f>
        <v>-9.4669345295428906E-4</v>
      </c>
    </row>
    <row r="149" spans="1:3">
      <c r="A149" s="91">
        <v>37987</v>
      </c>
      <c r="B149" s="92">
        <f>VLOOKUP(A149,Database!A:M,MATCH($A$1,Database!$A$1:$M$1,),)</f>
        <v>178696</v>
      </c>
      <c r="C149" s="94">
        <f>(Table53514[[#This Row],[Manufacturers'' New Orders: Durable Goods]]-B148)/B148</f>
        <v>-1.5519549563943079E-2</v>
      </c>
    </row>
    <row r="150" spans="1:3">
      <c r="A150" s="91">
        <v>38018</v>
      </c>
      <c r="B150" s="92">
        <f>VLOOKUP(A150,Database!A:M,MATCH($A$1,Database!$A$1:$M$1,),)</f>
        <v>181662</v>
      </c>
      <c r="C150" s="94">
        <f>(Table53514[[#This Row],[Manufacturers'' New Orders: Durable Goods]]-B149)/B149</f>
        <v>1.659802122039665E-2</v>
      </c>
    </row>
    <row r="151" spans="1:3">
      <c r="A151" s="91">
        <v>38047</v>
      </c>
      <c r="B151" s="92">
        <f>VLOOKUP(A151,Database!A:M,MATCH($A$1,Database!$A$1:$M$1,),)</f>
        <v>190869</v>
      </c>
      <c r="C151" s="94">
        <f>(Table53514[[#This Row],[Manufacturers'' New Orders: Durable Goods]]-B150)/B150</f>
        <v>5.0682035868811308E-2</v>
      </c>
    </row>
    <row r="152" spans="1:3">
      <c r="A152" s="91">
        <v>38078</v>
      </c>
      <c r="B152" s="92">
        <f>VLOOKUP(A152,Database!A:M,MATCH($A$1,Database!$A$1:$M$1,),)</f>
        <v>184368</v>
      </c>
      <c r="C152" s="94">
        <f>(Table53514[[#This Row],[Manufacturers'' New Orders: Durable Goods]]-B151)/B151</f>
        <v>-3.4060009744903572E-2</v>
      </c>
    </row>
    <row r="153" spans="1:3">
      <c r="A153" s="91">
        <v>38108</v>
      </c>
      <c r="B153" s="92">
        <f>VLOOKUP(A153,Database!A:M,MATCH($A$1,Database!$A$1:$M$1,),)</f>
        <v>183459</v>
      </c>
      <c r="C153" s="94">
        <f>(Table53514[[#This Row],[Manufacturers'' New Orders: Durable Goods]]-B152)/B152</f>
        <v>-4.9303566779484512E-3</v>
      </c>
    </row>
    <row r="154" spans="1:3">
      <c r="A154" s="91">
        <v>38139</v>
      </c>
      <c r="B154" s="92">
        <f>VLOOKUP(A154,Database!A:M,MATCH($A$1,Database!$A$1:$M$1,),)</f>
        <v>185640</v>
      </c>
      <c r="C154" s="94">
        <f>(Table53514[[#This Row],[Manufacturers'' New Orders: Durable Goods]]-B153)/B153</f>
        <v>1.1888214805487875E-2</v>
      </c>
    </row>
    <row r="155" spans="1:3">
      <c r="A155" s="91">
        <v>38169</v>
      </c>
      <c r="B155" s="92">
        <f>VLOOKUP(A155,Database!A:M,MATCH($A$1,Database!$A$1:$M$1,),)</f>
        <v>186835</v>
      </c>
      <c r="C155" s="94">
        <f>(Table53514[[#This Row],[Manufacturers'' New Orders: Durable Goods]]-B154)/B154</f>
        <v>6.4371902607196722E-3</v>
      </c>
    </row>
    <row r="156" spans="1:3">
      <c r="A156" s="91">
        <v>38200</v>
      </c>
      <c r="B156" s="92">
        <f>VLOOKUP(A156,Database!A:M,MATCH($A$1,Database!$A$1:$M$1,),)</f>
        <v>183728</v>
      </c>
      <c r="C156" s="94">
        <f>(Table53514[[#This Row],[Manufacturers'' New Orders: Durable Goods]]-B155)/B155</f>
        <v>-1.662964647951401E-2</v>
      </c>
    </row>
    <row r="157" spans="1:3">
      <c r="A157" s="91">
        <v>38231</v>
      </c>
      <c r="B157" s="92">
        <f>VLOOKUP(A157,Database!A:M,MATCH($A$1,Database!$A$1:$M$1,),)</f>
        <v>188444</v>
      </c>
      <c r="C157" s="94">
        <f>(Table53514[[#This Row],[Manufacturers'' New Orders: Durable Goods]]-B156)/B156</f>
        <v>2.5668379343377165E-2</v>
      </c>
    </row>
    <row r="158" spans="1:3">
      <c r="A158" s="91">
        <v>38261</v>
      </c>
      <c r="B158" s="92">
        <f>VLOOKUP(A158,Database!A:M,MATCH($A$1,Database!$A$1:$M$1,),)</f>
        <v>185187</v>
      </c>
      <c r="C158" s="94">
        <f>(Table53514[[#This Row],[Manufacturers'' New Orders: Durable Goods]]-B157)/B157</f>
        <v>-1.7283649253889751E-2</v>
      </c>
    </row>
    <row r="159" spans="1:3">
      <c r="A159" s="91">
        <v>38292</v>
      </c>
      <c r="B159" s="92">
        <f>VLOOKUP(A159,Database!A:M,MATCH($A$1,Database!$A$1:$M$1,),)</f>
        <v>192545</v>
      </c>
      <c r="C159" s="94">
        <f>(Table53514[[#This Row],[Manufacturers'' New Orders: Durable Goods]]-B158)/B158</f>
        <v>3.973281061845594E-2</v>
      </c>
    </row>
    <row r="160" spans="1:3">
      <c r="A160" s="91">
        <v>38322</v>
      </c>
      <c r="B160" s="92">
        <f>VLOOKUP(A160,Database!A:M,MATCH($A$1,Database!$A$1:$M$1,),)</f>
        <v>193578</v>
      </c>
      <c r="C160" s="94">
        <f>(Table53514[[#This Row],[Manufacturers'' New Orders: Durable Goods]]-B159)/B159</f>
        <v>5.364979615154899E-3</v>
      </c>
    </row>
    <row r="161" spans="1:3">
      <c r="A161" s="91">
        <v>38353</v>
      </c>
      <c r="B161" s="92">
        <f>VLOOKUP(A161,Database!A:M,MATCH($A$1,Database!$A$1:$M$1,),)</f>
        <v>194875</v>
      </c>
      <c r="C161" s="94">
        <f>(Table53514[[#This Row],[Manufacturers'' New Orders: Durable Goods]]-B160)/B160</f>
        <v>6.7001415450102797E-3</v>
      </c>
    </row>
    <row r="162" spans="1:3">
      <c r="A162" s="91">
        <v>38384</v>
      </c>
      <c r="B162" s="92">
        <f>VLOOKUP(A162,Database!A:M,MATCH($A$1,Database!$A$1:$M$1,),)</f>
        <v>196475</v>
      </c>
      <c r="C162" s="94">
        <f>(Table53514[[#This Row],[Manufacturers'' New Orders: Durable Goods]]-B161)/B161</f>
        <v>8.2103912764592696E-3</v>
      </c>
    </row>
    <row r="163" spans="1:3">
      <c r="A163" s="91">
        <v>38412</v>
      </c>
      <c r="B163" s="92">
        <f>VLOOKUP(A163,Database!A:M,MATCH($A$1,Database!$A$1:$M$1,),)</f>
        <v>186608</v>
      </c>
      <c r="C163" s="94">
        <f>(Table53514[[#This Row],[Manufacturers'' New Orders: Durable Goods]]-B162)/B162</f>
        <v>-5.0220129787504772E-2</v>
      </c>
    </row>
    <row r="164" spans="1:3">
      <c r="A164" s="91">
        <v>38443</v>
      </c>
      <c r="B164" s="92">
        <f>VLOOKUP(A164,Database!A:M,MATCH($A$1,Database!$A$1:$M$1,),)</f>
        <v>194847</v>
      </c>
      <c r="C164" s="94">
        <f>(Table53514[[#This Row],[Manufacturers'' New Orders: Durable Goods]]-B163)/B163</f>
        <v>4.415137614678899E-2</v>
      </c>
    </row>
    <row r="165" spans="1:3">
      <c r="A165" s="91">
        <v>38473</v>
      </c>
      <c r="B165" s="92">
        <f>VLOOKUP(A165,Database!A:M,MATCH($A$1,Database!$A$1:$M$1,),)</f>
        <v>206623</v>
      </c>
      <c r="C165" s="94">
        <f>(Table53514[[#This Row],[Manufacturers'' New Orders: Durable Goods]]-B164)/B164</f>
        <v>6.0437163518042361E-2</v>
      </c>
    </row>
    <row r="166" spans="1:3">
      <c r="A166" s="91">
        <v>38504</v>
      </c>
      <c r="B166" s="92">
        <f>VLOOKUP(A166,Database!A:M,MATCH($A$1,Database!$A$1:$M$1,),)</f>
        <v>210020</v>
      </c>
      <c r="C166" s="94">
        <f>(Table53514[[#This Row],[Manufacturers'' New Orders: Durable Goods]]-B165)/B165</f>
        <v>1.6440570507639519E-2</v>
      </c>
    </row>
    <row r="167" spans="1:3">
      <c r="A167" s="91">
        <v>38534</v>
      </c>
      <c r="B167" s="92">
        <f>VLOOKUP(A167,Database!A:M,MATCH($A$1,Database!$A$1:$M$1,),)</f>
        <v>194475</v>
      </c>
      <c r="C167" s="94">
        <f>(Table53514[[#This Row],[Manufacturers'' New Orders: Durable Goods]]-B166)/B166</f>
        <v>-7.401676030854204E-2</v>
      </c>
    </row>
    <row r="168" spans="1:3">
      <c r="A168" s="91">
        <v>38565</v>
      </c>
      <c r="B168" s="92">
        <f>VLOOKUP(A168,Database!A:M,MATCH($A$1,Database!$A$1:$M$1,),)</f>
        <v>204839</v>
      </c>
      <c r="C168" s="94">
        <f>(Table53514[[#This Row],[Manufacturers'' New Orders: Durable Goods]]-B167)/B167</f>
        <v>5.3292196940480784E-2</v>
      </c>
    </row>
    <row r="169" spans="1:3">
      <c r="A169" s="91">
        <v>38596</v>
      </c>
      <c r="B169" s="92">
        <f>VLOOKUP(A169,Database!A:M,MATCH($A$1,Database!$A$1:$M$1,),)</f>
        <v>203997</v>
      </c>
      <c r="C169" s="94">
        <f>(Table53514[[#This Row],[Manufacturers'' New Orders: Durable Goods]]-B168)/B168</f>
        <v>-4.1105453551325676E-3</v>
      </c>
    </row>
    <row r="170" spans="1:3">
      <c r="A170" s="91">
        <v>38626</v>
      </c>
      <c r="B170" s="92">
        <f>VLOOKUP(A170,Database!A:M,MATCH($A$1,Database!$A$1:$M$1,),)</f>
        <v>209901</v>
      </c>
      <c r="C170" s="94">
        <f>(Table53514[[#This Row],[Manufacturers'' New Orders: Durable Goods]]-B169)/B169</f>
        <v>2.8941602082383566E-2</v>
      </c>
    </row>
    <row r="171" spans="1:3">
      <c r="A171" s="91">
        <v>38657</v>
      </c>
      <c r="B171" s="92">
        <f>VLOOKUP(A171,Database!A:M,MATCH($A$1,Database!$A$1:$M$1,),)</f>
        <v>220733</v>
      </c>
      <c r="C171" s="94">
        <f>(Table53514[[#This Row],[Manufacturers'' New Orders: Durable Goods]]-B170)/B170</f>
        <v>5.1605280584656577E-2</v>
      </c>
    </row>
    <row r="172" spans="1:3">
      <c r="A172" s="91">
        <v>38687</v>
      </c>
      <c r="B172" s="92">
        <f>VLOOKUP(A172,Database!A:M,MATCH($A$1,Database!$A$1:$M$1,),)</f>
        <v>221499</v>
      </c>
      <c r="C172" s="94">
        <f>(Table53514[[#This Row],[Manufacturers'' New Orders: Durable Goods]]-B171)/B171</f>
        <v>3.4702559200482032E-3</v>
      </c>
    </row>
    <row r="173" spans="1:3">
      <c r="A173" s="91">
        <v>38718</v>
      </c>
      <c r="B173" s="92">
        <f>VLOOKUP(A173,Database!A:M,MATCH($A$1,Database!$A$1:$M$1,),)</f>
        <v>209540</v>
      </c>
      <c r="C173" s="94">
        <f>(Table53514[[#This Row],[Manufacturers'' New Orders: Durable Goods]]-B172)/B172</f>
        <v>-5.3991214407288518E-2</v>
      </c>
    </row>
    <row r="174" spans="1:3">
      <c r="A174" s="91">
        <v>38749</v>
      </c>
      <c r="B174" s="92">
        <f>VLOOKUP(A174,Database!A:M,MATCH($A$1,Database!$A$1:$M$1,),)</f>
        <v>219738</v>
      </c>
      <c r="C174" s="94">
        <f>(Table53514[[#This Row],[Manufacturers'' New Orders: Durable Goods]]-B173)/B173</f>
        <v>4.8668511978619836E-2</v>
      </c>
    </row>
    <row r="175" spans="1:3">
      <c r="A175" s="91">
        <v>38777</v>
      </c>
      <c r="B175" s="92">
        <f>VLOOKUP(A175,Database!A:M,MATCH($A$1,Database!$A$1:$M$1,),)</f>
        <v>227188</v>
      </c>
      <c r="C175" s="94">
        <f>(Table53514[[#This Row],[Manufacturers'' New Orders: Durable Goods]]-B174)/B174</f>
        <v>3.3904012960889789E-2</v>
      </c>
    </row>
    <row r="176" spans="1:3">
      <c r="A176" s="91">
        <v>38808</v>
      </c>
      <c r="B176" s="92">
        <f>VLOOKUP(A176,Database!A:M,MATCH($A$1,Database!$A$1:$M$1,),)</f>
        <v>214625</v>
      </c>
      <c r="C176" s="94">
        <f>(Table53514[[#This Row],[Manufacturers'' New Orders: Durable Goods]]-B175)/B175</f>
        <v>-5.5297815025441482E-2</v>
      </c>
    </row>
    <row r="177" spans="1:3">
      <c r="A177" s="91">
        <v>38838</v>
      </c>
      <c r="B177" s="92">
        <f>VLOOKUP(A177,Database!A:M,MATCH($A$1,Database!$A$1:$M$1,),)</f>
        <v>215819</v>
      </c>
      <c r="C177" s="94">
        <f>(Table53514[[#This Row],[Manufacturers'' New Orders: Durable Goods]]-B176)/B176</f>
        <v>5.5631916132789748E-3</v>
      </c>
    </row>
    <row r="178" spans="1:3">
      <c r="A178" s="91">
        <v>38869</v>
      </c>
      <c r="B178" s="92">
        <f>VLOOKUP(A178,Database!A:M,MATCH($A$1,Database!$A$1:$M$1,),)</f>
        <v>221220</v>
      </c>
      <c r="C178" s="94">
        <f>(Table53514[[#This Row],[Manufacturers'' New Orders: Durable Goods]]-B177)/B177</f>
        <v>2.5025600155686015E-2</v>
      </c>
    </row>
    <row r="179" spans="1:3">
      <c r="A179" s="91">
        <v>38899</v>
      </c>
      <c r="B179" s="92">
        <f>VLOOKUP(A179,Database!A:M,MATCH($A$1,Database!$A$1:$M$1,),)</f>
        <v>209494</v>
      </c>
      <c r="C179" s="94">
        <f>(Table53514[[#This Row],[Manufacturers'' New Orders: Durable Goods]]-B178)/B178</f>
        <v>-5.3006057318506467E-2</v>
      </c>
    </row>
    <row r="180" spans="1:3">
      <c r="A180" s="91">
        <v>38930</v>
      </c>
      <c r="B180" s="92">
        <f>VLOOKUP(A180,Database!A:M,MATCH($A$1,Database!$A$1:$M$1,),)</f>
        <v>210473</v>
      </c>
      <c r="C180" s="94">
        <f>(Table53514[[#This Row],[Manufacturers'' New Orders: Durable Goods]]-B179)/B179</f>
        <v>4.6731648639101835E-3</v>
      </c>
    </row>
    <row r="181" spans="1:3">
      <c r="A181" s="91">
        <v>38961</v>
      </c>
      <c r="B181" s="92">
        <f>VLOOKUP(A181,Database!A:M,MATCH($A$1,Database!$A$1:$M$1,),)</f>
        <v>234701</v>
      </c>
      <c r="C181" s="94">
        <f>(Table53514[[#This Row],[Manufacturers'' New Orders: Durable Goods]]-B180)/B180</f>
        <v>0.11511215215253263</v>
      </c>
    </row>
    <row r="182" spans="1:3">
      <c r="A182" s="91">
        <v>38991</v>
      </c>
      <c r="B182" s="92">
        <f>VLOOKUP(A182,Database!A:M,MATCH($A$1,Database!$A$1:$M$1,),)</f>
        <v>216952</v>
      </c>
      <c r="C182" s="94">
        <f>(Table53514[[#This Row],[Manufacturers'' New Orders: Durable Goods]]-B181)/B181</f>
        <v>-7.5623878892718821E-2</v>
      </c>
    </row>
    <row r="183" spans="1:3">
      <c r="A183" s="91">
        <v>39022</v>
      </c>
      <c r="B183" s="92">
        <f>VLOOKUP(A183,Database!A:M,MATCH($A$1,Database!$A$1:$M$1,),)</f>
        <v>224809</v>
      </c>
      <c r="C183" s="94">
        <f>(Table53514[[#This Row],[Manufacturers'' New Orders: Durable Goods]]-B182)/B182</f>
        <v>3.6215384048084366E-2</v>
      </c>
    </row>
    <row r="184" spans="1:3">
      <c r="A184" s="91">
        <v>39052</v>
      </c>
      <c r="B184" s="92">
        <f>VLOOKUP(A184,Database!A:M,MATCH($A$1,Database!$A$1:$M$1,),)</f>
        <v>229243</v>
      </c>
      <c r="C184" s="94">
        <f>(Table53514[[#This Row],[Manufacturers'' New Orders: Durable Goods]]-B183)/B183</f>
        <v>1.972340964996953E-2</v>
      </c>
    </row>
    <row r="185" spans="1:3">
      <c r="A185" s="91">
        <v>39083</v>
      </c>
      <c r="B185" s="92">
        <f>VLOOKUP(A185,Database!A:M,MATCH($A$1,Database!$A$1:$M$1,),)</f>
        <v>222969</v>
      </c>
      <c r="C185" s="94">
        <f>(Table53514[[#This Row],[Manufacturers'' New Orders: Durable Goods]]-B184)/B184</f>
        <v>-2.7368338400736335E-2</v>
      </c>
    </row>
    <row r="186" spans="1:3">
      <c r="A186" s="91">
        <v>39114</v>
      </c>
      <c r="B186" s="92">
        <f>VLOOKUP(A186,Database!A:M,MATCH($A$1,Database!$A$1:$M$1,),)</f>
        <v>220962</v>
      </c>
      <c r="C186" s="94">
        <f>(Table53514[[#This Row],[Manufacturers'' New Orders: Durable Goods]]-B185)/B185</f>
        <v>-9.0012512950230755E-3</v>
      </c>
    </row>
    <row r="187" spans="1:3">
      <c r="A187" s="91">
        <v>39142</v>
      </c>
      <c r="B187" s="92">
        <f>VLOOKUP(A187,Database!A:M,MATCH($A$1,Database!$A$1:$M$1,),)</f>
        <v>229526</v>
      </c>
      <c r="C187" s="94">
        <f>(Table53514[[#This Row],[Manufacturers'' New Orders: Durable Goods]]-B186)/B186</f>
        <v>3.875779545804256E-2</v>
      </c>
    </row>
    <row r="188" spans="1:3">
      <c r="A188" s="91">
        <v>39173</v>
      </c>
      <c r="B188" s="92">
        <f>VLOOKUP(A188,Database!A:M,MATCH($A$1,Database!$A$1:$M$1,),)</f>
        <v>233420</v>
      </c>
      <c r="C188" s="94">
        <f>(Table53514[[#This Row],[Manufacturers'' New Orders: Durable Goods]]-B187)/B187</f>
        <v>1.6965398255535322E-2</v>
      </c>
    </row>
    <row r="189" spans="1:3">
      <c r="A189" s="91">
        <v>39203</v>
      </c>
      <c r="B189" s="92">
        <f>VLOOKUP(A189,Database!A:M,MATCH($A$1,Database!$A$1:$M$1,),)</f>
        <v>228836</v>
      </c>
      <c r="C189" s="94">
        <f>(Table53514[[#This Row],[Manufacturers'' New Orders: Durable Goods]]-B188)/B188</f>
        <v>-1.9638420015422844E-2</v>
      </c>
    </row>
    <row r="190" spans="1:3">
      <c r="A190" s="91">
        <v>39234</v>
      </c>
      <c r="B190" s="92">
        <f>VLOOKUP(A190,Database!A:M,MATCH($A$1,Database!$A$1:$M$1,),)</f>
        <v>228868</v>
      </c>
      <c r="C190" s="94">
        <f>(Table53514[[#This Row],[Manufacturers'' New Orders: Durable Goods]]-B189)/B189</f>
        <v>1.3983813735601042E-4</v>
      </c>
    </row>
    <row r="191" spans="1:3">
      <c r="A191" s="91">
        <v>39264</v>
      </c>
      <c r="B191" s="92">
        <f>VLOOKUP(A191,Database!A:M,MATCH($A$1,Database!$A$1:$M$1,),)</f>
        <v>233176</v>
      </c>
      <c r="C191" s="94">
        <f>(Table53514[[#This Row],[Manufacturers'' New Orders: Durable Goods]]-B190)/B190</f>
        <v>1.8823077057517869E-2</v>
      </c>
    </row>
    <row r="192" spans="1:3">
      <c r="A192" s="91">
        <v>39295</v>
      </c>
      <c r="B192" s="92">
        <f>VLOOKUP(A192,Database!A:M,MATCH($A$1,Database!$A$1:$M$1,),)</f>
        <v>235758</v>
      </c>
      <c r="C192" s="94">
        <f>(Table53514[[#This Row],[Manufacturers'' New Orders: Durable Goods]]-B191)/B191</f>
        <v>1.107318077332144E-2</v>
      </c>
    </row>
    <row r="193" spans="1:3">
      <c r="A193" s="91">
        <v>39326</v>
      </c>
      <c r="B193" s="92">
        <f>VLOOKUP(A193,Database!A:M,MATCH($A$1,Database!$A$1:$M$1,),)</f>
        <v>226473</v>
      </c>
      <c r="C193" s="94">
        <f>(Table53514[[#This Row],[Manufacturers'' New Orders: Durable Goods]]-B192)/B192</f>
        <v>-3.9383605222304226E-2</v>
      </c>
    </row>
    <row r="194" spans="1:3">
      <c r="A194" s="91">
        <v>39356</v>
      </c>
      <c r="B194" s="92">
        <f>VLOOKUP(A194,Database!A:M,MATCH($A$1,Database!$A$1:$M$1,),)</f>
        <v>230700</v>
      </c>
      <c r="C194" s="94">
        <f>(Table53514[[#This Row],[Manufacturers'' New Orders: Durable Goods]]-B193)/B193</f>
        <v>1.8664476560119748E-2</v>
      </c>
    </row>
    <row r="195" spans="1:3">
      <c r="A195" s="91">
        <v>39387</v>
      </c>
      <c r="B195" s="92">
        <f>VLOOKUP(A195,Database!A:M,MATCH($A$1,Database!$A$1:$M$1,),)</f>
        <v>227005</v>
      </c>
      <c r="C195" s="94">
        <f>(Table53514[[#This Row],[Manufacturers'' New Orders: Durable Goods]]-B194)/B194</f>
        <v>-1.6016471608149112E-2</v>
      </c>
    </row>
    <row r="196" spans="1:3">
      <c r="A196" s="91">
        <v>39417</v>
      </c>
      <c r="B196" s="92">
        <f>VLOOKUP(A196,Database!A:M,MATCH($A$1,Database!$A$1:$M$1,),)</f>
        <v>244443</v>
      </c>
      <c r="C196" s="94">
        <f>(Table53514[[#This Row],[Manufacturers'' New Orders: Durable Goods]]-B195)/B195</f>
        <v>7.6817691240281052E-2</v>
      </c>
    </row>
    <row r="197" spans="1:3">
      <c r="A197" s="91">
        <v>39448</v>
      </c>
      <c r="B197" s="92">
        <f>VLOOKUP(A197,Database!A:M,MATCH($A$1,Database!$A$1:$M$1,),)</f>
        <v>239389</v>
      </c>
      <c r="C197" s="94">
        <f>(Table53514[[#This Row],[Manufacturers'' New Orders: Durable Goods]]-B196)/B196</f>
        <v>-2.0675576719316979E-2</v>
      </c>
    </row>
    <row r="198" spans="1:3">
      <c r="A198" s="91">
        <v>39479</v>
      </c>
      <c r="B198" s="92">
        <f>VLOOKUP(A198,Database!A:M,MATCH($A$1,Database!$A$1:$M$1,),)</f>
        <v>235037</v>
      </c>
      <c r="C198" s="94">
        <f>(Table53514[[#This Row],[Manufacturers'' New Orders: Durable Goods]]-B197)/B197</f>
        <v>-1.8179615604727035E-2</v>
      </c>
    </row>
    <row r="199" spans="1:3">
      <c r="A199" s="91">
        <v>39508</v>
      </c>
      <c r="B199" s="92">
        <f>VLOOKUP(A199,Database!A:M,MATCH($A$1,Database!$A$1:$M$1,),)</f>
        <v>234868</v>
      </c>
      <c r="C199" s="94">
        <f>(Table53514[[#This Row],[Manufacturers'' New Orders: Durable Goods]]-B198)/B198</f>
        <v>-7.1903572628990325E-4</v>
      </c>
    </row>
    <row r="200" spans="1:3">
      <c r="A200" s="91">
        <v>39539</v>
      </c>
      <c r="B200" s="92">
        <f>VLOOKUP(A200,Database!A:M,MATCH($A$1,Database!$A$1:$M$1,),)</f>
        <v>231086</v>
      </c>
      <c r="C200" s="94">
        <f>(Table53514[[#This Row],[Manufacturers'' New Orders: Durable Goods]]-B199)/B199</f>
        <v>-1.6102661920738458E-2</v>
      </c>
    </row>
    <row r="201" spans="1:3">
      <c r="A201" s="91">
        <v>39569</v>
      </c>
      <c r="B201" s="92">
        <f>VLOOKUP(A201,Database!A:M,MATCH($A$1,Database!$A$1:$M$1,),)</f>
        <v>227370</v>
      </c>
      <c r="C201" s="94">
        <f>(Table53514[[#This Row],[Manufacturers'' New Orders: Durable Goods]]-B200)/B200</f>
        <v>-1.6080593372164477E-2</v>
      </c>
    </row>
    <row r="202" spans="1:3">
      <c r="A202" s="91">
        <v>39600</v>
      </c>
      <c r="B202" s="92">
        <f>VLOOKUP(A202,Database!A:M,MATCH($A$1,Database!$A$1:$M$1,),)</f>
        <v>229262</v>
      </c>
      <c r="C202" s="94">
        <f>(Table53514[[#This Row],[Manufacturers'' New Orders: Durable Goods]]-B201)/B201</f>
        <v>8.3212385099177555E-3</v>
      </c>
    </row>
    <row r="203" spans="1:3">
      <c r="A203" s="91">
        <v>39630</v>
      </c>
      <c r="B203" s="92">
        <f>VLOOKUP(A203,Database!A:M,MATCH($A$1,Database!$A$1:$M$1,),)</f>
        <v>220411</v>
      </c>
      <c r="C203" s="94">
        <f>(Table53514[[#This Row],[Manufacturers'' New Orders: Durable Goods]]-B202)/B202</f>
        <v>-3.8606485156720258E-2</v>
      </c>
    </row>
    <row r="204" spans="1:3">
      <c r="A204" s="91">
        <v>39661</v>
      </c>
      <c r="B204" s="92">
        <f>VLOOKUP(A204,Database!A:M,MATCH($A$1,Database!$A$1:$M$1,),)</f>
        <v>214106</v>
      </c>
      <c r="C204" s="94">
        <f>(Table53514[[#This Row],[Manufacturers'' New Orders: Durable Goods]]-B203)/B203</f>
        <v>-2.8605650353203789E-2</v>
      </c>
    </row>
    <row r="205" spans="1:3">
      <c r="A205" s="91">
        <v>39692</v>
      </c>
      <c r="B205" s="92">
        <f>VLOOKUP(A205,Database!A:M,MATCH($A$1,Database!$A$1:$M$1,),)</f>
        <v>215245</v>
      </c>
      <c r="C205" s="94">
        <f>(Table53514[[#This Row],[Manufacturers'' New Orders: Durable Goods]]-B204)/B204</f>
        <v>5.3197948679625977E-3</v>
      </c>
    </row>
    <row r="206" spans="1:3">
      <c r="A206" s="91">
        <v>39722</v>
      </c>
      <c r="B206" s="92">
        <f>VLOOKUP(A206,Database!A:M,MATCH($A$1,Database!$A$1:$M$1,),)</f>
        <v>191912</v>
      </c>
      <c r="C206" s="94">
        <f>(Table53514[[#This Row],[Manufacturers'' New Orders: Durable Goods]]-B205)/B205</f>
        <v>-0.1084020534739483</v>
      </c>
    </row>
    <row r="207" spans="1:3">
      <c r="A207" s="91">
        <v>39753</v>
      </c>
      <c r="B207" s="92">
        <f>VLOOKUP(A207,Database!A:M,MATCH($A$1,Database!$A$1:$M$1,),)</f>
        <v>181552</v>
      </c>
      <c r="C207" s="94">
        <f>(Table53514[[#This Row],[Manufacturers'' New Orders: Durable Goods]]-B206)/B206</f>
        <v>-5.3983075576305807E-2</v>
      </c>
    </row>
    <row r="208" spans="1:3">
      <c r="A208" s="91">
        <v>39783</v>
      </c>
      <c r="B208" s="92">
        <f>VLOOKUP(A208,Database!A:M,MATCH($A$1,Database!$A$1:$M$1,),)</f>
        <v>173849</v>
      </c>
      <c r="C208" s="94">
        <f>(Table53514[[#This Row],[Manufacturers'' New Orders: Durable Goods]]-B207)/B207</f>
        <v>-4.242861549308187E-2</v>
      </c>
    </row>
    <row r="209" spans="1:3">
      <c r="A209" s="91">
        <v>39814</v>
      </c>
      <c r="B209" s="92">
        <f>VLOOKUP(A209,Database!A:M,MATCH($A$1,Database!$A$1:$M$1,),)</f>
        <v>151085</v>
      </c>
      <c r="C209" s="94">
        <f>(Table53514[[#This Row],[Manufacturers'' New Orders: Durable Goods]]-B208)/B208</f>
        <v>-0.13094121910393502</v>
      </c>
    </row>
    <row r="210" spans="1:3">
      <c r="A210" s="91">
        <v>39845</v>
      </c>
      <c r="B210" s="92">
        <f>VLOOKUP(A210,Database!A:M,MATCH($A$1,Database!$A$1:$M$1,),)</f>
        <v>148834</v>
      </c>
      <c r="C210" s="94">
        <f>(Table53514[[#This Row],[Manufacturers'' New Orders: Durable Goods]]-B209)/B209</f>
        <v>-1.4898897971340636E-2</v>
      </c>
    </row>
    <row r="211" spans="1:3">
      <c r="A211" s="91">
        <v>39873</v>
      </c>
      <c r="B211" s="92">
        <f>VLOOKUP(A211,Database!A:M,MATCH($A$1,Database!$A$1:$M$1,),)</f>
        <v>146323</v>
      </c>
      <c r="C211" s="94">
        <f>(Table53514[[#This Row],[Manufacturers'' New Orders: Durable Goods]]-B210)/B210</f>
        <v>-1.6871145034064797E-2</v>
      </c>
    </row>
    <row r="212" spans="1:3">
      <c r="A212" s="91">
        <v>39904</v>
      </c>
      <c r="B212" s="92">
        <f>VLOOKUP(A212,Database!A:M,MATCH($A$1,Database!$A$1:$M$1,),)</f>
        <v>147467</v>
      </c>
      <c r="C212" s="94">
        <f>(Table53514[[#This Row],[Manufacturers'' New Orders: Durable Goods]]-B211)/B211</f>
        <v>7.818319744674453E-3</v>
      </c>
    </row>
    <row r="213" spans="1:3">
      <c r="A213" s="91">
        <v>39934</v>
      </c>
      <c r="B213" s="92">
        <f>VLOOKUP(A213,Database!A:M,MATCH($A$1,Database!$A$1:$M$1,),)</f>
        <v>149255</v>
      </c>
      <c r="C213" s="94">
        <f>(Table53514[[#This Row],[Manufacturers'' New Orders: Durable Goods]]-B212)/B212</f>
        <v>1.2124746553466199E-2</v>
      </c>
    </row>
    <row r="214" spans="1:3">
      <c r="A214" s="91">
        <v>39965</v>
      </c>
      <c r="B214" s="92">
        <f>VLOOKUP(A214,Database!A:M,MATCH($A$1,Database!$A$1:$M$1,),)</f>
        <v>147033</v>
      </c>
      <c r="C214" s="94">
        <f>(Table53514[[#This Row],[Manufacturers'' New Orders: Durable Goods]]-B213)/B213</f>
        <v>-1.4887273458175606E-2</v>
      </c>
    </row>
    <row r="215" spans="1:3">
      <c r="A215" s="91">
        <v>39995</v>
      </c>
      <c r="B215" s="92">
        <f>VLOOKUP(A215,Database!A:M,MATCH($A$1,Database!$A$1:$M$1,),)</f>
        <v>153691</v>
      </c>
      <c r="C215" s="94">
        <f>(Table53514[[#This Row],[Manufacturers'' New Orders: Durable Goods]]-B214)/B214</f>
        <v>4.5282351580937616E-2</v>
      </c>
    </row>
    <row r="216" spans="1:3">
      <c r="A216" s="91">
        <v>40026</v>
      </c>
      <c r="B216" s="92">
        <f>VLOOKUP(A216,Database!A:M,MATCH($A$1,Database!$A$1:$M$1,),)</f>
        <v>157489</v>
      </c>
      <c r="C216" s="94">
        <f>(Table53514[[#This Row],[Manufacturers'' New Orders: Durable Goods]]-B215)/B215</f>
        <v>2.4711921973310083E-2</v>
      </c>
    </row>
    <row r="217" spans="1:3">
      <c r="A217" s="91">
        <v>40057</v>
      </c>
      <c r="B217" s="92">
        <f>VLOOKUP(A217,Database!A:M,MATCH($A$1,Database!$A$1:$M$1,),)</f>
        <v>158041</v>
      </c>
      <c r="C217" s="94">
        <f>(Table53514[[#This Row],[Manufacturers'' New Orders: Durable Goods]]-B216)/B216</f>
        <v>3.5050066988805569E-3</v>
      </c>
    </row>
    <row r="218" spans="1:3">
      <c r="A218" s="91">
        <v>40087</v>
      </c>
      <c r="B218" s="92">
        <f>VLOOKUP(A218,Database!A:M,MATCH($A$1,Database!$A$1:$M$1,),)</f>
        <v>161097</v>
      </c>
      <c r="C218" s="94">
        <f>(Table53514[[#This Row],[Manufacturers'' New Orders: Durable Goods]]-B217)/B217</f>
        <v>1.9336754386519953E-2</v>
      </c>
    </row>
    <row r="219" spans="1:3">
      <c r="A219" s="91">
        <v>40118</v>
      </c>
      <c r="B219" s="92">
        <f>VLOOKUP(A219,Database!A:M,MATCH($A$1,Database!$A$1:$M$1,),)</f>
        <v>160419</v>
      </c>
      <c r="C219" s="94">
        <f>(Table53514[[#This Row],[Manufacturers'' New Orders: Durable Goods]]-B218)/B218</f>
        <v>-4.2086444812752567E-3</v>
      </c>
    </row>
    <row r="220" spans="1:3">
      <c r="A220" s="91">
        <v>40148</v>
      </c>
      <c r="B220" s="92">
        <f>VLOOKUP(A220,Database!A:M,MATCH($A$1,Database!$A$1:$M$1,),)</f>
        <v>160520</v>
      </c>
      <c r="C220" s="94">
        <f>(Table53514[[#This Row],[Manufacturers'' New Orders: Durable Goods]]-B219)/B219</f>
        <v>6.2960123177429109E-4</v>
      </c>
    </row>
    <row r="221" spans="1:3">
      <c r="A221" s="91">
        <v>40179</v>
      </c>
      <c r="B221" s="92">
        <f>VLOOKUP(A221,Database!A:M,MATCH($A$1,Database!$A$1:$M$1,),)</f>
        <v>181016</v>
      </c>
      <c r="C221" s="94">
        <f>(Table53514[[#This Row],[Manufacturers'' New Orders: Durable Goods]]-B220)/B220</f>
        <v>0.12768502367306256</v>
      </c>
    </row>
    <row r="222" spans="1:3">
      <c r="A222" s="91">
        <v>40210</v>
      </c>
      <c r="B222" s="92">
        <f>VLOOKUP(A222,Database!A:M,MATCH($A$1,Database!$A$1:$M$1,),)</f>
        <v>180450</v>
      </c>
      <c r="C222" s="94">
        <f>(Table53514[[#This Row],[Manufacturers'' New Orders: Durable Goods]]-B221)/B221</f>
        <v>-3.1267954213992132E-3</v>
      </c>
    </row>
    <row r="223" spans="1:3">
      <c r="A223" s="91">
        <v>40238</v>
      </c>
      <c r="B223" s="92">
        <f>VLOOKUP(A223,Database!A:M,MATCH($A$1,Database!$A$1:$M$1,),)</f>
        <v>182148</v>
      </c>
      <c r="C223" s="94">
        <f>(Table53514[[#This Row],[Manufacturers'' New Orders: Durable Goods]]-B222)/B222</f>
        <v>9.4098088113050704E-3</v>
      </c>
    </row>
    <row r="224" spans="1:3">
      <c r="A224" s="91">
        <v>40269</v>
      </c>
      <c r="B224" s="92">
        <f>VLOOKUP(A224,Database!A:M,MATCH($A$1,Database!$A$1:$M$1,),)</f>
        <v>182948</v>
      </c>
      <c r="C224" s="94">
        <f>(Table53514[[#This Row],[Manufacturers'' New Orders: Durable Goods]]-B223)/B223</f>
        <v>4.392032852405736E-3</v>
      </c>
    </row>
    <row r="225" spans="1:3">
      <c r="A225" s="91">
        <v>40299</v>
      </c>
      <c r="B225" s="92">
        <f>VLOOKUP(A225,Database!A:M,MATCH($A$1,Database!$A$1:$M$1,),)</f>
        <v>189932</v>
      </c>
      <c r="C225" s="94">
        <f>(Table53514[[#This Row],[Manufacturers'' New Orders: Durable Goods]]-B224)/B224</f>
        <v>3.8174781905240832E-2</v>
      </c>
    </row>
    <row r="226" spans="1:3">
      <c r="A226" s="91">
        <v>40330</v>
      </c>
      <c r="B226" s="92">
        <f>VLOOKUP(A226,Database!A:M,MATCH($A$1,Database!$A$1:$M$1,),)</f>
        <v>185667</v>
      </c>
      <c r="C226" s="94">
        <f>(Table53514[[#This Row],[Manufacturers'' New Orders: Durable Goods]]-B225)/B225</f>
        <v>-2.2455405092348842E-2</v>
      </c>
    </row>
    <row r="227" spans="1:3">
      <c r="A227" s="91">
        <v>40360</v>
      </c>
      <c r="B227" s="92">
        <f>VLOOKUP(A227,Database!A:M,MATCH($A$1,Database!$A$1:$M$1,),)</f>
        <v>187506</v>
      </c>
      <c r="C227" s="94">
        <f>(Table53514[[#This Row],[Manufacturers'' New Orders: Durable Goods]]-B226)/B226</f>
        <v>9.9048296143094891E-3</v>
      </c>
    </row>
    <row r="228" spans="1:3">
      <c r="A228" s="91">
        <v>40391</v>
      </c>
      <c r="B228" s="92">
        <f>VLOOKUP(A228,Database!A:M,MATCH($A$1,Database!$A$1:$M$1,),)</f>
        <v>191745</v>
      </c>
      <c r="C228" s="94">
        <f>(Table53514[[#This Row],[Manufacturers'' New Orders: Durable Goods]]-B227)/B227</f>
        <v>2.260727656714985E-2</v>
      </c>
    </row>
    <row r="229" spans="1:3">
      <c r="A229" s="91">
        <v>40422</v>
      </c>
      <c r="B229" s="92">
        <f>VLOOKUP(A229,Database!A:M,MATCH($A$1,Database!$A$1:$M$1,),)</f>
        <v>201932</v>
      </c>
      <c r="C229" s="94">
        <f>(Table53514[[#This Row],[Manufacturers'' New Orders: Durable Goods]]-B228)/B228</f>
        <v>5.3127852095230646E-2</v>
      </c>
    </row>
    <row r="230" spans="1:3">
      <c r="A230" s="91">
        <v>40452</v>
      </c>
      <c r="B230" s="92">
        <f>VLOOKUP(A230,Database!A:M,MATCH($A$1,Database!$A$1:$M$1,),)</f>
        <v>193066</v>
      </c>
      <c r="C230" s="94">
        <f>(Table53514[[#This Row],[Manufacturers'' New Orders: Durable Goods]]-B229)/B229</f>
        <v>-4.3905869302537488E-2</v>
      </c>
    </row>
    <row r="231" spans="1:3">
      <c r="A231" s="91">
        <v>40483</v>
      </c>
      <c r="B231" s="92">
        <f>VLOOKUP(A231,Database!A:M,MATCH($A$1,Database!$A$1:$M$1,),)</f>
        <v>197202</v>
      </c>
      <c r="C231" s="94">
        <f>(Table53514[[#This Row],[Manufacturers'' New Orders: Durable Goods]]-B230)/B230</f>
        <v>2.1422725907202719E-2</v>
      </c>
    </row>
    <row r="232" spans="1:3">
      <c r="A232" s="91">
        <v>40513</v>
      </c>
      <c r="B232" s="92">
        <f>VLOOKUP(A232,Database!A:M,MATCH($A$1,Database!$A$1:$M$1,),)</f>
        <v>193452</v>
      </c>
      <c r="C232" s="94">
        <f>(Table53514[[#This Row],[Manufacturers'' New Orders: Durable Goods]]-B231)/B231</f>
        <v>-1.901603432013874E-2</v>
      </c>
    </row>
    <row r="233" spans="1:3">
      <c r="A233" s="91">
        <v>40544</v>
      </c>
      <c r="B233" s="92">
        <f>VLOOKUP(A233,Database!A:M,MATCH($A$1,Database!$A$1:$M$1,),)</f>
        <v>203636</v>
      </c>
      <c r="C233" s="94">
        <f>(Table53514[[#This Row],[Manufacturers'' New Orders: Durable Goods]]-B232)/B232</f>
        <v>5.2643549821144262E-2</v>
      </c>
    </row>
    <row r="234" spans="1:3">
      <c r="A234" s="91">
        <v>40575</v>
      </c>
      <c r="B234" s="92">
        <f>VLOOKUP(A234,Database!A:M,MATCH($A$1,Database!$A$1:$M$1,),)</f>
        <v>196393</v>
      </c>
      <c r="C234" s="94">
        <f>(Table53514[[#This Row],[Manufacturers'' New Orders: Durable Goods]]-B233)/B233</f>
        <v>-3.5568367086369797E-2</v>
      </c>
    </row>
    <row r="235" spans="1:3">
      <c r="A235" s="91">
        <v>40603</v>
      </c>
      <c r="B235" s="92">
        <f>VLOOKUP(A235,Database!A:M,MATCH($A$1,Database!$A$1:$M$1,),)</f>
        <v>212748</v>
      </c>
      <c r="C235" s="94">
        <f>(Table53514[[#This Row],[Manufacturers'' New Orders: Durable Goods]]-B234)/B234</f>
        <v>8.3276898871141022E-2</v>
      </c>
    </row>
    <row r="236" spans="1:3">
      <c r="A236" s="91">
        <v>40634</v>
      </c>
      <c r="B236" s="92">
        <f>VLOOKUP(A236,Database!A:M,MATCH($A$1,Database!$A$1:$M$1,),)</f>
        <v>200733</v>
      </c>
      <c r="C236" s="94">
        <f>(Table53514[[#This Row],[Manufacturers'' New Orders: Durable Goods]]-B235)/B235</f>
        <v>-5.6475266512493655E-2</v>
      </c>
    </row>
    <row r="237" spans="1:3">
      <c r="A237" s="91">
        <v>40664</v>
      </c>
      <c r="B237" s="92">
        <f>VLOOKUP(A237,Database!A:M,MATCH($A$1,Database!$A$1:$M$1,),)</f>
        <v>207170</v>
      </c>
      <c r="C237" s="94">
        <f>(Table53514[[#This Row],[Manufacturers'' New Orders: Durable Goods]]-B236)/B236</f>
        <v>3.2067472712508656E-2</v>
      </c>
    </row>
    <row r="238" spans="1:3">
      <c r="A238" s="91">
        <v>40695</v>
      </c>
      <c r="B238" s="92">
        <f>VLOOKUP(A238,Database!A:M,MATCH($A$1,Database!$A$1:$M$1,),)</f>
        <v>201579</v>
      </c>
      <c r="C238" s="94">
        <f>(Table53514[[#This Row],[Manufacturers'' New Orders: Durable Goods]]-B237)/B237</f>
        <v>-2.6987498189892357E-2</v>
      </c>
    </row>
    <row r="239" spans="1:3">
      <c r="A239" s="91">
        <v>40725</v>
      </c>
      <c r="B239" s="92">
        <f>VLOOKUP(A239,Database!A:M,MATCH($A$1,Database!$A$1:$M$1,),)</f>
        <v>206458</v>
      </c>
      <c r="C239" s="94">
        <f>(Table53514[[#This Row],[Manufacturers'' New Orders: Durable Goods]]-B238)/B238</f>
        <v>2.420391012952738E-2</v>
      </c>
    </row>
    <row r="240" spans="1:3">
      <c r="A240" s="91">
        <v>40756</v>
      </c>
      <c r="B240" s="92">
        <f>VLOOKUP(A240,Database!A:M,MATCH($A$1,Database!$A$1:$M$1,),)</f>
        <v>216705</v>
      </c>
      <c r="C240" s="94">
        <f>(Table53514[[#This Row],[Manufacturers'' New Orders: Durable Goods]]-B239)/B239</f>
        <v>4.9632370748529969E-2</v>
      </c>
    </row>
    <row r="241" spans="1:3">
      <c r="A241" s="91">
        <v>40787</v>
      </c>
      <c r="B241" s="92">
        <f>VLOOKUP(A241,Database!A:M,MATCH($A$1,Database!$A$1:$M$1,),)</f>
        <v>204738</v>
      </c>
      <c r="C241" s="94">
        <f>(Table53514[[#This Row],[Manufacturers'' New Orders: Durable Goods]]-B240)/B240</f>
        <v>-5.522253755104866E-2</v>
      </c>
    </row>
    <row r="242" spans="1:3">
      <c r="A242" s="91">
        <v>40817</v>
      </c>
      <c r="B242" s="92">
        <f>VLOOKUP(A242,Database!A:M,MATCH($A$1,Database!$A$1:$M$1,),)</f>
        <v>210799</v>
      </c>
      <c r="C242" s="94">
        <f>(Table53514[[#This Row],[Manufacturers'' New Orders: Durable Goods]]-B241)/B241</f>
        <v>2.9603688616671061E-2</v>
      </c>
    </row>
    <row r="243" spans="1:3">
      <c r="A243" s="91">
        <v>40848</v>
      </c>
      <c r="B243" s="92">
        <f>VLOOKUP(A243,Database!A:M,MATCH($A$1,Database!$A$1:$M$1,),)</f>
        <v>215531</v>
      </c>
      <c r="C243" s="94">
        <f>(Table53514[[#This Row],[Manufacturers'' New Orders: Durable Goods]]-B242)/B242</f>
        <v>2.2447924326016729E-2</v>
      </c>
    </row>
    <row r="244" spans="1:3">
      <c r="A244" s="91">
        <v>40878</v>
      </c>
      <c r="B244" s="92">
        <f>VLOOKUP(A244,Database!A:M,MATCH($A$1,Database!$A$1:$M$1,),)</f>
        <v>223835</v>
      </c>
      <c r="C244" s="94">
        <f>(Table53514[[#This Row],[Manufacturers'' New Orders: Durable Goods]]-B243)/B243</f>
        <v>3.8528100366072633E-2</v>
      </c>
    </row>
    <row r="245" spans="1:3">
      <c r="A245" s="91">
        <v>40909</v>
      </c>
      <c r="B245" s="92">
        <f>VLOOKUP(A245,Database!A:M,MATCH($A$1,Database!$A$1:$M$1,),)</f>
        <v>224511</v>
      </c>
      <c r="C245" s="94">
        <f>(Table53514[[#This Row],[Manufacturers'' New Orders: Durable Goods]]-B244)/B244</f>
        <v>3.0200817566511046E-3</v>
      </c>
    </row>
    <row r="246" spans="1:3">
      <c r="A246" s="91">
        <v>40940</v>
      </c>
      <c r="B246" s="92">
        <f>VLOOKUP(A246,Database!A:M,MATCH($A$1,Database!$A$1:$M$1,),)</f>
        <v>228429</v>
      </c>
      <c r="C246" s="94">
        <f>(Table53514[[#This Row],[Manufacturers'' New Orders: Durable Goods]]-B245)/B245</f>
        <v>1.7451260740008284E-2</v>
      </c>
    </row>
    <row r="247" spans="1:3">
      <c r="A247" s="91">
        <v>40969</v>
      </c>
      <c r="B247" s="92">
        <f>VLOOKUP(A247,Database!A:M,MATCH($A$1,Database!$A$1:$M$1,),)</f>
        <v>219730</v>
      </c>
      <c r="C247" s="94">
        <f>(Table53514[[#This Row],[Manufacturers'' New Orders: Durable Goods]]-B246)/B246</f>
        <v>-3.8081854755744673E-2</v>
      </c>
    </row>
    <row r="248" spans="1:3">
      <c r="A248" s="91">
        <v>41000</v>
      </c>
      <c r="B248" s="92">
        <f>VLOOKUP(A248,Database!A:M,MATCH($A$1,Database!$A$1:$M$1,),)</f>
        <v>218628</v>
      </c>
      <c r="C248" s="94">
        <f>(Table53514[[#This Row],[Manufacturers'' New Orders: Durable Goods]]-B247)/B247</f>
        <v>-5.0152459837072769E-3</v>
      </c>
    </row>
    <row r="249" spans="1:3">
      <c r="A249" s="91">
        <v>41030</v>
      </c>
      <c r="B249" s="92">
        <f>VLOOKUP(A249,Database!A:M,MATCH($A$1,Database!$A$1:$M$1,),)</f>
        <v>220876</v>
      </c>
      <c r="C249" s="94">
        <f>(Table53514[[#This Row],[Manufacturers'' New Orders: Durable Goods]]-B248)/B248</f>
        <v>1.028230601752749E-2</v>
      </c>
    </row>
    <row r="250" spans="1:3">
      <c r="A250" s="91">
        <v>41061</v>
      </c>
      <c r="B250" s="92">
        <f>VLOOKUP(A250,Database!A:M,MATCH($A$1,Database!$A$1:$M$1,),)</f>
        <v>216371</v>
      </c>
      <c r="C250" s="94">
        <f>(Table53514[[#This Row],[Manufacturers'' New Orders: Durable Goods]]-B249)/B249</f>
        <v>-2.0396059327405423E-2</v>
      </c>
    </row>
    <row r="251" spans="1:3">
      <c r="A251" s="91">
        <v>41091</v>
      </c>
      <c r="B251" s="92">
        <f>VLOOKUP(A251,Database!A:M,MATCH($A$1,Database!$A$1:$M$1,),)</f>
        <v>224075</v>
      </c>
      <c r="C251" s="94">
        <f>(Table53514[[#This Row],[Manufacturers'' New Orders: Durable Goods]]-B250)/B250</f>
        <v>3.5605510904880969E-2</v>
      </c>
    </row>
    <row r="252" spans="1:3">
      <c r="A252" s="91">
        <v>41122</v>
      </c>
      <c r="B252" s="92">
        <f>VLOOKUP(A252,Database!A:M,MATCH($A$1,Database!$A$1:$M$1,),)</f>
        <v>203054</v>
      </c>
      <c r="C252" s="94">
        <f>(Table53514[[#This Row],[Manufacturers'' New Orders: Durable Goods]]-B251)/B251</f>
        <v>-9.3812339618431329E-2</v>
      </c>
    </row>
    <row r="253" spans="1:3">
      <c r="A253" s="91">
        <v>41153</v>
      </c>
      <c r="B253" s="92">
        <f>VLOOKUP(A253,Database!A:M,MATCH($A$1,Database!$A$1:$M$1,),)</f>
        <v>217120</v>
      </c>
      <c r="C253" s="94">
        <f>(Table53514[[#This Row],[Manufacturers'' New Orders: Durable Goods]]-B252)/B252</f>
        <v>6.9272213302865246E-2</v>
      </c>
    </row>
    <row r="254" spans="1:3">
      <c r="A254" s="91">
        <v>41183</v>
      </c>
      <c r="B254" s="92">
        <f>VLOOKUP(A254,Database!A:M,MATCH($A$1,Database!$A$1:$M$1,),)</f>
        <v>219108</v>
      </c>
      <c r="C254" s="94">
        <f>(Table53514[[#This Row],[Manufacturers'' New Orders: Durable Goods]]-B253)/B253</f>
        <v>9.156226971260133E-3</v>
      </c>
    </row>
    <row r="255" spans="1:3">
      <c r="A255" s="91">
        <v>41214</v>
      </c>
      <c r="B255" s="92">
        <f>VLOOKUP(A255,Database!A:M,MATCH($A$1,Database!$A$1:$M$1,),)</f>
        <v>214023</v>
      </c>
      <c r="C255" s="94">
        <f>(Table53514[[#This Row],[Manufacturers'' New Orders: Durable Goods]]-B254)/B254</f>
        <v>-2.3207733172681964E-2</v>
      </c>
    </row>
    <row r="256" spans="1:3">
      <c r="A256" s="91">
        <v>41244</v>
      </c>
      <c r="B256" s="92">
        <f>VLOOKUP(A256,Database!A:M,MATCH($A$1,Database!$A$1:$M$1,),)</f>
        <v>232755</v>
      </c>
      <c r="C256" s="94">
        <f>(Table53514[[#This Row],[Manufacturers'' New Orders: Durable Goods]]-B255)/B255</f>
        <v>8.7523303570177041E-2</v>
      </c>
    </row>
    <row r="257" spans="1:3">
      <c r="A257" s="91">
        <v>41275</v>
      </c>
      <c r="B257" s="92">
        <f>VLOOKUP(A257,Database!A:M,MATCH($A$1,Database!$A$1:$M$1,),)</f>
        <v>222788</v>
      </c>
      <c r="C257" s="94">
        <f>(Table53514[[#This Row],[Manufacturers'' New Orders: Durable Goods]]-B256)/B256</f>
        <v>-4.2821851302872117E-2</v>
      </c>
    </row>
    <row r="258" spans="1:3">
      <c r="A258" s="91">
        <v>41306</v>
      </c>
      <c r="B258" s="92">
        <f>VLOOKUP(A258,Database!A:M,MATCH($A$1,Database!$A$1:$M$1,),)</f>
        <v>232287</v>
      </c>
      <c r="C258" s="94">
        <f>(Table53514[[#This Row],[Manufacturers'' New Orders: Durable Goods]]-B257)/B257</f>
        <v>4.2636946334632025E-2</v>
      </c>
    </row>
    <row r="259" spans="1:3">
      <c r="A259" s="91">
        <v>41334</v>
      </c>
      <c r="B259" s="92">
        <f>VLOOKUP(A259,Database!A:M,MATCH($A$1,Database!$A$1:$M$1,),)</f>
        <v>217277</v>
      </c>
      <c r="C259" s="94">
        <f>(Table53514[[#This Row],[Manufacturers'' New Orders: Durable Goods]]-B258)/B258</f>
        <v>-6.4618338520881502E-2</v>
      </c>
    </row>
    <row r="260" spans="1:3">
      <c r="A260" s="91">
        <v>41365</v>
      </c>
      <c r="B260" s="92">
        <f>VLOOKUP(A260,Database!A:M,MATCH($A$1,Database!$A$1:$M$1,),)</f>
        <v>228027</v>
      </c>
      <c r="C260" s="94">
        <f>(Table53514[[#This Row],[Manufacturers'' New Orders: Durable Goods]]-B259)/B259</f>
        <v>4.9476014488418013E-2</v>
      </c>
    </row>
    <row r="261" spans="1:3">
      <c r="A261" s="91">
        <v>41395</v>
      </c>
      <c r="B261" s="92">
        <f>VLOOKUP(A261,Database!A:M,MATCH($A$1,Database!$A$1:$M$1,),)</f>
        <v>235376</v>
      </c>
      <c r="C261" s="94">
        <f>(Table53514[[#This Row],[Manufacturers'' New Orders: Durable Goods]]-B260)/B260</f>
        <v>3.2228639590925638E-2</v>
      </c>
    </row>
    <row r="262" spans="1:3">
      <c r="A262" s="91">
        <v>41426</v>
      </c>
      <c r="B262" s="92">
        <f>VLOOKUP(A262,Database!A:M,MATCH($A$1,Database!$A$1:$M$1,),)</f>
        <v>247260</v>
      </c>
      <c r="C262" s="94">
        <f>(Table53514[[#This Row],[Manufacturers'' New Orders: Durable Goods]]-B261)/B261</f>
        <v>5.0489429678471892E-2</v>
      </c>
    </row>
    <row r="263" spans="1:3">
      <c r="A263" s="91">
        <v>41456</v>
      </c>
      <c r="B263" s="92">
        <f>VLOOKUP(A263,Database!A:M,MATCH($A$1,Database!$A$1:$M$1,),)</f>
        <v>222937</v>
      </c>
      <c r="C263" s="94">
        <f>(Table53514[[#This Row],[Manufacturers'' New Orders: Durable Goods]]-B262)/B262</f>
        <v>-9.8370136698212401E-2</v>
      </c>
    </row>
    <row r="264" spans="1:3">
      <c r="A264" s="91">
        <v>41487</v>
      </c>
      <c r="B264" s="92">
        <f>VLOOKUP(A264,Database!A:M,MATCH($A$1,Database!$A$1:$M$1,),)</f>
        <v>222338</v>
      </c>
      <c r="C264" s="94">
        <f>(Table53514[[#This Row],[Manufacturers'' New Orders: Durable Goods]]-B263)/B263</f>
        <v>-2.6868577221367471E-3</v>
      </c>
    </row>
    <row r="265" spans="1:3">
      <c r="A265" s="91">
        <v>41518</v>
      </c>
      <c r="B265" s="92">
        <f>VLOOKUP(A265,Database!A:M,MATCH($A$1,Database!$A$1:$M$1,),)</f>
        <v>238930</v>
      </c>
      <c r="C265" s="94">
        <f>(Table53514[[#This Row],[Manufacturers'' New Orders: Durable Goods]]-B264)/B264</f>
        <v>7.4625120312317286E-2</v>
      </c>
    </row>
    <row r="266" spans="1:3">
      <c r="A266" s="91">
        <v>41548</v>
      </c>
      <c r="B266" s="92">
        <f>VLOOKUP(A266,Database!A:M,MATCH($A$1,Database!$A$1:$M$1,),)</f>
        <v>234100</v>
      </c>
      <c r="C266" s="94">
        <f>(Table53514[[#This Row],[Manufacturers'' New Orders: Durable Goods]]-B265)/B265</f>
        <v>-2.0215125769053696E-2</v>
      </c>
    </row>
    <row r="267" spans="1:3">
      <c r="A267" s="91">
        <v>41579</v>
      </c>
      <c r="B267" s="92">
        <f>VLOOKUP(A267,Database!A:M,MATCH($A$1,Database!$A$1:$M$1,),)</f>
        <v>242088</v>
      </c>
      <c r="C267" s="94">
        <f>(Table53514[[#This Row],[Manufacturers'' New Orders: Durable Goods]]-B266)/B266</f>
        <v>3.4122170012815034E-2</v>
      </c>
    </row>
    <row r="268" spans="1:3">
      <c r="A268" s="91">
        <v>41609</v>
      </c>
      <c r="B268" s="92">
        <f>VLOOKUP(A268,Database!A:M,MATCH($A$1,Database!$A$1:$M$1,),)</f>
        <v>236898</v>
      </c>
      <c r="C268" s="94">
        <f>(Table53514[[#This Row],[Manufacturers'' New Orders: Durable Goods]]-B267)/B267</f>
        <v>-2.1438485178943194E-2</v>
      </c>
    </row>
    <row r="269" spans="1:3">
      <c r="A269" s="91">
        <v>41640</v>
      </c>
      <c r="B269" s="92">
        <f>VLOOKUP(A269,Database!A:M,MATCH($A$1,Database!$A$1:$M$1,),)</f>
        <v>226704</v>
      </c>
      <c r="C269" s="94">
        <f>(Table53514[[#This Row],[Manufacturers'' New Orders: Durable Goods]]-B268)/B268</f>
        <v>-4.3031177975331153E-2</v>
      </c>
    </row>
    <row r="270" spans="1:3">
      <c r="A270" s="91">
        <v>41671</v>
      </c>
      <c r="B270" s="92">
        <f>VLOOKUP(A270,Database!A:M,MATCH($A$1,Database!$A$1:$M$1,),)</f>
        <v>230482</v>
      </c>
      <c r="C270" s="94">
        <f>(Table53514[[#This Row],[Manufacturers'' New Orders: Durable Goods]]-B269)/B269</f>
        <v>1.6664902251393887E-2</v>
      </c>
    </row>
    <row r="271" spans="1:3">
      <c r="A271" s="91">
        <v>41699</v>
      </c>
      <c r="B271" s="92">
        <f>VLOOKUP(A271,Database!A:M,MATCH($A$1,Database!$A$1:$M$1,),)</f>
        <v>235368</v>
      </c>
      <c r="C271" s="94">
        <f>(Table53514[[#This Row],[Manufacturers'' New Orders: Durable Goods]]-B270)/B270</f>
        <v>2.119905242057948E-2</v>
      </c>
    </row>
    <row r="272" spans="1:3">
      <c r="A272" s="91">
        <v>41730</v>
      </c>
      <c r="B272" s="92">
        <f>VLOOKUP(A272,Database!A:M,MATCH($A$1,Database!$A$1:$M$1,),)</f>
        <v>235724</v>
      </c>
      <c r="C272" s="94">
        <f>(Table53514[[#This Row],[Manufacturers'' New Orders: Durable Goods]]-B271)/B271</f>
        <v>1.5125250671289216E-3</v>
      </c>
    </row>
    <row r="273" spans="1:3">
      <c r="A273" s="91">
        <v>41760</v>
      </c>
      <c r="B273" s="92">
        <f>VLOOKUP(A273,Database!A:M,MATCH($A$1,Database!$A$1:$M$1,),)</f>
        <v>229731</v>
      </c>
      <c r="C273" s="94">
        <f>(Table53514[[#This Row],[Manufacturers'' New Orders: Durable Goods]]-B272)/B272</f>
        <v>-2.54238007160917E-2</v>
      </c>
    </row>
    <row r="274" spans="1:3">
      <c r="A274" s="91">
        <v>41791</v>
      </c>
      <c r="B274" s="92">
        <f>VLOOKUP(A274,Database!A:M,MATCH($A$1,Database!$A$1:$M$1,),)</f>
        <v>239998</v>
      </c>
      <c r="C274" s="94">
        <f>(Table53514[[#This Row],[Manufacturers'' New Orders: Durable Goods]]-B273)/B273</f>
        <v>4.4691399941670908E-2</v>
      </c>
    </row>
    <row r="275" spans="1:3">
      <c r="A275" s="91">
        <v>41821</v>
      </c>
      <c r="B275" s="92">
        <f>VLOOKUP(A275,Database!A:M,MATCH($A$1,Database!$A$1:$M$1,),)</f>
        <v>304221</v>
      </c>
      <c r="C275" s="94">
        <f>(Table53514[[#This Row],[Manufacturers'' New Orders: Durable Goods]]-B274)/B274</f>
        <v>0.26759806331719432</v>
      </c>
    </row>
    <row r="276" spans="1:3">
      <c r="A276" s="91">
        <v>41852</v>
      </c>
      <c r="B276" s="92">
        <f>VLOOKUP(A276,Database!A:M,MATCH($A$1,Database!$A$1:$M$1,),)</f>
        <v>235113</v>
      </c>
      <c r="C276" s="94">
        <f>(Table53514[[#This Row],[Manufacturers'' New Orders: Durable Goods]]-B275)/B275</f>
        <v>-0.22716380525999191</v>
      </c>
    </row>
    <row r="277" spans="1:3">
      <c r="A277" s="91">
        <v>41883</v>
      </c>
      <c r="B277" s="92">
        <f>VLOOKUP(A277,Database!A:M,MATCH($A$1,Database!$A$1:$M$1,),)</f>
        <v>240539</v>
      </c>
      <c r="C277" s="94">
        <f>(Table53514[[#This Row],[Manufacturers'' New Orders: Durable Goods]]-B276)/B276</f>
        <v>2.3078264494094329E-2</v>
      </c>
    </row>
    <row r="278" spans="1:3">
      <c r="A278" s="91">
        <v>41913</v>
      </c>
      <c r="B278" s="92">
        <f>VLOOKUP(A278,Database!A:M,MATCH($A$1,Database!$A$1:$M$1,),)</f>
        <v>231947</v>
      </c>
      <c r="C278" s="94">
        <f>(Table53514[[#This Row],[Manufacturers'' New Orders: Durable Goods]]-B277)/B277</f>
        <v>-3.5719779328923791E-2</v>
      </c>
    </row>
    <row r="279" spans="1:3">
      <c r="A279" s="91">
        <v>41944</v>
      </c>
      <c r="B279" s="92">
        <f>VLOOKUP(A279,Database!A:M,MATCH($A$1,Database!$A$1:$M$1,),)</f>
        <v>230290</v>
      </c>
      <c r="C279" s="94">
        <f>(Table53514[[#This Row],[Manufacturers'' New Orders: Durable Goods]]-B278)/B278</f>
        <v>-7.1438733848680951E-3</v>
      </c>
    </row>
    <row r="280" spans="1:3">
      <c r="A280" s="91">
        <v>41974</v>
      </c>
      <c r="B280" s="92">
        <f>VLOOKUP(A280,Database!A:M,MATCH($A$1,Database!$A$1:$M$1,),)</f>
        <v>224972</v>
      </c>
      <c r="C280" s="94">
        <f>(Table53514[[#This Row],[Manufacturers'' New Orders: Durable Goods]]-B279)/B279</f>
        <v>-2.3092622345737984E-2</v>
      </c>
    </row>
    <row r="281" spans="1:3">
      <c r="A281" s="91">
        <v>42005</v>
      </c>
      <c r="B281" s="92">
        <f>VLOOKUP(A281,Database!A:M,MATCH($A$1,Database!$A$1:$M$1,),)</f>
        <v>220466</v>
      </c>
      <c r="C281" s="94">
        <f>(Table53514[[#This Row],[Manufacturers'' New Orders: Durable Goods]]-B280)/B280</f>
        <v>-2.002915918425404E-2</v>
      </c>
    </row>
    <row r="282" spans="1:3">
      <c r="A282" s="91">
        <v>42036</v>
      </c>
      <c r="B282" s="92">
        <f>VLOOKUP(A282,Database!A:M,MATCH($A$1,Database!$A$1:$M$1,),)</f>
        <v>217296</v>
      </c>
      <c r="C282" s="94">
        <f>(Table53514[[#This Row],[Manufacturers'' New Orders: Durable Goods]]-B281)/B281</f>
        <v>-1.4378634347246287E-2</v>
      </c>
    </row>
    <row r="283" spans="1:3">
      <c r="A283" s="91">
        <v>42064</v>
      </c>
      <c r="B283" s="92">
        <f>VLOOKUP(A283,Database!A:M,MATCH($A$1,Database!$A$1:$M$1,),)</f>
        <v>228382</v>
      </c>
      <c r="C283" s="94">
        <f>(Table53514[[#This Row],[Manufacturers'' New Orders: Durable Goods]]-B282)/B282</f>
        <v>5.1017966276415583E-2</v>
      </c>
    </row>
    <row r="284" spans="1:3">
      <c r="A284" s="91">
        <v>42095</v>
      </c>
      <c r="B284" s="92">
        <f>VLOOKUP(A284,Database!A:M,MATCH($A$1,Database!$A$1:$M$1,),)</f>
        <v>226519</v>
      </c>
      <c r="C284" s="94">
        <f>(Table53514[[#This Row],[Manufacturers'' New Orders: Durable Goods]]-B283)/B283</f>
        <v>-8.1573854331777468E-3</v>
      </c>
    </row>
    <row r="285" spans="1:3">
      <c r="A285" s="91">
        <v>42125</v>
      </c>
      <c r="B285" s="92">
        <f>VLOOKUP(A285,Database!A:M,MATCH($A$1,Database!$A$1:$M$1,),)</f>
        <v>214062</v>
      </c>
      <c r="C285" s="94">
        <f>(Table53514[[#This Row],[Manufacturers'' New Orders: Durable Goods]]-B284)/B284</f>
        <v>-5.4993179380096152E-2</v>
      </c>
    </row>
    <row r="286" spans="1:3">
      <c r="A286" s="91">
        <v>42156</v>
      </c>
      <c r="B286" s="92">
        <f>VLOOKUP(A286,Database!A:M,MATCH($A$1,Database!$A$1:$M$1,),)</f>
        <v>235097</v>
      </c>
      <c r="C286" s="94">
        <f>(Table53514[[#This Row],[Manufacturers'' New Orders: Durable Goods]]-B285)/B285</f>
        <v>9.8265922956900342E-2</v>
      </c>
    </row>
    <row r="287" spans="1:3">
      <c r="A287" s="91">
        <v>42186</v>
      </c>
      <c r="B287" s="92">
        <f>VLOOKUP(A287,Database!A:M,MATCH($A$1,Database!$A$1:$M$1,),)</f>
        <v>228622</v>
      </c>
      <c r="C287" s="94">
        <f>(Table53514[[#This Row],[Manufacturers'' New Orders: Durable Goods]]-B286)/B286</f>
        <v>-2.7541823162354262E-2</v>
      </c>
    </row>
    <row r="288" spans="1:3">
      <c r="A288" s="91">
        <v>42217</v>
      </c>
      <c r="B288" s="92">
        <f>VLOOKUP(A288,Database!A:M,MATCH($A$1,Database!$A$1:$M$1,),)</f>
        <v>224197</v>
      </c>
      <c r="C288" s="94">
        <f>(Table53514[[#This Row],[Manufacturers'' New Orders: Durable Goods]]-B287)/B287</f>
        <v>-1.9355092685743279E-2</v>
      </c>
    </row>
    <row r="289" spans="1:3">
      <c r="A289" s="91">
        <v>42248</v>
      </c>
      <c r="B289" s="92">
        <f>VLOOKUP(A289,Database!A:M,MATCH($A$1,Database!$A$1:$M$1,),)</f>
        <v>218491</v>
      </c>
      <c r="C289" s="94">
        <f>(Table53514[[#This Row],[Manufacturers'' New Orders: Durable Goods]]-B288)/B288</f>
        <v>-2.5450831188642133E-2</v>
      </c>
    </row>
    <row r="290" spans="1:3">
      <c r="A290" s="91">
        <v>42278</v>
      </c>
      <c r="B290" s="92">
        <f>VLOOKUP(A290,Database!A:M,MATCH($A$1,Database!$A$1:$M$1,),)</f>
        <v>222726</v>
      </c>
      <c r="C290" s="94">
        <f>(Table53514[[#This Row],[Manufacturers'' New Orders: Durable Goods]]-B289)/B289</f>
        <v>1.9382949412103931E-2</v>
      </c>
    </row>
    <row r="291" spans="1:3">
      <c r="A291" s="91">
        <v>42309</v>
      </c>
      <c r="B291" s="92">
        <f>VLOOKUP(A291,Database!A:M,MATCH($A$1,Database!$A$1:$M$1,),)</f>
        <v>227716</v>
      </c>
      <c r="C291" s="94">
        <f>(Table53514[[#This Row],[Manufacturers'' New Orders: Durable Goods]]-B290)/B290</f>
        <v>2.2404209656708241E-2</v>
      </c>
    </row>
    <row r="292" spans="1:3">
      <c r="A292" s="91">
        <v>42339</v>
      </c>
      <c r="B292" s="92">
        <f>VLOOKUP(A292,Database!A:M,MATCH($A$1,Database!$A$1:$M$1,),)</f>
        <v>220278</v>
      </c>
      <c r="C292" s="94">
        <f>(Table53514[[#This Row],[Manufacturers'' New Orders: Durable Goods]]-B291)/B291</f>
        <v>-3.2663493123012872E-2</v>
      </c>
    </row>
    <row r="293" spans="1:3">
      <c r="A293" s="91">
        <v>42370</v>
      </c>
      <c r="B293" s="92">
        <f>VLOOKUP(A293,Database!A:M,MATCH($A$1,Database!$A$1:$M$1,),)</f>
        <v>224156</v>
      </c>
      <c r="C293" s="94">
        <f>(Table53514[[#This Row],[Manufacturers'' New Orders: Durable Goods]]-B292)/B292</f>
        <v>1.7605026375761539E-2</v>
      </c>
    </row>
    <row r="294" spans="1:3">
      <c r="A294" s="91">
        <v>42401</v>
      </c>
      <c r="B294" s="92">
        <f>VLOOKUP(A294,Database!A:M,MATCH($A$1,Database!$A$1:$M$1,),)</f>
        <v>218510</v>
      </c>
      <c r="C294" s="94">
        <f>(Table53514[[#This Row],[Manufacturers'' New Orders: Durable Goods]]-B293)/B293</f>
        <v>-2.5187815628401649E-2</v>
      </c>
    </row>
    <row r="295" spans="1:3">
      <c r="A295" s="91">
        <v>42430</v>
      </c>
      <c r="B295" s="92">
        <f>VLOOKUP(A295,Database!A:M,MATCH($A$1,Database!$A$1:$M$1,),)</f>
        <v>216188</v>
      </c>
      <c r="C295" s="94">
        <f>(Table53514[[#This Row],[Manufacturers'' New Orders: Durable Goods]]-B294)/B294</f>
        <v>-1.0626515948926822E-2</v>
      </c>
    </row>
    <row r="296" spans="1:3">
      <c r="A296" s="91">
        <v>42461</v>
      </c>
      <c r="B296" s="92">
        <f>VLOOKUP(A296,Database!A:M,MATCH($A$1,Database!$A$1:$M$1,),)</f>
        <v>224898</v>
      </c>
      <c r="C296" s="94">
        <f>(Table53514[[#This Row],[Manufacturers'' New Orders: Durable Goods]]-B295)/B295</f>
        <v>4.0289007715506871E-2</v>
      </c>
    </row>
    <row r="297" spans="1:3">
      <c r="A297" s="91">
        <v>42491</v>
      </c>
      <c r="B297" s="92">
        <f>VLOOKUP(A297,Database!A:M,MATCH($A$1,Database!$A$1:$M$1,),)</f>
        <v>220908</v>
      </c>
      <c r="C297" s="94">
        <f>(Table53514[[#This Row],[Manufacturers'' New Orders: Durable Goods]]-B296)/B296</f>
        <v>-1.7741376090494358E-2</v>
      </c>
    </row>
    <row r="298" spans="1:3">
      <c r="A298" s="91">
        <v>42522</v>
      </c>
      <c r="B298" s="92">
        <f>VLOOKUP(A298,Database!A:M,MATCH($A$1,Database!$A$1:$M$1,),)</f>
        <v>212990</v>
      </c>
      <c r="C298" s="94">
        <f>(Table53514[[#This Row],[Manufacturers'' New Orders: Durable Goods]]-B297)/B297</f>
        <v>-3.5842975356256905E-2</v>
      </c>
    </row>
    <row r="299" spans="1:3">
      <c r="A299" s="91">
        <v>42552</v>
      </c>
      <c r="B299" s="92">
        <f>VLOOKUP(A299,Database!A:M,MATCH($A$1,Database!$A$1:$M$1,),)</f>
        <v>213900</v>
      </c>
      <c r="C299" s="94">
        <f>(Table53514[[#This Row],[Manufacturers'' New Orders: Durable Goods]]-B298)/B298</f>
        <v>4.2725010563876235E-3</v>
      </c>
    </row>
    <row r="300" spans="1:3">
      <c r="A300" s="91">
        <v>42583</v>
      </c>
      <c r="B300" s="92">
        <f>VLOOKUP(A300,Database!A:M,MATCH($A$1,Database!$A$1:$M$1,),)</f>
        <v>223174</v>
      </c>
      <c r="C300" s="94">
        <f>(Table53514[[#This Row],[Manufacturers'' New Orders: Durable Goods]]-B299)/B299</f>
        <v>4.3356708742402994E-2</v>
      </c>
    </row>
    <row r="301" spans="1:3">
      <c r="A301" s="91">
        <v>42614</v>
      </c>
      <c r="B301" s="92">
        <f>VLOOKUP(A301,Database!A:M,MATCH($A$1,Database!$A$1:$M$1,),)</f>
        <v>212753</v>
      </c>
      <c r="C301" s="94">
        <f>(Table53514[[#This Row],[Manufacturers'' New Orders: Durable Goods]]-B300)/B300</f>
        <v>-4.6694507424700007E-2</v>
      </c>
    </row>
    <row r="302" spans="1:3">
      <c r="A302" s="91">
        <v>42644</v>
      </c>
      <c r="B302" s="92">
        <f>VLOOKUP(A302,Database!A:M,MATCH($A$1,Database!$A$1:$M$1,),)</f>
        <v>238366</v>
      </c>
      <c r="C302" s="94">
        <f>(Table53514[[#This Row],[Manufacturers'' New Orders: Durable Goods]]-B301)/B301</f>
        <v>0.12038843165548782</v>
      </c>
    </row>
    <row r="303" spans="1:3">
      <c r="A303" s="91">
        <v>42675</v>
      </c>
      <c r="B303" s="92">
        <f>VLOOKUP(A303,Database!A:M,MATCH($A$1,Database!$A$1:$M$1,),)</f>
        <v>219809</v>
      </c>
      <c r="C303" s="94">
        <f>(Table53514[[#This Row],[Manufacturers'' New Orders: Durable Goods]]-B302)/B302</f>
        <v>-7.785086799291846E-2</v>
      </c>
    </row>
    <row r="304" spans="1:3">
      <c r="A304" s="91">
        <v>42705</v>
      </c>
      <c r="B304" s="92">
        <f>VLOOKUP(A304,Database!A:M,MATCH($A$1,Database!$A$1:$M$1,),)</f>
        <v>216401</v>
      </c>
      <c r="C304" s="94">
        <f>(Table53514[[#This Row],[Manufacturers'' New Orders: Durable Goods]]-B303)/B303</f>
        <v>-1.5504369702787421E-2</v>
      </c>
    </row>
    <row r="305" spans="1:3">
      <c r="A305" s="91">
        <v>42736</v>
      </c>
      <c r="B305" s="92">
        <f>VLOOKUP(A305,Database!A:M,MATCH($A$1,Database!$A$1:$M$1,),)</f>
        <v>217696</v>
      </c>
      <c r="C305" s="94">
        <f>(Table53514[[#This Row],[Manufacturers'' New Orders: Durable Goods]]-B304)/B304</f>
        <v>5.9842607011982383E-3</v>
      </c>
    </row>
    <row r="306" spans="1:3">
      <c r="A306" s="91">
        <v>42767</v>
      </c>
      <c r="B306" s="92">
        <f>VLOOKUP(A306,Database!A:M,MATCH($A$1,Database!$A$1:$M$1,),)</f>
        <v>214977</v>
      </c>
      <c r="C306" s="94">
        <f>(Table53514[[#This Row],[Manufacturers'' New Orders: Durable Goods]]-B305)/B305</f>
        <v>-1.2489894164339262E-2</v>
      </c>
    </row>
    <row r="307" spans="1:3">
      <c r="A307" s="91">
        <v>42795</v>
      </c>
      <c r="B307" s="92">
        <f>VLOOKUP(A307,Database!A:M,MATCH($A$1,Database!$A$1:$M$1,),)</f>
        <v>221815</v>
      </c>
      <c r="C307" s="94">
        <f>(Table53514[[#This Row],[Manufacturers'' New Orders: Durable Goods]]-B306)/B306</f>
        <v>3.1808053884834195E-2</v>
      </c>
    </row>
    <row r="308" spans="1:3">
      <c r="A308" s="91">
        <v>42826</v>
      </c>
      <c r="B308" s="92">
        <f>VLOOKUP(A308,Database!A:M,MATCH($A$1,Database!$A$1:$M$1,),)</f>
        <v>223165</v>
      </c>
      <c r="C308" s="94">
        <f>(Table53514[[#This Row],[Manufacturers'' New Orders: Durable Goods]]-B307)/B307</f>
        <v>6.0861528751437006E-3</v>
      </c>
    </row>
    <row r="309" spans="1:3">
      <c r="A309" s="91">
        <v>42856</v>
      </c>
      <c r="B309" s="92">
        <f>VLOOKUP(A309,Database!A:M,MATCH($A$1,Database!$A$1:$M$1,),)</f>
        <v>220833</v>
      </c>
      <c r="C309" s="94">
        <f>(Table53514[[#This Row],[Manufacturers'' New Orders: Durable Goods]]-B308)/B308</f>
        <v>-1.0449667286536868E-2</v>
      </c>
    </row>
    <row r="310" spans="1:3">
      <c r="A310" s="91">
        <v>42887</v>
      </c>
      <c r="B310" s="92">
        <f>VLOOKUP(A310,Database!A:M,MATCH($A$1,Database!$A$1:$M$1,),)</f>
        <v>238958</v>
      </c>
      <c r="C310" s="94">
        <f>(Table53514[[#This Row],[Manufacturers'' New Orders: Durable Goods]]-B309)/B309</f>
        <v>8.2075595585804656E-2</v>
      </c>
    </row>
    <row r="311" spans="1:3">
      <c r="A311" s="91">
        <v>42917</v>
      </c>
      <c r="B311" s="92">
        <f>VLOOKUP(A311,Database!A:M,MATCH($A$1,Database!$A$1:$M$1,),)</f>
        <v>221452</v>
      </c>
      <c r="C311" s="94">
        <f>(Table53514[[#This Row],[Manufacturers'' New Orders: Durable Goods]]-B310)/B310</f>
        <v>-7.325973602055591E-2</v>
      </c>
    </row>
    <row r="312" spans="1:3">
      <c r="A312" s="91">
        <v>42948</v>
      </c>
      <c r="B312" s="92">
        <f>VLOOKUP(A312,Database!A:M,MATCH($A$1,Database!$A$1:$M$1,),)</f>
        <v>222781</v>
      </c>
      <c r="C312" s="94">
        <f>(Table53514[[#This Row],[Manufacturers'' New Orders: Durable Goods]]-B311)/B311</f>
        <v>6.0013005075592006E-3</v>
      </c>
    </row>
    <row r="313" spans="1:3">
      <c r="A313" s="91">
        <v>42979</v>
      </c>
      <c r="B313" s="92">
        <f>VLOOKUP(A313,Database!A:M,MATCH($A$1,Database!$A$1:$M$1,),)</f>
        <v>233526</v>
      </c>
      <c r="C313" s="94">
        <f>(Table53514[[#This Row],[Manufacturers'' New Orders: Durable Goods]]-B312)/B312</f>
        <v>4.8231222590795444E-2</v>
      </c>
    </row>
    <row r="314" spans="1:3">
      <c r="A314" s="91">
        <v>43009</v>
      </c>
      <c r="B314" s="92">
        <f>VLOOKUP(A314,Database!A:M,MATCH($A$1,Database!$A$1:$M$1,),)</f>
        <v>229683</v>
      </c>
      <c r="C314" s="94">
        <f>(Table53514[[#This Row],[Manufacturers'' New Orders: Durable Goods]]-B313)/B313</f>
        <v>-1.6456411705762956E-2</v>
      </c>
    </row>
    <row r="315" spans="1:3">
      <c r="A315" s="91">
        <v>43040</v>
      </c>
      <c r="B315" s="92">
        <f>VLOOKUP(A315,Database!A:M,MATCH($A$1,Database!$A$1:$M$1,),)</f>
        <v>236897</v>
      </c>
      <c r="C315" s="94">
        <f>(Table53514[[#This Row],[Manufacturers'' New Orders: Durable Goods]]-B314)/B314</f>
        <v>3.1408506506794144E-2</v>
      </c>
    </row>
    <row r="316" spans="1:3">
      <c r="A316" s="91">
        <v>43070</v>
      </c>
      <c r="B316" s="92">
        <f>VLOOKUP(A316,Database!A:M,MATCH($A$1,Database!$A$1:$M$1,),)</f>
        <v>235042</v>
      </c>
      <c r="C316" s="94">
        <f>(Table53514[[#This Row],[Manufacturers'' New Orders: Durable Goods]]-B315)/B315</f>
        <v>-7.8304073078173213E-3</v>
      </c>
    </row>
    <row r="317" spans="1:3">
      <c r="A317" s="91">
        <v>43101</v>
      </c>
      <c r="B317" s="92">
        <f>VLOOKUP(A317,Database!A:M,MATCH($A$1,Database!$A$1:$M$1,),)</f>
        <v>225375</v>
      </c>
      <c r="C317" s="94">
        <f>(Table53514[[#This Row],[Manufacturers'' New Orders: Durable Goods]]-B316)/B316</f>
        <v>-4.112881953012653E-2</v>
      </c>
    </row>
    <row r="318" spans="1:3">
      <c r="A318" s="91">
        <v>43132</v>
      </c>
      <c r="B318" s="92">
        <f>VLOOKUP(A318,Database!A:M,MATCH($A$1,Database!$A$1:$M$1,),)</f>
        <v>230367</v>
      </c>
      <c r="C318" s="94">
        <f>(Table53514[[#This Row],[Manufacturers'' New Orders: Durable Goods]]-B317)/B317</f>
        <v>2.2149750415973377E-2</v>
      </c>
    </row>
    <row r="319" spans="1:3">
      <c r="A319" s="91">
        <v>43160</v>
      </c>
      <c r="B319" s="92">
        <f>VLOOKUP(A319,Database!A:M,MATCH($A$1,Database!$A$1:$M$1,),)</f>
        <v>239125</v>
      </c>
      <c r="C319" s="94">
        <f>(Table53514[[#This Row],[Manufacturers'' New Orders: Durable Goods]]-B318)/B318</f>
        <v>3.8017598006658937E-2</v>
      </c>
    </row>
    <row r="320" spans="1:3">
      <c r="A320" s="91">
        <v>43191</v>
      </c>
      <c r="B320" s="92">
        <f>VLOOKUP(A320,Database!A:M,MATCH($A$1,Database!$A$1:$M$1,),)</f>
        <v>239831</v>
      </c>
      <c r="C320" s="94">
        <f>(Table53514[[#This Row],[Manufacturers'' New Orders: Durable Goods]]-B319)/B319</f>
        <v>2.9524307370622058E-3</v>
      </c>
    </row>
    <row r="321" spans="1:3">
      <c r="A321" s="91">
        <v>43221</v>
      </c>
      <c r="B321" s="92">
        <f>VLOOKUP(A321,Database!A:M,MATCH($A$1,Database!$A$1:$M$1,),)</f>
        <v>241088</v>
      </c>
      <c r="C321" s="94">
        <f>(Table53514[[#This Row],[Manufacturers'' New Orders: Durable Goods]]-B320)/B320</f>
        <v>5.2411906717647009E-3</v>
      </c>
    </row>
    <row r="322" spans="1:3">
      <c r="A322" s="91">
        <v>43252</v>
      </c>
      <c r="B322" s="92">
        <f>VLOOKUP(A322,Database!A:M,MATCH($A$1,Database!$A$1:$M$1,),)</f>
        <v>241378</v>
      </c>
      <c r="C322" s="94">
        <f>(Table53514[[#This Row],[Manufacturers'' New Orders: Durable Goods]]-B321)/B321</f>
        <v>1.2028802760817626E-3</v>
      </c>
    </row>
    <row r="323" spans="1:3">
      <c r="A323" s="91">
        <v>43282</v>
      </c>
      <c r="B323" s="92">
        <f>VLOOKUP(A323,Database!A:M,MATCH($A$1,Database!$A$1:$M$1,),)</f>
        <v>233787</v>
      </c>
      <c r="C323" s="94">
        <f>(Table53514[[#This Row],[Manufacturers'' New Orders: Durable Goods]]-B322)/B322</f>
        <v>-3.1448599292396157E-2</v>
      </c>
    </row>
    <row r="324" spans="1:3">
      <c r="A324" s="91">
        <v>43313</v>
      </c>
      <c r="B324" s="92">
        <f>VLOOKUP(A324,Database!A:M,MATCH($A$1,Database!$A$1:$M$1,),)</f>
        <v>248174</v>
      </c>
      <c r="C324" s="94">
        <f>(Table53514[[#This Row],[Manufacturers'' New Orders: Durable Goods]]-B323)/B323</f>
        <v>6.1538922181301782E-2</v>
      </c>
    </row>
    <row r="325" spans="1:3">
      <c r="A325" s="91">
        <v>43344</v>
      </c>
      <c r="B325" s="92">
        <f>VLOOKUP(A325,Database!A:M,MATCH($A$1,Database!$A$1:$M$1,),)</f>
        <v>244959</v>
      </c>
      <c r="C325" s="94">
        <f>(Table53514[[#This Row],[Manufacturers'' New Orders: Durable Goods]]-B324)/B324</f>
        <v>-1.2954620548486142E-2</v>
      </c>
    </row>
    <row r="326" spans="1:3">
      <c r="A326" s="91">
        <v>43374</v>
      </c>
      <c r="B326" s="92">
        <f>VLOOKUP(A326,Database!A:M,MATCH($A$1,Database!$A$1:$M$1,),)</f>
        <v>239485</v>
      </c>
      <c r="C326" s="94">
        <f>(Table53514[[#This Row],[Manufacturers'' New Orders: Durable Goods]]-B325)/B325</f>
        <v>-2.2346596777419896E-2</v>
      </c>
    </row>
    <row r="327" spans="1:3">
      <c r="A327" s="91">
        <v>43405</v>
      </c>
      <c r="B327" s="92">
        <f>VLOOKUP(A327,Database!A:M,MATCH($A$1,Database!$A$1:$M$1,),)</f>
        <v>229415</v>
      </c>
      <c r="C327" s="94">
        <f>(Table53514[[#This Row],[Manufacturers'' New Orders: Durable Goods]]-B326)/B326</f>
        <v>-4.2048562540451383E-2</v>
      </c>
    </row>
    <row r="328" spans="1:3">
      <c r="A328" s="91">
        <v>43435</v>
      </c>
      <c r="B328" s="92">
        <f>VLOOKUP(A328,Database!A:M,MATCH($A$1,Database!$A$1:$M$1,),)</f>
        <v>242371</v>
      </c>
      <c r="C328" s="94">
        <f>(Table53514[[#This Row],[Manufacturers'' New Orders: Durable Goods]]-B327)/B327</f>
        <v>5.6474075365603817E-2</v>
      </c>
    </row>
    <row r="329" spans="1:3">
      <c r="A329" s="91">
        <v>43466</v>
      </c>
      <c r="B329" s="92">
        <f>VLOOKUP(A329,Database!A:M,MATCH($A$1,Database!$A$1:$M$1,),)</f>
        <v>252305</v>
      </c>
      <c r="C329" s="94">
        <f>(Table53514[[#This Row],[Manufacturers'' New Orders: Durable Goods]]-B328)/B328</f>
        <v>4.0986751715345486E-2</v>
      </c>
    </row>
    <row r="330" spans="1:3">
      <c r="A330" s="91">
        <v>43497</v>
      </c>
      <c r="B330" s="92">
        <f>VLOOKUP(A330,Database!A:M,MATCH($A$1,Database!$A$1:$M$1,),)</f>
        <v>243241</v>
      </c>
      <c r="C330" s="94">
        <f>(Table53514[[#This Row],[Manufacturers'' New Orders: Durable Goods]]-B329)/B329</f>
        <v>-3.5924773587523037E-2</v>
      </c>
    </row>
    <row r="331" spans="1:3">
      <c r="A331" s="91">
        <v>43525</v>
      </c>
      <c r="B331" s="92">
        <f>VLOOKUP(A331,Database!A:M,MATCH($A$1,Database!$A$1:$M$1,),)</f>
        <v>255924</v>
      </c>
      <c r="C331" s="94">
        <f>(Table53514[[#This Row],[Manufacturers'' New Orders: Durable Goods]]-B330)/B330</f>
        <v>5.2141703084595113E-2</v>
      </c>
    </row>
    <row r="332" spans="1:3">
      <c r="A332" s="91">
        <v>43556</v>
      </c>
      <c r="B332" s="92">
        <f>VLOOKUP(A332,Database!A:M,MATCH($A$1,Database!$A$1:$M$1,),)</f>
        <v>252673</v>
      </c>
      <c r="C332" s="94">
        <f>(Table53514[[#This Row],[Manufacturers'' New Orders: Durable Goods]]-B331)/B331</f>
        <v>-1.2702989950141448E-2</v>
      </c>
    </row>
    <row r="333" spans="1:3">
      <c r="A333" s="91">
        <v>43586</v>
      </c>
      <c r="B333" s="92">
        <f>VLOOKUP(A333,Database!A:M,MATCH($A$1,Database!$A$1:$M$1,),)</f>
        <v>239844</v>
      </c>
      <c r="C333" s="94">
        <f>(Table53514[[#This Row],[Manufacturers'' New Orders: Durable Goods]]-B332)/B332</f>
        <v>-5.0773133654961153E-2</v>
      </c>
    </row>
    <row r="334" spans="1:3">
      <c r="A334" s="91">
        <v>43617</v>
      </c>
      <c r="B334" s="92">
        <f>VLOOKUP(A334,Database!A:M,MATCH($A$1,Database!$A$1:$M$1,),)</f>
        <v>244727</v>
      </c>
      <c r="C334" s="94">
        <f>(Table53514[[#This Row],[Manufacturers'' New Orders: Durable Goods]]-B333)/B333</f>
        <v>2.0359066726705691E-2</v>
      </c>
    </row>
    <row r="335" spans="1:3">
      <c r="A335" s="91">
        <v>43647</v>
      </c>
      <c r="B335" s="92">
        <f>VLOOKUP(A335,Database!A:M,MATCH($A$1,Database!$A$1:$M$1,),)</f>
        <v>249748</v>
      </c>
      <c r="C335" s="94">
        <f>(Table53514[[#This Row],[Manufacturers'' New Orders: Durable Goods]]-B334)/B334</f>
        <v>2.0516739060258981E-2</v>
      </c>
    </row>
    <row r="336" spans="1:3">
      <c r="A336" s="91">
        <v>43678</v>
      </c>
      <c r="B336" s="92">
        <f>VLOOKUP(A336,Database!A:M,MATCH($A$1,Database!$A$1:$M$1,),)</f>
        <v>245614</v>
      </c>
      <c r="C336" s="94">
        <f>(Table53514[[#This Row],[Manufacturers'' New Orders: Durable Goods]]-B335)/B335</f>
        <v>-1.6552685106587441E-2</v>
      </c>
    </row>
    <row r="337" spans="1:3">
      <c r="A337" s="91">
        <v>43709</v>
      </c>
      <c r="B337" s="92">
        <f>VLOOKUP(A337,Database!A:M,MATCH($A$1,Database!$A$1:$M$1,),)</f>
        <v>245317</v>
      </c>
      <c r="C337" s="94">
        <f>(Table53514[[#This Row],[Manufacturers'' New Orders: Durable Goods]]-B336)/B336</f>
        <v>-1.2092144584592084E-3</v>
      </c>
    </row>
    <row r="338" spans="1:3">
      <c r="A338" s="91">
        <v>43739</v>
      </c>
      <c r="B338" s="92">
        <f>VLOOKUP(A338,Database!A:M,MATCH($A$1,Database!$A$1:$M$1,),)</f>
        <v>250673</v>
      </c>
      <c r="C338" s="94">
        <f>(Table53514[[#This Row],[Manufacturers'' New Orders: Durable Goods]]-B337)/B337</f>
        <v>2.1832975293192072E-2</v>
      </c>
    </row>
    <row r="339" spans="1:3">
      <c r="A339" s="91">
        <v>43770</v>
      </c>
      <c r="B339" s="92">
        <f>VLOOKUP(A339,Database!A:M,MATCH($A$1,Database!$A$1:$M$1,),)</f>
        <v>234167</v>
      </c>
      <c r="C339" s="94">
        <f>(Table53514[[#This Row],[Manufacturers'' New Orders: Durable Goods]]-B338)/B338</f>
        <v>-6.5846740574373785E-2</v>
      </c>
    </row>
    <row r="340" spans="1:3">
      <c r="A340" s="91">
        <v>43800</v>
      </c>
      <c r="B340" s="92">
        <f>VLOOKUP(A340,Database!A:M,MATCH($A$1,Database!$A$1:$M$1,),)</f>
        <v>240343</v>
      </c>
      <c r="C340" s="94">
        <f>(Table53514[[#This Row],[Manufacturers'' New Orders: Durable Goods]]-B339)/B339</f>
        <v>2.6374339680655258E-2</v>
      </c>
    </row>
    <row r="341" spans="1:3">
      <c r="A341" s="91">
        <v>43831</v>
      </c>
      <c r="B341" s="92">
        <f>VLOOKUP(A341,Database!A:M,MATCH($A$1,Database!$A$1:$M$1,),)</f>
        <v>228878</v>
      </c>
      <c r="C341" s="94">
        <f>(Table53514[[#This Row],[Manufacturers'' New Orders: Durable Goods]]-B340)/B340</f>
        <v>-4.7702658284202164E-2</v>
      </c>
    </row>
    <row r="342" spans="1:3">
      <c r="A342" s="91">
        <v>43862</v>
      </c>
      <c r="B342" s="92">
        <f>VLOOKUP(A342,Database!A:M,MATCH($A$1,Database!$A$1:$M$1,),)</f>
        <v>230901</v>
      </c>
      <c r="C342" s="94">
        <f>(Table53514[[#This Row],[Manufacturers'' New Orders: Durable Goods]]-B341)/B341</f>
        <v>8.8387699997378513E-3</v>
      </c>
    </row>
    <row r="343" spans="1:3">
      <c r="A343" s="91">
        <v>43891</v>
      </c>
      <c r="B343" s="92">
        <f>VLOOKUP(A343,Database!A:M,MATCH($A$1,Database!$A$1:$M$1,),)</f>
        <v>183017</v>
      </c>
      <c r="C343" s="94">
        <f>(Table53514[[#This Row],[Manufacturers'' New Orders: Durable Goods]]-B342)/B342</f>
        <v>-0.20737891997003044</v>
      </c>
    </row>
    <row r="344" spans="1:3">
      <c r="A344" s="91">
        <v>43922</v>
      </c>
      <c r="B344" s="92">
        <f>VLOOKUP(A344,Database!A:M,MATCH($A$1,Database!$A$1:$M$1,),)</f>
        <v>161833</v>
      </c>
      <c r="C344" s="94">
        <f>(Table53514[[#This Row],[Manufacturers'' New Orders: Durable Goods]]-B343)/B343</f>
        <v>-0.11574881021981565</v>
      </c>
    </row>
    <row r="345" spans="1:3">
      <c r="A345" s="91">
        <v>43952</v>
      </c>
      <c r="B345" s="92">
        <f>VLOOKUP(A345,Database!A:M,MATCH($A$1,Database!$A$1:$M$1,),)</f>
        <v>178963</v>
      </c>
      <c r="C345" s="94">
        <f>(Table53514[[#This Row],[Manufacturers'' New Orders: Durable Goods]]-B344)/B344</f>
        <v>0.10584985756922259</v>
      </c>
    </row>
    <row r="346" spans="1:3">
      <c r="A346" s="91">
        <v>43983</v>
      </c>
      <c r="B346" s="92">
        <f>VLOOKUP(A346,Database!A:M,MATCH($A$1,Database!$A$1:$M$1,),)</f>
        <v>199226</v>
      </c>
      <c r="C346" s="94">
        <f>(Table53514[[#This Row],[Manufacturers'' New Orders: Durable Goods]]-B345)/B345</f>
        <v>0.11322452126975967</v>
      </c>
    </row>
    <row r="347" spans="1:3">
      <c r="A347" s="91">
        <v>44013</v>
      </c>
      <c r="B347" s="92">
        <f>VLOOKUP(A347,Database!A:M,MATCH($A$1,Database!$A$1:$M$1,),)</f>
        <v>218748</v>
      </c>
      <c r="C347" s="94">
        <f>(Table53514[[#This Row],[Manufacturers'' New Orders: Durable Goods]]-B346)/B346</f>
        <v>9.7989218274723178E-2</v>
      </c>
    </row>
    <row r="348" spans="1:3">
      <c r="A348" s="91">
        <v>44044</v>
      </c>
      <c r="B348" s="92">
        <f>VLOOKUP(A348,Database!A:M,MATCH($A$1,Database!$A$1:$M$1,),)</f>
        <v>223062</v>
      </c>
      <c r="C348" s="94">
        <f>(Table53514[[#This Row],[Manufacturers'' New Orders: Durable Goods]]-B347)/B347</f>
        <v>1.9721323166383236E-2</v>
      </c>
    </row>
    <row r="349" spans="1:3">
      <c r="A349" s="91">
        <v>44075</v>
      </c>
      <c r="B349" s="92">
        <f>VLOOKUP(A349,Database!A:M,MATCH($A$1,Database!$A$1:$M$1,),)</f>
        <v>226664</v>
      </c>
      <c r="C349" s="94">
        <f>(Table53514[[#This Row],[Manufacturers'' New Orders: Durable Goods]]-B348)/B348</f>
        <v>1.6147976795689092E-2</v>
      </c>
    </row>
    <row r="350" spans="1:3">
      <c r="A350" s="91">
        <v>44105</v>
      </c>
      <c r="B350" s="92">
        <f>VLOOKUP(A350,Database!A:M,MATCH($A$1,Database!$A$1:$M$1,),)</f>
        <v>228836</v>
      </c>
      <c r="C350" s="94">
        <f>(Table53514[[#This Row],[Manufacturers'' New Orders: Durable Goods]]-B349)/B349</f>
        <v>9.5824656760667773E-3</v>
      </c>
    </row>
    <row r="351" spans="1:3">
      <c r="A351" s="91">
        <v>44136</v>
      </c>
      <c r="B351" s="92">
        <f>VLOOKUP(A351,Database!A:M,MATCH($A$1,Database!$A$1:$M$1,),)</f>
        <v>233838</v>
      </c>
      <c r="C351" s="94">
        <f>(Table53514[[#This Row],[Manufacturers'' New Orders: Durable Goods]]-B350)/B350</f>
        <v>2.1858448845461377E-2</v>
      </c>
    </row>
    <row r="352" spans="1:3">
      <c r="A352" s="91">
        <v>44166</v>
      </c>
      <c r="B352" s="92">
        <f>VLOOKUP(A352,Database!A:M,MATCH($A$1,Database!$A$1:$M$1,),)</f>
        <v>237428</v>
      </c>
      <c r="C352" s="94">
        <f>(Table53514[[#This Row],[Manufacturers'' New Orders: Durable Goods]]-B351)/B351</f>
        <v>1.5352509001958621E-2</v>
      </c>
    </row>
    <row r="353" spans="1:3">
      <c r="A353" s="91">
        <v>44197</v>
      </c>
      <c r="B353" s="92">
        <f>VLOOKUP(A353,Database!A:M,MATCH($A$1,Database!$A$1:$M$1,),)</f>
        <v>243160</v>
      </c>
      <c r="C353" s="94">
        <f>(Table53514[[#This Row],[Manufacturers'' New Orders: Durable Goods]]-B352)/B352</f>
        <v>2.4142055696884952E-2</v>
      </c>
    </row>
    <row r="354" spans="1:3">
      <c r="A354" s="91">
        <v>44228</v>
      </c>
      <c r="B354" s="92">
        <f>VLOOKUP(A354,Database!A:M,MATCH($A$1,Database!$A$1:$M$1,),)</f>
        <v>246261</v>
      </c>
      <c r="C354" s="94">
        <f>(Table53514[[#This Row],[Manufacturers'' New Orders: Durable Goods]]-B353)/B353</f>
        <v>1.2752919888139497E-2</v>
      </c>
    </row>
    <row r="355" spans="1:3">
      <c r="A355" s="91">
        <v>44256</v>
      </c>
      <c r="B355" s="92">
        <f>VLOOKUP(A355,Database!A:M,MATCH($A$1,Database!$A$1:$M$1,),)</f>
        <v>249467</v>
      </c>
      <c r="C355" s="94">
        <f>(Table53514[[#This Row],[Manufacturers'' New Orders: Durable Goods]]-B354)/B354</f>
        <v>1.3018707793763528E-2</v>
      </c>
    </row>
    <row r="356" spans="1:3">
      <c r="A356" s="91">
        <v>44287</v>
      </c>
      <c r="B356" s="92">
        <f>VLOOKUP(A356,Database!A:M,MATCH($A$1,Database!$A$1:$M$1,),)</f>
        <v>247644</v>
      </c>
      <c r="C356" s="94">
        <f>(Table53514[[#This Row],[Manufacturers'' New Orders: Durable Goods]]-B355)/B355</f>
        <v>-7.3075797600484233E-3</v>
      </c>
    </row>
    <row r="357" spans="1:3">
      <c r="A357" s="91">
        <v>44317</v>
      </c>
      <c r="B357" s="92">
        <f>VLOOKUP(A357,Database!A:M,MATCH($A$1,Database!$A$1:$M$1,),)</f>
        <v>255529</v>
      </c>
      <c r="C357" s="94">
        <f>(Table53514[[#This Row],[Manufacturers'' New Orders: Durable Goods]]-B356)/B356</f>
        <v>3.1840060732341587E-2</v>
      </c>
    </row>
    <row r="358" spans="1:3">
      <c r="A358" s="91">
        <v>44348</v>
      </c>
      <c r="B358" s="92">
        <f>VLOOKUP(A358,Database!A:M,MATCH($A$1,Database!$A$1:$M$1,),)</f>
        <v>257663</v>
      </c>
      <c r="C358" s="94">
        <f>(Table53514[[#This Row],[Manufacturers'' New Orders: Durable Goods]]-B357)/B357</f>
        <v>8.3513025918780254E-3</v>
      </c>
    </row>
    <row r="359" spans="1:3">
      <c r="A359" s="91">
        <v>44378</v>
      </c>
      <c r="B359" s="92">
        <f>VLOOKUP(A359,Database!A:M,MATCH($A$1,Database!$A$1:$M$1,),)</f>
        <v>258846</v>
      </c>
      <c r="C359" s="94">
        <f>(Table53514[[#This Row],[Manufacturers'' New Orders: Durable Goods]]-B358)/B358</f>
        <v>4.5912684397837484E-3</v>
      </c>
    </row>
    <row r="360" spans="1:3">
      <c r="A360" s="91">
        <v>44409</v>
      </c>
      <c r="B360" s="92">
        <f>VLOOKUP(A360,Database!A:M,MATCH($A$1,Database!$A$1:$M$1,),)</f>
        <v>263576</v>
      </c>
      <c r="C360" s="94">
        <f>(Table53514[[#This Row],[Manufacturers'' New Orders: Durable Goods]]-B359)/B359</f>
        <v>1.827341353546124E-2</v>
      </c>
    </row>
  </sheetData>
  <conditionalFormatting sqref="B4:B5 C2:C3">
    <cfRule type="colorScale" priority="2">
      <colorScale>
        <cfvo type="min"/>
        <cfvo type="percentile" val="50"/>
        <cfvo type="max"/>
        <color rgb="FFF8696B"/>
        <color rgb="FFFFEB84"/>
        <color rgb="FF63BE7B"/>
      </colorScale>
    </cfRule>
  </conditionalFormatting>
  <conditionalFormatting sqref="C221:C360">
    <cfRule type="colorScale" priority="1">
      <colorScale>
        <cfvo type="min"/>
        <cfvo type="percentile" val="50"/>
        <cfvo type="max"/>
        <color rgb="FFF8696B"/>
        <color rgb="FFFFEB84"/>
        <color rgb="FF63BE7B"/>
      </colorScale>
    </cfRule>
  </conditionalFormatting>
  <pageMargins left="0.7" right="0.7" top="0.75" bottom="0.75" header="0.3" footer="0.3"/>
  <ignoredErrors>
    <ignoredError sqref="C7:C333 C334:C335 C336:C338 C339:C344" calculatedColumn="1"/>
  </ignoredErrors>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212C8-8EDA-4C74-9993-69424D645DF7}">
  <dimension ref="A1:E360"/>
  <sheetViews>
    <sheetView zoomScale="160" zoomScaleNormal="160" workbookViewId="0">
      <pane ySplit="5" topLeftCell="A328" activePane="bottomLeft" state="frozen"/>
      <selection pane="bottomLeft" activeCell="A361" sqref="A361"/>
    </sheetView>
  </sheetViews>
  <sheetFormatPr baseColWidth="10" defaultColWidth="8.83203125" defaultRowHeight="15"/>
  <cols>
    <col min="1" max="1" width="10.83203125" style="83" customWidth="1"/>
    <col min="2" max="2" width="24.5" style="84" customWidth="1"/>
    <col min="3" max="3" width="14.83203125" style="86" customWidth="1"/>
    <col min="4" max="240" width="9.1640625" style="76"/>
    <col min="241" max="241" width="10.83203125" style="76" customWidth="1"/>
    <col min="242" max="242" width="18.1640625" style="76" customWidth="1"/>
    <col min="243" max="243" width="15" style="76" customWidth="1"/>
    <col min="244" max="247" width="13" style="76" customWidth="1"/>
    <col min="248" max="248" width="17.5" style="76" customWidth="1"/>
    <col min="249" max="496" width="9.1640625" style="76"/>
    <col min="497" max="497" width="10.83203125" style="76" customWidth="1"/>
    <col min="498" max="498" width="18.1640625" style="76" customWidth="1"/>
    <col min="499" max="499" width="15" style="76" customWidth="1"/>
    <col min="500" max="503" width="13" style="76" customWidth="1"/>
    <col min="504" max="504" width="17.5" style="76" customWidth="1"/>
    <col min="505" max="752" width="9.1640625" style="76"/>
    <col min="753" max="753" width="10.83203125" style="76" customWidth="1"/>
    <col min="754" max="754" width="18.1640625" style="76" customWidth="1"/>
    <col min="755" max="755" width="15" style="76" customWidth="1"/>
    <col min="756" max="759" width="13" style="76" customWidth="1"/>
    <col min="760" max="760" width="17.5" style="76" customWidth="1"/>
    <col min="761" max="1008" width="9.1640625" style="76"/>
    <col min="1009" max="1009" width="10.83203125" style="76" customWidth="1"/>
    <col min="1010" max="1010" width="18.1640625" style="76" customWidth="1"/>
    <col min="1011" max="1011" width="15" style="76" customWidth="1"/>
    <col min="1012" max="1015" width="13" style="76" customWidth="1"/>
    <col min="1016" max="1016" width="17.5" style="76" customWidth="1"/>
    <col min="1017" max="1264" width="9.1640625" style="76"/>
    <col min="1265" max="1265" width="10.83203125" style="76" customWidth="1"/>
    <col min="1266" max="1266" width="18.1640625" style="76" customWidth="1"/>
    <col min="1267" max="1267" width="15" style="76" customWidth="1"/>
    <col min="1268" max="1271" width="13" style="76" customWidth="1"/>
    <col min="1272" max="1272" width="17.5" style="76" customWidth="1"/>
    <col min="1273" max="1520" width="9.1640625" style="76"/>
    <col min="1521" max="1521" width="10.83203125" style="76" customWidth="1"/>
    <col min="1522" max="1522" width="18.1640625" style="76" customWidth="1"/>
    <col min="1523" max="1523" width="15" style="76" customWidth="1"/>
    <col min="1524" max="1527" width="13" style="76" customWidth="1"/>
    <col min="1528" max="1528" width="17.5" style="76" customWidth="1"/>
    <col min="1529" max="1776" width="9.1640625" style="76"/>
    <col min="1777" max="1777" width="10.83203125" style="76" customWidth="1"/>
    <col min="1778" max="1778" width="18.1640625" style="76" customWidth="1"/>
    <col min="1779" max="1779" width="15" style="76" customWidth="1"/>
    <col min="1780" max="1783" width="13" style="76" customWidth="1"/>
    <col min="1784" max="1784" width="17.5" style="76" customWidth="1"/>
    <col min="1785" max="2032" width="9.1640625" style="76"/>
    <col min="2033" max="2033" width="10.83203125" style="76" customWidth="1"/>
    <col min="2034" max="2034" width="18.1640625" style="76" customWidth="1"/>
    <col min="2035" max="2035" width="15" style="76" customWidth="1"/>
    <col min="2036" max="2039" width="13" style="76" customWidth="1"/>
    <col min="2040" max="2040" width="17.5" style="76" customWidth="1"/>
    <col min="2041" max="2288" width="9.1640625" style="76"/>
    <col min="2289" max="2289" width="10.83203125" style="76" customWidth="1"/>
    <col min="2290" max="2290" width="18.1640625" style="76" customWidth="1"/>
    <col min="2291" max="2291" width="15" style="76" customWidth="1"/>
    <col min="2292" max="2295" width="13" style="76" customWidth="1"/>
    <col min="2296" max="2296" width="17.5" style="76" customWidth="1"/>
    <col min="2297" max="2544" width="9.1640625" style="76"/>
    <col min="2545" max="2545" width="10.83203125" style="76" customWidth="1"/>
    <col min="2546" max="2546" width="18.1640625" style="76" customWidth="1"/>
    <col min="2547" max="2547" width="15" style="76" customWidth="1"/>
    <col min="2548" max="2551" width="13" style="76" customWidth="1"/>
    <col min="2552" max="2552" width="17.5" style="76" customWidth="1"/>
    <col min="2553" max="2800" width="9.1640625" style="76"/>
    <col min="2801" max="2801" width="10.83203125" style="76" customWidth="1"/>
    <col min="2802" max="2802" width="18.1640625" style="76" customWidth="1"/>
    <col min="2803" max="2803" width="15" style="76" customWidth="1"/>
    <col min="2804" max="2807" width="13" style="76" customWidth="1"/>
    <col min="2808" max="2808" width="17.5" style="76" customWidth="1"/>
    <col min="2809" max="3056" width="9.1640625" style="76"/>
    <col min="3057" max="3057" width="10.83203125" style="76" customWidth="1"/>
    <col min="3058" max="3058" width="18.1640625" style="76" customWidth="1"/>
    <col min="3059" max="3059" width="15" style="76" customWidth="1"/>
    <col min="3060" max="3063" width="13" style="76" customWidth="1"/>
    <col min="3064" max="3064" width="17.5" style="76" customWidth="1"/>
    <col min="3065" max="3312" width="9.1640625" style="76"/>
    <col min="3313" max="3313" width="10.83203125" style="76" customWidth="1"/>
    <col min="3314" max="3314" width="18.1640625" style="76" customWidth="1"/>
    <col min="3315" max="3315" width="15" style="76" customWidth="1"/>
    <col min="3316" max="3319" width="13" style="76" customWidth="1"/>
    <col min="3320" max="3320" width="17.5" style="76" customWidth="1"/>
    <col min="3321" max="3568" width="9.1640625" style="76"/>
    <col min="3569" max="3569" width="10.83203125" style="76" customWidth="1"/>
    <col min="3570" max="3570" width="18.1640625" style="76" customWidth="1"/>
    <col min="3571" max="3571" width="15" style="76" customWidth="1"/>
    <col min="3572" max="3575" width="13" style="76" customWidth="1"/>
    <col min="3576" max="3576" width="17.5" style="76" customWidth="1"/>
    <col min="3577" max="3824" width="9.1640625" style="76"/>
    <col min="3825" max="3825" width="10.83203125" style="76" customWidth="1"/>
    <col min="3826" max="3826" width="18.1640625" style="76" customWidth="1"/>
    <col min="3827" max="3827" width="15" style="76" customWidth="1"/>
    <col min="3828" max="3831" width="13" style="76" customWidth="1"/>
    <col min="3832" max="3832" width="17.5" style="76" customWidth="1"/>
    <col min="3833" max="4080" width="9.1640625" style="76"/>
    <col min="4081" max="4081" width="10.83203125" style="76" customWidth="1"/>
    <col min="4082" max="4082" width="18.1640625" style="76" customWidth="1"/>
    <col min="4083" max="4083" width="15" style="76" customWidth="1"/>
    <col min="4084" max="4087" width="13" style="76" customWidth="1"/>
    <col min="4088" max="4088" width="17.5" style="76" customWidth="1"/>
    <col min="4089" max="4336" width="9.1640625" style="76"/>
    <col min="4337" max="4337" width="10.83203125" style="76" customWidth="1"/>
    <col min="4338" max="4338" width="18.1640625" style="76" customWidth="1"/>
    <col min="4339" max="4339" width="15" style="76" customWidth="1"/>
    <col min="4340" max="4343" width="13" style="76" customWidth="1"/>
    <col min="4344" max="4344" width="17.5" style="76" customWidth="1"/>
    <col min="4345" max="4592" width="9.1640625" style="76"/>
    <col min="4593" max="4593" width="10.83203125" style="76" customWidth="1"/>
    <col min="4594" max="4594" width="18.1640625" style="76" customWidth="1"/>
    <col min="4595" max="4595" width="15" style="76" customWidth="1"/>
    <col min="4596" max="4599" width="13" style="76" customWidth="1"/>
    <col min="4600" max="4600" width="17.5" style="76" customWidth="1"/>
    <col min="4601" max="4848" width="9.1640625" style="76"/>
    <col min="4849" max="4849" width="10.83203125" style="76" customWidth="1"/>
    <col min="4850" max="4850" width="18.1640625" style="76" customWidth="1"/>
    <col min="4851" max="4851" width="15" style="76" customWidth="1"/>
    <col min="4852" max="4855" width="13" style="76" customWidth="1"/>
    <col min="4856" max="4856" width="17.5" style="76" customWidth="1"/>
    <col min="4857" max="5104" width="9.1640625" style="76"/>
    <col min="5105" max="5105" width="10.83203125" style="76" customWidth="1"/>
    <col min="5106" max="5106" width="18.1640625" style="76" customWidth="1"/>
    <col min="5107" max="5107" width="15" style="76" customWidth="1"/>
    <col min="5108" max="5111" width="13" style="76" customWidth="1"/>
    <col min="5112" max="5112" width="17.5" style="76" customWidth="1"/>
    <col min="5113" max="5360" width="9.1640625" style="76"/>
    <col min="5361" max="5361" width="10.83203125" style="76" customWidth="1"/>
    <col min="5362" max="5362" width="18.1640625" style="76" customWidth="1"/>
    <col min="5363" max="5363" width="15" style="76" customWidth="1"/>
    <col min="5364" max="5367" width="13" style="76" customWidth="1"/>
    <col min="5368" max="5368" width="17.5" style="76" customWidth="1"/>
    <col min="5369" max="5616" width="9.1640625" style="76"/>
    <col min="5617" max="5617" width="10.83203125" style="76" customWidth="1"/>
    <col min="5618" max="5618" width="18.1640625" style="76" customWidth="1"/>
    <col min="5619" max="5619" width="15" style="76" customWidth="1"/>
    <col min="5620" max="5623" width="13" style="76" customWidth="1"/>
    <col min="5624" max="5624" width="17.5" style="76" customWidth="1"/>
    <col min="5625" max="5872" width="9.1640625" style="76"/>
    <col min="5873" max="5873" width="10.83203125" style="76" customWidth="1"/>
    <col min="5874" max="5874" width="18.1640625" style="76" customWidth="1"/>
    <col min="5875" max="5875" width="15" style="76" customWidth="1"/>
    <col min="5876" max="5879" width="13" style="76" customWidth="1"/>
    <col min="5880" max="5880" width="17.5" style="76" customWidth="1"/>
    <col min="5881" max="6128" width="9.1640625" style="76"/>
    <col min="6129" max="6129" width="10.83203125" style="76" customWidth="1"/>
    <col min="6130" max="6130" width="18.1640625" style="76" customWidth="1"/>
    <col min="6131" max="6131" width="15" style="76" customWidth="1"/>
    <col min="6132" max="6135" width="13" style="76" customWidth="1"/>
    <col min="6136" max="6136" width="17.5" style="76" customWidth="1"/>
    <col min="6137" max="6384" width="9.1640625" style="76"/>
    <col min="6385" max="6385" width="10.83203125" style="76" customWidth="1"/>
    <col min="6386" max="6386" width="18.1640625" style="76" customWidth="1"/>
    <col min="6387" max="6387" width="15" style="76" customWidth="1"/>
    <col min="6388" max="6391" width="13" style="76" customWidth="1"/>
    <col min="6392" max="6392" width="17.5" style="76" customWidth="1"/>
    <col min="6393" max="6640" width="9.1640625" style="76"/>
    <col min="6641" max="6641" width="10.83203125" style="76" customWidth="1"/>
    <col min="6642" max="6642" width="18.1640625" style="76" customWidth="1"/>
    <col min="6643" max="6643" width="15" style="76" customWidth="1"/>
    <col min="6644" max="6647" width="13" style="76" customWidth="1"/>
    <col min="6648" max="6648" width="17.5" style="76" customWidth="1"/>
    <col min="6649" max="6896" width="9.1640625" style="76"/>
    <col min="6897" max="6897" width="10.83203125" style="76" customWidth="1"/>
    <col min="6898" max="6898" width="18.1640625" style="76" customWidth="1"/>
    <col min="6899" max="6899" width="15" style="76" customWidth="1"/>
    <col min="6900" max="6903" width="13" style="76" customWidth="1"/>
    <col min="6904" max="6904" width="17.5" style="76" customWidth="1"/>
    <col min="6905" max="7152" width="9.1640625" style="76"/>
    <col min="7153" max="7153" width="10.83203125" style="76" customWidth="1"/>
    <col min="7154" max="7154" width="18.1640625" style="76" customWidth="1"/>
    <col min="7155" max="7155" width="15" style="76" customWidth="1"/>
    <col min="7156" max="7159" width="13" style="76" customWidth="1"/>
    <col min="7160" max="7160" width="17.5" style="76" customWidth="1"/>
    <col min="7161" max="7408" width="9.1640625" style="76"/>
    <col min="7409" max="7409" width="10.83203125" style="76" customWidth="1"/>
    <col min="7410" max="7410" width="18.1640625" style="76" customWidth="1"/>
    <col min="7411" max="7411" width="15" style="76" customWidth="1"/>
    <col min="7412" max="7415" width="13" style="76" customWidth="1"/>
    <col min="7416" max="7416" width="17.5" style="76" customWidth="1"/>
    <col min="7417" max="7664" width="9.1640625" style="76"/>
    <col min="7665" max="7665" width="10.83203125" style="76" customWidth="1"/>
    <col min="7666" max="7666" width="18.1640625" style="76" customWidth="1"/>
    <col min="7667" max="7667" width="15" style="76" customWidth="1"/>
    <col min="7668" max="7671" width="13" style="76" customWidth="1"/>
    <col min="7672" max="7672" width="17.5" style="76" customWidth="1"/>
    <col min="7673" max="7920" width="9.1640625" style="76"/>
    <col min="7921" max="7921" width="10.83203125" style="76" customWidth="1"/>
    <col min="7922" max="7922" width="18.1640625" style="76" customWidth="1"/>
    <col min="7923" max="7923" width="15" style="76" customWidth="1"/>
    <col min="7924" max="7927" width="13" style="76" customWidth="1"/>
    <col min="7928" max="7928" width="17.5" style="76" customWidth="1"/>
    <col min="7929" max="8176" width="9.1640625" style="76"/>
    <col min="8177" max="8177" width="10.83203125" style="76" customWidth="1"/>
    <col min="8178" max="8178" width="18.1640625" style="76" customWidth="1"/>
    <col min="8179" max="8179" width="15" style="76" customWidth="1"/>
    <col min="8180" max="8183" width="13" style="76" customWidth="1"/>
    <col min="8184" max="8184" width="17.5" style="76" customWidth="1"/>
    <col min="8185" max="8432" width="9.1640625" style="76"/>
    <col min="8433" max="8433" width="10.83203125" style="76" customWidth="1"/>
    <col min="8434" max="8434" width="18.1640625" style="76" customWidth="1"/>
    <col min="8435" max="8435" width="15" style="76" customWidth="1"/>
    <col min="8436" max="8439" width="13" style="76" customWidth="1"/>
    <col min="8440" max="8440" width="17.5" style="76" customWidth="1"/>
    <col min="8441" max="8688" width="9.1640625" style="76"/>
    <col min="8689" max="8689" width="10.83203125" style="76" customWidth="1"/>
    <col min="8690" max="8690" width="18.1640625" style="76" customWidth="1"/>
    <col min="8691" max="8691" width="15" style="76" customWidth="1"/>
    <col min="8692" max="8695" width="13" style="76" customWidth="1"/>
    <col min="8696" max="8696" width="17.5" style="76" customWidth="1"/>
    <col min="8697" max="8944" width="9.1640625" style="76"/>
    <col min="8945" max="8945" width="10.83203125" style="76" customWidth="1"/>
    <col min="8946" max="8946" width="18.1640625" style="76" customWidth="1"/>
    <col min="8947" max="8947" width="15" style="76" customWidth="1"/>
    <col min="8948" max="8951" width="13" style="76" customWidth="1"/>
    <col min="8952" max="8952" width="17.5" style="76" customWidth="1"/>
    <col min="8953" max="9200" width="9.1640625" style="76"/>
    <col min="9201" max="9201" width="10.83203125" style="76" customWidth="1"/>
    <col min="9202" max="9202" width="18.1640625" style="76" customWidth="1"/>
    <col min="9203" max="9203" width="15" style="76" customWidth="1"/>
    <col min="9204" max="9207" width="13" style="76" customWidth="1"/>
    <col min="9208" max="9208" width="17.5" style="76" customWidth="1"/>
    <col min="9209" max="9456" width="9.1640625" style="76"/>
    <col min="9457" max="9457" width="10.83203125" style="76" customWidth="1"/>
    <col min="9458" max="9458" width="18.1640625" style="76" customWidth="1"/>
    <col min="9459" max="9459" width="15" style="76" customWidth="1"/>
    <col min="9460" max="9463" width="13" style="76" customWidth="1"/>
    <col min="9464" max="9464" width="17.5" style="76" customWidth="1"/>
    <col min="9465" max="9712" width="9.1640625" style="76"/>
    <col min="9713" max="9713" width="10.83203125" style="76" customWidth="1"/>
    <col min="9714" max="9714" width="18.1640625" style="76" customWidth="1"/>
    <col min="9715" max="9715" width="15" style="76" customWidth="1"/>
    <col min="9716" max="9719" width="13" style="76" customWidth="1"/>
    <col min="9720" max="9720" width="17.5" style="76" customWidth="1"/>
    <col min="9721" max="9968" width="9.1640625" style="76"/>
    <col min="9969" max="9969" width="10.83203125" style="76" customWidth="1"/>
    <col min="9970" max="9970" width="18.1640625" style="76" customWidth="1"/>
    <col min="9971" max="9971" width="15" style="76" customWidth="1"/>
    <col min="9972" max="9975" width="13" style="76" customWidth="1"/>
    <col min="9976" max="9976" width="17.5" style="76" customWidth="1"/>
    <col min="9977" max="10224" width="9.1640625" style="76"/>
    <col min="10225" max="10225" width="10.83203125" style="76" customWidth="1"/>
    <col min="10226" max="10226" width="18.1640625" style="76" customWidth="1"/>
    <col min="10227" max="10227" width="15" style="76" customWidth="1"/>
    <col min="10228" max="10231" width="13" style="76" customWidth="1"/>
    <col min="10232" max="10232" width="17.5" style="76" customWidth="1"/>
    <col min="10233" max="10480" width="9.1640625" style="76"/>
    <col min="10481" max="10481" width="10.83203125" style="76" customWidth="1"/>
    <col min="10482" max="10482" width="18.1640625" style="76" customWidth="1"/>
    <col min="10483" max="10483" width="15" style="76" customWidth="1"/>
    <col min="10484" max="10487" width="13" style="76" customWidth="1"/>
    <col min="10488" max="10488" width="17.5" style="76" customWidth="1"/>
    <col min="10489" max="10736" width="9.1640625" style="76"/>
    <col min="10737" max="10737" width="10.83203125" style="76" customWidth="1"/>
    <col min="10738" max="10738" width="18.1640625" style="76" customWidth="1"/>
    <col min="10739" max="10739" width="15" style="76" customWidth="1"/>
    <col min="10740" max="10743" width="13" style="76" customWidth="1"/>
    <col min="10744" max="10744" width="17.5" style="76" customWidth="1"/>
    <col min="10745" max="10992" width="9.1640625" style="76"/>
    <col min="10993" max="10993" width="10.83203125" style="76" customWidth="1"/>
    <col min="10994" max="10994" width="18.1640625" style="76" customWidth="1"/>
    <col min="10995" max="10995" width="15" style="76" customWidth="1"/>
    <col min="10996" max="10999" width="13" style="76" customWidth="1"/>
    <col min="11000" max="11000" width="17.5" style="76" customWidth="1"/>
    <col min="11001" max="11248" width="9.1640625" style="76"/>
    <col min="11249" max="11249" width="10.83203125" style="76" customWidth="1"/>
    <col min="11250" max="11250" width="18.1640625" style="76" customWidth="1"/>
    <col min="11251" max="11251" width="15" style="76" customWidth="1"/>
    <col min="11252" max="11255" width="13" style="76" customWidth="1"/>
    <col min="11256" max="11256" width="17.5" style="76" customWidth="1"/>
    <col min="11257" max="11504" width="9.1640625" style="76"/>
    <col min="11505" max="11505" width="10.83203125" style="76" customWidth="1"/>
    <col min="11506" max="11506" width="18.1640625" style="76" customWidth="1"/>
    <col min="11507" max="11507" width="15" style="76" customWidth="1"/>
    <col min="11508" max="11511" width="13" style="76" customWidth="1"/>
    <col min="11512" max="11512" width="17.5" style="76" customWidth="1"/>
    <col min="11513" max="11760" width="9.1640625" style="76"/>
    <col min="11761" max="11761" width="10.83203125" style="76" customWidth="1"/>
    <col min="11762" max="11762" width="18.1640625" style="76" customWidth="1"/>
    <col min="11763" max="11763" width="15" style="76" customWidth="1"/>
    <col min="11764" max="11767" width="13" style="76" customWidth="1"/>
    <col min="11768" max="11768" width="17.5" style="76" customWidth="1"/>
    <col min="11769" max="12016" width="9.1640625" style="76"/>
    <col min="12017" max="12017" width="10.83203125" style="76" customWidth="1"/>
    <col min="12018" max="12018" width="18.1640625" style="76" customWidth="1"/>
    <col min="12019" max="12019" width="15" style="76" customWidth="1"/>
    <col min="12020" max="12023" width="13" style="76" customWidth="1"/>
    <col min="12024" max="12024" width="17.5" style="76" customWidth="1"/>
    <col min="12025" max="12272" width="9.1640625" style="76"/>
    <col min="12273" max="12273" width="10.83203125" style="76" customWidth="1"/>
    <col min="12274" max="12274" width="18.1640625" style="76" customWidth="1"/>
    <col min="12275" max="12275" width="15" style="76" customWidth="1"/>
    <col min="12276" max="12279" width="13" style="76" customWidth="1"/>
    <col min="12280" max="12280" width="17.5" style="76" customWidth="1"/>
    <col min="12281" max="12528" width="9.1640625" style="76"/>
    <col min="12529" max="12529" width="10.83203125" style="76" customWidth="1"/>
    <col min="12530" max="12530" width="18.1640625" style="76" customWidth="1"/>
    <col min="12531" max="12531" width="15" style="76" customWidth="1"/>
    <col min="12532" max="12535" width="13" style="76" customWidth="1"/>
    <col min="12536" max="12536" width="17.5" style="76" customWidth="1"/>
    <col min="12537" max="12784" width="9.1640625" style="76"/>
    <col min="12785" max="12785" width="10.83203125" style="76" customWidth="1"/>
    <col min="12786" max="12786" width="18.1640625" style="76" customWidth="1"/>
    <col min="12787" max="12787" width="15" style="76" customWidth="1"/>
    <col min="12788" max="12791" width="13" style="76" customWidth="1"/>
    <col min="12792" max="12792" width="17.5" style="76" customWidth="1"/>
    <col min="12793" max="13040" width="9.1640625" style="76"/>
    <col min="13041" max="13041" width="10.83203125" style="76" customWidth="1"/>
    <col min="13042" max="13042" width="18.1640625" style="76" customWidth="1"/>
    <col min="13043" max="13043" width="15" style="76" customWidth="1"/>
    <col min="13044" max="13047" width="13" style="76" customWidth="1"/>
    <col min="13048" max="13048" width="17.5" style="76" customWidth="1"/>
    <col min="13049" max="13296" width="9.1640625" style="76"/>
    <col min="13297" max="13297" width="10.83203125" style="76" customWidth="1"/>
    <col min="13298" max="13298" width="18.1640625" style="76" customWidth="1"/>
    <col min="13299" max="13299" width="15" style="76" customWidth="1"/>
    <col min="13300" max="13303" width="13" style="76" customWidth="1"/>
    <col min="13304" max="13304" width="17.5" style="76" customWidth="1"/>
    <col min="13305" max="13552" width="9.1640625" style="76"/>
    <col min="13553" max="13553" width="10.83203125" style="76" customWidth="1"/>
    <col min="13554" max="13554" width="18.1640625" style="76" customWidth="1"/>
    <col min="13555" max="13555" width="15" style="76" customWidth="1"/>
    <col min="13556" max="13559" width="13" style="76" customWidth="1"/>
    <col min="13560" max="13560" width="17.5" style="76" customWidth="1"/>
    <col min="13561" max="13808" width="9.1640625" style="76"/>
    <col min="13809" max="13809" width="10.83203125" style="76" customWidth="1"/>
    <col min="13810" max="13810" width="18.1640625" style="76" customWidth="1"/>
    <col min="13811" max="13811" width="15" style="76" customWidth="1"/>
    <col min="13812" max="13815" width="13" style="76" customWidth="1"/>
    <col min="13816" max="13816" width="17.5" style="76" customWidth="1"/>
    <col min="13817" max="14064" width="9.1640625" style="76"/>
    <col min="14065" max="14065" width="10.83203125" style="76" customWidth="1"/>
    <col min="14066" max="14066" width="18.1640625" style="76" customWidth="1"/>
    <col min="14067" max="14067" width="15" style="76" customWidth="1"/>
    <col min="14068" max="14071" width="13" style="76" customWidth="1"/>
    <col min="14072" max="14072" width="17.5" style="76" customWidth="1"/>
    <col min="14073" max="14320" width="9.1640625" style="76"/>
    <col min="14321" max="14321" width="10.83203125" style="76" customWidth="1"/>
    <col min="14322" max="14322" width="18.1640625" style="76" customWidth="1"/>
    <col min="14323" max="14323" width="15" style="76" customWidth="1"/>
    <col min="14324" max="14327" width="13" style="76" customWidth="1"/>
    <col min="14328" max="14328" width="17.5" style="76" customWidth="1"/>
    <col min="14329" max="14576" width="9.1640625" style="76"/>
    <col min="14577" max="14577" width="10.83203125" style="76" customWidth="1"/>
    <col min="14578" max="14578" width="18.1640625" style="76" customWidth="1"/>
    <col min="14579" max="14579" width="15" style="76" customWidth="1"/>
    <col min="14580" max="14583" width="13" style="76" customWidth="1"/>
    <col min="14584" max="14584" width="17.5" style="76" customWidth="1"/>
    <col min="14585" max="14832" width="9.1640625" style="76"/>
    <col min="14833" max="14833" width="10.83203125" style="76" customWidth="1"/>
    <col min="14834" max="14834" width="18.1640625" style="76" customWidth="1"/>
    <col min="14835" max="14835" width="15" style="76" customWidth="1"/>
    <col min="14836" max="14839" width="13" style="76" customWidth="1"/>
    <col min="14840" max="14840" width="17.5" style="76" customWidth="1"/>
    <col min="14841" max="15088" width="9.1640625" style="76"/>
    <col min="15089" max="15089" width="10.83203125" style="76" customWidth="1"/>
    <col min="15090" max="15090" width="18.1640625" style="76" customWidth="1"/>
    <col min="15091" max="15091" width="15" style="76" customWidth="1"/>
    <col min="15092" max="15095" width="13" style="76" customWidth="1"/>
    <col min="15096" max="15096" width="17.5" style="76" customWidth="1"/>
    <col min="15097" max="15344" width="9.1640625" style="76"/>
    <col min="15345" max="15345" width="10.83203125" style="76" customWidth="1"/>
    <col min="15346" max="15346" width="18.1640625" style="76" customWidth="1"/>
    <col min="15347" max="15347" width="15" style="76" customWidth="1"/>
    <col min="15348" max="15351" width="13" style="76" customWidth="1"/>
    <col min="15352" max="15352" width="17.5" style="76" customWidth="1"/>
    <col min="15353" max="15600" width="9.1640625" style="76"/>
    <col min="15601" max="15601" width="10.83203125" style="76" customWidth="1"/>
    <col min="15602" max="15602" width="18.1640625" style="76" customWidth="1"/>
    <col min="15603" max="15603" width="15" style="76" customWidth="1"/>
    <col min="15604" max="15607" width="13" style="76" customWidth="1"/>
    <col min="15608" max="15608" width="17.5" style="76" customWidth="1"/>
    <col min="15609" max="15856" width="9.1640625" style="76"/>
    <col min="15857" max="15857" width="10.83203125" style="76" customWidth="1"/>
    <col min="15858" max="15858" width="18.1640625" style="76" customWidth="1"/>
    <col min="15859" max="15859" width="15" style="76" customWidth="1"/>
    <col min="15860" max="15863" width="13" style="76" customWidth="1"/>
    <col min="15864" max="15864" width="17.5" style="76" customWidth="1"/>
    <col min="15865" max="16112" width="9.1640625" style="76"/>
    <col min="16113" max="16113" width="10.83203125" style="76" customWidth="1"/>
    <col min="16114" max="16114" width="18.1640625" style="76" customWidth="1"/>
    <col min="16115" max="16115" width="15" style="76" customWidth="1"/>
    <col min="16116" max="16119" width="13" style="76" customWidth="1"/>
    <col min="16120" max="16120" width="17.5" style="76" customWidth="1"/>
    <col min="16121" max="16384" width="9.1640625" style="76"/>
  </cols>
  <sheetData>
    <row r="1" spans="1:5">
      <c r="A1" s="1" t="s">
        <v>7</v>
      </c>
      <c r="B1" s="128" t="s">
        <v>21</v>
      </c>
      <c r="C1" s="129"/>
      <c r="D1" s="129"/>
      <c r="E1" s="129"/>
    </row>
    <row r="2" spans="1:5" ht="15" customHeight="1">
      <c r="A2" s="87"/>
      <c r="B2" s="83"/>
      <c r="C2" s="84"/>
    </row>
    <row r="3" spans="1:5">
      <c r="B3" s="83"/>
      <c r="C3" s="84"/>
    </row>
    <row r="4" spans="1:5" ht="16" thickBot="1"/>
    <row r="5" spans="1:5" ht="68.25" customHeight="1">
      <c r="A5" s="88" t="s">
        <v>10</v>
      </c>
      <c r="B5" s="89" t="s">
        <v>21</v>
      </c>
      <c r="C5" s="90" t="s">
        <v>87</v>
      </c>
    </row>
    <row r="6" spans="1:5">
      <c r="A6" s="91">
        <v>33635</v>
      </c>
      <c r="B6" s="92">
        <f>VLOOKUP(A6,Database!A:M,MATCH($A$1,Database!$A$1:$M$1,),)</f>
        <v>82931</v>
      </c>
      <c r="C6" s="93"/>
    </row>
    <row r="7" spans="1:5">
      <c r="A7" s="91">
        <v>33664</v>
      </c>
      <c r="B7" s="92">
        <f>VLOOKUP(A7,Database!A:M,MATCH($A$1,Database!$A$1:$M$1,),)</f>
        <v>85725</v>
      </c>
      <c r="C7" s="94">
        <f>(Table5351415[[#This Row],[New Orders ex Transport]]-B6)/B6</f>
        <v>3.3690658499234305E-2</v>
      </c>
    </row>
    <row r="8" spans="1:5">
      <c r="A8" s="91">
        <v>33695</v>
      </c>
      <c r="B8" s="92">
        <f>VLOOKUP(A8,Database!A:M,MATCH($A$1,Database!$A$1:$M$1,),)</f>
        <v>86604</v>
      </c>
      <c r="C8" s="94">
        <f>(Table5351415[[#This Row],[New Orders ex Transport]]-B7)/B7</f>
        <v>1.0253718285214349E-2</v>
      </c>
    </row>
    <row r="9" spans="1:5">
      <c r="A9" s="91">
        <v>33725</v>
      </c>
      <c r="B9" s="92">
        <f>VLOOKUP(A9,Database!A:M,MATCH($A$1,Database!$A$1:$M$1,),)</f>
        <v>88340</v>
      </c>
      <c r="C9" s="94">
        <f>(Table5351415[[#This Row],[New Orders ex Transport]]-B8)/B8</f>
        <v>2.0045263498221791E-2</v>
      </c>
    </row>
    <row r="10" spans="1:5">
      <c r="A10" s="91">
        <v>33756</v>
      </c>
      <c r="B10" s="92">
        <f>VLOOKUP(A10,Database!A:M,MATCH($A$1,Database!$A$1:$M$1,),)</f>
        <v>88219</v>
      </c>
      <c r="C10" s="94">
        <f>(Table5351415[[#This Row],[New Orders ex Transport]]-B9)/B9</f>
        <v>-1.3697079465700701E-3</v>
      </c>
    </row>
    <row r="11" spans="1:5">
      <c r="A11" s="91">
        <v>33786</v>
      </c>
      <c r="B11" s="92">
        <f>VLOOKUP(A11,Database!A:M,MATCH($A$1,Database!$A$1:$M$1,),)</f>
        <v>87727</v>
      </c>
      <c r="C11" s="94">
        <f>(Table5351415[[#This Row],[New Orders ex Transport]]-B10)/B10</f>
        <v>-5.5770298915199671E-3</v>
      </c>
    </row>
    <row r="12" spans="1:5">
      <c r="A12" s="91">
        <v>33817</v>
      </c>
      <c r="B12" s="92">
        <f>VLOOKUP(A12,Database!A:M,MATCH($A$1,Database!$A$1:$M$1,),)</f>
        <v>87497</v>
      </c>
      <c r="C12" s="94">
        <f>(Table5351415[[#This Row],[New Orders ex Transport]]-B11)/B11</f>
        <v>-2.6217698086108041E-3</v>
      </c>
    </row>
    <row r="13" spans="1:5">
      <c r="A13" s="91">
        <v>33848</v>
      </c>
      <c r="B13" s="92">
        <f>VLOOKUP(A13,Database!A:M,MATCH($A$1,Database!$A$1:$M$1,),)</f>
        <v>88681</v>
      </c>
      <c r="C13" s="94">
        <f>(Table5351415[[#This Row],[New Orders ex Transport]]-B12)/B12</f>
        <v>1.3531892522029326E-2</v>
      </c>
    </row>
    <row r="14" spans="1:5">
      <c r="A14" s="91">
        <v>33878</v>
      </c>
      <c r="B14" s="92">
        <f>VLOOKUP(A14,Database!A:M,MATCH($A$1,Database!$A$1:$M$1,),)</f>
        <v>87064</v>
      </c>
      <c r="C14" s="94">
        <f>(Table5351415[[#This Row],[New Orders ex Transport]]-B13)/B13</f>
        <v>-1.8233894520810544E-2</v>
      </c>
    </row>
    <row r="15" spans="1:5">
      <c r="A15" s="91">
        <v>33909</v>
      </c>
      <c r="B15" s="92">
        <f>VLOOKUP(A15,Database!A:M,MATCH($A$1,Database!$A$1:$M$1,),)</f>
        <v>89497</v>
      </c>
      <c r="C15" s="94">
        <f>(Table5351415[[#This Row],[New Orders ex Transport]]-B14)/B14</f>
        <v>2.7944960029403658E-2</v>
      </c>
    </row>
    <row r="16" spans="1:5">
      <c r="A16" s="91">
        <v>33939</v>
      </c>
      <c r="B16" s="92">
        <f>VLOOKUP(A16,Database!A:M,MATCH($A$1,Database!$A$1:$M$1,),)</f>
        <v>91359</v>
      </c>
      <c r="C16" s="94">
        <f>(Table5351415[[#This Row],[New Orders ex Transport]]-B15)/B15</f>
        <v>2.0805166653630847E-2</v>
      </c>
    </row>
    <row r="17" spans="1:3">
      <c r="A17" s="91">
        <v>33970</v>
      </c>
      <c r="B17" s="92">
        <f>VLOOKUP(A17,Database!A:M,MATCH($A$1,Database!$A$1:$M$1,),)</f>
        <v>91074</v>
      </c>
      <c r="C17" s="94">
        <f>(Table5351415[[#This Row],[New Orders ex Transport]]-B16)/B16</f>
        <v>-3.1195612911699999E-3</v>
      </c>
    </row>
    <row r="18" spans="1:3">
      <c r="A18" s="91">
        <v>34001</v>
      </c>
      <c r="B18" s="92">
        <f>VLOOKUP(A18,Database!A:M,MATCH($A$1,Database!$A$1:$M$1,),)</f>
        <v>90448</v>
      </c>
      <c r="C18" s="94">
        <f>(Table5351415[[#This Row],[New Orders ex Transport]]-B17)/B17</f>
        <v>-6.8735314140149772E-3</v>
      </c>
    </row>
    <row r="19" spans="1:3">
      <c r="A19" s="91">
        <v>34029</v>
      </c>
      <c r="B19" s="92">
        <f>VLOOKUP(A19,Database!A:M,MATCH($A$1,Database!$A$1:$M$1,),)</f>
        <v>91923</v>
      </c>
      <c r="C19" s="94">
        <f>(Table5351415[[#This Row],[New Orders ex Transport]]-B18)/B18</f>
        <v>1.6307712718910312E-2</v>
      </c>
    </row>
    <row r="20" spans="1:3">
      <c r="A20" s="91">
        <v>34060</v>
      </c>
      <c r="B20" s="92">
        <f>VLOOKUP(A20,Database!A:M,MATCH($A$1,Database!$A$1:$M$1,),)</f>
        <v>91700</v>
      </c>
      <c r="C20" s="94">
        <f>(Table5351415[[#This Row],[New Orders ex Transport]]-B19)/B19</f>
        <v>-2.4259434526723452E-3</v>
      </c>
    </row>
    <row r="21" spans="1:3">
      <c r="A21" s="91">
        <v>34090</v>
      </c>
      <c r="B21" s="92">
        <f>VLOOKUP(A21,Database!A:M,MATCH($A$1,Database!$A$1:$M$1,),)</f>
        <v>91493</v>
      </c>
      <c r="C21" s="94">
        <f>(Table5351415[[#This Row],[New Orders ex Transport]]-B20)/B20</f>
        <v>-2.2573609596510361E-3</v>
      </c>
    </row>
    <row r="22" spans="1:3">
      <c r="A22" s="91">
        <v>34121</v>
      </c>
      <c r="B22" s="92">
        <f>VLOOKUP(A22,Database!A:M,MATCH($A$1,Database!$A$1:$M$1,),)</f>
        <v>91139</v>
      </c>
      <c r="C22" s="94">
        <f>(Table5351415[[#This Row],[New Orders ex Transport]]-B21)/B21</f>
        <v>-3.8691484594449849E-3</v>
      </c>
    </row>
    <row r="23" spans="1:3">
      <c r="A23" s="91">
        <v>34151</v>
      </c>
      <c r="B23" s="92">
        <f>VLOOKUP(A23,Database!A:M,MATCH($A$1,Database!$A$1:$M$1,),)</f>
        <v>92496</v>
      </c>
      <c r="C23" s="94">
        <f>(Table5351415[[#This Row],[New Orders ex Transport]]-B22)/B22</f>
        <v>1.4889344846882235E-2</v>
      </c>
    </row>
    <row r="24" spans="1:3">
      <c r="A24" s="91">
        <v>34182</v>
      </c>
      <c r="B24" s="92">
        <f>VLOOKUP(A24,Database!A:M,MATCH($A$1,Database!$A$1:$M$1,),)</f>
        <v>93424</v>
      </c>
      <c r="C24" s="94">
        <f>(Table5351415[[#This Row],[New Orders ex Transport]]-B23)/B23</f>
        <v>1.003286628610967E-2</v>
      </c>
    </row>
    <row r="25" spans="1:3">
      <c r="A25" s="91">
        <v>34213</v>
      </c>
      <c r="B25" s="92">
        <f>VLOOKUP(A25,Database!A:M,MATCH($A$1,Database!$A$1:$M$1,),)</f>
        <v>94082</v>
      </c>
      <c r="C25" s="94">
        <f>(Table5351415[[#This Row],[New Orders ex Transport]]-B24)/B24</f>
        <v>7.0431580750128448E-3</v>
      </c>
    </row>
    <row r="26" spans="1:3">
      <c r="A26" s="91">
        <v>34243</v>
      </c>
      <c r="B26" s="92">
        <f>VLOOKUP(A26,Database!A:M,MATCH($A$1,Database!$A$1:$M$1,),)</f>
        <v>96033</v>
      </c>
      <c r="C26" s="94">
        <f>(Table5351415[[#This Row],[New Orders ex Transport]]-B25)/B25</f>
        <v>2.0737229225569184E-2</v>
      </c>
    </row>
    <row r="27" spans="1:3">
      <c r="A27" s="91">
        <v>34274</v>
      </c>
      <c r="B27" s="92">
        <f>VLOOKUP(A27,Database!A:M,MATCH($A$1,Database!$A$1:$M$1,),)</f>
        <v>94450</v>
      </c>
      <c r="C27" s="94">
        <f>(Table5351415[[#This Row],[New Orders ex Transport]]-B26)/B26</f>
        <v>-1.6483916986869098E-2</v>
      </c>
    </row>
    <row r="28" spans="1:3">
      <c r="A28" s="91">
        <v>34304</v>
      </c>
      <c r="B28" s="92">
        <f>VLOOKUP(A28,Database!A:M,MATCH($A$1,Database!$A$1:$M$1,),)</f>
        <v>97857</v>
      </c>
      <c r="C28" s="94">
        <f>(Table5351415[[#This Row],[New Orders ex Transport]]-B27)/B27</f>
        <v>3.6071995764955005E-2</v>
      </c>
    </row>
    <row r="29" spans="1:3">
      <c r="A29" s="91">
        <v>34335</v>
      </c>
      <c r="B29" s="92">
        <f>VLOOKUP(A29,Database!A:M,MATCH($A$1,Database!$A$1:$M$1,),)</f>
        <v>97250</v>
      </c>
      <c r="C29" s="94">
        <f>(Table5351415[[#This Row],[New Orders ex Transport]]-B28)/B28</f>
        <v>-6.2029287633996542E-3</v>
      </c>
    </row>
    <row r="30" spans="1:3">
      <c r="A30" s="91">
        <v>34366</v>
      </c>
      <c r="B30" s="92">
        <f>VLOOKUP(A30,Database!A:M,MATCH($A$1,Database!$A$1:$M$1,),)</f>
        <v>98720</v>
      </c>
      <c r="C30" s="94">
        <f>(Table5351415[[#This Row],[New Orders ex Transport]]-B29)/B29</f>
        <v>1.5115681233933162E-2</v>
      </c>
    </row>
    <row r="31" spans="1:3">
      <c r="A31" s="91">
        <v>34394</v>
      </c>
      <c r="B31" s="92">
        <f>VLOOKUP(A31,Database!A:M,MATCH($A$1,Database!$A$1:$M$1,),)</f>
        <v>98497</v>
      </c>
      <c r="C31" s="94">
        <f>(Table5351415[[#This Row],[New Orders ex Transport]]-B30)/B30</f>
        <v>-2.2589141004862238E-3</v>
      </c>
    </row>
    <row r="32" spans="1:3">
      <c r="A32" s="91">
        <v>34425</v>
      </c>
      <c r="B32" s="92">
        <f>VLOOKUP(A32,Database!A:M,MATCH($A$1,Database!$A$1:$M$1,),)</f>
        <v>101101</v>
      </c>
      <c r="C32" s="94">
        <f>(Table5351415[[#This Row],[New Orders ex Transport]]-B31)/B31</f>
        <v>2.6437353421931632E-2</v>
      </c>
    </row>
    <row r="33" spans="1:3">
      <c r="A33" s="91">
        <v>34455</v>
      </c>
      <c r="B33" s="92">
        <f>VLOOKUP(A33,Database!A:M,MATCH($A$1,Database!$A$1:$M$1,),)</f>
        <v>102623</v>
      </c>
      <c r="C33" s="94">
        <f>(Table5351415[[#This Row],[New Orders ex Transport]]-B32)/B32</f>
        <v>1.5054252678015054E-2</v>
      </c>
    </row>
    <row r="34" spans="1:3">
      <c r="A34" s="91">
        <v>34486</v>
      </c>
      <c r="B34" s="92">
        <f>VLOOKUP(A34,Database!A:M,MATCH($A$1,Database!$A$1:$M$1,),)</f>
        <v>104475</v>
      </c>
      <c r="C34" s="94">
        <f>(Table5351415[[#This Row],[New Orders ex Transport]]-B33)/B33</f>
        <v>1.8046636718864192E-2</v>
      </c>
    </row>
    <row r="35" spans="1:3">
      <c r="A35" s="91">
        <v>34516</v>
      </c>
      <c r="B35" s="92">
        <f>VLOOKUP(A35,Database!A:M,MATCH($A$1,Database!$A$1:$M$1,),)</f>
        <v>104841</v>
      </c>
      <c r="C35" s="94">
        <f>(Table5351415[[#This Row],[New Orders ex Transport]]-B34)/B34</f>
        <v>3.5032304379038048E-3</v>
      </c>
    </row>
    <row r="36" spans="1:3">
      <c r="A36" s="91">
        <v>34547</v>
      </c>
      <c r="B36" s="92">
        <f>VLOOKUP(A36,Database!A:M,MATCH($A$1,Database!$A$1:$M$1,),)</f>
        <v>103904</v>
      </c>
      <c r="C36" s="94">
        <f>(Table5351415[[#This Row],[New Orders ex Transport]]-B35)/B35</f>
        <v>-8.9373432149636115E-3</v>
      </c>
    </row>
    <row r="37" spans="1:3">
      <c r="A37" s="91">
        <v>34578</v>
      </c>
      <c r="B37" s="92">
        <f>VLOOKUP(A37,Database!A:M,MATCH($A$1,Database!$A$1:$M$1,),)</f>
        <v>104826</v>
      </c>
      <c r="C37" s="94">
        <f>(Table5351415[[#This Row],[New Orders ex Transport]]-B36)/B36</f>
        <v>8.8735756082537719E-3</v>
      </c>
    </row>
    <row r="38" spans="1:3">
      <c r="A38" s="91">
        <v>34608</v>
      </c>
      <c r="B38" s="92">
        <f>VLOOKUP(A38,Database!A:M,MATCH($A$1,Database!$A$1:$M$1,),)</f>
        <v>107955</v>
      </c>
      <c r="C38" s="94">
        <f>(Table5351415[[#This Row],[New Orders ex Transport]]-B37)/B37</f>
        <v>2.9849464827428309E-2</v>
      </c>
    </row>
    <row r="39" spans="1:3">
      <c r="A39" s="91">
        <v>34639</v>
      </c>
      <c r="B39" s="92">
        <f>VLOOKUP(A39,Database!A:M,MATCH($A$1,Database!$A$1:$M$1,),)</f>
        <v>107142</v>
      </c>
      <c r="C39" s="94">
        <f>(Table5351415[[#This Row],[New Orders ex Transport]]-B38)/B38</f>
        <v>-7.5309156593024867E-3</v>
      </c>
    </row>
    <row r="40" spans="1:3">
      <c r="A40" s="91">
        <v>34669</v>
      </c>
      <c r="B40" s="92">
        <f>VLOOKUP(A40,Database!A:M,MATCH($A$1,Database!$A$1:$M$1,),)</f>
        <v>109357</v>
      </c>
      <c r="C40" s="94">
        <f>(Table5351415[[#This Row],[New Orders ex Transport]]-B39)/B39</f>
        <v>2.0673498721323104E-2</v>
      </c>
    </row>
    <row r="41" spans="1:3">
      <c r="A41" s="91">
        <v>34700</v>
      </c>
      <c r="B41" s="92">
        <f>VLOOKUP(A41,Database!A:M,MATCH($A$1,Database!$A$1:$M$1,),)</f>
        <v>111899</v>
      </c>
      <c r="C41" s="94">
        <f>(Table5351415[[#This Row],[New Orders ex Transport]]-B40)/B40</f>
        <v>2.3244968314785518E-2</v>
      </c>
    </row>
    <row r="42" spans="1:3">
      <c r="A42" s="91">
        <v>34731</v>
      </c>
      <c r="B42" s="92">
        <f>VLOOKUP(A42,Database!A:M,MATCH($A$1,Database!$A$1:$M$1,),)</f>
        <v>109484</v>
      </c>
      <c r="C42" s="94">
        <f>(Table5351415[[#This Row],[New Orders ex Transport]]-B41)/B41</f>
        <v>-2.1581962305293165E-2</v>
      </c>
    </row>
    <row r="43" spans="1:3">
      <c r="A43" s="91">
        <v>34759</v>
      </c>
      <c r="B43" s="92">
        <f>VLOOKUP(A43,Database!A:M,MATCH($A$1,Database!$A$1:$M$1,),)</f>
        <v>109712</v>
      </c>
      <c r="C43" s="94">
        <f>(Table5351415[[#This Row],[New Orders ex Transport]]-B42)/B42</f>
        <v>2.0824960724854773E-3</v>
      </c>
    </row>
    <row r="44" spans="1:3">
      <c r="A44" s="91">
        <v>34790</v>
      </c>
      <c r="B44" s="92">
        <f>VLOOKUP(A44,Database!A:M,MATCH($A$1,Database!$A$1:$M$1,),)</f>
        <v>110480</v>
      </c>
      <c r="C44" s="94">
        <f>(Table5351415[[#This Row],[New Orders ex Transport]]-B43)/B43</f>
        <v>7.0001458363715911E-3</v>
      </c>
    </row>
    <row r="45" spans="1:3">
      <c r="A45" s="91">
        <v>34820</v>
      </c>
      <c r="B45" s="92">
        <f>VLOOKUP(A45,Database!A:M,MATCH($A$1,Database!$A$1:$M$1,),)</f>
        <v>111794</v>
      </c>
      <c r="C45" s="94">
        <f>(Table5351415[[#This Row],[New Orders ex Transport]]-B44)/B44</f>
        <v>1.1893555394641564E-2</v>
      </c>
    </row>
    <row r="46" spans="1:3">
      <c r="A46" s="91">
        <v>34851</v>
      </c>
      <c r="B46" s="92">
        <f>VLOOKUP(A46,Database!A:M,MATCH($A$1,Database!$A$1:$M$1,),)</f>
        <v>109440</v>
      </c>
      <c r="C46" s="94">
        <f>(Table5351415[[#This Row],[New Orders ex Transport]]-B45)/B45</f>
        <v>-2.1056586221085211E-2</v>
      </c>
    </row>
    <row r="47" spans="1:3">
      <c r="A47" s="91">
        <v>34881</v>
      </c>
      <c r="B47" s="92">
        <f>VLOOKUP(A47,Database!A:M,MATCH($A$1,Database!$A$1:$M$1,),)</f>
        <v>108990</v>
      </c>
      <c r="C47" s="94">
        <f>(Table5351415[[#This Row],[New Orders ex Transport]]-B46)/B46</f>
        <v>-4.1118421052631577E-3</v>
      </c>
    </row>
    <row r="48" spans="1:3">
      <c r="A48" s="91">
        <v>34912</v>
      </c>
      <c r="B48" s="92">
        <f>VLOOKUP(A48,Database!A:M,MATCH($A$1,Database!$A$1:$M$1,),)</f>
        <v>112316</v>
      </c>
      <c r="C48" s="94">
        <f>(Table5351415[[#This Row],[New Orders ex Transport]]-B47)/B47</f>
        <v>3.0516561152399303E-2</v>
      </c>
    </row>
    <row r="49" spans="1:3">
      <c r="A49" s="91">
        <v>34943</v>
      </c>
      <c r="B49" s="92">
        <f>VLOOKUP(A49,Database!A:M,MATCH($A$1,Database!$A$1:$M$1,),)</f>
        <v>113019</v>
      </c>
      <c r="C49" s="94">
        <f>(Table5351415[[#This Row],[New Orders ex Transport]]-B48)/B48</f>
        <v>6.2591260372520385E-3</v>
      </c>
    </row>
    <row r="50" spans="1:3">
      <c r="A50" s="91">
        <v>34973</v>
      </c>
      <c r="B50" s="92">
        <f>VLOOKUP(A50,Database!A:M,MATCH($A$1,Database!$A$1:$M$1,),)</f>
        <v>115650</v>
      </c>
      <c r="C50" s="94">
        <f>(Table5351415[[#This Row],[New Orders ex Transport]]-B49)/B49</f>
        <v>2.3279271626894592E-2</v>
      </c>
    </row>
    <row r="51" spans="1:3">
      <c r="A51" s="91">
        <v>35004</v>
      </c>
      <c r="B51" s="92">
        <f>VLOOKUP(A51,Database!A:M,MATCH($A$1,Database!$A$1:$M$1,),)</f>
        <v>113473</v>
      </c>
      <c r="C51" s="94">
        <f>(Table5351415[[#This Row],[New Orders ex Transport]]-B50)/B50</f>
        <v>-1.882403804582793E-2</v>
      </c>
    </row>
    <row r="52" spans="1:3">
      <c r="A52" s="91">
        <v>35034</v>
      </c>
      <c r="B52" s="92">
        <f>VLOOKUP(A52,Database!A:M,MATCH($A$1,Database!$A$1:$M$1,),)</f>
        <v>116432</v>
      </c>
      <c r="C52" s="94">
        <f>(Table5351415[[#This Row],[New Orders ex Transport]]-B51)/B51</f>
        <v>2.6076687846448055E-2</v>
      </c>
    </row>
    <row r="53" spans="1:3">
      <c r="A53" s="91">
        <v>35065</v>
      </c>
      <c r="B53" s="92">
        <f>VLOOKUP(A53,Database!A:M,MATCH($A$1,Database!$A$1:$M$1,),)</f>
        <v>112070</v>
      </c>
      <c r="C53" s="94">
        <f>(Table5351415[[#This Row],[New Orders ex Transport]]-B52)/B52</f>
        <v>-3.7463927442627457E-2</v>
      </c>
    </row>
    <row r="54" spans="1:3">
      <c r="A54" s="91">
        <v>35096</v>
      </c>
      <c r="B54" s="92">
        <f>VLOOKUP(A54,Database!A:M,MATCH($A$1,Database!$A$1:$M$1,),)</f>
        <v>110398</v>
      </c>
      <c r="C54" s="94">
        <f>(Table5351415[[#This Row],[New Orders ex Transport]]-B53)/B53</f>
        <v>-1.4919246899259392E-2</v>
      </c>
    </row>
    <row r="55" spans="1:3">
      <c r="A55" s="91">
        <v>35125</v>
      </c>
      <c r="B55" s="92">
        <f>VLOOKUP(A55,Database!A:M,MATCH($A$1,Database!$A$1:$M$1,),)</f>
        <v>114653</v>
      </c>
      <c r="C55" s="94">
        <f>(Table5351415[[#This Row],[New Orders ex Transport]]-B54)/B54</f>
        <v>3.8542364897914815E-2</v>
      </c>
    </row>
    <row r="56" spans="1:3">
      <c r="A56" s="91">
        <v>35156</v>
      </c>
      <c r="B56" s="92">
        <f>VLOOKUP(A56,Database!A:M,MATCH($A$1,Database!$A$1:$M$1,),)</f>
        <v>113802</v>
      </c>
      <c r="C56" s="94">
        <f>(Table5351415[[#This Row],[New Orders ex Transport]]-B55)/B55</f>
        <v>-7.4223962739745145E-3</v>
      </c>
    </row>
    <row r="57" spans="1:3">
      <c r="A57" s="91">
        <v>35186</v>
      </c>
      <c r="B57" s="92">
        <f>VLOOKUP(A57,Database!A:M,MATCH($A$1,Database!$A$1:$M$1,),)</f>
        <v>117175</v>
      </c>
      <c r="C57" s="94">
        <f>(Table5351415[[#This Row],[New Orders ex Transport]]-B56)/B56</f>
        <v>2.9639197905133478E-2</v>
      </c>
    </row>
    <row r="58" spans="1:3">
      <c r="A58" s="91">
        <v>35217</v>
      </c>
      <c r="B58" s="92">
        <f>VLOOKUP(A58,Database!A:M,MATCH($A$1,Database!$A$1:$M$1,),)</f>
        <v>117889</v>
      </c>
      <c r="C58" s="94">
        <f>(Table5351415[[#This Row],[New Orders ex Transport]]-B57)/B57</f>
        <v>6.0934499679965864E-3</v>
      </c>
    </row>
    <row r="59" spans="1:3">
      <c r="A59" s="91">
        <v>35247</v>
      </c>
      <c r="B59" s="92">
        <f>VLOOKUP(A59,Database!A:M,MATCH($A$1,Database!$A$1:$M$1,),)</f>
        <v>116598</v>
      </c>
      <c r="C59" s="94">
        <f>(Table5351415[[#This Row],[New Orders ex Transport]]-B58)/B58</f>
        <v>-1.0950979311046832E-2</v>
      </c>
    </row>
    <row r="60" spans="1:3">
      <c r="A60" s="91">
        <v>35278</v>
      </c>
      <c r="B60" s="92">
        <f>VLOOKUP(A60,Database!A:M,MATCH($A$1,Database!$A$1:$M$1,),)</f>
        <v>117708</v>
      </c>
      <c r="C60" s="94">
        <f>(Table5351415[[#This Row],[New Orders ex Transport]]-B59)/B59</f>
        <v>9.5198888488653328E-3</v>
      </c>
    </row>
    <row r="61" spans="1:3">
      <c r="A61" s="91">
        <v>35309</v>
      </c>
      <c r="B61" s="92">
        <f>VLOOKUP(A61,Database!A:M,MATCH($A$1,Database!$A$1:$M$1,),)</f>
        <v>116336</v>
      </c>
      <c r="C61" s="94">
        <f>(Table5351415[[#This Row],[New Orders ex Transport]]-B60)/B60</f>
        <v>-1.1655962211574404E-2</v>
      </c>
    </row>
    <row r="62" spans="1:3">
      <c r="A62" s="91">
        <v>35339</v>
      </c>
      <c r="B62" s="92">
        <f>VLOOKUP(A62,Database!A:M,MATCH($A$1,Database!$A$1:$M$1,),)</f>
        <v>119499</v>
      </c>
      <c r="C62" s="94">
        <f>(Table5351415[[#This Row],[New Orders ex Transport]]-B61)/B61</f>
        <v>2.7188488516022555E-2</v>
      </c>
    </row>
    <row r="63" spans="1:3">
      <c r="A63" s="91">
        <v>35370</v>
      </c>
      <c r="B63" s="92">
        <f>VLOOKUP(A63,Database!A:M,MATCH($A$1,Database!$A$1:$M$1,),)</f>
        <v>119569</v>
      </c>
      <c r="C63" s="94">
        <f>(Table5351415[[#This Row],[New Orders ex Transport]]-B62)/B62</f>
        <v>5.8577896049339328E-4</v>
      </c>
    </row>
    <row r="64" spans="1:3">
      <c r="A64" s="91">
        <v>35400</v>
      </c>
      <c r="B64" s="92">
        <f>VLOOKUP(A64,Database!A:M,MATCH($A$1,Database!$A$1:$M$1,),)</f>
        <v>116695</v>
      </c>
      <c r="C64" s="94">
        <f>(Table5351415[[#This Row],[New Orders ex Transport]]-B63)/B63</f>
        <v>-2.4036330486999137E-2</v>
      </c>
    </row>
    <row r="65" spans="1:3">
      <c r="A65" s="91">
        <v>35431</v>
      </c>
      <c r="B65" s="92">
        <f>VLOOKUP(A65,Database!A:M,MATCH($A$1,Database!$A$1:$M$1,),)</f>
        <v>118690</v>
      </c>
      <c r="C65" s="94">
        <f>(Table5351415[[#This Row],[New Orders ex Transport]]-B64)/B64</f>
        <v>1.7095848151163291E-2</v>
      </c>
    </row>
    <row r="66" spans="1:3">
      <c r="A66" s="91">
        <v>35462</v>
      </c>
      <c r="B66" s="92">
        <f>VLOOKUP(A66,Database!A:M,MATCH($A$1,Database!$A$1:$M$1,),)</f>
        <v>123490</v>
      </c>
      <c r="C66" s="94">
        <f>(Table5351415[[#This Row],[New Orders ex Transport]]-B65)/B65</f>
        <v>4.0441486224618753E-2</v>
      </c>
    </row>
    <row r="67" spans="1:3">
      <c r="A67" s="91">
        <v>35490</v>
      </c>
      <c r="B67" s="92">
        <f>VLOOKUP(A67,Database!A:M,MATCH($A$1,Database!$A$1:$M$1,),)</f>
        <v>123185</v>
      </c>
      <c r="C67" s="94">
        <f>(Table5351415[[#This Row],[New Orders ex Transport]]-B66)/B66</f>
        <v>-2.469835614219775E-3</v>
      </c>
    </row>
    <row r="68" spans="1:3">
      <c r="A68" s="91">
        <v>35521</v>
      </c>
      <c r="B68" s="92">
        <f>VLOOKUP(A68,Database!A:M,MATCH($A$1,Database!$A$1:$M$1,),)</f>
        <v>125909</v>
      </c>
      <c r="C68" s="94">
        <f>(Table5351415[[#This Row],[New Orders ex Transport]]-B67)/B67</f>
        <v>2.2113081949912732E-2</v>
      </c>
    </row>
    <row r="69" spans="1:3">
      <c r="A69" s="91">
        <v>35551</v>
      </c>
      <c r="B69" s="92">
        <f>VLOOKUP(A69,Database!A:M,MATCH($A$1,Database!$A$1:$M$1,),)</f>
        <v>122860</v>
      </c>
      <c r="C69" s="94">
        <f>(Table5351415[[#This Row],[New Orders ex Transport]]-B68)/B68</f>
        <v>-2.4215901960940044E-2</v>
      </c>
    </row>
    <row r="70" spans="1:3">
      <c r="A70" s="91">
        <v>35582</v>
      </c>
      <c r="B70" s="92">
        <f>VLOOKUP(A70,Database!A:M,MATCH($A$1,Database!$A$1:$M$1,),)</f>
        <v>126457</v>
      </c>
      <c r="C70" s="94">
        <f>(Table5351415[[#This Row],[New Orders ex Transport]]-B69)/B69</f>
        <v>2.9277226111020675E-2</v>
      </c>
    </row>
    <row r="71" spans="1:3">
      <c r="A71" s="91">
        <v>35612</v>
      </c>
      <c r="B71" s="92">
        <f>VLOOKUP(A71,Database!A:M,MATCH($A$1,Database!$A$1:$M$1,),)</f>
        <v>128937</v>
      </c>
      <c r="C71" s="94">
        <f>(Table5351415[[#This Row],[New Orders ex Transport]]-B70)/B70</f>
        <v>1.9611409411894952E-2</v>
      </c>
    </row>
    <row r="72" spans="1:3">
      <c r="A72" s="91">
        <v>35643</v>
      </c>
      <c r="B72" s="92">
        <f>VLOOKUP(A72,Database!A:M,MATCH($A$1,Database!$A$1:$M$1,),)</f>
        <v>127817</v>
      </c>
      <c r="C72" s="94">
        <f>(Table5351415[[#This Row],[New Orders ex Transport]]-B71)/B71</f>
        <v>-8.6864127442084112E-3</v>
      </c>
    </row>
    <row r="73" spans="1:3">
      <c r="A73" s="91">
        <v>35674</v>
      </c>
      <c r="B73" s="92">
        <f>VLOOKUP(A73,Database!A:M,MATCH($A$1,Database!$A$1:$M$1,),)</f>
        <v>130673</v>
      </c>
      <c r="C73" s="94">
        <f>(Table5351415[[#This Row],[New Orders ex Transport]]-B72)/B72</f>
        <v>2.2344445574532339E-2</v>
      </c>
    </row>
    <row r="74" spans="1:3">
      <c r="A74" s="91">
        <v>35704</v>
      </c>
      <c r="B74" s="92">
        <f>VLOOKUP(A74,Database!A:M,MATCH($A$1,Database!$A$1:$M$1,),)</f>
        <v>127387</v>
      </c>
      <c r="C74" s="94">
        <f>(Table5351415[[#This Row],[New Orders ex Transport]]-B73)/B73</f>
        <v>-2.5146740336565318E-2</v>
      </c>
    </row>
    <row r="75" spans="1:3">
      <c r="A75" s="91">
        <v>35735</v>
      </c>
      <c r="B75" s="92">
        <f>VLOOKUP(A75,Database!A:M,MATCH($A$1,Database!$A$1:$M$1,),)</f>
        <v>128586</v>
      </c>
      <c r="C75" s="94">
        <f>(Table5351415[[#This Row],[New Orders ex Transport]]-B74)/B74</f>
        <v>9.4122634177741839E-3</v>
      </c>
    </row>
    <row r="76" spans="1:3">
      <c r="A76" s="91">
        <v>35765</v>
      </c>
      <c r="B76" s="92">
        <f>VLOOKUP(A76,Database!A:M,MATCH($A$1,Database!$A$1:$M$1,),)</f>
        <v>128191</v>
      </c>
      <c r="C76" s="94">
        <f>(Table5351415[[#This Row],[New Orders ex Transport]]-B75)/B75</f>
        <v>-3.0718740764935529E-3</v>
      </c>
    </row>
    <row r="77" spans="1:3">
      <c r="A77" s="91">
        <v>35796</v>
      </c>
      <c r="B77" s="92">
        <f>VLOOKUP(A77,Database!A:M,MATCH($A$1,Database!$A$1:$M$1,),)</f>
        <v>127262</v>
      </c>
      <c r="C77" s="94">
        <f>(Table5351415[[#This Row],[New Orders ex Transport]]-B76)/B76</f>
        <v>-7.2469986192478415E-3</v>
      </c>
    </row>
    <row r="78" spans="1:3">
      <c r="A78" s="91">
        <v>35827</v>
      </c>
      <c r="B78" s="92">
        <f>VLOOKUP(A78,Database!A:M,MATCH($A$1,Database!$A$1:$M$1,),)</f>
        <v>130630</v>
      </c>
      <c r="C78" s="94">
        <f>(Table5351415[[#This Row],[New Orders ex Transport]]-B77)/B77</f>
        <v>2.6465087771683615E-2</v>
      </c>
    </row>
    <row r="79" spans="1:3">
      <c r="A79" s="91">
        <v>35855</v>
      </c>
      <c r="B79" s="92">
        <f>VLOOKUP(A79,Database!A:M,MATCH($A$1,Database!$A$1:$M$1,),)</f>
        <v>128771</v>
      </c>
      <c r="C79" s="94">
        <f>(Table5351415[[#This Row],[New Orders ex Transport]]-B78)/B78</f>
        <v>-1.4231034218785884E-2</v>
      </c>
    </row>
    <row r="80" spans="1:3">
      <c r="A80" s="91">
        <v>35886</v>
      </c>
      <c r="B80" s="92">
        <f>VLOOKUP(A80,Database!A:M,MATCH($A$1,Database!$A$1:$M$1,),)</f>
        <v>126519</v>
      </c>
      <c r="C80" s="94">
        <f>(Table5351415[[#This Row],[New Orders ex Transport]]-B79)/B79</f>
        <v>-1.7488409657453931E-2</v>
      </c>
    </row>
    <row r="81" spans="1:3">
      <c r="A81" s="91">
        <v>35916</v>
      </c>
      <c r="B81" s="92">
        <f>VLOOKUP(A81,Database!A:M,MATCH($A$1,Database!$A$1:$M$1,),)</f>
        <v>129740</v>
      </c>
      <c r="C81" s="94">
        <f>(Table5351415[[#This Row],[New Orders ex Transport]]-B80)/B80</f>
        <v>2.5458626767521083E-2</v>
      </c>
    </row>
    <row r="82" spans="1:3">
      <c r="A82" s="91">
        <v>35947</v>
      </c>
      <c r="B82" s="92">
        <f>VLOOKUP(A82,Database!A:M,MATCH($A$1,Database!$A$1:$M$1,),)</f>
        <v>130048</v>
      </c>
      <c r="C82" s="94">
        <f>(Table5351415[[#This Row],[New Orders ex Transport]]-B81)/B81</f>
        <v>2.3739787266841375E-3</v>
      </c>
    </row>
    <row r="83" spans="1:3">
      <c r="A83" s="91">
        <v>35977</v>
      </c>
      <c r="B83" s="92">
        <f>VLOOKUP(A83,Database!A:M,MATCH($A$1,Database!$A$1:$M$1,),)</f>
        <v>126102</v>
      </c>
      <c r="C83" s="94">
        <f>(Table5351415[[#This Row],[New Orders ex Transport]]-B82)/B82</f>
        <v>-3.0342642716535435E-2</v>
      </c>
    </row>
    <row r="84" spans="1:3">
      <c r="A84" s="91">
        <v>36008</v>
      </c>
      <c r="B84" s="92">
        <f>VLOOKUP(A84,Database!A:M,MATCH($A$1,Database!$A$1:$M$1,),)</f>
        <v>126589</v>
      </c>
      <c r="C84" s="94">
        <f>(Table5351415[[#This Row],[New Orders ex Transport]]-B83)/B83</f>
        <v>3.8619530221566667E-3</v>
      </c>
    </row>
    <row r="85" spans="1:3">
      <c r="A85" s="91">
        <v>36039</v>
      </c>
      <c r="B85" s="92">
        <f>VLOOKUP(A85,Database!A:M,MATCH($A$1,Database!$A$1:$M$1,),)</f>
        <v>128820</v>
      </c>
      <c r="C85" s="94">
        <f>(Table5351415[[#This Row],[New Orders ex Transport]]-B84)/B84</f>
        <v>1.7623964167502705E-2</v>
      </c>
    </row>
    <row r="86" spans="1:3">
      <c r="A86" s="91">
        <v>36069</v>
      </c>
      <c r="B86" s="92">
        <f>VLOOKUP(A86,Database!A:M,MATCH($A$1,Database!$A$1:$M$1,),)</f>
        <v>125391</v>
      </c>
      <c r="C86" s="94">
        <f>(Table5351415[[#This Row],[New Orders ex Transport]]-B85)/B85</f>
        <v>-2.6618537494177922E-2</v>
      </c>
    </row>
    <row r="87" spans="1:3">
      <c r="A87" s="91">
        <v>36100</v>
      </c>
      <c r="B87" s="92">
        <f>VLOOKUP(A87,Database!A:M,MATCH($A$1,Database!$A$1:$M$1,),)</f>
        <v>128102</v>
      </c>
      <c r="C87" s="94">
        <f>(Table5351415[[#This Row],[New Orders ex Transport]]-B86)/B86</f>
        <v>2.1620371478016764E-2</v>
      </c>
    </row>
    <row r="88" spans="1:3">
      <c r="A88" s="91">
        <v>36130</v>
      </c>
      <c r="B88" s="92">
        <f>VLOOKUP(A88,Database!A:M,MATCH($A$1,Database!$A$1:$M$1,),)</f>
        <v>130753</v>
      </c>
      <c r="C88" s="94">
        <f>(Table5351415[[#This Row],[New Orders ex Transport]]-B87)/B87</f>
        <v>2.0694446612855379E-2</v>
      </c>
    </row>
    <row r="89" spans="1:3">
      <c r="A89" s="91">
        <v>36161</v>
      </c>
      <c r="B89" s="92">
        <f>VLOOKUP(A89,Database!A:M,MATCH($A$1,Database!$A$1:$M$1,),)</f>
        <v>127125</v>
      </c>
      <c r="C89" s="94">
        <f>(Table5351415[[#This Row],[New Orders ex Transport]]-B88)/B88</f>
        <v>-2.7746973300803807E-2</v>
      </c>
    </row>
    <row r="90" spans="1:3">
      <c r="A90" s="91">
        <v>36192</v>
      </c>
      <c r="B90" s="92">
        <f>VLOOKUP(A90,Database!A:M,MATCH($A$1,Database!$A$1:$M$1,),)</f>
        <v>130143</v>
      </c>
      <c r="C90" s="94">
        <f>(Table5351415[[#This Row],[New Orders ex Transport]]-B89)/B89</f>
        <v>2.3740412979351033E-2</v>
      </c>
    </row>
    <row r="91" spans="1:3">
      <c r="A91" s="91">
        <v>36220</v>
      </c>
      <c r="B91" s="92">
        <f>VLOOKUP(A91,Database!A:M,MATCH($A$1,Database!$A$1:$M$1,),)</f>
        <v>129497</v>
      </c>
      <c r="C91" s="94">
        <f>(Table5351415[[#This Row],[New Orders ex Transport]]-B90)/B90</f>
        <v>-4.9637706215470674E-3</v>
      </c>
    </row>
    <row r="92" spans="1:3">
      <c r="A92" s="91">
        <v>36251</v>
      </c>
      <c r="B92" s="92">
        <f>VLOOKUP(A92,Database!A:M,MATCH($A$1,Database!$A$1:$M$1,),)</f>
        <v>130468</v>
      </c>
      <c r="C92" s="94">
        <f>(Table5351415[[#This Row],[New Orders ex Transport]]-B91)/B91</f>
        <v>7.4982432025452331E-3</v>
      </c>
    </row>
    <row r="93" spans="1:3">
      <c r="A93" s="91">
        <v>36281</v>
      </c>
      <c r="B93" s="92">
        <f>VLOOKUP(A93,Database!A:M,MATCH($A$1,Database!$A$1:$M$1,),)</f>
        <v>130627</v>
      </c>
      <c r="C93" s="94">
        <f>(Table5351415[[#This Row],[New Orders ex Transport]]-B92)/B92</f>
        <v>1.2186896403715854E-3</v>
      </c>
    </row>
    <row r="94" spans="1:3">
      <c r="A94" s="91">
        <v>36312</v>
      </c>
      <c r="B94" s="92">
        <f>VLOOKUP(A94,Database!A:M,MATCH($A$1,Database!$A$1:$M$1,),)</f>
        <v>130642</v>
      </c>
      <c r="C94" s="94">
        <f>(Table5351415[[#This Row],[New Orders ex Transport]]-B93)/B93</f>
        <v>1.148307777105805E-4</v>
      </c>
    </row>
    <row r="95" spans="1:3">
      <c r="A95" s="91">
        <v>36342</v>
      </c>
      <c r="B95" s="92">
        <f>VLOOKUP(A95,Database!A:M,MATCH($A$1,Database!$A$1:$M$1,),)</f>
        <v>134206</v>
      </c>
      <c r="C95" s="94">
        <f>(Table5351415[[#This Row],[New Orders ex Transport]]-B94)/B94</f>
        <v>2.7280660124615361E-2</v>
      </c>
    </row>
    <row r="96" spans="1:3">
      <c r="A96" s="91">
        <v>36373</v>
      </c>
      <c r="B96" s="92">
        <f>VLOOKUP(A96,Database!A:M,MATCH($A$1,Database!$A$1:$M$1,),)</f>
        <v>134061</v>
      </c>
      <c r="C96" s="94">
        <f>(Table5351415[[#This Row],[New Orders ex Transport]]-B95)/B95</f>
        <v>-1.0804285948467281E-3</v>
      </c>
    </row>
    <row r="97" spans="1:3">
      <c r="A97" s="91">
        <v>36404</v>
      </c>
      <c r="B97" s="92">
        <f>VLOOKUP(A97,Database!A:M,MATCH($A$1,Database!$A$1:$M$1,),)</f>
        <v>135632</v>
      </c>
      <c r="C97" s="94">
        <f>(Table5351415[[#This Row],[New Orders ex Transport]]-B96)/B96</f>
        <v>1.1718546035013912E-2</v>
      </c>
    </row>
    <row r="98" spans="1:3">
      <c r="A98" s="91">
        <v>36434</v>
      </c>
      <c r="B98" s="92">
        <f>VLOOKUP(A98,Database!A:M,MATCH($A$1,Database!$A$1:$M$1,),)</f>
        <v>137171</v>
      </c>
      <c r="C98" s="94">
        <f>(Table5351415[[#This Row],[New Orders ex Transport]]-B97)/B97</f>
        <v>1.134687979237938E-2</v>
      </c>
    </row>
    <row r="99" spans="1:3">
      <c r="A99" s="91">
        <v>36465</v>
      </c>
      <c r="B99" s="92">
        <f>VLOOKUP(A99,Database!A:M,MATCH($A$1,Database!$A$1:$M$1,),)</f>
        <v>134658</v>
      </c>
      <c r="C99" s="94">
        <f>(Table5351415[[#This Row],[New Orders ex Transport]]-B98)/B98</f>
        <v>-1.8320198875855682E-2</v>
      </c>
    </row>
    <row r="100" spans="1:3">
      <c r="A100" s="91">
        <v>36495</v>
      </c>
      <c r="B100" s="92">
        <f>VLOOKUP(A100,Database!A:M,MATCH($A$1,Database!$A$1:$M$1,),)</f>
        <v>139078</v>
      </c>
      <c r="C100" s="94">
        <f>(Table5351415[[#This Row],[New Orders ex Transport]]-B99)/B99</f>
        <v>3.2823894607078671E-2</v>
      </c>
    </row>
    <row r="101" spans="1:3">
      <c r="A101" s="91">
        <v>36526</v>
      </c>
      <c r="B101" s="92">
        <f>VLOOKUP(A101,Database!A:M,MATCH($A$1,Database!$A$1:$M$1,),)</f>
        <v>139613</v>
      </c>
      <c r="C101" s="94">
        <f>(Table5351415[[#This Row],[New Orders ex Transport]]-B100)/B100</f>
        <v>3.8467622485224119E-3</v>
      </c>
    </row>
    <row r="102" spans="1:3">
      <c r="A102" s="91">
        <v>36557</v>
      </c>
      <c r="B102" s="92">
        <f>VLOOKUP(A102,Database!A:M,MATCH($A$1,Database!$A$1:$M$1,),)</f>
        <v>132425</v>
      </c>
      <c r="C102" s="94">
        <f>(Table5351415[[#This Row],[New Orders ex Transport]]-B101)/B101</f>
        <v>-5.1485176881809001E-2</v>
      </c>
    </row>
    <row r="103" spans="1:3">
      <c r="A103" s="91">
        <v>36586</v>
      </c>
      <c r="B103" s="92">
        <f>VLOOKUP(A103,Database!A:M,MATCH($A$1,Database!$A$1:$M$1,),)</f>
        <v>139841</v>
      </c>
      <c r="C103" s="94">
        <f>(Table5351415[[#This Row],[New Orders ex Transport]]-B102)/B102</f>
        <v>5.6001510288842739E-2</v>
      </c>
    </row>
    <row r="104" spans="1:3">
      <c r="A104" s="91">
        <v>36617</v>
      </c>
      <c r="B104" s="92">
        <f>VLOOKUP(A104,Database!A:M,MATCH($A$1,Database!$A$1:$M$1,),)</f>
        <v>141338</v>
      </c>
      <c r="C104" s="94">
        <f>(Table5351415[[#This Row],[New Orders ex Transport]]-B103)/B103</f>
        <v>1.0705014981300191E-2</v>
      </c>
    </row>
    <row r="105" spans="1:3">
      <c r="A105" s="91">
        <v>36647</v>
      </c>
      <c r="B105" s="92">
        <f>VLOOKUP(A105,Database!A:M,MATCH($A$1,Database!$A$1:$M$1,),)</f>
        <v>137890</v>
      </c>
      <c r="C105" s="94">
        <f>(Table5351415[[#This Row],[New Orders ex Transport]]-B104)/B104</f>
        <v>-2.4395420905913484E-2</v>
      </c>
    </row>
    <row r="106" spans="1:3">
      <c r="A106" s="91">
        <v>36678</v>
      </c>
      <c r="B106" s="92">
        <f>VLOOKUP(A106,Database!A:M,MATCH($A$1,Database!$A$1:$M$1,),)</f>
        <v>143496</v>
      </c>
      <c r="C106" s="94">
        <f>(Table5351415[[#This Row],[New Orders ex Transport]]-B105)/B105</f>
        <v>4.0655595039524262E-2</v>
      </c>
    </row>
    <row r="107" spans="1:3">
      <c r="A107" s="91">
        <v>36708</v>
      </c>
      <c r="B107" s="92">
        <f>VLOOKUP(A107,Database!A:M,MATCH($A$1,Database!$A$1:$M$1,),)</f>
        <v>137968</v>
      </c>
      <c r="C107" s="94">
        <f>(Table5351415[[#This Row],[New Orders ex Transport]]-B106)/B106</f>
        <v>-3.8523721915593466E-2</v>
      </c>
    </row>
    <row r="108" spans="1:3">
      <c r="A108" s="91">
        <v>36739</v>
      </c>
      <c r="B108" s="92">
        <f>VLOOKUP(A108,Database!A:M,MATCH($A$1,Database!$A$1:$M$1,),)</f>
        <v>138633</v>
      </c>
      <c r="C108" s="94">
        <f>(Table5351415[[#This Row],[New Orders ex Transport]]-B107)/B107</f>
        <v>4.819958251188681E-3</v>
      </c>
    </row>
    <row r="109" spans="1:3">
      <c r="A109" s="91">
        <v>36770</v>
      </c>
      <c r="B109" s="92">
        <f>VLOOKUP(A109,Database!A:M,MATCH($A$1,Database!$A$1:$M$1,),)</f>
        <v>141463</v>
      </c>
      <c r="C109" s="94">
        <f>(Table5351415[[#This Row],[New Orders ex Transport]]-B108)/B108</f>
        <v>2.0413610035128722E-2</v>
      </c>
    </row>
    <row r="110" spans="1:3">
      <c r="A110" s="91">
        <v>36800</v>
      </c>
      <c r="B110" s="92">
        <f>VLOOKUP(A110,Database!A:M,MATCH($A$1,Database!$A$1:$M$1,),)</f>
        <v>137264</v>
      </c>
      <c r="C110" s="94">
        <f>(Table5351415[[#This Row],[New Orders ex Transport]]-B109)/B109</f>
        <v>-2.9682673207835266E-2</v>
      </c>
    </row>
    <row r="111" spans="1:3">
      <c r="A111" s="91">
        <v>36831</v>
      </c>
      <c r="B111" s="92">
        <f>VLOOKUP(A111,Database!A:M,MATCH($A$1,Database!$A$1:$M$1,),)</f>
        <v>136045</v>
      </c>
      <c r="C111" s="94">
        <f>(Table5351415[[#This Row],[New Orders ex Transport]]-B110)/B110</f>
        <v>-8.8806970509383385E-3</v>
      </c>
    </row>
    <row r="112" spans="1:3">
      <c r="A112" s="91">
        <v>36861</v>
      </c>
      <c r="B112" s="92">
        <f>VLOOKUP(A112,Database!A:M,MATCH($A$1,Database!$A$1:$M$1,),)</f>
        <v>135323</v>
      </c>
      <c r="C112" s="94">
        <f>(Table5351415[[#This Row],[New Orders ex Transport]]-B111)/B111</f>
        <v>-5.3070675144253742E-3</v>
      </c>
    </row>
    <row r="113" spans="1:3">
      <c r="A113" s="91">
        <v>36892</v>
      </c>
      <c r="B113" s="92">
        <f>VLOOKUP(A113,Database!A:M,MATCH($A$1,Database!$A$1:$M$1,),)</f>
        <v>131646</v>
      </c>
      <c r="C113" s="94">
        <f>(Table5351415[[#This Row],[New Orders ex Transport]]-B112)/B112</f>
        <v>-2.7172025450219104E-2</v>
      </c>
    </row>
    <row r="114" spans="1:3">
      <c r="A114" s="91">
        <v>36923</v>
      </c>
      <c r="B114" s="92">
        <f>VLOOKUP(A114,Database!A:M,MATCH($A$1,Database!$A$1:$M$1,),)</f>
        <v>131335</v>
      </c>
      <c r="C114" s="94">
        <f>(Table5351415[[#This Row],[New Orders ex Transport]]-B113)/B113</f>
        <v>-2.362396122935752E-3</v>
      </c>
    </row>
    <row r="115" spans="1:3">
      <c r="A115" s="91">
        <v>36951</v>
      </c>
      <c r="B115" s="92">
        <f>VLOOKUP(A115,Database!A:M,MATCH($A$1,Database!$A$1:$M$1,),)</f>
        <v>125568</v>
      </c>
      <c r="C115" s="94">
        <f>(Table5351415[[#This Row],[New Orders ex Transport]]-B114)/B114</f>
        <v>-4.3910610271443253E-2</v>
      </c>
    </row>
    <row r="116" spans="1:3">
      <c r="A116" s="91">
        <v>36982</v>
      </c>
      <c r="B116" s="92">
        <f>VLOOKUP(A116,Database!A:M,MATCH($A$1,Database!$A$1:$M$1,),)</f>
        <v>120800</v>
      </c>
      <c r="C116" s="94">
        <f>(Table5351415[[#This Row],[New Orders ex Transport]]-B115)/B115</f>
        <v>-3.7971457696228339E-2</v>
      </c>
    </row>
    <row r="117" spans="1:3">
      <c r="A117" s="91">
        <v>37012</v>
      </c>
      <c r="B117" s="92">
        <f>VLOOKUP(A117,Database!A:M,MATCH($A$1,Database!$A$1:$M$1,),)</f>
        <v>126158</v>
      </c>
      <c r="C117" s="94">
        <f>(Table5351415[[#This Row],[New Orders ex Transport]]-B116)/B116</f>
        <v>4.4354304635761586E-2</v>
      </c>
    </row>
    <row r="118" spans="1:3">
      <c r="A118" s="91">
        <v>37043</v>
      </c>
      <c r="B118" s="92">
        <f>VLOOKUP(A118,Database!A:M,MATCH($A$1,Database!$A$1:$M$1,),)</f>
        <v>125138</v>
      </c>
      <c r="C118" s="94">
        <f>(Table5351415[[#This Row],[New Orders ex Transport]]-B117)/B117</f>
        <v>-8.0850996369631733E-3</v>
      </c>
    </row>
    <row r="119" spans="1:3">
      <c r="A119" s="91">
        <v>37073</v>
      </c>
      <c r="B119" s="92">
        <f>VLOOKUP(A119,Database!A:M,MATCH($A$1,Database!$A$1:$M$1,),)</f>
        <v>121761</v>
      </c>
      <c r="C119" s="94">
        <f>(Table5351415[[#This Row],[New Orders ex Transport]]-B118)/B118</f>
        <v>-2.6986207227221146E-2</v>
      </c>
    </row>
    <row r="120" spans="1:3">
      <c r="A120" s="91">
        <v>37104</v>
      </c>
      <c r="B120" s="92">
        <f>VLOOKUP(A120,Database!A:M,MATCH($A$1,Database!$A$1:$M$1,),)</f>
        <v>122061</v>
      </c>
      <c r="C120" s="94">
        <f>(Table5351415[[#This Row],[New Orders ex Transport]]-B119)/B119</f>
        <v>2.4638431024712345E-3</v>
      </c>
    </row>
    <row r="121" spans="1:3">
      <c r="A121" s="91">
        <v>37135</v>
      </c>
      <c r="B121" s="92">
        <f>VLOOKUP(A121,Database!A:M,MATCH($A$1,Database!$A$1:$M$1,),)</f>
        <v>118407</v>
      </c>
      <c r="C121" s="94">
        <f>(Table5351415[[#This Row],[New Orders ex Transport]]-B120)/B120</f>
        <v>-2.993585174625802E-2</v>
      </c>
    </row>
    <row r="122" spans="1:3">
      <c r="A122" s="91">
        <v>37165</v>
      </c>
      <c r="B122" s="92">
        <f>VLOOKUP(A122,Database!A:M,MATCH($A$1,Database!$A$1:$M$1,),)</f>
        <v>115125</v>
      </c>
      <c r="C122" s="94">
        <f>(Table5351415[[#This Row],[New Orders ex Transport]]-B121)/B121</f>
        <v>-2.7717955864095874E-2</v>
      </c>
    </row>
    <row r="123" spans="1:3">
      <c r="A123" s="91">
        <v>37196</v>
      </c>
      <c r="B123" s="92">
        <f>VLOOKUP(A123,Database!A:M,MATCH($A$1,Database!$A$1:$M$1,),)</f>
        <v>117164</v>
      </c>
      <c r="C123" s="94">
        <f>(Table5351415[[#This Row],[New Orders ex Transport]]-B122)/B122</f>
        <v>1.7711183496199785E-2</v>
      </c>
    </row>
    <row r="124" spans="1:3">
      <c r="A124" s="91">
        <v>37226</v>
      </c>
      <c r="B124" s="92">
        <f>VLOOKUP(A124,Database!A:M,MATCH($A$1,Database!$A$1:$M$1,),)</f>
        <v>118387</v>
      </c>
      <c r="C124" s="94">
        <f>(Table5351415[[#This Row],[New Orders ex Transport]]-B123)/B123</f>
        <v>1.0438359905773104E-2</v>
      </c>
    </row>
    <row r="125" spans="1:3">
      <c r="A125" s="91">
        <v>37257</v>
      </c>
      <c r="B125" s="92">
        <f>VLOOKUP(A125,Database!A:M,MATCH($A$1,Database!$A$1:$M$1,),)</f>
        <v>113631</v>
      </c>
      <c r="C125" s="94">
        <f>(Table5351415[[#This Row],[New Orders ex Transport]]-B124)/B124</f>
        <v>-4.0173329841958996E-2</v>
      </c>
    </row>
    <row r="126" spans="1:3">
      <c r="A126" s="91">
        <v>37288</v>
      </c>
      <c r="B126" s="92">
        <f>VLOOKUP(A126,Database!A:M,MATCH($A$1,Database!$A$1:$M$1,),)</f>
        <v>115732</v>
      </c>
      <c r="C126" s="94">
        <f>(Table5351415[[#This Row],[New Orders ex Transport]]-B125)/B125</f>
        <v>1.8489672712552033E-2</v>
      </c>
    </row>
    <row r="127" spans="1:3">
      <c r="A127" s="91">
        <v>37316</v>
      </c>
      <c r="B127" s="92">
        <f>VLOOKUP(A127,Database!A:M,MATCH($A$1,Database!$A$1:$M$1,),)</f>
        <v>114652</v>
      </c>
      <c r="C127" s="94">
        <f>(Table5351415[[#This Row],[New Orders ex Transport]]-B126)/B126</f>
        <v>-9.3319047454463767E-3</v>
      </c>
    </row>
    <row r="128" spans="1:3">
      <c r="A128" s="91">
        <v>37347</v>
      </c>
      <c r="B128" s="92">
        <f>VLOOKUP(A128,Database!A:M,MATCH($A$1,Database!$A$1:$M$1,),)</f>
        <v>118882</v>
      </c>
      <c r="C128" s="94">
        <f>(Table5351415[[#This Row],[New Orders ex Transport]]-B127)/B127</f>
        <v>3.6894253916198584E-2</v>
      </c>
    </row>
    <row r="129" spans="1:3">
      <c r="A129" s="91">
        <v>37377</v>
      </c>
      <c r="B129" s="92">
        <f>VLOOKUP(A129,Database!A:M,MATCH($A$1,Database!$A$1:$M$1,),)</f>
        <v>119944</v>
      </c>
      <c r="C129" s="94">
        <f>(Table5351415[[#This Row],[New Orders ex Transport]]-B128)/B128</f>
        <v>8.9332279066637512E-3</v>
      </c>
    </row>
    <row r="130" spans="1:3">
      <c r="A130" s="91">
        <v>37408</v>
      </c>
      <c r="B130" s="92">
        <f>VLOOKUP(A130,Database!A:M,MATCH($A$1,Database!$A$1:$M$1,),)</f>
        <v>117193</v>
      </c>
      <c r="C130" s="94">
        <f>(Table5351415[[#This Row],[New Orders ex Transport]]-B129)/B129</f>
        <v>-2.2935703328219835E-2</v>
      </c>
    </row>
    <row r="131" spans="1:3">
      <c r="A131" s="91">
        <v>37438</v>
      </c>
      <c r="B131" s="92">
        <f>VLOOKUP(A131,Database!A:M,MATCH($A$1,Database!$A$1:$M$1,),)</f>
        <v>116993</v>
      </c>
      <c r="C131" s="94">
        <f>(Table5351415[[#This Row],[New Orders ex Transport]]-B130)/B130</f>
        <v>-1.7065865708702737E-3</v>
      </c>
    </row>
    <row r="132" spans="1:3">
      <c r="A132" s="91">
        <v>37469</v>
      </c>
      <c r="B132" s="92">
        <f>VLOOKUP(A132,Database!A:M,MATCH($A$1,Database!$A$1:$M$1,),)</f>
        <v>117043</v>
      </c>
      <c r="C132" s="94">
        <f>(Table5351415[[#This Row],[New Orders ex Transport]]-B131)/B131</f>
        <v>4.2737599685451264E-4</v>
      </c>
    </row>
    <row r="133" spans="1:3">
      <c r="A133" s="91">
        <v>37500</v>
      </c>
      <c r="B133" s="92">
        <f>VLOOKUP(A133,Database!A:M,MATCH($A$1,Database!$A$1:$M$1,),)</f>
        <v>116461</v>
      </c>
      <c r="C133" s="94">
        <f>(Table5351415[[#This Row],[New Orders ex Transport]]-B132)/B132</f>
        <v>-4.972531462795725E-3</v>
      </c>
    </row>
    <row r="134" spans="1:3">
      <c r="A134" s="91">
        <v>37530</v>
      </c>
      <c r="B134" s="92">
        <f>VLOOKUP(A134,Database!A:M,MATCH($A$1,Database!$A$1:$M$1,),)</f>
        <v>116624</v>
      </c>
      <c r="C134" s="94">
        <f>(Table5351415[[#This Row],[New Orders ex Transport]]-B133)/B133</f>
        <v>1.3996101699281305E-3</v>
      </c>
    </row>
    <row r="135" spans="1:3">
      <c r="A135" s="91">
        <v>37561</v>
      </c>
      <c r="B135" s="92">
        <f>VLOOKUP(A135,Database!A:M,MATCH($A$1,Database!$A$1:$M$1,),)</f>
        <v>116947</v>
      </c>
      <c r="C135" s="94">
        <f>(Table5351415[[#This Row],[New Orders ex Transport]]-B134)/B134</f>
        <v>2.7695843051173002E-3</v>
      </c>
    </row>
    <row r="136" spans="1:3">
      <c r="A136" s="91">
        <v>37591</v>
      </c>
      <c r="B136" s="92">
        <f>VLOOKUP(A136,Database!A:M,MATCH($A$1,Database!$A$1:$M$1,),)</f>
        <v>115767</v>
      </c>
      <c r="C136" s="94">
        <f>(Table5351415[[#This Row],[New Orders ex Transport]]-B135)/B135</f>
        <v>-1.0090040787707252E-2</v>
      </c>
    </row>
    <row r="137" spans="1:3">
      <c r="A137" s="91">
        <v>37622</v>
      </c>
      <c r="B137" s="92">
        <f>VLOOKUP(A137,Database!A:M,MATCH($A$1,Database!$A$1:$M$1,),)</f>
        <v>115609</v>
      </c>
      <c r="C137" s="94">
        <f>(Table5351415[[#This Row],[New Orders ex Transport]]-B136)/B136</f>
        <v>-1.3648103518273775E-3</v>
      </c>
    </row>
    <row r="138" spans="1:3">
      <c r="A138" s="91">
        <v>37653</v>
      </c>
      <c r="B138" s="92">
        <f>VLOOKUP(A138,Database!A:M,MATCH($A$1,Database!$A$1:$M$1,),)</f>
        <v>118098</v>
      </c>
      <c r="C138" s="94">
        <f>(Table5351415[[#This Row],[New Orders ex Transport]]-B137)/B137</f>
        <v>2.1529465699037274E-2</v>
      </c>
    </row>
    <row r="139" spans="1:3">
      <c r="A139" s="91">
        <v>37681</v>
      </c>
      <c r="B139" s="92">
        <f>VLOOKUP(A139,Database!A:M,MATCH($A$1,Database!$A$1:$M$1,),)</f>
        <v>116926</v>
      </c>
      <c r="C139" s="94">
        <f>(Table5351415[[#This Row],[New Orders ex Transport]]-B138)/B138</f>
        <v>-9.9239614557401472E-3</v>
      </c>
    </row>
    <row r="140" spans="1:3">
      <c r="A140" s="91">
        <v>37712</v>
      </c>
      <c r="B140" s="92">
        <f>VLOOKUP(A140,Database!A:M,MATCH($A$1,Database!$A$1:$M$1,),)</f>
        <v>115023</v>
      </c>
      <c r="C140" s="94">
        <f>(Table5351415[[#This Row],[New Orders ex Transport]]-B139)/B139</f>
        <v>-1.6275251013461507E-2</v>
      </c>
    </row>
    <row r="141" spans="1:3">
      <c r="A141" s="91">
        <v>37742</v>
      </c>
      <c r="B141" s="92">
        <f>VLOOKUP(A141,Database!A:M,MATCH($A$1,Database!$A$1:$M$1,),)</f>
        <v>116303</v>
      </c>
      <c r="C141" s="94">
        <f>(Table5351415[[#This Row],[New Orders ex Transport]]-B140)/B140</f>
        <v>1.112820914078054E-2</v>
      </c>
    </row>
    <row r="142" spans="1:3">
      <c r="A142" s="91">
        <v>37773</v>
      </c>
      <c r="B142" s="92">
        <f>VLOOKUP(A142,Database!A:M,MATCH($A$1,Database!$A$1:$M$1,),)</f>
        <v>117719</v>
      </c>
      <c r="C142" s="94">
        <f>(Table5351415[[#This Row],[New Orders ex Transport]]-B141)/B141</f>
        <v>1.2175094365579564E-2</v>
      </c>
    </row>
    <row r="143" spans="1:3">
      <c r="A143" s="91">
        <v>37803</v>
      </c>
      <c r="B143" s="92">
        <f>VLOOKUP(A143,Database!A:M,MATCH($A$1,Database!$A$1:$M$1,),)</f>
        <v>118215</v>
      </c>
      <c r="C143" s="94">
        <f>(Table5351415[[#This Row],[New Orders ex Transport]]-B142)/B142</f>
        <v>4.2134234915349265E-3</v>
      </c>
    </row>
    <row r="144" spans="1:3">
      <c r="A144" s="91">
        <v>37834</v>
      </c>
      <c r="B144" s="92">
        <f>VLOOKUP(A144,Database!A:M,MATCH($A$1,Database!$A$1:$M$1,),)</f>
        <v>119931</v>
      </c>
      <c r="C144" s="94">
        <f>(Table5351415[[#This Row],[New Orders ex Transport]]-B143)/B143</f>
        <v>1.4515924375079304E-2</v>
      </c>
    </row>
    <row r="145" spans="1:3">
      <c r="A145" s="91">
        <v>37865</v>
      </c>
      <c r="B145" s="92">
        <f>VLOOKUP(A145,Database!A:M,MATCH($A$1,Database!$A$1:$M$1,),)</f>
        <v>121332</v>
      </c>
      <c r="C145" s="94">
        <f>(Table5351415[[#This Row],[New Orders ex Transport]]-B144)/B144</f>
        <v>1.1681716987267679E-2</v>
      </c>
    </row>
    <row r="146" spans="1:3">
      <c r="A146" s="91">
        <v>37895</v>
      </c>
      <c r="B146" s="92">
        <f>VLOOKUP(A146,Database!A:M,MATCH($A$1,Database!$A$1:$M$1,),)</f>
        <v>125195</v>
      </c>
      <c r="C146" s="94">
        <f>(Table5351415[[#This Row],[New Orders ex Transport]]-B145)/B145</f>
        <v>3.1838261958922628E-2</v>
      </c>
    </row>
    <row r="147" spans="1:3">
      <c r="A147" s="91">
        <v>37926</v>
      </c>
      <c r="B147" s="92">
        <f>VLOOKUP(A147,Database!A:M,MATCH($A$1,Database!$A$1:$M$1,),)</f>
        <v>125148</v>
      </c>
      <c r="C147" s="94">
        <f>(Table5351415[[#This Row],[New Orders ex Transport]]-B146)/B146</f>
        <v>-3.7541435360837096E-4</v>
      </c>
    </row>
    <row r="148" spans="1:3">
      <c r="A148" s="91">
        <v>37956</v>
      </c>
      <c r="B148" s="92">
        <f>VLOOKUP(A148,Database!A:M,MATCH($A$1,Database!$A$1:$M$1,),)</f>
        <v>124803</v>
      </c>
      <c r="C148" s="94">
        <f>(Table5351415[[#This Row],[New Orders ex Transport]]-B147)/B147</f>
        <v>-2.7567360245469366E-3</v>
      </c>
    </row>
    <row r="149" spans="1:3">
      <c r="A149" s="91">
        <v>37987</v>
      </c>
      <c r="B149" s="92">
        <f>VLOOKUP(A149,Database!A:M,MATCH($A$1,Database!$A$1:$M$1,),)</f>
        <v>123228</v>
      </c>
      <c r="C149" s="94">
        <f>(Table5351415[[#This Row],[New Orders ex Transport]]-B148)/B148</f>
        <v>-1.2619888944977285E-2</v>
      </c>
    </row>
    <row r="150" spans="1:3">
      <c r="A150" s="91">
        <v>38018</v>
      </c>
      <c r="B150" s="92">
        <f>VLOOKUP(A150,Database!A:M,MATCH($A$1,Database!$A$1:$M$1,),)</f>
        <v>123810</v>
      </c>
      <c r="C150" s="94">
        <f>(Table5351415[[#This Row],[New Orders ex Transport]]-B149)/B149</f>
        <v>4.722952575713312E-3</v>
      </c>
    </row>
    <row r="151" spans="1:3">
      <c r="A151" s="91">
        <v>38047</v>
      </c>
      <c r="B151" s="92">
        <f>VLOOKUP(A151,Database!A:M,MATCH($A$1,Database!$A$1:$M$1,),)</f>
        <v>131645</v>
      </c>
      <c r="C151" s="94">
        <f>(Table5351415[[#This Row],[New Orders ex Transport]]-B150)/B150</f>
        <v>6.3282448913658029E-2</v>
      </c>
    </row>
    <row r="152" spans="1:3">
      <c r="A152" s="91">
        <v>38078</v>
      </c>
      <c r="B152" s="92">
        <f>VLOOKUP(A152,Database!A:M,MATCH($A$1,Database!$A$1:$M$1,),)</f>
        <v>127956</v>
      </c>
      <c r="C152" s="94">
        <f>(Table5351415[[#This Row],[New Orders ex Transport]]-B151)/B151</f>
        <v>-2.8022332788939952E-2</v>
      </c>
    </row>
    <row r="153" spans="1:3">
      <c r="A153" s="91">
        <v>38108</v>
      </c>
      <c r="B153" s="92">
        <f>VLOOKUP(A153,Database!A:M,MATCH($A$1,Database!$A$1:$M$1,),)</f>
        <v>128782</v>
      </c>
      <c r="C153" s="94">
        <f>(Table5351415[[#This Row],[New Orders ex Transport]]-B152)/B152</f>
        <v>6.4553440245084248E-3</v>
      </c>
    </row>
    <row r="154" spans="1:3">
      <c r="A154" s="91">
        <v>38139</v>
      </c>
      <c r="B154" s="92">
        <f>VLOOKUP(A154,Database!A:M,MATCH($A$1,Database!$A$1:$M$1,),)</f>
        <v>128558</v>
      </c>
      <c r="C154" s="94">
        <f>(Table5351415[[#This Row],[New Orders ex Transport]]-B153)/B153</f>
        <v>-1.739373514932211E-3</v>
      </c>
    </row>
    <row r="155" spans="1:3">
      <c r="A155" s="91">
        <v>38169</v>
      </c>
      <c r="B155" s="92">
        <f>VLOOKUP(A155,Database!A:M,MATCH($A$1,Database!$A$1:$M$1,),)</f>
        <v>127850</v>
      </c>
      <c r="C155" s="94">
        <f>(Table5351415[[#This Row],[New Orders ex Transport]]-B154)/B154</f>
        <v>-5.5072418674839375E-3</v>
      </c>
    </row>
    <row r="156" spans="1:3">
      <c r="A156" s="91">
        <v>38200</v>
      </c>
      <c r="B156" s="92">
        <f>VLOOKUP(A156,Database!A:M,MATCH($A$1,Database!$A$1:$M$1,),)</f>
        <v>130447</v>
      </c>
      <c r="C156" s="94">
        <f>(Table5351415[[#This Row],[New Orders ex Transport]]-B155)/B155</f>
        <v>2.0312866640594448E-2</v>
      </c>
    </row>
    <row r="157" spans="1:3">
      <c r="A157" s="91">
        <v>38231</v>
      </c>
      <c r="B157" s="92">
        <f>VLOOKUP(A157,Database!A:M,MATCH($A$1,Database!$A$1:$M$1,),)</f>
        <v>132455</v>
      </c>
      <c r="C157" s="94">
        <f>(Table5351415[[#This Row],[New Orders ex Transport]]-B156)/B156</f>
        <v>1.5393224834607158E-2</v>
      </c>
    </row>
    <row r="158" spans="1:3">
      <c r="A158" s="91">
        <v>38261</v>
      </c>
      <c r="B158" s="92">
        <f>VLOOKUP(A158,Database!A:M,MATCH($A$1,Database!$A$1:$M$1,),)</f>
        <v>132178</v>
      </c>
      <c r="C158" s="94">
        <f>(Table5351415[[#This Row],[New Orders ex Transport]]-B157)/B157</f>
        <v>-2.0912762825110415E-3</v>
      </c>
    </row>
    <row r="159" spans="1:3">
      <c r="A159" s="91">
        <v>38292</v>
      </c>
      <c r="B159" s="92">
        <f>VLOOKUP(A159,Database!A:M,MATCH($A$1,Database!$A$1:$M$1,),)</f>
        <v>134122</v>
      </c>
      <c r="C159" s="94">
        <f>(Table5351415[[#This Row],[New Orders ex Transport]]-B158)/B158</f>
        <v>1.4707439967316801E-2</v>
      </c>
    </row>
    <row r="160" spans="1:3">
      <c r="A160" s="91">
        <v>38322</v>
      </c>
      <c r="B160" s="92">
        <f>VLOOKUP(A160,Database!A:M,MATCH($A$1,Database!$A$1:$M$1,),)</f>
        <v>136981</v>
      </c>
      <c r="C160" s="94">
        <f>(Table5351415[[#This Row],[New Orders ex Transport]]-B159)/B159</f>
        <v>2.1316413414652333E-2</v>
      </c>
    </row>
    <row r="161" spans="1:3">
      <c r="A161" s="91">
        <v>38353</v>
      </c>
      <c r="B161" s="92">
        <f>VLOOKUP(A161,Database!A:M,MATCH($A$1,Database!$A$1:$M$1,),)</f>
        <v>137331</v>
      </c>
      <c r="C161" s="94">
        <f>(Table5351415[[#This Row],[New Orders ex Transport]]-B160)/B160</f>
        <v>2.555098882326746E-3</v>
      </c>
    </row>
    <row r="162" spans="1:3">
      <c r="A162" s="91">
        <v>38384</v>
      </c>
      <c r="B162" s="92">
        <f>VLOOKUP(A162,Database!A:M,MATCH($A$1,Database!$A$1:$M$1,),)</f>
        <v>139138</v>
      </c>
      <c r="C162" s="94">
        <f>(Table5351415[[#This Row],[New Orders ex Transport]]-B161)/B161</f>
        <v>1.3157990548383104E-2</v>
      </c>
    </row>
    <row r="163" spans="1:3">
      <c r="A163" s="91">
        <v>38412</v>
      </c>
      <c r="B163" s="92">
        <f>VLOOKUP(A163,Database!A:M,MATCH($A$1,Database!$A$1:$M$1,),)</f>
        <v>136810</v>
      </c>
      <c r="C163" s="94">
        <f>(Table5351415[[#This Row],[New Orders ex Transport]]-B162)/B162</f>
        <v>-1.6731590219781798E-2</v>
      </c>
    </row>
    <row r="164" spans="1:3">
      <c r="A164" s="91">
        <v>38443</v>
      </c>
      <c r="B164" s="92">
        <f>VLOOKUP(A164,Database!A:M,MATCH($A$1,Database!$A$1:$M$1,),)</f>
        <v>137264</v>
      </c>
      <c r="C164" s="94">
        <f>(Table5351415[[#This Row],[New Orders ex Transport]]-B163)/B163</f>
        <v>3.3184708720122797E-3</v>
      </c>
    </row>
    <row r="165" spans="1:3">
      <c r="A165" s="91">
        <v>38473</v>
      </c>
      <c r="B165" s="92">
        <f>VLOOKUP(A165,Database!A:M,MATCH($A$1,Database!$A$1:$M$1,),)</f>
        <v>137358</v>
      </c>
      <c r="C165" s="94">
        <f>(Table5351415[[#This Row],[New Orders ex Transport]]-B164)/B164</f>
        <v>6.84811749621168E-4</v>
      </c>
    </row>
    <row r="166" spans="1:3">
      <c r="A166" s="91">
        <v>38504</v>
      </c>
      <c r="B166" s="92">
        <f>VLOOKUP(A166,Database!A:M,MATCH($A$1,Database!$A$1:$M$1,),)</f>
        <v>141241</v>
      </c>
      <c r="C166" s="94">
        <f>(Table5351415[[#This Row],[New Orders ex Transport]]-B165)/B165</f>
        <v>2.8269194368001863E-2</v>
      </c>
    </row>
    <row r="167" spans="1:3">
      <c r="A167" s="91">
        <v>38534</v>
      </c>
      <c r="B167" s="92">
        <f>VLOOKUP(A167,Database!A:M,MATCH($A$1,Database!$A$1:$M$1,),)</f>
        <v>135974</v>
      </c>
      <c r="C167" s="94">
        <f>(Table5351415[[#This Row],[New Orders ex Transport]]-B166)/B166</f>
        <v>-3.7290871630758775E-2</v>
      </c>
    </row>
    <row r="168" spans="1:3">
      <c r="A168" s="91">
        <v>38565</v>
      </c>
      <c r="B168" s="92">
        <f>VLOOKUP(A168,Database!A:M,MATCH($A$1,Database!$A$1:$M$1,),)</f>
        <v>143073</v>
      </c>
      <c r="C168" s="94">
        <f>(Table5351415[[#This Row],[New Orders ex Transport]]-B167)/B167</f>
        <v>5.220851045052731E-2</v>
      </c>
    </row>
    <row r="169" spans="1:3">
      <c r="A169" s="91">
        <v>38596</v>
      </c>
      <c r="B169" s="92">
        <f>VLOOKUP(A169,Database!A:M,MATCH($A$1,Database!$A$1:$M$1,),)</f>
        <v>143841</v>
      </c>
      <c r="C169" s="94">
        <f>(Table5351415[[#This Row],[New Orders ex Transport]]-B168)/B168</f>
        <v>5.3678891195403748E-3</v>
      </c>
    </row>
    <row r="170" spans="1:3">
      <c r="A170" s="91">
        <v>38626</v>
      </c>
      <c r="B170" s="92">
        <f>VLOOKUP(A170,Database!A:M,MATCH($A$1,Database!$A$1:$M$1,),)</f>
        <v>145723</v>
      </c>
      <c r="C170" s="94">
        <f>(Table5351415[[#This Row],[New Orders ex Transport]]-B169)/B169</f>
        <v>1.3083891241023073E-2</v>
      </c>
    </row>
    <row r="171" spans="1:3">
      <c r="A171" s="91">
        <v>38657</v>
      </c>
      <c r="B171" s="92">
        <f>VLOOKUP(A171,Database!A:M,MATCH($A$1,Database!$A$1:$M$1,),)</f>
        <v>148043</v>
      </c>
      <c r="C171" s="94">
        <f>(Table5351415[[#This Row],[New Orders ex Transport]]-B170)/B170</f>
        <v>1.5920616512149762E-2</v>
      </c>
    </row>
    <row r="172" spans="1:3">
      <c r="A172" s="91">
        <v>38687</v>
      </c>
      <c r="B172" s="92">
        <f>VLOOKUP(A172,Database!A:M,MATCH($A$1,Database!$A$1:$M$1,),)</f>
        <v>147852</v>
      </c>
      <c r="C172" s="94">
        <f>(Table5351415[[#This Row],[New Orders ex Transport]]-B171)/B171</f>
        <v>-1.2901656951020987E-3</v>
      </c>
    </row>
    <row r="173" spans="1:3">
      <c r="A173" s="91">
        <v>38718</v>
      </c>
      <c r="B173" s="92">
        <f>VLOOKUP(A173,Database!A:M,MATCH($A$1,Database!$A$1:$M$1,),)</f>
        <v>150953</v>
      </c>
      <c r="C173" s="94">
        <f>(Table5351415[[#This Row],[New Orders ex Transport]]-B172)/B172</f>
        <v>2.0973676379081783E-2</v>
      </c>
    </row>
    <row r="174" spans="1:3">
      <c r="A174" s="91">
        <v>38749</v>
      </c>
      <c r="B174" s="92">
        <f>VLOOKUP(A174,Database!A:M,MATCH($A$1,Database!$A$1:$M$1,),)</f>
        <v>150818</v>
      </c>
      <c r="C174" s="94">
        <f>(Table5351415[[#This Row],[New Orders ex Transport]]-B173)/B173</f>
        <v>-8.9431809901095044E-4</v>
      </c>
    </row>
    <row r="175" spans="1:3">
      <c r="A175" s="91">
        <v>38777</v>
      </c>
      <c r="B175" s="92">
        <f>VLOOKUP(A175,Database!A:M,MATCH($A$1,Database!$A$1:$M$1,),)</f>
        <v>153217</v>
      </c>
      <c r="C175" s="94">
        <f>(Table5351415[[#This Row],[New Orders ex Transport]]-B174)/B174</f>
        <v>1.5906589399143339E-2</v>
      </c>
    </row>
    <row r="176" spans="1:3">
      <c r="A176" s="91">
        <v>38808</v>
      </c>
      <c r="B176" s="92">
        <f>VLOOKUP(A176,Database!A:M,MATCH($A$1,Database!$A$1:$M$1,),)</f>
        <v>151952</v>
      </c>
      <c r="C176" s="94">
        <f>(Table5351415[[#This Row],[New Orders ex Transport]]-B175)/B175</f>
        <v>-8.256263991593623E-3</v>
      </c>
    </row>
    <row r="177" spans="1:3">
      <c r="A177" s="91">
        <v>38838</v>
      </c>
      <c r="B177" s="92">
        <f>VLOOKUP(A177,Database!A:M,MATCH($A$1,Database!$A$1:$M$1,),)</f>
        <v>153734</v>
      </c>
      <c r="C177" s="94">
        <f>(Table5351415[[#This Row],[New Orders ex Transport]]-B176)/B176</f>
        <v>1.1727387596082973E-2</v>
      </c>
    </row>
    <row r="178" spans="1:3">
      <c r="A178" s="91">
        <v>38869</v>
      </c>
      <c r="B178" s="92">
        <f>VLOOKUP(A178,Database!A:M,MATCH($A$1,Database!$A$1:$M$1,),)</f>
        <v>154888</v>
      </c>
      <c r="C178" s="94">
        <f>(Table5351415[[#This Row],[New Orders ex Transport]]-B177)/B177</f>
        <v>7.506472218247102E-3</v>
      </c>
    </row>
    <row r="179" spans="1:3">
      <c r="A179" s="91">
        <v>38899</v>
      </c>
      <c r="B179" s="92">
        <f>VLOOKUP(A179,Database!A:M,MATCH($A$1,Database!$A$1:$M$1,),)</f>
        <v>153064</v>
      </c>
      <c r="C179" s="94">
        <f>(Table5351415[[#This Row],[New Orders ex Transport]]-B178)/B178</f>
        <v>-1.1776251226692836E-2</v>
      </c>
    </row>
    <row r="180" spans="1:3">
      <c r="A180" s="91">
        <v>38930</v>
      </c>
      <c r="B180" s="92">
        <f>VLOOKUP(A180,Database!A:M,MATCH($A$1,Database!$A$1:$M$1,),)</f>
        <v>150575</v>
      </c>
      <c r="C180" s="94">
        <f>(Table5351415[[#This Row],[New Orders ex Transport]]-B179)/B179</f>
        <v>-1.6261171797418074E-2</v>
      </c>
    </row>
    <row r="181" spans="1:3">
      <c r="A181" s="91">
        <v>38961</v>
      </c>
      <c r="B181" s="92">
        <f>VLOOKUP(A181,Database!A:M,MATCH($A$1,Database!$A$1:$M$1,),)</f>
        <v>153923</v>
      </c>
      <c r="C181" s="94">
        <f>(Table5351415[[#This Row],[New Orders ex Transport]]-B180)/B180</f>
        <v>2.2234766727544413E-2</v>
      </c>
    </row>
    <row r="182" spans="1:3">
      <c r="A182" s="91">
        <v>38991</v>
      </c>
      <c r="B182" s="92">
        <f>VLOOKUP(A182,Database!A:M,MATCH($A$1,Database!$A$1:$M$1,),)</f>
        <v>153537</v>
      </c>
      <c r="C182" s="94">
        <f>(Table5351415[[#This Row],[New Orders ex Transport]]-B181)/B181</f>
        <v>-2.5077473801835984E-3</v>
      </c>
    </row>
    <row r="183" spans="1:3">
      <c r="A183" s="91">
        <v>39022</v>
      </c>
      <c r="B183" s="92">
        <f>VLOOKUP(A183,Database!A:M,MATCH($A$1,Database!$A$1:$M$1,),)</f>
        <v>153502</v>
      </c>
      <c r="C183" s="94">
        <f>(Table5351415[[#This Row],[New Orders ex Transport]]-B182)/B182</f>
        <v>-2.2795808176530739E-4</v>
      </c>
    </row>
    <row r="184" spans="1:3">
      <c r="A184" s="91">
        <v>39052</v>
      </c>
      <c r="B184" s="92">
        <f>VLOOKUP(A184,Database!A:M,MATCH($A$1,Database!$A$1:$M$1,),)</f>
        <v>158499</v>
      </c>
      <c r="C184" s="94">
        <f>(Table5351415[[#This Row],[New Orders ex Transport]]-B183)/B183</f>
        <v>3.25533217808237E-2</v>
      </c>
    </row>
    <row r="185" spans="1:3">
      <c r="A185" s="91">
        <v>39083</v>
      </c>
      <c r="B185" s="92">
        <f>VLOOKUP(A185,Database!A:M,MATCH($A$1,Database!$A$1:$M$1,),)</f>
        <v>153402</v>
      </c>
      <c r="C185" s="94">
        <f>(Table5351415[[#This Row],[New Orders ex Transport]]-B184)/B184</f>
        <v>-3.2157931595782938E-2</v>
      </c>
    </row>
    <row r="186" spans="1:3">
      <c r="A186" s="91">
        <v>39114</v>
      </c>
      <c r="B186" s="92">
        <f>VLOOKUP(A186,Database!A:M,MATCH($A$1,Database!$A$1:$M$1,),)</f>
        <v>155151</v>
      </c>
      <c r="C186" s="94">
        <f>(Table5351415[[#This Row],[New Orders ex Transport]]-B185)/B185</f>
        <v>1.1401415887667696E-2</v>
      </c>
    </row>
    <row r="187" spans="1:3">
      <c r="A187" s="91">
        <v>39142</v>
      </c>
      <c r="B187" s="92">
        <f>VLOOKUP(A187,Database!A:M,MATCH($A$1,Database!$A$1:$M$1,),)</f>
        <v>156356</v>
      </c>
      <c r="C187" s="94">
        <f>(Table5351415[[#This Row],[New Orders ex Transport]]-B186)/B186</f>
        <v>7.7666273501298738E-3</v>
      </c>
    </row>
    <row r="188" spans="1:3">
      <c r="A188" s="91">
        <v>39173</v>
      </c>
      <c r="B188" s="92">
        <f>VLOOKUP(A188,Database!A:M,MATCH($A$1,Database!$A$1:$M$1,),)</f>
        <v>159160</v>
      </c>
      <c r="C188" s="94">
        <f>(Table5351415[[#This Row],[New Orders ex Transport]]-B187)/B187</f>
        <v>1.793343395840262E-2</v>
      </c>
    </row>
    <row r="189" spans="1:3">
      <c r="A189" s="91">
        <v>39203</v>
      </c>
      <c r="B189" s="92">
        <f>VLOOKUP(A189,Database!A:M,MATCH($A$1,Database!$A$1:$M$1,),)</f>
        <v>158536</v>
      </c>
      <c r="C189" s="94">
        <f>(Table5351415[[#This Row],[New Orders ex Transport]]-B188)/B188</f>
        <v>-3.9205830610706208E-3</v>
      </c>
    </row>
    <row r="190" spans="1:3">
      <c r="A190" s="91">
        <v>39234</v>
      </c>
      <c r="B190" s="92">
        <f>VLOOKUP(A190,Database!A:M,MATCH($A$1,Database!$A$1:$M$1,),)</f>
        <v>154569</v>
      </c>
      <c r="C190" s="94">
        <f>(Table5351415[[#This Row],[New Orders ex Transport]]-B189)/B189</f>
        <v>-2.502270777615179E-2</v>
      </c>
    </row>
    <row r="191" spans="1:3">
      <c r="A191" s="91">
        <v>39264</v>
      </c>
      <c r="B191" s="92">
        <f>VLOOKUP(A191,Database!A:M,MATCH($A$1,Database!$A$1:$M$1,),)</f>
        <v>156767</v>
      </c>
      <c r="C191" s="94">
        <f>(Table5351415[[#This Row],[New Orders ex Transport]]-B190)/B190</f>
        <v>1.4220186453946133E-2</v>
      </c>
    </row>
    <row r="192" spans="1:3">
      <c r="A192" s="91">
        <v>39295</v>
      </c>
      <c r="B192" s="92">
        <f>VLOOKUP(A192,Database!A:M,MATCH($A$1,Database!$A$1:$M$1,),)</f>
        <v>158130</v>
      </c>
      <c r="C192" s="94">
        <f>(Table5351415[[#This Row],[New Orders ex Transport]]-B191)/B191</f>
        <v>8.6944318638488959E-3</v>
      </c>
    </row>
    <row r="193" spans="1:3">
      <c r="A193" s="91">
        <v>39326</v>
      </c>
      <c r="B193" s="92">
        <f>VLOOKUP(A193,Database!A:M,MATCH($A$1,Database!$A$1:$M$1,),)</f>
        <v>157646</v>
      </c>
      <c r="C193" s="94">
        <f>(Table5351415[[#This Row],[New Orders ex Transport]]-B192)/B192</f>
        <v>-3.0607727818883199E-3</v>
      </c>
    </row>
    <row r="194" spans="1:3">
      <c r="A194" s="91">
        <v>39356</v>
      </c>
      <c r="B194" s="92">
        <f>VLOOKUP(A194,Database!A:M,MATCH($A$1,Database!$A$1:$M$1,),)</f>
        <v>159832</v>
      </c>
      <c r="C194" s="94">
        <f>(Table5351415[[#This Row],[New Orders ex Transport]]-B193)/B193</f>
        <v>1.386651104373089E-2</v>
      </c>
    </row>
    <row r="195" spans="1:3">
      <c r="A195" s="91">
        <v>39387</v>
      </c>
      <c r="B195" s="92">
        <f>VLOOKUP(A195,Database!A:M,MATCH($A$1,Database!$A$1:$M$1,),)</f>
        <v>160074</v>
      </c>
      <c r="C195" s="94">
        <f>(Table5351415[[#This Row],[New Orders ex Transport]]-B194)/B194</f>
        <v>1.5140897942839981E-3</v>
      </c>
    </row>
    <row r="196" spans="1:3">
      <c r="A196" s="91">
        <v>39417</v>
      </c>
      <c r="B196" s="92">
        <f>VLOOKUP(A196,Database!A:M,MATCH($A$1,Database!$A$1:$M$1,),)</f>
        <v>163300</v>
      </c>
      <c r="C196" s="94">
        <f>(Table5351415[[#This Row],[New Orders ex Transport]]-B195)/B195</f>
        <v>2.0153179154640977E-2</v>
      </c>
    </row>
    <row r="197" spans="1:3">
      <c r="A197" s="91">
        <v>39448</v>
      </c>
      <c r="B197" s="92">
        <f>VLOOKUP(A197,Database!A:M,MATCH($A$1,Database!$A$1:$M$1,),)</f>
        <v>164615</v>
      </c>
      <c r="C197" s="94">
        <f>(Table5351415[[#This Row],[New Orders ex Transport]]-B196)/B196</f>
        <v>8.0526638089406001E-3</v>
      </c>
    </row>
    <row r="198" spans="1:3">
      <c r="A198" s="91">
        <v>39479</v>
      </c>
      <c r="B198" s="92">
        <f>VLOOKUP(A198,Database!A:M,MATCH($A$1,Database!$A$1:$M$1,),)</f>
        <v>160985</v>
      </c>
      <c r="C198" s="94">
        <f>(Table5351415[[#This Row],[New Orders ex Transport]]-B197)/B197</f>
        <v>-2.2051453391246242E-2</v>
      </c>
    </row>
    <row r="199" spans="1:3">
      <c r="A199" s="91">
        <v>39508</v>
      </c>
      <c r="B199" s="92">
        <f>VLOOKUP(A199,Database!A:M,MATCH($A$1,Database!$A$1:$M$1,),)</f>
        <v>163953</v>
      </c>
      <c r="C199" s="94">
        <f>(Table5351415[[#This Row],[New Orders ex Transport]]-B198)/B198</f>
        <v>1.8436500295058545E-2</v>
      </c>
    </row>
    <row r="200" spans="1:3">
      <c r="A200" s="91">
        <v>39539</v>
      </c>
      <c r="B200" s="92">
        <f>VLOOKUP(A200,Database!A:M,MATCH($A$1,Database!$A$1:$M$1,),)</f>
        <v>167301</v>
      </c>
      <c r="C200" s="94">
        <f>(Table5351415[[#This Row],[New Orders ex Transport]]-B199)/B199</f>
        <v>2.0420486358895536E-2</v>
      </c>
    </row>
    <row r="201" spans="1:3">
      <c r="A201" s="91">
        <v>39569</v>
      </c>
      <c r="B201" s="92">
        <f>VLOOKUP(A201,Database!A:M,MATCH($A$1,Database!$A$1:$M$1,),)</f>
        <v>164561</v>
      </c>
      <c r="C201" s="94">
        <f>(Table5351415[[#This Row],[New Orders ex Transport]]-B200)/B200</f>
        <v>-1.6377666600916909E-2</v>
      </c>
    </row>
    <row r="202" spans="1:3">
      <c r="A202" s="91">
        <v>39600</v>
      </c>
      <c r="B202" s="92">
        <f>VLOOKUP(A202,Database!A:M,MATCH($A$1,Database!$A$1:$M$1,),)</f>
        <v>166622</v>
      </c>
      <c r="C202" s="94">
        <f>(Table5351415[[#This Row],[New Orders ex Transport]]-B201)/B201</f>
        <v>1.2524231136174428E-2</v>
      </c>
    </row>
    <row r="203" spans="1:3">
      <c r="A203" s="91">
        <v>39630</v>
      </c>
      <c r="B203" s="92">
        <f>VLOOKUP(A203,Database!A:M,MATCH($A$1,Database!$A$1:$M$1,),)</f>
        <v>162295</v>
      </c>
      <c r="C203" s="94">
        <f>(Table5351415[[#This Row],[New Orders ex Transport]]-B202)/B202</f>
        <v>-2.5968959681194559E-2</v>
      </c>
    </row>
    <row r="204" spans="1:3">
      <c r="A204" s="91">
        <v>39661</v>
      </c>
      <c r="B204" s="92">
        <f>VLOOKUP(A204,Database!A:M,MATCH($A$1,Database!$A$1:$M$1,),)</f>
        <v>156865</v>
      </c>
      <c r="C204" s="94">
        <f>(Table5351415[[#This Row],[New Orders ex Transport]]-B203)/B203</f>
        <v>-3.3457592655349824E-2</v>
      </c>
    </row>
    <row r="205" spans="1:3">
      <c r="A205" s="91">
        <v>39692</v>
      </c>
      <c r="B205" s="92">
        <f>VLOOKUP(A205,Database!A:M,MATCH($A$1,Database!$A$1:$M$1,),)</f>
        <v>153392</v>
      </c>
      <c r="C205" s="94">
        <f>(Table5351415[[#This Row],[New Orders ex Transport]]-B204)/B204</f>
        <v>-2.214005673668441E-2</v>
      </c>
    </row>
    <row r="206" spans="1:3">
      <c r="A206" s="91">
        <v>39722</v>
      </c>
      <c r="B206" s="92">
        <f>VLOOKUP(A206,Database!A:M,MATCH($A$1,Database!$A$1:$M$1,),)</f>
        <v>141024</v>
      </c>
      <c r="C206" s="94">
        <f>(Table5351415[[#This Row],[New Orders ex Transport]]-B205)/B205</f>
        <v>-8.063001981850422E-2</v>
      </c>
    </row>
    <row r="207" spans="1:3">
      <c r="A207" s="91">
        <v>39753</v>
      </c>
      <c r="B207" s="92">
        <f>VLOOKUP(A207,Database!A:M,MATCH($A$1,Database!$A$1:$M$1,),)</f>
        <v>138472</v>
      </c>
      <c r="C207" s="94">
        <f>(Table5351415[[#This Row],[New Orders ex Transport]]-B206)/B206</f>
        <v>-1.8096210574086679E-2</v>
      </c>
    </row>
    <row r="208" spans="1:3">
      <c r="A208" s="91">
        <v>39783</v>
      </c>
      <c r="B208" s="92">
        <f>VLOOKUP(A208,Database!A:M,MATCH($A$1,Database!$A$1:$M$1,),)</f>
        <v>127962</v>
      </c>
      <c r="C208" s="94">
        <f>(Table5351415[[#This Row],[New Orders ex Transport]]-B207)/B207</f>
        <v>-7.58998209024207E-2</v>
      </c>
    </row>
    <row r="209" spans="1:3">
      <c r="A209" s="91">
        <v>39814</v>
      </c>
      <c r="B209" s="92">
        <f>VLOOKUP(A209,Database!A:M,MATCH($A$1,Database!$A$1:$M$1,),)</f>
        <v>114948</v>
      </c>
      <c r="C209" s="94">
        <f>(Table5351415[[#This Row],[New Orders ex Transport]]-B208)/B208</f>
        <v>-0.10170206780137854</v>
      </c>
    </row>
    <row r="210" spans="1:3">
      <c r="A210" s="91">
        <v>39845</v>
      </c>
      <c r="B210" s="92">
        <f>VLOOKUP(A210,Database!A:M,MATCH($A$1,Database!$A$1:$M$1,),)</f>
        <v>116595</v>
      </c>
      <c r="C210" s="94">
        <f>(Table5351415[[#This Row],[New Orders ex Transport]]-B209)/B209</f>
        <v>1.4328217976824303E-2</v>
      </c>
    </row>
    <row r="211" spans="1:3">
      <c r="A211" s="91">
        <v>39873</v>
      </c>
      <c r="B211" s="92">
        <f>VLOOKUP(A211,Database!A:M,MATCH($A$1,Database!$A$1:$M$1,),)</f>
        <v>113312</v>
      </c>
      <c r="C211" s="94">
        <f>(Table5351415[[#This Row],[New Orders ex Transport]]-B210)/B210</f>
        <v>-2.8157296625069685E-2</v>
      </c>
    </row>
    <row r="212" spans="1:3">
      <c r="A212" s="91">
        <v>39904</v>
      </c>
      <c r="B212" s="92">
        <f>VLOOKUP(A212,Database!A:M,MATCH($A$1,Database!$A$1:$M$1,),)</f>
        <v>110601</v>
      </c>
      <c r="C212" s="94">
        <f>(Table5351415[[#This Row],[New Orders ex Transport]]-B211)/B211</f>
        <v>-2.3925091781982492E-2</v>
      </c>
    </row>
    <row r="213" spans="1:3">
      <c r="A213" s="91">
        <v>39934</v>
      </c>
      <c r="B213" s="92">
        <f>VLOOKUP(A213,Database!A:M,MATCH($A$1,Database!$A$1:$M$1,),)</f>
        <v>113080</v>
      </c>
      <c r="C213" s="94">
        <f>(Table5351415[[#This Row],[New Orders ex Transport]]-B212)/B212</f>
        <v>2.2413902225115506E-2</v>
      </c>
    </row>
    <row r="214" spans="1:3">
      <c r="A214" s="91">
        <v>39965</v>
      </c>
      <c r="B214" s="92">
        <f>VLOOKUP(A214,Database!A:M,MATCH($A$1,Database!$A$1:$M$1,),)</f>
        <v>115485</v>
      </c>
      <c r="C214" s="94">
        <f>(Table5351415[[#This Row],[New Orders ex Transport]]-B213)/B213</f>
        <v>2.1268128758401131E-2</v>
      </c>
    </row>
    <row r="215" spans="1:3">
      <c r="A215" s="91">
        <v>39995</v>
      </c>
      <c r="B215" s="92">
        <f>VLOOKUP(A215,Database!A:M,MATCH($A$1,Database!$A$1:$M$1,),)</f>
        <v>117705</v>
      </c>
      <c r="C215" s="94">
        <f>(Table5351415[[#This Row],[New Orders ex Transport]]-B214)/B214</f>
        <v>1.9223275750097416E-2</v>
      </c>
    </row>
    <row r="216" spans="1:3">
      <c r="A216" s="91">
        <v>40026</v>
      </c>
      <c r="B216" s="92">
        <f>VLOOKUP(A216,Database!A:M,MATCH($A$1,Database!$A$1:$M$1,),)</f>
        <v>117142</v>
      </c>
      <c r="C216" s="94">
        <f>(Table5351415[[#This Row],[New Orders ex Transport]]-B215)/B215</f>
        <v>-4.7831443014315451E-3</v>
      </c>
    </row>
    <row r="217" spans="1:3">
      <c r="A217" s="91">
        <v>40057</v>
      </c>
      <c r="B217" s="92">
        <f>VLOOKUP(A217,Database!A:M,MATCH($A$1,Database!$A$1:$M$1,),)</f>
        <v>122042</v>
      </c>
      <c r="C217" s="94">
        <f>(Table5351415[[#This Row],[New Orders ex Transport]]-B216)/B216</f>
        <v>4.1829574362739243E-2</v>
      </c>
    </row>
    <row r="218" spans="1:3">
      <c r="A218" s="91">
        <v>40087</v>
      </c>
      <c r="B218" s="92">
        <f>VLOOKUP(A218,Database!A:M,MATCH($A$1,Database!$A$1:$M$1,),)</f>
        <v>122244</v>
      </c>
      <c r="C218" s="94">
        <f>(Table5351415[[#This Row],[New Orders ex Transport]]-B217)/B217</f>
        <v>1.6551678930204355E-3</v>
      </c>
    </row>
    <row r="219" spans="1:3">
      <c r="A219" s="91">
        <v>40118</v>
      </c>
      <c r="B219" s="92">
        <f>VLOOKUP(A219,Database!A:M,MATCH($A$1,Database!$A$1:$M$1,),)</f>
        <v>122532</v>
      </c>
      <c r="C219" s="94">
        <f>(Table5351415[[#This Row],[New Orders ex Transport]]-B218)/B218</f>
        <v>2.3559438500049081E-3</v>
      </c>
    </row>
    <row r="220" spans="1:3">
      <c r="A220" s="91">
        <v>40148</v>
      </c>
      <c r="B220" s="92">
        <f>VLOOKUP(A220,Database!A:M,MATCH($A$1,Database!$A$1:$M$1,),)</f>
        <v>124425</v>
      </c>
      <c r="C220" s="94">
        <f>(Table5351415[[#This Row],[New Orders ex Transport]]-B219)/B219</f>
        <v>1.5449025560669866E-2</v>
      </c>
    </row>
    <row r="221" spans="1:3">
      <c r="A221" s="91">
        <v>40179</v>
      </c>
      <c r="B221" s="92">
        <f>VLOOKUP(A221,Database!A:M,MATCH($A$1,Database!$A$1:$M$1,),)</f>
        <v>127057</v>
      </c>
      <c r="C221" s="94">
        <f>(Table5351415[[#This Row],[New Orders ex Transport]]-B220)/B220</f>
        <v>2.1153305203938114E-2</v>
      </c>
    </row>
    <row r="222" spans="1:3">
      <c r="A222" s="91">
        <v>40210</v>
      </c>
      <c r="B222" s="92">
        <f>VLOOKUP(A222,Database!A:M,MATCH($A$1,Database!$A$1:$M$1,),)</f>
        <v>128810</v>
      </c>
      <c r="C222" s="94">
        <f>(Table5351415[[#This Row],[New Orders ex Transport]]-B221)/B221</f>
        <v>1.3796957271146021E-2</v>
      </c>
    </row>
    <row r="223" spans="1:3">
      <c r="A223" s="91">
        <v>40238</v>
      </c>
      <c r="B223" s="92">
        <f>VLOOKUP(A223,Database!A:M,MATCH($A$1,Database!$A$1:$M$1,),)</f>
        <v>134835</v>
      </c>
      <c r="C223" s="94">
        <f>(Table5351415[[#This Row],[New Orders ex Transport]]-B222)/B222</f>
        <v>4.6774318764071114E-2</v>
      </c>
    </row>
    <row r="224" spans="1:3">
      <c r="A224" s="91">
        <v>40269</v>
      </c>
      <c r="B224" s="92">
        <f>VLOOKUP(A224,Database!A:M,MATCH($A$1,Database!$A$1:$M$1,),)</f>
        <v>131196</v>
      </c>
      <c r="C224" s="94">
        <f>(Table5351415[[#This Row],[New Orders ex Transport]]-B223)/B223</f>
        <v>-2.6988541550784291E-2</v>
      </c>
    </row>
    <row r="225" spans="1:3">
      <c r="A225" s="91">
        <v>40299</v>
      </c>
      <c r="B225" s="92">
        <f>VLOOKUP(A225,Database!A:M,MATCH($A$1,Database!$A$1:$M$1,),)</f>
        <v>136881</v>
      </c>
      <c r="C225" s="94">
        <f>(Table5351415[[#This Row],[New Orders ex Transport]]-B224)/B224</f>
        <v>4.3332113783956829E-2</v>
      </c>
    </row>
    <row r="226" spans="1:3">
      <c r="A226" s="91">
        <v>40330</v>
      </c>
      <c r="B226" s="92">
        <f>VLOOKUP(A226,Database!A:M,MATCH($A$1,Database!$A$1:$M$1,),)</f>
        <v>137226</v>
      </c>
      <c r="C226" s="94">
        <f>(Table5351415[[#This Row],[New Orders ex Transport]]-B225)/B225</f>
        <v>2.5204374602757137E-3</v>
      </c>
    </row>
    <row r="227" spans="1:3">
      <c r="A227" s="91">
        <v>40360</v>
      </c>
      <c r="B227" s="92">
        <f>VLOOKUP(A227,Database!A:M,MATCH($A$1,Database!$A$1:$M$1,),)</f>
        <v>134656</v>
      </c>
      <c r="C227" s="94">
        <f>(Table5351415[[#This Row],[New Orders ex Transport]]-B226)/B226</f>
        <v>-1.8728229344293357E-2</v>
      </c>
    </row>
    <row r="228" spans="1:3">
      <c r="A228" s="91">
        <v>40391</v>
      </c>
      <c r="B228" s="92">
        <f>VLOOKUP(A228,Database!A:M,MATCH($A$1,Database!$A$1:$M$1,),)</f>
        <v>137093</v>
      </c>
      <c r="C228" s="94">
        <f>(Table5351415[[#This Row],[New Orders ex Transport]]-B227)/B227</f>
        <v>1.8097968155893537E-2</v>
      </c>
    </row>
    <row r="229" spans="1:3">
      <c r="A229" s="91">
        <v>40422</v>
      </c>
      <c r="B229" s="92">
        <f>VLOOKUP(A229,Database!A:M,MATCH($A$1,Database!$A$1:$M$1,),)</f>
        <v>139248</v>
      </c>
      <c r="C229" s="94">
        <f>(Table5351415[[#This Row],[New Orders ex Transport]]-B228)/B228</f>
        <v>1.5719256271290293E-2</v>
      </c>
    </row>
    <row r="230" spans="1:3">
      <c r="A230" s="91">
        <v>40452</v>
      </c>
      <c r="B230" s="92">
        <f>VLOOKUP(A230,Database!A:M,MATCH($A$1,Database!$A$1:$M$1,),)</f>
        <v>134518</v>
      </c>
      <c r="C230" s="94">
        <f>(Table5351415[[#This Row],[New Orders ex Transport]]-B229)/B229</f>
        <v>-3.396817189474894E-2</v>
      </c>
    </row>
    <row r="231" spans="1:3">
      <c r="A231" s="91">
        <v>40483</v>
      </c>
      <c r="B231" s="92">
        <f>VLOOKUP(A231,Database!A:M,MATCH($A$1,Database!$A$1:$M$1,),)</f>
        <v>142450</v>
      </c>
      <c r="C231" s="94">
        <f>(Table5351415[[#This Row],[New Orders ex Transport]]-B230)/B230</f>
        <v>5.8966086323019966E-2</v>
      </c>
    </row>
    <row r="232" spans="1:3">
      <c r="A232" s="91">
        <v>40513</v>
      </c>
      <c r="B232" s="92">
        <f>VLOOKUP(A232,Database!A:M,MATCH($A$1,Database!$A$1:$M$1,),)</f>
        <v>144216</v>
      </c>
      <c r="C232" s="94">
        <f>(Table5351415[[#This Row],[New Orders ex Transport]]-B231)/B231</f>
        <v>1.2397332397332397E-2</v>
      </c>
    </row>
    <row r="233" spans="1:3">
      <c r="A233" s="91">
        <v>40544</v>
      </c>
      <c r="B233" s="92">
        <f>VLOOKUP(A233,Database!A:M,MATCH($A$1,Database!$A$1:$M$1,),)</f>
        <v>143113</v>
      </c>
      <c r="C233" s="94">
        <f>(Table5351415[[#This Row],[New Orders ex Transport]]-B232)/B232</f>
        <v>-7.6482498474510453E-3</v>
      </c>
    </row>
    <row r="234" spans="1:3">
      <c r="A234" s="91">
        <v>40575</v>
      </c>
      <c r="B234" s="92">
        <f>VLOOKUP(A234,Database!A:M,MATCH($A$1,Database!$A$1:$M$1,),)</f>
        <v>141061</v>
      </c>
      <c r="C234" s="94">
        <f>(Table5351415[[#This Row],[New Orders ex Transport]]-B233)/B233</f>
        <v>-1.4338320068756856E-2</v>
      </c>
    </row>
    <row r="235" spans="1:3">
      <c r="A235" s="91">
        <v>40603</v>
      </c>
      <c r="B235" s="92">
        <f>VLOOKUP(A235,Database!A:M,MATCH($A$1,Database!$A$1:$M$1,),)</f>
        <v>145907</v>
      </c>
      <c r="C235" s="94">
        <f>(Table5351415[[#This Row],[New Orders ex Transport]]-B234)/B234</f>
        <v>3.4353931986870929E-2</v>
      </c>
    </row>
    <row r="236" spans="1:3">
      <c r="A236" s="91">
        <v>40634</v>
      </c>
      <c r="B236" s="92">
        <f>VLOOKUP(A236,Database!A:M,MATCH($A$1,Database!$A$1:$M$1,),)</f>
        <v>143390</v>
      </c>
      <c r="C236" s="94">
        <f>(Table5351415[[#This Row],[New Orders ex Transport]]-B235)/B235</f>
        <v>-1.7250714496220194E-2</v>
      </c>
    </row>
    <row r="237" spans="1:3">
      <c r="A237" s="91">
        <v>40664</v>
      </c>
      <c r="B237" s="92">
        <f>VLOOKUP(A237,Database!A:M,MATCH($A$1,Database!$A$1:$M$1,),)</f>
        <v>146454</v>
      </c>
      <c r="C237" s="94">
        <f>(Table5351415[[#This Row],[New Orders ex Transport]]-B236)/B236</f>
        <v>2.1368296254968965E-2</v>
      </c>
    </row>
    <row r="238" spans="1:3">
      <c r="A238" s="91">
        <v>40695</v>
      </c>
      <c r="B238" s="92">
        <f>VLOOKUP(A238,Database!A:M,MATCH($A$1,Database!$A$1:$M$1,),)</f>
        <v>146197</v>
      </c>
      <c r="C238" s="94">
        <f>(Table5351415[[#This Row],[New Orders ex Transport]]-B237)/B237</f>
        <v>-1.7548172122304614E-3</v>
      </c>
    </row>
    <row r="239" spans="1:3">
      <c r="A239" s="91">
        <v>40725</v>
      </c>
      <c r="B239" s="92">
        <f>VLOOKUP(A239,Database!A:M,MATCH($A$1,Database!$A$1:$M$1,),)</f>
        <v>147897</v>
      </c>
      <c r="C239" s="94">
        <f>(Table5351415[[#This Row],[New Orders ex Transport]]-B238)/B238</f>
        <v>1.1628145584382717E-2</v>
      </c>
    </row>
    <row r="240" spans="1:3">
      <c r="A240" s="91">
        <v>40756</v>
      </c>
      <c r="B240" s="92">
        <f>VLOOKUP(A240,Database!A:M,MATCH($A$1,Database!$A$1:$M$1,),)</f>
        <v>147496</v>
      </c>
      <c r="C240" s="94">
        <f>(Table5351415[[#This Row],[New Orders ex Transport]]-B239)/B239</f>
        <v>-2.7113464100015552E-3</v>
      </c>
    </row>
    <row r="241" spans="1:3">
      <c r="A241" s="91">
        <v>40787</v>
      </c>
      <c r="B241" s="92">
        <f>VLOOKUP(A241,Database!A:M,MATCH($A$1,Database!$A$1:$M$1,),)</f>
        <v>148657</v>
      </c>
      <c r="C241" s="94">
        <f>(Table5351415[[#This Row],[New Orders ex Transport]]-B240)/B240</f>
        <v>7.8713999023702335E-3</v>
      </c>
    </row>
    <row r="242" spans="1:3">
      <c r="A242" s="91">
        <v>40817</v>
      </c>
      <c r="B242" s="92">
        <f>VLOOKUP(A242,Database!A:M,MATCH($A$1,Database!$A$1:$M$1,),)</f>
        <v>151629</v>
      </c>
      <c r="C242" s="94">
        <f>(Table5351415[[#This Row],[New Orders ex Transport]]-B241)/B241</f>
        <v>1.9992331339930176E-2</v>
      </c>
    </row>
    <row r="243" spans="1:3">
      <c r="A243" s="91">
        <v>40848</v>
      </c>
      <c r="B243" s="92">
        <f>VLOOKUP(A243,Database!A:M,MATCH($A$1,Database!$A$1:$M$1,),)</f>
        <v>150443</v>
      </c>
      <c r="C243" s="94">
        <f>(Table5351415[[#This Row],[New Orders ex Transport]]-B242)/B242</f>
        <v>-7.8217227575199996E-3</v>
      </c>
    </row>
    <row r="244" spans="1:3">
      <c r="A244" s="91">
        <v>40878</v>
      </c>
      <c r="B244" s="92">
        <f>VLOOKUP(A244,Database!A:M,MATCH($A$1,Database!$A$1:$M$1,),)</f>
        <v>154801</v>
      </c>
      <c r="C244" s="94">
        <f>(Table5351415[[#This Row],[New Orders ex Transport]]-B243)/B243</f>
        <v>2.8967781817698397E-2</v>
      </c>
    </row>
    <row r="245" spans="1:3">
      <c r="A245" s="91">
        <v>40909</v>
      </c>
      <c r="B245" s="92">
        <f>VLOOKUP(A245,Database!A:M,MATCH($A$1,Database!$A$1:$M$1,),)</f>
        <v>151719</v>
      </c>
      <c r="C245" s="94">
        <f>(Table5351415[[#This Row],[New Orders ex Transport]]-B244)/B244</f>
        <v>-1.9909432109611696E-2</v>
      </c>
    </row>
    <row r="246" spans="1:3">
      <c r="A246" s="91">
        <v>40940</v>
      </c>
      <c r="B246" s="92">
        <f>VLOOKUP(A246,Database!A:M,MATCH($A$1,Database!$A$1:$M$1,),)</f>
        <v>154185</v>
      </c>
      <c r="C246" s="94">
        <f>(Table5351415[[#This Row],[New Orders ex Transport]]-B245)/B245</f>
        <v>1.625373222865956E-2</v>
      </c>
    </row>
    <row r="247" spans="1:3">
      <c r="A247" s="91">
        <v>40969</v>
      </c>
      <c r="B247" s="92">
        <f>VLOOKUP(A247,Database!A:M,MATCH($A$1,Database!$A$1:$M$1,),)</f>
        <v>153583</v>
      </c>
      <c r="C247" s="94">
        <f>(Table5351415[[#This Row],[New Orders ex Transport]]-B246)/B246</f>
        <v>-3.9044005577715084E-3</v>
      </c>
    </row>
    <row r="248" spans="1:3">
      <c r="A248" s="91">
        <v>41000</v>
      </c>
      <c r="B248" s="92">
        <f>VLOOKUP(A248,Database!A:M,MATCH($A$1,Database!$A$1:$M$1,),)</f>
        <v>151536</v>
      </c>
      <c r="C248" s="94">
        <f>(Table5351415[[#This Row],[New Orders ex Transport]]-B247)/B247</f>
        <v>-1.3328298053821061E-2</v>
      </c>
    </row>
    <row r="249" spans="1:3">
      <c r="A249" s="91">
        <v>41030</v>
      </c>
      <c r="B249" s="92">
        <f>VLOOKUP(A249,Database!A:M,MATCH($A$1,Database!$A$1:$M$1,),)</f>
        <v>150929</v>
      </c>
      <c r="C249" s="94">
        <f>(Table5351415[[#This Row],[New Orders ex Transport]]-B248)/B248</f>
        <v>-4.0056488227219935E-3</v>
      </c>
    </row>
    <row r="250" spans="1:3">
      <c r="A250" s="91">
        <v>41061</v>
      </c>
      <c r="B250" s="92">
        <f>VLOOKUP(A250,Database!A:M,MATCH($A$1,Database!$A$1:$M$1,),)</f>
        <v>147024</v>
      </c>
      <c r="C250" s="94">
        <f>(Table5351415[[#This Row],[New Orders ex Transport]]-B249)/B249</f>
        <v>-2.5873092646211134E-2</v>
      </c>
    </row>
    <row r="251" spans="1:3">
      <c r="A251" s="91">
        <v>41091</v>
      </c>
      <c r="B251" s="92">
        <f>VLOOKUP(A251,Database!A:M,MATCH($A$1,Database!$A$1:$M$1,),)</f>
        <v>146060</v>
      </c>
      <c r="C251" s="94">
        <f>(Table5351415[[#This Row],[New Orders ex Transport]]-B250)/B250</f>
        <v>-6.5567526390249214E-3</v>
      </c>
    </row>
    <row r="252" spans="1:3">
      <c r="A252" s="91">
        <v>41122</v>
      </c>
      <c r="B252" s="92">
        <f>VLOOKUP(A252,Database!A:M,MATCH($A$1,Database!$A$1:$M$1,),)</f>
        <v>142907</v>
      </c>
      <c r="C252" s="94">
        <f>(Table5351415[[#This Row],[New Orders ex Transport]]-B251)/B251</f>
        <v>-2.1587019033273997E-2</v>
      </c>
    </row>
    <row r="253" spans="1:3">
      <c r="A253" s="91">
        <v>41153</v>
      </c>
      <c r="B253" s="92">
        <f>VLOOKUP(A253,Database!A:M,MATCH($A$1,Database!$A$1:$M$1,),)</f>
        <v>144383</v>
      </c>
      <c r="C253" s="94">
        <f>(Table5351415[[#This Row],[New Orders ex Transport]]-B252)/B252</f>
        <v>1.0328395390008887E-2</v>
      </c>
    </row>
    <row r="254" spans="1:3">
      <c r="A254" s="91">
        <v>41183</v>
      </c>
      <c r="B254" s="92">
        <f>VLOOKUP(A254,Database!A:M,MATCH($A$1,Database!$A$1:$M$1,),)</f>
        <v>147371</v>
      </c>
      <c r="C254" s="94">
        <f>(Table5351415[[#This Row],[New Orders ex Transport]]-B253)/B253</f>
        <v>2.0694957162546837E-2</v>
      </c>
    </row>
    <row r="255" spans="1:3">
      <c r="A255" s="91">
        <v>41214</v>
      </c>
      <c r="B255" s="92">
        <f>VLOOKUP(A255,Database!A:M,MATCH($A$1,Database!$A$1:$M$1,),)</f>
        <v>147150</v>
      </c>
      <c r="C255" s="94">
        <f>(Table5351415[[#This Row],[New Orders ex Transport]]-B254)/B254</f>
        <v>-1.4996166138521148E-3</v>
      </c>
    </row>
    <row r="256" spans="1:3">
      <c r="A256" s="91">
        <v>41244</v>
      </c>
      <c r="B256" s="92">
        <f>VLOOKUP(A256,Database!A:M,MATCH($A$1,Database!$A$1:$M$1,),)</f>
        <v>146228</v>
      </c>
      <c r="C256" s="94">
        <f>(Table5351415[[#This Row],[New Orders ex Transport]]-B255)/B255</f>
        <v>-6.2657152565409446E-3</v>
      </c>
    </row>
    <row r="257" spans="1:3">
      <c r="A257" s="91">
        <v>41275</v>
      </c>
      <c r="B257" s="92">
        <f>VLOOKUP(A257,Database!A:M,MATCH($A$1,Database!$A$1:$M$1,),)</f>
        <v>151783</v>
      </c>
      <c r="C257" s="94">
        <f>(Table5351415[[#This Row],[New Orders ex Transport]]-B256)/B256</f>
        <v>3.7988620510435757E-2</v>
      </c>
    </row>
    <row r="258" spans="1:3">
      <c r="A258" s="91">
        <v>41306</v>
      </c>
      <c r="B258" s="92">
        <f>VLOOKUP(A258,Database!A:M,MATCH($A$1,Database!$A$1:$M$1,),)</f>
        <v>149626</v>
      </c>
      <c r="C258" s="94">
        <f>(Table5351415[[#This Row],[New Orders ex Transport]]-B257)/B257</f>
        <v>-1.4211077656918101E-2</v>
      </c>
    </row>
    <row r="259" spans="1:3">
      <c r="A259" s="91">
        <v>41334</v>
      </c>
      <c r="B259" s="92">
        <f>VLOOKUP(A259,Database!A:M,MATCH($A$1,Database!$A$1:$M$1,),)</f>
        <v>146226</v>
      </c>
      <c r="C259" s="94">
        <f>(Table5351415[[#This Row],[New Orders ex Transport]]-B258)/B258</f>
        <v>-2.2723323486559824E-2</v>
      </c>
    </row>
    <row r="260" spans="1:3">
      <c r="A260" s="91">
        <v>41365</v>
      </c>
      <c r="B260" s="92">
        <f>VLOOKUP(A260,Database!A:M,MATCH($A$1,Database!$A$1:$M$1,),)</f>
        <v>149557</v>
      </c>
      <c r="C260" s="94">
        <f>(Table5351415[[#This Row],[New Orders ex Transport]]-B259)/B259</f>
        <v>2.2779806600741317E-2</v>
      </c>
    </row>
    <row r="261" spans="1:3">
      <c r="A261" s="91">
        <v>41395</v>
      </c>
      <c r="B261" s="92">
        <f>VLOOKUP(A261,Database!A:M,MATCH($A$1,Database!$A$1:$M$1,),)</f>
        <v>150641</v>
      </c>
      <c r="C261" s="94">
        <f>(Table5351415[[#This Row],[New Orders ex Transport]]-B260)/B260</f>
        <v>7.2480726412003449E-3</v>
      </c>
    </row>
    <row r="262" spans="1:3">
      <c r="A262" s="91">
        <v>41426</v>
      </c>
      <c r="B262" s="92">
        <f>VLOOKUP(A262,Database!A:M,MATCH($A$1,Database!$A$1:$M$1,),)</f>
        <v>150559</v>
      </c>
      <c r="C262" s="94">
        <f>(Table5351415[[#This Row],[New Orders ex Transport]]-B261)/B261</f>
        <v>-5.443405181856201E-4</v>
      </c>
    </row>
    <row r="263" spans="1:3">
      <c r="A263" s="91">
        <v>41456</v>
      </c>
      <c r="B263" s="92">
        <f>VLOOKUP(A263,Database!A:M,MATCH($A$1,Database!$A$1:$M$1,),)</f>
        <v>148258</v>
      </c>
      <c r="C263" s="94">
        <f>(Table5351415[[#This Row],[New Orders ex Transport]]-B262)/B262</f>
        <v>-1.5283045184944109E-2</v>
      </c>
    </row>
    <row r="264" spans="1:3">
      <c r="A264" s="91">
        <v>41487</v>
      </c>
      <c r="B264" s="92">
        <f>VLOOKUP(A264,Database!A:M,MATCH($A$1,Database!$A$1:$M$1,),)</f>
        <v>147624</v>
      </c>
      <c r="C264" s="94">
        <f>(Table5351415[[#This Row],[New Orders ex Transport]]-B263)/B263</f>
        <v>-4.2763291019708889E-3</v>
      </c>
    </row>
    <row r="265" spans="1:3">
      <c r="A265" s="91">
        <v>41518</v>
      </c>
      <c r="B265" s="92">
        <f>VLOOKUP(A265,Database!A:M,MATCH($A$1,Database!$A$1:$M$1,),)</f>
        <v>148342</v>
      </c>
      <c r="C265" s="94">
        <f>(Table5351415[[#This Row],[New Orders ex Transport]]-B264)/B264</f>
        <v>4.863707798189996E-3</v>
      </c>
    </row>
    <row r="266" spans="1:3">
      <c r="A266" s="91">
        <v>41548</v>
      </c>
      <c r="B266" s="92">
        <f>VLOOKUP(A266,Database!A:M,MATCH($A$1,Database!$A$1:$M$1,),)</f>
        <v>148888</v>
      </c>
      <c r="C266" s="94">
        <f>(Table5351415[[#This Row],[New Orders ex Transport]]-B265)/B265</f>
        <v>3.6806838252147066E-3</v>
      </c>
    </row>
    <row r="267" spans="1:3">
      <c r="A267" s="91">
        <v>41579</v>
      </c>
      <c r="B267" s="92">
        <f>VLOOKUP(A267,Database!A:M,MATCH($A$1,Database!$A$1:$M$1,),)</f>
        <v>150582</v>
      </c>
      <c r="C267" s="94">
        <f>(Table5351415[[#This Row],[New Orders ex Transport]]-B266)/B266</f>
        <v>1.1377679866745474E-2</v>
      </c>
    </row>
    <row r="268" spans="1:3">
      <c r="A268" s="91">
        <v>41609</v>
      </c>
      <c r="B268" s="92">
        <f>VLOOKUP(A268,Database!A:M,MATCH($A$1,Database!$A$1:$M$1,),)</f>
        <v>148149</v>
      </c>
      <c r="C268" s="94">
        <f>(Table5351415[[#This Row],[New Orders ex Transport]]-B267)/B267</f>
        <v>-1.6157309638602225E-2</v>
      </c>
    </row>
    <row r="269" spans="1:3">
      <c r="A269" s="91">
        <v>41640</v>
      </c>
      <c r="B269" s="92">
        <f>VLOOKUP(A269,Database!A:M,MATCH($A$1,Database!$A$1:$M$1,),)</f>
        <v>151235</v>
      </c>
      <c r="C269" s="94">
        <f>(Table5351415[[#This Row],[New Orders ex Transport]]-B268)/B268</f>
        <v>2.0830380225313704E-2</v>
      </c>
    </row>
    <row r="270" spans="1:3">
      <c r="A270" s="91">
        <v>41671</v>
      </c>
      <c r="B270" s="92">
        <f>VLOOKUP(A270,Database!A:M,MATCH($A$1,Database!$A$1:$M$1,),)</f>
        <v>151319</v>
      </c>
      <c r="C270" s="94">
        <f>(Table5351415[[#This Row],[New Orders ex Transport]]-B269)/B269</f>
        <v>5.5542698449433006E-4</v>
      </c>
    </row>
    <row r="271" spans="1:3">
      <c r="A271" s="91">
        <v>41699</v>
      </c>
      <c r="B271" s="92">
        <f>VLOOKUP(A271,Database!A:M,MATCH($A$1,Database!$A$1:$M$1,),)</f>
        <v>153561</v>
      </c>
      <c r="C271" s="94">
        <f>(Table5351415[[#This Row],[New Orders ex Transport]]-B270)/B270</f>
        <v>1.4816381287214428E-2</v>
      </c>
    </row>
    <row r="272" spans="1:3">
      <c r="A272" s="91">
        <v>41730</v>
      </c>
      <c r="B272" s="92">
        <f>VLOOKUP(A272,Database!A:M,MATCH($A$1,Database!$A$1:$M$1,),)</f>
        <v>151991</v>
      </c>
      <c r="C272" s="94">
        <f>(Table5351415[[#This Row],[New Orders ex Transport]]-B271)/B271</f>
        <v>-1.0223950091494585E-2</v>
      </c>
    </row>
    <row r="273" spans="1:3">
      <c r="A273" s="91">
        <v>41760</v>
      </c>
      <c r="B273" s="92">
        <f>VLOOKUP(A273,Database!A:M,MATCH($A$1,Database!$A$1:$M$1,),)</f>
        <v>152270</v>
      </c>
      <c r="C273" s="94">
        <f>(Table5351415[[#This Row],[New Orders ex Transport]]-B272)/B272</f>
        <v>1.8356350047042259E-3</v>
      </c>
    </row>
    <row r="274" spans="1:3">
      <c r="A274" s="91">
        <v>41791</v>
      </c>
      <c r="B274" s="92">
        <f>VLOOKUP(A274,Database!A:M,MATCH($A$1,Database!$A$1:$M$1,),)</f>
        <v>156439</v>
      </c>
      <c r="C274" s="94">
        <f>(Table5351415[[#This Row],[New Orders ex Transport]]-B273)/B273</f>
        <v>2.7378997832797004E-2</v>
      </c>
    </row>
    <row r="275" spans="1:3">
      <c r="A275" s="91">
        <v>41821</v>
      </c>
      <c r="B275" s="92">
        <f>VLOOKUP(A275,Database!A:M,MATCH($A$1,Database!$A$1:$M$1,),)</f>
        <v>153393</v>
      </c>
      <c r="C275" s="94">
        <f>(Table5351415[[#This Row],[New Orders ex Transport]]-B274)/B274</f>
        <v>-1.9470848062183983E-2</v>
      </c>
    </row>
    <row r="276" spans="1:3">
      <c r="A276" s="91">
        <v>41852</v>
      </c>
      <c r="B276" s="92">
        <f>VLOOKUP(A276,Database!A:M,MATCH($A$1,Database!$A$1:$M$1,),)</f>
        <v>155316</v>
      </c>
      <c r="C276" s="94">
        <f>(Table5351415[[#This Row],[New Orders ex Transport]]-B275)/B275</f>
        <v>1.2536426042909389E-2</v>
      </c>
    </row>
    <row r="277" spans="1:3">
      <c r="A277" s="91">
        <v>41883</v>
      </c>
      <c r="B277" s="92">
        <f>VLOOKUP(A277,Database!A:M,MATCH($A$1,Database!$A$1:$M$1,),)</f>
        <v>156845</v>
      </c>
      <c r="C277" s="94">
        <f>(Table5351415[[#This Row],[New Orders ex Transport]]-B276)/B276</f>
        <v>9.8444461613742314E-3</v>
      </c>
    </row>
    <row r="278" spans="1:3">
      <c r="A278" s="91">
        <v>41913</v>
      </c>
      <c r="B278" s="92">
        <f>VLOOKUP(A278,Database!A:M,MATCH($A$1,Database!$A$1:$M$1,),)</f>
        <v>152664</v>
      </c>
      <c r="C278" s="94">
        <f>(Table5351415[[#This Row],[New Orders ex Transport]]-B277)/B277</f>
        <v>-2.6656890560744686E-2</v>
      </c>
    </row>
    <row r="279" spans="1:3">
      <c r="A279" s="91">
        <v>41944</v>
      </c>
      <c r="B279" s="92">
        <f>VLOOKUP(A279,Database!A:M,MATCH($A$1,Database!$A$1:$M$1,),)</f>
        <v>148984</v>
      </c>
      <c r="C279" s="94">
        <f>(Table5351415[[#This Row],[New Orders ex Transport]]-B278)/B278</f>
        <v>-2.4105224545406905E-2</v>
      </c>
    </row>
    <row r="280" spans="1:3">
      <c r="A280" s="91">
        <v>41974</v>
      </c>
      <c r="B280" s="92">
        <f>VLOOKUP(A280,Database!A:M,MATCH($A$1,Database!$A$1:$M$1,),)</f>
        <v>150461</v>
      </c>
      <c r="C280" s="94">
        <f>(Table5351415[[#This Row],[New Orders ex Transport]]-B279)/B279</f>
        <v>9.913816248724696E-3</v>
      </c>
    </row>
    <row r="281" spans="1:3">
      <c r="A281" s="91">
        <v>42005</v>
      </c>
      <c r="B281" s="92">
        <f>VLOOKUP(A281,Database!A:M,MATCH($A$1,Database!$A$1:$M$1,),)</f>
        <v>147633</v>
      </c>
      <c r="C281" s="94">
        <f>(Table5351415[[#This Row],[New Orders ex Transport]]-B280)/B280</f>
        <v>-1.8795568286798573E-2</v>
      </c>
    </row>
    <row r="282" spans="1:3">
      <c r="A282" s="91">
        <v>42036</v>
      </c>
      <c r="B282" s="92">
        <f>VLOOKUP(A282,Database!A:M,MATCH($A$1,Database!$A$1:$M$1,),)</f>
        <v>146519</v>
      </c>
      <c r="C282" s="94">
        <f>(Table5351415[[#This Row],[New Orders ex Transport]]-B281)/B281</f>
        <v>-7.5457384189171793E-3</v>
      </c>
    </row>
    <row r="283" spans="1:3">
      <c r="A283" s="91">
        <v>42064</v>
      </c>
      <c r="B283" s="92">
        <f>VLOOKUP(A283,Database!A:M,MATCH($A$1,Database!$A$1:$M$1,),)</f>
        <v>147167</v>
      </c>
      <c r="C283" s="94">
        <f>(Table5351415[[#This Row],[New Orders ex Transport]]-B282)/B282</f>
        <v>4.4226346071158003E-3</v>
      </c>
    </row>
    <row r="284" spans="1:3">
      <c r="A284" s="91">
        <v>42095</v>
      </c>
      <c r="B284" s="92">
        <f>VLOOKUP(A284,Database!A:M,MATCH($A$1,Database!$A$1:$M$1,),)</f>
        <v>146695</v>
      </c>
      <c r="C284" s="94">
        <f>(Table5351415[[#This Row],[New Orders ex Transport]]-B283)/B283</f>
        <v>-3.2072407537015769E-3</v>
      </c>
    </row>
    <row r="285" spans="1:3">
      <c r="A285" s="91">
        <v>42125</v>
      </c>
      <c r="B285" s="92">
        <f>VLOOKUP(A285,Database!A:M,MATCH($A$1,Database!$A$1:$M$1,),)</f>
        <v>145002</v>
      </c>
      <c r="C285" s="94">
        <f>(Table5351415[[#This Row],[New Orders ex Transport]]-B284)/B284</f>
        <v>-1.1540952316029859E-2</v>
      </c>
    </row>
    <row r="286" spans="1:3">
      <c r="A286" s="91">
        <v>42156</v>
      </c>
      <c r="B286" s="92">
        <f>VLOOKUP(A286,Database!A:M,MATCH($A$1,Database!$A$1:$M$1,),)</f>
        <v>147593</v>
      </c>
      <c r="C286" s="94">
        <f>(Table5351415[[#This Row],[New Orders ex Transport]]-B285)/B285</f>
        <v>1.7868719052151004E-2</v>
      </c>
    </row>
    <row r="287" spans="1:3">
      <c r="A287" s="91">
        <v>42186</v>
      </c>
      <c r="B287" s="92">
        <f>VLOOKUP(A287,Database!A:M,MATCH($A$1,Database!$A$1:$M$1,),)</f>
        <v>145962</v>
      </c>
      <c r="C287" s="94">
        <f>(Table5351415[[#This Row],[New Orders ex Transport]]-B286)/B286</f>
        <v>-1.1050659584126618E-2</v>
      </c>
    </row>
    <row r="288" spans="1:3">
      <c r="A288" s="91">
        <v>42217</v>
      </c>
      <c r="B288" s="92">
        <f>VLOOKUP(A288,Database!A:M,MATCH($A$1,Database!$A$1:$M$1,),)</f>
        <v>146304</v>
      </c>
      <c r="C288" s="94">
        <f>(Table5351415[[#This Row],[New Orders ex Transport]]-B287)/B287</f>
        <v>2.3430755950178813E-3</v>
      </c>
    </row>
    <row r="289" spans="1:3">
      <c r="A289" s="91">
        <v>42248</v>
      </c>
      <c r="B289" s="92">
        <f>VLOOKUP(A289,Database!A:M,MATCH($A$1,Database!$A$1:$M$1,),)</f>
        <v>145912</v>
      </c>
      <c r="C289" s="94">
        <f>(Table5351415[[#This Row],[New Orders ex Transport]]-B288)/B288</f>
        <v>-2.6793525809273842E-3</v>
      </c>
    </row>
    <row r="290" spans="1:3">
      <c r="A290" s="91">
        <v>42278</v>
      </c>
      <c r="B290" s="92">
        <f>VLOOKUP(A290,Database!A:M,MATCH($A$1,Database!$A$1:$M$1,),)</f>
        <v>144202</v>
      </c>
      <c r="C290" s="94">
        <f>(Table5351415[[#This Row],[New Orders ex Transport]]-B289)/B289</f>
        <v>-1.1719392510554308E-2</v>
      </c>
    </row>
    <row r="291" spans="1:3">
      <c r="A291" s="91">
        <v>42309</v>
      </c>
      <c r="B291" s="92">
        <f>VLOOKUP(A291,Database!A:M,MATCH($A$1,Database!$A$1:$M$1,),)</f>
        <v>143541</v>
      </c>
      <c r="C291" s="94">
        <f>(Table5351415[[#This Row],[New Orders ex Transport]]-B290)/B290</f>
        <v>-4.5838476581462114E-3</v>
      </c>
    </row>
    <row r="292" spans="1:3">
      <c r="A292" s="91">
        <v>42339</v>
      </c>
      <c r="B292" s="92">
        <f>VLOOKUP(A292,Database!A:M,MATCH($A$1,Database!$A$1:$M$1,),)</f>
        <v>142203</v>
      </c>
      <c r="C292" s="94">
        <f>(Table5351415[[#This Row],[New Orders ex Transport]]-B291)/B291</f>
        <v>-9.32137856082931E-3</v>
      </c>
    </row>
    <row r="293" spans="1:3">
      <c r="A293" s="91">
        <v>42370</v>
      </c>
      <c r="B293" s="92">
        <f>VLOOKUP(A293,Database!A:M,MATCH($A$1,Database!$A$1:$M$1,),)</f>
        <v>144204</v>
      </c>
      <c r="C293" s="94">
        <f>(Table5351415[[#This Row],[New Orders ex Transport]]-B292)/B292</f>
        <v>1.4071433092128858E-2</v>
      </c>
    </row>
    <row r="294" spans="1:3">
      <c r="A294" s="91">
        <v>42401</v>
      </c>
      <c r="B294" s="92">
        <f>VLOOKUP(A294,Database!A:M,MATCH($A$1,Database!$A$1:$M$1,),)</f>
        <v>142619</v>
      </c>
      <c r="C294" s="94">
        <f>(Table5351415[[#This Row],[New Orders ex Transport]]-B293)/B293</f>
        <v>-1.0991373332223794E-2</v>
      </c>
    </row>
    <row r="295" spans="1:3">
      <c r="A295" s="91">
        <v>42430</v>
      </c>
      <c r="B295" s="92">
        <f>VLOOKUP(A295,Database!A:M,MATCH($A$1,Database!$A$1:$M$1,),)</f>
        <v>141372</v>
      </c>
      <c r="C295" s="94">
        <f>(Table5351415[[#This Row],[New Orders ex Transport]]-B294)/B294</f>
        <v>-8.7435755404258898E-3</v>
      </c>
    </row>
    <row r="296" spans="1:3">
      <c r="A296" s="91">
        <v>42461</v>
      </c>
      <c r="B296" s="92">
        <f>VLOOKUP(A296,Database!A:M,MATCH($A$1,Database!$A$1:$M$1,),)</f>
        <v>142360</v>
      </c>
      <c r="C296" s="94">
        <f>(Table5351415[[#This Row],[New Orders ex Transport]]-B295)/B295</f>
        <v>6.988654047477577E-3</v>
      </c>
    </row>
    <row r="297" spans="1:3">
      <c r="A297" s="91">
        <v>42491</v>
      </c>
      <c r="B297" s="92">
        <f>VLOOKUP(A297,Database!A:M,MATCH($A$1,Database!$A$1:$M$1,),)</f>
        <v>141615</v>
      </c>
      <c r="C297" s="94">
        <f>(Table5351415[[#This Row],[New Orders ex Transport]]-B296)/B296</f>
        <v>-5.2332115762854731E-3</v>
      </c>
    </row>
    <row r="298" spans="1:3">
      <c r="A298" s="91">
        <v>42522</v>
      </c>
      <c r="B298" s="92">
        <f>VLOOKUP(A298,Database!A:M,MATCH($A$1,Database!$A$1:$M$1,),)</f>
        <v>140743</v>
      </c>
      <c r="C298" s="94">
        <f>(Table5351415[[#This Row],[New Orders ex Transport]]-B297)/B297</f>
        <v>-6.1575398086360904E-3</v>
      </c>
    </row>
    <row r="299" spans="1:3">
      <c r="A299" s="91">
        <v>42552</v>
      </c>
      <c r="B299" s="92">
        <f>VLOOKUP(A299,Database!A:M,MATCH($A$1,Database!$A$1:$M$1,),)</f>
        <v>141693</v>
      </c>
      <c r="C299" s="94">
        <f>(Table5351415[[#This Row],[New Orders ex Transport]]-B298)/B298</f>
        <v>6.7498916464762016E-3</v>
      </c>
    </row>
    <row r="300" spans="1:3">
      <c r="A300" s="91">
        <v>42583</v>
      </c>
      <c r="B300" s="92">
        <f>VLOOKUP(A300,Database!A:M,MATCH($A$1,Database!$A$1:$M$1,),)</f>
        <v>141908</v>
      </c>
      <c r="C300" s="94">
        <f>(Table5351415[[#This Row],[New Orders ex Transport]]-B299)/B299</f>
        <v>1.5173650074456748E-3</v>
      </c>
    </row>
    <row r="301" spans="1:3">
      <c r="A301" s="91">
        <v>42614</v>
      </c>
      <c r="B301" s="92">
        <f>VLOOKUP(A301,Database!A:M,MATCH($A$1,Database!$A$1:$M$1,),)</f>
        <v>141062</v>
      </c>
      <c r="C301" s="94">
        <f>(Table5351415[[#This Row],[New Orders ex Transport]]-B300)/B300</f>
        <v>-5.9616089297291203E-3</v>
      </c>
    </row>
    <row r="302" spans="1:3">
      <c r="A302" s="91">
        <v>42644</v>
      </c>
      <c r="B302" s="92">
        <f>VLOOKUP(A302,Database!A:M,MATCH($A$1,Database!$A$1:$M$1,),)</f>
        <v>141987</v>
      </c>
      <c r="C302" s="94">
        <f>(Table5351415[[#This Row],[New Orders ex Transport]]-B301)/B301</f>
        <v>6.5574002920701533E-3</v>
      </c>
    </row>
    <row r="303" spans="1:3">
      <c r="A303" s="91">
        <v>42675</v>
      </c>
      <c r="B303" s="92">
        <f>VLOOKUP(A303,Database!A:M,MATCH($A$1,Database!$A$1:$M$1,),)</f>
        <v>142386</v>
      </c>
      <c r="C303" s="94">
        <f>(Table5351415[[#This Row],[New Orders ex Transport]]-B302)/B302</f>
        <v>2.8101164191087916E-3</v>
      </c>
    </row>
    <row r="304" spans="1:3">
      <c r="A304" s="91">
        <v>42705</v>
      </c>
      <c r="B304" s="92">
        <f>VLOOKUP(A304,Database!A:M,MATCH($A$1,Database!$A$1:$M$1,),)</f>
        <v>142620</v>
      </c>
      <c r="C304" s="94">
        <f>(Table5351415[[#This Row],[New Orders ex Transport]]-B303)/B303</f>
        <v>1.6434199991572204E-3</v>
      </c>
    </row>
    <row r="305" spans="1:3">
      <c r="A305" s="91">
        <v>42736</v>
      </c>
      <c r="B305" s="92">
        <f>VLOOKUP(A305,Database!A:M,MATCH($A$1,Database!$A$1:$M$1,),)</f>
        <v>144995</v>
      </c>
      <c r="C305" s="94">
        <f>(Table5351415[[#This Row],[New Orders ex Transport]]-B304)/B304</f>
        <v>1.6652643388024121E-2</v>
      </c>
    </row>
    <row r="306" spans="1:3">
      <c r="A306" s="91">
        <v>42767</v>
      </c>
      <c r="B306" s="92">
        <f>VLOOKUP(A306,Database!A:M,MATCH($A$1,Database!$A$1:$M$1,),)</f>
        <v>145319</v>
      </c>
      <c r="C306" s="94">
        <f>(Table5351415[[#This Row],[New Orders ex Transport]]-B305)/B305</f>
        <v>2.2345598124073243E-3</v>
      </c>
    </row>
    <row r="307" spans="1:3">
      <c r="A307" s="91">
        <v>42795</v>
      </c>
      <c r="B307" s="92">
        <f>VLOOKUP(A307,Database!A:M,MATCH($A$1,Database!$A$1:$M$1,),)</f>
        <v>146922</v>
      </c>
      <c r="C307" s="94">
        <f>(Table5351415[[#This Row],[New Orders ex Transport]]-B306)/B306</f>
        <v>1.1030904424060172E-2</v>
      </c>
    </row>
    <row r="308" spans="1:3">
      <c r="A308" s="91">
        <v>42826</v>
      </c>
      <c r="B308" s="92">
        <f>VLOOKUP(A308,Database!A:M,MATCH($A$1,Database!$A$1:$M$1,),)</f>
        <v>146163</v>
      </c>
      <c r="C308" s="94">
        <f>(Table5351415[[#This Row],[New Orders ex Transport]]-B307)/B307</f>
        <v>-5.1660064524033161E-3</v>
      </c>
    </row>
    <row r="309" spans="1:3">
      <c r="A309" s="91">
        <v>42856</v>
      </c>
      <c r="B309" s="92">
        <f>VLOOKUP(A309,Database!A:M,MATCH($A$1,Database!$A$1:$M$1,),)</f>
        <v>147528</v>
      </c>
      <c r="C309" s="94">
        <f>(Table5351415[[#This Row],[New Orders ex Transport]]-B308)/B308</f>
        <v>9.3388887748609428E-3</v>
      </c>
    </row>
    <row r="310" spans="1:3">
      <c r="A310" s="91">
        <v>42887</v>
      </c>
      <c r="B310" s="92">
        <f>VLOOKUP(A310,Database!A:M,MATCH($A$1,Database!$A$1:$M$1,),)</f>
        <v>146109</v>
      </c>
      <c r="C310" s="94">
        <f>(Table5351415[[#This Row],[New Orders ex Transport]]-B309)/B309</f>
        <v>-9.6185130958190996E-3</v>
      </c>
    </row>
    <row r="311" spans="1:3">
      <c r="A311" s="91">
        <v>42917</v>
      </c>
      <c r="B311" s="92">
        <f>VLOOKUP(A311,Database!A:M,MATCH($A$1,Database!$A$1:$M$1,),)</f>
        <v>147906</v>
      </c>
      <c r="C311" s="94">
        <f>(Table5351415[[#This Row],[New Orders ex Transport]]-B310)/B310</f>
        <v>1.2299037020306757E-2</v>
      </c>
    </row>
    <row r="312" spans="1:3">
      <c r="A312" s="91">
        <v>42948</v>
      </c>
      <c r="B312" s="92">
        <f>VLOOKUP(A312,Database!A:M,MATCH($A$1,Database!$A$1:$M$1,),)</f>
        <v>148674</v>
      </c>
      <c r="C312" s="94">
        <f>(Table5351415[[#This Row],[New Orders ex Transport]]-B311)/B311</f>
        <v>5.1924871201979635E-3</v>
      </c>
    </row>
    <row r="313" spans="1:3">
      <c r="A313" s="91">
        <v>42979</v>
      </c>
      <c r="B313" s="92">
        <f>VLOOKUP(A313,Database!A:M,MATCH($A$1,Database!$A$1:$M$1,),)</f>
        <v>150573</v>
      </c>
      <c r="C313" s="94">
        <f>(Table5351415[[#This Row],[New Orders ex Transport]]-B312)/B312</f>
        <v>1.2772912546914726E-2</v>
      </c>
    </row>
    <row r="314" spans="1:3">
      <c r="A314" s="91">
        <v>43009</v>
      </c>
      <c r="B314" s="92">
        <f>VLOOKUP(A314,Database!A:M,MATCH($A$1,Database!$A$1:$M$1,),)</f>
        <v>152791</v>
      </c>
      <c r="C314" s="94">
        <f>(Table5351415[[#This Row],[New Orders ex Transport]]-B313)/B313</f>
        <v>1.4730396551838642E-2</v>
      </c>
    </row>
    <row r="315" spans="1:3">
      <c r="A315" s="91">
        <v>43040</v>
      </c>
      <c r="B315" s="92">
        <f>VLOOKUP(A315,Database!A:M,MATCH($A$1,Database!$A$1:$M$1,),)</f>
        <v>153425</v>
      </c>
      <c r="C315" s="94">
        <f>(Table5351415[[#This Row],[New Orders ex Transport]]-B314)/B314</f>
        <v>4.1494590649972839E-3</v>
      </c>
    </row>
    <row r="316" spans="1:3">
      <c r="A316" s="91">
        <v>43070</v>
      </c>
      <c r="B316" s="92">
        <f>VLOOKUP(A316,Database!A:M,MATCH($A$1,Database!$A$1:$M$1,),)</f>
        <v>154358</v>
      </c>
      <c r="C316" s="94">
        <f>(Table5351415[[#This Row],[New Orders ex Transport]]-B315)/B315</f>
        <v>6.081147140296562E-3</v>
      </c>
    </row>
    <row r="317" spans="1:3">
      <c r="A317" s="91">
        <v>43101</v>
      </c>
      <c r="B317" s="92">
        <f>VLOOKUP(A317,Database!A:M,MATCH($A$1,Database!$A$1:$M$1,),)</f>
        <v>153988</v>
      </c>
      <c r="C317" s="94">
        <f>(Table5351415[[#This Row],[New Orders ex Transport]]-B316)/B316</f>
        <v>-2.3970250975006153E-3</v>
      </c>
    </row>
    <row r="318" spans="1:3">
      <c r="A318" s="91">
        <v>43132</v>
      </c>
      <c r="B318" s="92">
        <f>VLOOKUP(A318,Database!A:M,MATCH($A$1,Database!$A$1:$M$1,),)</f>
        <v>156117</v>
      </c>
      <c r="C318" s="94">
        <f>(Table5351415[[#This Row],[New Orders ex Transport]]-B317)/B317</f>
        <v>1.3825752656051122E-2</v>
      </c>
    </row>
    <row r="319" spans="1:3">
      <c r="A319" s="91">
        <v>43160</v>
      </c>
      <c r="B319" s="92">
        <f>VLOOKUP(A319,Database!A:M,MATCH($A$1,Database!$A$1:$M$1,),)</f>
        <v>156933</v>
      </c>
      <c r="C319" s="94">
        <f>(Table5351415[[#This Row],[New Orders ex Transport]]-B318)/B318</f>
        <v>5.2268490939487693E-3</v>
      </c>
    </row>
    <row r="320" spans="1:3">
      <c r="A320" s="91">
        <v>43191</v>
      </c>
      <c r="B320" s="92">
        <f>VLOOKUP(A320,Database!A:M,MATCH($A$1,Database!$A$1:$M$1,),)</f>
        <v>159378</v>
      </c>
      <c r="C320" s="94">
        <f>(Table5351415[[#This Row],[New Orders ex Transport]]-B319)/B319</f>
        <v>1.5579897153562347E-2</v>
      </c>
    </row>
    <row r="321" spans="1:3">
      <c r="A321" s="91">
        <v>43221</v>
      </c>
      <c r="B321" s="92">
        <f>VLOOKUP(A321,Database!A:M,MATCH($A$1,Database!$A$1:$M$1,),)</f>
        <v>161173</v>
      </c>
      <c r="C321" s="94">
        <f>(Table5351415[[#This Row],[New Orders ex Transport]]-B320)/B320</f>
        <v>1.1262533097416205E-2</v>
      </c>
    </row>
    <row r="322" spans="1:3">
      <c r="A322" s="91">
        <v>43252</v>
      </c>
      <c r="B322" s="92">
        <f>VLOOKUP(A322,Database!A:M,MATCH($A$1,Database!$A$1:$M$1,),)</f>
        <v>161822</v>
      </c>
      <c r="C322" s="94">
        <f>(Table5351415[[#This Row],[New Orders ex Transport]]-B321)/B321</f>
        <v>4.0267290427056643E-3</v>
      </c>
    </row>
    <row r="323" spans="1:3">
      <c r="A323" s="91">
        <v>43282</v>
      </c>
      <c r="B323" s="92">
        <f>VLOOKUP(A323,Database!A:M,MATCH($A$1,Database!$A$1:$M$1,),)</f>
        <v>162169</v>
      </c>
      <c r="C323" s="94">
        <f>(Table5351415[[#This Row],[New Orders ex Transport]]-B322)/B322</f>
        <v>2.1443314258877038E-3</v>
      </c>
    </row>
    <row r="324" spans="1:3">
      <c r="A324" s="91">
        <v>43313</v>
      </c>
      <c r="B324" s="92">
        <f>VLOOKUP(A324,Database!A:M,MATCH($A$1,Database!$A$1:$M$1,),)</f>
        <v>160301</v>
      </c>
      <c r="C324" s="94">
        <f>(Table5351415[[#This Row],[New Orders ex Transport]]-B323)/B323</f>
        <v>-1.1518847621925276E-2</v>
      </c>
    </row>
    <row r="325" spans="1:3">
      <c r="A325" s="91">
        <v>43344</v>
      </c>
      <c r="B325" s="92">
        <f>VLOOKUP(A325,Database!A:M,MATCH($A$1,Database!$A$1:$M$1,),)</f>
        <v>159376</v>
      </c>
      <c r="C325" s="94">
        <f>(Table5351415[[#This Row],[New Orders ex Transport]]-B324)/B324</f>
        <v>-5.7703944454494983E-3</v>
      </c>
    </row>
    <row r="326" spans="1:3">
      <c r="A326" s="91">
        <v>43374</v>
      </c>
      <c r="B326" s="92">
        <f>VLOOKUP(A326,Database!A:M,MATCH($A$1,Database!$A$1:$M$1,),)</f>
        <v>160988</v>
      </c>
      <c r="C326" s="94">
        <f>(Table5351415[[#This Row],[New Orders ex Transport]]-B325)/B325</f>
        <v>1.0114446340728842E-2</v>
      </c>
    </row>
    <row r="327" spans="1:3">
      <c r="A327" s="91">
        <v>43405</v>
      </c>
      <c r="B327" s="92">
        <f>VLOOKUP(A327,Database!A:M,MATCH($A$1,Database!$A$1:$M$1,),)</f>
        <v>157324</v>
      </c>
      <c r="C327" s="94">
        <f>(Table5351415[[#This Row],[New Orders ex Transport]]-B326)/B326</f>
        <v>-2.2759460332447138E-2</v>
      </c>
    </row>
    <row r="328" spans="1:3">
      <c r="A328" s="91">
        <v>43435</v>
      </c>
      <c r="B328" s="92">
        <f>VLOOKUP(A328,Database!A:M,MATCH($A$1,Database!$A$1:$M$1,),)</f>
        <v>158140</v>
      </c>
      <c r="C328" s="94">
        <f>(Table5351415[[#This Row],[New Orders ex Transport]]-B327)/B327</f>
        <v>5.1867483664285166E-3</v>
      </c>
    </row>
    <row r="329" spans="1:3">
      <c r="A329" s="91">
        <v>43466</v>
      </c>
      <c r="B329" s="92">
        <f>VLOOKUP(A329,Database!A:M,MATCH($A$1,Database!$A$1:$M$1,),)</f>
        <v>157472</v>
      </c>
      <c r="C329" s="94">
        <f>(Table5351415[[#This Row],[New Orders ex Transport]]-B328)/B328</f>
        <v>-4.2241052232199318E-3</v>
      </c>
    </row>
    <row r="330" spans="1:3">
      <c r="A330" s="91">
        <v>43497</v>
      </c>
      <c r="B330" s="92">
        <f>VLOOKUP(A330,Database!A:M,MATCH($A$1,Database!$A$1:$M$1,),)</f>
        <v>156980</v>
      </c>
      <c r="C330" s="94">
        <f>(Table5351415[[#This Row],[New Orders ex Transport]]-B329)/B329</f>
        <v>-3.1243649664702295E-3</v>
      </c>
    </row>
    <row r="331" spans="1:3">
      <c r="A331" s="91">
        <v>43525</v>
      </c>
      <c r="B331" s="92">
        <f>VLOOKUP(A331,Database!A:M,MATCH($A$1,Database!$A$1:$M$1,),)</f>
        <v>156767</v>
      </c>
      <c r="C331" s="94">
        <f>(Table5351415[[#This Row],[New Orders ex Transport]]-B330)/B330</f>
        <v>-1.3568607465919225E-3</v>
      </c>
    </row>
    <row r="332" spans="1:3">
      <c r="A332" s="91">
        <v>43556</v>
      </c>
      <c r="B332" s="92">
        <f>VLOOKUP(A332,Database!A:M,MATCH($A$1,Database!$A$1:$M$1,),)</f>
        <v>157850</v>
      </c>
      <c r="C332" s="94">
        <f>(Table5351415[[#This Row],[New Orders ex Transport]]-B331)/B331</f>
        <v>6.9083416790523518E-3</v>
      </c>
    </row>
    <row r="333" spans="1:3">
      <c r="A333" s="91">
        <v>43586</v>
      </c>
      <c r="B333" s="92">
        <f>VLOOKUP(A333,Database!A:M,MATCH($A$1,Database!$A$1:$M$1,),)</f>
        <v>157491</v>
      </c>
      <c r="C333" s="94">
        <f>(Table5351415[[#This Row],[New Orders ex Transport]]-B332)/B332</f>
        <v>-2.2743110547988597E-3</v>
      </c>
    </row>
    <row r="334" spans="1:3">
      <c r="A334" s="91">
        <v>43617</v>
      </c>
      <c r="B334" s="92">
        <f>VLOOKUP(A334,Database!A:M,MATCH($A$1,Database!$A$1:$M$1,),)</f>
        <v>158841</v>
      </c>
      <c r="C334" s="94">
        <f>(Table5351415[[#This Row],[New Orders ex Transport]]-B333)/B333</f>
        <v>8.5719183953368756E-3</v>
      </c>
    </row>
    <row r="335" spans="1:3">
      <c r="A335" s="91">
        <v>43647</v>
      </c>
      <c r="B335" s="92">
        <f>VLOOKUP(A335,Database!A:M,MATCH($A$1,Database!$A$1:$M$1,),)</f>
        <v>156943</v>
      </c>
      <c r="C335" s="94">
        <f>(Table5351415[[#This Row],[New Orders ex Transport]]-B334)/B334</f>
        <v>-1.1949055974213207E-2</v>
      </c>
    </row>
    <row r="336" spans="1:3">
      <c r="A336" s="91">
        <v>43678</v>
      </c>
      <c r="B336" s="92">
        <f>VLOOKUP(A336,Database!A:M,MATCH($A$1,Database!$A$1:$M$1,),)</f>
        <v>157074</v>
      </c>
      <c r="C336" s="94">
        <f>(Table5351415[[#This Row],[New Orders ex Transport]]-B335)/B335</f>
        <v>8.3469794766252714E-4</v>
      </c>
    </row>
    <row r="337" spans="1:3">
      <c r="A337" s="91">
        <v>43709</v>
      </c>
      <c r="B337" s="92">
        <f>VLOOKUP(A337,Database!A:M,MATCH($A$1,Database!$A$1:$M$1,),)</f>
        <v>156112</v>
      </c>
      <c r="C337" s="94">
        <f>(Table5351415[[#This Row],[New Orders ex Transport]]-B336)/B336</f>
        <v>-6.1245018271642668E-3</v>
      </c>
    </row>
    <row r="338" spans="1:3">
      <c r="A338" s="91">
        <v>43739</v>
      </c>
      <c r="B338" s="92">
        <f>VLOOKUP(A338,Database!A:M,MATCH($A$1,Database!$A$1:$M$1,),)</f>
        <v>156018</v>
      </c>
      <c r="C338" s="94">
        <f>(Table5351415[[#This Row],[New Orders ex Transport]]-B337)/B337</f>
        <v>-6.0213180280824024E-4</v>
      </c>
    </row>
    <row r="339" spans="1:3">
      <c r="A339" s="91">
        <v>43770</v>
      </c>
      <c r="B339" s="92">
        <f>VLOOKUP(A339,Database!A:M,MATCH($A$1,Database!$A$1:$M$1,),)</f>
        <v>156261</v>
      </c>
      <c r="C339" s="94">
        <f>(Table5351415[[#This Row],[New Orders ex Transport]]-B338)/B338</f>
        <v>1.5575125947006115E-3</v>
      </c>
    </row>
    <row r="340" spans="1:3">
      <c r="A340" s="91">
        <v>43800</v>
      </c>
      <c r="B340" s="92">
        <f>VLOOKUP(A340,Database!A:M,MATCH($A$1,Database!$A$1:$M$1,),)</f>
        <v>154416</v>
      </c>
      <c r="C340" s="94">
        <f>(Table5351415[[#This Row],[New Orders ex Transport]]-B339)/B339</f>
        <v>-1.1807168775318217E-2</v>
      </c>
    </row>
    <row r="341" spans="1:3">
      <c r="A341" s="91">
        <v>43831</v>
      </c>
      <c r="B341" s="92">
        <f>VLOOKUP(A341,Database!A:M,MATCH($A$1,Database!$A$1:$M$1,),)</f>
        <v>154889</v>
      </c>
      <c r="C341" s="94">
        <f>(Table5351415[[#This Row],[New Orders ex Transport]]-B340)/B340</f>
        <v>3.0631540772976893E-3</v>
      </c>
    </row>
    <row r="342" spans="1:3">
      <c r="A342" s="91">
        <v>43862</v>
      </c>
      <c r="B342" s="92">
        <f>VLOOKUP(A342,Database!A:M,MATCH($A$1,Database!$A$1:$M$1,),)</f>
        <v>154006</v>
      </c>
      <c r="C342" s="94">
        <f>(Table5351415[[#This Row],[New Orders ex Transport]]-B341)/B341</f>
        <v>-5.7008567425704858E-3</v>
      </c>
    </row>
    <row r="343" spans="1:3">
      <c r="A343" s="91">
        <v>43891</v>
      </c>
      <c r="B343" s="92">
        <f>VLOOKUP(A343,Database!A:M,MATCH($A$1,Database!$A$1:$M$1,),)</f>
        <v>150552</v>
      </c>
      <c r="C343" s="94">
        <f>(Table5351415[[#This Row],[New Orders ex Transport]]-B342)/B342</f>
        <v>-2.2427697622170565E-2</v>
      </c>
    </row>
    <row r="344" spans="1:3">
      <c r="A344" s="91">
        <v>43922</v>
      </c>
      <c r="B344" s="92">
        <f>VLOOKUP(A344,Database!A:M,MATCH($A$1,Database!$A$1:$M$1,),)</f>
        <v>137883</v>
      </c>
      <c r="C344" s="94">
        <f>(Table5351415[[#This Row],[New Orders ex Transport]]-B343)/B343</f>
        <v>-8.4150326797385627E-2</v>
      </c>
    </row>
    <row r="345" spans="1:3">
      <c r="A345" s="91">
        <v>43952</v>
      </c>
      <c r="B345" s="92">
        <f>VLOOKUP(A345,Database!A:M,MATCH($A$1,Database!$A$1:$M$1,),)</f>
        <v>143011</v>
      </c>
      <c r="C345" s="94">
        <f>(Table5351415[[#This Row],[New Orders ex Transport]]-B344)/B344</f>
        <v>3.7190951748946571E-2</v>
      </c>
    </row>
    <row r="346" spans="1:3">
      <c r="A346" s="91">
        <v>43983</v>
      </c>
      <c r="B346" s="92">
        <f>VLOOKUP(A346,Database!A:M,MATCH($A$1,Database!$A$1:$M$1,),)</f>
        <v>150635</v>
      </c>
      <c r="C346" s="94">
        <f>(Table5351415[[#This Row],[New Orders ex Transport]]-B345)/B345</f>
        <v>5.3310584500492968E-2</v>
      </c>
    </row>
    <row r="347" spans="1:3">
      <c r="A347" s="91">
        <v>44013</v>
      </c>
      <c r="B347" s="92">
        <f>VLOOKUP(A347,Database!A:M,MATCH($A$1,Database!$A$1:$M$1,),)</f>
        <v>155900</v>
      </c>
      <c r="C347" s="94">
        <f>(Table5351415[[#This Row],[New Orders ex Transport]]-B346)/B346</f>
        <v>3.4952036379327513E-2</v>
      </c>
    </row>
    <row r="348" spans="1:3">
      <c r="A348" s="91">
        <v>44044</v>
      </c>
      <c r="B348" s="92">
        <f>VLOOKUP(A348,Database!A:M,MATCH($A$1,Database!$A$1:$M$1,),)</f>
        <v>158055</v>
      </c>
      <c r="C348" s="94">
        <f>(Table5351415[[#This Row],[New Orders ex Transport]]-B347)/B347</f>
        <v>1.3822963438101347E-2</v>
      </c>
    </row>
    <row r="349" spans="1:3">
      <c r="A349" s="91">
        <v>44075</v>
      </c>
      <c r="B349" s="92">
        <f>VLOOKUP(A349,Database!A:M,MATCH($A$1,Database!$A$1:$M$1,),)</f>
        <v>160114</v>
      </c>
      <c r="C349" s="94">
        <f>(Table5351415[[#This Row],[New Orders ex Transport]]-B348)/B348</f>
        <v>1.3027110815855241E-2</v>
      </c>
    </row>
    <row r="350" spans="1:3">
      <c r="A350" s="91">
        <v>44105</v>
      </c>
      <c r="B350" s="92">
        <f>VLOOKUP(A350,Database!A:M,MATCH($A$1,Database!$A$1:$M$1,),)</f>
        <v>162930</v>
      </c>
      <c r="C350" s="94">
        <f>(Table5351415[[#This Row],[New Orders ex Transport]]-B349)/B349</f>
        <v>1.7587468928388524E-2</v>
      </c>
    </row>
    <row r="351" spans="1:3">
      <c r="A351" s="91">
        <v>44136</v>
      </c>
      <c r="B351" s="92">
        <f>VLOOKUP(A351,Database!A:M,MATCH($A$1,Database!$A$1:$M$1,),)</f>
        <v>164240</v>
      </c>
      <c r="C351" s="94">
        <f>(Table5351415[[#This Row],[New Orders ex Transport]]-B350)/B350</f>
        <v>8.0402626894985584E-3</v>
      </c>
    </row>
    <row r="352" spans="1:3">
      <c r="A352" s="91">
        <v>44166</v>
      </c>
      <c r="B352" s="92">
        <f>VLOOKUP(A352,Database!A:M,MATCH($A$1,Database!$A$1:$M$1,),)</f>
        <v>167549</v>
      </c>
      <c r="C352" s="94">
        <f>(Table5351415[[#This Row],[New Orders ex Transport]]-B351)/B351</f>
        <v>2.0147345348270822E-2</v>
      </c>
    </row>
    <row r="353" spans="1:3">
      <c r="A353" s="91">
        <v>44197</v>
      </c>
      <c r="B353" s="92">
        <f>VLOOKUP(A353,Database!A:M,MATCH($A$1,Database!$A$1:$M$1,),)</f>
        <v>171001</v>
      </c>
      <c r="C353" s="94">
        <f>(Table5351415[[#This Row],[New Orders ex Transport]]-B352)/B352</f>
        <v>2.0602928098645768E-2</v>
      </c>
    </row>
    <row r="354" spans="1:3">
      <c r="A354" s="91">
        <v>44228</v>
      </c>
      <c r="B354" s="92">
        <f>VLOOKUP(A354,Database!A:M,MATCH($A$1,Database!$A$1:$M$1,),)</f>
        <v>170078</v>
      </c>
      <c r="C354" s="94">
        <f>(Table5351415[[#This Row],[New Orders ex Transport]]-B353)/B353</f>
        <v>-5.3976292536300954E-3</v>
      </c>
    </row>
    <row r="355" spans="1:3">
      <c r="A355" s="91">
        <v>44256</v>
      </c>
      <c r="B355" s="92">
        <f>VLOOKUP(A355,Database!A:M,MATCH($A$1,Database!$A$1:$M$1,),)</f>
        <v>175624</v>
      </c>
      <c r="C355" s="94">
        <f>(Table5351415[[#This Row],[New Orders ex Transport]]-B354)/B354</f>
        <v>3.2608567833582236E-2</v>
      </c>
    </row>
    <row r="356" spans="1:3">
      <c r="A356" s="91">
        <v>44287</v>
      </c>
      <c r="B356" s="92">
        <f>VLOOKUP(A356,Database!A:M,MATCH($A$1,Database!$A$1:$M$1,),)</f>
        <v>178656</v>
      </c>
      <c r="C356" s="94">
        <f>(Table5351415[[#This Row],[New Orders ex Transport]]-B355)/B355</f>
        <v>1.7264155240741583E-2</v>
      </c>
    </row>
    <row r="357" spans="1:3">
      <c r="A357" s="91">
        <v>44317</v>
      </c>
      <c r="B357" s="92">
        <f>VLOOKUP(A357,Database!A:M,MATCH($A$1,Database!$A$1:$M$1,),)</f>
        <v>179640</v>
      </c>
      <c r="C357" s="94">
        <f>(Table5351415[[#This Row],[New Orders ex Transport]]-B356)/B356</f>
        <v>5.5077915099408922E-3</v>
      </c>
    </row>
    <row r="358" spans="1:3">
      <c r="A358" s="91">
        <v>44348</v>
      </c>
      <c r="B358" s="92">
        <f>VLOOKUP(A358,Database!A:M,MATCH($A$1,Database!$A$1:$M$1,),)</f>
        <v>180734</v>
      </c>
      <c r="C358" s="94">
        <f>(Table5351415[[#This Row],[New Orders ex Transport]]-B357)/B357</f>
        <v>6.089957693164106E-3</v>
      </c>
    </row>
    <row r="359" spans="1:3">
      <c r="A359" s="91">
        <v>44378</v>
      </c>
      <c r="B359" s="92">
        <f>VLOOKUP(A359,Database!A:M,MATCH($A$1,Database!$A$1:$M$1,),)</f>
        <v>182210</v>
      </c>
      <c r="C359" s="94">
        <f>(Table5351415[[#This Row],[New Orders ex Transport]]-B358)/B358</f>
        <v>8.1666980202950192E-3</v>
      </c>
    </row>
    <row r="360" spans="1:3">
      <c r="A360" s="91">
        <v>44409</v>
      </c>
      <c r="B360" s="92">
        <f>VLOOKUP(A360,Database!A:M,MATCH($A$1,Database!$A$1:$M$1,),)</f>
        <v>182829</v>
      </c>
      <c r="C360" s="94">
        <f>(Table5351415[[#This Row],[New Orders ex Transport]]-B359)/B359</f>
        <v>3.3971790790845728E-3</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ignoredErrors>
    <ignoredError sqref="C7:C335 C336:C338 C339:C344" calculatedColumn="1"/>
  </ignoredErrors>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C2444A-8948-4097-8A67-EB3E590D0312}">
  <dimension ref="A1:G360"/>
  <sheetViews>
    <sheetView zoomScale="150" zoomScaleNormal="150" workbookViewId="0">
      <pane ySplit="5" topLeftCell="A325" activePane="bottomLeft" state="frozen"/>
      <selection pane="bottomLeft" activeCell="U339" sqref="U339"/>
    </sheetView>
  </sheetViews>
  <sheetFormatPr baseColWidth="10" defaultColWidth="8.83203125" defaultRowHeight="15"/>
  <cols>
    <col min="1" max="1" width="10.83203125" style="83" customWidth="1"/>
    <col min="2" max="2" width="24.5" style="84" customWidth="1"/>
    <col min="3" max="3" width="14.83203125" style="86" customWidth="1"/>
    <col min="4" max="240" width="9.1640625" style="76"/>
    <col min="241" max="241" width="10.83203125" style="76" customWidth="1"/>
    <col min="242" max="242" width="18.1640625" style="76" customWidth="1"/>
    <col min="243" max="243" width="15" style="76" customWidth="1"/>
    <col min="244" max="247" width="13" style="76" customWidth="1"/>
    <col min="248" max="248" width="17.5" style="76" customWidth="1"/>
    <col min="249" max="496" width="9.1640625" style="76"/>
    <col min="497" max="497" width="10.83203125" style="76" customWidth="1"/>
    <col min="498" max="498" width="18.1640625" style="76" customWidth="1"/>
    <col min="499" max="499" width="15" style="76" customWidth="1"/>
    <col min="500" max="503" width="13" style="76" customWidth="1"/>
    <col min="504" max="504" width="17.5" style="76" customWidth="1"/>
    <col min="505" max="752" width="9.1640625" style="76"/>
    <col min="753" max="753" width="10.83203125" style="76" customWidth="1"/>
    <col min="754" max="754" width="18.1640625" style="76" customWidth="1"/>
    <col min="755" max="755" width="15" style="76" customWidth="1"/>
    <col min="756" max="759" width="13" style="76" customWidth="1"/>
    <col min="760" max="760" width="17.5" style="76" customWidth="1"/>
    <col min="761" max="1008" width="9.1640625" style="76"/>
    <col min="1009" max="1009" width="10.83203125" style="76" customWidth="1"/>
    <col min="1010" max="1010" width="18.1640625" style="76" customWidth="1"/>
    <col min="1011" max="1011" width="15" style="76" customWidth="1"/>
    <col min="1012" max="1015" width="13" style="76" customWidth="1"/>
    <col min="1016" max="1016" width="17.5" style="76" customWidth="1"/>
    <col min="1017" max="1264" width="9.1640625" style="76"/>
    <col min="1265" max="1265" width="10.83203125" style="76" customWidth="1"/>
    <col min="1266" max="1266" width="18.1640625" style="76" customWidth="1"/>
    <col min="1267" max="1267" width="15" style="76" customWidth="1"/>
    <col min="1268" max="1271" width="13" style="76" customWidth="1"/>
    <col min="1272" max="1272" width="17.5" style="76" customWidth="1"/>
    <col min="1273" max="1520" width="9.1640625" style="76"/>
    <col min="1521" max="1521" width="10.83203125" style="76" customWidth="1"/>
    <col min="1522" max="1522" width="18.1640625" style="76" customWidth="1"/>
    <col min="1523" max="1523" width="15" style="76" customWidth="1"/>
    <col min="1524" max="1527" width="13" style="76" customWidth="1"/>
    <col min="1528" max="1528" width="17.5" style="76" customWidth="1"/>
    <col min="1529" max="1776" width="9.1640625" style="76"/>
    <col min="1777" max="1777" width="10.83203125" style="76" customWidth="1"/>
    <col min="1778" max="1778" width="18.1640625" style="76" customWidth="1"/>
    <col min="1779" max="1779" width="15" style="76" customWidth="1"/>
    <col min="1780" max="1783" width="13" style="76" customWidth="1"/>
    <col min="1784" max="1784" width="17.5" style="76" customWidth="1"/>
    <col min="1785" max="2032" width="9.1640625" style="76"/>
    <col min="2033" max="2033" width="10.83203125" style="76" customWidth="1"/>
    <col min="2034" max="2034" width="18.1640625" style="76" customWidth="1"/>
    <col min="2035" max="2035" width="15" style="76" customWidth="1"/>
    <col min="2036" max="2039" width="13" style="76" customWidth="1"/>
    <col min="2040" max="2040" width="17.5" style="76" customWidth="1"/>
    <col min="2041" max="2288" width="9.1640625" style="76"/>
    <col min="2289" max="2289" width="10.83203125" style="76" customWidth="1"/>
    <col min="2290" max="2290" width="18.1640625" style="76" customWidth="1"/>
    <col min="2291" max="2291" width="15" style="76" customWidth="1"/>
    <col min="2292" max="2295" width="13" style="76" customWidth="1"/>
    <col min="2296" max="2296" width="17.5" style="76" customWidth="1"/>
    <col min="2297" max="2544" width="9.1640625" style="76"/>
    <col min="2545" max="2545" width="10.83203125" style="76" customWidth="1"/>
    <col min="2546" max="2546" width="18.1640625" style="76" customWidth="1"/>
    <col min="2547" max="2547" width="15" style="76" customWidth="1"/>
    <col min="2548" max="2551" width="13" style="76" customWidth="1"/>
    <col min="2552" max="2552" width="17.5" style="76" customWidth="1"/>
    <col min="2553" max="2800" width="9.1640625" style="76"/>
    <col min="2801" max="2801" width="10.83203125" style="76" customWidth="1"/>
    <col min="2802" max="2802" width="18.1640625" style="76" customWidth="1"/>
    <col min="2803" max="2803" width="15" style="76" customWidth="1"/>
    <col min="2804" max="2807" width="13" style="76" customWidth="1"/>
    <col min="2808" max="2808" width="17.5" style="76" customWidth="1"/>
    <col min="2809" max="3056" width="9.1640625" style="76"/>
    <col min="3057" max="3057" width="10.83203125" style="76" customWidth="1"/>
    <col min="3058" max="3058" width="18.1640625" style="76" customWidth="1"/>
    <col min="3059" max="3059" width="15" style="76" customWidth="1"/>
    <col min="3060" max="3063" width="13" style="76" customWidth="1"/>
    <col min="3064" max="3064" width="17.5" style="76" customWidth="1"/>
    <col min="3065" max="3312" width="9.1640625" style="76"/>
    <col min="3313" max="3313" width="10.83203125" style="76" customWidth="1"/>
    <col min="3314" max="3314" width="18.1640625" style="76" customWidth="1"/>
    <col min="3315" max="3315" width="15" style="76" customWidth="1"/>
    <col min="3316" max="3319" width="13" style="76" customWidth="1"/>
    <col min="3320" max="3320" width="17.5" style="76" customWidth="1"/>
    <col min="3321" max="3568" width="9.1640625" style="76"/>
    <col min="3569" max="3569" width="10.83203125" style="76" customWidth="1"/>
    <col min="3570" max="3570" width="18.1640625" style="76" customWidth="1"/>
    <col min="3571" max="3571" width="15" style="76" customWidth="1"/>
    <col min="3572" max="3575" width="13" style="76" customWidth="1"/>
    <col min="3576" max="3576" width="17.5" style="76" customWidth="1"/>
    <col min="3577" max="3824" width="9.1640625" style="76"/>
    <col min="3825" max="3825" width="10.83203125" style="76" customWidth="1"/>
    <col min="3826" max="3826" width="18.1640625" style="76" customWidth="1"/>
    <col min="3827" max="3827" width="15" style="76" customWidth="1"/>
    <col min="3828" max="3831" width="13" style="76" customWidth="1"/>
    <col min="3832" max="3832" width="17.5" style="76" customWidth="1"/>
    <col min="3833" max="4080" width="9.1640625" style="76"/>
    <col min="4081" max="4081" width="10.83203125" style="76" customWidth="1"/>
    <col min="4082" max="4082" width="18.1640625" style="76" customWidth="1"/>
    <col min="4083" max="4083" width="15" style="76" customWidth="1"/>
    <col min="4084" max="4087" width="13" style="76" customWidth="1"/>
    <col min="4088" max="4088" width="17.5" style="76" customWidth="1"/>
    <col min="4089" max="4336" width="9.1640625" style="76"/>
    <col min="4337" max="4337" width="10.83203125" style="76" customWidth="1"/>
    <col min="4338" max="4338" width="18.1640625" style="76" customWidth="1"/>
    <col min="4339" max="4339" width="15" style="76" customWidth="1"/>
    <col min="4340" max="4343" width="13" style="76" customWidth="1"/>
    <col min="4344" max="4344" width="17.5" style="76" customWidth="1"/>
    <col min="4345" max="4592" width="9.1640625" style="76"/>
    <col min="4593" max="4593" width="10.83203125" style="76" customWidth="1"/>
    <col min="4594" max="4594" width="18.1640625" style="76" customWidth="1"/>
    <col min="4595" max="4595" width="15" style="76" customWidth="1"/>
    <col min="4596" max="4599" width="13" style="76" customWidth="1"/>
    <col min="4600" max="4600" width="17.5" style="76" customWidth="1"/>
    <col min="4601" max="4848" width="9.1640625" style="76"/>
    <col min="4849" max="4849" width="10.83203125" style="76" customWidth="1"/>
    <col min="4850" max="4850" width="18.1640625" style="76" customWidth="1"/>
    <col min="4851" max="4851" width="15" style="76" customWidth="1"/>
    <col min="4852" max="4855" width="13" style="76" customWidth="1"/>
    <col min="4856" max="4856" width="17.5" style="76" customWidth="1"/>
    <col min="4857" max="5104" width="9.1640625" style="76"/>
    <col min="5105" max="5105" width="10.83203125" style="76" customWidth="1"/>
    <col min="5106" max="5106" width="18.1640625" style="76" customWidth="1"/>
    <col min="5107" max="5107" width="15" style="76" customWidth="1"/>
    <col min="5108" max="5111" width="13" style="76" customWidth="1"/>
    <col min="5112" max="5112" width="17.5" style="76" customWidth="1"/>
    <col min="5113" max="5360" width="9.1640625" style="76"/>
    <col min="5361" max="5361" width="10.83203125" style="76" customWidth="1"/>
    <col min="5362" max="5362" width="18.1640625" style="76" customWidth="1"/>
    <col min="5363" max="5363" width="15" style="76" customWidth="1"/>
    <col min="5364" max="5367" width="13" style="76" customWidth="1"/>
    <col min="5368" max="5368" width="17.5" style="76" customWidth="1"/>
    <col min="5369" max="5616" width="9.1640625" style="76"/>
    <col min="5617" max="5617" width="10.83203125" style="76" customWidth="1"/>
    <col min="5618" max="5618" width="18.1640625" style="76" customWidth="1"/>
    <col min="5619" max="5619" width="15" style="76" customWidth="1"/>
    <col min="5620" max="5623" width="13" style="76" customWidth="1"/>
    <col min="5624" max="5624" width="17.5" style="76" customWidth="1"/>
    <col min="5625" max="5872" width="9.1640625" style="76"/>
    <col min="5873" max="5873" width="10.83203125" style="76" customWidth="1"/>
    <col min="5874" max="5874" width="18.1640625" style="76" customWidth="1"/>
    <col min="5875" max="5875" width="15" style="76" customWidth="1"/>
    <col min="5876" max="5879" width="13" style="76" customWidth="1"/>
    <col min="5880" max="5880" width="17.5" style="76" customWidth="1"/>
    <col min="5881" max="6128" width="9.1640625" style="76"/>
    <col min="6129" max="6129" width="10.83203125" style="76" customWidth="1"/>
    <col min="6130" max="6130" width="18.1640625" style="76" customWidth="1"/>
    <col min="6131" max="6131" width="15" style="76" customWidth="1"/>
    <col min="6132" max="6135" width="13" style="76" customWidth="1"/>
    <col min="6136" max="6136" width="17.5" style="76" customWidth="1"/>
    <col min="6137" max="6384" width="9.1640625" style="76"/>
    <col min="6385" max="6385" width="10.83203125" style="76" customWidth="1"/>
    <col min="6386" max="6386" width="18.1640625" style="76" customWidth="1"/>
    <col min="6387" max="6387" width="15" style="76" customWidth="1"/>
    <col min="6388" max="6391" width="13" style="76" customWidth="1"/>
    <col min="6392" max="6392" width="17.5" style="76" customWidth="1"/>
    <col min="6393" max="6640" width="9.1640625" style="76"/>
    <col min="6641" max="6641" width="10.83203125" style="76" customWidth="1"/>
    <col min="6642" max="6642" width="18.1640625" style="76" customWidth="1"/>
    <col min="6643" max="6643" width="15" style="76" customWidth="1"/>
    <col min="6644" max="6647" width="13" style="76" customWidth="1"/>
    <col min="6648" max="6648" width="17.5" style="76" customWidth="1"/>
    <col min="6649" max="6896" width="9.1640625" style="76"/>
    <col min="6897" max="6897" width="10.83203125" style="76" customWidth="1"/>
    <col min="6898" max="6898" width="18.1640625" style="76" customWidth="1"/>
    <col min="6899" max="6899" width="15" style="76" customWidth="1"/>
    <col min="6900" max="6903" width="13" style="76" customWidth="1"/>
    <col min="6904" max="6904" width="17.5" style="76" customWidth="1"/>
    <col min="6905" max="7152" width="9.1640625" style="76"/>
    <col min="7153" max="7153" width="10.83203125" style="76" customWidth="1"/>
    <col min="7154" max="7154" width="18.1640625" style="76" customWidth="1"/>
    <col min="7155" max="7155" width="15" style="76" customWidth="1"/>
    <col min="7156" max="7159" width="13" style="76" customWidth="1"/>
    <col min="7160" max="7160" width="17.5" style="76" customWidth="1"/>
    <col min="7161" max="7408" width="9.1640625" style="76"/>
    <col min="7409" max="7409" width="10.83203125" style="76" customWidth="1"/>
    <col min="7410" max="7410" width="18.1640625" style="76" customWidth="1"/>
    <col min="7411" max="7411" width="15" style="76" customWidth="1"/>
    <col min="7412" max="7415" width="13" style="76" customWidth="1"/>
    <col min="7416" max="7416" width="17.5" style="76" customWidth="1"/>
    <col min="7417" max="7664" width="9.1640625" style="76"/>
    <col min="7665" max="7665" width="10.83203125" style="76" customWidth="1"/>
    <col min="7666" max="7666" width="18.1640625" style="76" customWidth="1"/>
    <col min="7667" max="7667" width="15" style="76" customWidth="1"/>
    <col min="7668" max="7671" width="13" style="76" customWidth="1"/>
    <col min="7672" max="7672" width="17.5" style="76" customWidth="1"/>
    <col min="7673" max="7920" width="9.1640625" style="76"/>
    <col min="7921" max="7921" width="10.83203125" style="76" customWidth="1"/>
    <col min="7922" max="7922" width="18.1640625" style="76" customWidth="1"/>
    <col min="7923" max="7923" width="15" style="76" customWidth="1"/>
    <col min="7924" max="7927" width="13" style="76" customWidth="1"/>
    <col min="7928" max="7928" width="17.5" style="76" customWidth="1"/>
    <col min="7929" max="8176" width="9.1640625" style="76"/>
    <col min="8177" max="8177" width="10.83203125" style="76" customWidth="1"/>
    <col min="8178" max="8178" width="18.1640625" style="76" customWidth="1"/>
    <col min="8179" max="8179" width="15" style="76" customWidth="1"/>
    <col min="8180" max="8183" width="13" style="76" customWidth="1"/>
    <col min="8184" max="8184" width="17.5" style="76" customWidth="1"/>
    <col min="8185" max="8432" width="9.1640625" style="76"/>
    <col min="8433" max="8433" width="10.83203125" style="76" customWidth="1"/>
    <col min="8434" max="8434" width="18.1640625" style="76" customWidth="1"/>
    <col min="8435" max="8435" width="15" style="76" customWidth="1"/>
    <col min="8436" max="8439" width="13" style="76" customWidth="1"/>
    <col min="8440" max="8440" width="17.5" style="76" customWidth="1"/>
    <col min="8441" max="8688" width="9.1640625" style="76"/>
    <col min="8689" max="8689" width="10.83203125" style="76" customWidth="1"/>
    <col min="8690" max="8690" width="18.1640625" style="76" customWidth="1"/>
    <col min="8691" max="8691" width="15" style="76" customWidth="1"/>
    <col min="8692" max="8695" width="13" style="76" customWidth="1"/>
    <col min="8696" max="8696" width="17.5" style="76" customWidth="1"/>
    <col min="8697" max="8944" width="9.1640625" style="76"/>
    <col min="8945" max="8945" width="10.83203125" style="76" customWidth="1"/>
    <col min="8946" max="8946" width="18.1640625" style="76" customWidth="1"/>
    <col min="8947" max="8947" width="15" style="76" customWidth="1"/>
    <col min="8948" max="8951" width="13" style="76" customWidth="1"/>
    <col min="8952" max="8952" width="17.5" style="76" customWidth="1"/>
    <col min="8953" max="9200" width="9.1640625" style="76"/>
    <col min="9201" max="9201" width="10.83203125" style="76" customWidth="1"/>
    <col min="9202" max="9202" width="18.1640625" style="76" customWidth="1"/>
    <col min="9203" max="9203" width="15" style="76" customWidth="1"/>
    <col min="9204" max="9207" width="13" style="76" customWidth="1"/>
    <col min="9208" max="9208" width="17.5" style="76" customWidth="1"/>
    <col min="9209" max="9456" width="9.1640625" style="76"/>
    <col min="9457" max="9457" width="10.83203125" style="76" customWidth="1"/>
    <col min="9458" max="9458" width="18.1640625" style="76" customWidth="1"/>
    <col min="9459" max="9459" width="15" style="76" customWidth="1"/>
    <col min="9460" max="9463" width="13" style="76" customWidth="1"/>
    <col min="9464" max="9464" width="17.5" style="76" customWidth="1"/>
    <col min="9465" max="9712" width="9.1640625" style="76"/>
    <col min="9713" max="9713" width="10.83203125" style="76" customWidth="1"/>
    <col min="9714" max="9714" width="18.1640625" style="76" customWidth="1"/>
    <col min="9715" max="9715" width="15" style="76" customWidth="1"/>
    <col min="9716" max="9719" width="13" style="76" customWidth="1"/>
    <col min="9720" max="9720" width="17.5" style="76" customWidth="1"/>
    <col min="9721" max="9968" width="9.1640625" style="76"/>
    <col min="9969" max="9969" width="10.83203125" style="76" customWidth="1"/>
    <col min="9970" max="9970" width="18.1640625" style="76" customWidth="1"/>
    <col min="9971" max="9971" width="15" style="76" customWidth="1"/>
    <col min="9972" max="9975" width="13" style="76" customWidth="1"/>
    <col min="9976" max="9976" width="17.5" style="76" customWidth="1"/>
    <col min="9977" max="10224" width="9.1640625" style="76"/>
    <col min="10225" max="10225" width="10.83203125" style="76" customWidth="1"/>
    <col min="10226" max="10226" width="18.1640625" style="76" customWidth="1"/>
    <col min="10227" max="10227" width="15" style="76" customWidth="1"/>
    <col min="10228" max="10231" width="13" style="76" customWidth="1"/>
    <col min="10232" max="10232" width="17.5" style="76" customWidth="1"/>
    <col min="10233" max="10480" width="9.1640625" style="76"/>
    <col min="10481" max="10481" width="10.83203125" style="76" customWidth="1"/>
    <col min="10482" max="10482" width="18.1640625" style="76" customWidth="1"/>
    <col min="10483" max="10483" width="15" style="76" customWidth="1"/>
    <col min="10484" max="10487" width="13" style="76" customWidth="1"/>
    <col min="10488" max="10488" width="17.5" style="76" customWidth="1"/>
    <col min="10489" max="10736" width="9.1640625" style="76"/>
    <col min="10737" max="10737" width="10.83203125" style="76" customWidth="1"/>
    <col min="10738" max="10738" width="18.1640625" style="76" customWidth="1"/>
    <col min="10739" max="10739" width="15" style="76" customWidth="1"/>
    <col min="10740" max="10743" width="13" style="76" customWidth="1"/>
    <col min="10744" max="10744" width="17.5" style="76" customWidth="1"/>
    <col min="10745" max="10992" width="9.1640625" style="76"/>
    <col min="10993" max="10993" width="10.83203125" style="76" customWidth="1"/>
    <col min="10994" max="10994" width="18.1640625" style="76" customWidth="1"/>
    <col min="10995" max="10995" width="15" style="76" customWidth="1"/>
    <col min="10996" max="10999" width="13" style="76" customWidth="1"/>
    <col min="11000" max="11000" width="17.5" style="76" customWidth="1"/>
    <col min="11001" max="11248" width="9.1640625" style="76"/>
    <col min="11249" max="11249" width="10.83203125" style="76" customWidth="1"/>
    <col min="11250" max="11250" width="18.1640625" style="76" customWidth="1"/>
    <col min="11251" max="11251" width="15" style="76" customWidth="1"/>
    <col min="11252" max="11255" width="13" style="76" customWidth="1"/>
    <col min="11256" max="11256" width="17.5" style="76" customWidth="1"/>
    <col min="11257" max="11504" width="9.1640625" style="76"/>
    <col min="11505" max="11505" width="10.83203125" style="76" customWidth="1"/>
    <col min="11506" max="11506" width="18.1640625" style="76" customWidth="1"/>
    <col min="11507" max="11507" width="15" style="76" customWidth="1"/>
    <col min="11508" max="11511" width="13" style="76" customWidth="1"/>
    <col min="11512" max="11512" width="17.5" style="76" customWidth="1"/>
    <col min="11513" max="11760" width="9.1640625" style="76"/>
    <col min="11761" max="11761" width="10.83203125" style="76" customWidth="1"/>
    <col min="11762" max="11762" width="18.1640625" style="76" customWidth="1"/>
    <col min="11763" max="11763" width="15" style="76" customWidth="1"/>
    <col min="11764" max="11767" width="13" style="76" customWidth="1"/>
    <col min="11768" max="11768" width="17.5" style="76" customWidth="1"/>
    <col min="11769" max="12016" width="9.1640625" style="76"/>
    <col min="12017" max="12017" width="10.83203125" style="76" customWidth="1"/>
    <col min="12018" max="12018" width="18.1640625" style="76" customWidth="1"/>
    <col min="12019" max="12019" width="15" style="76" customWidth="1"/>
    <col min="12020" max="12023" width="13" style="76" customWidth="1"/>
    <col min="12024" max="12024" width="17.5" style="76" customWidth="1"/>
    <col min="12025" max="12272" width="9.1640625" style="76"/>
    <col min="12273" max="12273" width="10.83203125" style="76" customWidth="1"/>
    <col min="12274" max="12274" width="18.1640625" style="76" customWidth="1"/>
    <col min="12275" max="12275" width="15" style="76" customWidth="1"/>
    <col min="12276" max="12279" width="13" style="76" customWidth="1"/>
    <col min="12280" max="12280" width="17.5" style="76" customWidth="1"/>
    <col min="12281" max="12528" width="9.1640625" style="76"/>
    <col min="12529" max="12529" width="10.83203125" style="76" customWidth="1"/>
    <col min="12530" max="12530" width="18.1640625" style="76" customWidth="1"/>
    <col min="12531" max="12531" width="15" style="76" customWidth="1"/>
    <col min="12532" max="12535" width="13" style="76" customWidth="1"/>
    <col min="12536" max="12536" width="17.5" style="76" customWidth="1"/>
    <col min="12537" max="12784" width="9.1640625" style="76"/>
    <col min="12785" max="12785" width="10.83203125" style="76" customWidth="1"/>
    <col min="12786" max="12786" width="18.1640625" style="76" customWidth="1"/>
    <col min="12787" max="12787" width="15" style="76" customWidth="1"/>
    <col min="12788" max="12791" width="13" style="76" customWidth="1"/>
    <col min="12792" max="12792" width="17.5" style="76" customWidth="1"/>
    <col min="12793" max="13040" width="9.1640625" style="76"/>
    <col min="13041" max="13041" width="10.83203125" style="76" customWidth="1"/>
    <col min="13042" max="13042" width="18.1640625" style="76" customWidth="1"/>
    <col min="13043" max="13043" width="15" style="76" customWidth="1"/>
    <col min="13044" max="13047" width="13" style="76" customWidth="1"/>
    <col min="13048" max="13048" width="17.5" style="76" customWidth="1"/>
    <col min="13049" max="13296" width="9.1640625" style="76"/>
    <col min="13297" max="13297" width="10.83203125" style="76" customWidth="1"/>
    <col min="13298" max="13298" width="18.1640625" style="76" customWidth="1"/>
    <col min="13299" max="13299" width="15" style="76" customWidth="1"/>
    <col min="13300" max="13303" width="13" style="76" customWidth="1"/>
    <col min="13304" max="13304" width="17.5" style="76" customWidth="1"/>
    <col min="13305" max="13552" width="9.1640625" style="76"/>
    <col min="13553" max="13553" width="10.83203125" style="76" customWidth="1"/>
    <col min="13554" max="13554" width="18.1640625" style="76" customWidth="1"/>
    <col min="13555" max="13555" width="15" style="76" customWidth="1"/>
    <col min="13556" max="13559" width="13" style="76" customWidth="1"/>
    <col min="13560" max="13560" width="17.5" style="76" customWidth="1"/>
    <col min="13561" max="13808" width="9.1640625" style="76"/>
    <col min="13809" max="13809" width="10.83203125" style="76" customWidth="1"/>
    <col min="13810" max="13810" width="18.1640625" style="76" customWidth="1"/>
    <col min="13811" max="13811" width="15" style="76" customWidth="1"/>
    <col min="13812" max="13815" width="13" style="76" customWidth="1"/>
    <col min="13816" max="13816" width="17.5" style="76" customWidth="1"/>
    <col min="13817" max="14064" width="9.1640625" style="76"/>
    <col min="14065" max="14065" width="10.83203125" style="76" customWidth="1"/>
    <col min="14066" max="14066" width="18.1640625" style="76" customWidth="1"/>
    <col min="14067" max="14067" width="15" style="76" customWidth="1"/>
    <col min="14068" max="14071" width="13" style="76" customWidth="1"/>
    <col min="14072" max="14072" width="17.5" style="76" customWidth="1"/>
    <col min="14073" max="14320" width="9.1640625" style="76"/>
    <col min="14321" max="14321" width="10.83203125" style="76" customWidth="1"/>
    <col min="14322" max="14322" width="18.1640625" style="76" customWidth="1"/>
    <col min="14323" max="14323" width="15" style="76" customWidth="1"/>
    <col min="14324" max="14327" width="13" style="76" customWidth="1"/>
    <col min="14328" max="14328" width="17.5" style="76" customWidth="1"/>
    <col min="14329" max="14576" width="9.1640625" style="76"/>
    <col min="14577" max="14577" width="10.83203125" style="76" customWidth="1"/>
    <col min="14578" max="14578" width="18.1640625" style="76" customWidth="1"/>
    <col min="14579" max="14579" width="15" style="76" customWidth="1"/>
    <col min="14580" max="14583" width="13" style="76" customWidth="1"/>
    <col min="14584" max="14584" width="17.5" style="76" customWidth="1"/>
    <col min="14585" max="14832" width="9.1640625" style="76"/>
    <col min="14833" max="14833" width="10.83203125" style="76" customWidth="1"/>
    <col min="14834" max="14834" width="18.1640625" style="76" customWidth="1"/>
    <col min="14835" max="14835" width="15" style="76" customWidth="1"/>
    <col min="14836" max="14839" width="13" style="76" customWidth="1"/>
    <col min="14840" max="14840" width="17.5" style="76" customWidth="1"/>
    <col min="14841" max="15088" width="9.1640625" style="76"/>
    <col min="15089" max="15089" width="10.83203125" style="76" customWidth="1"/>
    <col min="15090" max="15090" width="18.1640625" style="76" customWidth="1"/>
    <col min="15091" max="15091" width="15" style="76" customWidth="1"/>
    <col min="15092" max="15095" width="13" style="76" customWidth="1"/>
    <col min="15096" max="15096" width="17.5" style="76" customWidth="1"/>
    <col min="15097" max="15344" width="9.1640625" style="76"/>
    <col min="15345" max="15345" width="10.83203125" style="76" customWidth="1"/>
    <col min="15346" max="15346" width="18.1640625" style="76" customWidth="1"/>
    <col min="15347" max="15347" width="15" style="76" customWidth="1"/>
    <col min="15348" max="15351" width="13" style="76" customWidth="1"/>
    <col min="15352" max="15352" width="17.5" style="76" customWidth="1"/>
    <col min="15353" max="15600" width="9.1640625" style="76"/>
    <col min="15601" max="15601" width="10.83203125" style="76" customWidth="1"/>
    <col min="15602" max="15602" width="18.1640625" style="76" customWidth="1"/>
    <col min="15603" max="15603" width="15" style="76" customWidth="1"/>
    <col min="15604" max="15607" width="13" style="76" customWidth="1"/>
    <col min="15608" max="15608" width="17.5" style="76" customWidth="1"/>
    <col min="15609" max="15856" width="9.1640625" style="76"/>
    <col min="15857" max="15857" width="10.83203125" style="76" customWidth="1"/>
    <col min="15858" max="15858" width="18.1640625" style="76" customWidth="1"/>
    <col min="15859" max="15859" width="15" style="76" customWidth="1"/>
    <col min="15860" max="15863" width="13" style="76" customWidth="1"/>
    <col min="15864" max="15864" width="17.5" style="76" customWidth="1"/>
    <col min="15865" max="16112" width="9.1640625" style="76"/>
    <col min="16113" max="16113" width="10.83203125" style="76" customWidth="1"/>
    <col min="16114" max="16114" width="18.1640625" style="76" customWidth="1"/>
    <col min="16115" max="16115" width="15" style="76" customWidth="1"/>
    <col min="16116" max="16119" width="13" style="76" customWidth="1"/>
    <col min="16120" max="16120" width="17.5" style="76" customWidth="1"/>
    <col min="16121" max="16384" width="9.1640625" style="76"/>
  </cols>
  <sheetData>
    <row r="1" spans="1:7">
      <c r="A1" s="108" t="s">
        <v>8</v>
      </c>
      <c r="B1" s="128" t="str">
        <f>VLOOKUP(A1,Note!U16:V25,2,)</f>
        <v>New Orders - Manufacturing</v>
      </c>
      <c r="C1" s="129"/>
      <c r="D1" s="129"/>
      <c r="E1" s="129"/>
      <c r="G1" s="107" t="s">
        <v>110</v>
      </c>
    </row>
    <row r="2" spans="1:7" ht="15" customHeight="1">
      <c r="A2" s="87"/>
      <c r="B2" s="83"/>
      <c r="C2" s="84"/>
      <c r="G2" s="107" t="s">
        <v>115</v>
      </c>
    </row>
    <row r="3" spans="1:7">
      <c r="B3" s="83"/>
      <c r="C3" s="84"/>
    </row>
    <row r="4" spans="1:7" ht="16" thickBot="1"/>
    <row r="5" spans="1:7" ht="68.25" customHeight="1" thickBot="1">
      <c r="A5" s="112" t="s">
        <v>10</v>
      </c>
      <c r="B5" s="113" t="s">
        <v>14</v>
      </c>
      <c r="C5" s="114" t="s">
        <v>87</v>
      </c>
    </row>
    <row r="6" spans="1:7">
      <c r="A6" s="109">
        <v>33635</v>
      </c>
      <c r="B6" s="110">
        <f>VLOOKUP(A6,Database!A:M,MATCH($A$1,Database!$A$1:$M$1,),)</f>
        <v>82864</v>
      </c>
      <c r="C6" s="111"/>
    </row>
    <row r="7" spans="1:7">
      <c r="A7" s="91">
        <v>33664</v>
      </c>
      <c r="B7" s="92">
        <f>VLOOKUP(A7,Database!A:M,MATCH($A$1,Database!$A$1:$M$1,),)</f>
        <v>86424</v>
      </c>
      <c r="C7" s="94">
        <f>(Table535141516[[#This Row],[Durable Goods]]-B6)/B6</f>
        <v>4.2961961768681216E-2</v>
      </c>
    </row>
    <row r="8" spans="1:7">
      <c r="A8" s="91">
        <v>33695</v>
      </c>
      <c r="B8" s="92">
        <f>VLOOKUP(A8,Database!A:M,MATCH($A$1,Database!$A$1:$M$1,),)</f>
        <v>90805</v>
      </c>
      <c r="C8" s="94">
        <f>(Table535141516[[#This Row],[Durable Goods]]-B7)/B7</f>
        <v>5.0691937424789411E-2</v>
      </c>
    </row>
    <row r="9" spans="1:7">
      <c r="A9" s="91">
        <v>33725</v>
      </c>
      <c r="B9" s="92">
        <f>VLOOKUP(A9,Database!A:M,MATCH($A$1,Database!$A$1:$M$1,),)</f>
        <v>91120</v>
      </c>
      <c r="C9" s="94">
        <f>(Table535141516[[#This Row],[Durable Goods]]-B8)/B8</f>
        <v>3.4689719729089808E-3</v>
      </c>
    </row>
    <row r="10" spans="1:7">
      <c r="A10" s="91">
        <v>33756</v>
      </c>
      <c r="B10" s="92">
        <f>VLOOKUP(A10,Database!A:M,MATCH($A$1,Database!$A$1:$M$1,),)</f>
        <v>88649</v>
      </c>
      <c r="C10" s="94">
        <f>(Table535141516[[#This Row],[Durable Goods]]-B9)/B9</f>
        <v>-2.7118086040386305E-2</v>
      </c>
    </row>
    <row r="11" spans="1:7">
      <c r="A11" s="91">
        <v>33786</v>
      </c>
      <c r="B11" s="92">
        <f>VLOOKUP(A11,Database!A:M,MATCH($A$1,Database!$A$1:$M$1,),)</f>
        <v>87342</v>
      </c>
      <c r="C11" s="94">
        <f>(Table535141516[[#This Row],[Durable Goods]]-B10)/B10</f>
        <v>-1.4743539126216877E-2</v>
      </c>
    </row>
    <row r="12" spans="1:7">
      <c r="A12" s="91">
        <v>33817</v>
      </c>
      <c r="B12" s="92">
        <f>VLOOKUP(A12,Database!A:M,MATCH($A$1,Database!$A$1:$M$1,),)</f>
        <v>85995</v>
      </c>
      <c r="C12" s="94">
        <f>(Table535141516[[#This Row],[Durable Goods]]-B11)/B11</f>
        <v>-1.5422133681390397E-2</v>
      </c>
    </row>
    <row r="13" spans="1:7">
      <c r="A13" s="91">
        <v>33848</v>
      </c>
      <c r="B13" s="92">
        <f>VLOOKUP(A13,Database!A:M,MATCH($A$1,Database!$A$1:$M$1,),)</f>
        <v>86668</v>
      </c>
      <c r="C13" s="94">
        <f>(Table535141516[[#This Row],[Durable Goods]]-B12)/B12</f>
        <v>7.8260363974649687E-3</v>
      </c>
    </row>
    <row r="14" spans="1:7">
      <c r="A14" s="91">
        <v>33878</v>
      </c>
      <c r="B14" s="92">
        <f>VLOOKUP(A14,Database!A:M,MATCH($A$1,Database!$A$1:$M$1,),)</f>
        <v>93051</v>
      </c>
      <c r="C14" s="94">
        <f>(Table535141516[[#This Row],[Durable Goods]]-B13)/B13</f>
        <v>7.3648866940508609E-2</v>
      </c>
    </row>
    <row r="15" spans="1:7">
      <c r="A15" s="91">
        <v>33909</v>
      </c>
      <c r="B15" s="92">
        <f>VLOOKUP(A15,Database!A:M,MATCH($A$1,Database!$A$1:$M$1,),)</f>
        <v>87613</v>
      </c>
      <c r="C15" s="94">
        <f>(Table535141516[[#This Row],[Durable Goods]]-B14)/B14</f>
        <v>-5.8441069950887145E-2</v>
      </c>
    </row>
    <row r="16" spans="1:7">
      <c r="A16" s="91">
        <v>33939</v>
      </c>
      <c r="B16" s="92">
        <f>VLOOKUP(A16,Database!A:M,MATCH($A$1,Database!$A$1:$M$1,),)</f>
        <v>91480</v>
      </c>
      <c r="C16" s="94">
        <f>(Table535141516[[#This Row],[Durable Goods]]-B15)/B15</f>
        <v>4.4137285562644811E-2</v>
      </c>
    </row>
    <row r="17" spans="1:3">
      <c r="A17" s="91">
        <v>33970</v>
      </c>
      <c r="B17" s="92">
        <f>VLOOKUP(A17,Database!A:M,MATCH($A$1,Database!$A$1:$M$1,),)</f>
        <v>85937</v>
      </c>
      <c r="C17" s="94">
        <f>(Table535141516[[#This Row],[Durable Goods]]-B16)/B16</f>
        <v>-6.0592479230432879E-2</v>
      </c>
    </row>
    <row r="18" spans="1:3">
      <c r="A18" s="91">
        <v>34001</v>
      </c>
      <c r="B18" s="92">
        <f>VLOOKUP(A18,Database!A:M,MATCH($A$1,Database!$A$1:$M$1,),)</f>
        <v>92361</v>
      </c>
      <c r="C18" s="94">
        <f>(Table535141516[[#This Row],[Durable Goods]]-B17)/B17</f>
        <v>7.4752434923257741E-2</v>
      </c>
    </row>
    <row r="19" spans="1:3">
      <c r="A19" s="91">
        <v>34029</v>
      </c>
      <c r="B19" s="92">
        <f>VLOOKUP(A19,Database!A:M,MATCH($A$1,Database!$A$1:$M$1,),)</f>
        <v>90529</v>
      </c>
      <c r="C19" s="94">
        <f>(Table535141516[[#This Row],[Durable Goods]]-B18)/B18</f>
        <v>-1.9835211831833784E-2</v>
      </c>
    </row>
    <row r="20" spans="1:3">
      <c r="A20" s="91">
        <v>34060</v>
      </c>
      <c r="B20" s="92">
        <f>VLOOKUP(A20,Database!A:M,MATCH($A$1,Database!$A$1:$M$1,),)</f>
        <v>91131</v>
      </c>
      <c r="C20" s="94">
        <f>(Table535141516[[#This Row],[Durable Goods]]-B19)/B19</f>
        <v>6.6498028256138913E-3</v>
      </c>
    </row>
    <row r="21" spans="1:3">
      <c r="A21" s="91">
        <v>34090</v>
      </c>
      <c r="B21" s="92">
        <f>VLOOKUP(A21,Database!A:M,MATCH($A$1,Database!$A$1:$M$1,),)</f>
        <v>89831</v>
      </c>
      <c r="C21" s="94">
        <f>(Table535141516[[#This Row],[Durable Goods]]-B20)/B20</f>
        <v>-1.4265178698796238E-2</v>
      </c>
    </row>
    <row r="22" spans="1:3">
      <c r="A22" s="91">
        <v>34121</v>
      </c>
      <c r="B22" s="92">
        <f>VLOOKUP(A22,Database!A:M,MATCH($A$1,Database!$A$1:$M$1,),)</f>
        <v>93493</v>
      </c>
      <c r="C22" s="94">
        <f>(Table535141516[[#This Row],[Durable Goods]]-B21)/B21</f>
        <v>4.0765437321192019E-2</v>
      </c>
    </row>
    <row r="23" spans="1:3">
      <c r="A23" s="91">
        <v>34151</v>
      </c>
      <c r="B23" s="92">
        <f>VLOOKUP(A23,Database!A:M,MATCH($A$1,Database!$A$1:$M$1,),)</f>
        <v>92023</v>
      </c>
      <c r="C23" s="94">
        <f>(Table535141516[[#This Row],[Durable Goods]]-B22)/B22</f>
        <v>-1.5723102264340646E-2</v>
      </c>
    </row>
    <row r="24" spans="1:3">
      <c r="A24" s="91">
        <v>34182</v>
      </c>
      <c r="B24" s="92">
        <f>VLOOKUP(A24,Database!A:M,MATCH($A$1,Database!$A$1:$M$1,),)</f>
        <v>94226</v>
      </c>
      <c r="C24" s="94">
        <f>(Table535141516[[#This Row],[Durable Goods]]-B23)/B23</f>
        <v>2.3939667257098767E-2</v>
      </c>
    </row>
    <row r="25" spans="1:3">
      <c r="A25" s="91">
        <v>34213</v>
      </c>
      <c r="B25" s="92">
        <f>VLOOKUP(A25,Database!A:M,MATCH($A$1,Database!$A$1:$M$1,),)</f>
        <v>90477</v>
      </c>
      <c r="C25" s="94">
        <f>(Table535141516[[#This Row],[Durable Goods]]-B24)/B24</f>
        <v>-3.9787319848024964E-2</v>
      </c>
    </row>
    <row r="26" spans="1:3">
      <c r="A26" s="91">
        <v>34243</v>
      </c>
      <c r="B26" s="92">
        <f>VLOOKUP(A26,Database!A:M,MATCH($A$1,Database!$A$1:$M$1,),)</f>
        <v>94772</v>
      </c>
      <c r="C26" s="94">
        <f>(Table535141516[[#This Row],[Durable Goods]]-B25)/B25</f>
        <v>4.7470627894382E-2</v>
      </c>
    </row>
    <row r="27" spans="1:3">
      <c r="A27" s="91">
        <v>34274</v>
      </c>
      <c r="B27" s="92">
        <f>VLOOKUP(A27,Database!A:M,MATCH($A$1,Database!$A$1:$M$1,),)</f>
        <v>92009</v>
      </c>
      <c r="C27" s="94">
        <f>(Table535141516[[#This Row],[Durable Goods]]-B26)/B26</f>
        <v>-2.915418055965897E-2</v>
      </c>
    </row>
    <row r="28" spans="1:3">
      <c r="A28" s="91">
        <v>34304</v>
      </c>
      <c r="B28" s="92">
        <f>VLOOKUP(A28,Database!A:M,MATCH($A$1,Database!$A$1:$M$1,),)</f>
        <v>94944</v>
      </c>
      <c r="C28" s="94">
        <f>(Table535141516[[#This Row],[Durable Goods]]-B27)/B27</f>
        <v>3.1899053353476294E-2</v>
      </c>
    </row>
    <row r="29" spans="1:3">
      <c r="A29" s="91">
        <v>34335</v>
      </c>
      <c r="B29" s="92">
        <f>VLOOKUP(A29,Database!A:M,MATCH($A$1,Database!$A$1:$M$1,),)</f>
        <v>98647</v>
      </c>
      <c r="C29" s="94">
        <f>(Table535141516[[#This Row],[Durable Goods]]-B28)/B28</f>
        <v>3.9001937984496124E-2</v>
      </c>
    </row>
    <row r="30" spans="1:3">
      <c r="A30" s="91">
        <v>34366</v>
      </c>
      <c r="B30" s="92">
        <f>VLOOKUP(A30,Database!A:M,MATCH($A$1,Database!$A$1:$M$1,),)</f>
        <v>97358</v>
      </c>
      <c r="C30" s="94">
        <f>(Table535141516[[#This Row],[Durable Goods]]-B29)/B29</f>
        <v>-1.3066793719018317E-2</v>
      </c>
    </row>
    <row r="31" spans="1:3">
      <c r="A31" s="91">
        <v>34394</v>
      </c>
      <c r="B31" s="92">
        <f>VLOOKUP(A31,Database!A:M,MATCH($A$1,Database!$A$1:$M$1,),)</f>
        <v>96706</v>
      </c>
      <c r="C31" s="94">
        <f>(Table535141516[[#This Row],[Durable Goods]]-B30)/B30</f>
        <v>-6.6969329690420923E-3</v>
      </c>
    </row>
    <row r="32" spans="1:3">
      <c r="A32" s="91">
        <v>34425</v>
      </c>
      <c r="B32" s="92">
        <f>VLOOKUP(A32,Database!A:M,MATCH($A$1,Database!$A$1:$M$1,),)</f>
        <v>99591</v>
      </c>
      <c r="C32" s="94">
        <f>(Table535141516[[#This Row],[Durable Goods]]-B31)/B31</f>
        <v>2.983268876801853E-2</v>
      </c>
    </row>
    <row r="33" spans="1:3">
      <c r="A33" s="91">
        <v>34455</v>
      </c>
      <c r="B33" s="92">
        <f>VLOOKUP(A33,Database!A:M,MATCH($A$1,Database!$A$1:$M$1,),)</f>
        <v>101522</v>
      </c>
      <c r="C33" s="94">
        <f>(Table535141516[[#This Row],[Durable Goods]]-B32)/B32</f>
        <v>1.9389302246186905E-2</v>
      </c>
    </row>
    <row r="34" spans="1:3">
      <c r="A34" s="91">
        <v>34486</v>
      </c>
      <c r="B34" s="92">
        <f>VLOOKUP(A34,Database!A:M,MATCH($A$1,Database!$A$1:$M$1,),)</f>
        <v>103928</v>
      </c>
      <c r="C34" s="94">
        <f>(Table535141516[[#This Row],[Durable Goods]]-B33)/B33</f>
        <v>2.3699296704162643E-2</v>
      </c>
    </row>
    <row r="35" spans="1:3">
      <c r="A35" s="91">
        <v>34516</v>
      </c>
      <c r="B35" s="92">
        <f>VLOOKUP(A35,Database!A:M,MATCH($A$1,Database!$A$1:$M$1,),)</f>
        <v>103538</v>
      </c>
      <c r="C35" s="94">
        <f>(Table535141516[[#This Row],[Durable Goods]]-B34)/B34</f>
        <v>-3.7525979524286046E-3</v>
      </c>
    </row>
    <row r="36" spans="1:3">
      <c r="A36" s="91">
        <v>34547</v>
      </c>
      <c r="B36" s="92">
        <f>VLOOKUP(A36,Database!A:M,MATCH($A$1,Database!$A$1:$M$1,),)</f>
        <v>103907</v>
      </c>
      <c r="C36" s="94">
        <f>(Table535141516[[#This Row],[Durable Goods]]-B35)/B35</f>
        <v>3.5639089030114549E-3</v>
      </c>
    </row>
    <row r="37" spans="1:3">
      <c r="A37" s="91">
        <v>34578</v>
      </c>
      <c r="B37" s="92">
        <f>VLOOKUP(A37,Database!A:M,MATCH($A$1,Database!$A$1:$M$1,),)</f>
        <v>104150</v>
      </c>
      <c r="C37" s="94">
        <f>(Table535141516[[#This Row],[Durable Goods]]-B36)/B36</f>
        <v>2.3386297362064153E-3</v>
      </c>
    </row>
    <row r="38" spans="1:3">
      <c r="A38" s="91">
        <v>34608</v>
      </c>
      <c r="B38" s="92">
        <f>VLOOKUP(A38,Database!A:M,MATCH($A$1,Database!$A$1:$M$1,),)</f>
        <v>107573</v>
      </c>
      <c r="C38" s="94">
        <f>(Table535141516[[#This Row],[Durable Goods]]-B37)/B37</f>
        <v>3.2866058569371102E-2</v>
      </c>
    </row>
    <row r="39" spans="1:3">
      <c r="A39" s="91">
        <v>34639</v>
      </c>
      <c r="B39" s="92">
        <f>VLOOKUP(A39,Database!A:M,MATCH($A$1,Database!$A$1:$M$1,),)</f>
        <v>107130</v>
      </c>
      <c r="C39" s="94">
        <f>(Table535141516[[#This Row],[Durable Goods]]-B38)/B38</f>
        <v>-4.1181337324421559E-3</v>
      </c>
    </row>
    <row r="40" spans="1:3">
      <c r="A40" s="91">
        <v>34669</v>
      </c>
      <c r="B40" s="92">
        <f>VLOOKUP(A40,Database!A:M,MATCH($A$1,Database!$A$1:$M$1,),)</f>
        <v>108697</v>
      </c>
      <c r="C40" s="94">
        <f>(Table535141516[[#This Row],[Durable Goods]]-B39)/B39</f>
        <v>1.4627088583963409E-2</v>
      </c>
    </row>
    <row r="41" spans="1:3">
      <c r="A41" s="91">
        <v>34700</v>
      </c>
      <c r="B41" s="92">
        <f>VLOOKUP(A41,Database!A:M,MATCH($A$1,Database!$A$1:$M$1,),)</f>
        <v>107635</v>
      </c>
      <c r="C41" s="94">
        <f>(Table535141516[[#This Row],[Durable Goods]]-B40)/B40</f>
        <v>-9.7702788485422784E-3</v>
      </c>
    </row>
    <row r="42" spans="1:3">
      <c r="A42" s="91">
        <v>34731</v>
      </c>
      <c r="B42" s="92">
        <f>VLOOKUP(A42,Database!A:M,MATCH($A$1,Database!$A$1:$M$1,),)</f>
        <v>110588</v>
      </c>
      <c r="C42" s="94">
        <f>(Table535141516[[#This Row],[Durable Goods]]-B41)/B41</f>
        <v>2.7435313791982163E-2</v>
      </c>
    </row>
    <row r="43" spans="1:3">
      <c r="A43" s="91">
        <v>34759</v>
      </c>
      <c r="B43" s="92">
        <f>VLOOKUP(A43,Database!A:M,MATCH($A$1,Database!$A$1:$M$1,),)</f>
        <v>110175</v>
      </c>
      <c r="C43" s="94">
        <f>(Table535141516[[#This Row],[Durable Goods]]-B42)/B42</f>
        <v>-3.7345824140051363E-3</v>
      </c>
    </row>
    <row r="44" spans="1:3">
      <c r="A44" s="91">
        <v>34790</v>
      </c>
      <c r="B44" s="92">
        <f>VLOOKUP(A44,Database!A:M,MATCH($A$1,Database!$A$1:$M$1,),)</f>
        <v>108608</v>
      </c>
      <c r="C44" s="94">
        <f>(Table535141516[[#This Row],[Durable Goods]]-B43)/B43</f>
        <v>-1.4222827320172453E-2</v>
      </c>
    </row>
    <row r="45" spans="1:3">
      <c r="A45" s="91">
        <v>34820</v>
      </c>
      <c r="B45" s="92">
        <f>VLOOKUP(A45,Database!A:M,MATCH($A$1,Database!$A$1:$M$1,),)</f>
        <v>111257</v>
      </c>
      <c r="C45" s="94">
        <f>(Table535141516[[#This Row],[Durable Goods]]-B44)/B44</f>
        <v>2.4390468473777255E-2</v>
      </c>
    </row>
    <row r="46" spans="1:3">
      <c r="A46" s="91">
        <v>34851</v>
      </c>
      <c r="B46" s="92">
        <f>VLOOKUP(A46,Database!A:M,MATCH($A$1,Database!$A$1:$M$1,),)</f>
        <v>108462</v>
      </c>
      <c r="C46" s="94">
        <f>(Table535141516[[#This Row],[Durable Goods]]-B45)/B45</f>
        <v>-2.5122014794574724E-2</v>
      </c>
    </row>
    <row r="47" spans="1:3">
      <c r="A47" s="91">
        <v>34881</v>
      </c>
      <c r="B47" s="92">
        <f>VLOOKUP(A47,Database!A:M,MATCH($A$1,Database!$A$1:$M$1,),)</f>
        <v>107267</v>
      </c>
      <c r="C47" s="94">
        <f>(Table535141516[[#This Row],[Durable Goods]]-B46)/B46</f>
        <v>-1.1017683612693847E-2</v>
      </c>
    </row>
    <row r="48" spans="1:3">
      <c r="A48" s="91">
        <v>34912</v>
      </c>
      <c r="B48" s="92">
        <f>VLOOKUP(A48,Database!A:M,MATCH($A$1,Database!$A$1:$M$1,),)</f>
        <v>112114</v>
      </c>
      <c r="C48" s="94">
        <f>(Table535141516[[#This Row],[Durable Goods]]-B47)/B47</f>
        <v>4.518631079455937E-2</v>
      </c>
    </row>
    <row r="49" spans="1:3">
      <c r="A49" s="91">
        <v>34943</v>
      </c>
      <c r="B49" s="92">
        <f>VLOOKUP(A49,Database!A:M,MATCH($A$1,Database!$A$1:$M$1,),)</f>
        <v>116838</v>
      </c>
      <c r="C49" s="94">
        <f>(Table535141516[[#This Row],[Durable Goods]]-B48)/B48</f>
        <v>4.2135683322332626E-2</v>
      </c>
    </row>
    <row r="50" spans="1:3">
      <c r="A50" s="91">
        <v>34973</v>
      </c>
      <c r="B50" s="92">
        <f>VLOOKUP(A50,Database!A:M,MATCH($A$1,Database!$A$1:$M$1,),)</f>
        <v>112366</v>
      </c>
      <c r="C50" s="94">
        <f>(Table535141516[[#This Row],[Durable Goods]]-B49)/B49</f>
        <v>-3.8275218678854479E-2</v>
      </c>
    </row>
    <row r="51" spans="1:3">
      <c r="A51" s="91">
        <v>35004</v>
      </c>
      <c r="B51" s="92">
        <f>VLOOKUP(A51,Database!A:M,MATCH($A$1,Database!$A$1:$M$1,),)</f>
        <v>113784</v>
      </c>
      <c r="C51" s="94">
        <f>(Table535141516[[#This Row],[Durable Goods]]-B50)/B50</f>
        <v>1.2619475642098144E-2</v>
      </c>
    </row>
    <row r="52" spans="1:3">
      <c r="A52" s="91">
        <v>35034</v>
      </c>
      <c r="B52" s="92">
        <f>VLOOKUP(A52,Database!A:M,MATCH($A$1,Database!$A$1:$M$1,),)</f>
        <v>119874</v>
      </c>
      <c r="C52" s="94">
        <f>(Table535141516[[#This Row],[Durable Goods]]-B51)/B51</f>
        <v>5.3522463615271042E-2</v>
      </c>
    </row>
    <row r="53" spans="1:3">
      <c r="A53" s="91">
        <v>35065</v>
      </c>
      <c r="B53" s="92">
        <f>VLOOKUP(A53,Database!A:M,MATCH($A$1,Database!$A$1:$M$1,),)</f>
        <v>114288</v>
      </c>
      <c r="C53" s="94">
        <f>(Table535141516[[#This Row],[Durable Goods]]-B52)/B52</f>
        <v>-4.6598928875319086E-2</v>
      </c>
    </row>
    <row r="54" spans="1:3">
      <c r="A54" s="91">
        <v>35096</v>
      </c>
      <c r="B54" s="92">
        <f>VLOOKUP(A54,Database!A:M,MATCH($A$1,Database!$A$1:$M$1,),)</f>
        <v>109375</v>
      </c>
      <c r="C54" s="94">
        <f>(Table535141516[[#This Row],[Durable Goods]]-B53)/B53</f>
        <v>-4.2987890242195154E-2</v>
      </c>
    </row>
    <row r="55" spans="1:3">
      <c r="A55" s="91">
        <v>35125</v>
      </c>
      <c r="B55" s="92">
        <f>VLOOKUP(A55,Database!A:M,MATCH($A$1,Database!$A$1:$M$1,),)</f>
        <v>122567</v>
      </c>
      <c r="C55" s="94">
        <f>(Table535141516[[#This Row],[Durable Goods]]-B54)/B54</f>
        <v>0.12061257142857143</v>
      </c>
    </row>
    <row r="56" spans="1:3">
      <c r="A56" s="91">
        <v>35156</v>
      </c>
      <c r="B56" s="92">
        <f>VLOOKUP(A56,Database!A:M,MATCH($A$1,Database!$A$1:$M$1,),)</f>
        <v>112882</v>
      </c>
      <c r="C56" s="94">
        <f>(Table535141516[[#This Row],[Durable Goods]]-B55)/B55</f>
        <v>-7.9018006478089528E-2</v>
      </c>
    </row>
    <row r="57" spans="1:3">
      <c r="A57" s="91">
        <v>35186</v>
      </c>
      <c r="B57" s="92">
        <f>VLOOKUP(A57,Database!A:M,MATCH($A$1,Database!$A$1:$M$1,),)</f>
        <v>119613</v>
      </c>
      <c r="C57" s="94">
        <f>(Table535141516[[#This Row],[Durable Goods]]-B56)/B56</f>
        <v>5.9628638755514607E-2</v>
      </c>
    </row>
    <row r="58" spans="1:3">
      <c r="A58" s="91">
        <v>35217</v>
      </c>
      <c r="B58" s="92">
        <f>VLOOKUP(A58,Database!A:M,MATCH($A$1,Database!$A$1:$M$1,),)</f>
        <v>118924</v>
      </c>
      <c r="C58" s="94">
        <f>(Table535141516[[#This Row],[Durable Goods]]-B57)/B57</f>
        <v>-5.7602434517987173E-3</v>
      </c>
    </row>
    <row r="59" spans="1:3">
      <c r="A59" s="91">
        <v>35247</v>
      </c>
      <c r="B59" s="92">
        <f>VLOOKUP(A59,Database!A:M,MATCH($A$1,Database!$A$1:$M$1,),)</f>
        <v>117941</v>
      </c>
      <c r="C59" s="94">
        <f>(Table535141516[[#This Row],[Durable Goods]]-B58)/B58</f>
        <v>-8.2657831892637319E-3</v>
      </c>
    </row>
    <row r="60" spans="1:3">
      <c r="A60" s="91">
        <v>35278</v>
      </c>
      <c r="B60" s="92">
        <f>VLOOKUP(A60,Database!A:M,MATCH($A$1,Database!$A$1:$M$1,),)</f>
        <v>112297</v>
      </c>
      <c r="C60" s="94">
        <f>(Table535141516[[#This Row],[Durable Goods]]-B59)/B59</f>
        <v>-4.7854435692422481E-2</v>
      </c>
    </row>
    <row r="61" spans="1:3">
      <c r="A61" s="91">
        <v>35309</v>
      </c>
      <c r="B61" s="92">
        <f>VLOOKUP(A61,Database!A:M,MATCH($A$1,Database!$A$1:$M$1,),)</f>
        <v>118848</v>
      </c>
      <c r="C61" s="94">
        <f>(Table535141516[[#This Row],[Durable Goods]]-B60)/B60</f>
        <v>5.8336375860441506E-2</v>
      </c>
    </row>
    <row r="62" spans="1:3">
      <c r="A62" s="91">
        <v>35339</v>
      </c>
      <c r="B62" s="92">
        <f>VLOOKUP(A62,Database!A:M,MATCH($A$1,Database!$A$1:$M$1,),)</f>
        <v>119956</v>
      </c>
      <c r="C62" s="94">
        <f>(Table535141516[[#This Row],[Durable Goods]]-B61)/B61</f>
        <v>9.3228325255788908E-3</v>
      </c>
    </row>
    <row r="63" spans="1:3">
      <c r="A63" s="91">
        <v>35370</v>
      </c>
      <c r="B63" s="92">
        <f>VLOOKUP(A63,Database!A:M,MATCH($A$1,Database!$A$1:$M$1,),)</f>
        <v>124724</v>
      </c>
      <c r="C63" s="94">
        <f>(Table535141516[[#This Row],[Durable Goods]]-B62)/B62</f>
        <v>3.974790756610757E-2</v>
      </c>
    </row>
    <row r="64" spans="1:3">
      <c r="A64" s="91">
        <v>35400</v>
      </c>
      <c r="B64" s="92">
        <f>VLOOKUP(A64,Database!A:M,MATCH($A$1,Database!$A$1:$M$1,),)</f>
        <v>117137</v>
      </c>
      <c r="C64" s="94">
        <f>(Table535141516[[#This Row],[Durable Goods]]-B63)/B63</f>
        <v>-6.0830313331836694E-2</v>
      </c>
    </row>
    <row r="65" spans="1:3">
      <c r="A65" s="91">
        <v>35431</v>
      </c>
      <c r="B65" s="92">
        <f>VLOOKUP(A65,Database!A:M,MATCH($A$1,Database!$A$1:$M$1,),)</f>
        <v>114626</v>
      </c>
      <c r="C65" s="94">
        <f>(Table535141516[[#This Row],[Durable Goods]]-B64)/B64</f>
        <v>-2.1436437675542312E-2</v>
      </c>
    </row>
    <row r="66" spans="1:3">
      <c r="A66" s="91">
        <v>35462</v>
      </c>
      <c r="B66" s="92">
        <f>VLOOKUP(A66,Database!A:M,MATCH($A$1,Database!$A$1:$M$1,),)</f>
        <v>122876</v>
      </c>
      <c r="C66" s="94">
        <f>(Table535141516[[#This Row],[Durable Goods]]-B65)/B65</f>
        <v>7.1973199797602638E-2</v>
      </c>
    </row>
    <row r="67" spans="1:3">
      <c r="A67" s="91">
        <v>35490</v>
      </c>
      <c r="B67" s="92">
        <f>VLOOKUP(A67,Database!A:M,MATCH($A$1,Database!$A$1:$M$1,),)</f>
        <v>119668</v>
      </c>
      <c r="C67" s="94">
        <f>(Table535141516[[#This Row],[Durable Goods]]-B66)/B66</f>
        <v>-2.6107620690777694E-2</v>
      </c>
    </row>
    <row r="68" spans="1:3">
      <c r="A68" s="91">
        <v>35521</v>
      </c>
      <c r="B68" s="92">
        <f>VLOOKUP(A68,Database!A:M,MATCH($A$1,Database!$A$1:$M$1,),)</f>
        <v>125615</v>
      </c>
      <c r="C68" s="94">
        <f>(Table535141516[[#This Row],[Durable Goods]]-B67)/B67</f>
        <v>4.9695825116154696E-2</v>
      </c>
    </row>
    <row r="69" spans="1:3">
      <c r="A69" s="91">
        <v>35551</v>
      </c>
      <c r="B69" s="92">
        <f>VLOOKUP(A69,Database!A:M,MATCH($A$1,Database!$A$1:$M$1,),)</f>
        <v>120972</v>
      </c>
      <c r="C69" s="94">
        <f>(Table535141516[[#This Row],[Durable Goods]]-B68)/B68</f>
        <v>-3.6962146240496756E-2</v>
      </c>
    </row>
    <row r="70" spans="1:3">
      <c r="A70" s="91">
        <v>35582</v>
      </c>
      <c r="B70" s="92">
        <f>VLOOKUP(A70,Database!A:M,MATCH($A$1,Database!$A$1:$M$1,),)</f>
        <v>126186</v>
      </c>
      <c r="C70" s="94">
        <f>(Table535141516[[#This Row],[Durable Goods]]-B69)/B69</f>
        <v>4.3100882848923716E-2</v>
      </c>
    </row>
    <row r="71" spans="1:3">
      <c r="A71" s="91">
        <v>35612</v>
      </c>
      <c r="B71" s="92">
        <f>VLOOKUP(A71,Database!A:M,MATCH($A$1,Database!$A$1:$M$1,),)</f>
        <v>127337</v>
      </c>
      <c r="C71" s="94">
        <f>(Table535141516[[#This Row],[Durable Goods]]-B70)/B70</f>
        <v>9.1214556289921228E-3</v>
      </c>
    </row>
    <row r="72" spans="1:3">
      <c r="A72" s="91">
        <v>35643</v>
      </c>
      <c r="B72" s="92">
        <f>VLOOKUP(A72,Database!A:M,MATCH($A$1,Database!$A$1:$M$1,),)</f>
        <v>127334</v>
      </c>
      <c r="C72" s="94">
        <f>(Table535141516[[#This Row],[Durable Goods]]-B71)/B71</f>
        <v>-2.3559531008269395E-5</v>
      </c>
    </row>
    <row r="73" spans="1:3">
      <c r="A73" s="91">
        <v>35674</v>
      </c>
      <c r="B73" s="92">
        <f>VLOOKUP(A73,Database!A:M,MATCH($A$1,Database!$A$1:$M$1,),)</f>
        <v>128051</v>
      </c>
      <c r="C73" s="94">
        <f>(Table535141516[[#This Row],[Durable Goods]]-B72)/B72</f>
        <v>5.6308605714106208E-3</v>
      </c>
    </row>
    <row r="74" spans="1:3">
      <c r="A74" s="91">
        <v>35704</v>
      </c>
      <c r="B74" s="92">
        <f>VLOOKUP(A74,Database!A:M,MATCH($A$1,Database!$A$1:$M$1,),)</f>
        <v>128062</v>
      </c>
      <c r="C74" s="94">
        <f>(Table535141516[[#This Row],[Durable Goods]]-B73)/B73</f>
        <v>8.590327291469805E-5</v>
      </c>
    </row>
    <row r="75" spans="1:3">
      <c r="A75" s="91">
        <v>35735</v>
      </c>
      <c r="B75" s="92">
        <f>VLOOKUP(A75,Database!A:M,MATCH($A$1,Database!$A$1:$M$1,),)</f>
        <v>139761</v>
      </c>
      <c r="C75" s="94">
        <f>(Table535141516[[#This Row],[Durable Goods]]-B74)/B74</f>
        <v>9.1354187815276974E-2</v>
      </c>
    </row>
    <row r="76" spans="1:3">
      <c r="A76" s="91">
        <v>35765</v>
      </c>
      <c r="B76" s="92">
        <f>VLOOKUP(A76,Database!A:M,MATCH($A$1,Database!$A$1:$M$1,),)</f>
        <v>122759</v>
      </c>
      <c r="C76" s="94">
        <f>(Table535141516[[#This Row],[Durable Goods]]-B75)/B75</f>
        <v>-0.12165053197959373</v>
      </c>
    </row>
    <row r="77" spans="1:3">
      <c r="A77" s="91">
        <v>35796</v>
      </c>
      <c r="B77" s="92">
        <f>VLOOKUP(A77,Database!A:M,MATCH($A$1,Database!$A$1:$M$1,),)</f>
        <v>125004</v>
      </c>
      <c r="C77" s="94">
        <f>(Table535141516[[#This Row],[Durable Goods]]-B76)/B76</f>
        <v>1.8287864840867064E-2</v>
      </c>
    </row>
    <row r="78" spans="1:3">
      <c r="A78" s="91">
        <v>35827</v>
      </c>
      <c r="B78" s="92">
        <f>VLOOKUP(A78,Database!A:M,MATCH($A$1,Database!$A$1:$M$1,),)</f>
        <v>129378</v>
      </c>
      <c r="C78" s="94">
        <f>(Table535141516[[#This Row],[Durable Goods]]-B77)/B77</f>
        <v>3.4990880291830659E-2</v>
      </c>
    </row>
    <row r="79" spans="1:3">
      <c r="A79" s="91">
        <v>35855</v>
      </c>
      <c r="B79" s="92">
        <f>VLOOKUP(A79,Database!A:M,MATCH($A$1,Database!$A$1:$M$1,),)</f>
        <v>124823</v>
      </c>
      <c r="C79" s="94">
        <f>(Table535141516[[#This Row],[Durable Goods]]-B78)/B78</f>
        <v>-3.5206913076411751E-2</v>
      </c>
    </row>
    <row r="80" spans="1:3">
      <c r="A80" s="91">
        <v>35886</v>
      </c>
      <c r="B80" s="92">
        <f>VLOOKUP(A80,Database!A:M,MATCH($A$1,Database!$A$1:$M$1,),)</f>
        <v>129329</v>
      </c>
      <c r="C80" s="94">
        <f>(Table535141516[[#This Row],[Durable Goods]]-B79)/B79</f>
        <v>3.6099116348749828E-2</v>
      </c>
    </row>
    <row r="81" spans="1:3">
      <c r="A81" s="91">
        <v>35916</v>
      </c>
      <c r="B81" s="92">
        <f>VLOOKUP(A81,Database!A:M,MATCH($A$1,Database!$A$1:$M$1,),)</f>
        <v>128089</v>
      </c>
      <c r="C81" s="94">
        <f>(Table535141516[[#This Row],[Durable Goods]]-B80)/B80</f>
        <v>-9.587950111730548E-3</v>
      </c>
    </row>
    <row r="82" spans="1:3">
      <c r="A82" s="91">
        <v>35947</v>
      </c>
      <c r="B82" s="92">
        <f>VLOOKUP(A82,Database!A:M,MATCH($A$1,Database!$A$1:$M$1,),)</f>
        <v>123912</v>
      </c>
      <c r="C82" s="94">
        <f>(Table535141516[[#This Row],[Durable Goods]]-B81)/B81</f>
        <v>-3.2610138263238844E-2</v>
      </c>
    </row>
    <row r="83" spans="1:3">
      <c r="A83" s="91">
        <v>35977</v>
      </c>
      <c r="B83" s="92">
        <f>VLOOKUP(A83,Database!A:M,MATCH($A$1,Database!$A$1:$M$1,),)</f>
        <v>122090</v>
      </c>
      <c r="C83" s="94">
        <f>(Table535141516[[#This Row],[Durable Goods]]-B82)/B82</f>
        <v>-1.4703983472141521E-2</v>
      </c>
    </row>
    <row r="84" spans="1:3">
      <c r="A84" s="91">
        <v>36008</v>
      </c>
      <c r="B84" s="92">
        <f>VLOOKUP(A84,Database!A:M,MATCH($A$1,Database!$A$1:$M$1,),)</f>
        <v>127658</v>
      </c>
      <c r="C84" s="94">
        <f>(Table535141516[[#This Row],[Durable Goods]]-B83)/B83</f>
        <v>4.5605700712589077E-2</v>
      </c>
    </row>
    <row r="85" spans="1:3">
      <c r="A85" s="91">
        <v>36039</v>
      </c>
      <c r="B85" s="92">
        <f>VLOOKUP(A85,Database!A:M,MATCH($A$1,Database!$A$1:$M$1,),)</f>
        <v>129434</v>
      </c>
      <c r="C85" s="94">
        <f>(Table535141516[[#This Row],[Durable Goods]]-B84)/B84</f>
        <v>1.3912171583449529E-2</v>
      </c>
    </row>
    <row r="86" spans="1:3">
      <c r="A86" s="91">
        <v>36069</v>
      </c>
      <c r="B86" s="92">
        <f>VLOOKUP(A86,Database!A:M,MATCH($A$1,Database!$A$1:$M$1,),)</f>
        <v>125301</v>
      </c>
      <c r="C86" s="94">
        <f>(Table535141516[[#This Row],[Durable Goods]]-B85)/B85</f>
        <v>-3.1931331798445539E-2</v>
      </c>
    </row>
    <row r="87" spans="1:3">
      <c r="A87" s="91">
        <v>36100</v>
      </c>
      <c r="B87" s="92">
        <f>VLOOKUP(A87,Database!A:M,MATCH($A$1,Database!$A$1:$M$1,),)</f>
        <v>128665</v>
      </c>
      <c r="C87" s="94">
        <f>(Table535141516[[#This Row],[Durable Goods]]-B86)/B86</f>
        <v>2.6847351577401618E-2</v>
      </c>
    </row>
    <row r="88" spans="1:3">
      <c r="A88" s="91">
        <v>36130</v>
      </c>
      <c r="B88" s="92">
        <f>VLOOKUP(A88,Database!A:M,MATCH($A$1,Database!$A$1:$M$1,),)</f>
        <v>124510</v>
      </c>
      <c r="C88" s="94">
        <f>(Table535141516[[#This Row],[Durable Goods]]-B87)/B87</f>
        <v>-3.2293164419228228E-2</v>
      </c>
    </row>
    <row r="89" spans="1:3">
      <c r="A89" s="91">
        <v>36161</v>
      </c>
      <c r="B89" s="92">
        <f>VLOOKUP(A89,Database!A:M,MATCH($A$1,Database!$A$1:$M$1,),)</f>
        <v>132005</v>
      </c>
      <c r="C89" s="94">
        <f>(Table535141516[[#This Row],[Durable Goods]]-B88)/B88</f>
        <v>6.0195968195325675E-2</v>
      </c>
    </row>
    <row r="90" spans="1:3">
      <c r="A90" s="91">
        <v>36192</v>
      </c>
      <c r="B90" s="92">
        <f>VLOOKUP(A90,Database!A:M,MATCH($A$1,Database!$A$1:$M$1,),)</f>
        <v>129227</v>
      </c>
      <c r="C90" s="94">
        <f>(Table535141516[[#This Row],[Durable Goods]]-B89)/B89</f>
        <v>-2.1044657399340933E-2</v>
      </c>
    </row>
    <row r="91" spans="1:3">
      <c r="A91" s="91">
        <v>36220</v>
      </c>
      <c r="B91" s="92">
        <f>VLOOKUP(A91,Database!A:M,MATCH($A$1,Database!$A$1:$M$1,),)</f>
        <v>129753</v>
      </c>
      <c r="C91" s="94">
        <f>(Table535141516[[#This Row],[Durable Goods]]-B90)/B90</f>
        <v>4.0703568139785033E-3</v>
      </c>
    </row>
    <row r="92" spans="1:3">
      <c r="A92" s="91">
        <v>36251</v>
      </c>
      <c r="B92" s="92">
        <f>VLOOKUP(A92,Database!A:M,MATCH($A$1,Database!$A$1:$M$1,),)</f>
        <v>128317</v>
      </c>
      <c r="C92" s="94">
        <f>(Table535141516[[#This Row],[Durable Goods]]-B91)/B91</f>
        <v>-1.1067181490986721E-2</v>
      </c>
    </row>
    <row r="93" spans="1:3">
      <c r="A93" s="91">
        <v>36281</v>
      </c>
      <c r="B93" s="92">
        <f>VLOOKUP(A93,Database!A:M,MATCH($A$1,Database!$A$1:$M$1,),)</f>
        <v>130315</v>
      </c>
      <c r="C93" s="94">
        <f>(Table535141516[[#This Row],[Durable Goods]]-B92)/B92</f>
        <v>1.5570812908655907E-2</v>
      </c>
    </row>
    <row r="94" spans="1:3">
      <c r="A94" s="91">
        <v>36312</v>
      </c>
      <c r="B94" s="92">
        <f>VLOOKUP(A94,Database!A:M,MATCH($A$1,Database!$A$1:$M$1,),)</f>
        <v>127679</v>
      </c>
      <c r="C94" s="94">
        <f>(Table535141516[[#This Row],[Durable Goods]]-B93)/B93</f>
        <v>-2.0227909296704139E-2</v>
      </c>
    </row>
    <row r="95" spans="1:3">
      <c r="A95" s="91">
        <v>36342</v>
      </c>
      <c r="B95" s="92">
        <f>VLOOKUP(A95,Database!A:M,MATCH($A$1,Database!$A$1:$M$1,),)</f>
        <v>134617</v>
      </c>
      <c r="C95" s="94">
        <f>(Table535141516[[#This Row],[Durable Goods]]-B94)/B94</f>
        <v>5.4339398021601044E-2</v>
      </c>
    </row>
    <row r="96" spans="1:3">
      <c r="A96" s="91">
        <v>36373</v>
      </c>
      <c r="B96" s="92">
        <f>VLOOKUP(A96,Database!A:M,MATCH($A$1,Database!$A$1:$M$1,),)</f>
        <v>133941</v>
      </c>
      <c r="C96" s="94">
        <f>(Table535141516[[#This Row],[Durable Goods]]-B95)/B95</f>
        <v>-5.0216540258659756E-3</v>
      </c>
    </row>
    <row r="97" spans="1:3">
      <c r="A97" s="91">
        <v>36404</v>
      </c>
      <c r="B97" s="92">
        <f>VLOOKUP(A97,Database!A:M,MATCH($A$1,Database!$A$1:$M$1,),)</f>
        <v>133870</v>
      </c>
      <c r="C97" s="94">
        <f>(Table535141516[[#This Row],[Durable Goods]]-B96)/B96</f>
        <v>-5.3008414152499984E-4</v>
      </c>
    </row>
    <row r="98" spans="1:3">
      <c r="A98" s="91">
        <v>36434</v>
      </c>
      <c r="B98" s="92">
        <f>VLOOKUP(A98,Database!A:M,MATCH($A$1,Database!$A$1:$M$1,),)</f>
        <v>139509</v>
      </c>
      <c r="C98" s="94">
        <f>(Table535141516[[#This Row],[Durable Goods]]-B97)/B97</f>
        <v>4.2122955105699557E-2</v>
      </c>
    </row>
    <row r="99" spans="1:3">
      <c r="A99" s="91">
        <v>36465</v>
      </c>
      <c r="B99" s="92">
        <f>VLOOKUP(A99,Database!A:M,MATCH($A$1,Database!$A$1:$M$1,),)</f>
        <v>131897</v>
      </c>
      <c r="C99" s="94">
        <f>(Table535141516[[#This Row],[Durable Goods]]-B98)/B98</f>
        <v>-5.4562788063852515E-2</v>
      </c>
    </row>
    <row r="100" spans="1:3">
      <c r="A100" s="91">
        <v>36495</v>
      </c>
      <c r="B100" s="92">
        <f>VLOOKUP(A100,Database!A:M,MATCH($A$1,Database!$A$1:$M$1,),)</f>
        <v>141778</v>
      </c>
      <c r="C100" s="94">
        <f>(Table535141516[[#This Row],[Durable Goods]]-B99)/B99</f>
        <v>7.4914516630400996E-2</v>
      </c>
    </row>
    <row r="101" spans="1:3">
      <c r="A101" s="91">
        <v>36526</v>
      </c>
      <c r="B101" s="92">
        <f>VLOOKUP(A101,Database!A:M,MATCH($A$1,Database!$A$1:$M$1,),)</f>
        <v>144856</v>
      </c>
      <c r="C101" s="94">
        <f>(Table535141516[[#This Row],[Durable Goods]]-B100)/B100</f>
        <v>2.1709997319753416E-2</v>
      </c>
    </row>
    <row r="102" spans="1:3">
      <c r="A102" s="91">
        <v>36557</v>
      </c>
      <c r="B102" s="92">
        <f>VLOOKUP(A102,Database!A:M,MATCH($A$1,Database!$A$1:$M$1,),)</f>
        <v>130377</v>
      </c>
      <c r="C102" s="94">
        <f>(Table535141516[[#This Row],[Durable Goods]]-B101)/B101</f>
        <v>-9.9954437510355112E-2</v>
      </c>
    </row>
    <row r="103" spans="1:3">
      <c r="A103" s="91">
        <v>36586</v>
      </c>
      <c r="B103" s="92">
        <f>VLOOKUP(A103,Database!A:M,MATCH($A$1,Database!$A$1:$M$1,),)</f>
        <v>137161</v>
      </c>
      <c r="C103" s="94">
        <f>(Table535141516[[#This Row],[Durable Goods]]-B102)/B102</f>
        <v>5.2033717603565045E-2</v>
      </c>
    </row>
    <row r="104" spans="1:3">
      <c r="A104" s="91">
        <v>36617</v>
      </c>
      <c r="B104" s="92">
        <f>VLOOKUP(A104,Database!A:M,MATCH($A$1,Database!$A$1:$M$1,),)</f>
        <v>139928</v>
      </c>
      <c r="C104" s="94">
        <f>(Table535141516[[#This Row],[Durable Goods]]-B103)/B103</f>
        <v>2.0173372897543763E-2</v>
      </c>
    </row>
    <row r="105" spans="1:3">
      <c r="A105" s="91">
        <v>36647</v>
      </c>
      <c r="B105" s="92">
        <f>VLOOKUP(A105,Database!A:M,MATCH($A$1,Database!$A$1:$M$1,),)</f>
        <v>135833</v>
      </c>
      <c r="C105" s="94">
        <f>(Table535141516[[#This Row],[Durable Goods]]-B104)/B104</f>
        <v>-2.9265050597450118E-2</v>
      </c>
    </row>
    <row r="106" spans="1:3">
      <c r="A106" s="91">
        <v>36678</v>
      </c>
      <c r="B106" s="92">
        <f>VLOOKUP(A106,Database!A:M,MATCH($A$1,Database!$A$1:$M$1,),)</f>
        <v>165607</v>
      </c>
      <c r="C106" s="94">
        <f>(Table535141516[[#This Row],[Durable Goods]]-B105)/B105</f>
        <v>0.21919562992792621</v>
      </c>
    </row>
    <row r="107" spans="1:3">
      <c r="A107" s="91">
        <v>36708</v>
      </c>
      <c r="B107" s="92">
        <f>VLOOKUP(A107,Database!A:M,MATCH($A$1,Database!$A$1:$M$1,),)</f>
        <v>137103</v>
      </c>
      <c r="C107" s="94">
        <f>(Table535141516[[#This Row],[Durable Goods]]-B106)/B106</f>
        <v>-0.17211832833153187</v>
      </c>
    </row>
    <row r="108" spans="1:3">
      <c r="A108" s="91">
        <v>36739</v>
      </c>
      <c r="B108" s="92">
        <f>VLOOKUP(A108,Database!A:M,MATCH($A$1,Database!$A$1:$M$1,),)</f>
        <v>138771</v>
      </c>
      <c r="C108" s="94">
        <f>(Table535141516[[#This Row],[Durable Goods]]-B107)/B107</f>
        <v>1.2166035754141047E-2</v>
      </c>
    </row>
    <row r="109" spans="1:3">
      <c r="A109" s="91">
        <v>36770</v>
      </c>
      <c r="B109" s="92">
        <f>VLOOKUP(A109,Database!A:M,MATCH($A$1,Database!$A$1:$M$1,),)</f>
        <v>145618</v>
      </c>
      <c r="C109" s="94">
        <f>(Table535141516[[#This Row],[Durable Goods]]-B108)/B108</f>
        <v>4.9340280029689203E-2</v>
      </c>
    </row>
    <row r="110" spans="1:3">
      <c r="A110" s="91">
        <v>36800</v>
      </c>
      <c r="B110" s="92">
        <f>VLOOKUP(A110,Database!A:M,MATCH($A$1,Database!$A$1:$M$1,),)</f>
        <v>134557</v>
      </c>
      <c r="C110" s="94">
        <f>(Table535141516[[#This Row],[Durable Goods]]-B109)/B109</f>
        <v>-7.5959016055707401E-2</v>
      </c>
    </row>
    <row r="111" spans="1:3">
      <c r="A111" s="91">
        <v>36831</v>
      </c>
      <c r="B111" s="92">
        <f>VLOOKUP(A111,Database!A:M,MATCH($A$1,Database!$A$1:$M$1,),)</f>
        <v>139206</v>
      </c>
      <c r="C111" s="94">
        <f>(Table535141516[[#This Row],[Durable Goods]]-B110)/B110</f>
        <v>3.4550413579375286E-2</v>
      </c>
    </row>
    <row r="112" spans="1:3">
      <c r="A112" s="91">
        <v>36861</v>
      </c>
      <c r="B112" s="92">
        <f>VLOOKUP(A112,Database!A:M,MATCH($A$1,Database!$A$1:$M$1,),)</f>
        <v>137810</v>
      </c>
      <c r="C112" s="94">
        <f>(Table535141516[[#This Row],[Durable Goods]]-B111)/B111</f>
        <v>-1.0028303377727971E-2</v>
      </c>
    </row>
    <row r="113" spans="1:3">
      <c r="A113" s="91">
        <v>36892</v>
      </c>
      <c r="B113" s="92">
        <f>VLOOKUP(A113,Database!A:M,MATCH($A$1,Database!$A$1:$M$1,),)</f>
        <v>129101</v>
      </c>
      <c r="C113" s="94">
        <f>(Table535141516[[#This Row],[Durable Goods]]-B112)/B112</f>
        <v>-6.3195704230462224E-2</v>
      </c>
    </row>
    <row r="114" spans="1:3">
      <c r="A114" s="91">
        <v>36923</v>
      </c>
      <c r="B114" s="92">
        <f>VLOOKUP(A114,Database!A:M,MATCH($A$1,Database!$A$1:$M$1,),)</f>
        <v>130032</v>
      </c>
      <c r="C114" s="94">
        <f>(Table535141516[[#This Row],[Durable Goods]]-B113)/B113</f>
        <v>7.2114081223228323E-3</v>
      </c>
    </row>
    <row r="115" spans="1:3">
      <c r="A115" s="91">
        <v>36951</v>
      </c>
      <c r="B115" s="92">
        <f>VLOOKUP(A115,Database!A:M,MATCH($A$1,Database!$A$1:$M$1,),)</f>
        <v>131606</v>
      </c>
      <c r="C115" s="94">
        <f>(Table535141516[[#This Row],[Durable Goods]]-B114)/B114</f>
        <v>1.2104712686108035E-2</v>
      </c>
    </row>
    <row r="116" spans="1:3">
      <c r="A116" s="91">
        <v>36982</v>
      </c>
      <c r="B116" s="92">
        <f>VLOOKUP(A116,Database!A:M,MATCH($A$1,Database!$A$1:$M$1,),)</f>
        <v>123025</v>
      </c>
      <c r="C116" s="94">
        <f>(Table535141516[[#This Row],[Durable Goods]]-B115)/B115</f>
        <v>-6.5202194428825438E-2</v>
      </c>
    </row>
    <row r="117" spans="1:3">
      <c r="A117" s="91">
        <v>37012</v>
      </c>
      <c r="B117" s="92">
        <f>VLOOKUP(A117,Database!A:M,MATCH($A$1,Database!$A$1:$M$1,),)</f>
        <v>126796</v>
      </c>
      <c r="C117" s="94">
        <f>(Table535141516[[#This Row],[Durable Goods]]-B116)/B116</f>
        <v>3.0652306441780127E-2</v>
      </c>
    </row>
    <row r="118" spans="1:3">
      <c r="A118" s="91">
        <v>37043</v>
      </c>
      <c r="B118" s="92">
        <f>VLOOKUP(A118,Database!A:M,MATCH($A$1,Database!$A$1:$M$1,),)</f>
        <v>126051</v>
      </c>
      <c r="C118" s="94">
        <f>(Table535141516[[#This Row],[Durable Goods]]-B117)/B117</f>
        <v>-5.8755796712830054E-3</v>
      </c>
    </row>
    <row r="119" spans="1:3">
      <c r="A119" s="91">
        <v>37073</v>
      </c>
      <c r="B119" s="92">
        <f>VLOOKUP(A119,Database!A:M,MATCH($A$1,Database!$A$1:$M$1,),)</f>
        <v>120027</v>
      </c>
      <c r="C119" s="94">
        <f>(Table535141516[[#This Row],[Durable Goods]]-B118)/B118</f>
        <v>-4.7790180165171239E-2</v>
      </c>
    </row>
    <row r="120" spans="1:3">
      <c r="A120" s="91">
        <v>37104</v>
      </c>
      <c r="B120" s="92">
        <f>VLOOKUP(A120,Database!A:M,MATCH($A$1,Database!$A$1:$M$1,),)</f>
        <v>120481</v>
      </c>
      <c r="C120" s="94">
        <f>(Table535141516[[#This Row],[Durable Goods]]-B119)/B119</f>
        <v>3.7824822748214987E-3</v>
      </c>
    </row>
    <row r="121" spans="1:3">
      <c r="A121" s="91">
        <v>37135</v>
      </c>
      <c r="B121" s="92">
        <f>VLOOKUP(A121,Database!A:M,MATCH($A$1,Database!$A$1:$M$1,),)</f>
        <v>115746</v>
      </c>
      <c r="C121" s="94">
        <f>(Table535141516[[#This Row],[Durable Goods]]-B120)/B120</f>
        <v>-3.9300802616180144E-2</v>
      </c>
    </row>
    <row r="122" spans="1:3">
      <c r="A122" s="91">
        <v>37165</v>
      </c>
      <c r="B122" s="92">
        <f>VLOOKUP(A122,Database!A:M,MATCH($A$1,Database!$A$1:$M$1,),)</f>
        <v>122937</v>
      </c>
      <c r="C122" s="94">
        <f>(Table535141516[[#This Row],[Durable Goods]]-B121)/B121</f>
        <v>6.2127416930174692E-2</v>
      </c>
    </row>
    <row r="123" spans="1:3">
      <c r="A123" s="91">
        <v>37196</v>
      </c>
      <c r="B123" s="92">
        <f>VLOOKUP(A123,Database!A:M,MATCH($A$1,Database!$A$1:$M$1,),)</f>
        <v>114240</v>
      </c>
      <c r="C123" s="94">
        <f>(Table535141516[[#This Row],[Durable Goods]]-B122)/B122</f>
        <v>-7.0743551575197058E-2</v>
      </c>
    </row>
    <row r="124" spans="1:3">
      <c r="A124" s="91">
        <v>37226</v>
      </c>
      <c r="B124" s="92">
        <f>VLOOKUP(A124,Database!A:M,MATCH($A$1,Database!$A$1:$M$1,),)</f>
        <v>114782</v>
      </c>
      <c r="C124" s="94">
        <f>(Table535141516[[#This Row],[Durable Goods]]-B123)/B123</f>
        <v>4.7443977591036411E-3</v>
      </c>
    </row>
    <row r="125" spans="1:3">
      <c r="A125" s="91">
        <v>37257</v>
      </c>
      <c r="B125" s="92">
        <f>VLOOKUP(A125,Database!A:M,MATCH($A$1,Database!$A$1:$M$1,),)</f>
        <v>112406</v>
      </c>
      <c r="C125" s="94">
        <f>(Table535141516[[#This Row],[Durable Goods]]-B124)/B124</f>
        <v>-2.0700109773309404E-2</v>
      </c>
    </row>
    <row r="126" spans="1:3">
      <c r="A126" s="91">
        <v>37288</v>
      </c>
      <c r="B126" s="92">
        <f>VLOOKUP(A126,Database!A:M,MATCH($A$1,Database!$A$1:$M$1,),)</f>
        <v>122233</v>
      </c>
      <c r="C126" s="94">
        <f>(Table535141516[[#This Row],[Durable Goods]]-B125)/B125</f>
        <v>8.7424158852730277E-2</v>
      </c>
    </row>
    <row r="127" spans="1:3">
      <c r="A127" s="91">
        <v>37316</v>
      </c>
      <c r="B127" s="92">
        <f>VLOOKUP(A127,Database!A:M,MATCH($A$1,Database!$A$1:$M$1,),)</f>
        <v>118940</v>
      </c>
      <c r="C127" s="94">
        <f>(Table535141516[[#This Row],[Durable Goods]]-B126)/B126</f>
        <v>-2.6940351623538653E-2</v>
      </c>
    </row>
    <row r="128" spans="1:3">
      <c r="A128" s="91">
        <v>37347</v>
      </c>
      <c r="B128" s="92">
        <f>VLOOKUP(A128,Database!A:M,MATCH($A$1,Database!$A$1:$M$1,),)</f>
        <v>118664</v>
      </c>
      <c r="C128" s="94">
        <f>(Table535141516[[#This Row],[Durable Goods]]-B127)/B127</f>
        <v>-2.3204977299478729E-3</v>
      </c>
    </row>
    <row r="129" spans="1:3">
      <c r="A129" s="91">
        <v>37377</v>
      </c>
      <c r="B129" s="92">
        <f>VLOOKUP(A129,Database!A:M,MATCH($A$1,Database!$A$1:$M$1,),)</f>
        <v>119235</v>
      </c>
      <c r="C129" s="94">
        <f>(Table535141516[[#This Row],[Durable Goods]]-B128)/B128</f>
        <v>4.8119058855255175E-3</v>
      </c>
    </row>
    <row r="130" spans="1:3">
      <c r="A130" s="91">
        <v>37408</v>
      </c>
      <c r="B130" s="92">
        <f>VLOOKUP(A130,Database!A:M,MATCH($A$1,Database!$A$1:$M$1,),)</f>
        <v>113950</v>
      </c>
      <c r="C130" s="94">
        <f>(Table535141516[[#This Row],[Durable Goods]]-B129)/B129</f>
        <v>-4.43242336562251E-2</v>
      </c>
    </row>
    <row r="131" spans="1:3">
      <c r="A131" s="91">
        <v>37438</v>
      </c>
      <c r="B131" s="92">
        <f>VLOOKUP(A131,Database!A:M,MATCH($A$1,Database!$A$1:$M$1,),)</f>
        <v>120438</v>
      </c>
      <c r="C131" s="94">
        <f>(Table535141516[[#This Row],[Durable Goods]]-B130)/B130</f>
        <v>5.6937253181219831E-2</v>
      </c>
    </row>
    <row r="132" spans="1:3">
      <c r="A132" s="91">
        <v>37469</v>
      </c>
      <c r="B132" s="92">
        <f>VLOOKUP(A132,Database!A:M,MATCH($A$1,Database!$A$1:$M$1,),)</f>
        <v>122932</v>
      </c>
      <c r="C132" s="94">
        <f>(Table535141516[[#This Row],[Durable Goods]]-B131)/B131</f>
        <v>2.0707750045666651E-2</v>
      </c>
    </row>
    <row r="133" spans="1:3">
      <c r="A133" s="91">
        <v>37500</v>
      </c>
      <c r="B133" s="92">
        <f>VLOOKUP(A133,Database!A:M,MATCH($A$1,Database!$A$1:$M$1,),)</f>
        <v>115066</v>
      </c>
      <c r="C133" s="94">
        <f>(Table535141516[[#This Row],[Durable Goods]]-B132)/B132</f>
        <v>-6.3986594214687789E-2</v>
      </c>
    </row>
    <row r="134" spans="1:3">
      <c r="A134" s="91">
        <v>37530</v>
      </c>
      <c r="B134" s="92">
        <f>VLOOKUP(A134,Database!A:M,MATCH($A$1,Database!$A$1:$M$1,),)</f>
        <v>115754</v>
      </c>
      <c r="C134" s="94">
        <f>(Table535141516[[#This Row],[Durable Goods]]-B133)/B133</f>
        <v>5.9791771678862566E-3</v>
      </c>
    </row>
    <row r="135" spans="1:3">
      <c r="A135" s="91">
        <v>37561</v>
      </c>
      <c r="B135" s="92">
        <f>VLOOKUP(A135,Database!A:M,MATCH($A$1,Database!$A$1:$M$1,),)</f>
        <v>117084</v>
      </c>
      <c r="C135" s="94">
        <f>(Table535141516[[#This Row],[Durable Goods]]-B134)/B134</f>
        <v>1.148988371892116E-2</v>
      </c>
    </row>
    <row r="136" spans="1:3">
      <c r="A136" s="91">
        <v>37591</v>
      </c>
      <c r="B136" s="92">
        <f>VLOOKUP(A136,Database!A:M,MATCH($A$1,Database!$A$1:$M$1,),)</f>
        <v>112831</v>
      </c>
      <c r="C136" s="94">
        <f>(Table535141516[[#This Row],[Durable Goods]]-B135)/B135</f>
        <v>-3.6324348331112706E-2</v>
      </c>
    </row>
    <row r="137" spans="1:3">
      <c r="A137" s="91">
        <v>37622</v>
      </c>
      <c r="B137" s="92">
        <f>VLOOKUP(A137,Database!A:M,MATCH($A$1,Database!$A$1:$M$1,),)</f>
        <v>116048</v>
      </c>
      <c r="C137" s="94">
        <f>(Table535141516[[#This Row],[Durable Goods]]-B136)/B136</f>
        <v>2.8511667892689066E-2</v>
      </c>
    </row>
    <row r="138" spans="1:3">
      <c r="A138" s="91">
        <v>37653</v>
      </c>
      <c r="B138" s="92">
        <f>VLOOKUP(A138,Database!A:M,MATCH($A$1,Database!$A$1:$M$1,),)</f>
        <v>121274</v>
      </c>
      <c r="C138" s="94">
        <f>(Table535141516[[#This Row],[Durable Goods]]-B137)/B137</f>
        <v>4.5033089755963047E-2</v>
      </c>
    </row>
    <row r="139" spans="1:3">
      <c r="A139" s="91">
        <v>37681</v>
      </c>
      <c r="B139" s="92">
        <f>VLOOKUP(A139,Database!A:M,MATCH($A$1,Database!$A$1:$M$1,),)</f>
        <v>119034</v>
      </c>
      <c r="C139" s="94">
        <f>(Table535141516[[#This Row],[Durable Goods]]-B138)/B138</f>
        <v>-1.8470570773620066E-2</v>
      </c>
    </row>
    <row r="140" spans="1:3">
      <c r="A140" s="91">
        <v>37712</v>
      </c>
      <c r="B140" s="92">
        <f>VLOOKUP(A140,Database!A:M,MATCH($A$1,Database!$A$1:$M$1,),)</f>
        <v>117051</v>
      </c>
      <c r="C140" s="94">
        <f>(Table535141516[[#This Row],[Durable Goods]]-B139)/B139</f>
        <v>-1.6659105801703714E-2</v>
      </c>
    </row>
    <row r="141" spans="1:3">
      <c r="A141" s="91">
        <v>37742</v>
      </c>
      <c r="B141" s="92">
        <f>VLOOKUP(A141,Database!A:M,MATCH($A$1,Database!$A$1:$M$1,),)</f>
        <v>118306</v>
      </c>
      <c r="C141" s="94">
        <f>(Table535141516[[#This Row],[Durable Goods]]-B140)/B140</f>
        <v>1.0721822111729075E-2</v>
      </c>
    </row>
    <row r="142" spans="1:3">
      <c r="A142" s="91">
        <v>37773</v>
      </c>
      <c r="B142" s="92">
        <f>VLOOKUP(A142,Database!A:M,MATCH($A$1,Database!$A$1:$M$1,),)</f>
        <v>119931</v>
      </c>
      <c r="C142" s="94">
        <f>(Table535141516[[#This Row],[Durable Goods]]-B141)/B141</f>
        <v>1.373556708873599E-2</v>
      </c>
    </row>
    <row r="143" spans="1:3">
      <c r="A143" s="91">
        <v>37803</v>
      </c>
      <c r="B143" s="92">
        <f>VLOOKUP(A143,Database!A:M,MATCH($A$1,Database!$A$1:$M$1,),)</f>
        <v>117404</v>
      </c>
      <c r="C143" s="94">
        <f>(Table535141516[[#This Row],[Durable Goods]]-B142)/B142</f>
        <v>-2.107044884141715E-2</v>
      </c>
    </row>
    <row r="144" spans="1:3">
      <c r="A144" s="91">
        <v>37834</v>
      </c>
      <c r="B144" s="92">
        <f>VLOOKUP(A144,Database!A:M,MATCH($A$1,Database!$A$1:$M$1,),)</f>
        <v>119296</v>
      </c>
      <c r="C144" s="94">
        <f>(Table535141516[[#This Row],[Durable Goods]]-B143)/B143</f>
        <v>1.6115294197812682E-2</v>
      </c>
    </row>
    <row r="145" spans="1:3">
      <c r="A145" s="91">
        <v>37865</v>
      </c>
      <c r="B145" s="92">
        <f>VLOOKUP(A145,Database!A:M,MATCH($A$1,Database!$A$1:$M$1,),)</f>
        <v>121830</v>
      </c>
      <c r="C145" s="94">
        <f>(Table535141516[[#This Row],[Durable Goods]]-B144)/B144</f>
        <v>2.1241282188841203E-2</v>
      </c>
    </row>
    <row r="146" spans="1:3">
      <c r="A146" s="91">
        <v>37895</v>
      </c>
      <c r="B146" s="92">
        <f>VLOOKUP(A146,Database!A:M,MATCH($A$1,Database!$A$1:$M$1,),)</f>
        <v>127269</v>
      </c>
      <c r="C146" s="94">
        <f>(Table535141516[[#This Row],[Durable Goods]]-B145)/B145</f>
        <v>4.4644176311253385E-2</v>
      </c>
    </row>
    <row r="147" spans="1:3">
      <c r="A147" s="91">
        <v>37926</v>
      </c>
      <c r="B147" s="92">
        <f>VLOOKUP(A147,Database!A:M,MATCH($A$1,Database!$A$1:$M$1,),)</f>
        <v>125879</v>
      </c>
      <c r="C147" s="94">
        <f>(Table535141516[[#This Row],[Durable Goods]]-B146)/B146</f>
        <v>-1.0921748422632377E-2</v>
      </c>
    </row>
    <row r="148" spans="1:3">
      <c r="A148" s="91">
        <v>37956</v>
      </c>
      <c r="B148" s="92">
        <f>VLOOKUP(A148,Database!A:M,MATCH($A$1,Database!$A$1:$M$1,),)</f>
        <v>126251</v>
      </c>
      <c r="C148" s="94">
        <f>(Table535141516[[#This Row],[Durable Goods]]-B147)/B147</f>
        <v>2.9552189006903456E-3</v>
      </c>
    </row>
    <row r="149" spans="1:3">
      <c r="A149" s="91">
        <v>37987</v>
      </c>
      <c r="B149" s="92">
        <f>VLOOKUP(A149,Database!A:M,MATCH($A$1,Database!$A$1:$M$1,),)</f>
        <v>124471</v>
      </c>
      <c r="C149" s="94">
        <f>(Table535141516[[#This Row],[Durable Goods]]-B148)/B148</f>
        <v>-1.40988982265487E-2</v>
      </c>
    </row>
    <row r="150" spans="1:3">
      <c r="A150" s="91">
        <v>38018</v>
      </c>
      <c r="B150" s="92">
        <f>VLOOKUP(A150,Database!A:M,MATCH($A$1,Database!$A$1:$M$1,),)</f>
        <v>126174</v>
      </c>
      <c r="C150" s="94">
        <f>(Table535141516[[#This Row],[Durable Goods]]-B149)/B149</f>
        <v>1.3681901808453375E-2</v>
      </c>
    </row>
    <row r="151" spans="1:3">
      <c r="A151" s="91">
        <v>38047</v>
      </c>
      <c r="B151" s="92">
        <f>VLOOKUP(A151,Database!A:M,MATCH($A$1,Database!$A$1:$M$1,),)</f>
        <v>132836</v>
      </c>
      <c r="C151" s="94">
        <f>(Table535141516[[#This Row],[Durable Goods]]-B150)/B150</f>
        <v>5.2800101447207821E-2</v>
      </c>
    </row>
    <row r="152" spans="1:3">
      <c r="A152" s="91">
        <v>38078</v>
      </c>
      <c r="B152" s="92">
        <f>VLOOKUP(A152,Database!A:M,MATCH($A$1,Database!$A$1:$M$1,),)</f>
        <v>127885</v>
      </c>
      <c r="C152" s="94">
        <f>(Table535141516[[#This Row],[Durable Goods]]-B151)/B151</f>
        <v>-3.7271522779969285E-2</v>
      </c>
    </row>
    <row r="153" spans="1:3">
      <c r="A153" s="91">
        <v>38108</v>
      </c>
      <c r="B153" s="92">
        <f>VLOOKUP(A153,Database!A:M,MATCH($A$1,Database!$A$1:$M$1,),)</f>
        <v>128297</v>
      </c>
      <c r="C153" s="94">
        <f>(Table535141516[[#This Row],[Durable Goods]]-B152)/B152</f>
        <v>3.2216444461821169E-3</v>
      </c>
    </row>
    <row r="154" spans="1:3">
      <c r="A154" s="91">
        <v>38139</v>
      </c>
      <c r="B154" s="92">
        <f>VLOOKUP(A154,Database!A:M,MATCH($A$1,Database!$A$1:$M$1,),)</f>
        <v>129908</v>
      </c>
      <c r="C154" s="94">
        <f>(Table535141516[[#This Row],[Durable Goods]]-B153)/B153</f>
        <v>1.2556801795833105E-2</v>
      </c>
    </row>
    <row r="155" spans="1:3">
      <c r="A155" s="91">
        <v>38169</v>
      </c>
      <c r="B155" s="92">
        <f>VLOOKUP(A155,Database!A:M,MATCH($A$1,Database!$A$1:$M$1,),)</f>
        <v>134104</v>
      </c>
      <c r="C155" s="94">
        <f>(Table535141516[[#This Row],[Durable Goods]]-B154)/B154</f>
        <v>3.2299781383748498E-2</v>
      </c>
    </row>
    <row r="156" spans="1:3">
      <c r="A156" s="91">
        <v>38200</v>
      </c>
      <c r="B156" s="92">
        <f>VLOOKUP(A156,Database!A:M,MATCH($A$1,Database!$A$1:$M$1,),)</f>
        <v>127182</v>
      </c>
      <c r="C156" s="94">
        <f>(Table535141516[[#This Row],[Durable Goods]]-B155)/B155</f>
        <v>-5.1616655729881285E-2</v>
      </c>
    </row>
    <row r="157" spans="1:3">
      <c r="A157" s="91">
        <v>38231</v>
      </c>
      <c r="B157" s="92">
        <f>VLOOKUP(A157,Database!A:M,MATCH($A$1,Database!$A$1:$M$1,),)</f>
        <v>132132</v>
      </c>
      <c r="C157" s="94">
        <f>(Table535141516[[#This Row],[Durable Goods]]-B156)/B156</f>
        <v>3.8920601971977165E-2</v>
      </c>
    </row>
    <row r="158" spans="1:3">
      <c r="A158" s="91">
        <v>38261</v>
      </c>
      <c r="B158" s="92">
        <f>VLOOKUP(A158,Database!A:M,MATCH($A$1,Database!$A$1:$M$1,),)</f>
        <v>129177</v>
      </c>
      <c r="C158" s="94">
        <f>(Table535141516[[#This Row],[Durable Goods]]-B157)/B157</f>
        <v>-2.236399963672691E-2</v>
      </c>
    </row>
    <row r="159" spans="1:3">
      <c r="A159" s="91">
        <v>38292</v>
      </c>
      <c r="B159" s="92">
        <f>VLOOKUP(A159,Database!A:M,MATCH($A$1,Database!$A$1:$M$1,),)</f>
        <v>135582</v>
      </c>
      <c r="C159" s="94">
        <f>(Table535141516[[#This Row],[Durable Goods]]-B158)/B158</f>
        <v>4.9583130123783646E-2</v>
      </c>
    </row>
    <row r="160" spans="1:3">
      <c r="A160" s="91">
        <v>38322</v>
      </c>
      <c r="B160" s="92">
        <f>VLOOKUP(A160,Database!A:M,MATCH($A$1,Database!$A$1:$M$1,),)</f>
        <v>135216</v>
      </c>
      <c r="C160" s="94">
        <f>(Table535141516[[#This Row],[Durable Goods]]-B159)/B159</f>
        <v>-2.6994733814223125E-3</v>
      </c>
    </row>
    <row r="161" spans="1:3">
      <c r="A161" s="91">
        <v>38353</v>
      </c>
      <c r="B161" s="92">
        <f>VLOOKUP(A161,Database!A:M,MATCH($A$1,Database!$A$1:$M$1,),)</f>
        <v>137025</v>
      </c>
      <c r="C161" s="94">
        <f>(Table535141516[[#This Row],[Durable Goods]]-B160)/B160</f>
        <v>1.3378594249201278E-2</v>
      </c>
    </row>
    <row r="162" spans="1:3">
      <c r="A162" s="91">
        <v>38384</v>
      </c>
      <c r="B162" s="92">
        <f>VLOOKUP(A162,Database!A:M,MATCH($A$1,Database!$A$1:$M$1,),)</f>
        <v>138279</v>
      </c>
      <c r="C162" s="94">
        <f>(Table535141516[[#This Row],[Durable Goods]]-B161)/B161</f>
        <v>9.1516146688560476E-3</v>
      </c>
    </row>
    <row r="163" spans="1:3">
      <c r="A163" s="91">
        <v>38412</v>
      </c>
      <c r="B163" s="92">
        <f>VLOOKUP(A163,Database!A:M,MATCH($A$1,Database!$A$1:$M$1,),)</f>
        <v>130044</v>
      </c>
      <c r="C163" s="94">
        <f>(Table535141516[[#This Row],[Durable Goods]]-B162)/B162</f>
        <v>-5.95535113791682E-2</v>
      </c>
    </row>
    <row r="164" spans="1:3">
      <c r="A164" s="91">
        <v>38443</v>
      </c>
      <c r="B164" s="92">
        <f>VLOOKUP(A164,Database!A:M,MATCH($A$1,Database!$A$1:$M$1,),)</f>
        <v>135587</v>
      </c>
      <c r="C164" s="94">
        <f>(Table535141516[[#This Row],[Durable Goods]]-B163)/B163</f>
        <v>4.2624034942019627E-2</v>
      </c>
    </row>
    <row r="165" spans="1:3">
      <c r="A165" s="91">
        <v>38473</v>
      </c>
      <c r="B165" s="92">
        <f>VLOOKUP(A165,Database!A:M,MATCH($A$1,Database!$A$1:$M$1,),)</f>
        <v>148200</v>
      </c>
      <c r="C165" s="94">
        <f>(Table535141516[[#This Row],[Durable Goods]]-B164)/B164</f>
        <v>9.3025142528413485E-2</v>
      </c>
    </row>
    <row r="166" spans="1:3">
      <c r="A166" s="91">
        <v>38504</v>
      </c>
      <c r="B166" s="92">
        <f>VLOOKUP(A166,Database!A:M,MATCH($A$1,Database!$A$1:$M$1,),)</f>
        <v>151407</v>
      </c>
      <c r="C166" s="94">
        <f>(Table535141516[[#This Row],[Durable Goods]]-B165)/B165</f>
        <v>2.1639676113360325E-2</v>
      </c>
    </row>
    <row r="167" spans="1:3">
      <c r="A167" s="91">
        <v>38534</v>
      </c>
      <c r="B167" s="92">
        <f>VLOOKUP(A167,Database!A:M,MATCH($A$1,Database!$A$1:$M$1,),)</f>
        <v>136292</v>
      </c>
      <c r="C167" s="94">
        <f>(Table535141516[[#This Row],[Durable Goods]]-B166)/B166</f>
        <v>-9.9830258838759109E-2</v>
      </c>
    </row>
    <row r="168" spans="1:3">
      <c r="A168" s="91">
        <v>38565</v>
      </c>
      <c r="B168" s="92">
        <f>VLOOKUP(A168,Database!A:M,MATCH($A$1,Database!$A$1:$M$1,),)</f>
        <v>145606</v>
      </c>
      <c r="C168" s="94">
        <f>(Table535141516[[#This Row],[Durable Goods]]-B167)/B167</f>
        <v>6.8338567193965902E-2</v>
      </c>
    </row>
    <row r="169" spans="1:3">
      <c r="A169" s="91">
        <v>38596</v>
      </c>
      <c r="B169" s="92">
        <f>VLOOKUP(A169,Database!A:M,MATCH($A$1,Database!$A$1:$M$1,),)</f>
        <v>142335</v>
      </c>
      <c r="C169" s="94">
        <f>(Table535141516[[#This Row],[Durable Goods]]-B168)/B168</f>
        <v>-2.2464733596143018E-2</v>
      </c>
    </row>
    <row r="170" spans="1:3">
      <c r="A170" s="91">
        <v>38626</v>
      </c>
      <c r="B170" s="92">
        <f>VLOOKUP(A170,Database!A:M,MATCH($A$1,Database!$A$1:$M$1,),)</f>
        <v>148450</v>
      </c>
      <c r="C170" s="94">
        <f>(Table535141516[[#This Row],[Durable Goods]]-B169)/B169</f>
        <v>4.2962026205782135E-2</v>
      </c>
    </row>
    <row r="171" spans="1:3">
      <c r="A171" s="91">
        <v>38657</v>
      </c>
      <c r="B171" s="92">
        <f>VLOOKUP(A171,Database!A:M,MATCH($A$1,Database!$A$1:$M$1,),)</f>
        <v>160126</v>
      </c>
      <c r="C171" s="94">
        <f>(Table535141516[[#This Row],[Durable Goods]]-B170)/B170</f>
        <v>7.8652745031997304E-2</v>
      </c>
    </row>
    <row r="172" spans="1:3">
      <c r="A172" s="91">
        <v>38687</v>
      </c>
      <c r="B172" s="92">
        <f>VLOOKUP(A172,Database!A:M,MATCH($A$1,Database!$A$1:$M$1,),)</f>
        <v>159419</v>
      </c>
      <c r="C172" s="94">
        <f>(Table535141516[[#This Row],[Durable Goods]]-B171)/B171</f>
        <v>-4.4152729725341292E-3</v>
      </c>
    </row>
    <row r="173" spans="1:3">
      <c r="A173" s="91">
        <v>38718</v>
      </c>
      <c r="B173" s="92">
        <f>VLOOKUP(A173,Database!A:M,MATCH($A$1,Database!$A$1:$M$1,),)</f>
        <v>146814</v>
      </c>
      <c r="C173" s="94">
        <f>(Table535141516[[#This Row],[Durable Goods]]-B172)/B172</f>
        <v>-7.9068367007696705E-2</v>
      </c>
    </row>
    <row r="174" spans="1:3">
      <c r="A174" s="91">
        <v>38749</v>
      </c>
      <c r="B174" s="92">
        <f>VLOOKUP(A174,Database!A:M,MATCH($A$1,Database!$A$1:$M$1,),)</f>
        <v>156798</v>
      </c>
      <c r="C174" s="94">
        <f>(Table535141516[[#This Row],[Durable Goods]]-B173)/B173</f>
        <v>6.8004413748007683E-2</v>
      </c>
    </row>
    <row r="175" spans="1:3">
      <c r="A175" s="91">
        <v>38777</v>
      </c>
      <c r="B175" s="92">
        <f>VLOOKUP(A175,Database!A:M,MATCH($A$1,Database!$A$1:$M$1,),)</f>
        <v>163893</v>
      </c>
      <c r="C175" s="94">
        <f>(Table535141516[[#This Row],[Durable Goods]]-B174)/B174</f>
        <v>4.5249301649255731E-2</v>
      </c>
    </row>
    <row r="176" spans="1:3">
      <c r="A176" s="91">
        <v>38808</v>
      </c>
      <c r="B176" s="92">
        <f>VLOOKUP(A176,Database!A:M,MATCH($A$1,Database!$A$1:$M$1,),)</f>
        <v>154052</v>
      </c>
      <c r="C176" s="94">
        <f>(Table535141516[[#This Row],[Durable Goods]]-B175)/B175</f>
        <v>-6.0045273440598436E-2</v>
      </c>
    </row>
    <row r="177" spans="1:3">
      <c r="A177" s="91">
        <v>38838</v>
      </c>
      <c r="B177" s="92">
        <f>VLOOKUP(A177,Database!A:M,MATCH($A$1,Database!$A$1:$M$1,),)</f>
        <v>153173</v>
      </c>
      <c r="C177" s="94">
        <f>(Table535141516[[#This Row],[Durable Goods]]-B176)/B176</f>
        <v>-5.705865551891569E-3</v>
      </c>
    </row>
    <row r="178" spans="1:3">
      <c r="A178" s="91">
        <v>38869</v>
      </c>
      <c r="B178" s="92">
        <f>VLOOKUP(A178,Database!A:M,MATCH($A$1,Database!$A$1:$M$1,),)</f>
        <v>158892</v>
      </c>
      <c r="C178" s="94">
        <f>(Table535141516[[#This Row],[Durable Goods]]-B177)/B177</f>
        <v>3.7336867463586922E-2</v>
      </c>
    </row>
    <row r="179" spans="1:3">
      <c r="A179" s="91">
        <v>38899</v>
      </c>
      <c r="B179" s="92">
        <f>VLOOKUP(A179,Database!A:M,MATCH($A$1,Database!$A$1:$M$1,),)</f>
        <v>152012</v>
      </c>
      <c r="C179" s="94">
        <f>(Table535141516[[#This Row],[Durable Goods]]-B178)/B178</f>
        <v>-4.3299851471439721E-2</v>
      </c>
    </row>
    <row r="180" spans="1:3">
      <c r="A180" s="91">
        <v>38930</v>
      </c>
      <c r="B180" s="92">
        <f>VLOOKUP(A180,Database!A:M,MATCH($A$1,Database!$A$1:$M$1,),)</f>
        <v>150763</v>
      </c>
      <c r="C180" s="94">
        <f>(Table535141516[[#This Row],[Durable Goods]]-B179)/B179</f>
        <v>-8.2164565955319315E-3</v>
      </c>
    </row>
    <row r="181" spans="1:3">
      <c r="A181" s="91">
        <v>38961</v>
      </c>
      <c r="B181" s="92">
        <f>VLOOKUP(A181,Database!A:M,MATCH($A$1,Database!$A$1:$M$1,),)</f>
        <v>176642</v>
      </c>
      <c r="C181" s="94">
        <f>(Table535141516[[#This Row],[Durable Goods]]-B180)/B180</f>
        <v>0.17165352241597739</v>
      </c>
    </row>
    <row r="182" spans="1:3">
      <c r="A182" s="91">
        <v>38991</v>
      </c>
      <c r="B182" s="92">
        <f>VLOOKUP(A182,Database!A:M,MATCH($A$1,Database!$A$1:$M$1,),)</f>
        <v>158286</v>
      </c>
      <c r="C182" s="94">
        <f>(Table535141516[[#This Row],[Durable Goods]]-B181)/B181</f>
        <v>-0.10391639587414092</v>
      </c>
    </row>
    <row r="183" spans="1:3">
      <c r="A183" s="91">
        <v>39022</v>
      </c>
      <c r="B183" s="92">
        <f>VLOOKUP(A183,Database!A:M,MATCH($A$1,Database!$A$1:$M$1,),)</f>
        <v>165969</v>
      </c>
      <c r="C183" s="94">
        <f>(Table535141516[[#This Row],[Durable Goods]]-B182)/B182</f>
        <v>4.853872104923998E-2</v>
      </c>
    </row>
    <row r="184" spans="1:3">
      <c r="A184" s="91">
        <v>39052</v>
      </c>
      <c r="B184" s="92">
        <f>VLOOKUP(A184,Database!A:M,MATCH($A$1,Database!$A$1:$M$1,),)</f>
        <v>166342</v>
      </c>
      <c r="C184" s="94">
        <f>(Table535141516[[#This Row],[Durable Goods]]-B183)/B183</f>
        <v>2.2474076484162706E-3</v>
      </c>
    </row>
    <row r="185" spans="1:3">
      <c r="A185" s="91">
        <v>39083</v>
      </c>
      <c r="B185" s="92">
        <f>VLOOKUP(A185,Database!A:M,MATCH($A$1,Database!$A$1:$M$1,),)</f>
        <v>163751</v>
      </c>
      <c r="C185" s="94">
        <f>(Table535141516[[#This Row],[Durable Goods]]-B184)/B184</f>
        <v>-1.5576342715610009E-2</v>
      </c>
    </row>
    <row r="186" spans="1:3">
      <c r="A186" s="91">
        <v>39114</v>
      </c>
      <c r="B186" s="92">
        <f>VLOOKUP(A186,Database!A:M,MATCH($A$1,Database!$A$1:$M$1,),)</f>
        <v>161671</v>
      </c>
      <c r="C186" s="94">
        <f>(Table535141516[[#This Row],[Durable Goods]]-B185)/B185</f>
        <v>-1.2702212505572486E-2</v>
      </c>
    </row>
    <row r="187" spans="1:3">
      <c r="A187" s="91">
        <v>39142</v>
      </c>
      <c r="B187" s="92">
        <f>VLOOKUP(A187,Database!A:M,MATCH($A$1,Database!$A$1:$M$1,),)</f>
        <v>169322</v>
      </c>
      <c r="C187" s="94">
        <f>(Table535141516[[#This Row],[Durable Goods]]-B186)/B186</f>
        <v>4.7324504703997627E-2</v>
      </c>
    </row>
    <row r="188" spans="1:3">
      <c r="A188" s="91">
        <v>39173</v>
      </c>
      <c r="B188" s="92">
        <f>VLOOKUP(A188,Database!A:M,MATCH($A$1,Database!$A$1:$M$1,),)</f>
        <v>173518</v>
      </c>
      <c r="C188" s="94">
        <f>(Table535141516[[#This Row],[Durable Goods]]-B187)/B187</f>
        <v>2.4781186142379608E-2</v>
      </c>
    </row>
    <row r="189" spans="1:3">
      <c r="A189" s="91">
        <v>39203</v>
      </c>
      <c r="B189" s="92">
        <f>VLOOKUP(A189,Database!A:M,MATCH($A$1,Database!$A$1:$M$1,),)</f>
        <v>168025</v>
      </c>
      <c r="C189" s="94">
        <f>(Table535141516[[#This Row],[Durable Goods]]-B188)/B188</f>
        <v>-3.1656658098871589E-2</v>
      </c>
    </row>
    <row r="190" spans="1:3">
      <c r="A190" s="91">
        <v>39234</v>
      </c>
      <c r="B190" s="92">
        <f>VLOOKUP(A190,Database!A:M,MATCH($A$1,Database!$A$1:$M$1,),)</f>
        <v>168611</v>
      </c>
      <c r="C190" s="94">
        <f>(Table535141516[[#This Row],[Durable Goods]]-B189)/B189</f>
        <v>3.4875762535337002E-3</v>
      </c>
    </row>
    <row r="191" spans="1:3">
      <c r="A191" s="91">
        <v>39264</v>
      </c>
      <c r="B191" s="92">
        <f>VLOOKUP(A191,Database!A:M,MATCH($A$1,Database!$A$1:$M$1,),)</f>
        <v>172388</v>
      </c>
      <c r="C191" s="94">
        <f>(Table535141516[[#This Row],[Durable Goods]]-B190)/B190</f>
        <v>2.2400673740147439E-2</v>
      </c>
    </row>
    <row r="192" spans="1:3">
      <c r="A192" s="91">
        <v>39295</v>
      </c>
      <c r="B192" s="92">
        <f>VLOOKUP(A192,Database!A:M,MATCH($A$1,Database!$A$1:$M$1,),)</f>
        <v>174874</v>
      </c>
      <c r="C192" s="94">
        <f>(Table535141516[[#This Row],[Durable Goods]]-B191)/B191</f>
        <v>1.4420957375223333E-2</v>
      </c>
    </row>
    <row r="193" spans="1:3">
      <c r="A193" s="91">
        <v>39326</v>
      </c>
      <c r="B193" s="92">
        <f>VLOOKUP(A193,Database!A:M,MATCH($A$1,Database!$A$1:$M$1,),)</f>
        <v>167739</v>
      </c>
      <c r="C193" s="94">
        <f>(Table535141516[[#This Row],[Durable Goods]]-B192)/B192</f>
        <v>-4.080080515113739E-2</v>
      </c>
    </row>
    <row r="194" spans="1:3">
      <c r="A194" s="91">
        <v>39356</v>
      </c>
      <c r="B194" s="92">
        <f>VLOOKUP(A194,Database!A:M,MATCH($A$1,Database!$A$1:$M$1,),)</f>
        <v>171492</v>
      </c>
      <c r="C194" s="94">
        <f>(Table535141516[[#This Row],[Durable Goods]]-B193)/B193</f>
        <v>2.2374045391948205E-2</v>
      </c>
    </row>
    <row r="195" spans="1:3">
      <c r="A195" s="91">
        <v>39387</v>
      </c>
      <c r="B195" s="92">
        <f>VLOOKUP(A195,Database!A:M,MATCH($A$1,Database!$A$1:$M$1,),)</f>
        <v>168015</v>
      </c>
      <c r="C195" s="94">
        <f>(Table535141516[[#This Row],[Durable Goods]]-B194)/B194</f>
        <v>-2.0274998250647259E-2</v>
      </c>
    </row>
    <row r="196" spans="1:3">
      <c r="A196" s="91">
        <v>39417</v>
      </c>
      <c r="B196" s="92">
        <f>VLOOKUP(A196,Database!A:M,MATCH($A$1,Database!$A$1:$M$1,),)</f>
        <v>186161</v>
      </c>
      <c r="C196" s="94">
        <f>(Table535141516[[#This Row],[Durable Goods]]-B195)/B195</f>
        <v>0.10800226170282415</v>
      </c>
    </row>
    <row r="197" spans="1:3">
      <c r="A197" s="91">
        <v>39448</v>
      </c>
      <c r="B197" s="92">
        <f>VLOOKUP(A197,Database!A:M,MATCH($A$1,Database!$A$1:$M$1,),)</f>
        <v>180937</v>
      </c>
      <c r="C197" s="94">
        <f>(Table535141516[[#This Row],[Durable Goods]]-B196)/B196</f>
        <v>-2.8061731511970819E-2</v>
      </c>
    </row>
    <row r="198" spans="1:3">
      <c r="A198" s="91">
        <v>39479</v>
      </c>
      <c r="B198" s="92">
        <f>VLOOKUP(A198,Database!A:M,MATCH($A$1,Database!$A$1:$M$1,),)</f>
        <v>177311</v>
      </c>
      <c r="C198" s="94">
        <f>(Table535141516[[#This Row],[Durable Goods]]-B197)/B197</f>
        <v>-2.0040124463210952E-2</v>
      </c>
    </row>
    <row r="199" spans="1:3">
      <c r="A199" s="91">
        <v>39508</v>
      </c>
      <c r="B199" s="92">
        <f>VLOOKUP(A199,Database!A:M,MATCH($A$1,Database!$A$1:$M$1,),)</f>
        <v>179954</v>
      </c>
      <c r="C199" s="94">
        <f>(Table535141516[[#This Row],[Durable Goods]]-B198)/B198</f>
        <v>1.4906012599331119E-2</v>
      </c>
    </row>
    <row r="200" spans="1:3">
      <c r="A200" s="91">
        <v>39539</v>
      </c>
      <c r="B200" s="92">
        <f>VLOOKUP(A200,Database!A:M,MATCH($A$1,Database!$A$1:$M$1,),)</f>
        <v>175116</v>
      </c>
      <c r="C200" s="94">
        <f>(Table535141516[[#This Row],[Durable Goods]]-B199)/B199</f>
        <v>-2.6884648299009748E-2</v>
      </c>
    </row>
    <row r="201" spans="1:3">
      <c r="A201" s="91">
        <v>39569</v>
      </c>
      <c r="B201" s="92">
        <f>VLOOKUP(A201,Database!A:M,MATCH($A$1,Database!$A$1:$M$1,),)</f>
        <v>172674</v>
      </c>
      <c r="C201" s="94">
        <f>(Table535141516[[#This Row],[Durable Goods]]-B200)/B200</f>
        <v>-1.3945042143493456E-2</v>
      </c>
    </row>
    <row r="202" spans="1:3">
      <c r="A202" s="91">
        <v>39600</v>
      </c>
      <c r="B202" s="92">
        <f>VLOOKUP(A202,Database!A:M,MATCH($A$1,Database!$A$1:$M$1,),)</f>
        <v>174406</v>
      </c>
      <c r="C202" s="94">
        <f>(Table535141516[[#This Row],[Durable Goods]]-B201)/B201</f>
        <v>1.003046202670929E-2</v>
      </c>
    </row>
    <row r="203" spans="1:3">
      <c r="A203" s="91">
        <v>39630</v>
      </c>
      <c r="B203" s="92">
        <f>VLOOKUP(A203,Database!A:M,MATCH($A$1,Database!$A$1:$M$1,),)</f>
        <v>167115</v>
      </c>
      <c r="C203" s="94">
        <f>(Table535141516[[#This Row],[Durable Goods]]-B202)/B202</f>
        <v>-4.1804754423586346E-2</v>
      </c>
    </row>
    <row r="204" spans="1:3">
      <c r="A204" s="91">
        <v>39661</v>
      </c>
      <c r="B204" s="92">
        <f>VLOOKUP(A204,Database!A:M,MATCH($A$1,Database!$A$1:$M$1,),)</f>
        <v>161832</v>
      </c>
      <c r="C204" s="94">
        <f>(Table535141516[[#This Row],[Durable Goods]]-B203)/B203</f>
        <v>-3.1612961134548069E-2</v>
      </c>
    </row>
    <row r="205" spans="1:3">
      <c r="A205" s="91">
        <v>39692</v>
      </c>
      <c r="B205" s="92">
        <f>VLOOKUP(A205,Database!A:M,MATCH($A$1,Database!$A$1:$M$1,),)</f>
        <v>162265</v>
      </c>
      <c r="C205" s="94">
        <f>(Table535141516[[#This Row],[Durable Goods]]-B204)/B204</f>
        <v>2.6756142172129124E-3</v>
      </c>
    </row>
    <row r="206" spans="1:3">
      <c r="A206" s="91">
        <v>39722</v>
      </c>
      <c r="B206" s="92">
        <f>VLOOKUP(A206,Database!A:M,MATCH($A$1,Database!$A$1:$M$1,),)</f>
        <v>141208</v>
      </c>
      <c r="C206" s="94">
        <f>(Table535141516[[#This Row],[Durable Goods]]-B205)/B205</f>
        <v>-0.12976920469602193</v>
      </c>
    </row>
    <row r="207" spans="1:3">
      <c r="A207" s="91">
        <v>39753</v>
      </c>
      <c r="B207" s="92">
        <f>VLOOKUP(A207,Database!A:M,MATCH($A$1,Database!$A$1:$M$1,),)</f>
        <v>132791</v>
      </c>
      <c r="C207" s="94">
        <f>(Table535141516[[#This Row],[Durable Goods]]-B206)/B206</f>
        <v>-5.9607104413347684E-2</v>
      </c>
    </row>
    <row r="208" spans="1:3">
      <c r="A208" s="91">
        <v>39783</v>
      </c>
      <c r="B208" s="92">
        <f>VLOOKUP(A208,Database!A:M,MATCH($A$1,Database!$A$1:$M$1,),)</f>
        <v>127770</v>
      </c>
      <c r="C208" s="94">
        <f>(Table535141516[[#This Row],[Durable Goods]]-B207)/B207</f>
        <v>-3.7811297452387586E-2</v>
      </c>
    </row>
    <row r="209" spans="1:3">
      <c r="A209" s="91">
        <v>39814</v>
      </c>
      <c r="B209" s="92">
        <f>VLOOKUP(A209,Database!A:M,MATCH($A$1,Database!$A$1:$M$1,),)</f>
        <v>108060</v>
      </c>
      <c r="C209" s="94">
        <f>(Table535141516[[#This Row],[Durable Goods]]-B208)/B208</f>
        <v>-0.15426156374735853</v>
      </c>
    </row>
    <row r="210" spans="1:3">
      <c r="A210" s="91">
        <v>39845</v>
      </c>
      <c r="B210" s="92">
        <f>VLOOKUP(A210,Database!A:M,MATCH($A$1,Database!$A$1:$M$1,),)</f>
        <v>105786</v>
      </c>
      <c r="C210" s="94">
        <f>(Table535141516[[#This Row],[Durable Goods]]-B209)/B209</f>
        <v>-2.1043864519711273E-2</v>
      </c>
    </row>
    <row r="211" spans="1:3">
      <c r="A211" s="91">
        <v>39873</v>
      </c>
      <c r="B211" s="92">
        <f>VLOOKUP(A211,Database!A:M,MATCH($A$1,Database!$A$1:$M$1,),)</f>
        <v>103874</v>
      </c>
      <c r="C211" s="94">
        <f>(Table535141516[[#This Row],[Durable Goods]]-B210)/B210</f>
        <v>-1.8074225322821547E-2</v>
      </c>
    </row>
    <row r="212" spans="1:3">
      <c r="A212" s="91">
        <v>39904</v>
      </c>
      <c r="B212" s="92">
        <f>VLOOKUP(A212,Database!A:M,MATCH($A$1,Database!$A$1:$M$1,),)</f>
        <v>105714</v>
      </c>
      <c r="C212" s="94">
        <f>(Table535141516[[#This Row],[Durable Goods]]-B211)/B211</f>
        <v>1.7713768604270558E-2</v>
      </c>
    </row>
    <row r="213" spans="1:3">
      <c r="A213" s="91">
        <v>39934</v>
      </c>
      <c r="B213" s="92">
        <f>VLOOKUP(A213,Database!A:M,MATCH($A$1,Database!$A$1:$M$1,),)</f>
        <v>108460</v>
      </c>
      <c r="C213" s="94">
        <f>(Table535141516[[#This Row],[Durable Goods]]-B212)/B212</f>
        <v>2.5975745880394273E-2</v>
      </c>
    </row>
    <row r="214" spans="1:3">
      <c r="A214" s="91">
        <v>39965</v>
      </c>
      <c r="B214" s="92">
        <f>VLOOKUP(A214,Database!A:M,MATCH($A$1,Database!$A$1:$M$1,),)</f>
        <v>107285</v>
      </c>
      <c r="C214" s="94">
        <f>(Table535141516[[#This Row],[Durable Goods]]-B213)/B213</f>
        <v>-1.08334869998156E-2</v>
      </c>
    </row>
    <row r="215" spans="1:3">
      <c r="A215" s="91">
        <v>39995</v>
      </c>
      <c r="B215" s="92">
        <f>VLOOKUP(A215,Database!A:M,MATCH($A$1,Database!$A$1:$M$1,),)</f>
        <v>111891</v>
      </c>
      <c r="C215" s="94">
        <f>(Table535141516[[#This Row],[Durable Goods]]-B214)/B214</f>
        <v>4.2932376380668311E-2</v>
      </c>
    </row>
    <row r="216" spans="1:3">
      <c r="A216" s="91">
        <v>40026</v>
      </c>
      <c r="B216" s="92">
        <f>VLOOKUP(A216,Database!A:M,MATCH($A$1,Database!$A$1:$M$1,),)</f>
        <v>114790</v>
      </c>
      <c r="C216" s="94">
        <f>(Table535141516[[#This Row],[Durable Goods]]-B215)/B215</f>
        <v>2.590914372022772E-2</v>
      </c>
    </row>
    <row r="217" spans="1:3">
      <c r="A217" s="91">
        <v>40057</v>
      </c>
      <c r="B217" s="92">
        <f>VLOOKUP(A217,Database!A:M,MATCH($A$1,Database!$A$1:$M$1,),)</f>
        <v>114607</v>
      </c>
      <c r="C217" s="94">
        <f>(Table535141516[[#This Row],[Durable Goods]]-B216)/B216</f>
        <v>-1.5942155240003485E-3</v>
      </c>
    </row>
    <row r="218" spans="1:3">
      <c r="A218" s="91">
        <v>40087</v>
      </c>
      <c r="B218" s="92">
        <f>VLOOKUP(A218,Database!A:M,MATCH($A$1,Database!$A$1:$M$1,),)</f>
        <v>117510</v>
      </c>
      <c r="C218" s="94">
        <f>(Table535141516[[#This Row],[Durable Goods]]-B217)/B217</f>
        <v>2.5330040922456745E-2</v>
      </c>
    </row>
    <row r="219" spans="1:3">
      <c r="A219" s="91">
        <v>40118</v>
      </c>
      <c r="B219" s="92">
        <f>VLOOKUP(A219,Database!A:M,MATCH($A$1,Database!$A$1:$M$1,),)</f>
        <v>115535</v>
      </c>
      <c r="C219" s="94">
        <f>(Table535141516[[#This Row],[Durable Goods]]-B218)/B218</f>
        <v>-1.6807080248489491E-2</v>
      </c>
    </row>
    <row r="220" spans="1:3">
      <c r="A220" s="91">
        <v>40148</v>
      </c>
      <c r="B220" s="92">
        <f>VLOOKUP(A220,Database!A:M,MATCH($A$1,Database!$A$1:$M$1,),)</f>
        <v>115220</v>
      </c>
      <c r="C220" s="94">
        <f>(Table535141516[[#This Row],[Durable Goods]]-B219)/B219</f>
        <v>-2.7264465313541352E-3</v>
      </c>
    </row>
    <row r="221" spans="1:3">
      <c r="A221" s="91">
        <v>40179</v>
      </c>
      <c r="B221" s="92">
        <f>VLOOKUP(A221,Database!A:M,MATCH($A$1,Database!$A$1:$M$1,),)</f>
        <v>134068</v>
      </c>
      <c r="C221" s="94">
        <f>(Table535141516[[#This Row],[Durable Goods]]-B220)/B220</f>
        <v>0.1635827113348377</v>
      </c>
    </row>
    <row r="222" spans="1:3">
      <c r="A222" s="91">
        <v>40210</v>
      </c>
      <c r="B222" s="92">
        <f>VLOOKUP(A222,Database!A:M,MATCH($A$1,Database!$A$1:$M$1,),)</f>
        <v>135156</v>
      </c>
      <c r="C222" s="94">
        <f>(Table535141516[[#This Row],[Durable Goods]]-B221)/B221</f>
        <v>8.1152847808574746E-3</v>
      </c>
    </row>
    <row r="223" spans="1:3">
      <c r="A223" s="91">
        <v>40238</v>
      </c>
      <c r="B223" s="92">
        <f>VLOOKUP(A223,Database!A:M,MATCH($A$1,Database!$A$1:$M$1,),)</f>
        <v>135916</v>
      </c>
      <c r="C223" s="94">
        <f>(Table535141516[[#This Row],[Durable Goods]]-B222)/B222</f>
        <v>5.6231317884518628E-3</v>
      </c>
    </row>
    <row r="224" spans="1:3">
      <c r="A224" s="91">
        <v>40269</v>
      </c>
      <c r="B224" s="92">
        <f>VLOOKUP(A224,Database!A:M,MATCH($A$1,Database!$A$1:$M$1,),)</f>
        <v>135504</v>
      </c>
      <c r="C224" s="94">
        <f>(Table535141516[[#This Row],[Durable Goods]]-B223)/B223</f>
        <v>-3.0312840283704639E-3</v>
      </c>
    </row>
    <row r="225" spans="1:3">
      <c r="A225" s="91">
        <v>40299</v>
      </c>
      <c r="B225" s="92">
        <f>VLOOKUP(A225,Database!A:M,MATCH($A$1,Database!$A$1:$M$1,),)</f>
        <v>141747</v>
      </c>
      <c r="C225" s="94">
        <f>(Table535141516[[#This Row],[Durable Goods]]-B224)/B224</f>
        <v>4.6072440665958198E-2</v>
      </c>
    </row>
    <row r="226" spans="1:3">
      <c r="A226" s="91">
        <v>40330</v>
      </c>
      <c r="B226" s="92">
        <f>VLOOKUP(A226,Database!A:M,MATCH($A$1,Database!$A$1:$M$1,),)</f>
        <v>137251</v>
      </c>
      <c r="C226" s="94">
        <f>(Table535141516[[#This Row],[Durable Goods]]-B225)/B225</f>
        <v>-3.1718484341820286E-2</v>
      </c>
    </row>
    <row r="227" spans="1:3">
      <c r="A227" s="91">
        <v>40360</v>
      </c>
      <c r="B227" s="92">
        <f>VLOOKUP(A227,Database!A:M,MATCH($A$1,Database!$A$1:$M$1,),)</f>
        <v>137391</v>
      </c>
      <c r="C227" s="94">
        <f>(Table535141516[[#This Row],[Durable Goods]]-B226)/B226</f>
        <v>1.020028997967228E-3</v>
      </c>
    </row>
    <row r="228" spans="1:3">
      <c r="A228" s="91">
        <v>40391</v>
      </c>
      <c r="B228" s="92">
        <f>VLOOKUP(A228,Database!A:M,MATCH($A$1,Database!$A$1:$M$1,),)</f>
        <v>141407</v>
      </c>
      <c r="C228" s="94">
        <f>(Table535141516[[#This Row],[Durable Goods]]-B227)/B227</f>
        <v>2.9230444497820088E-2</v>
      </c>
    </row>
    <row r="229" spans="1:3">
      <c r="A229" s="91">
        <v>40422</v>
      </c>
      <c r="B229" s="92">
        <f>VLOOKUP(A229,Database!A:M,MATCH($A$1,Database!$A$1:$M$1,),)</f>
        <v>151095</v>
      </c>
      <c r="C229" s="94">
        <f>(Table535141516[[#This Row],[Durable Goods]]-B228)/B228</f>
        <v>6.8511459828721352E-2</v>
      </c>
    </row>
    <row r="230" spans="1:3">
      <c r="A230" s="91">
        <v>40452</v>
      </c>
      <c r="B230" s="92">
        <f>VLOOKUP(A230,Database!A:M,MATCH($A$1,Database!$A$1:$M$1,),)</f>
        <v>142783</v>
      </c>
      <c r="C230" s="94">
        <f>(Table535141516[[#This Row],[Durable Goods]]-B229)/B229</f>
        <v>-5.5011747576028329E-2</v>
      </c>
    </row>
    <row r="231" spans="1:3">
      <c r="A231" s="91">
        <v>40483</v>
      </c>
      <c r="B231" s="92">
        <f>VLOOKUP(A231,Database!A:M,MATCH($A$1,Database!$A$1:$M$1,),)</f>
        <v>147906</v>
      </c>
      <c r="C231" s="94">
        <f>(Table535141516[[#This Row],[Durable Goods]]-B230)/B230</f>
        <v>3.5879621523570736E-2</v>
      </c>
    </row>
    <row r="232" spans="1:3">
      <c r="A232" s="91">
        <v>40513</v>
      </c>
      <c r="B232" s="92">
        <f>VLOOKUP(A232,Database!A:M,MATCH($A$1,Database!$A$1:$M$1,),)</f>
        <v>143125</v>
      </c>
      <c r="C232" s="94">
        <f>(Table535141516[[#This Row],[Durable Goods]]-B231)/B231</f>
        <v>-3.2324584533419874E-2</v>
      </c>
    </row>
    <row r="233" spans="1:3">
      <c r="A233" s="91">
        <v>40544</v>
      </c>
      <c r="B233" s="92">
        <f>VLOOKUP(A233,Database!A:M,MATCH($A$1,Database!$A$1:$M$1,),)</f>
        <v>152922</v>
      </c>
      <c r="C233" s="94">
        <f>(Table535141516[[#This Row],[Durable Goods]]-B232)/B232</f>
        <v>6.8450655021834061E-2</v>
      </c>
    </row>
    <row r="234" spans="1:3">
      <c r="A234" s="91">
        <v>40575</v>
      </c>
      <c r="B234" s="92">
        <f>VLOOKUP(A234,Database!A:M,MATCH($A$1,Database!$A$1:$M$1,),)</f>
        <v>146046</v>
      </c>
      <c r="C234" s="94">
        <f>(Table535141516[[#This Row],[Durable Goods]]-B233)/B233</f>
        <v>-4.4964099344763996E-2</v>
      </c>
    </row>
    <row r="235" spans="1:3">
      <c r="A235" s="91">
        <v>40603</v>
      </c>
      <c r="B235" s="92">
        <f>VLOOKUP(A235,Database!A:M,MATCH($A$1,Database!$A$1:$M$1,),)</f>
        <v>160009</v>
      </c>
      <c r="C235" s="94">
        <f>(Table535141516[[#This Row],[Durable Goods]]-B234)/B234</f>
        <v>9.5606863590923408E-2</v>
      </c>
    </row>
    <row r="236" spans="1:3">
      <c r="A236" s="91">
        <v>40634</v>
      </c>
      <c r="B236" s="92">
        <f>VLOOKUP(A236,Database!A:M,MATCH($A$1,Database!$A$1:$M$1,),)</f>
        <v>150734</v>
      </c>
      <c r="C236" s="94">
        <f>(Table535141516[[#This Row],[Durable Goods]]-B235)/B235</f>
        <v>-5.7965489441218931E-2</v>
      </c>
    </row>
    <row r="237" spans="1:3">
      <c r="A237" s="91">
        <v>40664</v>
      </c>
      <c r="B237" s="92">
        <f>VLOOKUP(A237,Database!A:M,MATCH($A$1,Database!$A$1:$M$1,),)</f>
        <v>157155</v>
      </c>
      <c r="C237" s="94">
        <f>(Table535141516[[#This Row],[Durable Goods]]-B236)/B236</f>
        <v>4.2598219379834677E-2</v>
      </c>
    </row>
    <row r="238" spans="1:3">
      <c r="A238" s="91">
        <v>40695</v>
      </c>
      <c r="B238" s="92">
        <f>VLOOKUP(A238,Database!A:M,MATCH($A$1,Database!$A$1:$M$1,),)</f>
        <v>150694</v>
      </c>
      <c r="C238" s="94">
        <f>(Table535141516[[#This Row],[Durable Goods]]-B237)/B237</f>
        <v>-4.1112277687633231E-2</v>
      </c>
    </row>
    <row r="239" spans="1:3">
      <c r="A239" s="91">
        <v>40725</v>
      </c>
      <c r="B239" s="92">
        <f>VLOOKUP(A239,Database!A:M,MATCH($A$1,Database!$A$1:$M$1,),)</f>
        <v>153291</v>
      </c>
      <c r="C239" s="94">
        <f>(Table535141516[[#This Row],[Durable Goods]]-B238)/B238</f>
        <v>1.7233599214301829E-2</v>
      </c>
    </row>
    <row r="240" spans="1:3">
      <c r="A240" s="91">
        <v>40756</v>
      </c>
      <c r="B240" s="92">
        <f>VLOOKUP(A240,Database!A:M,MATCH($A$1,Database!$A$1:$M$1,),)</f>
        <v>164357</v>
      </c>
      <c r="C240" s="94">
        <f>(Table535141516[[#This Row],[Durable Goods]]-B239)/B239</f>
        <v>7.2189495795578346E-2</v>
      </c>
    </row>
    <row r="241" spans="1:3">
      <c r="A241" s="91">
        <v>40787</v>
      </c>
      <c r="B241" s="92">
        <f>VLOOKUP(A241,Database!A:M,MATCH($A$1,Database!$A$1:$M$1,),)</f>
        <v>153647</v>
      </c>
      <c r="C241" s="94">
        <f>(Table535141516[[#This Row],[Durable Goods]]-B240)/B240</f>
        <v>-6.5163029259477839E-2</v>
      </c>
    </row>
    <row r="242" spans="1:3">
      <c r="A242" s="91">
        <v>40817</v>
      </c>
      <c r="B242" s="92">
        <f>VLOOKUP(A242,Database!A:M,MATCH($A$1,Database!$A$1:$M$1,),)</f>
        <v>157127</v>
      </c>
      <c r="C242" s="94">
        <f>(Table535141516[[#This Row],[Durable Goods]]-B241)/B241</f>
        <v>2.2649319544149903E-2</v>
      </c>
    </row>
    <row r="243" spans="1:3">
      <c r="A243" s="91">
        <v>40848</v>
      </c>
      <c r="B243" s="92">
        <f>VLOOKUP(A243,Database!A:M,MATCH($A$1,Database!$A$1:$M$1,),)</f>
        <v>162380</v>
      </c>
      <c r="C243" s="94">
        <f>(Table535141516[[#This Row],[Durable Goods]]-B242)/B242</f>
        <v>3.3431555366041484E-2</v>
      </c>
    </row>
    <row r="244" spans="1:3">
      <c r="A244" s="91">
        <v>40878</v>
      </c>
      <c r="B244" s="92">
        <f>VLOOKUP(A244,Database!A:M,MATCH($A$1,Database!$A$1:$M$1,),)</f>
        <v>170486</v>
      </c>
      <c r="C244" s="94">
        <f>(Table535141516[[#This Row],[Durable Goods]]-B243)/B243</f>
        <v>4.9919940879418645E-2</v>
      </c>
    </row>
    <row r="245" spans="1:3">
      <c r="A245" s="91">
        <v>40909</v>
      </c>
      <c r="B245" s="92">
        <f>VLOOKUP(A245,Database!A:M,MATCH($A$1,Database!$A$1:$M$1,),)</f>
        <v>169869</v>
      </c>
      <c r="C245" s="94">
        <f>(Table535141516[[#This Row],[Durable Goods]]-B244)/B244</f>
        <v>-3.6190654951139684E-3</v>
      </c>
    </row>
    <row r="246" spans="1:3">
      <c r="A246" s="91">
        <v>40940</v>
      </c>
      <c r="B246" s="92">
        <f>VLOOKUP(A246,Database!A:M,MATCH($A$1,Database!$A$1:$M$1,),)</f>
        <v>173639</v>
      </c>
      <c r="C246" s="94">
        <f>(Table535141516[[#This Row],[Durable Goods]]-B245)/B245</f>
        <v>2.2193572694252629E-2</v>
      </c>
    </row>
    <row r="247" spans="1:3">
      <c r="A247" s="91">
        <v>40969</v>
      </c>
      <c r="B247" s="92">
        <f>VLOOKUP(A247,Database!A:M,MATCH($A$1,Database!$A$1:$M$1,),)</f>
        <v>164506</v>
      </c>
      <c r="C247" s="94">
        <f>(Table535141516[[#This Row],[Durable Goods]]-B246)/B246</f>
        <v>-5.2597630716601687E-2</v>
      </c>
    </row>
    <row r="248" spans="1:3">
      <c r="A248" s="91">
        <v>41000</v>
      </c>
      <c r="B248" s="92">
        <f>VLOOKUP(A248,Database!A:M,MATCH($A$1,Database!$A$1:$M$1,),)</f>
        <v>161577</v>
      </c>
      <c r="C248" s="94">
        <f>(Table535141516[[#This Row],[Durable Goods]]-B247)/B247</f>
        <v>-1.7804821708630687E-2</v>
      </c>
    </row>
    <row r="249" spans="1:3">
      <c r="A249" s="91">
        <v>41030</v>
      </c>
      <c r="B249" s="92">
        <f>VLOOKUP(A249,Database!A:M,MATCH($A$1,Database!$A$1:$M$1,),)</f>
        <v>163899</v>
      </c>
      <c r="C249" s="94">
        <f>(Table535141516[[#This Row],[Durable Goods]]-B248)/B248</f>
        <v>1.4370857238344567E-2</v>
      </c>
    </row>
    <row r="250" spans="1:3">
      <c r="A250" s="91">
        <v>41061</v>
      </c>
      <c r="B250" s="92">
        <f>VLOOKUP(A250,Database!A:M,MATCH($A$1,Database!$A$1:$M$1,),)</f>
        <v>159806</v>
      </c>
      <c r="C250" s="94">
        <f>(Table535141516[[#This Row],[Durable Goods]]-B249)/B249</f>
        <v>-2.4972696599735202E-2</v>
      </c>
    </row>
    <row r="251" spans="1:3">
      <c r="A251" s="91">
        <v>41091</v>
      </c>
      <c r="B251" s="92">
        <f>VLOOKUP(A251,Database!A:M,MATCH($A$1,Database!$A$1:$M$1,),)</f>
        <v>167134</v>
      </c>
      <c r="C251" s="94">
        <f>(Table535141516[[#This Row],[Durable Goods]]-B250)/B250</f>
        <v>4.5855599914896815E-2</v>
      </c>
    </row>
    <row r="252" spans="1:3">
      <c r="A252" s="91">
        <v>41122</v>
      </c>
      <c r="B252" s="92">
        <f>VLOOKUP(A252,Database!A:M,MATCH($A$1,Database!$A$1:$M$1,),)</f>
        <v>147480</v>
      </c>
      <c r="C252" s="94">
        <f>(Table535141516[[#This Row],[Durable Goods]]-B251)/B251</f>
        <v>-0.11759426567903598</v>
      </c>
    </row>
    <row r="253" spans="1:3">
      <c r="A253" s="91">
        <v>41153</v>
      </c>
      <c r="B253" s="92">
        <f>VLOOKUP(A253,Database!A:M,MATCH($A$1,Database!$A$1:$M$1,),)</f>
        <v>161573</v>
      </c>
      <c r="C253" s="94">
        <f>(Table535141516[[#This Row],[Durable Goods]]-B252)/B252</f>
        <v>9.5558719826417143E-2</v>
      </c>
    </row>
    <row r="254" spans="1:3">
      <c r="A254" s="91">
        <v>41183</v>
      </c>
      <c r="B254" s="92">
        <f>VLOOKUP(A254,Database!A:M,MATCH($A$1,Database!$A$1:$M$1,),)</f>
        <v>163826</v>
      </c>
      <c r="C254" s="94">
        <f>(Table535141516[[#This Row],[Durable Goods]]-B253)/B253</f>
        <v>1.394416146262061E-2</v>
      </c>
    </row>
    <row r="255" spans="1:3">
      <c r="A255" s="91">
        <v>41214</v>
      </c>
      <c r="B255" s="92">
        <f>VLOOKUP(A255,Database!A:M,MATCH($A$1,Database!$A$1:$M$1,),)</f>
        <v>157271</v>
      </c>
      <c r="C255" s="94">
        <f>(Table535141516[[#This Row],[Durable Goods]]-B254)/B254</f>
        <v>-4.0011963912932012E-2</v>
      </c>
    </row>
    <row r="256" spans="1:3">
      <c r="A256" s="91">
        <v>41244</v>
      </c>
      <c r="B256" s="92">
        <f>VLOOKUP(A256,Database!A:M,MATCH($A$1,Database!$A$1:$M$1,),)</f>
        <v>175437</v>
      </c>
      <c r="C256" s="94">
        <f>(Table535141516[[#This Row],[Durable Goods]]-B255)/B255</f>
        <v>0.11550762696237704</v>
      </c>
    </row>
    <row r="257" spans="1:3">
      <c r="A257" s="91">
        <v>41275</v>
      </c>
      <c r="B257" s="92">
        <f>VLOOKUP(A257,Database!A:M,MATCH($A$1,Database!$A$1:$M$1,),)</f>
        <v>163977</v>
      </c>
      <c r="C257" s="94">
        <f>(Table535141516[[#This Row],[Durable Goods]]-B256)/B256</f>
        <v>-6.5322594435609366E-2</v>
      </c>
    </row>
    <row r="258" spans="1:3">
      <c r="A258" s="91">
        <v>41306</v>
      </c>
      <c r="B258" s="92">
        <f>VLOOKUP(A258,Database!A:M,MATCH($A$1,Database!$A$1:$M$1,),)</f>
        <v>171886</v>
      </c>
      <c r="C258" s="94">
        <f>(Table535141516[[#This Row],[Durable Goods]]-B257)/B257</f>
        <v>4.8232374052458574E-2</v>
      </c>
    </row>
    <row r="259" spans="1:3">
      <c r="A259" s="91">
        <v>41334</v>
      </c>
      <c r="B259" s="92">
        <f>VLOOKUP(A259,Database!A:M,MATCH($A$1,Database!$A$1:$M$1,),)</f>
        <v>157898</v>
      </c>
      <c r="C259" s="94">
        <f>(Table535141516[[#This Row],[Durable Goods]]-B258)/B258</f>
        <v>-8.1379518983512325E-2</v>
      </c>
    </row>
    <row r="260" spans="1:3">
      <c r="A260" s="91">
        <v>41365</v>
      </c>
      <c r="B260" s="92">
        <f>VLOOKUP(A260,Database!A:M,MATCH($A$1,Database!$A$1:$M$1,),)</f>
        <v>167999</v>
      </c>
      <c r="C260" s="94">
        <f>(Table535141516[[#This Row],[Durable Goods]]-B259)/B259</f>
        <v>6.397167791865635E-2</v>
      </c>
    </row>
    <row r="261" spans="1:3">
      <c r="A261" s="91">
        <v>41395</v>
      </c>
      <c r="B261" s="92">
        <f>VLOOKUP(A261,Database!A:M,MATCH($A$1,Database!$A$1:$M$1,),)</f>
        <v>175159</v>
      </c>
      <c r="C261" s="94">
        <f>(Table535141516[[#This Row],[Durable Goods]]-B260)/B260</f>
        <v>4.2619301305364912E-2</v>
      </c>
    </row>
    <row r="262" spans="1:3">
      <c r="A262" s="91">
        <v>41426</v>
      </c>
      <c r="B262" s="92">
        <f>VLOOKUP(A262,Database!A:M,MATCH($A$1,Database!$A$1:$M$1,),)</f>
        <v>187171</v>
      </c>
      <c r="C262" s="94">
        <f>(Table535141516[[#This Row],[Durable Goods]]-B261)/B261</f>
        <v>6.8577692268167775E-2</v>
      </c>
    </row>
    <row r="263" spans="1:3">
      <c r="A263" s="91">
        <v>41456</v>
      </c>
      <c r="B263" s="92">
        <f>VLOOKUP(A263,Database!A:M,MATCH($A$1,Database!$A$1:$M$1,),)</f>
        <v>163879</v>
      </c>
      <c r="C263" s="94">
        <f>(Table535141516[[#This Row],[Durable Goods]]-B262)/B262</f>
        <v>-0.12444235485198027</v>
      </c>
    </row>
    <row r="264" spans="1:3">
      <c r="A264" s="91">
        <v>41487</v>
      </c>
      <c r="B264" s="92">
        <f>VLOOKUP(A264,Database!A:M,MATCH($A$1,Database!$A$1:$M$1,),)</f>
        <v>162223</v>
      </c>
      <c r="C264" s="94">
        <f>(Table535141516[[#This Row],[Durable Goods]]-B263)/B263</f>
        <v>-1.0105016506080707E-2</v>
      </c>
    </row>
    <row r="265" spans="1:3">
      <c r="A265" s="91">
        <v>41518</v>
      </c>
      <c r="B265" s="92">
        <f>VLOOKUP(A265,Database!A:M,MATCH($A$1,Database!$A$1:$M$1,),)</f>
        <v>178822</v>
      </c>
      <c r="C265" s="94">
        <f>(Table535141516[[#This Row],[Durable Goods]]-B264)/B264</f>
        <v>0.10232211215425679</v>
      </c>
    </row>
    <row r="266" spans="1:3">
      <c r="A266" s="91">
        <v>41548</v>
      </c>
      <c r="B266" s="92">
        <f>VLOOKUP(A266,Database!A:M,MATCH($A$1,Database!$A$1:$M$1,),)</f>
        <v>173141</v>
      </c>
      <c r="C266" s="94">
        <f>(Table535141516[[#This Row],[Durable Goods]]-B265)/B265</f>
        <v>-3.1769021708738299E-2</v>
      </c>
    </row>
    <row r="267" spans="1:3">
      <c r="A267" s="91">
        <v>41579</v>
      </c>
      <c r="B267" s="92">
        <f>VLOOKUP(A267,Database!A:M,MATCH($A$1,Database!$A$1:$M$1,),)</f>
        <v>177119</v>
      </c>
      <c r="C267" s="94">
        <f>(Table535141516[[#This Row],[Durable Goods]]-B266)/B266</f>
        <v>2.2975493961568894E-2</v>
      </c>
    </row>
    <row r="268" spans="1:3">
      <c r="A268" s="91">
        <v>41609</v>
      </c>
      <c r="B268" s="92">
        <f>VLOOKUP(A268,Database!A:M,MATCH($A$1,Database!$A$1:$M$1,),)</f>
        <v>175160</v>
      </c>
      <c r="C268" s="94">
        <f>(Table535141516[[#This Row],[Durable Goods]]-B267)/B267</f>
        <v>-1.106036054855775E-2</v>
      </c>
    </row>
    <row r="269" spans="1:3">
      <c r="A269" s="91">
        <v>41640</v>
      </c>
      <c r="B269" s="92">
        <f>VLOOKUP(A269,Database!A:M,MATCH($A$1,Database!$A$1:$M$1,),)</f>
        <v>166758</v>
      </c>
      <c r="C269" s="94">
        <f>(Table535141516[[#This Row],[Durable Goods]]-B268)/B268</f>
        <v>-4.796757250513816E-2</v>
      </c>
    </row>
    <row r="270" spans="1:3">
      <c r="A270" s="91">
        <v>41671</v>
      </c>
      <c r="B270" s="92">
        <f>VLOOKUP(A270,Database!A:M,MATCH($A$1,Database!$A$1:$M$1,),)</f>
        <v>168991</v>
      </c>
      <c r="C270" s="94">
        <f>(Table535141516[[#This Row],[Durable Goods]]-B269)/B269</f>
        <v>1.3390661917269337E-2</v>
      </c>
    </row>
    <row r="271" spans="1:3">
      <c r="A271" s="91">
        <v>41699</v>
      </c>
      <c r="B271" s="92">
        <f>VLOOKUP(A271,Database!A:M,MATCH($A$1,Database!$A$1:$M$1,),)</f>
        <v>173176</v>
      </c>
      <c r="C271" s="94">
        <f>(Table535141516[[#This Row],[Durable Goods]]-B270)/B270</f>
        <v>2.4764632436046891E-2</v>
      </c>
    </row>
    <row r="272" spans="1:3">
      <c r="A272" s="91">
        <v>41730</v>
      </c>
      <c r="B272" s="92">
        <f>VLOOKUP(A272,Database!A:M,MATCH($A$1,Database!$A$1:$M$1,),)</f>
        <v>174125</v>
      </c>
      <c r="C272" s="94">
        <f>(Table535141516[[#This Row],[Durable Goods]]-B271)/B271</f>
        <v>5.4799741303644843E-3</v>
      </c>
    </row>
    <row r="273" spans="1:3">
      <c r="A273" s="91">
        <v>41760</v>
      </c>
      <c r="B273" s="92">
        <f>VLOOKUP(A273,Database!A:M,MATCH($A$1,Database!$A$1:$M$1,),)</f>
        <v>166404</v>
      </c>
      <c r="C273" s="94">
        <f>(Table535141516[[#This Row],[Durable Goods]]-B272)/B272</f>
        <v>-4.4341708542713569E-2</v>
      </c>
    </row>
    <row r="274" spans="1:3">
      <c r="A274" s="91">
        <v>41791</v>
      </c>
      <c r="B274" s="92">
        <f>VLOOKUP(A274,Database!A:M,MATCH($A$1,Database!$A$1:$M$1,),)</f>
        <v>177673</v>
      </c>
      <c r="C274" s="94">
        <f>(Table535141516[[#This Row],[Durable Goods]]-B273)/B273</f>
        <v>6.772072786711858E-2</v>
      </c>
    </row>
    <row r="275" spans="1:3">
      <c r="A275" s="91">
        <v>41821</v>
      </c>
      <c r="B275" s="92">
        <f>VLOOKUP(A275,Database!A:M,MATCH($A$1,Database!$A$1:$M$1,),)</f>
        <v>239368</v>
      </c>
      <c r="C275" s="94">
        <f>(Table535141516[[#This Row],[Durable Goods]]-B274)/B274</f>
        <v>0.34723902900271847</v>
      </c>
    </row>
    <row r="276" spans="1:3">
      <c r="A276" s="91">
        <v>41852</v>
      </c>
      <c r="B276" s="92">
        <f>VLOOKUP(A276,Database!A:M,MATCH($A$1,Database!$A$1:$M$1,),)</f>
        <v>170619</v>
      </c>
      <c r="C276" s="94">
        <f>(Table535141516[[#This Row],[Durable Goods]]-B275)/B275</f>
        <v>-0.28721048761739248</v>
      </c>
    </row>
    <row r="277" spans="1:3">
      <c r="A277" s="91">
        <v>41883</v>
      </c>
      <c r="B277" s="92">
        <f>VLOOKUP(A277,Database!A:M,MATCH($A$1,Database!$A$1:$M$1,),)</f>
        <v>175815</v>
      </c>
      <c r="C277" s="94">
        <f>(Table535141516[[#This Row],[Durable Goods]]-B276)/B276</f>
        <v>3.0453818156242856E-2</v>
      </c>
    </row>
    <row r="278" spans="1:3">
      <c r="A278" s="91">
        <v>41913</v>
      </c>
      <c r="B278" s="92">
        <f>VLOOKUP(A278,Database!A:M,MATCH($A$1,Database!$A$1:$M$1,),)</f>
        <v>166867</v>
      </c>
      <c r="C278" s="94">
        <f>(Table535141516[[#This Row],[Durable Goods]]-B277)/B277</f>
        <v>-5.0894406051815833E-2</v>
      </c>
    </row>
    <row r="279" spans="1:3">
      <c r="A279" s="91">
        <v>41944</v>
      </c>
      <c r="B279" s="92">
        <f>VLOOKUP(A279,Database!A:M,MATCH($A$1,Database!$A$1:$M$1,),)</f>
        <v>167086</v>
      </c>
      <c r="C279" s="94">
        <f>(Table535141516[[#This Row],[Durable Goods]]-B278)/B278</f>
        <v>1.3124224681932317E-3</v>
      </c>
    </row>
    <row r="280" spans="1:3">
      <c r="A280" s="91">
        <v>41974</v>
      </c>
      <c r="B280" s="92">
        <f>VLOOKUP(A280,Database!A:M,MATCH($A$1,Database!$A$1:$M$1,),)</f>
        <v>159597</v>
      </c>
      <c r="C280" s="94">
        <f>(Table535141516[[#This Row],[Durable Goods]]-B279)/B279</f>
        <v>-4.4821229785858778E-2</v>
      </c>
    </row>
    <row r="281" spans="1:3">
      <c r="A281" s="91">
        <v>42005</v>
      </c>
      <c r="B281" s="92">
        <f>VLOOKUP(A281,Database!A:M,MATCH($A$1,Database!$A$1:$M$1,),)</f>
        <v>157463</v>
      </c>
      <c r="C281" s="94">
        <f>(Table535141516[[#This Row],[Durable Goods]]-B280)/B280</f>
        <v>-1.3371178656240405E-2</v>
      </c>
    </row>
    <row r="282" spans="1:3">
      <c r="A282" s="91">
        <v>42036</v>
      </c>
      <c r="B282" s="92">
        <f>VLOOKUP(A282,Database!A:M,MATCH($A$1,Database!$A$1:$M$1,),)</f>
        <v>154298</v>
      </c>
      <c r="C282" s="94">
        <f>(Table535141516[[#This Row],[Durable Goods]]-B281)/B281</f>
        <v>-2.0099959990600966E-2</v>
      </c>
    </row>
    <row r="283" spans="1:3">
      <c r="A283" s="91">
        <v>42064</v>
      </c>
      <c r="B283" s="92">
        <f>VLOOKUP(A283,Database!A:M,MATCH($A$1,Database!$A$1:$M$1,),)</f>
        <v>162504</v>
      </c>
      <c r="C283" s="94">
        <f>(Table535141516[[#This Row],[Durable Goods]]-B282)/B282</f>
        <v>5.3182802110202335E-2</v>
      </c>
    </row>
    <row r="284" spans="1:3">
      <c r="A284" s="91">
        <v>42095</v>
      </c>
      <c r="B284" s="92">
        <f>VLOOKUP(A284,Database!A:M,MATCH($A$1,Database!$A$1:$M$1,),)</f>
        <v>161812</v>
      </c>
      <c r="C284" s="94">
        <f>(Table535141516[[#This Row],[Durable Goods]]-B283)/B283</f>
        <v>-4.258356717373111E-3</v>
      </c>
    </row>
    <row r="285" spans="1:3">
      <c r="A285" s="91">
        <v>42125</v>
      </c>
      <c r="B285" s="92">
        <f>VLOOKUP(A285,Database!A:M,MATCH($A$1,Database!$A$1:$M$1,),)</f>
        <v>149281</v>
      </c>
      <c r="C285" s="94">
        <f>(Table535141516[[#This Row],[Durable Goods]]-B284)/B284</f>
        <v>-7.7441722492769385E-2</v>
      </c>
    </row>
    <row r="286" spans="1:3">
      <c r="A286" s="91">
        <v>42156</v>
      </c>
      <c r="B286" s="92">
        <f>VLOOKUP(A286,Database!A:M,MATCH($A$1,Database!$A$1:$M$1,),)</f>
        <v>168996</v>
      </c>
      <c r="C286" s="94">
        <f>(Table535141516[[#This Row],[Durable Goods]]-B285)/B285</f>
        <v>0.13206637147393172</v>
      </c>
    </row>
    <row r="287" spans="1:3">
      <c r="A287" s="91">
        <v>42186</v>
      </c>
      <c r="B287" s="92">
        <f>VLOOKUP(A287,Database!A:M,MATCH($A$1,Database!$A$1:$M$1,),)</f>
        <v>161459</v>
      </c>
      <c r="C287" s="94">
        <f>(Table535141516[[#This Row],[Durable Goods]]-B286)/B286</f>
        <v>-4.4598688726360386E-2</v>
      </c>
    </row>
    <row r="288" spans="1:3">
      <c r="A288" s="91">
        <v>42217</v>
      </c>
      <c r="B288" s="92">
        <f>VLOOKUP(A288,Database!A:M,MATCH($A$1,Database!$A$1:$M$1,),)</f>
        <v>158114</v>
      </c>
      <c r="C288" s="94">
        <f>(Table535141516[[#This Row],[Durable Goods]]-B287)/B287</f>
        <v>-2.0717333812299097E-2</v>
      </c>
    </row>
    <row r="289" spans="1:3">
      <c r="A289" s="91">
        <v>42248</v>
      </c>
      <c r="B289" s="92">
        <f>VLOOKUP(A289,Database!A:M,MATCH($A$1,Database!$A$1:$M$1,),)</f>
        <v>151480</v>
      </c>
      <c r="C289" s="94">
        <f>(Table535141516[[#This Row],[Durable Goods]]-B288)/B288</f>
        <v>-4.1957068950251086E-2</v>
      </c>
    </row>
    <row r="290" spans="1:3">
      <c r="A290" s="91">
        <v>42278</v>
      </c>
      <c r="B290" s="92">
        <f>VLOOKUP(A290,Database!A:M,MATCH($A$1,Database!$A$1:$M$1,),)</f>
        <v>157257</v>
      </c>
      <c r="C290" s="94">
        <f>(Table535141516[[#This Row],[Durable Goods]]-B289)/B289</f>
        <v>3.8137047795088461E-2</v>
      </c>
    </row>
    <row r="291" spans="1:3">
      <c r="A291" s="91">
        <v>42309</v>
      </c>
      <c r="B291" s="92">
        <f>VLOOKUP(A291,Database!A:M,MATCH($A$1,Database!$A$1:$M$1,),)</f>
        <v>161313</v>
      </c>
      <c r="C291" s="94">
        <f>(Table535141516[[#This Row],[Durable Goods]]-B290)/B290</f>
        <v>2.5792174593181862E-2</v>
      </c>
    </row>
    <row r="292" spans="1:3">
      <c r="A292" s="91">
        <v>42339</v>
      </c>
      <c r="B292" s="92">
        <f>VLOOKUP(A292,Database!A:M,MATCH($A$1,Database!$A$1:$M$1,),)</f>
        <v>154376</v>
      </c>
      <c r="C292" s="94">
        <f>(Table535141516[[#This Row],[Durable Goods]]-B291)/B291</f>
        <v>-4.3003353728465775E-2</v>
      </c>
    </row>
    <row r="293" spans="1:3">
      <c r="A293" s="91">
        <v>42370</v>
      </c>
      <c r="B293" s="92">
        <f>VLOOKUP(A293,Database!A:M,MATCH($A$1,Database!$A$1:$M$1,),)</f>
        <v>157726</v>
      </c>
      <c r="C293" s="94">
        <f>(Table535141516[[#This Row],[Durable Goods]]-B292)/B292</f>
        <v>2.1700264289785977E-2</v>
      </c>
    </row>
    <row r="294" spans="1:3">
      <c r="A294" s="91">
        <v>42401</v>
      </c>
      <c r="B294" s="92">
        <f>VLOOKUP(A294,Database!A:M,MATCH($A$1,Database!$A$1:$M$1,),)</f>
        <v>151625</v>
      </c>
      <c r="C294" s="94">
        <f>(Table535141516[[#This Row],[Durable Goods]]-B293)/B293</f>
        <v>-3.8681003766024624E-2</v>
      </c>
    </row>
    <row r="295" spans="1:3">
      <c r="A295" s="91">
        <v>42430</v>
      </c>
      <c r="B295" s="92">
        <f>VLOOKUP(A295,Database!A:M,MATCH($A$1,Database!$A$1:$M$1,),)</f>
        <v>150655</v>
      </c>
      <c r="C295" s="94">
        <f>(Table535141516[[#This Row],[Durable Goods]]-B294)/B294</f>
        <v>-6.3973619126133554E-3</v>
      </c>
    </row>
    <row r="296" spans="1:3">
      <c r="A296" s="91">
        <v>42461</v>
      </c>
      <c r="B296" s="92">
        <f>VLOOKUP(A296,Database!A:M,MATCH($A$1,Database!$A$1:$M$1,),)</f>
        <v>159038</v>
      </c>
      <c r="C296" s="94">
        <f>(Table535141516[[#This Row],[Durable Goods]]-B295)/B295</f>
        <v>5.5643689223723078E-2</v>
      </c>
    </row>
    <row r="297" spans="1:3">
      <c r="A297" s="91">
        <v>42491</v>
      </c>
      <c r="B297" s="92">
        <f>VLOOKUP(A297,Database!A:M,MATCH($A$1,Database!$A$1:$M$1,),)</f>
        <v>156740</v>
      </c>
      <c r="C297" s="94">
        <f>(Table535141516[[#This Row],[Durable Goods]]-B296)/B296</f>
        <v>-1.4449376878481872E-2</v>
      </c>
    </row>
    <row r="298" spans="1:3">
      <c r="A298" s="91">
        <v>42522</v>
      </c>
      <c r="B298" s="92">
        <f>VLOOKUP(A298,Database!A:M,MATCH($A$1,Database!$A$1:$M$1,),)</f>
        <v>147954</v>
      </c>
      <c r="C298" s="94">
        <f>(Table535141516[[#This Row],[Durable Goods]]-B297)/B297</f>
        <v>-5.6054612734464722E-2</v>
      </c>
    </row>
    <row r="299" spans="1:3">
      <c r="A299" s="91">
        <v>42552</v>
      </c>
      <c r="B299" s="92">
        <f>VLOOKUP(A299,Database!A:M,MATCH($A$1,Database!$A$1:$M$1,),)</f>
        <v>149687</v>
      </c>
      <c r="C299" s="94">
        <f>(Table535141516[[#This Row],[Durable Goods]]-B298)/B298</f>
        <v>1.1713100017573029E-2</v>
      </c>
    </row>
    <row r="300" spans="1:3">
      <c r="A300" s="91">
        <v>42583</v>
      </c>
      <c r="B300" s="92">
        <f>VLOOKUP(A300,Database!A:M,MATCH($A$1,Database!$A$1:$M$1,),)</f>
        <v>158627</v>
      </c>
      <c r="C300" s="94">
        <f>(Table535141516[[#This Row],[Durable Goods]]-B299)/B299</f>
        <v>5.9724625384969969E-2</v>
      </c>
    </row>
    <row r="301" spans="1:3">
      <c r="A301" s="91">
        <v>42614</v>
      </c>
      <c r="B301" s="92">
        <f>VLOOKUP(A301,Database!A:M,MATCH($A$1,Database!$A$1:$M$1,),)</f>
        <v>148303</v>
      </c>
      <c r="C301" s="94">
        <f>(Table535141516[[#This Row],[Durable Goods]]-B300)/B300</f>
        <v>-6.5083497765197604E-2</v>
      </c>
    </row>
    <row r="302" spans="1:3">
      <c r="A302" s="91">
        <v>42644</v>
      </c>
      <c r="B302" s="92">
        <f>VLOOKUP(A302,Database!A:M,MATCH($A$1,Database!$A$1:$M$1,),)</f>
        <v>174438</v>
      </c>
      <c r="C302" s="94">
        <f>(Table535141516[[#This Row],[Durable Goods]]-B301)/B301</f>
        <v>0.17622704867736999</v>
      </c>
    </row>
    <row r="303" spans="1:3">
      <c r="A303" s="91">
        <v>42675</v>
      </c>
      <c r="B303" s="92">
        <f>VLOOKUP(A303,Database!A:M,MATCH($A$1,Database!$A$1:$M$1,),)</f>
        <v>156039</v>
      </c>
      <c r="C303" s="94">
        <f>(Table535141516[[#This Row],[Durable Goods]]-B302)/B302</f>
        <v>-0.10547587108313555</v>
      </c>
    </row>
    <row r="304" spans="1:3">
      <c r="A304" s="91">
        <v>42705</v>
      </c>
      <c r="B304" s="92">
        <f>VLOOKUP(A304,Database!A:M,MATCH($A$1,Database!$A$1:$M$1,),)</f>
        <v>151674</v>
      </c>
      <c r="C304" s="94">
        <f>(Table535141516[[#This Row],[Durable Goods]]-B303)/B303</f>
        <v>-2.7973775786822527E-2</v>
      </c>
    </row>
    <row r="305" spans="1:3">
      <c r="A305" s="91">
        <v>42736</v>
      </c>
      <c r="B305" s="92">
        <f>VLOOKUP(A305,Database!A:M,MATCH($A$1,Database!$A$1:$M$1,),)</f>
        <v>153023</v>
      </c>
      <c r="C305" s="94">
        <f>(Table535141516[[#This Row],[Durable Goods]]-B304)/B304</f>
        <v>8.8940754512968605E-3</v>
      </c>
    </row>
    <row r="306" spans="1:3">
      <c r="A306" s="91">
        <v>42767</v>
      </c>
      <c r="B306" s="92">
        <f>VLOOKUP(A306,Database!A:M,MATCH($A$1,Database!$A$1:$M$1,),)</f>
        <v>151001</v>
      </c>
      <c r="C306" s="94">
        <f>(Table535141516[[#This Row],[Durable Goods]]-B305)/B305</f>
        <v>-1.3213699901322023E-2</v>
      </c>
    </row>
    <row r="307" spans="1:3">
      <c r="A307" s="91">
        <v>42795</v>
      </c>
      <c r="B307" s="92">
        <f>VLOOKUP(A307,Database!A:M,MATCH($A$1,Database!$A$1:$M$1,),)</f>
        <v>157865</v>
      </c>
      <c r="C307" s="94">
        <f>(Table535141516[[#This Row],[Durable Goods]]-B306)/B306</f>
        <v>4.5456652604949639E-2</v>
      </c>
    </row>
    <row r="308" spans="1:3">
      <c r="A308" s="91">
        <v>42826</v>
      </c>
      <c r="B308" s="92">
        <f>VLOOKUP(A308,Database!A:M,MATCH($A$1,Database!$A$1:$M$1,),)</f>
        <v>160341</v>
      </c>
      <c r="C308" s="94">
        <f>(Table535141516[[#This Row],[Durable Goods]]-B307)/B307</f>
        <v>1.5684287207424066E-2</v>
      </c>
    </row>
    <row r="309" spans="1:3">
      <c r="A309" s="91">
        <v>42856</v>
      </c>
      <c r="B309" s="92">
        <f>VLOOKUP(A309,Database!A:M,MATCH($A$1,Database!$A$1:$M$1,),)</f>
        <v>156192</v>
      </c>
      <c r="C309" s="94">
        <f>(Table535141516[[#This Row],[Durable Goods]]-B308)/B308</f>
        <v>-2.5876101558553334E-2</v>
      </c>
    </row>
    <row r="310" spans="1:3">
      <c r="A310" s="91">
        <v>42887</v>
      </c>
      <c r="B310" s="92">
        <f>VLOOKUP(A310,Database!A:M,MATCH($A$1,Database!$A$1:$M$1,),)</f>
        <v>174911</v>
      </c>
      <c r="C310" s="94">
        <f>(Table535141516[[#This Row],[Durable Goods]]-B309)/B309</f>
        <v>0.11984608686744519</v>
      </c>
    </row>
    <row r="311" spans="1:3">
      <c r="A311" s="91">
        <v>42917</v>
      </c>
      <c r="B311" s="92">
        <f>VLOOKUP(A311,Database!A:M,MATCH($A$1,Database!$A$1:$M$1,),)</f>
        <v>158851</v>
      </c>
      <c r="C311" s="94">
        <f>(Table535141516[[#This Row],[Durable Goods]]-B310)/B310</f>
        <v>-9.1818124646248667E-2</v>
      </c>
    </row>
    <row r="312" spans="1:3">
      <c r="A312" s="91">
        <v>42948</v>
      </c>
      <c r="B312" s="92">
        <f>VLOOKUP(A312,Database!A:M,MATCH($A$1,Database!$A$1:$M$1,),)</f>
        <v>158587</v>
      </c>
      <c r="C312" s="94">
        <f>(Table535141516[[#This Row],[Durable Goods]]-B311)/B311</f>
        <v>-1.6619347690603145E-3</v>
      </c>
    </row>
    <row r="313" spans="1:3">
      <c r="A313" s="91">
        <v>42979</v>
      </c>
      <c r="B313" s="92">
        <f>VLOOKUP(A313,Database!A:M,MATCH($A$1,Database!$A$1:$M$1,),)</f>
        <v>169627</v>
      </c>
      <c r="C313" s="94">
        <f>(Table535141516[[#This Row],[Durable Goods]]-B312)/B312</f>
        <v>6.9614785575110194E-2</v>
      </c>
    </row>
    <row r="314" spans="1:3">
      <c r="A314" s="91">
        <v>43009</v>
      </c>
      <c r="B314" s="92">
        <f>VLOOKUP(A314,Database!A:M,MATCH($A$1,Database!$A$1:$M$1,),)</f>
        <v>164246</v>
      </c>
      <c r="C314" s="94">
        <f>(Table535141516[[#This Row],[Durable Goods]]-B313)/B313</f>
        <v>-3.1722544170444567E-2</v>
      </c>
    </row>
    <row r="315" spans="1:3">
      <c r="A315" s="91">
        <v>43040</v>
      </c>
      <c r="B315" s="92">
        <f>VLOOKUP(A315,Database!A:M,MATCH($A$1,Database!$A$1:$M$1,),)</f>
        <v>170535</v>
      </c>
      <c r="C315" s="94">
        <f>(Table535141516[[#This Row],[Durable Goods]]-B314)/B314</f>
        <v>3.8290125786929363E-2</v>
      </c>
    </row>
    <row r="316" spans="1:3">
      <c r="A316" s="91">
        <v>43070</v>
      </c>
      <c r="B316" s="92">
        <f>VLOOKUP(A316,Database!A:M,MATCH($A$1,Database!$A$1:$M$1,),)</f>
        <v>169117</v>
      </c>
      <c r="C316" s="94">
        <f>(Table535141516[[#This Row],[Durable Goods]]-B315)/B315</f>
        <v>-8.3150086492508862E-3</v>
      </c>
    </row>
    <row r="317" spans="1:3">
      <c r="A317" s="91">
        <v>43101</v>
      </c>
      <c r="B317" s="92">
        <f>VLOOKUP(A317,Database!A:M,MATCH($A$1,Database!$A$1:$M$1,),)</f>
        <v>158706</v>
      </c>
      <c r="C317" s="94">
        <f>(Table535141516[[#This Row],[Durable Goods]]-B316)/B316</f>
        <v>-6.1560931189649767E-2</v>
      </c>
    </row>
    <row r="318" spans="1:3">
      <c r="A318" s="91">
        <v>43132</v>
      </c>
      <c r="B318" s="92">
        <f>VLOOKUP(A318,Database!A:M,MATCH($A$1,Database!$A$1:$M$1,),)</f>
        <v>163066</v>
      </c>
      <c r="C318" s="94">
        <f>(Table535141516[[#This Row],[Durable Goods]]-B317)/B317</f>
        <v>2.7472181265988684E-2</v>
      </c>
    </row>
    <row r="319" spans="1:3">
      <c r="A319" s="91">
        <v>43160</v>
      </c>
      <c r="B319" s="92">
        <f>VLOOKUP(A319,Database!A:M,MATCH($A$1,Database!$A$1:$M$1,),)</f>
        <v>171976</v>
      </c>
      <c r="C319" s="94">
        <f>(Table535141516[[#This Row],[Durable Goods]]-B318)/B318</f>
        <v>5.4640452332184515E-2</v>
      </c>
    </row>
    <row r="320" spans="1:3">
      <c r="A320" s="91">
        <v>43191</v>
      </c>
      <c r="B320" s="92">
        <f>VLOOKUP(A320,Database!A:M,MATCH($A$1,Database!$A$1:$M$1,),)</f>
        <v>170999</v>
      </c>
      <c r="C320" s="94">
        <f>(Table535141516[[#This Row],[Durable Goods]]-B319)/B319</f>
        <v>-5.6810252593385126E-3</v>
      </c>
    </row>
    <row r="321" spans="1:3">
      <c r="A321" s="91">
        <v>43221</v>
      </c>
      <c r="B321" s="92">
        <f>VLOOKUP(A321,Database!A:M,MATCH($A$1,Database!$A$1:$M$1,),)</f>
        <v>175471</v>
      </c>
      <c r="C321" s="94">
        <f>(Table535141516[[#This Row],[Durable Goods]]-B320)/B320</f>
        <v>2.6152199720466202E-2</v>
      </c>
    </row>
    <row r="322" spans="1:3">
      <c r="A322" s="91">
        <v>43252</v>
      </c>
      <c r="B322" s="92">
        <f>VLOOKUP(A322,Database!A:M,MATCH($A$1,Database!$A$1:$M$1,),)</f>
        <v>173527</v>
      </c>
      <c r="C322" s="94">
        <f>(Table535141516[[#This Row],[Durable Goods]]-B321)/B321</f>
        <v>-1.1078753754181603E-2</v>
      </c>
    </row>
    <row r="323" spans="1:3">
      <c r="A323" s="91">
        <v>43282</v>
      </c>
      <c r="B323" s="92">
        <f>VLOOKUP(A323,Database!A:M,MATCH($A$1,Database!$A$1:$M$1,),)</f>
        <v>164780</v>
      </c>
      <c r="C323" s="94">
        <f>(Table535141516[[#This Row],[Durable Goods]]-B322)/B322</f>
        <v>-5.0407141251793672E-2</v>
      </c>
    </row>
    <row r="324" spans="1:3">
      <c r="A324" s="91">
        <v>43313</v>
      </c>
      <c r="B324" s="92">
        <f>VLOOKUP(A324,Database!A:M,MATCH($A$1,Database!$A$1:$M$1,),)</f>
        <v>179888</v>
      </c>
      <c r="C324" s="94">
        <f>(Table535141516[[#This Row],[Durable Goods]]-B323)/B323</f>
        <v>9.1685884209248697E-2</v>
      </c>
    </row>
    <row r="325" spans="1:3">
      <c r="A325" s="91">
        <v>43344</v>
      </c>
      <c r="B325" s="92">
        <f>VLOOKUP(A325,Database!A:M,MATCH($A$1,Database!$A$1:$M$1,),)</f>
        <v>176616</v>
      </c>
      <c r="C325" s="94">
        <f>(Table535141516[[#This Row],[Durable Goods]]-B324)/B324</f>
        <v>-1.81890954371609E-2</v>
      </c>
    </row>
    <row r="326" spans="1:3">
      <c r="A326" s="91">
        <v>43374</v>
      </c>
      <c r="B326" s="92">
        <f>VLOOKUP(A326,Database!A:M,MATCH($A$1,Database!$A$1:$M$1,),)</f>
        <v>170058</v>
      </c>
      <c r="C326" s="94">
        <f>(Table535141516[[#This Row],[Durable Goods]]-B325)/B325</f>
        <v>-3.7131403723331971E-2</v>
      </c>
    </row>
    <row r="327" spans="1:3">
      <c r="A327" s="91">
        <v>43405</v>
      </c>
      <c r="B327" s="92">
        <f>VLOOKUP(A327,Database!A:M,MATCH($A$1,Database!$A$1:$M$1,),)</f>
        <v>160838</v>
      </c>
      <c r="C327" s="94">
        <f>(Table535141516[[#This Row],[Durable Goods]]-B326)/B326</f>
        <v>-5.4216796622328853E-2</v>
      </c>
    </row>
    <row r="328" spans="1:3">
      <c r="A328" s="91">
        <v>43435</v>
      </c>
      <c r="B328" s="92">
        <f>VLOOKUP(A328,Database!A:M,MATCH($A$1,Database!$A$1:$M$1,),)</f>
        <v>172950</v>
      </c>
      <c r="C328" s="94">
        <f>(Table535141516[[#This Row],[Durable Goods]]-B327)/B327</f>
        <v>7.530558698814957E-2</v>
      </c>
    </row>
    <row r="329" spans="1:3">
      <c r="A329" s="91">
        <v>43466</v>
      </c>
      <c r="B329" s="92">
        <f>VLOOKUP(A329,Database!A:M,MATCH($A$1,Database!$A$1:$M$1,),)</f>
        <v>183707</v>
      </c>
      <c r="C329" s="94">
        <f>(Table535141516[[#This Row],[Durable Goods]]-B328)/B328</f>
        <v>6.2197166811217112E-2</v>
      </c>
    </row>
    <row r="330" spans="1:3">
      <c r="A330" s="91">
        <v>43497</v>
      </c>
      <c r="B330" s="92">
        <f>VLOOKUP(A330,Database!A:M,MATCH($A$1,Database!$A$1:$M$1,),)</f>
        <v>174574</v>
      </c>
      <c r="C330" s="94">
        <f>(Table535141516[[#This Row],[Durable Goods]]-B329)/B329</f>
        <v>-4.9715035355212378E-2</v>
      </c>
    </row>
    <row r="331" spans="1:3">
      <c r="A331" s="91">
        <v>43525</v>
      </c>
      <c r="B331" s="92">
        <f>VLOOKUP(A331,Database!A:M,MATCH($A$1,Database!$A$1:$M$1,),)</f>
        <v>186986</v>
      </c>
      <c r="C331" s="94">
        <f>(Table535141516[[#This Row],[Durable Goods]]-B330)/B330</f>
        <v>7.1098789052207081E-2</v>
      </c>
    </row>
    <row r="332" spans="1:3">
      <c r="A332" s="91">
        <v>43556</v>
      </c>
      <c r="B332" s="92">
        <f>VLOOKUP(A332,Database!A:M,MATCH($A$1,Database!$A$1:$M$1,),)</f>
        <v>186141</v>
      </c>
      <c r="C332" s="94">
        <f>(Table535141516[[#This Row],[Durable Goods]]-B331)/B331</f>
        <v>-4.5190549025060697E-3</v>
      </c>
    </row>
    <row r="333" spans="1:3">
      <c r="A333" s="91">
        <v>43586</v>
      </c>
      <c r="B333" s="92">
        <f>VLOOKUP(A333,Database!A:M,MATCH($A$1,Database!$A$1:$M$1,),)</f>
        <v>172609</v>
      </c>
      <c r="C333" s="94">
        <f>(Table535141516[[#This Row],[Durable Goods]]-B332)/B332</f>
        <v>-7.2697578717208999E-2</v>
      </c>
    </row>
    <row r="334" spans="1:3">
      <c r="A334" s="91">
        <v>43617</v>
      </c>
      <c r="B334" s="92">
        <f>VLOOKUP(A334,Database!A:M,MATCH($A$1,Database!$A$1:$M$1,),)</f>
        <v>176033</v>
      </c>
      <c r="C334" s="94">
        <f>(Table535141516[[#This Row],[Durable Goods]]-B333)/B333</f>
        <v>1.9836740842018665E-2</v>
      </c>
    </row>
    <row r="335" spans="1:3">
      <c r="A335" s="91">
        <v>43647</v>
      </c>
      <c r="B335" s="92">
        <f>VLOOKUP(A335,Database!A:M,MATCH($A$1,Database!$A$1:$M$1,),)</f>
        <v>181883</v>
      </c>
      <c r="C335" s="94">
        <f>(Table535141516[[#This Row],[Durable Goods]]-B334)/B334</f>
        <v>3.3232405287644928E-2</v>
      </c>
    </row>
    <row r="336" spans="1:3">
      <c r="A336" s="91">
        <v>43678</v>
      </c>
      <c r="B336" s="92">
        <f>VLOOKUP(A336,Database!A:M,MATCH($A$1,Database!$A$1:$M$1,),)</f>
        <v>178316</v>
      </c>
      <c r="C336" s="94">
        <f>(Table535141516[[#This Row],[Durable Goods]]-B335)/B335</f>
        <v>-1.961150849722074E-2</v>
      </c>
    </row>
    <row r="337" spans="1:3">
      <c r="A337" s="91">
        <v>43709</v>
      </c>
      <c r="B337" s="92">
        <f>VLOOKUP(A337,Database!A:M,MATCH($A$1,Database!$A$1:$M$1,),)</f>
        <v>178552</v>
      </c>
      <c r="C337" s="94">
        <f>(Table535141516[[#This Row],[Durable Goods]]-B336)/B336</f>
        <v>1.3234931245653782E-3</v>
      </c>
    </row>
    <row r="338" spans="1:3">
      <c r="A338" s="91">
        <v>43739</v>
      </c>
      <c r="B338" s="92">
        <f>VLOOKUP(A338,Database!A:M,MATCH($A$1,Database!$A$1:$M$1,),)</f>
        <v>184702</v>
      </c>
      <c r="C338" s="94">
        <f>(Table535141516[[#This Row],[Durable Goods]]-B337)/B337</f>
        <v>3.4443747479725798E-2</v>
      </c>
    </row>
    <row r="339" spans="1:3">
      <c r="A339" s="91">
        <v>43770</v>
      </c>
      <c r="B339" s="92">
        <f>VLOOKUP(A339,Database!A:M,MATCH($A$1,Database!$A$1:$M$1,),)</f>
        <v>168277</v>
      </c>
      <c r="C339" s="94">
        <f>(Table535141516[[#This Row],[Durable Goods]]-B338)/B338</f>
        <v>-8.8927028402507824E-2</v>
      </c>
    </row>
    <row r="340" spans="1:3">
      <c r="A340" s="91">
        <v>43800</v>
      </c>
      <c r="B340" s="92">
        <f>VLOOKUP(A340,Database!A:M,MATCH($A$1,Database!$A$1:$M$1,),)</f>
        <v>175060</v>
      </c>
      <c r="C340" s="94">
        <f>(Table535141516[[#This Row],[Durable Goods]]-B339)/B339</f>
        <v>4.0308538897175492E-2</v>
      </c>
    </row>
    <row r="341" spans="1:3">
      <c r="A341" s="91">
        <v>43831</v>
      </c>
      <c r="B341" s="92">
        <f>VLOOKUP(A341,Database!A:M,MATCH($A$1,Database!$A$1:$M$1,),)</f>
        <v>164144</v>
      </c>
      <c r="C341" s="94">
        <f>(Table535141516[[#This Row],[Durable Goods]]-B340)/B340</f>
        <v>-6.235576373814692E-2</v>
      </c>
    </row>
    <row r="342" spans="1:3">
      <c r="A342" s="91">
        <v>43862</v>
      </c>
      <c r="B342" s="92">
        <f>VLOOKUP(A342,Database!A:M,MATCH($A$1,Database!$A$1:$M$1,),)</f>
        <v>164739</v>
      </c>
      <c r="C342" s="94">
        <f>(Table535141516[[#This Row],[Durable Goods]]-B341)/B341</f>
        <v>3.6248659713422359E-3</v>
      </c>
    </row>
    <row r="343" spans="1:3">
      <c r="A343" s="91">
        <v>43891</v>
      </c>
      <c r="B343" s="92">
        <f>VLOOKUP(A343,Database!A:M,MATCH($A$1,Database!$A$1:$M$1,),)</f>
        <v>125115</v>
      </c>
      <c r="C343" s="94">
        <f>(Table535141516[[#This Row],[Durable Goods]]-B342)/B342</f>
        <v>-0.24052592282337515</v>
      </c>
    </row>
    <row r="344" spans="1:3">
      <c r="A344" s="91">
        <v>43922</v>
      </c>
      <c r="B344" s="92">
        <f>VLOOKUP(A344,Database!A:M,MATCH($A$1,Database!$A$1:$M$1,),)</f>
        <v>121997</v>
      </c>
      <c r="C344" s="94">
        <f>(Table535141516[[#This Row],[Durable Goods]]-B343)/B343</f>
        <v>-2.4921072613195861E-2</v>
      </c>
    </row>
    <row r="345" spans="1:3">
      <c r="A345" s="91">
        <v>43952</v>
      </c>
      <c r="B345" s="92">
        <f>VLOOKUP(A345,Database!A:M,MATCH($A$1,Database!$A$1:$M$1,),)</f>
        <v>134339</v>
      </c>
      <c r="C345" s="94">
        <f>(Table535141516[[#This Row],[Durable Goods]]-B344)/B344</f>
        <v>0.10116642212513423</v>
      </c>
    </row>
    <row r="346" spans="1:3">
      <c r="A346" s="91">
        <v>43983</v>
      </c>
      <c r="B346" s="92">
        <f>VLOOKUP(A346,Database!A:M,MATCH($A$1,Database!$A$1:$M$1,),)</f>
        <v>135912</v>
      </c>
      <c r="C346" s="94">
        <f>(Table535141516[[#This Row],[Durable Goods]]-B345)/B345</f>
        <v>1.1709183483575135E-2</v>
      </c>
    </row>
    <row r="347" spans="1:3">
      <c r="A347" s="91">
        <v>44013</v>
      </c>
      <c r="B347" s="92">
        <f>VLOOKUP(A347,Database!A:M,MATCH($A$1,Database!$A$1:$M$1,),)</f>
        <v>146079</v>
      </c>
      <c r="C347" s="94">
        <f>(Table535141516[[#This Row],[Durable Goods]]-B346)/B346</f>
        <v>7.4805756666078055E-2</v>
      </c>
    </row>
    <row r="348" spans="1:3">
      <c r="A348" s="91">
        <v>44044</v>
      </c>
      <c r="B348" s="92">
        <f>VLOOKUP(A348,Database!A:M,MATCH($A$1,Database!$A$1:$M$1,),)</f>
        <v>151866</v>
      </c>
      <c r="C348" s="94">
        <f>(Table535141516[[#This Row],[Durable Goods]]-B347)/B347</f>
        <v>3.9615550489803461E-2</v>
      </c>
    </row>
    <row r="349" spans="1:3">
      <c r="A349" s="91">
        <v>44075</v>
      </c>
      <c r="B349" s="92">
        <f>VLOOKUP(A349,Database!A:M,MATCH($A$1,Database!$A$1:$M$1,),)</f>
        <v>154765</v>
      </c>
      <c r="C349" s="94">
        <f>(Table535141516[[#This Row],[Durable Goods]]-B348)/B348</f>
        <v>1.908919705529875E-2</v>
      </c>
    </row>
    <row r="350" spans="1:3">
      <c r="A350" s="91">
        <v>44105</v>
      </c>
      <c r="B350" s="92">
        <f>VLOOKUP(A350,Database!A:M,MATCH($A$1,Database!$A$1:$M$1,),)</f>
        <v>157040</v>
      </c>
      <c r="C350" s="94">
        <f>(Table535141516[[#This Row],[Durable Goods]]-B349)/B349</f>
        <v>1.4699706005879883E-2</v>
      </c>
    </row>
    <row r="351" spans="1:3">
      <c r="A351" s="91">
        <v>44136</v>
      </c>
      <c r="B351" s="92">
        <f>VLOOKUP(A351,Database!A:M,MATCH($A$1,Database!$A$1:$M$1,),)</f>
        <v>160496</v>
      </c>
      <c r="C351" s="94">
        <f>(Table535141516[[#This Row],[Durable Goods]]-B350)/B350</f>
        <v>2.2007131940906775E-2</v>
      </c>
    </row>
    <row r="352" spans="1:3">
      <c r="A352" s="91">
        <v>44166</v>
      </c>
      <c r="B352" s="92">
        <f>VLOOKUP(A352,Database!A:M,MATCH($A$1,Database!$A$1:$M$1,),)</f>
        <v>162628</v>
      </c>
      <c r="C352" s="94">
        <f>(Table535141516[[#This Row],[Durable Goods]]-B351)/B351</f>
        <v>1.3283820157511714E-2</v>
      </c>
    </row>
    <row r="353" spans="1:3">
      <c r="A353" s="91">
        <v>44197</v>
      </c>
      <c r="B353" s="92">
        <f>VLOOKUP(A353,Database!A:M,MATCH($A$1,Database!$A$1:$M$1,),)</f>
        <v>168315</v>
      </c>
      <c r="C353" s="94">
        <f>(Table535141516[[#This Row],[Durable Goods]]-B352)/B352</f>
        <v>3.4969377966893769E-2</v>
      </c>
    </row>
    <row r="354" spans="1:3">
      <c r="A354" s="91">
        <v>44228</v>
      </c>
      <c r="B354" s="92">
        <f>VLOOKUP(A354,Database!A:M,MATCH($A$1,Database!$A$1:$M$1,),)</f>
        <v>176058</v>
      </c>
      <c r="C354" s="94">
        <f>(Table535141516[[#This Row],[Durable Goods]]-B353)/B353</f>
        <v>4.6003030032973888E-2</v>
      </c>
    </row>
    <row r="355" spans="1:3">
      <c r="A355" s="91">
        <v>44256</v>
      </c>
      <c r="B355" s="92">
        <f>VLOOKUP(A355,Database!A:M,MATCH($A$1,Database!$A$1:$M$1,),)</f>
        <v>177221</v>
      </c>
      <c r="C355" s="94">
        <f>(Table535141516[[#This Row],[Durable Goods]]-B354)/B354</f>
        <v>6.6057776414590649E-3</v>
      </c>
    </row>
    <row r="356" spans="1:3">
      <c r="A356" s="91">
        <v>44287</v>
      </c>
      <c r="B356" s="92">
        <f>VLOOKUP(A356,Database!A:M,MATCH($A$1,Database!$A$1:$M$1,),)</f>
        <v>179098</v>
      </c>
      <c r="C356" s="94">
        <f>(Table535141516[[#This Row],[Durable Goods]]-B355)/B355</f>
        <v>1.0591295613950943E-2</v>
      </c>
    </row>
    <row r="357" spans="1:3">
      <c r="A357" s="91">
        <v>44317</v>
      </c>
      <c r="B357" s="92">
        <f>VLOOKUP(A357,Database!A:M,MATCH($A$1,Database!$A$1:$M$1,),)</f>
        <v>185820</v>
      </c>
      <c r="C357" s="94">
        <f>(Table535141516[[#This Row],[Durable Goods]]-B356)/B356</f>
        <v>3.7532524092954697E-2</v>
      </c>
    </row>
    <row r="358" spans="1:3">
      <c r="A358" s="91">
        <v>44348</v>
      </c>
      <c r="B358" s="92">
        <f>VLOOKUP(A358,Database!A:M,MATCH($A$1,Database!$A$1:$M$1,),)</f>
        <v>186999</v>
      </c>
      <c r="C358" s="94">
        <f>(Table535141516[[#This Row],[Durable Goods]]-B357)/B357</f>
        <v>6.3448498546980949E-3</v>
      </c>
    </row>
    <row r="359" spans="1:3">
      <c r="A359" s="91">
        <v>44378</v>
      </c>
      <c r="B359" s="92">
        <f>VLOOKUP(A359,Database!A:M,MATCH($A$1,Database!$A$1:$M$1,),)</f>
        <v>186219</v>
      </c>
      <c r="C359" s="94">
        <f>(Table535141516[[#This Row],[Durable Goods]]-B358)/B358</f>
        <v>-4.1711453002422471E-3</v>
      </c>
    </row>
    <row r="360" spans="1:3">
      <c r="A360" s="91">
        <v>44409</v>
      </c>
      <c r="B360" s="92">
        <f>VLOOKUP(A360,Database!A:M,MATCH($A$1,Database!$A$1:$M$1,),)</f>
        <v>192482</v>
      </c>
      <c r="C360" s="94">
        <f>(Table535141516[[#This Row],[Durable Goods]]-B359)/B359</f>
        <v>3.3632443520800775E-2</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ignoredErrors>
    <ignoredError sqref="C7:C335 C336:C338 C339:C344" calculatedColumn="1"/>
  </ignoredErrors>
  <drawing r:id="rId1"/>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Note</vt:lpstr>
      <vt:lpstr>Official Data</vt:lpstr>
      <vt:lpstr>Database</vt:lpstr>
      <vt:lpstr>Recap</vt:lpstr>
      <vt:lpstr>New Orders ex Aircraft</vt:lpstr>
      <vt:lpstr>New Orders</vt:lpstr>
      <vt:lpstr>New Orders ex Transport</vt:lpstr>
      <vt:lpstr>Other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2018-04-26T13:12:53Z</dcterms:created>
  <dcterms:modified xsi:type="dcterms:W3CDTF">2022-02-04T06:03:00Z</dcterms:modified>
</cp:coreProperties>
</file>