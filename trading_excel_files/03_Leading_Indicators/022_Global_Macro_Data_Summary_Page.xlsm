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4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-1</v>
                </pt>
                <pt idx="1">
                  <v>1</v>
                </pt>
                <pt idx="2">
                  <v>1</v>
                </pt>
                <pt idx="3">
                  <v>-1</v>
                </pt>
                <pt idx="4">
                  <v>-8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-2</v>
                </pt>
                <pt idx="1">
                  <v>-1</v>
                </pt>
                <pt idx="2">
                  <v>-5</v>
                </pt>
                <pt idx="3">
                  <v>-8</v>
                </pt>
                <pt idx="4">
                  <v>-12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</v>
                </pt>
                <pt idx="1">
                  <v>3</v>
                </pt>
                <pt idx="2">
                  <v>-1</v>
                </pt>
                <pt idx="3">
                  <v>-3</v>
                </pt>
                <pt idx="4">
                  <v>-3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-5</v>
                </pt>
                <pt idx="1">
                  <v>-7</v>
                </pt>
                <pt idx="2">
                  <v>-10</v>
                </pt>
                <pt idx="3">
                  <v>-7</v>
                </pt>
                <pt idx="4">
                  <v>-7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6</v>
                </pt>
                <pt idx="3">
                  <v>-2</v>
                </pt>
                <pt idx="4">
                  <v>-4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2</v>
                </pt>
                <pt idx="1">
                  <v>6</v>
                </pt>
                <pt idx="2">
                  <v>3</v>
                </pt>
                <pt idx="3">
                  <v>3</v>
                </pt>
                <pt idx="4">
                  <v>-1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10</v>
                </pt>
                <pt idx="1">
                  <v>9</v>
                </pt>
                <pt idx="2">
                  <v>7</v>
                </pt>
                <pt idx="3">
                  <v>5</v>
                </pt>
                <pt idx="4">
                  <v>0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-4</v>
                </pt>
                <pt idx="1">
                  <v>-3</v>
                </pt>
                <pt idx="2">
                  <v>-8</v>
                </pt>
                <pt idx="3">
                  <v>-10</v>
                </pt>
                <pt idx="4">
                  <v>-10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9</v>
                </pt>
                <pt idx="1">
                  <v>0</v>
                </pt>
                <pt idx="2">
                  <v>5</v>
                </pt>
                <pt idx="3">
                  <v>2</v>
                </pt>
                <pt idx="4">
                  <v>1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2</v>
                </pt>
                <pt idx="3">
                  <v>-5</v>
                </pt>
                <pt idx="4">
                  <v>-9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4</v>
                </pt>
                <pt idx="1">
                  <v>0</v>
                </pt>
                <pt idx="2">
                  <v>-3</v>
                </pt>
                <pt idx="3">
                  <v>4</v>
                </pt>
                <pt idx="4">
                  <v>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6</v>
                </pt>
                <pt idx="1">
                  <v>-4</v>
                </pt>
                <pt idx="2">
                  <v>-6</v>
                </pt>
                <pt idx="3">
                  <v>-12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0</v>
                </pt>
                <pt idx="1">
                  <v>-6</v>
                </pt>
                <pt idx="2">
                  <v>-7</v>
                </pt>
                <pt idx="3">
                  <v>-9</v>
                </pt>
                <pt idx="4">
                  <v>0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4</v>
                </pt>
                <pt idx="3">
                  <v>1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-7</v>
                </pt>
                <pt idx="1">
                  <v>-5</v>
                </pt>
                <pt idx="2">
                  <v>-9</v>
                </pt>
                <pt idx="3">
                  <v>-11</v>
                </pt>
                <pt idx="4">
                  <v>-13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-6</v>
                </pt>
                <pt idx="1">
                  <v>5</v>
                </pt>
                <pt idx="2">
                  <v>8</v>
                </pt>
                <pt idx="3">
                  <v>6</v>
                </pt>
                <pt idx="4">
                  <v>-6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-3</v>
                </pt>
                <pt idx="1">
                  <v>-2</v>
                </pt>
                <pt idx="2">
                  <v>-4</v>
                </pt>
                <pt idx="3">
                  <v>-6</v>
                </pt>
                <pt idx="4">
                  <v>-11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-2</v>
                </pt>
                <pt idx="3">
                  <v>-4</v>
                </pt>
                <pt idx="4">
                  <v>-5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15</v>
                </pt>
                <pt idx="1">
                  <v>18</v>
                </pt>
                <pt idx="2">
                  <v>5</v>
                </pt>
                <pt idx="3">
                  <v>5</v>
                </pt>
                <pt idx="4">
                  <v>0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14</v>
                </pt>
                <pt idx="1">
                  <v>7</v>
                </pt>
                <pt idx="2">
                  <v>4</v>
                </pt>
                <pt idx="3">
                  <v>7</v>
                </pt>
                <pt idx="4">
                  <v>6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13</v>
                </pt>
                <pt idx="1">
                  <v>16</v>
                </pt>
                <pt idx="2">
                  <v>14</v>
                </pt>
                <pt idx="3">
                  <v>14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-1</v>
                </pt>
                <pt idx="1">
                  <v>3</v>
                </pt>
                <pt idx="2">
                  <v>2</v>
                </pt>
                <pt idx="3">
                  <v>16</v>
                </pt>
                <pt idx="4">
                  <v>8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11</v>
                </pt>
                <pt idx="2">
                  <v>15</v>
                </pt>
                <pt idx="3">
                  <v>1</v>
                </pt>
                <pt idx="4">
                  <v>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16</v>
                </pt>
                <pt idx="1">
                  <v>12</v>
                </pt>
                <pt idx="2">
                  <v>17</v>
                </pt>
                <pt idx="3">
                  <v>15</v>
                </pt>
                <pt idx="4">
                  <v>0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12</v>
                </pt>
                <pt idx="1">
                  <v>1</v>
                </pt>
                <pt idx="2">
                  <v>10</v>
                </pt>
                <pt idx="3">
                  <v>2</v>
                </pt>
                <pt idx="4">
                  <v>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17</v>
                </pt>
                <pt idx="1">
                  <v>6</v>
                </pt>
                <pt idx="2">
                  <v>13</v>
                </pt>
                <pt idx="3">
                  <v>4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11</v>
                </pt>
                <pt idx="3">
                  <v>-1</v>
                </pt>
                <pt idx="4">
                  <v>2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2</v>
                </pt>
                <pt idx="2">
                  <v>-1</v>
                </pt>
                <pt idx="3">
                  <v>-2</v>
                </pt>
                <pt idx="4">
                  <v>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11</v>
                </pt>
                <pt idx="1">
                  <v>17</v>
                </pt>
                <pt idx="2">
                  <v>7</v>
                </pt>
                <pt idx="3">
                  <v>12</v>
                </pt>
                <pt idx="4">
                  <v>15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8</v>
                </pt>
                <pt idx="3">
                  <v>6</v>
                </pt>
                <pt idx="4">
                  <v>9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9</v>
                </pt>
                <pt idx="1">
                  <v>15</v>
                </pt>
                <pt idx="2">
                  <v>3</v>
                </pt>
                <pt idx="3">
                  <v>8</v>
                </pt>
                <pt idx="4">
                  <v>7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5</v>
                </pt>
                <pt idx="1">
                  <v>10</v>
                </pt>
                <pt idx="2">
                  <v>16</v>
                </pt>
                <pt idx="3">
                  <v>9</v>
                </pt>
                <pt idx="4">
                  <v>14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9</v>
                </pt>
                <pt idx="3">
                  <v>11</v>
                </pt>
                <pt idx="4">
                  <v>5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6</v>
                </pt>
                <pt idx="1">
                  <v>14</v>
                </pt>
                <pt idx="2">
                  <v>6</v>
                </pt>
                <pt idx="3">
                  <v>13</v>
                </pt>
                <pt idx="4">
                  <v>12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3</v>
                </pt>
                <pt idx="1">
                  <v>9</v>
                </pt>
                <pt idx="2">
                  <v>1</v>
                </pt>
                <pt idx="3">
                  <v>3</v>
                </pt>
                <pt idx="4">
                  <v>11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44774</v>
                </pt>
                <pt idx="1">
                  <v>44805</v>
                </pt>
                <pt idx="2">
                  <v>44835</v>
                </pt>
                <pt idx="3">
                  <v>44866</v>
                </pt>
                <pt idx="4">
                  <v>44896</v>
                </pt>
                <pt idx="5">
                  <v>44927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13</v>
                </pt>
                <pt idx="2">
                  <v>12</v>
                </pt>
                <pt idx="3">
                  <v>10</v>
                </pt>
                <pt idx="4">
                  <v>10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8" defaultColWidth="9.1796875" defaultRowHeight="14.5"/>
  <cols>
    <col width="23.1796875" customWidth="1" style="60" min="1" max="1"/>
    <col width="12.81640625" customWidth="1" style="60" min="2" max="5"/>
    <col width="13.6328125" customWidth="1" style="60" min="6" max="6"/>
    <col width="12.81640625" customWidth="1" style="60" min="7" max="10"/>
    <col width="2" customWidth="1" style="60" min="11" max="13"/>
    <col width="9.1796875" customWidth="1" style="60" min="14" max="50"/>
    <col width="9.1796875" customWidth="1" style="60" min="51" max="16384"/>
  </cols>
  <sheetData>
    <row r="1">
      <c r="B1" s="14" t="n"/>
      <c r="C1" s="15" t="n"/>
      <c r="D1" s="15" t="n"/>
      <c r="E1" s="15" t="n"/>
    </row>
    <row r="2">
      <c r="B2" s="63" t="inlineStr">
        <is>
          <t>Process / TO DO LIST</t>
        </is>
      </c>
      <c r="C2" s="64" t="n"/>
      <c r="D2" s="64" t="n"/>
      <c r="E2" s="64" t="n"/>
      <c r="F2" s="64" t="n"/>
      <c r="G2" s="64" t="n"/>
      <c r="H2" s="64" t="n"/>
      <c r="I2" s="64" t="n"/>
      <c r="J2" s="65" t="n"/>
    </row>
    <row r="4">
      <c r="B4" s="63" t="inlineStr">
        <is>
          <t>TO DO LIST</t>
        </is>
      </c>
      <c r="C4" s="64" t="n"/>
      <c r="D4" s="64" t="n"/>
      <c r="E4" s="64" t="n"/>
      <c r="F4" s="65" t="n"/>
      <c r="G4" s="63" t="inlineStr">
        <is>
          <t>Comments</t>
        </is>
      </c>
      <c r="H4" s="64" t="n"/>
      <c r="I4" s="64" t="n"/>
      <c r="J4" s="65" t="n"/>
    </row>
    <row r="6">
      <c r="B6" s="60" t="inlineStr">
        <is>
          <t>Collect Data on one page</t>
        </is>
      </c>
      <c r="G6" s="60" t="inlineStr">
        <is>
          <t>Do for Macro Data</t>
        </is>
      </c>
    </row>
    <row r="7" ht="30.75" customHeight="1">
      <c r="G7" s="59" t="inlineStr">
        <is>
          <t>Do the same for market conditions.</t>
        </is>
      </c>
    </row>
    <row r="8">
      <c r="B8" s="59" t="n"/>
      <c r="G8" s="60" t="n"/>
    </row>
    <row r="9">
      <c r="B9" s="61" t="n"/>
    </row>
    <row r="10">
      <c r="B10" s="59" t="n"/>
    </row>
    <row r="11">
      <c r="B11" s="62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opLeftCell="A16" zoomScale="190" zoomScaleNormal="190" workbookViewId="0">
      <selection activeCell="H21" sqref="H21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0.007151852913210253</v>
      </c>
      <c r="C2" t="n">
        <v>-0.001446339727068014</v>
      </c>
      <c r="D2" t="n">
        <v>0.01695694019812535</v>
      </c>
    </row>
    <row r="3">
      <c r="A3" t="inlineStr">
        <is>
          <t>GDP yoy</t>
        </is>
      </c>
      <c r="B3" t="n">
        <v>0.009592535426926301</v>
      </c>
      <c r="C3" t="n">
        <v>0.0179604249802807</v>
      </c>
      <c r="D3" t="n">
        <v>0.05717100090878058</v>
      </c>
    </row>
    <row r="4">
      <c r="A4" t="inlineStr">
        <is>
          <t>Core CPI</t>
        </is>
      </c>
      <c r="B4" t="n">
        <v>0.003993192589113989</v>
      </c>
      <c r="C4" t="n">
        <v>0.00604275092300803</v>
      </c>
      <c r="D4" t="n">
        <v>0.006539846121267766</v>
      </c>
    </row>
    <row r="5">
      <c r="A5" t="inlineStr">
        <is>
          <t>Core PCE</t>
        </is>
      </c>
      <c r="B5" t="n">
        <v>0.002964869098232228</v>
      </c>
      <c r="C5" t="n">
        <v>0.006286330089478121</v>
      </c>
      <c r="D5" t="n">
        <v>0.005437373999313983</v>
      </c>
    </row>
    <row r="6">
      <c r="A6" t="inlineStr">
        <is>
          <t>Retail Sales MoM</t>
        </is>
      </c>
      <c r="B6" t="n">
        <v>-0.01146297453386045</v>
      </c>
      <c r="C6" t="n">
        <v>0.01029219556500742</v>
      </c>
      <c r="D6" t="n">
        <v>-0.01152241337683322</v>
      </c>
    </row>
    <row r="7">
      <c r="A7" t="inlineStr">
        <is>
          <t>Core Retail Sales</t>
        </is>
      </c>
      <c r="B7" t="n">
        <v>-0.006947828853829764</v>
      </c>
      <c r="C7" t="n">
        <v>0.009174406754083314</v>
      </c>
      <c r="D7" t="n">
        <v>-0.01439818913351496</v>
      </c>
    </row>
    <row r="8">
      <c r="A8" t="inlineStr">
        <is>
          <t>Unemployment Rate</t>
        </is>
      </c>
      <c r="B8" t="n">
        <v>-0.0285714285714286</v>
      </c>
      <c r="C8" t="n">
        <v>-0.0277777777777778</v>
      </c>
      <c r="D8" t="n">
        <v>0.02564102564102566</v>
      </c>
    </row>
    <row r="9">
      <c r="A9" t="inlineStr">
        <is>
          <t>Non-Farm Payroll</t>
        </is>
      </c>
      <c r="B9" t="n">
        <v>155073</v>
      </c>
      <c r="C9" t="n">
        <v>152980</v>
      </c>
      <c r="D9" t="n">
        <v>150106</v>
      </c>
    </row>
    <row r="10">
      <c r="A10" t="inlineStr">
        <is>
          <t>Weekly Claims</t>
        </is>
      </c>
      <c r="B10" t="n">
        <v>196000</v>
      </c>
      <c r="C10" t="n">
        <v>228000</v>
      </c>
      <c r="D10" t="n">
        <v>182000</v>
      </c>
    </row>
    <row r="11">
      <c r="A11" t="inlineStr">
        <is>
          <t>Industrial Production</t>
        </is>
      </c>
      <c r="B11" t="n">
        <v>-0.007228397591621964</v>
      </c>
      <c r="C11" t="n">
        <v>-0.002094761560069313</v>
      </c>
      <c r="D11" t="n">
        <v>-0.001984091956728494</v>
      </c>
    </row>
    <row r="12">
      <c r="A12" t="inlineStr">
        <is>
          <t>Fed Funds Target Rate</t>
        </is>
      </c>
      <c r="B12" t="inlineStr">
        <is>
          <t>4.50-4.75%</t>
        </is>
      </c>
    </row>
    <row r="13">
      <c r="A13" t="inlineStr">
        <is>
          <t>Euro Futures 1m</t>
        </is>
      </c>
      <c r="B13" t="n">
        <v>0.002975000000000136</v>
      </c>
    </row>
    <row r="14">
      <c r="A14" t="inlineStr">
        <is>
          <t>Euro Futures 6m</t>
        </is>
      </c>
      <c r="B14" t="n">
        <v>0.005275000000000034</v>
      </c>
    </row>
    <row r="15">
      <c r="A15" t="inlineStr">
        <is>
          <t>Euro Futures 12m</t>
        </is>
      </c>
      <c r="B15" t="n">
        <v>-0.01342499999999987</v>
      </c>
    </row>
    <row r="16">
      <c r="A16" t="inlineStr">
        <is>
          <t>3M</t>
        </is>
      </c>
      <c r="B16" t="n">
        <v>4.79</v>
      </c>
      <c r="C16" t="n">
        <v>2.89</v>
      </c>
      <c r="D16" t="n">
        <v>0.35</v>
      </c>
    </row>
    <row r="17">
      <c r="A17" t="inlineStr">
        <is>
          <t>2Y</t>
        </is>
      </c>
      <c r="B17" t="n">
        <v>4.5</v>
      </c>
      <c r="C17" t="n">
        <v>3.37</v>
      </c>
      <c r="D17" t="n">
        <v>1.44</v>
      </c>
    </row>
    <row r="18">
      <c r="A18" t="inlineStr">
        <is>
          <t>10Y</t>
        </is>
      </c>
      <c r="B18" t="n">
        <v>3.74</v>
      </c>
      <c r="C18" t="n">
        <v>3.04</v>
      </c>
      <c r="D18" t="n">
        <v>1.83</v>
      </c>
    </row>
    <row r="19">
      <c r="A19" t="inlineStr">
        <is>
          <t>30Y</t>
        </is>
      </c>
      <c r="B19" t="n">
        <v>3.83</v>
      </c>
      <c r="C19" t="n">
        <v>3.21</v>
      </c>
      <c r="D19" t="n">
        <v>2.17</v>
      </c>
    </row>
    <row r="20">
      <c r="A20" t="inlineStr">
        <is>
          <t>DXY</t>
        </is>
      </c>
      <c r="B20" t="n">
        <v>103.5780029296875</v>
      </c>
      <c r="C20" t="n">
        <v>108.6999969482422</v>
      </c>
      <c r="D20" t="n">
        <v>96.70999908447266</v>
      </c>
    </row>
    <row r="21">
      <c r="A21" t="inlineStr">
        <is>
          <t>UMCSI Index</t>
        </is>
      </c>
      <c r="B21" t="n">
        <v>64.90000000000001</v>
      </c>
      <c r="C21" t="n">
        <v>51.5</v>
      </c>
      <c r="D21" t="n">
        <v>67.2</v>
      </c>
    </row>
    <row r="22">
      <c r="A22" t="inlineStr">
        <is>
          <t>UMCSI Exp</t>
        </is>
      </c>
      <c r="B22" t="n">
        <v>62.7</v>
      </c>
      <c r="C22" t="n">
        <v>47.3</v>
      </c>
      <c r="D22" t="n">
        <v>64.09999999999999</v>
      </c>
    </row>
    <row r="23">
      <c r="A23" t="inlineStr">
        <is>
          <t>Conference Board LEI</t>
        </is>
      </c>
      <c r="B23" t="n">
        <v>110.7</v>
      </c>
      <c r="C23" t="n">
        <v>116.6</v>
      </c>
      <c r="D23" t="n">
        <v>119.6</v>
      </c>
    </row>
    <row r="24">
      <c r="A24" t="inlineStr">
        <is>
          <t>Building Permits</t>
        </is>
      </c>
      <c r="B24" t="n">
        <v>1337</v>
      </c>
      <c r="C24" t="n">
        <v>1696</v>
      </c>
      <c r="D24" t="n">
        <v>1896</v>
      </c>
    </row>
    <row r="25">
      <c r="A25" t="inlineStr">
        <is>
          <t>ISM Manufacturing</t>
        </is>
      </c>
      <c r="B25" t="n">
        <v>47.4</v>
      </c>
      <c r="C25" t="n">
        <v>52.8</v>
      </c>
      <c r="D25" t="n">
        <v>57.6</v>
      </c>
    </row>
    <row r="26">
      <c r="A26" t="inlineStr">
        <is>
          <t>ISM Manuf New orders</t>
        </is>
      </c>
      <c r="B26" t="n">
        <v>42.5</v>
      </c>
      <c r="C26" t="n">
        <v>48</v>
      </c>
      <c r="D26" t="n">
        <v>57.9</v>
      </c>
    </row>
    <row r="27">
      <c r="A27" t="inlineStr">
        <is>
          <t>ISM Services</t>
        </is>
      </c>
      <c r="B27" t="n">
        <v>55.2</v>
      </c>
      <c r="C27" t="n">
        <v>56.7</v>
      </c>
      <c r="D27" t="n">
        <v>59.9</v>
      </c>
    </row>
    <row r="28">
      <c r="A28" t="inlineStr">
        <is>
          <t>Money Supply M1</t>
        </is>
      </c>
      <c r="B28" t="n">
        <v>-0.01174797964681233</v>
      </c>
      <c r="C28" t="n">
        <v>-0.01644764730818138</v>
      </c>
      <c r="D28" t="n">
        <v>0.001675570998887506</v>
      </c>
    </row>
    <row r="29">
      <c r="A29" t="inlineStr">
        <is>
          <t>Money Supply M2</t>
        </is>
      </c>
      <c r="B29" t="n">
        <v>-0.006119284127582909</v>
      </c>
      <c r="C29" t="n">
        <v>-0.01494466435091688</v>
      </c>
      <c r="D29" t="n">
        <v>0.0008349532295729522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0" t="n">
        <v>44774</v>
      </c>
      <c r="B2" t="n">
        <v>-6</v>
      </c>
      <c r="C2" t="n">
        <v>-3</v>
      </c>
      <c r="D2" t="n">
        <v>7</v>
      </c>
      <c r="E2" t="n">
        <v>-1</v>
      </c>
      <c r="F2" t="n">
        <v>-2</v>
      </c>
      <c r="G2" t="n">
        <v>1</v>
      </c>
      <c r="H2" t="n">
        <v>-5</v>
      </c>
      <c r="I2" t="n">
        <v>3</v>
      </c>
      <c r="J2" t="n">
        <v>2</v>
      </c>
      <c r="K2" t="n">
        <v>10</v>
      </c>
      <c r="L2" t="n">
        <v>-4</v>
      </c>
      <c r="M2" t="n">
        <v>9</v>
      </c>
      <c r="N2" t="n">
        <v>5</v>
      </c>
      <c r="O2" t="n">
        <v>4</v>
      </c>
      <c r="P2" t="n">
        <v>6</v>
      </c>
      <c r="Q2" t="n">
        <v>0</v>
      </c>
      <c r="R2" t="n">
        <v>8</v>
      </c>
      <c r="S2" t="n">
        <v>-7</v>
      </c>
    </row>
    <row r="3">
      <c r="A3" s="70" t="n">
        <v>44805</v>
      </c>
      <c r="B3" t="n">
        <v>5</v>
      </c>
      <c r="C3" t="n">
        <v>-2</v>
      </c>
      <c r="D3" t="n">
        <v>2</v>
      </c>
      <c r="E3" t="n">
        <v>1</v>
      </c>
      <c r="F3" t="n">
        <v>-1</v>
      </c>
      <c r="G3" t="n">
        <v>3</v>
      </c>
      <c r="H3" t="n">
        <v>-7</v>
      </c>
      <c r="I3" t="n">
        <v>8</v>
      </c>
      <c r="J3" t="n">
        <v>6</v>
      </c>
      <c r="K3" t="n">
        <v>9</v>
      </c>
      <c r="L3" t="n">
        <v>-3</v>
      </c>
      <c r="M3" t="n">
        <v>0</v>
      </c>
      <c r="N3" t="n">
        <v>7</v>
      </c>
      <c r="O3" t="n">
        <v>0</v>
      </c>
      <c r="P3" t="n">
        <v>-4</v>
      </c>
      <c r="Q3" t="n">
        <v>-6</v>
      </c>
      <c r="R3" t="n">
        <v>4</v>
      </c>
      <c r="S3" t="n">
        <v>-5</v>
      </c>
    </row>
    <row r="4">
      <c r="A4" s="70" t="n">
        <v>44835</v>
      </c>
      <c r="B4" t="n">
        <v>8</v>
      </c>
      <c r="C4" t="n">
        <v>-4</v>
      </c>
      <c r="D4" t="n">
        <v>-2</v>
      </c>
      <c r="E4" t="n">
        <v>1</v>
      </c>
      <c r="F4" t="n">
        <v>-5</v>
      </c>
      <c r="G4" t="n">
        <v>-1</v>
      </c>
      <c r="H4" t="n">
        <v>-10</v>
      </c>
      <c r="I4" t="n">
        <v>6</v>
      </c>
      <c r="J4" t="n">
        <v>3</v>
      </c>
      <c r="K4" t="n">
        <v>7</v>
      </c>
      <c r="L4" t="n">
        <v>-8</v>
      </c>
      <c r="M4" t="n">
        <v>5</v>
      </c>
      <c r="N4" t="n">
        <v>2</v>
      </c>
      <c r="O4" t="n">
        <v>-3</v>
      </c>
      <c r="P4" t="n">
        <v>-6</v>
      </c>
      <c r="Q4" t="n">
        <v>-7</v>
      </c>
      <c r="R4" t="n">
        <v>4</v>
      </c>
      <c r="S4" t="n">
        <v>-9</v>
      </c>
    </row>
    <row r="5">
      <c r="A5" s="70" t="n">
        <v>44866</v>
      </c>
      <c r="B5" t="n">
        <v>6</v>
      </c>
      <c r="C5" t="n">
        <v>-6</v>
      </c>
      <c r="D5" t="n">
        <v>-4</v>
      </c>
      <c r="E5" t="n">
        <v>-1</v>
      </c>
      <c r="F5" t="n">
        <v>-8</v>
      </c>
      <c r="G5" t="n">
        <v>-3</v>
      </c>
      <c r="H5" t="n">
        <v>-7</v>
      </c>
      <c r="I5" t="n">
        <v>-2</v>
      </c>
      <c r="J5" t="n">
        <v>3</v>
      </c>
      <c r="K5" t="n">
        <v>5</v>
      </c>
      <c r="L5" t="n">
        <v>-10</v>
      </c>
      <c r="M5" t="n">
        <v>2</v>
      </c>
      <c r="N5" t="n">
        <v>-5</v>
      </c>
      <c r="O5" t="n">
        <v>4</v>
      </c>
      <c r="P5" t="n">
        <v>-12</v>
      </c>
      <c r="Q5" t="n">
        <v>-9</v>
      </c>
      <c r="R5" t="n">
        <v>1</v>
      </c>
      <c r="S5" t="n">
        <v>-11</v>
      </c>
    </row>
    <row r="6">
      <c r="A6" s="70" t="n">
        <v>44896</v>
      </c>
      <c r="B6" t="n">
        <v>-6</v>
      </c>
      <c r="C6" t="n">
        <v>-11</v>
      </c>
      <c r="D6" t="n">
        <v>-5</v>
      </c>
      <c r="E6" t="n">
        <v>-8</v>
      </c>
      <c r="F6" t="n">
        <v>-12</v>
      </c>
      <c r="G6" t="n">
        <v>-3</v>
      </c>
      <c r="H6" t="n">
        <v>-7</v>
      </c>
      <c r="I6" t="n">
        <v>-4</v>
      </c>
      <c r="J6" t="n">
        <v>-1</v>
      </c>
      <c r="K6" t="n">
        <v>0</v>
      </c>
      <c r="L6" t="n">
        <v>-10</v>
      </c>
      <c r="M6" t="n">
        <v>1</v>
      </c>
      <c r="N6" t="n">
        <v>-9</v>
      </c>
      <c r="O6" t="n">
        <v>2</v>
      </c>
      <c r="P6" t="n">
        <v>0</v>
      </c>
      <c r="Q6" t="n">
        <v>0</v>
      </c>
      <c r="R6" t="n">
        <v>-2</v>
      </c>
      <c r="S6" t="n">
        <v>-13</v>
      </c>
    </row>
    <row r="7">
      <c r="A7" s="70" t="n">
        <v>44927</v>
      </c>
      <c r="B7" t="n">
        <v>15</v>
      </c>
      <c r="C7" t="n">
        <v>3</v>
      </c>
      <c r="D7" t="n">
        <v>2</v>
      </c>
      <c r="E7" t="n">
        <v>12</v>
      </c>
      <c r="F7" t="n">
        <v>8</v>
      </c>
      <c r="G7" t="n">
        <v>5</v>
      </c>
      <c r="H7" t="n">
        <v>11</v>
      </c>
      <c r="I7" t="n">
        <v>7</v>
      </c>
      <c r="J7" t="n">
        <v>4</v>
      </c>
      <c r="K7" t="n">
        <v>13</v>
      </c>
      <c r="L7" t="n">
        <v>14</v>
      </c>
      <c r="M7" t="n">
        <v>6</v>
      </c>
      <c r="N7" t="n">
        <v>10</v>
      </c>
      <c r="O7" t="n">
        <v>9</v>
      </c>
      <c r="P7" t="n">
        <v>0</v>
      </c>
      <c r="Q7" t="n">
        <v>16</v>
      </c>
      <c r="R7" t="n">
        <v>1</v>
      </c>
      <c r="S7" t="n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0" t="n">
        <v>44774</v>
      </c>
      <c r="B2" t="n">
        <v>15</v>
      </c>
      <c r="C2" t="n">
        <v>14</v>
      </c>
      <c r="D2" t="n">
        <v>13</v>
      </c>
      <c r="E2" t="n">
        <v>-1</v>
      </c>
      <c r="F2" t="n">
        <v>7</v>
      </c>
      <c r="G2" t="n">
        <v>16</v>
      </c>
      <c r="H2" t="n">
        <v>12</v>
      </c>
      <c r="I2" t="n">
        <v>17</v>
      </c>
      <c r="J2" t="n">
        <v>4</v>
      </c>
      <c r="K2" t="n">
        <v>2</v>
      </c>
      <c r="L2" t="n">
        <v>11</v>
      </c>
      <c r="M2" t="n">
        <v>1</v>
      </c>
      <c r="N2" t="n">
        <v>9</v>
      </c>
      <c r="O2" t="n">
        <v>5</v>
      </c>
      <c r="P2" t="n">
        <v>8</v>
      </c>
      <c r="Q2" t="n">
        <v>6</v>
      </c>
      <c r="R2" t="n">
        <v>3</v>
      </c>
      <c r="S2" t="n">
        <v>10</v>
      </c>
    </row>
    <row r="3">
      <c r="A3" s="70" t="n">
        <v>44805</v>
      </c>
      <c r="B3" t="n">
        <v>18</v>
      </c>
      <c r="C3" t="n">
        <v>7</v>
      </c>
      <c r="D3" t="n">
        <v>16</v>
      </c>
      <c r="E3" t="n">
        <v>3</v>
      </c>
      <c r="F3" t="n">
        <v>11</v>
      </c>
      <c r="G3" t="n">
        <v>12</v>
      </c>
      <c r="H3" t="n">
        <v>1</v>
      </c>
      <c r="I3" t="n">
        <v>6</v>
      </c>
      <c r="J3" t="n">
        <v>8</v>
      </c>
      <c r="K3" t="n">
        <v>2</v>
      </c>
      <c r="L3" t="n">
        <v>17</v>
      </c>
      <c r="M3" t="n">
        <v>5</v>
      </c>
      <c r="N3" t="n">
        <v>15</v>
      </c>
      <c r="O3" t="n">
        <v>10</v>
      </c>
      <c r="P3" t="n">
        <v>4</v>
      </c>
      <c r="Q3" t="n">
        <v>14</v>
      </c>
      <c r="R3" t="n">
        <v>9</v>
      </c>
      <c r="S3" t="n">
        <v>13</v>
      </c>
    </row>
    <row r="4">
      <c r="A4" s="70" t="n">
        <v>44835</v>
      </c>
      <c r="B4" t="n">
        <v>5</v>
      </c>
      <c r="C4" t="n">
        <v>4</v>
      </c>
      <c r="D4" t="n">
        <v>14</v>
      </c>
      <c r="E4" t="n">
        <v>2</v>
      </c>
      <c r="F4" t="n">
        <v>15</v>
      </c>
      <c r="G4" t="n">
        <v>17</v>
      </c>
      <c r="H4" t="n">
        <v>10</v>
      </c>
      <c r="I4" t="n">
        <v>13</v>
      </c>
      <c r="J4" t="n">
        <v>11</v>
      </c>
      <c r="K4" t="n">
        <v>-1</v>
      </c>
      <c r="L4" t="n">
        <v>7</v>
      </c>
      <c r="M4" t="n">
        <v>8</v>
      </c>
      <c r="N4" t="n">
        <v>3</v>
      </c>
      <c r="O4" t="n">
        <v>16</v>
      </c>
      <c r="P4" t="n">
        <v>9</v>
      </c>
      <c r="Q4" t="n">
        <v>6</v>
      </c>
      <c r="R4" t="n">
        <v>1</v>
      </c>
      <c r="S4" t="n">
        <v>12</v>
      </c>
    </row>
    <row r="5">
      <c r="A5" s="70" t="n">
        <v>44866</v>
      </c>
      <c r="B5" t="n">
        <v>5</v>
      </c>
      <c r="C5" t="n">
        <v>7</v>
      </c>
      <c r="D5" t="n">
        <v>14</v>
      </c>
      <c r="E5" t="n">
        <v>16</v>
      </c>
      <c r="F5" t="n">
        <v>1</v>
      </c>
      <c r="G5" t="n">
        <v>15</v>
      </c>
      <c r="H5" t="n">
        <v>2</v>
      </c>
      <c r="I5" t="n">
        <v>4</v>
      </c>
      <c r="J5" t="n">
        <v>-1</v>
      </c>
      <c r="K5" t="n">
        <v>-2</v>
      </c>
      <c r="L5" t="n">
        <v>12</v>
      </c>
      <c r="M5" t="n">
        <v>6</v>
      </c>
      <c r="N5" t="n">
        <v>8</v>
      </c>
      <c r="O5" t="n">
        <v>9</v>
      </c>
      <c r="P5" t="n">
        <v>11</v>
      </c>
      <c r="Q5" t="n">
        <v>13</v>
      </c>
      <c r="R5" t="n">
        <v>3</v>
      </c>
      <c r="S5" t="n">
        <v>10</v>
      </c>
    </row>
    <row r="6">
      <c r="A6" s="70" t="n">
        <v>44896</v>
      </c>
      <c r="B6" t="n">
        <v>0</v>
      </c>
      <c r="C6" t="n">
        <v>6</v>
      </c>
      <c r="D6" t="n">
        <v>13</v>
      </c>
      <c r="E6" t="n">
        <v>8</v>
      </c>
      <c r="F6" t="n">
        <v>4</v>
      </c>
      <c r="G6" t="n">
        <v>0</v>
      </c>
      <c r="H6" t="n">
        <v>3</v>
      </c>
      <c r="I6" t="n">
        <v>0</v>
      </c>
      <c r="J6" t="n">
        <v>2</v>
      </c>
      <c r="K6" t="n">
        <v>1</v>
      </c>
      <c r="L6" t="n">
        <v>15</v>
      </c>
      <c r="M6" t="n">
        <v>9</v>
      </c>
      <c r="N6" t="n">
        <v>7</v>
      </c>
      <c r="O6" t="n">
        <v>14</v>
      </c>
      <c r="P6" t="n">
        <v>5</v>
      </c>
      <c r="Q6" t="n">
        <v>12</v>
      </c>
      <c r="R6" t="n">
        <v>11</v>
      </c>
      <c r="S6" t="n">
        <v>10</v>
      </c>
    </row>
    <row r="7">
      <c r="A7" s="70" t="n">
        <v>44927</v>
      </c>
      <c r="B7" t="n">
        <v>15</v>
      </c>
      <c r="C7" t="n">
        <v>10</v>
      </c>
      <c r="D7" t="n">
        <v>8</v>
      </c>
      <c r="E7" t="n">
        <v>9</v>
      </c>
      <c r="F7" t="n">
        <v>2</v>
      </c>
      <c r="G7" t="n">
        <v>13</v>
      </c>
      <c r="H7" t="n">
        <v>0</v>
      </c>
      <c r="I7" t="n">
        <v>0</v>
      </c>
      <c r="J7" t="n">
        <v>-1</v>
      </c>
      <c r="K7" t="n">
        <v>1</v>
      </c>
      <c r="L7" t="n">
        <v>7</v>
      </c>
      <c r="M7" t="n">
        <v>6</v>
      </c>
      <c r="N7" t="n">
        <v>4</v>
      </c>
      <c r="O7" t="n">
        <v>3</v>
      </c>
      <c r="P7" t="n">
        <v>11</v>
      </c>
      <c r="Q7" t="n">
        <v>14</v>
      </c>
      <c r="R7" t="n">
        <v>5</v>
      </c>
      <c r="S7" t="n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9"/>
  <sheetViews>
    <sheetView tabSelected="1" zoomScaleNormal="100" workbookViewId="0">
      <pane ySplit="1" topLeftCell="A134" activePane="bottomLeft" state="frozen"/>
      <selection activeCell="AB21" sqref="AB21"/>
      <selection pane="bottomLeft" activeCell="AB21" sqref="AB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0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0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0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0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0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0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0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0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0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0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0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  <row r="148">
      <c r="A148" s="70" t="n">
        <v>44896</v>
      </c>
      <c r="B148" t="n">
        <v/>
      </c>
      <c r="C148" t="n">
        <v>48.4</v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</row>
    <row r="149">
      <c r="A149" s="70" t="n">
        <v>44927</v>
      </c>
      <c r="B149" t="n">
        <v/>
      </c>
      <c r="C149" t="n">
        <v>47.4</v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topLeftCell="C1" zoomScaleNormal="100" workbookViewId="0">
      <selection activeCell="AB21" sqref="AB21"/>
    </sheetView>
  </sheetViews>
  <sheetFormatPr baseColWidth="8" defaultColWidth="9.1796875" defaultRowHeight="14.5"/>
  <cols>
    <col width="9.1796875" customWidth="1" style="60" min="1" max="2"/>
    <col width="24.36328125" customWidth="1" style="60" min="3" max="3"/>
    <col width="9.1796875" customWidth="1" style="60" min="4" max="7"/>
    <col width="21.36328125" customWidth="1" style="60" min="8" max="8"/>
    <col width="9.36328125" customWidth="1" style="60" min="9" max="12"/>
    <col width="23.36328125" customWidth="1" style="60" min="13" max="13"/>
    <col width="9.1796875" customWidth="1" style="60" min="14" max="50"/>
    <col width="9.1796875" customWidth="1" style="60" min="51" max="16384"/>
  </cols>
  <sheetData>
    <row r="1" ht="16" customHeight="1" thickBot="1"/>
    <row r="2" ht="16" customHeight="1" thickBot="1">
      <c r="C2" s="66" t="inlineStr">
        <is>
          <t>United - States</t>
        </is>
      </c>
      <c r="D2" s="67" t="n"/>
      <c r="E2" s="67" t="n"/>
      <c r="F2" s="67" t="n"/>
      <c r="G2" s="67" t="n"/>
      <c r="H2" s="67" t="n"/>
      <c r="I2" s="67" t="n"/>
      <c r="J2" s="67" t="n"/>
      <c r="K2" s="67" t="n"/>
      <c r="L2" s="67" t="n"/>
      <c r="M2" s="67" t="n"/>
      <c r="N2" s="67" t="n"/>
      <c r="O2" s="67" t="n"/>
      <c r="P2" s="68" t="n"/>
    </row>
    <row r="3" ht="16" customHeight="1" thickBot="1"/>
    <row r="4" ht="16" customHeight="1" thickBot="1">
      <c r="C4" s="66" t="inlineStr">
        <is>
          <t>Lagging - Coincident</t>
        </is>
      </c>
      <c r="D4" s="67" t="n"/>
      <c r="E4" s="67" t="n"/>
      <c r="F4" s="68" t="n"/>
      <c r="H4" s="66" t="inlineStr">
        <is>
          <t>Rates - Currency</t>
        </is>
      </c>
      <c r="I4" s="67" t="n"/>
      <c r="J4" s="67" t="n"/>
      <c r="K4" s="68" t="n"/>
      <c r="M4" s="66" t="inlineStr">
        <is>
          <t>Leading</t>
        </is>
      </c>
      <c r="N4" s="67" t="n"/>
      <c r="O4" s="67" t="n"/>
      <c r="P4" s="68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9">
        <f>VLOOKUP($C$7,'DB US Indicators'!$A:$D,MATCH(D$6,'DB US Indicators'!$A$1:$S$1,0),0)</f>
        <v/>
      </c>
      <c r="E7" s="39">
        <f>VLOOKUP($C$7,'DB US Indicators'!$A:$D,MATCH(E$6,'DB US Indicators'!$A$1:$S$1,0),0)</f>
        <v/>
      </c>
      <c r="F7" s="40">
        <f>VLOOKUP($C$7,'DB US Indicators'!$A:$D,MATCH(F$6,'DB US Indicators'!$A$1:$S$1,0),0)</f>
        <v/>
      </c>
      <c r="G7" s="43" t="n"/>
      <c r="H7" s="6" t="inlineStr">
        <is>
          <t>Fed Funds Target rate</t>
        </is>
      </c>
      <c r="I7" s="46">
        <f>VLOOKUP($H$7,'DB US Indicators'!$A:$D,MATCH(I$6,'DB US Indicators'!$A$1:$S$1,0),0)</f>
        <v/>
      </c>
      <c r="J7" s="46" t="n"/>
      <c r="K7" s="8" t="n"/>
      <c r="L7" s="1" t="n"/>
      <c r="M7" s="6" t="inlineStr">
        <is>
          <t>UMCSI Index</t>
        </is>
      </c>
      <c r="N7" s="49">
        <f>IF(VLOOKUP($M$7,'DB US Indicators'!$A:$D,MATCH(N$6,'DB US Indicators'!$A$1:$S$1,0),0)="","",VLOOKUP($M$7,'DB US Indicators'!$A:$D,MATCH(N$6,'DB US Indicators'!$A$1:$S$1,0),0))</f>
        <v/>
      </c>
      <c r="O7" s="49">
        <f>IF(VLOOKUP($M$7,'DB US Indicators'!$A:$D,MATCH(O$6,'DB US Indicators'!$A$1:$S$1,0),0)="","",VLOOKUP($M$7,'DB US Indicators'!$A:$D,MATCH(O$6,'DB US Indicators'!$A$1:$S$1,0),0))</f>
        <v/>
      </c>
      <c r="P7" s="50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1">
        <f>VLOOKUP($C$8,'DB US Indicators'!$A:$D,MATCH(D$6,'DB US Indicators'!$A$1:$S$1,0),0)</f>
        <v/>
      </c>
      <c r="E8" s="41">
        <f>VLOOKUP($C$8,'DB US Indicators'!$A:$D,MATCH(E$6,'DB US Indicators'!$A$1:$S$1,0),0)</f>
        <v/>
      </c>
      <c r="F8" s="42">
        <f>VLOOKUP($C$8,'DB US Indicators'!$A:$D,MATCH(F$6,'DB US Indicators'!$A$1:$S$1,0),0)</f>
        <v/>
      </c>
      <c r="G8" s="43" t="n"/>
      <c r="H8" s="6" t="inlineStr">
        <is>
          <t>Euro Futures 1m</t>
        </is>
      </c>
      <c r="I8" s="47">
        <f>VLOOKUP($H$8,'DB US Indicators'!$A:$D,MATCH(I$6,'DB US Indicators'!$A$1:$S$1,0),0)</f>
        <v/>
      </c>
      <c r="J8" s="47" t="n"/>
      <c r="K8" s="9" t="n"/>
      <c r="L8" s="2" t="n"/>
      <c r="M8" s="6" t="inlineStr">
        <is>
          <t>UMCSI Exp</t>
        </is>
      </c>
      <c r="N8" s="49">
        <f>IF(VLOOKUP($M$8,'DB US Indicators'!$A:$D,MATCH(N$6,'DB US Indicators'!$A$1:$S$1,0),0)="","",VLOOKUP($M$8,'DB US Indicators'!$A:$D,MATCH(N$6,'DB US Indicators'!$A$1:$S$1,0),0))</f>
        <v/>
      </c>
      <c r="O8" s="49">
        <f>IF(VLOOKUP($M$8,'DB US Indicators'!$A:$D,MATCH(O$6,'DB US Indicators'!$A$1:$S$1,0),0)="","",VLOOKUP($M$8,'DB US Indicators'!$A:$D,MATCH(O$6,'DB US Indicators'!$A$1:$S$1,0),0))</f>
        <v/>
      </c>
      <c r="P8" s="50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3">
        <f>VLOOKUP($C$9,'DB US Indicators'!$A:$D,MATCH(D$6,'DB US Indicators'!$A$1:$S$1,0),0)</f>
        <v/>
      </c>
      <c r="E9" s="43">
        <f>VLOOKUP($C$9,'DB US Indicators'!$A:$D,MATCH(E$6,'DB US Indicators'!$A$1:$S$1,0),0)</f>
        <v/>
      </c>
      <c r="F9" s="30">
        <f>VLOOKUP($C$9,'DB US Indicators'!$A:$D,MATCH(F$6,'DB US Indicators'!$A$1:$S$1,0),0)</f>
        <v/>
      </c>
      <c r="G9" s="43" t="n"/>
      <c r="H9" s="6" t="inlineStr">
        <is>
          <t>Euro Futures 6m</t>
        </is>
      </c>
      <c r="I9" s="47">
        <f>VLOOKUP($H$9,'DB US Indicators'!$A:$D,MATCH(I$6,'DB US Indicators'!$A$1:$S$1,0),0)</f>
        <v/>
      </c>
      <c r="J9" s="47" t="n"/>
      <c r="K9" s="9" t="n"/>
      <c r="L9" s="2" t="n"/>
      <c r="M9" s="6" t="inlineStr">
        <is>
          <t>Conference Board LEI</t>
        </is>
      </c>
      <c r="N9" s="51">
        <f>IF(VLOOKUP($M$9,'DB US Indicators'!$A:$D,MATCH(N$6,'DB US Indicators'!$A$1:$S$1,0),0)="","",VLOOKUP($M$9,'DB US Indicators'!$A:$D,MATCH(N$6,'DB US Indicators'!$A$1:$S$1,0),0))</f>
        <v/>
      </c>
      <c r="O9" s="51">
        <f>IF(VLOOKUP($M$9,'DB US Indicators'!$A:$D,MATCH(O$6,'DB US Indicators'!$A$1:$S$1,0),0)="","",VLOOKUP($M$9,'DB US Indicators'!$A:$D,MATCH(O$6,'DB US Indicators'!$A$1:$S$1,0),0))</f>
        <v/>
      </c>
      <c r="P9" s="52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1">
        <f>VLOOKUP($C$10,'DB US Indicators'!$A:$D,MATCH(D$6,'DB US Indicators'!$A$1:$S$1,0),0)</f>
        <v/>
      </c>
      <c r="E10" s="41">
        <f>VLOOKUP($C$10,'DB US Indicators'!$A:$D,MATCH(E$6,'DB US Indicators'!$A$1:$S$1,0),0)</f>
        <v/>
      </c>
      <c r="F10" s="42">
        <f>VLOOKUP($C$10,'DB US Indicators'!$A:$D,MATCH(F$6,'DB US Indicators'!$A$1:$S$1,0),0)</f>
        <v/>
      </c>
      <c r="G10" s="43" t="n"/>
      <c r="H10" s="6" t="inlineStr">
        <is>
          <t>Euro Futures 12m</t>
        </is>
      </c>
      <c r="I10" s="47">
        <f>VLOOKUP($H$10,'DB US Indicators'!$A:$D,MATCH(I$6,'DB US Indicators'!$A$1:$S$1,0),0)</f>
        <v/>
      </c>
      <c r="J10" s="47" t="n"/>
      <c r="K10" s="9" t="n"/>
      <c r="L10" s="2" t="n"/>
      <c r="M10" s="6" t="inlineStr">
        <is>
          <t>Building Permits</t>
        </is>
      </c>
      <c r="N10" s="51">
        <f>IF(VLOOKUP($M$10,'DB US Indicators'!$A:$D,MATCH(N$6,'DB US Indicators'!$A$1:$S$1,0),0)="","",VLOOKUP($M$10,'DB US Indicators'!$A:$D,MATCH(N$6,'DB US Indicators'!$A$1:$S$1,0),0))</f>
        <v/>
      </c>
      <c r="O10" s="51">
        <f>IF(VLOOKUP($M$10,'DB US Indicators'!$A:$D,MATCH(O$6,'DB US Indicators'!$A$1:$S$1,0),0)="","",VLOOKUP($M$10,'DB US Indicators'!$A:$D,MATCH(O$6,'DB US Indicators'!$A$1:$S$1,0),0))</f>
        <v/>
      </c>
      <c r="P10" s="52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9">
        <f>VLOOKUP($C$11,'DB US Indicators'!$A:$D,MATCH(D$6,'DB US Indicators'!$A$1:$S$1,0),0)</f>
        <v/>
      </c>
      <c r="E11" s="39">
        <f>VLOOKUP($C$11,'DB US Indicators'!$A:$D,MATCH(E$6,'DB US Indicators'!$A$1:$S$1,0),0)</f>
        <v/>
      </c>
      <c r="F11" s="40">
        <f>VLOOKUP($C$11,'DB US Indicators'!$A:$D,MATCH(F$6,'DB US Indicators'!$A$1:$S$1,0),0)</f>
        <v/>
      </c>
      <c r="G11" s="43" t="n"/>
      <c r="H11" s="6" t="inlineStr">
        <is>
          <t>30y</t>
        </is>
      </c>
      <c r="I11" s="46">
        <f>IF(VLOOKUP($H$11,'DB US Indicators'!$A:$D,MATCH(I$6,'DB US Indicators'!$A$1:$S$1,0),0)="","",VLOOKUP($H$11,'DB US Indicators'!$A:$D,MATCH(I$6,'DB US Indicators'!$A$1:$S$1,0),0)/100)</f>
        <v/>
      </c>
      <c r="J11" s="46">
        <f>IF(VLOOKUP($H$11,'DB US Indicators'!$A:$D,MATCH(J$6,'DB US Indicators'!$A$1:$S$1,0),0)="","",VLOOKUP($H$11,'DB US Indicators'!$A:$D,MATCH(J$6,'DB US Indicators'!$A$1:$S$1,0),0)/100)</f>
        <v/>
      </c>
      <c r="K11" s="30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1">
        <f>IF(VLOOKUP($M$11,'DB US Indicators'!$A:$D,MATCH(N$6,'DB US Indicators'!$A$1:$S$1,0),0)="","",VLOOKUP($M$11,'DB US Indicators'!$A:$D,MATCH(N$6,'DB US Indicators'!$A$1:$S$1,0),0))</f>
        <v/>
      </c>
      <c r="O11" s="51">
        <f>IF(VLOOKUP($M$11,'DB US Indicators'!$A:$D,MATCH(O$6,'DB US Indicators'!$A$1:$S$1,0),0)="","",VLOOKUP($M$11,'DB US Indicators'!$A:$D,MATCH(O$6,'DB US Indicators'!$A$1:$S$1,0),0))</f>
        <v/>
      </c>
      <c r="P11" s="52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1">
        <f>VLOOKUP($C$12,'DB US Indicators'!$A:$D,MATCH(D$6,'DB US Indicators'!$A$1:$S$1,0),0)</f>
        <v/>
      </c>
      <c r="E12" s="41">
        <f>VLOOKUP($C$12,'DB US Indicators'!$A:$D,MATCH(E$6,'DB US Indicators'!$A$1:$S$1,0),0)</f>
        <v/>
      </c>
      <c r="F12" s="42">
        <f>VLOOKUP($C$12,'DB US Indicators'!$A:$D,MATCH(F$6,'DB US Indicators'!$A$1:$S$1,0),0)</f>
        <v/>
      </c>
      <c r="G12" s="43" t="n"/>
      <c r="H12" s="6" t="inlineStr">
        <is>
          <t>10y</t>
        </is>
      </c>
      <c r="I12" s="46">
        <f>IF(VLOOKUP($H$12,'DB US Indicators'!$A:$D,MATCH(I$6,'DB US Indicators'!$A$1:$S$1,0),0)="","",VLOOKUP($H$12,'DB US Indicators'!$A:$D,MATCH(I$6,'DB US Indicators'!$A$1:$S$1,0),0)/100)</f>
        <v/>
      </c>
      <c r="J12" s="46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1">
        <f>IF(VLOOKUP($M$12,'DB US Indicators'!$A:$D,MATCH(N$6,'DB US Indicators'!$A$1:$S$1,0),0)="","",VLOOKUP($M$12,'DB US Indicators'!$A:$D,MATCH(N$6,'DB US Indicators'!$A$1:$S$1,0),0))</f>
        <v/>
      </c>
      <c r="O12" s="51">
        <f>IF(VLOOKUP($M$12,'DB US Indicators'!$A:$D,MATCH(O$6,'DB US Indicators'!$A$1:$S$1,0),0)="","",VLOOKUP($M$12,'DB US Indicators'!$A:$D,MATCH(O$6,'DB US Indicators'!$A$1:$S$1,0),0))</f>
        <v/>
      </c>
      <c r="P12" s="52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1">
        <f>VLOOKUP($C$13,'DB US Indicators'!$A:$D,MATCH(D$6,'DB US Indicators'!$A$1:$S$1,0),0)</f>
        <v/>
      </c>
      <c r="E13" s="41">
        <f>VLOOKUP($C$13,'DB US Indicators'!$A:$D,MATCH(E$6,'DB US Indicators'!$A$1:$S$1,0),0)</f>
        <v/>
      </c>
      <c r="F13" s="42">
        <f>VLOOKUP($C$13,'DB US Indicators'!$A:$D,MATCH(F$6,'DB US Indicators'!$A$1:$S$1,0),0)</f>
        <v/>
      </c>
      <c r="G13" s="43" t="n"/>
      <c r="H13" s="6" t="inlineStr">
        <is>
          <t>2y</t>
        </is>
      </c>
      <c r="I13" s="46">
        <f>IF(VLOOKUP($H$13,'DB US Indicators'!$A:$D,MATCH(I$6,'DB US Indicators'!$A$1:$S$1,0),0)="","",VLOOKUP($H$13,'DB US Indicators'!$A:$D,MATCH(I$6,'DB US Indicators'!$A$1:$S$1,0),0)/100)</f>
        <v/>
      </c>
      <c r="J13" s="46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1">
        <f>IF(VLOOKUP($M$13,'DB US Indicators'!$A:$D,MATCH(N$6,'DB US Indicators'!$A$1:$S$1,0),0)="","",VLOOKUP($M$13,'DB US Indicators'!$A:$D,MATCH(N$6,'DB US Indicators'!$A$1:$S$1,0),0))</f>
        <v/>
      </c>
      <c r="O13" s="51">
        <f>IF(VLOOKUP($M$13,'DB US Indicators'!$A:$D,MATCH(O$6,'DB US Indicators'!$A$1:$S$1,0),0)="","",VLOOKUP($M$13,'DB US Indicators'!$A:$D,MATCH(O$6,'DB US Indicators'!$A$1:$S$1,0),0))</f>
        <v/>
      </c>
      <c r="P13" s="52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4">
        <f>VLOOKUP($C$14,'DB US Indicators'!$A:$D,MATCH(D$6,'DB US Indicators'!$A$1:$S$1,0),0)</f>
        <v/>
      </c>
      <c r="E14" s="54">
        <f>VLOOKUP($C$14,'DB US Indicators'!$A:$D,MATCH(E$6,'DB US Indicators'!$A$1:$S$1,0),0)</f>
        <v/>
      </c>
      <c r="F14" s="55">
        <f>VLOOKUP($C$14,'DB US Indicators'!$A:$D,MATCH(F$6,'DB US Indicators'!$A$1:$S$1,0),0)</f>
        <v/>
      </c>
      <c r="G14" s="31" t="n"/>
      <c r="H14" s="6" t="inlineStr">
        <is>
          <t>3m</t>
        </is>
      </c>
      <c r="I14" s="46">
        <f>IF(VLOOKUP($H$14,'DB US Indicators'!$A:$D,MATCH(I$6,'DB US Indicators'!$A$1:$S$1,0),0)="","",VLOOKUP($H$14,'DB US Indicators'!$A:$D,MATCH(I$6,'DB US Indicators'!$A$1:$S$1,0),0)/100)</f>
        <v/>
      </c>
      <c r="J14" s="46">
        <f>IF(VLOOKUP($H$14,'DB US Indicators'!$A:$D,MATCH(J$6,'DB US Indicators'!$A$1:$S$1,0),0)="","",VLOOKUP($H$14,'DB US Indicators'!$A:$D,MATCH(J$6,'DB US Indicators'!$A$1:$S$1,0),0)/100)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7">
        <f>IF(VLOOKUP($M$14,'DB US Indicators'!$A:$D,MATCH(N$6,'DB US Indicators'!$A$1:$S$1,0),0)="","",VLOOKUP($M$14,'DB US Indicators'!$A:$D,MATCH(N$6,'DB US Indicators'!$A$1:$S$1,0),0))</f>
        <v/>
      </c>
      <c r="O14" s="53" t="n"/>
      <c r="P14" s="10" t="n"/>
    </row>
    <row r="15">
      <c r="C15" s="6" t="inlineStr">
        <is>
          <t>Weekly Claims</t>
        </is>
      </c>
      <c r="D15" s="54">
        <f>VLOOKUP($C$15,'DB US Indicators'!$A:$D,MATCH(D$6,'DB US Indicators'!$A$1:$S$1,0),0)</f>
        <v/>
      </c>
      <c r="E15" s="54">
        <f>VLOOKUP($C$15,'DB US Indicators'!$A:$D,MATCH(E$6,'DB US Indicators'!$A$1:$S$1,0),0)</f>
        <v/>
      </c>
      <c r="F15" s="55">
        <f>VLOOKUP($C$15,'DB US Indicators'!$A:$D,MATCH(F$6,'DB US Indicators'!$A$1:$S$1,0),0)</f>
        <v/>
      </c>
      <c r="G15" s="31" t="n"/>
      <c r="H15" s="6" t="inlineStr">
        <is>
          <t>10y -2y</t>
        </is>
      </c>
      <c r="I15" s="46">
        <f>I12-I13</f>
        <v/>
      </c>
      <c r="J15" s="46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7">
        <f>IF(VLOOKUP($M$15,'DB US Indicators'!$A:$D,MATCH(N$6,'DB US Indicators'!$A$1:$S$1,0),0)="","",VLOOKUP($M$15,'DB US Indicators'!$A:$D,MATCH(N$6,'DB US Indicators'!$A$1:$S$1,0),0))</f>
        <v/>
      </c>
      <c r="O15" s="53" t="n"/>
      <c r="P15" s="10" t="n"/>
    </row>
    <row r="16" ht="16" customHeight="1" thickBot="1">
      <c r="C16" s="7" t="inlineStr">
        <is>
          <t>Industrial Production</t>
        </is>
      </c>
      <c r="D16" s="32">
        <f>VLOOKUP($C$16,'DB US Indicators'!$A:$D,MATCH(D$6,'DB US Indicators'!$A$1:$S$1,0),0)</f>
        <v/>
      </c>
      <c r="E16" s="32">
        <f>VLOOKUP($C$16,'DB US Indicators'!$A:$D,MATCH(E$6,'DB US Indicators'!$A$1:$S$1,0),0)</f>
        <v/>
      </c>
      <c r="F16" s="44">
        <f>VLOOKUP($C$16,'DB US Indicators'!$A:$D,MATCH(F$6,'DB US Indicators'!$A$1:$S$1,0),0)</f>
        <v/>
      </c>
      <c r="G16" s="43" t="n"/>
      <c r="H16" s="7" t="inlineStr">
        <is>
          <t>DXY</t>
        </is>
      </c>
      <c r="I16" s="45">
        <f>IF(VLOOKUP($H$16,'DB US Indicators'!$A:$D,MATCH(I$6,'DB US Indicators'!$A$1:$S$1,0),0)="","",VLOOKUP($H$16,'DB US Indicators'!$A:$D,MATCH(I$6,'DB US Indicators'!$A$1:$S$1,0),0))</f>
        <v/>
      </c>
      <c r="J16" s="45">
        <f>IF(VLOOKUP($H$16,'DB US Indicators'!$A:$D,MATCH(J$6,'DB US Indicators'!$A$1:$S$1,0),0)="","",VLOOKUP($H$16,'DB US Indicators'!$A:$D,MATCH(J$6,'DB US Indicators'!$A$1:$S$1,0),0))</f>
        <v/>
      </c>
      <c r="K16" s="48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1" t="inlineStr">
        <is>
          <t>ISM Manufacturing Sectors</t>
        </is>
      </c>
    </row>
    <row r="98">
      <c r="C98" s="61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7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baseColWidth="8" defaultColWidth="9.1796875" defaultRowHeight="14.5"/>
  <cols>
    <col width="9.1796875" customWidth="1" style="60" min="1" max="1"/>
    <col width="17.81640625" customWidth="1" min="2" max="2"/>
    <col width="6.1796875" customWidth="1" min="3" max="27"/>
    <col width="7.36328125" customWidth="1" min="28" max="28"/>
    <col width="9.1796875" customWidth="1" style="60" min="29" max="29"/>
    <col width="12.36328125" customWidth="1" style="60" min="30" max="30"/>
    <col width="9.1796875" customWidth="1" style="60" min="31" max="31"/>
    <col width="10.6328125" customWidth="1" style="60" min="32" max="32"/>
    <col width="10.6328125" bestFit="1" customWidth="1" style="60" min="33" max="33"/>
    <col width="9.1796875" customWidth="1" style="60" min="34" max="74"/>
  </cols>
  <sheetData>
    <row r="1" ht="16" customFormat="1" customHeight="1" s="60" thickBot="1">
      <c r="C1" s="60" t="inlineStr">
        <is>
          <t>Global</t>
        </is>
      </c>
      <c r="D1" s="60" t="inlineStr">
        <is>
          <t>ISM</t>
        </is>
      </c>
      <c r="E1" s="60" t="inlineStr">
        <is>
          <t>US</t>
        </is>
      </c>
      <c r="F1" s="60" t="inlineStr">
        <is>
          <t>CHN</t>
        </is>
      </c>
      <c r="G1" s="60" t="inlineStr">
        <is>
          <t>EU</t>
        </is>
      </c>
      <c r="H1" s="60" t="inlineStr">
        <is>
          <t>JPN</t>
        </is>
      </c>
      <c r="I1" s="60" t="inlineStr">
        <is>
          <t>DEU</t>
        </is>
      </c>
      <c r="J1" s="60" t="inlineStr">
        <is>
          <t>FRA</t>
        </is>
      </c>
      <c r="K1" s="60" t="inlineStr">
        <is>
          <t>UK</t>
        </is>
      </c>
      <c r="L1" s="60" t="inlineStr">
        <is>
          <t>ITA</t>
        </is>
      </c>
      <c r="M1" s="60" t="inlineStr">
        <is>
          <t>ESP</t>
        </is>
      </c>
      <c r="N1" s="60" t="inlineStr">
        <is>
          <t>BRA</t>
        </is>
      </c>
      <c r="O1" s="60" t="inlineStr">
        <is>
          <t>MEX</t>
        </is>
      </c>
      <c r="P1" s="60" t="inlineStr">
        <is>
          <t>RUS</t>
        </is>
      </c>
      <c r="Q1" s="60" t="inlineStr">
        <is>
          <t>IND</t>
        </is>
      </c>
      <c r="R1" s="60" t="inlineStr">
        <is>
          <t>CAN</t>
        </is>
      </c>
      <c r="S1" s="60" t="inlineStr">
        <is>
          <t>AUS</t>
        </is>
      </c>
      <c r="T1" s="60" t="inlineStr">
        <is>
          <t>IDN</t>
        </is>
      </c>
      <c r="U1" s="60" t="inlineStr">
        <is>
          <t>KOR</t>
        </is>
      </c>
      <c r="V1" s="60" t="inlineStr">
        <is>
          <t>TAI</t>
        </is>
      </c>
      <c r="W1" s="60" t="inlineStr">
        <is>
          <t>GRE</t>
        </is>
      </c>
      <c r="X1" s="60" t="inlineStr">
        <is>
          <t>IRE</t>
        </is>
      </c>
      <c r="Y1" s="60" t="inlineStr">
        <is>
          <t>TUR</t>
        </is>
      </c>
      <c r="Z1" s="60" t="inlineStr">
        <is>
          <t>CZE</t>
        </is>
      </c>
      <c r="AA1" s="60" t="inlineStr">
        <is>
          <t>POL</t>
        </is>
      </c>
      <c r="AB1" s="60" t="inlineStr">
        <is>
          <t>DEN</t>
        </is>
      </c>
      <c r="AD1" s="17" t="inlineStr">
        <is>
          <t>*to update</t>
        </is>
      </c>
      <c r="AE1" s="60" t="inlineStr">
        <is>
          <t>Last month</t>
        </is>
      </c>
      <c r="AG1" s="38" t="n">
        <v>44866</v>
      </c>
      <c r="AJ1" s="16" t="n"/>
    </row>
    <row r="2" ht="72.75" customHeight="1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>
      <c r="B3" s="23" t="inlineStr">
        <is>
          <t>max 12m</t>
        </is>
      </c>
      <c r="C3" s="33">
        <f>MAX(OFFSET(C$12,COUNT(C$12:C$105),0,-13,1))</f>
        <v/>
      </c>
      <c r="D3" s="33">
        <f>MAX(OFFSET(D$12,COUNT(D$12:D$105),0,-13,1))</f>
        <v/>
      </c>
      <c r="E3" s="33">
        <f>MAX(OFFSET(E$12,COUNT(E$12:E$105),0,-13,1))</f>
        <v/>
      </c>
      <c r="F3" s="33">
        <f>MAX(OFFSET(F$12,COUNT(F$12:F$105),0,-13,1))</f>
        <v/>
      </c>
      <c r="G3" s="33">
        <f>MAX(OFFSET(G$12,COUNT(G$12:G$105),0,-13,1))</f>
        <v/>
      </c>
      <c r="H3" s="33">
        <f>MAX(OFFSET(H$12,COUNT(H$12:H$105),0,-13,1))</f>
        <v/>
      </c>
      <c r="I3" s="33">
        <f>MAX(OFFSET(I$12,COUNT(I$12:I$105),0,-13,1))</f>
        <v/>
      </c>
      <c r="J3" s="33">
        <f>MAX(OFFSET(J$12,COUNT(J$12:J$105),0,-13,1))</f>
        <v/>
      </c>
      <c r="K3" s="33">
        <f>MAX(OFFSET(K$12,COUNT(K$12:K$105),0,-13,1))</f>
        <v/>
      </c>
      <c r="L3" s="33">
        <f>MAX(OFFSET(L$12,COUNT(L$12:L$105),0,-13,1))</f>
        <v/>
      </c>
      <c r="M3" s="33">
        <f>MAX(OFFSET(M$12,COUNT(M$12:M$105),0,-13,1))</f>
        <v/>
      </c>
      <c r="N3" s="33">
        <f>MAX(OFFSET(N$12,COUNT(N$12:N$105),0,-13,1))</f>
        <v/>
      </c>
      <c r="O3" s="33">
        <f>MAX(OFFSET(O$12,COUNT(O$12:O$105),0,-13,1))</f>
        <v/>
      </c>
      <c r="P3" s="33">
        <f>MAX(OFFSET(P$12,COUNT(P$12:P$105),0,-13,1))</f>
        <v/>
      </c>
      <c r="Q3" s="33">
        <f>MAX(OFFSET(Q$12,COUNT(Q$12:Q$105),0,-13,1))</f>
        <v/>
      </c>
      <c r="R3" s="33">
        <f>MAX(OFFSET(R$12,COUNT(R$12:R$105),0,-13,1))</f>
        <v/>
      </c>
      <c r="S3" s="33">
        <f>MAX(OFFSET(S$12,COUNT(S$12:S$105),0,-13,1))</f>
        <v/>
      </c>
      <c r="T3" s="33">
        <f>MAX(OFFSET(T$12,COUNT(T$12:T$105),0,-13,1))</f>
        <v/>
      </c>
      <c r="U3" s="33">
        <f>MAX(OFFSET(U$12,COUNT(U$12:U$105),0,-13,1))</f>
        <v/>
      </c>
      <c r="V3" s="33">
        <f>MAX(OFFSET(V$12,COUNT(V$12:V$105),0,-13,1))</f>
        <v/>
      </c>
      <c r="W3" s="33">
        <f>MAX(OFFSET(W$12,COUNT(W$12:W$105),0,-13,1))</f>
        <v/>
      </c>
      <c r="X3" s="33">
        <f>MAX(OFFSET(X$12,COUNT(X$12:X$105),0,-13,1))</f>
        <v/>
      </c>
      <c r="Y3" s="33">
        <f>MAX(OFFSET(Y$12,COUNT(Y$12:Y$105),0,-13,1))</f>
        <v/>
      </c>
      <c r="Z3" s="33">
        <f>MAX(OFFSET(Z$12,COUNT(Z$12:Z$105),0,-13,1))</f>
        <v/>
      </c>
      <c r="AA3" s="33">
        <f>MAX(OFFSET(AA$12,COUNT(AA$12:AA$105),0,-13,1))</f>
        <v/>
      </c>
      <c r="AB3" s="33">
        <f>MAX(OFFSET(AB$12,COUNT(AB$12:AB$105),0,-13,1))</f>
        <v/>
      </c>
      <c r="AE3" s="60" t="inlineStr">
        <is>
          <t>Previous month</t>
        </is>
      </c>
      <c r="AG3" s="22">
        <f>DATE(YEAR(AG1),MONTH(AG1)-1,DAY(AG1))</f>
        <v/>
      </c>
    </row>
    <row r="4" hidden="1">
      <c r="B4" s="23" t="inlineStr">
        <is>
          <t>min 12m</t>
        </is>
      </c>
      <c r="C4" s="33">
        <f>MIN(OFFSET(C$12,COUNT(C$12:C$105),0,-13,1))</f>
        <v/>
      </c>
      <c r="D4" s="33">
        <f>MIN(OFFSET(D$12,COUNT(D$12:D$105),0,-13,1))</f>
        <v/>
      </c>
      <c r="E4" s="33">
        <f>MIN(OFFSET(E$12,COUNT(E$12:E$105),0,-13,1))</f>
        <v/>
      </c>
      <c r="F4" s="33">
        <f>MIN(OFFSET(F$12,COUNT(F$12:F$105),0,-13,1))</f>
        <v/>
      </c>
      <c r="G4" s="33">
        <f>MIN(OFFSET(G$12,COUNT(G$12:G$105),0,-13,1))</f>
        <v/>
      </c>
      <c r="H4" s="33">
        <f>MIN(OFFSET(H$12,COUNT(H$12:H$105),0,-13,1))</f>
        <v/>
      </c>
      <c r="I4" s="33">
        <f>MIN(OFFSET(I$12,COUNT(I$12:I$105),0,-13,1))</f>
        <v/>
      </c>
      <c r="J4" s="33">
        <f>MIN(OFFSET(J$12,COUNT(J$12:J$105),0,-13,1))</f>
        <v/>
      </c>
      <c r="K4" s="33">
        <f>MIN(OFFSET(K$12,COUNT(K$12:K$105),0,-13,1))</f>
        <v/>
      </c>
      <c r="L4" s="33">
        <f>MIN(OFFSET(L$12,COUNT(L$12:L$105),0,-13,1))</f>
        <v/>
      </c>
      <c r="M4" s="33">
        <f>MIN(OFFSET(M$12,COUNT(M$12:M$105),0,-13,1))</f>
        <v/>
      </c>
      <c r="N4" s="33">
        <f>MIN(OFFSET(N$12,COUNT(N$12:N$105),0,-13,1))</f>
        <v/>
      </c>
      <c r="O4" s="33">
        <f>MIN(OFFSET(O$12,COUNT(O$12:O$105),0,-13,1))</f>
        <v/>
      </c>
      <c r="P4" s="33">
        <f>MIN(OFFSET(P$12,COUNT(P$12:P$105),0,-13,1))</f>
        <v/>
      </c>
      <c r="Q4" s="33">
        <f>MIN(OFFSET(Q$12,COUNT(Q$12:Q$105),0,-13,1))</f>
        <v/>
      </c>
      <c r="R4" s="33">
        <f>MIN(OFFSET(R$12,COUNT(R$12:R$105),0,-13,1))</f>
        <v/>
      </c>
      <c r="S4" s="33">
        <f>MIN(OFFSET(S$12,COUNT(S$12:S$105),0,-13,1))</f>
        <v/>
      </c>
      <c r="T4" s="33">
        <f>MIN(OFFSET(T$12,COUNT(T$12:T$105),0,-13,1))</f>
        <v/>
      </c>
      <c r="U4" s="33">
        <f>MIN(OFFSET(U$12,COUNT(U$12:U$105),0,-13,1))</f>
        <v/>
      </c>
      <c r="V4" s="33">
        <f>MIN(OFFSET(V$12,COUNT(V$12:V$105),0,-13,1))</f>
        <v/>
      </c>
      <c r="W4" s="33">
        <f>MIN(OFFSET(W$12,COUNT(W$12:W$105),0,-13,1))</f>
        <v/>
      </c>
      <c r="X4" s="33">
        <f>MIN(OFFSET(X$12,COUNT(X$12:X$105),0,-13,1))</f>
        <v/>
      </c>
      <c r="Y4" s="33">
        <f>MIN(OFFSET(Y$12,COUNT(Y$12:Y$105),0,-13,1))</f>
        <v/>
      </c>
      <c r="Z4" s="33">
        <f>MIN(OFFSET(Z$12,COUNT(Z$12:Z$105),0,-13,1))</f>
        <v/>
      </c>
      <c r="AA4" s="33">
        <f>MIN(OFFSET(AA$12,COUNT(AA$12:AA$105),0,-13,1))</f>
        <v/>
      </c>
      <c r="AB4" s="33">
        <f>MIN(OFFSET(AB$12,COUNT(AB$12:AB$105),0,-13,1))</f>
        <v/>
      </c>
      <c r="AE4" s="60" t="inlineStr">
        <is>
          <t>12 months</t>
        </is>
      </c>
      <c r="AG4" s="22">
        <f>DATE(YEAR(AG1),MONTH(AG1)-12,DAY(AG1))</f>
        <v/>
      </c>
    </row>
    <row r="5" hidden="1" ht="16" customHeight="1" thickBot="1">
      <c r="B5" s="23" t="inlineStr">
        <is>
          <t>12m avg</t>
        </is>
      </c>
      <c r="C5" s="34">
        <f>AVERAGE(OFFSET(C$12,COUNT(C$12:C$105),0,-13,1))</f>
        <v/>
      </c>
      <c r="D5" s="34">
        <f>AVERAGE(OFFSET(D$12,COUNT(D$12:D$105),0,-13,1))</f>
        <v/>
      </c>
      <c r="E5" s="34">
        <f>AVERAGE(OFFSET(E$12,COUNT(E$12:E$105),0,-13,1))</f>
        <v/>
      </c>
      <c r="F5" s="34">
        <f>AVERAGE(OFFSET(F$12,COUNT(F$12:F$105),0,-13,1))</f>
        <v/>
      </c>
      <c r="G5" s="34">
        <f>AVERAGE(OFFSET(G$12,COUNT(G$12:G$105),0,-13,1))</f>
        <v/>
      </c>
      <c r="H5" s="34">
        <f>AVERAGE(OFFSET(H$12,COUNT(H$12:H$105),0,-13,1))</f>
        <v/>
      </c>
      <c r="I5" s="34">
        <f>AVERAGE(OFFSET(I$12,COUNT(I$12:I$105),0,-13,1))</f>
        <v/>
      </c>
      <c r="J5" s="34">
        <f>AVERAGE(OFFSET(J$12,COUNT(J$12:J$105),0,-13,1))</f>
        <v/>
      </c>
      <c r="K5" s="34">
        <f>AVERAGE(OFFSET(K$12,COUNT(K$12:K$105),0,-13,1))</f>
        <v/>
      </c>
      <c r="L5" s="34">
        <f>AVERAGE(OFFSET(L$12,COUNT(L$12:L$105),0,-13,1))</f>
        <v/>
      </c>
      <c r="M5" s="34">
        <f>AVERAGE(OFFSET(M$12,COUNT(M$12:M$105),0,-13,1))</f>
        <v/>
      </c>
      <c r="N5" s="34">
        <f>AVERAGE(OFFSET(N$12,COUNT(N$12:N$105),0,-13,1))</f>
        <v/>
      </c>
      <c r="O5" s="34">
        <f>AVERAGE(OFFSET(O$12,COUNT(O$12:O$105),0,-13,1))</f>
        <v/>
      </c>
      <c r="P5" s="34">
        <f>AVERAGE(OFFSET(P$12,COUNT(P$12:P$105),0,-13,1))</f>
        <v/>
      </c>
      <c r="Q5" s="34">
        <f>AVERAGE(OFFSET(Q$12,COUNT(Q$12:Q$105),0,-13,1))</f>
        <v/>
      </c>
      <c r="R5" s="34">
        <f>AVERAGE(OFFSET(R$12,COUNT(R$12:R$105),0,-13,1))</f>
        <v/>
      </c>
      <c r="S5" s="34">
        <f>AVERAGE(OFFSET(S$12,COUNT(S$12:S$105),0,-13,1))</f>
        <v/>
      </c>
      <c r="T5" s="34">
        <f>AVERAGE(OFFSET(T$12,COUNT(T$12:T$105),0,-13,1))</f>
        <v/>
      </c>
      <c r="U5" s="34">
        <f>AVERAGE(OFFSET(U$12,COUNT(U$12:U$105),0,-13,1))</f>
        <v/>
      </c>
      <c r="V5" s="34">
        <f>AVERAGE(OFFSET(V$12,COUNT(V$12:V$105),0,-13,1))</f>
        <v/>
      </c>
      <c r="W5" s="34">
        <f>AVERAGE(OFFSET(W$12,COUNT(W$12:W$105),0,-13,1))</f>
        <v/>
      </c>
      <c r="X5" s="34">
        <f>AVERAGE(OFFSET(X$12,COUNT(X$12:X$105),0,-13,1))</f>
        <v/>
      </c>
      <c r="Y5" s="34">
        <f>AVERAGE(OFFSET(Y$12,COUNT(Y$12:Y$105),0,-13,1))</f>
        <v/>
      </c>
      <c r="Z5" s="34">
        <f>AVERAGE(OFFSET(Z$12,COUNT(Z$12:Z$105),0,-13,1))</f>
        <v/>
      </c>
      <c r="AA5" s="34">
        <f>AVERAGE(OFFSET(AA$12,COUNT(AA$12:AA$105),0,-13,1))</f>
        <v/>
      </c>
      <c r="AB5" s="34">
        <f>AVERAGE(OFFSET(AB$12,COUNT(AB$12:AB$105),0,-13,1))</f>
        <v/>
      </c>
    </row>
    <row r="6">
      <c r="B6" s="24" t="inlineStr">
        <is>
          <t>Last vs 12m avg</t>
        </is>
      </c>
      <c r="C6" s="35">
        <f>IF((VLOOKUP($AG$1,$B:$AB,MATCH(C2,$B$2:$AB$2,),))&gt;C5,"above","below")</f>
        <v/>
      </c>
      <c r="D6" s="35">
        <f>IF((VLOOKUP($AG$1,$B:$AB,MATCH(D2,$B$2:$AB$2,),))&gt;D5,"above","below")</f>
        <v/>
      </c>
      <c r="E6" s="35">
        <f>IF((VLOOKUP($AG$1,$B:$AB,MATCH(E2,$B$2:$AB$2,),))&gt;E5,"above","below")</f>
        <v/>
      </c>
      <c r="F6" s="35">
        <f>IF((VLOOKUP($AG$1,$B:$AB,MATCH(F2,$B$2:$AB$2,),))&gt;F5,"above","below")</f>
        <v/>
      </c>
      <c r="G6" s="35">
        <f>IF((VLOOKUP($AG$1,$B:$AB,MATCH(G2,$B$2:$AB$2,),))&gt;G5,"above","below")</f>
        <v/>
      </c>
      <c r="H6" s="35">
        <f>IF((VLOOKUP($AG$1,$B:$AB,MATCH(H2,$B$2:$AB$2,),))&gt;H5,"above","below")</f>
        <v/>
      </c>
      <c r="I6" s="35">
        <f>IF((VLOOKUP($AG$1,$B:$AB,MATCH(I2,$B$2:$AB$2,),))&gt;I5,"above","below")</f>
        <v/>
      </c>
      <c r="J6" s="35">
        <f>IF((VLOOKUP($AG$1,$B:$AB,MATCH(J2,$B$2:$AB$2,),))&gt;J5,"above","below")</f>
        <v/>
      </c>
      <c r="K6" s="35">
        <f>IF((VLOOKUP($AG$1,$B:$AB,MATCH(K2,$B$2:$AB$2,),))&gt;K5,"above","below")</f>
        <v/>
      </c>
      <c r="L6" s="35">
        <f>IF((VLOOKUP($AG$1,$B:$AB,MATCH(L2,$B$2:$AB$2,),))&gt;L5,"above","below")</f>
        <v/>
      </c>
      <c r="M6" s="35">
        <f>IF((VLOOKUP($AG$1,$B:$AB,MATCH(M2,$B$2:$AB$2,),))&gt;M5,"above","below")</f>
        <v/>
      </c>
      <c r="N6" s="35">
        <f>IF((VLOOKUP($AG$1,$B:$AB,MATCH(N2,$B$2:$AB$2,),))&gt;N5,"above","below")</f>
        <v/>
      </c>
      <c r="O6" s="35">
        <f>IF((VLOOKUP($AG$1,$B:$AB,MATCH(O2,$B$2:$AB$2,),))&gt;O5,"above","below")</f>
        <v/>
      </c>
      <c r="P6" s="35">
        <f>IF((VLOOKUP($AG$1,$B:$AB,MATCH(P2,$B$2:$AB$2,),))&gt;P5,"above","below")</f>
        <v/>
      </c>
      <c r="Q6" s="35">
        <f>IF((VLOOKUP($AG$1,$B:$AB,MATCH(Q2,$B$2:$AB$2,),))&gt;Q5,"above","below")</f>
        <v/>
      </c>
      <c r="R6" s="35">
        <f>IF((VLOOKUP($AG$1,$B:$AB,MATCH(R2,$B$2:$AB$2,),))&gt;R5,"above","below")</f>
        <v/>
      </c>
      <c r="S6" s="35">
        <f>IF((VLOOKUP($AG$1,$B:$AB,MATCH(S2,$B$2:$AB$2,),))&gt;S5,"above","below")</f>
        <v/>
      </c>
      <c r="T6" s="35">
        <f>IF((VLOOKUP($AG$1,$B:$AB,MATCH(T2,$B$2:$AB$2,),))&gt;T5,"above","below")</f>
        <v/>
      </c>
      <c r="U6" s="35">
        <f>IF((VLOOKUP($AG$1,$B:$AB,MATCH(U2,$B$2:$AB$2,),))&gt;U5,"above","below")</f>
        <v/>
      </c>
      <c r="V6" s="35">
        <f>IF((VLOOKUP($AG$1,$B:$AB,MATCH(V2,$B$2:$AB$2,),))&gt;V5,"above","below")</f>
        <v/>
      </c>
      <c r="W6" s="35">
        <f>IF((VLOOKUP($AG$1,$B:$AB,MATCH(W2,$B$2:$AB$2,),))&gt;W5,"above","below")</f>
        <v/>
      </c>
      <c r="X6" s="35">
        <f>IF((VLOOKUP($AG$1,$B:$AB,MATCH(X2,$B$2:$AB$2,),))&gt;X5,"above","below")</f>
        <v/>
      </c>
      <c r="Y6" s="35">
        <f>IF((VLOOKUP($AG$1,$B:$AB,MATCH(Y2,$B$2:$AB$2,),))&gt;Y5,"above","below")</f>
        <v/>
      </c>
      <c r="Z6" s="35">
        <f>IF((VLOOKUP($AG$1,$B:$AB,MATCH(Z2,$B$2:$AB$2,),))&gt;Z5,"above","below")</f>
        <v/>
      </c>
      <c r="AA6" s="35">
        <f>IF((VLOOKUP($AG$1,$B:$AB,MATCH(AA2,$B$2:$AB$2,),))&gt;AA5,"above","below")</f>
        <v/>
      </c>
      <c r="AB6" s="35">
        <f>IF((VLOOKUP($AG$1,$B:$AB,MATCH(AB2,$B$2:$AB$2,),))&gt;AB5,"above","below")</f>
        <v/>
      </c>
    </row>
    <row r="7">
      <c r="B7" s="24" t="inlineStr">
        <is>
          <t>Y/Y</t>
        </is>
      </c>
      <c r="C7" s="36">
        <f>VLOOKUP($AG$1,$B:$AB,MATCH(C2,$B$2:$AB$2,),)-VLOOKUP($AG$4,$B:$AB,MATCH(C2,$B$2:$AB$2,),)</f>
        <v/>
      </c>
      <c r="D7" s="36">
        <f>VLOOKUP($AG$1,$B:$AB,MATCH(D2,$B$2:$AB$2,),)-VLOOKUP($AG$4,$B:$AB,MATCH(D2,$B$2:$AB$2,),)</f>
        <v/>
      </c>
      <c r="E7" s="36">
        <f>VLOOKUP($AG$1,$B:$AB,MATCH(E2,$B$2:$AB$2,),)-VLOOKUP($AG$4,$B:$AB,MATCH(E2,$B$2:$AB$2,),)</f>
        <v/>
      </c>
      <c r="F7" s="36">
        <f>VLOOKUP($AG$1,$B:$AB,MATCH(F2,$B$2:$AB$2,),)-VLOOKUP($AG$4,$B:$AB,MATCH(F2,$B$2:$AB$2,),)</f>
        <v/>
      </c>
      <c r="G7" s="36">
        <f>VLOOKUP($AG$1,$B:$AB,MATCH(G2,$B$2:$AB$2,),)-VLOOKUP($AG$4,$B:$AB,MATCH(G2,$B$2:$AB$2,),)</f>
        <v/>
      </c>
      <c r="H7" s="36">
        <f>VLOOKUP($AG$1,$B:$AB,MATCH(H2,$B$2:$AB$2,),)-VLOOKUP($AG$4,$B:$AB,MATCH(H2,$B$2:$AB$2,),)</f>
        <v/>
      </c>
      <c r="I7" s="36">
        <f>VLOOKUP($AG$1,$B:$AB,MATCH(I2,$B$2:$AB$2,),)-VLOOKUP($AG$4,$B:$AB,MATCH(I2,$B$2:$AB$2,),)</f>
        <v/>
      </c>
      <c r="J7" s="36">
        <f>VLOOKUP($AG$1,$B:$AB,MATCH(J2,$B$2:$AB$2,),)-VLOOKUP($AG$4,$B:$AB,MATCH(J2,$B$2:$AB$2,),)</f>
        <v/>
      </c>
      <c r="K7" s="36">
        <f>VLOOKUP($AG$1,$B:$AB,MATCH(K2,$B$2:$AB$2,),)-VLOOKUP($AG$4,$B:$AB,MATCH(K2,$B$2:$AB$2,),)</f>
        <v/>
      </c>
      <c r="L7" s="36">
        <f>VLOOKUP($AG$1,$B:$AB,MATCH(L2,$B$2:$AB$2,),)-VLOOKUP($AG$4,$B:$AB,MATCH(L2,$B$2:$AB$2,),)</f>
        <v/>
      </c>
      <c r="M7" s="36">
        <f>VLOOKUP($AG$1,$B:$AB,MATCH(M2,$B$2:$AB$2,),)-VLOOKUP($AG$4,$B:$AB,MATCH(M2,$B$2:$AB$2,),)</f>
        <v/>
      </c>
      <c r="N7" s="36">
        <f>VLOOKUP($AG$1,$B:$AB,MATCH(N2,$B$2:$AB$2,),)-VLOOKUP($AG$4,$B:$AB,MATCH(N2,$B$2:$AB$2,),)</f>
        <v/>
      </c>
      <c r="O7" s="36">
        <f>VLOOKUP($AG$1,$B:$AB,MATCH(O2,$B$2:$AB$2,),)-VLOOKUP($AG$4,$B:$AB,MATCH(O2,$B$2:$AB$2,),)</f>
        <v/>
      </c>
      <c r="P7" s="36">
        <f>VLOOKUP($AG$1,$B:$AB,MATCH(P2,$B$2:$AB$2,),)-VLOOKUP($AG$4,$B:$AB,MATCH(P2,$B$2:$AB$2,),)</f>
        <v/>
      </c>
      <c r="Q7" s="36">
        <f>VLOOKUP($AG$1,$B:$AB,MATCH(Q2,$B$2:$AB$2,),)-VLOOKUP($AG$4,$B:$AB,MATCH(Q2,$B$2:$AB$2,),)</f>
        <v/>
      </c>
      <c r="R7" s="36">
        <f>VLOOKUP($AG$1,$B:$AB,MATCH(R2,$B$2:$AB$2,),)-VLOOKUP($AG$4,$B:$AB,MATCH(R2,$B$2:$AB$2,),)</f>
        <v/>
      </c>
      <c r="S7" s="36">
        <f>VLOOKUP($AG$1,$B:$AB,MATCH(S2,$B$2:$AB$2,),)-VLOOKUP($AG$4,$B:$AB,MATCH(S2,$B$2:$AB$2,),)</f>
        <v/>
      </c>
      <c r="T7" s="36">
        <f>VLOOKUP($AG$1,$B:$AB,MATCH(T2,$B$2:$AB$2,),)-VLOOKUP($AG$4,$B:$AB,MATCH(T2,$B$2:$AB$2,),)</f>
        <v/>
      </c>
      <c r="U7" s="36">
        <f>VLOOKUP($AG$1,$B:$AB,MATCH(U2,$B$2:$AB$2,),)-VLOOKUP($AG$4,$B:$AB,MATCH(U2,$B$2:$AB$2,),)</f>
        <v/>
      </c>
      <c r="V7" s="36">
        <f>VLOOKUP($AG$1,$B:$AB,MATCH(V2,$B$2:$AB$2,),)-VLOOKUP($AG$4,$B:$AB,MATCH(V2,$B$2:$AB$2,),)</f>
        <v/>
      </c>
      <c r="W7" s="36">
        <f>VLOOKUP($AG$1,$B:$AB,MATCH(W2,$B$2:$AB$2,),)-VLOOKUP($AG$4,$B:$AB,MATCH(W2,$B$2:$AB$2,),)</f>
        <v/>
      </c>
      <c r="X7" s="36">
        <f>VLOOKUP($AG$1,$B:$AB,MATCH(X2,$B$2:$AB$2,),)-VLOOKUP($AG$4,$B:$AB,MATCH(X2,$B$2:$AB$2,),)</f>
        <v/>
      </c>
      <c r="Y7" s="36">
        <f>VLOOKUP($AG$1,$B:$AB,MATCH(Y2,$B$2:$AB$2,),)-VLOOKUP($AG$4,$B:$AB,MATCH(Y2,$B$2:$AB$2,),)</f>
        <v/>
      </c>
      <c r="Z7" s="36">
        <f>VLOOKUP($AG$1,$B:$AB,MATCH(Z2,$B$2:$AB$2,),)-VLOOKUP($AG$4,$B:$AB,MATCH(Z2,$B$2:$AB$2,),)</f>
        <v/>
      </c>
      <c r="AA7" s="36">
        <f>VLOOKUP($AG$1,$B:$AB,MATCH(AA2,$B$2:$AB$2,),)-VLOOKUP($AG$4,$B:$AB,MATCH(AA2,$B$2:$AB$2,),)</f>
        <v/>
      </c>
      <c r="AB7" s="36">
        <f>VLOOKUP($AG$1,$B:$AB,MATCH(AB2,$B$2:$AB$2,),)-VLOOKUP($AG$4,$B:$AB,MATCH(AB2,$B$2:$AB$2,),)</f>
        <v/>
      </c>
    </row>
    <row r="8">
      <c r="B8" s="24" t="inlineStr">
        <is>
          <t>M/M</t>
        </is>
      </c>
      <c r="C8" s="36">
        <f>VLOOKUP($AG$1,$B:$AB,MATCH(C2,$B$2:$AB$2,),)-VLOOKUP($AG$3,$B:$AB,MATCH(C2,$B$2:$AB$2,),)</f>
        <v/>
      </c>
      <c r="D8" s="36">
        <f>VLOOKUP($AG$1,$B:$AB,MATCH(D2,$B$2:$AB$2,),)-VLOOKUP($AG$3,$B:$AB,MATCH(D2,$B$2:$AB$2,),)</f>
        <v/>
      </c>
      <c r="E8" s="36">
        <f>VLOOKUP($AG$1,$B:$AB,MATCH(E2,$B$2:$AB$2,),)-VLOOKUP($AG$3,$B:$AB,MATCH(E2,$B$2:$AB$2,),)</f>
        <v/>
      </c>
      <c r="F8" s="36">
        <f>VLOOKUP($AG$1,$B:$AB,MATCH(F2,$B$2:$AB$2,),)-VLOOKUP($AG$3,$B:$AB,MATCH(F2,$B$2:$AB$2,),)</f>
        <v/>
      </c>
      <c r="G8" s="36">
        <f>VLOOKUP($AG$1,$B:$AB,MATCH(G2,$B$2:$AB$2,),)-VLOOKUP($AG$3,$B:$AB,MATCH(G2,$B$2:$AB$2,),)</f>
        <v/>
      </c>
      <c r="H8" s="36">
        <f>VLOOKUP($AG$1,$B:$AB,MATCH(H2,$B$2:$AB$2,),)-VLOOKUP($AG$3,$B:$AB,MATCH(H2,$B$2:$AB$2,),)</f>
        <v/>
      </c>
      <c r="I8" s="36">
        <f>VLOOKUP($AG$1,$B:$AB,MATCH(I2,$B$2:$AB$2,),)-VLOOKUP($AG$3,$B:$AB,MATCH(I2,$B$2:$AB$2,),)</f>
        <v/>
      </c>
      <c r="J8" s="36">
        <f>VLOOKUP($AG$1,$B:$AB,MATCH(J2,$B$2:$AB$2,),)-VLOOKUP($AG$3,$B:$AB,MATCH(J2,$B$2:$AB$2,),)</f>
        <v/>
      </c>
      <c r="K8" s="36">
        <f>VLOOKUP($AG$1,$B:$AB,MATCH(K2,$B$2:$AB$2,),)-VLOOKUP($AG$3,$B:$AB,MATCH(K2,$B$2:$AB$2,),)</f>
        <v/>
      </c>
      <c r="L8" s="36">
        <f>VLOOKUP($AG$1,$B:$AB,MATCH(L2,$B$2:$AB$2,),)-VLOOKUP($AG$3,$B:$AB,MATCH(L2,$B$2:$AB$2,),)</f>
        <v/>
      </c>
      <c r="M8" s="36">
        <f>VLOOKUP($AG$1,$B:$AB,MATCH(M2,$B$2:$AB$2,),)-VLOOKUP($AG$3,$B:$AB,MATCH(M2,$B$2:$AB$2,),)</f>
        <v/>
      </c>
      <c r="N8" s="36">
        <f>VLOOKUP($AG$1,$B:$AB,MATCH(N2,$B$2:$AB$2,),)-VLOOKUP($AG$3,$B:$AB,MATCH(N2,$B$2:$AB$2,),)</f>
        <v/>
      </c>
      <c r="O8" s="36">
        <f>VLOOKUP($AG$1,$B:$AB,MATCH(O2,$B$2:$AB$2,),)-VLOOKUP($AG$3,$B:$AB,MATCH(O2,$B$2:$AB$2,),)</f>
        <v/>
      </c>
      <c r="P8" s="36">
        <f>VLOOKUP($AG$1,$B:$AB,MATCH(P2,$B$2:$AB$2,),)-VLOOKUP($AG$3,$B:$AB,MATCH(P2,$B$2:$AB$2,),)</f>
        <v/>
      </c>
      <c r="Q8" s="36">
        <f>VLOOKUP($AG$1,$B:$AB,MATCH(Q2,$B$2:$AB$2,),)-VLOOKUP($AG$3,$B:$AB,MATCH(Q2,$B$2:$AB$2,),)</f>
        <v/>
      </c>
      <c r="R8" s="36">
        <f>VLOOKUP($AG$1,$B:$AB,MATCH(R2,$B$2:$AB$2,),)-VLOOKUP($AG$3,$B:$AB,MATCH(R2,$B$2:$AB$2,),)</f>
        <v/>
      </c>
      <c r="S8" s="36">
        <f>VLOOKUP($AG$1,$B:$AB,MATCH(S2,$B$2:$AB$2,),)-VLOOKUP($AG$3,$B:$AB,MATCH(S2,$B$2:$AB$2,),)</f>
        <v/>
      </c>
      <c r="T8" s="36">
        <f>VLOOKUP($AG$1,$B:$AB,MATCH(T2,$B$2:$AB$2,),)-VLOOKUP($AG$3,$B:$AB,MATCH(T2,$B$2:$AB$2,),)</f>
        <v/>
      </c>
      <c r="U8" s="36">
        <f>VLOOKUP($AG$1,$B:$AB,MATCH(U2,$B$2:$AB$2,),)-VLOOKUP($AG$3,$B:$AB,MATCH(U2,$B$2:$AB$2,),)</f>
        <v/>
      </c>
      <c r="V8" s="36">
        <f>VLOOKUP($AG$1,$B:$AB,MATCH(V2,$B$2:$AB$2,),)-VLOOKUP($AG$3,$B:$AB,MATCH(V2,$B$2:$AB$2,),)</f>
        <v/>
      </c>
      <c r="W8" s="36">
        <f>VLOOKUP($AG$1,$B:$AB,MATCH(W2,$B$2:$AB$2,),)-VLOOKUP($AG$3,$B:$AB,MATCH(W2,$B$2:$AB$2,),)</f>
        <v/>
      </c>
      <c r="X8" s="36">
        <f>VLOOKUP($AG$1,$B:$AB,MATCH(X2,$B$2:$AB$2,),)-VLOOKUP($AG$3,$B:$AB,MATCH(X2,$B$2:$AB$2,),)</f>
        <v/>
      </c>
      <c r="Y8" s="36">
        <f>VLOOKUP($AG$1,$B:$AB,MATCH(Y2,$B$2:$AB$2,),)-VLOOKUP($AG$3,$B:$AB,MATCH(Y2,$B$2:$AB$2,),)</f>
        <v/>
      </c>
      <c r="Z8" s="36">
        <f>VLOOKUP($AG$1,$B:$AB,MATCH(Z2,$B$2:$AB$2,),)-VLOOKUP($AG$3,$B:$AB,MATCH(Z2,$B$2:$AB$2,),)</f>
        <v/>
      </c>
      <c r="AA8" s="36">
        <f>VLOOKUP($AG$1,$B:$AB,MATCH(AA2,$B$2:$AB$2,),)-VLOOKUP($AG$3,$B:$AB,MATCH(AA2,$B$2:$AB$2,),)</f>
        <v/>
      </c>
      <c r="AB8" s="36">
        <f>VLOOKUP($AG$1,$B:$AB,MATCH(AB2,$B$2:$AB$2,),)-VLOOKUP($AG$3,$B:$AB,MATCH(AB2,$B$2:$AB$2,),)</f>
        <v/>
      </c>
    </row>
    <row r="9" ht="66.75" customHeight="1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>
      <c r="B11" s="60" t="n"/>
      <c r="C11" s="60" t="n"/>
      <c r="D11" s="60" t="n"/>
      <c r="E11" s="60" t="n"/>
      <c r="F11" s="60" t="n"/>
      <c r="G11" s="60" t="n"/>
      <c r="H11" s="60" t="n"/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  <c r="S11" s="60" t="n"/>
      <c r="T11" s="60" t="n"/>
      <c r="U11" s="60" t="n"/>
      <c r="V11" s="60" t="n"/>
      <c r="W11" s="60" t="n"/>
      <c r="X11" s="60" t="n"/>
      <c r="Y11" s="60" t="n"/>
      <c r="Z11" s="60" t="n"/>
      <c r="AA11" s="60" t="n"/>
      <c r="AB11" s="60" t="n"/>
    </row>
    <row r="12">
      <c r="B12" s="29" t="n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0">
      <c r="B49" s="29" t="n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0">
      <c r="B50" s="29" t="n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0">
      <c r="B51" s="29" t="n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0">
      <c r="B52" s="29" t="n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0">
      <c r="B53" s="29" t="n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0">
      <c r="B54" s="29" t="n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0">
      <c r="B55" s="29" t="n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0">
      <c r="B56" s="29" t="n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0">
      <c r="B57" s="29" t="n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0">
      <c r="B58" s="29" t="n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0">
      <c r="B59" s="29" t="n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0">
      <c r="B60" s="29" t="n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0">
      <c r="B61" s="29" t="n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0">
      <c r="B62" s="29" t="n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0">
      <c r="B63" s="29" t="n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0">
      <c r="B64" s="29" t="n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0">
      <c r="B65" s="29" t="n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0">
      <c r="B66" s="29" t="n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0">
      <c r="B67" s="29" t="n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0">
      <c r="B68" s="29" t="n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0">
      <c r="B69" s="29" t="n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0">
      <c r="B70" s="29" t="n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0">
      <c r="B71" s="29" t="n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0">
      <c r="B72" s="29" t="n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0">
      <c r="B73" s="29" t="n">
        <v>44743</v>
      </c>
      <c r="C73" s="37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0">
      <c r="B74" s="29" t="n">
        <v>44774</v>
      </c>
      <c r="C74" s="37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0">
      <c r="B75" s="29" t="n">
        <v>44805</v>
      </c>
      <c r="C75" s="37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0">
      <c r="B76" s="29" t="n">
        <v>44835</v>
      </c>
      <c r="C76" s="37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0">
      <c r="B77" s="29" t="n">
        <v>44866</v>
      </c>
      <c r="C77" s="37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0"/>
    <row r="79" customFormat="1" s="60"/>
    <row r="80" customFormat="1" s="60"/>
    <row r="81" customFormat="1" s="60"/>
    <row r="82" customFormat="1" s="60"/>
    <row r="83" customFormat="1" s="60"/>
    <row r="84" customFormat="1" s="60"/>
    <row r="85" customFormat="1" s="60"/>
    <row r="86" customFormat="1" s="60"/>
    <row r="87" customFormat="1" s="60"/>
    <row r="88" customFormat="1" s="60"/>
    <row r="89" customFormat="1" s="60"/>
    <row r="90" customFormat="1" s="60"/>
    <row r="91" customFormat="1" s="60"/>
    <row r="92" customFormat="1" s="60"/>
    <row r="93" customFormat="1" s="60"/>
    <row r="94" customFormat="1" s="60"/>
    <row r="95" customFormat="1" s="60"/>
    <row r="96" customFormat="1" s="60"/>
    <row r="97" customFormat="1" s="60"/>
    <row r="98" customFormat="1" s="60"/>
    <row r="99" customFormat="1" s="60"/>
    <row r="100" customFormat="1" s="60"/>
    <row r="101" customFormat="1" s="60"/>
    <row r="102" customFormat="1" s="60"/>
    <row r="103" customFormat="1" s="60"/>
    <row r="104" customFormat="1" s="60"/>
    <row r="105" customFormat="1" s="60"/>
    <row r="106" customFormat="1" s="60"/>
    <row r="107" customFormat="1" s="60"/>
    <row r="108" customFormat="1" s="60"/>
    <row r="109" customFormat="1" s="60"/>
    <row r="110" customFormat="1" s="60"/>
    <row r="111" customFormat="1" s="60"/>
    <row r="112" customFormat="1" s="60"/>
    <row r="113" customFormat="1" s="60"/>
    <row r="114" customFormat="1" s="60"/>
    <row r="115" customFormat="1" s="60"/>
    <row r="116" customFormat="1" s="60"/>
    <row r="117" customFormat="1" s="60"/>
    <row r="118" customFormat="1" s="60"/>
    <row r="119" customFormat="1" s="60"/>
    <row r="120" customFormat="1" s="60"/>
    <row r="121" customFormat="1" s="60"/>
    <row r="122" customFormat="1" s="60"/>
    <row r="123" customFormat="1" s="60"/>
    <row r="124" customFormat="1" s="60"/>
    <row r="125" customFormat="1" s="60"/>
    <row r="126" customFormat="1" s="60"/>
    <row r="127" customFormat="1" s="60"/>
    <row r="128" customFormat="1" s="60"/>
    <row r="129" customFormat="1" s="60"/>
    <row r="130" customFormat="1" s="60"/>
    <row r="131" customFormat="1" s="60"/>
    <row r="132" customFormat="1" s="60"/>
    <row r="133" customFormat="1" s="60"/>
    <row r="134" customFormat="1" s="60"/>
    <row r="135" customFormat="1" s="60"/>
    <row r="136" customFormat="1" s="60"/>
    <row r="137" customFormat="1" s="60"/>
    <row r="138" customFormat="1" s="60"/>
    <row r="139" customFormat="1" s="60"/>
    <row r="140" customFormat="1" s="60"/>
    <row r="141" customFormat="1" s="60"/>
    <row r="142" customFormat="1" s="60"/>
    <row r="143" customFormat="1" s="60"/>
    <row r="144" customFormat="1" s="60"/>
    <row r="145" customFormat="1" s="60"/>
    <row r="146" customFormat="1" s="60"/>
    <row r="147" customFormat="1" s="60"/>
    <row r="148" customFormat="1" s="60"/>
    <row r="149" customFormat="1" s="60"/>
    <row r="150" customFormat="1" s="60"/>
    <row r="151" customFormat="1" s="60"/>
    <row r="152" customFormat="1" s="60"/>
    <row r="153" customFormat="1" s="60"/>
    <row r="154" customFormat="1" s="60"/>
    <row r="155" customFormat="1" s="60"/>
    <row r="156" customFormat="1" s="60"/>
    <row r="157" customFormat="1" s="60"/>
    <row r="158" customFormat="1" s="60"/>
    <row r="159" customFormat="1" s="60"/>
    <row r="160" customFormat="1" s="60"/>
    <row r="161" customFormat="1" s="60"/>
    <row r="162" customFormat="1" s="60"/>
    <row r="163" customFormat="1" s="60"/>
    <row r="164" customFormat="1" s="60"/>
    <row r="165" customFormat="1" s="60"/>
    <row r="166" customFormat="1" s="60"/>
    <row r="167" customFormat="1" s="60"/>
    <row r="168" customFormat="1" s="60"/>
    <row r="169" customFormat="1" s="60"/>
    <row r="170" customFormat="1" s="60"/>
    <row r="171" customFormat="1" s="60"/>
    <row r="172" customFormat="1" s="60"/>
    <row r="173" customFormat="1" s="60"/>
    <row r="174" customFormat="1" s="60"/>
    <row r="175" customFormat="1" s="60"/>
    <row r="176" customFormat="1" s="60"/>
    <row r="177" customFormat="1" s="60"/>
    <row r="178" customFormat="1" s="60"/>
    <row r="179" customFormat="1" s="60"/>
    <row r="180" customFormat="1" s="60"/>
    <row r="181" customFormat="1" s="60"/>
    <row r="182" customFormat="1" s="60"/>
    <row r="183" customFormat="1" s="60"/>
    <row r="184" customFormat="1" s="60"/>
    <row r="185" customFormat="1" s="60"/>
    <row r="186" customFormat="1" s="60"/>
    <row r="187" customFormat="1" s="60"/>
    <row r="188" customFormat="1" s="60"/>
    <row r="189" customFormat="1" s="60"/>
    <row r="190" customFormat="1" s="60"/>
    <row r="191" customFormat="1" s="60"/>
    <row r="192" customFormat="1" s="60"/>
    <row r="193" customFormat="1" s="60"/>
    <row r="194" customFormat="1" s="60"/>
    <row r="195" customFormat="1" s="60"/>
    <row r="196" customFormat="1" s="60"/>
    <row r="197" customFormat="1" s="60"/>
    <row r="198" customFormat="1" s="60"/>
    <row r="199" customFormat="1" s="60"/>
    <row r="200" customFormat="1" s="60"/>
    <row r="201" customFormat="1" s="60"/>
    <row r="202" customFormat="1" s="60"/>
    <row r="203" customFormat="1" s="60"/>
    <row r="204" customFormat="1" s="60"/>
    <row r="205" customFormat="1" s="60"/>
    <row r="206" customFormat="1" s="60"/>
    <row r="207" customFormat="1" s="60"/>
    <row r="208" customFormat="1" s="60"/>
    <row r="209" customFormat="1" s="60"/>
    <row r="210" customFormat="1" s="60"/>
    <row r="211" customFormat="1" s="60"/>
    <row r="212" customFormat="1" s="60"/>
    <row r="213" customFormat="1" s="60"/>
    <row r="214" customFormat="1" s="60"/>
    <row r="215" customFormat="1" s="60"/>
    <row r="216" customFormat="1" s="60"/>
    <row r="217" customFormat="1" s="60"/>
    <row r="218" customFormat="1" s="60"/>
    <row r="219" customFormat="1" s="60"/>
    <row r="220" customFormat="1" s="60"/>
    <row r="221" customFormat="1" s="60"/>
    <row r="222" customFormat="1" s="60"/>
    <row r="223" customFormat="1" s="60"/>
    <row r="224" customFormat="1" s="60"/>
    <row r="225" customFormat="1" s="60"/>
    <row r="226" customFormat="1" s="60"/>
    <row r="227" customFormat="1" s="60"/>
    <row r="228" customFormat="1" s="60"/>
    <row r="229" customFormat="1" s="60"/>
    <row r="230" customFormat="1" s="60"/>
    <row r="231" customFormat="1" s="60"/>
    <row r="232" customFormat="1" s="60"/>
    <row r="233" customFormat="1" s="60"/>
    <row r="234" customFormat="1" s="60"/>
    <row r="235" customFormat="1" s="60"/>
    <row r="236" customFormat="1" s="60"/>
    <row r="237" customFormat="1" s="60"/>
    <row r="238" customFormat="1" s="60"/>
    <row r="239" customFormat="1" s="60"/>
    <row r="240" customFormat="1" s="60"/>
    <row r="241" customFormat="1" s="60"/>
    <row r="242" customFormat="1" s="60"/>
    <row r="243" customFormat="1" s="60"/>
    <row r="244" customFormat="1" s="60"/>
    <row r="245" customFormat="1" s="60"/>
    <row r="246" customFormat="1" s="60"/>
    <row r="247" customFormat="1" s="60"/>
    <row r="248" customFormat="1" s="60"/>
    <row r="249" customFormat="1" s="60"/>
    <row r="250" customFormat="1" s="60"/>
    <row r="251" customFormat="1" s="60"/>
    <row r="252" customFormat="1" s="60"/>
    <row r="253" customFormat="1" s="60"/>
    <row r="254" customFormat="1" s="60"/>
    <row r="255" customFormat="1" s="60"/>
    <row r="256" customFormat="1" s="60"/>
    <row r="257" customFormat="1" s="60"/>
    <row r="258" customFormat="1" s="60"/>
    <row r="259" customFormat="1" s="60"/>
    <row r="260" customFormat="1" s="60"/>
    <row r="261" customFormat="1" s="60"/>
    <row r="262" customFormat="1" s="60"/>
    <row r="263" customFormat="1" s="60"/>
    <row r="264" customFormat="1" s="60"/>
    <row r="265" customFormat="1" s="60"/>
    <row r="266" customFormat="1" s="60"/>
    <row r="267" customFormat="1" s="60"/>
    <row r="268" customFormat="1" s="60"/>
    <row r="269" customFormat="1" s="60"/>
    <row r="270" customFormat="1" s="60"/>
    <row r="271" customFormat="1" s="60"/>
    <row r="272" customFormat="1" s="60"/>
    <row r="273" customFormat="1" s="60"/>
    <row r="274" customFormat="1" s="60"/>
    <row r="275" customFormat="1" s="60"/>
    <row r="276" customFormat="1" s="60"/>
    <row r="277" customFormat="1" s="60"/>
    <row r="278" customFormat="1" s="60"/>
    <row r="279" customFormat="1" s="60"/>
    <row r="280" customFormat="1" s="60"/>
    <row r="281" customFormat="1" s="60"/>
    <row r="282" customFormat="1" s="60"/>
    <row r="283" customFormat="1" s="60"/>
    <row r="284" customFormat="1" s="60"/>
    <row r="285" customFormat="1" s="60"/>
    <row r="286" customFormat="1" s="60"/>
    <row r="287" customFormat="1" s="60"/>
    <row r="288" customFormat="1" s="60"/>
    <row r="289" customFormat="1" s="60"/>
    <row r="290" customFormat="1" s="60"/>
    <row r="291" customFormat="1" s="60"/>
    <row r="292" customFormat="1" s="60"/>
    <row r="293" customFormat="1" s="60"/>
    <row r="294" customFormat="1" s="60"/>
    <row r="295" customFormat="1" s="60"/>
    <row r="296" customFormat="1" s="60"/>
    <row r="297" customFormat="1" s="60"/>
    <row r="298" customFormat="1" s="60"/>
    <row r="299" customFormat="1" s="60"/>
    <row r="300" customFormat="1" s="60"/>
    <row r="301" customFormat="1" s="60"/>
    <row r="302" customFormat="1" s="60"/>
    <row r="303" customFormat="1" s="60"/>
    <row r="304" customFormat="1" s="60"/>
    <row r="305" customFormat="1" s="60"/>
    <row r="306" customFormat="1" s="60"/>
    <row r="307" customFormat="1" s="60"/>
    <row r="308" customFormat="1" s="60"/>
    <row r="309" customFormat="1" s="60"/>
    <row r="310" customFormat="1" s="60"/>
    <row r="311" customFormat="1" s="60"/>
    <row r="312" customFormat="1" s="60"/>
    <row r="313" customFormat="1" s="60"/>
    <row r="314" customFormat="1" s="60"/>
    <row r="315" customFormat="1" s="60"/>
    <row r="316" customFormat="1" s="60"/>
    <row r="317" customFormat="1" s="60"/>
    <row r="318" customFormat="1" s="60"/>
    <row r="319" customFormat="1" s="60"/>
    <row r="320" customFormat="1" s="60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2023-02-05T03:25:48Z</dcterms:modified>
  <cp:lastModifiedBy>Mark Mukherjee</cp:lastModifiedBy>
</cp:coreProperties>
</file>