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AE6D4FE0-6454-E14C-A003-5768635EBD5E}" xr6:coauthVersionLast="47" xr6:coauthVersionMax="47" xr10:uidLastSave="{00000000-0000-0000-0000-000000000000}"/>
  <bookViews>
    <workbookView xWindow="-53700" yWindow="4480" windowWidth="47920" windowHeight="24320" activeTab="6" xr2:uid="{00000000-000D-0000-FFFF-FFFF00000000}"/>
  </bookViews>
  <sheets>
    <sheet name="Note" sheetId="1" r:id="rId1"/>
    <sheet name="DB US Indicators" sheetId="2" r:id="rId2"/>
    <sheet name="DB ISM Manufacturing Sectors" sheetId="3" r:id="rId3"/>
    <sheet name="DB ISM Services Sectors" sheetId="4" r:id="rId4"/>
    <sheet name="DB PMI Manufacturing World" sheetId="5" r:id="rId5"/>
    <sheet name="Big Picture Index" sheetId="6" r:id="rId6"/>
    <sheet name="PMI Manufacturing Worl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2" i="7" l="1"/>
  <c r="D72" i="7"/>
  <c r="E72" i="7"/>
  <c r="F72" i="7"/>
  <c r="G72" i="7"/>
  <c r="H72" i="7"/>
  <c r="I72" i="7"/>
  <c r="I3" i="7" s="1"/>
  <c r="J72" i="7"/>
  <c r="K72" i="7"/>
  <c r="L72" i="7"/>
  <c r="M72" i="7"/>
  <c r="N72" i="7"/>
  <c r="O72" i="7"/>
  <c r="P72" i="7"/>
  <c r="P3" i="7" s="1"/>
  <c r="Q72" i="7"/>
  <c r="R72" i="7"/>
  <c r="S72" i="7"/>
  <c r="T72" i="7"/>
  <c r="U72" i="7"/>
  <c r="V72" i="7"/>
  <c r="W72" i="7"/>
  <c r="X72" i="7"/>
  <c r="Y72" i="7"/>
  <c r="Z72" i="7"/>
  <c r="AA72" i="7"/>
  <c r="AB72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V71" i="7"/>
  <c r="W71" i="7"/>
  <c r="X71" i="7"/>
  <c r="Y71" i="7"/>
  <c r="Z71" i="7"/>
  <c r="AA71" i="7"/>
  <c r="AB71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V70" i="7"/>
  <c r="W70" i="7"/>
  <c r="X70" i="7"/>
  <c r="Y70" i="7"/>
  <c r="Z70" i="7"/>
  <c r="AA70" i="7"/>
  <c r="AB70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V69" i="7"/>
  <c r="W69" i="7"/>
  <c r="X69" i="7"/>
  <c r="Y69" i="7"/>
  <c r="Z69" i="7"/>
  <c r="AA69" i="7"/>
  <c r="AB69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AB14" i="7"/>
  <c r="AA14" i="7"/>
  <c r="AA4" i="7" s="1"/>
  <c r="Z14" i="7"/>
  <c r="Y14" i="7"/>
  <c r="X14" i="7"/>
  <c r="W14" i="7"/>
  <c r="V14" i="7"/>
  <c r="U14" i="7"/>
  <c r="T14" i="7"/>
  <c r="S14" i="7"/>
  <c r="S4" i="7" s="1"/>
  <c r="R14" i="7"/>
  <c r="Q14" i="7"/>
  <c r="P14" i="7"/>
  <c r="O14" i="7"/>
  <c r="N14" i="7"/>
  <c r="M14" i="7"/>
  <c r="L14" i="7"/>
  <c r="K14" i="7"/>
  <c r="K4" i="7" s="1"/>
  <c r="J14" i="7"/>
  <c r="J3" i="7" s="1"/>
  <c r="I14" i="7"/>
  <c r="H14" i="7"/>
  <c r="G14" i="7"/>
  <c r="F14" i="7"/>
  <c r="E14" i="7"/>
  <c r="D14" i="7"/>
  <c r="C14" i="7"/>
  <c r="C4" i="7" s="1"/>
  <c r="AB13" i="7"/>
  <c r="AA13" i="7"/>
  <c r="Z13" i="7"/>
  <c r="Y13" i="7"/>
  <c r="X13" i="7"/>
  <c r="W13" i="7"/>
  <c r="V13" i="7"/>
  <c r="U13" i="7"/>
  <c r="T13" i="7"/>
  <c r="S13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E3" i="7" s="1"/>
  <c r="D13" i="7"/>
  <c r="D5" i="7" s="1"/>
  <c r="D6" i="7" s="1"/>
  <c r="C13" i="7"/>
  <c r="AB12" i="7"/>
  <c r="AA12" i="7"/>
  <c r="Z12" i="7"/>
  <c r="Y12" i="7"/>
  <c r="X12" i="7"/>
  <c r="W12" i="7"/>
  <c r="V12" i="7"/>
  <c r="V3" i="7" s="1"/>
  <c r="U12" i="7"/>
  <c r="T12" i="7"/>
  <c r="S12" i="7"/>
  <c r="R12" i="7"/>
  <c r="Q12" i="7"/>
  <c r="P12" i="7"/>
  <c r="O12" i="7"/>
  <c r="O5" i="7" s="1"/>
  <c r="O6" i="7" s="1"/>
  <c r="N12" i="7"/>
  <c r="N3" i="7" s="1"/>
  <c r="M12" i="7"/>
  <c r="L12" i="7"/>
  <c r="K12" i="7"/>
  <c r="J12" i="7"/>
  <c r="I12" i="7"/>
  <c r="H12" i="7"/>
  <c r="G12" i="7"/>
  <c r="G5" i="7" s="1"/>
  <c r="G6" i="7" s="1"/>
  <c r="F12" i="7"/>
  <c r="F3" i="7" s="1"/>
  <c r="E12" i="7"/>
  <c r="D12" i="7"/>
  <c r="C12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AB8" i="7"/>
  <c r="AB10" i="7" s="1"/>
  <c r="X8" i="7"/>
  <c r="X10" i="7" s="1"/>
  <c r="W8" i="7"/>
  <c r="W10" i="7" s="1"/>
  <c r="V8" i="7"/>
  <c r="V10" i="7" s="1"/>
  <c r="U8" i="7"/>
  <c r="U10" i="7" s="1"/>
  <c r="T8" i="7"/>
  <c r="T10" i="7" s="1"/>
  <c r="P8" i="7"/>
  <c r="P10" i="7" s="1"/>
  <c r="O8" i="7"/>
  <c r="O10" i="7" s="1"/>
  <c r="N8" i="7"/>
  <c r="N10" i="7" s="1"/>
  <c r="M8" i="7"/>
  <c r="M10" i="7" s="1"/>
  <c r="L8" i="7"/>
  <c r="L10" i="7" s="1"/>
  <c r="H8" i="7"/>
  <c r="H10" i="7" s="1"/>
  <c r="G8" i="7"/>
  <c r="G10" i="7" s="1"/>
  <c r="F8" i="7"/>
  <c r="F10" i="7" s="1"/>
  <c r="E8" i="7"/>
  <c r="E10" i="7" s="1"/>
  <c r="D8" i="7"/>
  <c r="D10" i="7" s="1"/>
  <c r="AA5" i="7"/>
  <c r="AA6" i="7" s="1"/>
  <c r="Z5" i="7"/>
  <c r="Z6" i="7" s="1"/>
  <c r="S5" i="7"/>
  <c r="S6" i="7" s="1"/>
  <c r="K5" i="7"/>
  <c r="K6" i="7" s="1"/>
  <c r="J5" i="7"/>
  <c r="J6" i="7" s="1"/>
  <c r="C5" i="7"/>
  <c r="C6" i="7" s="1"/>
  <c r="AG4" i="7"/>
  <c r="AB7" i="7" s="1"/>
  <c r="M4" i="7"/>
  <c r="E4" i="7"/>
  <c r="AG3" i="7"/>
  <c r="Z8" i="7" s="1"/>
  <c r="Z10" i="7" s="1"/>
  <c r="X3" i="7"/>
  <c r="Q3" i="7"/>
  <c r="H3" i="7"/>
  <c r="K16" i="6"/>
  <c r="J16" i="6"/>
  <c r="I16" i="6"/>
  <c r="F16" i="6"/>
  <c r="E16" i="6"/>
  <c r="D16" i="6"/>
  <c r="N15" i="6"/>
  <c r="F15" i="6"/>
  <c r="E15" i="6"/>
  <c r="D15" i="6"/>
  <c r="N14" i="6"/>
  <c r="K14" i="6"/>
  <c r="J14" i="6"/>
  <c r="I14" i="6"/>
  <c r="F14" i="6"/>
  <c r="E14" i="6"/>
  <c r="D14" i="6"/>
  <c r="P13" i="6"/>
  <c r="O13" i="6"/>
  <c r="N13" i="6"/>
  <c r="K13" i="6"/>
  <c r="J13" i="6"/>
  <c r="I13" i="6"/>
  <c r="F13" i="6"/>
  <c r="E13" i="6"/>
  <c r="D13" i="6"/>
  <c r="P12" i="6"/>
  <c r="O12" i="6"/>
  <c r="N12" i="6"/>
  <c r="K12" i="6"/>
  <c r="K15" i="6" s="1"/>
  <c r="J12" i="6"/>
  <c r="J15" i="6" s="1"/>
  <c r="I12" i="6"/>
  <c r="I15" i="6" s="1"/>
  <c r="F12" i="6"/>
  <c r="E12" i="6"/>
  <c r="D12" i="6"/>
  <c r="P11" i="6"/>
  <c r="O11" i="6"/>
  <c r="N11" i="6"/>
  <c r="K11" i="6"/>
  <c r="J11" i="6"/>
  <c r="I11" i="6"/>
  <c r="F11" i="6"/>
  <c r="E11" i="6"/>
  <c r="D11" i="6"/>
  <c r="P10" i="6"/>
  <c r="O10" i="6"/>
  <c r="N10" i="6"/>
  <c r="I10" i="6"/>
  <c r="F10" i="6"/>
  <c r="E10" i="6"/>
  <c r="D10" i="6"/>
  <c r="P9" i="6"/>
  <c r="O9" i="6"/>
  <c r="N9" i="6"/>
  <c r="I9" i="6"/>
  <c r="F9" i="6"/>
  <c r="E9" i="6"/>
  <c r="D9" i="6"/>
  <c r="P8" i="6"/>
  <c r="O8" i="6"/>
  <c r="N8" i="6"/>
  <c r="I8" i="6"/>
  <c r="F8" i="6"/>
  <c r="E8" i="6"/>
  <c r="D8" i="6"/>
  <c r="P7" i="6"/>
  <c r="O7" i="6"/>
  <c r="N7" i="6"/>
  <c r="I7" i="6"/>
  <c r="F7" i="6"/>
  <c r="E7" i="6"/>
  <c r="D7" i="6"/>
  <c r="R5" i="7" l="1"/>
  <c r="R6" i="7" s="1"/>
  <c r="Y3" i="7"/>
  <c r="U4" i="7"/>
  <c r="R3" i="7"/>
  <c r="Z3" i="7"/>
  <c r="I4" i="7"/>
  <c r="Q4" i="7"/>
  <c r="Y4" i="7"/>
  <c r="J4" i="7"/>
  <c r="R4" i="7"/>
  <c r="Z4" i="7"/>
  <c r="H5" i="7"/>
  <c r="H6" i="7" s="1"/>
  <c r="W4" i="7"/>
  <c r="M3" i="7"/>
  <c r="U5" i="7"/>
  <c r="U6" i="7" s="1"/>
  <c r="P5" i="7"/>
  <c r="P6" i="7" s="1"/>
  <c r="X5" i="7"/>
  <c r="X6" i="7" s="1"/>
  <c r="L5" i="7"/>
  <c r="L6" i="7" s="1"/>
  <c r="T3" i="7"/>
  <c r="AB5" i="7"/>
  <c r="AB6" i="7" s="1"/>
  <c r="N4" i="7"/>
  <c r="O4" i="7"/>
  <c r="T5" i="7"/>
  <c r="T6" i="7" s="1"/>
  <c r="S3" i="7"/>
  <c r="H4" i="7"/>
  <c r="P4" i="7"/>
  <c r="M5" i="7"/>
  <c r="M6" i="7" s="1"/>
  <c r="Q7" i="7"/>
  <c r="G3" i="7"/>
  <c r="O3" i="7"/>
  <c r="W3" i="7"/>
  <c r="D4" i="7"/>
  <c r="L4" i="7"/>
  <c r="T4" i="7"/>
  <c r="AB4" i="7"/>
  <c r="I5" i="7"/>
  <c r="I6" i="7" s="1"/>
  <c r="Q5" i="7"/>
  <c r="Q6" i="7" s="1"/>
  <c r="Y5" i="7"/>
  <c r="Y6" i="7" s="1"/>
  <c r="E7" i="7"/>
  <c r="M7" i="7"/>
  <c r="U7" i="7"/>
  <c r="C8" i="7"/>
  <c r="C10" i="7" s="1"/>
  <c r="K8" i="7"/>
  <c r="K10" i="7" s="1"/>
  <c r="S8" i="7"/>
  <c r="S10" i="7" s="1"/>
  <c r="AA8" i="7"/>
  <c r="AA10" i="7" s="1"/>
  <c r="V7" i="7"/>
  <c r="V4" i="7"/>
  <c r="W7" i="7"/>
  <c r="F4" i="7"/>
  <c r="G7" i="7"/>
  <c r="O7" i="7"/>
  <c r="G4" i="7"/>
  <c r="C3" i="7"/>
  <c r="E5" i="7"/>
  <c r="E6" i="7" s="1"/>
  <c r="D3" i="7"/>
  <c r="L3" i="7"/>
  <c r="AB3" i="7"/>
  <c r="F5" i="7"/>
  <c r="F6" i="7" s="1"/>
  <c r="N5" i="7"/>
  <c r="N6" i="7" s="1"/>
  <c r="V5" i="7"/>
  <c r="V6" i="7" s="1"/>
  <c r="J7" i="7"/>
  <c r="R7" i="7"/>
  <c r="Z7" i="7"/>
  <c r="U3" i="7"/>
  <c r="W5" i="7"/>
  <c r="W6" i="7" s="1"/>
  <c r="C7" i="7"/>
  <c r="K7" i="7"/>
  <c r="S7" i="7"/>
  <c r="AA7" i="7"/>
  <c r="I8" i="7"/>
  <c r="I10" i="7" s="1"/>
  <c r="Q8" i="7"/>
  <c r="Q10" i="7" s="1"/>
  <c r="Y8" i="7"/>
  <c r="Y10" i="7" s="1"/>
  <c r="F7" i="7"/>
  <c r="N7" i="7"/>
  <c r="H7" i="7"/>
  <c r="P7" i="7"/>
  <c r="X7" i="7"/>
  <c r="K3" i="7"/>
  <c r="AA3" i="7"/>
  <c r="X4" i="7"/>
  <c r="I7" i="7"/>
  <c r="Y7" i="7"/>
  <c r="D7" i="7"/>
  <c r="L7" i="7"/>
  <c r="T7" i="7"/>
  <c r="J8" i="7"/>
  <c r="J10" i="7" s="1"/>
  <c r="R8" i="7"/>
  <c r="R10" i="7" s="1"/>
</calcChain>
</file>

<file path=xl/sharedStrings.xml><?xml version="1.0" encoding="utf-8"?>
<sst xmlns="http://schemas.openxmlformats.org/spreadsheetml/2006/main" count="212" uniqueCount="149">
  <si>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</si>
  <si>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</si>
  <si>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</si>
  <si>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</si>
  <si>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</si>
  <si>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</si>
  <si>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</si>
  <si>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</si>
  <si>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</si>
  <si>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</si>
  <si>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GDP qoq</t>
  </si>
  <si>
    <t>GDP yoy</t>
  </si>
  <si>
    <t>Core CPI</t>
  </si>
  <si>
    <t>Core PCE</t>
  </si>
  <si>
    <t>Retail Sales MoM</t>
  </si>
  <si>
    <t>Core Retail Sales</t>
  </si>
  <si>
    <t>Unemployment Rate</t>
  </si>
  <si>
    <t>Non-Farm Payroll</t>
  </si>
  <si>
    <t>Weekly Claims</t>
  </si>
  <si>
    <t>Industrial Production</t>
  </si>
  <si>
    <t>Fed Funds Target Rate</t>
  </si>
  <si>
    <t>0.00-0.25%</t>
  </si>
  <si>
    <t>Euro Futures 1m</t>
  </si>
  <si>
    <t>Euro Futures 6m</t>
  </si>
  <si>
    <t>Euro Futures 12m</t>
  </si>
  <si>
    <t>3M</t>
  </si>
  <si>
    <t>2Y</t>
  </si>
  <si>
    <t>10Y</t>
  </si>
  <si>
    <t>30Y</t>
  </si>
  <si>
    <t>DXY</t>
  </si>
  <si>
    <t>UMCSI Index</t>
  </si>
  <si>
    <t>UMCSI Exp</t>
  </si>
  <si>
    <t>Conference Board LEI</t>
  </si>
  <si>
    <t>Building Permits</t>
  </si>
  <si>
    <t>ISM Manufacturing</t>
  </si>
  <si>
    <t>ISM Manuf New orders</t>
  </si>
  <si>
    <t>ISM Services</t>
  </si>
  <si>
    <t>Money Supply M1</t>
  </si>
  <si>
    <t>Money Supply M2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</si>
  <si>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</si>
  <si>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</si>
  <si>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</si>
  <si>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</si>
  <si>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</si>
  <si>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</si>
  <si>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</si>
  <si>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</si>
  <si>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</si>
  <si>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</si>
  <si>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</si>
  <si>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</si>
  <si>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</si>
  <si>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</si>
  <si>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</si>
  <si>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</si>
  <si>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</si>
  <si>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</si>
  <si>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</si>
  <si>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</si>
  <si>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</si>
  <si>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</si>
  <si>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</si>
  <si>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</si>
  <si>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</si>
  <si>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</si>
  <si>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</si>
  <si>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</si>
  <si>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</si>
  <si>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</si>
  <si>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</si>
  <si>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</si>
  <si>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</si>
  <si>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</si>
  <si>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</si>
  <si>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</si>
  <si>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</si>
  <si>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</si>
  <si>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ISM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</si>
  <si>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</si>
  <si>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</si>
  <si>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</si>
  <si>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</si>
  <si>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</si>
  <si>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</si>
  <si>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</si>
  <si>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</si>
  <si>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</si>
  <si>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</si>
  <si>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</si>
  <si>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</si>
  <si>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</si>
  <si>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</si>
  <si>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</si>
  <si>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</si>
  <si>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</si>
  <si>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</si>
  <si>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</si>
  <si>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</si>
  <si>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</si>
  <si>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</si>
  <si>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</si>
  <si>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</si>
  <si>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</si>
  <si>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</si>
  <si>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</si>
  <si>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</si>
  <si>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Fed Funds Target rate</t>
  </si>
  <si>
    <t>30y</t>
  </si>
  <si>
    <t>10y</t>
  </si>
  <si>
    <t>2y</t>
  </si>
  <si>
    <t>3m</t>
  </si>
  <si>
    <t>10y -2y</t>
  </si>
  <si>
    <t>ISM Manufacturing Sectors</t>
  </si>
  <si>
    <t>ISM Services Sectors</t>
  </si>
  <si>
    <t>*to update</t>
  </si>
  <si>
    <t>Last month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</si>
  <si>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</si>
  <si>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</si>
  <si>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</si>
  <si>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</si>
  <si>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</si>
  <si>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</si>
  <si>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</si>
  <si>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</si>
  <si>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</si>
  <si>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</si>
  <si>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</si>
  <si>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</si>
  <si>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</si>
  <si>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</si>
  <si>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</si>
  <si>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</si>
  <si>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</si>
  <si>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</si>
  <si>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</si>
  <si>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</si>
  <si>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</si>
  <si>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</si>
  <si>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</si>
  <si>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</si>
  <si>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Previous month</t>
  </si>
  <si>
    <t>min 12m</t>
  </si>
  <si>
    <t>12 months</t>
  </si>
  <si>
    <t>12m avg</t>
  </si>
  <si>
    <t>Last vs 12m avg</t>
  </si>
  <si>
    <t>Y/Y</t>
  </si>
  <si>
    <t>M/M</t>
  </si>
  <si>
    <t>Growth / Contraction</t>
  </si>
  <si>
    <t>Slower/Faster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</si>
</sst>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,\ &quot;K&quot;"/>
    <numFmt numFmtId="167" formatCode="dd\-mm\-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70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8" xfId="2" applyNumberFormat="1" applyFon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1" xfId="0" applyFont="1" applyFill="1" applyBorder="1"/>
    <xf numFmtId="0" fontId="1" fillId="4" borderId="21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19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0" fontId="0" fillId="0" borderId="0" xfId="0"/>
    <xf numFmtId="164" fontId="0" fillId="2" borderId="8" xfId="2" applyNumberFormat="1" applyFont="1" applyFill="1" applyBorder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20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7" fontId="9" fillId="2" borderId="0" xfId="0" applyNumberFormat="1" applyFont="1" applyFill="1" applyAlignment="1">
      <alignment horizontal="left" vertical="top" wrapText="1"/>
    </xf>
    <xf numFmtId="164" fontId="5" fillId="2" borderId="0" xfId="2" applyNumberFormat="1" applyFont="1" applyFill="1" applyAlignment="1">
      <alignment horizontal="center"/>
    </xf>
    <xf numFmtId="164" fontId="5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Alignment="1">
      <alignment horizontal="center"/>
    </xf>
    <xf numFmtId="164" fontId="4" fillId="2" borderId="8" xfId="2" applyNumberFormat="1" applyFont="1" applyFill="1" applyBorder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2" fontId="4" fillId="2" borderId="10" xfId="0" applyNumberFormat="1" applyFont="1" applyFill="1" applyBorder="1" applyAlignment="1">
      <alignment horizontal="center"/>
    </xf>
    <xf numFmtId="10" fontId="0" fillId="2" borderId="0" xfId="2" applyNumberFormat="1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2" fontId="4" fillId="2" borderId="11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6" fontId="4" fillId="2" borderId="0" xfId="2" applyNumberFormat="1" applyFont="1" applyFill="1" applyAlignment="1">
      <alignment horizontal="center"/>
    </xf>
    <xf numFmtId="166" fontId="4" fillId="2" borderId="8" xfId="2" applyNumberFormat="1" applyFont="1" applyFill="1" applyBorder="1" applyAlignment="1">
      <alignment horizontal="center"/>
    </xf>
    <xf numFmtId="0" fontId="0" fillId="2" borderId="0" xfId="0" applyFill="1"/>
    <xf numFmtId="0" fontId="1" fillId="2" borderId="0" xfId="0" applyFont="1" applyFill="1"/>
    <xf numFmtId="167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</cellXfs>
  <cellStyles count="3">
    <cellStyle name="Normal" xfId="0" builtinId="0"/>
    <cellStyle name="Normal 3" xfId="1" xr:uid="{00000000-0005-0000-0000-000001000000}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Manufacturing Sectors'!$E$1</c:f>
              <c:strCache>
                <c:ptCount val="1"/>
                <c:pt idx="0">
                  <c:v>Electrical Equipment, Appliances &amp; Components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Sectors'!$E$2:$E$7</c:f>
              <c:numCache>
                <c:formatCode>General</c:formatCode>
                <c:ptCount val="6"/>
                <c:pt idx="0">
                  <c:v>9</c:v>
                </c:pt>
                <c:pt idx="1">
                  <c:v>9</c:v>
                </c:pt>
                <c:pt idx="2">
                  <c:v>12</c:v>
                </c:pt>
                <c:pt idx="3">
                  <c:v>9</c:v>
                </c:pt>
                <c:pt idx="4">
                  <c:v>1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EE-384A-8A50-8C2E3A883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8240"/>
        <c:axId val="1762819888"/>
      </c:barChart>
      <c:dateAx>
        <c:axId val="17628182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9888"/>
        <c:crosses val="autoZero"/>
        <c:auto val="0"/>
        <c:lblOffset val="100"/>
        <c:baseTimeUnit val="months"/>
      </c:dateAx>
      <c:valAx>
        <c:axId val="1762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8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Manufacturing Sectors'!$F$1</c:f>
              <c:strCache>
                <c:ptCount val="1"/>
                <c:pt idx="0">
                  <c:v>Fabricated Metal Products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Sectors'!$F$2:$F$7</c:f>
              <c:numCache>
                <c:formatCode>General</c:formatCode>
                <c:ptCount val="6"/>
                <c:pt idx="0">
                  <c:v>5</c:v>
                </c:pt>
                <c:pt idx="1">
                  <c:v>5</c:v>
                </c:pt>
                <c:pt idx="2">
                  <c:v>7</c:v>
                </c:pt>
                <c:pt idx="3">
                  <c:v>3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31-354F-8E5F-D9FBAD320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24432"/>
        <c:axId val="981842800"/>
      </c:barChart>
      <c:dateAx>
        <c:axId val="9821244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42800"/>
        <c:crosses val="autoZero"/>
        <c:auto val="0"/>
        <c:lblOffset val="100"/>
        <c:baseTimeUnit val="months"/>
      </c:dateAx>
      <c:valAx>
        <c:axId val="9818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244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> &amp; Tobacco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Manufacturing Sectors'!$G$1</c:f>
              <c:strCache>
                <c:ptCount val="1"/>
                <c:pt idx="0">
                  <c:v>Food, Beverage &amp; Tobacco Products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Sectors'!$G$2:$G$7</c:f>
              <c:numCache>
                <c:formatCode>General</c:formatCode>
                <c:ptCount val="6"/>
                <c:pt idx="0">
                  <c:v>8</c:v>
                </c:pt>
                <c:pt idx="1">
                  <c:v>4</c:v>
                </c:pt>
                <c:pt idx="2">
                  <c:v>13</c:v>
                </c:pt>
                <c:pt idx="3">
                  <c:v>12</c:v>
                </c:pt>
                <c:pt idx="4">
                  <c:v>10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86-794B-8754-EDE212283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99184"/>
        <c:axId val="982400832"/>
      </c:barChart>
      <c:dateAx>
        <c:axId val="9823991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00832"/>
        <c:crosses val="autoZero"/>
        <c:auto val="0"/>
        <c:lblOffset val="100"/>
        <c:baseTimeUnit val="months"/>
      </c:dateAx>
      <c:valAx>
        <c:axId val="9824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991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Manufacturing Sectors'!$H$1</c:f>
              <c:strCache>
                <c:ptCount val="1"/>
                <c:pt idx="0">
                  <c:v>Furniture &amp; Related Products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Sectors'!$H$2:$H$7</c:f>
              <c:numCache>
                <c:formatCode>General</c:formatCode>
                <c:ptCount val="6"/>
                <c:pt idx="0">
                  <c:v>13</c:v>
                </c:pt>
                <c:pt idx="1">
                  <c:v>7</c:v>
                </c:pt>
                <c:pt idx="2">
                  <c:v>14</c:v>
                </c:pt>
                <c:pt idx="3">
                  <c:v>6</c:v>
                </c:pt>
                <c:pt idx="4">
                  <c:v>-1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87-ED4D-A4F5-04FF66F08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21440"/>
        <c:axId val="982223088"/>
      </c:barChart>
      <c:dateAx>
        <c:axId val="98222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3088"/>
        <c:crosses val="autoZero"/>
        <c:auto val="0"/>
        <c:lblOffset val="100"/>
        <c:baseTimeUnit val="months"/>
      </c:dateAx>
      <c:valAx>
        <c:axId val="9822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Manufacturing Sectors'!$I$1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Sectors'!$I$2:$I$7</c:f>
              <c:numCache>
                <c:formatCode>General</c:formatCode>
                <c:ptCount val="6"/>
                <c:pt idx="0">
                  <c:v>10</c:v>
                </c:pt>
                <c:pt idx="1">
                  <c:v>12</c:v>
                </c:pt>
                <c:pt idx="2">
                  <c:v>10</c:v>
                </c:pt>
                <c:pt idx="3">
                  <c:v>16</c:v>
                </c:pt>
                <c:pt idx="4">
                  <c:v>13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84-7641-B652-C85D1E4ED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76416"/>
        <c:axId val="982178064"/>
      </c:barChart>
      <c:dateAx>
        <c:axId val="9821764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8064"/>
        <c:crosses val="autoZero"/>
        <c:auto val="0"/>
        <c:lblOffset val="100"/>
        <c:baseTimeUnit val="months"/>
      </c:dateAx>
      <c:valAx>
        <c:axId val="9821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64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Manufacturing Sectors'!$J$1</c:f>
              <c:strCache>
                <c:ptCount val="1"/>
                <c:pt idx="0">
                  <c:v>Miscellaneous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Sectors'!$J$2:$J$7</c:f>
              <c:numCache>
                <c:formatCode>General</c:formatCode>
                <c:ptCount val="6"/>
                <c:pt idx="0">
                  <c:v>12</c:v>
                </c:pt>
                <c:pt idx="1">
                  <c:v>11</c:v>
                </c:pt>
                <c:pt idx="2">
                  <c:v>11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0-E54F-9BC0-F4B9FB7A9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81440"/>
        <c:axId val="981983088"/>
      </c:barChart>
      <c:dateAx>
        <c:axId val="98198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3088"/>
        <c:crosses val="autoZero"/>
        <c:auto val="0"/>
        <c:lblOffset val="100"/>
        <c:baseTimeUnit val="months"/>
      </c:dateAx>
      <c:valAx>
        <c:axId val="981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Manufacturing Sectors'!$K$1</c:f>
              <c:strCache>
                <c:ptCount val="1"/>
                <c:pt idx="0">
                  <c:v>Nonmetallic Mineral Products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Sectors'!$K$2:$K$7</c:f>
              <c:numCache>
                <c:formatCode>General</c:formatCode>
                <c:ptCount val="6"/>
                <c:pt idx="0">
                  <c:v>11</c:v>
                </c:pt>
                <c:pt idx="1">
                  <c:v>3</c:v>
                </c:pt>
                <c:pt idx="2">
                  <c:v>3</c:v>
                </c:pt>
                <c:pt idx="3">
                  <c:v>14</c:v>
                </c:pt>
                <c:pt idx="4">
                  <c:v>12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4B-E74C-825F-4F3E1CBB6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508448"/>
        <c:axId val="345024895"/>
      </c:barChart>
      <c:dateAx>
        <c:axId val="98150844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24895"/>
        <c:crosses val="autoZero"/>
        <c:auto val="0"/>
        <c:lblOffset val="100"/>
        <c:baseTimeUnit val="months"/>
      </c:dateAx>
      <c:valAx>
        <c:axId val="34502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084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Manufacturing Sectors'!$L$1</c:f>
              <c:strCache>
                <c:ptCount val="1"/>
                <c:pt idx="0">
                  <c:v>Paper Products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Sectors'!$L$2:$L$7</c:f>
              <c:numCache>
                <c:formatCode>General</c:formatCode>
                <c:ptCount val="6"/>
                <c:pt idx="0">
                  <c:v>-1</c:v>
                </c:pt>
                <c:pt idx="1">
                  <c:v>14</c:v>
                </c:pt>
                <c:pt idx="2">
                  <c:v>6</c:v>
                </c:pt>
                <c:pt idx="3">
                  <c:v>8</c:v>
                </c:pt>
                <c:pt idx="4">
                  <c:v>8</c:v>
                </c:pt>
                <c:pt idx="5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54-3648-B4C3-5B64A1DDE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004303"/>
        <c:axId val="345005951"/>
      </c:barChart>
      <c:dateAx>
        <c:axId val="345004303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5951"/>
        <c:crosses val="autoZero"/>
        <c:auto val="0"/>
        <c:lblOffset val="100"/>
        <c:baseTimeUnit val="months"/>
      </c:dateAx>
      <c:valAx>
        <c:axId val="3450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Manufacturing Sectors'!$M$1</c:f>
              <c:strCache>
                <c:ptCount val="1"/>
                <c:pt idx="0">
                  <c:v>Petroleum &amp; Coal Products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Sectors'!$M$2:$M$7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-1</c:v>
                </c:pt>
                <c:pt idx="3">
                  <c:v>-1</c:v>
                </c:pt>
                <c:pt idx="4">
                  <c:v>7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12-5047-8244-95E504449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139392"/>
        <c:axId val="704330896"/>
      </c:barChart>
      <c:dateAx>
        <c:axId val="165613939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330896"/>
        <c:crosses val="autoZero"/>
        <c:auto val="0"/>
        <c:lblOffset val="100"/>
        <c:baseTimeUnit val="months"/>
      </c:dateAx>
      <c:valAx>
        <c:axId val="7043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39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Manufacturing Sectors'!$N$1</c:f>
              <c:strCache>
                <c:ptCount val="1"/>
                <c:pt idx="0">
                  <c:v>Plastics &amp; Rubber Products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Sectors'!$N$2:$N$7</c:f>
              <c:numCache>
                <c:formatCode>General</c:formatCode>
                <c:ptCount val="6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15</c:v>
                </c:pt>
                <c:pt idx="4">
                  <c:v>6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4C-F249-9909-F98E3A068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719791"/>
        <c:axId val="1673721439"/>
      </c:barChart>
      <c:dateAx>
        <c:axId val="16737197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21439"/>
        <c:crosses val="autoZero"/>
        <c:auto val="0"/>
        <c:lblOffset val="100"/>
        <c:baseTimeUnit val="months"/>
      </c:dateAx>
      <c:valAx>
        <c:axId val="167372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197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Manufacturing Sectors'!$O$1</c:f>
              <c:strCache>
                <c:ptCount val="1"/>
                <c:pt idx="0">
                  <c:v>Primary Metals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Sectors'!$O$2:$O$7</c:f>
              <c:numCache>
                <c:formatCode>General</c:formatCode>
                <c:ptCount val="6"/>
                <c:pt idx="0">
                  <c:v>6</c:v>
                </c:pt>
                <c:pt idx="1">
                  <c:v>10</c:v>
                </c:pt>
                <c:pt idx="2">
                  <c:v>2</c:v>
                </c:pt>
                <c:pt idx="3">
                  <c:v>7</c:v>
                </c:pt>
                <c:pt idx="4">
                  <c:v>2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9D-8247-9A01-53C42B4FE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122175"/>
        <c:axId val="345123855"/>
      </c:barChart>
      <c:dateAx>
        <c:axId val="3451221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3855"/>
        <c:crosses val="autoZero"/>
        <c:auto val="0"/>
        <c:lblOffset val="100"/>
        <c:baseTimeUnit val="months"/>
      </c:dateAx>
      <c:valAx>
        <c:axId val="34512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1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Manufacturing Sectors'!$P$1</c:f>
              <c:strCache>
                <c:ptCount val="1"/>
                <c:pt idx="0">
                  <c:v>Printing &amp; Related Support Activities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Sectors'!$P$2:$P$7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14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61-DC41-B00A-03797853E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656976"/>
        <c:axId val="1657626272"/>
      </c:barChart>
      <c:dateAx>
        <c:axId val="16576569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6272"/>
        <c:crosses val="autoZero"/>
        <c:auto val="0"/>
        <c:lblOffset val="100"/>
        <c:baseTimeUnit val="months"/>
      </c:dateAx>
      <c:valAx>
        <c:axId val="16576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6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Manufacturing Sectors'!$Q$1</c:f>
              <c:strCache>
                <c:ptCount val="1"/>
                <c:pt idx="0">
                  <c:v>Textile Mills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Sectors'!$Q$2:$Q$7</c:f>
              <c:numCache>
                <c:formatCode>General</c:formatCode>
                <c:ptCount val="6"/>
                <c:pt idx="0">
                  <c:v>0</c:v>
                </c:pt>
                <c:pt idx="1">
                  <c:v>15</c:v>
                </c:pt>
                <c:pt idx="2">
                  <c:v>9</c:v>
                </c:pt>
                <c:pt idx="3">
                  <c:v>4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B-6047-8B8F-2A32FDA28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23295"/>
        <c:axId val="482449247"/>
      </c:barChart>
      <c:dateAx>
        <c:axId val="4826232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49247"/>
        <c:crosses val="autoZero"/>
        <c:auto val="0"/>
        <c:lblOffset val="100"/>
        <c:baseTimeUnit val="months"/>
      </c:dateAx>
      <c:valAx>
        <c:axId val="482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232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Manufacturing Sectors'!$R$1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Sectors'!$R$2:$R$7</c:f>
              <c:numCache>
                <c:formatCode>General</c:formatCode>
                <c:ptCount val="6"/>
                <c:pt idx="0">
                  <c:v>7</c:v>
                </c:pt>
                <c:pt idx="1">
                  <c:v>13</c:v>
                </c:pt>
                <c:pt idx="2">
                  <c:v>8</c:v>
                </c:pt>
                <c:pt idx="3">
                  <c:v>11</c:v>
                </c:pt>
                <c:pt idx="4">
                  <c:v>9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C2-E44B-BF3E-563977E76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583695"/>
        <c:axId val="1673585343"/>
      </c:barChart>
      <c:dateAx>
        <c:axId val="1673583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5343"/>
        <c:crosses val="autoZero"/>
        <c:auto val="0"/>
        <c:lblOffset val="100"/>
        <c:baseTimeUnit val="months"/>
      </c:dateAx>
      <c:valAx>
        <c:axId val="16735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3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Manufacturing Sectors'!$S$1</c:f>
              <c:strCache>
                <c:ptCount val="1"/>
                <c:pt idx="0">
                  <c:v>Wood Products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Sectors'!$S$2:$S$7</c:f>
              <c:numCache>
                <c:formatCode>General</c:formatCode>
                <c:ptCount val="6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1</c:v>
                </c:pt>
                <c:pt idx="4">
                  <c:v>0</c:v>
                </c:pt>
                <c:pt idx="5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9F-4345-9241-9E30EA5E6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64799"/>
        <c:axId val="482466447"/>
      </c:barChart>
      <c:dateAx>
        <c:axId val="48246479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447"/>
        <c:crosses val="autoZero"/>
        <c:auto val="0"/>
        <c:lblOffset val="100"/>
        <c:baseTimeUnit val="months"/>
      </c:dateAx>
      <c:valAx>
        <c:axId val="48246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7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> Leather &amp; Allied Products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14</c:v>
                </c:pt>
                <c:pt idx="1">
                  <c:v>16</c:v>
                </c:pt>
                <c:pt idx="2">
                  <c:v>15</c:v>
                </c:pt>
                <c:pt idx="3">
                  <c:v>17</c:v>
                </c:pt>
                <c:pt idx="4">
                  <c:v>15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7-6344-BB66-3D30C87CE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15391"/>
        <c:axId val="1673917071"/>
      </c:barChart>
      <c:dateAx>
        <c:axId val="16739153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7071"/>
        <c:crosses val="autoZero"/>
        <c:auto val="0"/>
        <c:lblOffset val="100"/>
        <c:baseTimeUnit val="months"/>
      </c:dateAx>
      <c:valAx>
        <c:axId val="16739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5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E6-0643-B091-8F269091E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94080"/>
        <c:axId val="1762827888"/>
      </c:barChart>
      <c:dateAx>
        <c:axId val="17628940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27888"/>
        <c:crosses val="autoZero"/>
        <c:auto val="0"/>
        <c:lblOffset val="100"/>
        <c:baseTimeUnit val="months"/>
      </c:dateAx>
      <c:valAx>
        <c:axId val="1762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94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4</c:v>
                </c:pt>
                <c:pt idx="1">
                  <c:v>8</c:v>
                </c:pt>
                <c:pt idx="2">
                  <c:v>4</c:v>
                </c:pt>
                <c:pt idx="3">
                  <c:v>13</c:v>
                </c:pt>
                <c:pt idx="4">
                  <c:v>11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E-FC44-890F-972999F8B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0304"/>
        <c:axId val="1762811952"/>
      </c:barChart>
      <c:dateAx>
        <c:axId val="176281030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1952"/>
        <c:crosses val="autoZero"/>
        <c:auto val="0"/>
        <c:lblOffset val="100"/>
        <c:baseTimeUnit val="months"/>
      </c:dateAx>
      <c:valAx>
        <c:axId val="17628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03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Services Sectors'!$B$1</c:f>
              <c:strCache>
                <c:ptCount val="1"/>
                <c:pt idx="0">
                  <c:v>Arts, Entertainment &amp; Recreation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Sectors'!$B$2:$B$7</c:f>
              <c:numCache>
                <c:formatCode>General</c:formatCode>
                <c:ptCount val="6"/>
                <c:pt idx="0">
                  <c:v>17</c:v>
                </c:pt>
                <c:pt idx="1">
                  <c:v>11</c:v>
                </c:pt>
                <c:pt idx="2">
                  <c:v>9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89-E844-AB0E-BF08FF111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23487"/>
        <c:axId val="1611289920"/>
      </c:barChart>
      <c:dateAx>
        <c:axId val="167392348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89920"/>
        <c:crosses val="autoZero"/>
        <c:auto val="0"/>
        <c:lblOffset val="100"/>
        <c:baseTimeUnit val="months"/>
      </c:dateAx>
      <c:valAx>
        <c:axId val="16112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234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Services Sectors'!$C$1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Sectors'!$C$2:$C$7</c:f>
              <c:numCache>
                <c:formatCode>General</c:formatCode>
                <c:ptCount val="6"/>
                <c:pt idx="0">
                  <c:v>1</c:v>
                </c:pt>
                <c:pt idx="1">
                  <c:v>5</c:v>
                </c:pt>
                <c:pt idx="2">
                  <c:v>6</c:v>
                </c:pt>
                <c:pt idx="3">
                  <c:v>2</c:v>
                </c:pt>
                <c:pt idx="4">
                  <c:v>10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2-2D4A-8B33-EA04A81DA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34864"/>
        <c:axId val="982236512"/>
      </c:barChart>
      <c:dateAx>
        <c:axId val="98223486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6512"/>
        <c:crosses val="autoZero"/>
        <c:auto val="0"/>
        <c:lblOffset val="100"/>
        <c:baseTimeUnit val="months"/>
      </c:dateAx>
      <c:valAx>
        <c:axId val="9822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486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Services Sectors'!$D$1</c:f>
              <c:strCache>
                <c:ptCount val="1"/>
                <c:pt idx="0">
                  <c:v>Health Care &amp; Social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Sectors'!$D$2:$D$7</c:f>
              <c:numCache>
                <c:formatCode>General</c:formatCode>
                <c:ptCount val="6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12-5841-A30A-80F6861E4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93216"/>
        <c:axId val="982215552"/>
      </c:barChart>
      <c:dateAx>
        <c:axId val="981993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5552"/>
        <c:crosses val="autoZero"/>
        <c:auto val="0"/>
        <c:lblOffset val="100"/>
        <c:baseTimeUnit val="months"/>
      </c:dateAx>
      <c:valAx>
        <c:axId val="98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93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Services Sectors'!$E$1</c:f>
              <c:strCache>
                <c:ptCount val="1"/>
                <c:pt idx="0">
                  <c:v>Accommodation &amp; Food 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Sectors'!$E$2:$E$7</c:f>
              <c:numCache>
                <c:formatCode>General</c:formatCode>
                <c:ptCount val="6"/>
                <c:pt idx="0">
                  <c:v>14</c:v>
                </c:pt>
                <c:pt idx="1">
                  <c:v>2</c:v>
                </c:pt>
                <c:pt idx="2">
                  <c:v>3</c:v>
                </c:pt>
                <c:pt idx="3">
                  <c:v>13</c:v>
                </c:pt>
                <c:pt idx="4">
                  <c:v>14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5-DD46-B7A9-33E0087B5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006208"/>
        <c:axId val="1657007856"/>
      </c:barChart>
      <c:dateAx>
        <c:axId val="1657006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7856"/>
        <c:crosses val="autoZero"/>
        <c:auto val="0"/>
        <c:lblOffset val="100"/>
        <c:baseTimeUnit val="months"/>
      </c:dateAx>
      <c:valAx>
        <c:axId val="16570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620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Services Sectors'!$F$1</c:f>
              <c:strCache>
                <c:ptCount val="1"/>
                <c:pt idx="0">
                  <c:v>Finance &amp; Insurance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Sectors'!$F$2:$F$7</c:f>
              <c:numCache>
                <c:formatCode>General</c:formatCode>
                <c:ptCount val="6"/>
                <c:pt idx="0">
                  <c:v>6</c:v>
                </c:pt>
                <c:pt idx="1">
                  <c:v>7</c:v>
                </c:pt>
                <c:pt idx="2">
                  <c:v>1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F5-F442-A39A-270414E67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02319"/>
        <c:axId val="482603967"/>
      </c:barChart>
      <c:dateAx>
        <c:axId val="48260231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967"/>
        <c:crosses val="autoZero"/>
        <c:auto val="0"/>
        <c:lblOffset val="100"/>
        <c:baseTimeUnit val="months"/>
      </c:dateAx>
      <c:valAx>
        <c:axId val="48260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31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Services Sectors'!$G$1</c:f>
              <c:strCache>
                <c:ptCount val="1"/>
                <c:pt idx="0">
                  <c:v>Real Estate, Rental &amp; Leasing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Sectors'!$G$2:$G$7</c:f>
              <c:numCache>
                <c:formatCode>General</c:formatCode>
                <c:ptCount val="6"/>
                <c:pt idx="0">
                  <c:v>3</c:v>
                </c:pt>
                <c:pt idx="1">
                  <c:v>6</c:v>
                </c:pt>
                <c:pt idx="2">
                  <c:v>12</c:v>
                </c:pt>
                <c:pt idx="3">
                  <c:v>16</c:v>
                </c:pt>
                <c:pt idx="4">
                  <c:v>12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CC-C54A-A730-6C90658E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313824"/>
        <c:axId val="1320315472"/>
      </c:barChart>
      <c:dateAx>
        <c:axId val="132031382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5472"/>
        <c:crosses val="autoZero"/>
        <c:auto val="0"/>
        <c:lblOffset val="100"/>
        <c:baseTimeUnit val="months"/>
      </c:dateAx>
      <c:valAx>
        <c:axId val="13203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382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Services Sectors'!$H$1</c:f>
              <c:strCache>
                <c:ptCount val="1"/>
                <c:pt idx="0">
                  <c:v>Transportation &amp; Warehousing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Sectors'!$H$2:$H$7</c:f>
              <c:numCache>
                <c:formatCode>General</c:formatCode>
                <c:ptCount val="6"/>
                <c:pt idx="0">
                  <c:v>12</c:v>
                </c:pt>
                <c:pt idx="1">
                  <c:v>9</c:v>
                </c:pt>
                <c:pt idx="2">
                  <c:v>15</c:v>
                </c:pt>
                <c:pt idx="3">
                  <c:v>6</c:v>
                </c:pt>
                <c:pt idx="4">
                  <c:v>13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D-054A-8CEE-CF77264F8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33232"/>
        <c:axId val="1321134880"/>
      </c:barChart>
      <c:dateAx>
        <c:axId val="13211332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4880"/>
        <c:crosses val="autoZero"/>
        <c:auto val="0"/>
        <c:lblOffset val="100"/>
        <c:baseTimeUnit val="months"/>
      </c:dateAx>
      <c:valAx>
        <c:axId val="13211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32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Services Sectors'!$I$1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Sectors'!$I$2:$I$7</c:f>
              <c:numCache>
                <c:formatCode>General</c:formatCode>
                <c:ptCount val="6"/>
                <c:pt idx="0">
                  <c:v>9</c:v>
                </c:pt>
                <c:pt idx="1">
                  <c:v>10</c:v>
                </c:pt>
                <c:pt idx="2">
                  <c:v>16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84-8544-AD28-9CCDF2054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14127"/>
        <c:axId val="482615775"/>
      </c:barChart>
      <c:dateAx>
        <c:axId val="48261412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5775"/>
        <c:crosses val="autoZero"/>
        <c:auto val="0"/>
        <c:lblOffset val="100"/>
        <c:baseTimeUnit val="months"/>
      </c:dateAx>
      <c:valAx>
        <c:axId val="4826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41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Services Sectors'!$J$1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Sectors'!$J$2:$J$7</c:f>
              <c:numCache>
                <c:formatCode>General</c:formatCode>
                <c:ptCount val="6"/>
                <c:pt idx="0">
                  <c:v>16</c:v>
                </c:pt>
                <c:pt idx="1">
                  <c:v>18</c:v>
                </c:pt>
                <c:pt idx="2">
                  <c:v>18</c:v>
                </c:pt>
                <c:pt idx="3">
                  <c:v>14</c:v>
                </c:pt>
                <c:pt idx="4">
                  <c:v>16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A1-6E48-A668-504386112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3552784"/>
        <c:axId val="404616863"/>
      </c:barChart>
      <c:dateAx>
        <c:axId val="20335527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16863"/>
        <c:crosses val="autoZero"/>
        <c:auto val="0"/>
        <c:lblOffset val="100"/>
        <c:baseTimeUnit val="months"/>
      </c:dateAx>
      <c:valAx>
        <c:axId val="4046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5527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Services Sectors'!$K$1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Sectors'!$K$2:$K$7</c:f>
              <c:numCache>
                <c:formatCode>General</c:formatCode>
                <c:ptCount val="6"/>
                <c:pt idx="0">
                  <c:v>11</c:v>
                </c:pt>
                <c:pt idx="1">
                  <c:v>17</c:v>
                </c:pt>
                <c:pt idx="2">
                  <c:v>10</c:v>
                </c:pt>
                <c:pt idx="3">
                  <c:v>15</c:v>
                </c:pt>
                <c:pt idx="4">
                  <c:v>11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1D-7948-B3F5-71603D9E5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491695"/>
        <c:axId val="1615687935"/>
      </c:barChart>
      <c:dateAx>
        <c:axId val="364491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687935"/>
        <c:crosses val="autoZero"/>
        <c:auto val="0"/>
        <c:lblOffset val="100"/>
        <c:baseTimeUnit val="months"/>
      </c:dateAx>
      <c:valAx>
        <c:axId val="16156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Services Sectors'!$L$1</c:f>
              <c:strCache>
                <c:ptCount val="1"/>
                <c:pt idx="0">
                  <c:v>Public Administration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Sectors'!$L$2:$L$7</c:f>
              <c:numCache>
                <c:formatCode>General</c:formatCode>
                <c:ptCount val="6"/>
                <c:pt idx="0">
                  <c:v>7</c:v>
                </c:pt>
                <c:pt idx="1">
                  <c:v>13</c:v>
                </c:pt>
                <c:pt idx="2">
                  <c:v>7</c:v>
                </c:pt>
                <c:pt idx="3">
                  <c:v>9</c:v>
                </c:pt>
                <c:pt idx="4">
                  <c:v>9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CC-D24A-99A6-468D6CD55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421631"/>
        <c:axId val="1615471983"/>
      </c:barChart>
      <c:dateAx>
        <c:axId val="163242163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71983"/>
        <c:crosses val="autoZero"/>
        <c:auto val="0"/>
        <c:lblOffset val="100"/>
        <c:baseTimeUnit val="months"/>
      </c:dateAx>
      <c:valAx>
        <c:axId val="16154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2163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Services Sectors'!$M$1</c:f>
              <c:strCache>
                <c:ptCount val="1"/>
                <c:pt idx="0">
                  <c:v>Professional, Scientific &amp; Technical Services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Sectors'!$M$2:$M$7</c:f>
              <c:numCache>
                <c:formatCode>General</c:formatCode>
                <c:ptCount val="6"/>
                <c:pt idx="0">
                  <c:v>8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4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6D-624D-9B38-50621D445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5760607"/>
        <c:axId val="1615349999"/>
      </c:barChart>
      <c:dateAx>
        <c:axId val="161576060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999"/>
        <c:crosses val="autoZero"/>
        <c:auto val="0"/>
        <c:lblOffset val="100"/>
        <c:baseTimeUnit val="months"/>
      </c:dateAx>
      <c:valAx>
        <c:axId val="161534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76060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Services Sectors'!$N$1</c:f>
              <c:strCache>
                <c:ptCount val="1"/>
                <c:pt idx="0">
                  <c:v>Agriculture, Forestry, Fishing &amp; Hunting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Sectors'!$N$2:$N$7</c:f>
              <c:numCache>
                <c:formatCode>General</c:formatCode>
                <c:ptCount val="6"/>
                <c:pt idx="0">
                  <c:v>18</c:v>
                </c:pt>
                <c:pt idx="1">
                  <c:v>12</c:v>
                </c:pt>
                <c:pt idx="2">
                  <c:v>13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8-0349-9731-48CBF9498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89728"/>
        <c:axId val="982190960"/>
      </c:barChart>
      <c:dateAx>
        <c:axId val="98218972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960"/>
        <c:crosses val="autoZero"/>
        <c:auto val="0"/>
        <c:lblOffset val="100"/>
        <c:baseTimeUnit val="months"/>
      </c:dateAx>
      <c:valAx>
        <c:axId val="9821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97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Services Sectors'!$O$1</c:f>
              <c:strCache>
                <c:ptCount val="1"/>
                <c:pt idx="0">
                  <c:v>Information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Sectors'!$O$2:$O$7</c:f>
              <c:numCache>
                <c:formatCode>General</c:formatCode>
                <c:ptCount val="6"/>
                <c:pt idx="0">
                  <c:v>4</c:v>
                </c:pt>
                <c:pt idx="1">
                  <c:v>8</c:v>
                </c:pt>
                <c:pt idx="2">
                  <c:v>11</c:v>
                </c:pt>
                <c:pt idx="3">
                  <c:v>7</c:v>
                </c:pt>
                <c:pt idx="4">
                  <c:v>5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7-0440-950F-EBA7BC6C7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061072"/>
        <c:axId val="1611225536"/>
      </c:barChart>
      <c:dateAx>
        <c:axId val="161106107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25536"/>
        <c:crosses val="autoZero"/>
        <c:auto val="0"/>
        <c:lblOffset val="100"/>
        <c:baseTimeUnit val="months"/>
      </c:dateAx>
      <c:valAx>
        <c:axId val="16112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61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Services Sectors'!$P$1</c:f>
              <c:strCache>
                <c:ptCount val="1"/>
                <c:pt idx="0">
                  <c:v>Educational Services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Sectors'!$P$2:$P$7</c:f>
              <c:numCache>
                <c:formatCode>General</c:formatCode>
                <c:ptCount val="6"/>
                <c:pt idx="0">
                  <c:v>2</c:v>
                </c:pt>
                <c:pt idx="1">
                  <c:v>15</c:v>
                </c:pt>
                <c:pt idx="2">
                  <c:v>8</c:v>
                </c:pt>
                <c:pt idx="3">
                  <c:v>11</c:v>
                </c:pt>
                <c:pt idx="4">
                  <c:v>8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75-A048-9CED-545A2D6D1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761455"/>
        <c:axId val="482763103"/>
      </c:barChart>
      <c:dateAx>
        <c:axId val="48276145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103"/>
        <c:crosses val="autoZero"/>
        <c:auto val="0"/>
        <c:lblOffset val="100"/>
        <c:baseTimeUnit val="months"/>
      </c:dateAx>
      <c:valAx>
        <c:axId val="4827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Services Sectors'!$Q$1</c:f>
              <c:strCache>
                <c:ptCount val="1"/>
                <c:pt idx="0">
                  <c:v>Management of Companies &amp; Support Services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Sectors'!$Q$2:$Q$7</c:f>
              <c:numCache>
                <c:formatCode>General</c:formatCode>
                <c:ptCount val="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12</c:v>
                </c:pt>
                <c:pt idx="4">
                  <c:v>15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E-BB4A-B14B-BA9CBF3B0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32016"/>
        <c:axId val="1611132416"/>
      </c:barChart>
      <c:dateAx>
        <c:axId val="16111320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416"/>
        <c:crosses val="autoZero"/>
        <c:auto val="0"/>
        <c:lblOffset val="100"/>
        <c:baseTimeUnit val="months"/>
      </c:dateAx>
      <c:valAx>
        <c:axId val="1611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0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Services Sectors'!$R$1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Sectors'!$R$2:$R$7</c:f>
              <c:numCache>
                <c:formatCode>General</c:formatCode>
                <c:ptCount val="6"/>
                <c:pt idx="0">
                  <c:v>13</c:v>
                </c:pt>
                <c:pt idx="1">
                  <c:v>1</c:v>
                </c:pt>
                <c:pt idx="2">
                  <c:v>5</c:v>
                </c:pt>
                <c:pt idx="3">
                  <c:v>3</c:v>
                </c:pt>
                <c:pt idx="4">
                  <c:v>6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7-A64A-A141-FC99C2A4F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808975"/>
        <c:axId val="482810623"/>
      </c:barChart>
      <c:dateAx>
        <c:axId val="4828089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10623"/>
        <c:crosses val="autoZero"/>
        <c:auto val="0"/>
        <c:lblOffset val="100"/>
        <c:baseTimeUnit val="months"/>
      </c:dateAx>
      <c:valAx>
        <c:axId val="482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08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Services Sectors'!$S$1</c:f>
              <c:strCache>
                <c:ptCount val="1"/>
                <c:pt idx="0">
                  <c:v>Utilities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</c:numCache>
            </c:numRef>
          </c:cat>
          <c:val>
            <c:numRef>
              <c:f>'DB ISM Services Sectors'!$S$2:$S$7</c:f>
              <c:numCache>
                <c:formatCode>General</c:formatCode>
                <c:ptCount val="6"/>
                <c:pt idx="0">
                  <c:v>10</c:v>
                </c:pt>
                <c:pt idx="1">
                  <c:v>14</c:v>
                </c:pt>
                <c:pt idx="2">
                  <c:v>14</c:v>
                </c:pt>
                <c:pt idx="3">
                  <c:v>8</c:v>
                </c:pt>
                <c:pt idx="4">
                  <c:v>2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EE4A-B52C-75E08008F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384911"/>
        <c:axId val="1712288095"/>
      </c:barChart>
      <c:dateAx>
        <c:axId val="171138491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88095"/>
        <c:crosses val="autoZero"/>
        <c:auto val="0"/>
        <c:lblOffset val="100"/>
        <c:baseTimeUnit val="months"/>
      </c:dateAx>
      <c:valAx>
        <c:axId val="171228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> ISM vs Eurozone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'DB PMI Manufacturing World'!$C$1</c:f>
              <c:strCache>
                <c:ptCount val="1"/>
                <c:pt idx="0">
                  <c:v>ISM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World'!$A$2:$A$97</c:f>
              <c:numCache>
                <c:formatCode>dd\-mm\-yyyy</c:formatCode>
                <c:ptCount val="96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</c:numCache>
            </c:numRef>
          </c:cat>
          <c:val>
            <c:numRef>
              <c:f>'DB PMI Manufacturing World'!$C$2:$C$97</c:f>
              <c:numCache>
                <c:formatCode>General</c:formatCode>
                <c:ptCount val="96"/>
                <c:pt idx="0">
                  <c:v>56.9</c:v>
                </c:pt>
                <c:pt idx="1">
                  <c:v>57.3</c:v>
                </c:pt>
                <c:pt idx="2">
                  <c:v>56.6</c:v>
                </c:pt>
                <c:pt idx="3">
                  <c:v>59.1</c:v>
                </c:pt>
                <c:pt idx="4">
                  <c:v>59.2</c:v>
                </c:pt>
                <c:pt idx="5">
                  <c:v>58.4</c:v>
                </c:pt>
                <c:pt idx="6">
                  <c:v>57.9</c:v>
                </c:pt>
                <c:pt idx="7">
                  <c:v>54.8</c:v>
                </c:pt>
                <c:pt idx="8">
                  <c:v>55.8</c:v>
                </c:pt>
                <c:pt idx="9">
                  <c:v>52.9</c:v>
                </c:pt>
                <c:pt idx="10">
                  <c:v>52.6</c:v>
                </c:pt>
                <c:pt idx="11">
                  <c:v>53.7</c:v>
                </c:pt>
                <c:pt idx="12">
                  <c:v>51.4</c:v>
                </c:pt>
                <c:pt idx="13">
                  <c:v>51.8</c:v>
                </c:pt>
                <c:pt idx="14">
                  <c:v>53</c:v>
                </c:pt>
                <c:pt idx="15">
                  <c:v>52.6</c:v>
                </c:pt>
                <c:pt idx="16">
                  <c:v>53.1</c:v>
                </c:pt>
                <c:pt idx="17">
                  <c:v>53.5</c:v>
                </c:pt>
                <c:pt idx="18">
                  <c:v>53.5</c:v>
                </c:pt>
                <c:pt idx="19">
                  <c:v>52.6</c:v>
                </c:pt>
                <c:pt idx="20">
                  <c:v>49.7</c:v>
                </c:pt>
                <c:pt idx="21">
                  <c:v>50</c:v>
                </c:pt>
                <c:pt idx="22">
                  <c:v>50.2</c:v>
                </c:pt>
                <c:pt idx="23">
                  <c:v>51.8</c:v>
                </c:pt>
                <c:pt idx="24">
                  <c:v>50.7</c:v>
                </c:pt>
                <c:pt idx="25">
                  <c:v>48.9</c:v>
                </c:pt>
                <c:pt idx="26">
                  <c:v>49.8</c:v>
                </c:pt>
                <c:pt idx="27">
                  <c:v>52</c:v>
                </c:pt>
                <c:pt idx="28">
                  <c:v>53.6</c:v>
                </c:pt>
                <c:pt idx="29">
                  <c:v>52</c:v>
                </c:pt>
                <c:pt idx="30">
                  <c:v>49.7</c:v>
                </c:pt>
                <c:pt idx="31">
                  <c:v>50.5</c:v>
                </c:pt>
                <c:pt idx="32">
                  <c:v>51.5</c:v>
                </c:pt>
                <c:pt idx="33">
                  <c:v>53.5</c:v>
                </c:pt>
                <c:pt idx="34">
                  <c:v>55.9</c:v>
                </c:pt>
                <c:pt idx="35">
                  <c:v>54.8</c:v>
                </c:pt>
                <c:pt idx="36">
                  <c:v>55.3</c:v>
                </c:pt>
                <c:pt idx="37">
                  <c:v>56.3</c:v>
                </c:pt>
                <c:pt idx="38">
                  <c:v>55.9</c:v>
                </c:pt>
                <c:pt idx="39">
                  <c:v>51.7</c:v>
                </c:pt>
                <c:pt idx="40">
                  <c:v>54.6</c:v>
                </c:pt>
                <c:pt idx="41">
                  <c:v>55.3</c:v>
                </c:pt>
                <c:pt idx="42">
                  <c:v>55.7</c:v>
                </c:pt>
                <c:pt idx="43">
                  <c:v>55.8</c:v>
                </c:pt>
                <c:pt idx="44">
                  <c:v>54.9</c:v>
                </c:pt>
                <c:pt idx="45">
                  <c:v>55.3</c:v>
                </c:pt>
                <c:pt idx="46">
                  <c:v>58.2</c:v>
                </c:pt>
                <c:pt idx="47">
                  <c:v>55.5</c:v>
                </c:pt>
                <c:pt idx="48">
                  <c:v>56.8</c:v>
                </c:pt>
                <c:pt idx="49">
                  <c:v>57</c:v>
                </c:pt>
                <c:pt idx="50">
                  <c:v>54.7</c:v>
                </c:pt>
                <c:pt idx="51">
                  <c:v>53.9</c:v>
                </c:pt>
                <c:pt idx="52">
                  <c:v>53</c:v>
                </c:pt>
                <c:pt idx="53">
                  <c:v>51.8</c:v>
                </c:pt>
                <c:pt idx="54">
                  <c:v>51.6</c:v>
                </c:pt>
                <c:pt idx="55">
                  <c:v>52.9</c:v>
                </c:pt>
                <c:pt idx="56">
                  <c:v>52.3</c:v>
                </c:pt>
                <c:pt idx="57">
                  <c:v>51.9</c:v>
                </c:pt>
                <c:pt idx="58">
                  <c:v>50.8</c:v>
                </c:pt>
                <c:pt idx="59">
                  <c:v>50.1</c:v>
                </c:pt>
                <c:pt idx="60">
                  <c:v>49.6</c:v>
                </c:pt>
                <c:pt idx="61">
                  <c:v>49.1</c:v>
                </c:pt>
                <c:pt idx="62">
                  <c:v>48.4</c:v>
                </c:pt>
                <c:pt idx="63">
                  <c:v>47.8</c:v>
                </c:pt>
                <c:pt idx="64">
                  <c:v>49.4</c:v>
                </c:pt>
                <c:pt idx="65">
                  <c:v>51.2</c:v>
                </c:pt>
                <c:pt idx="66">
                  <c:v>50.8</c:v>
                </c:pt>
                <c:pt idx="67">
                  <c:v>50.9</c:v>
                </c:pt>
                <c:pt idx="68">
                  <c:v>52.5</c:v>
                </c:pt>
                <c:pt idx="69">
                  <c:v>52.9</c:v>
                </c:pt>
                <c:pt idx="70">
                  <c:v>49.9</c:v>
                </c:pt>
                <c:pt idx="71">
                  <c:v>51.4</c:v>
                </c:pt>
                <c:pt idx="72">
                  <c:v>51.8</c:v>
                </c:pt>
                <c:pt idx="73">
                  <c:v>53.4</c:v>
                </c:pt>
                <c:pt idx="74">
                  <c:v>54.3</c:v>
                </c:pt>
                <c:pt idx="75">
                  <c:v>55.6</c:v>
                </c:pt>
                <c:pt idx="76">
                  <c:v>57.6</c:v>
                </c:pt>
                <c:pt idx="77">
                  <c:v>56.6</c:v>
                </c:pt>
                <c:pt idx="78">
                  <c:v>55.3</c:v>
                </c:pt>
                <c:pt idx="79">
                  <c:v>55.5</c:v>
                </c:pt>
                <c:pt idx="80">
                  <c:v>56.7</c:v>
                </c:pt>
                <c:pt idx="81">
                  <c:v>56.5</c:v>
                </c:pt>
                <c:pt idx="82">
                  <c:v>59.3</c:v>
                </c:pt>
                <c:pt idx="83">
                  <c:v>60.2</c:v>
                </c:pt>
                <c:pt idx="84">
                  <c:v>58.5</c:v>
                </c:pt>
                <c:pt idx="85">
                  <c:v>58.2</c:v>
                </c:pt>
                <c:pt idx="86">
                  <c:v>59.3</c:v>
                </c:pt>
                <c:pt idx="87">
                  <c:v>59.1</c:v>
                </c:pt>
                <c:pt idx="88">
                  <c:v>60.8</c:v>
                </c:pt>
                <c:pt idx="89">
                  <c:v>59.3</c:v>
                </c:pt>
                <c:pt idx="90">
                  <c:v>57.3</c:v>
                </c:pt>
                <c:pt idx="91">
                  <c:v>58.7</c:v>
                </c:pt>
                <c:pt idx="92">
                  <c:v>60.2</c:v>
                </c:pt>
                <c:pt idx="93">
                  <c:v>58.1</c:v>
                </c:pt>
                <c:pt idx="94">
                  <c:v>61.3</c:v>
                </c:pt>
                <c:pt idx="95">
                  <c:v>59.8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25-8D41-A031-8794A8554E2F}"/>
            </c:ext>
          </c:extLst>
        </c:ser>
        <c:ser>
          <c:idx val="2"/>
          <c:order val="1"/>
          <c:tx>
            <c:strRef>
              <c:f>'DB PMI Manufacturing World'!$F$1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World'!$A$2:$A$97</c:f>
              <c:numCache>
                <c:formatCode>dd\-mm\-yyyy</c:formatCode>
                <c:ptCount val="96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</c:numCache>
            </c:numRef>
          </c:cat>
          <c:val>
            <c:numRef>
              <c:f>'DB PMI Manufacturing World'!$F$2:$F$97</c:f>
              <c:numCache>
                <c:formatCode>General</c:formatCode>
                <c:ptCount val="96"/>
                <c:pt idx="6">
                  <c:v>58</c:v>
                </c:pt>
                <c:pt idx="7">
                  <c:v>54.6</c:v>
                </c:pt>
                <c:pt idx="8">
                  <c:v>52</c:v>
                </c:pt>
                <c:pt idx="9">
                  <c:v>50.4</c:v>
                </c:pt>
                <c:pt idx="10">
                  <c:v>49</c:v>
                </c:pt>
                <c:pt idx="11">
                  <c:v>48.5</c:v>
                </c:pt>
                <c:pt idx="12">
                  <c:v>47.1</c:v>
                </c:pt>
                <c:pt idx="13">
                  <c:v>46.4</c:v>
                </c:pt>
                <c:pt idx="14">
                  <c:v>46.9</c:v>
                </c:pt>
                <c:pt idx="15">
                  <c:v>48.8</c:v>
                </c:pt>
                <c:pt idx="16">
                  <c:v>49</c:v>
                </c:pt>
                <c:pt idx="17">
                  <c:v>47.7</c:v>
                </c:pt>
                <c:pt idx="18">
                  <c:v>45.9</c:v>
                </c:pt>
                <c:pt idx="19">
                  <c:v>45.1</c:v>
                </c:pt>
                <c:pt idx="20">
                  <c:v>45.1</c:v>
                </c:pt>
                <c:pt idx="21">
                  <c:v>44</c:v>
                </c:pt>
                <c:pt idx="22">
                  <c:v>45.1</c:v>
                </c:pt>
                <c:pt idx="23">
                  <c:v>46.1</c:v>
                </c:pt>
                <c:pt idx="24">
                  <c:v>45.4</c:v>
                </c:pt>
                <c:pt idx="25">
                  <c:v>46.2</c:v>
                </c:pt>
                <c:pt idx="26">
                  <c:v>46.1</c:v>
                </c:pt>
                <c:pt idx="27">
                  <c:v>47.9</c:v>
                </c:pt>
                <c:pt idx="28">
                  <c:v>47.9</c:v>
                </c:pt>
                <c:pt idx="29">
                  <c:v>46.8</c:v>
                </c:pt>
                <c:pt idx="30">
                  <c:v>46.7</c:v>
                </c:pt>
                <c:pt idx="31">
                  <c:v>48.3</c:v>
                </c:pt>
                <c:pt idx="32">
                  <c:v>48.8</c:v>
                </c:pt>
                <c:pt idx="33">
                  <c:v>50.3</c:v>
                </c:pt>
                <c:pt idx="34">
                  <c:v>51.4</c:v>
                </c:pt>
                <c:pt idx="35">
                  <c:v>51.1</c:v>
                </c:pt>
                <c:pt idx="36">
                  <c:v>51.3</c:v>
                </c:pt>
                <c:pt idx="37">
                  <c:v>51.6</c:v>
                </c:pt>
                <c:pt idx="38">
                  <c:v>52.7</c:v>
                </c:pt>
                <c:pt idx="39">
                  <c:v>54</c:v>
                </c:pt>
                <c:pt idx="40">
                  <c:v>53.2</c:v>
                </c:pt>
                <c:pt idx="41">
                  <c:v>53</c:v>
                </c:pt>
                <c:pt idx="42">
                  <c:v>54</c:v>
                </c:pt>
                <c:pt idx="43">
                  <c:v>52.2</c:v>
                </c:pt>
                <c:pt idx="44">
                  <c:v>51.8</c:v>
                </c:pt>
                <c:pt idx="45">
                  <c:v>51.8</c:v>
                </c:pt>
                <c:pt idx="46">
                  <c:v>50.7</c:v>
                </c:pt>
                <c:pt idx="47">
                  <c:v>50.3</c:v>
                </c:pt>
                <c:pt idx="48">
                  <c:v>50.6</c:v>
                </c:pt>
                <c:pt idx="49">
                  <c:v>50.1</c:v>
                </c:pt>
                <c:pt idx="50">
                  <c:v>50.6</c:v>
                </c:pt>
                <c:pt idx="51">
                  <c:v>51</c:v>
                </c:pt>
                <c:pt idx="52">
                  <c:v>51</c:v>
                </c:pt>
                <c:pt idx="53">
                  <c:v>52.2</c:v>
                </c:pt>
                <c:pt idx="54">
                  <c:v>52</c:v>
                </c:pt>
                <c:pt idx="55">
                  <c:v>52.2</c:v>
                </c:pt>
                <c:pt idx="56">
                  <c:v>52.5</c:v>
                </c:pt>
                <c:pt idx="57">
                  <c:v>52.4</c:v>
                </c:pt>
                <c:pt idx="58">
                  <c:v>52.3</c:v>
                </c:pt>
                <c:pt idx="59">
                  <c:v>52</c:v>
                </c:pt>
                <c:pt idx="60">
                  <c:v>52.3</c:v>
                </c:pt>
                <c:pt idx="61">
                  <c:v>52.8</c:v>
                </c:pt>
                <c:pt idx="62">
                  <c:v>53.2</c:v>
                </c:pt>
                <c:pt idx="63">
                  <c:v>52.3</c:v>
                </c:pt>
                <c:pt idx="64">
                  <c:v>51.2</c:v>
                </c:pt>
                <c:pt idx="65">
                  <c:v>51.6</c:v>
                </c:pt>
                <c:pt idx="66">
                  <c:v>51.7</c:v>
                </c:pt>
                <c:pt idx="67">
                  <c:v>51.5</c:v>
                </c:pt>
                <c:pt idx="68">
                  <c:v>52.8</c:v>
                </c:pt>
                <c:pt idx="69">
                  <c:v>52</c:v>
                </c:pt>
                <c:pt idx="70">
                  <c:v>51.7</c:v>
                </c:pt>
                <c:pt idx="71">
                  <c:v>52.6</c:v>
                </c:pt>
                <c:pt idx="72">
                  <c:v>53.5</c:v>
                </c:pt>
                <c:pt idx="73">
                  <c:v>53.7</c:v>
                </c:pt>
                <c:pt idx="74">
                  <c:v>54.9</c:v>
                </c:pt>
                <c:pt idx="75">
                  <c:v>55.2</c:v>
                </c:pt>
                <c:pt idx="76">
                  <c:v>55.4</c:v>
                </c:pt>
                <c:pt idx="77">
                  <c:v>56.2</c:v>
                </c:pt>
                <c:pt idx="78">
                  <c:v>56.7</c:v>
                </c:pt>
                <c:pt idx="79">
                  <c:v>57</c:v>
                </c:pt>
                <c:pt idx="80">
                  <c:v>57.4</c:v>
                </c:pt>
                <c:pt idx="81">
                  <c:v>56.6</c:v>
                </c:pt>
                <c:pt idx="82">
                  <c:v>57.4</c:v>
                </c:pt>
                <c:pt idx="83">
                  <c:v>58.1</c:v>
                </c:pt>
                <c:pt idx="84">
                  <c:v>58.5</c:v>
                </c:pt>
                <c:pt idx="85">
                  <c:v>60.1</c:v>
                </c:pt>
                <c:pt idx="86">
                  <c:v>60.6</c:v>
                </c:pt>
                <c:pt idx="87">
                  <c:v>59.6</c:v>
                </c:pt>
                <c:pt idx="88">
                  <c:v>58.6</c:v>
                </c:pt>
                <c:pt idx="89">
                  <c:v>56.6</c:v>
                </c:pt>
                <c:pt idx="90">
                  <c:v>56.2</c:v>
                </c:pt>
                <c:pt idx="91">
                  <c:v>55.5</c:v>
                </c:pt>
                <c:pt idx="92">
                  <c:v>54.9</c:v>
                </c:pt>
                <c:pt idx="93">
                  <c:v>55.1</c:v>
                </c:pt>
                <c:pt idx="94">
                  <c:v>54.6</c:v>
                </c:pt>
                <c:pt idx="95">
                  <c:v>53.2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25-8D41-A031-8794A8554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2239216"/>
        <c:axId val="982471776"/>
      </c:lineChart>
      <c:dateAx>
        <c:axId val="982239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1776"/>
        <c:crosses val="autoZero"/>
        <c:auto val="0"/>
        <c:lblOffset val="100"/>
        <c:baseTimeUnit val="months"/>
      </c:dateAx>
      <c:valAx>
        <c:axId val="98247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9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127000</xdr:colOff>
      <xdr:row>20</xdr:row>
      <xdr:rowOff>18144</xdr:rowOff>
    </xdr:from>
    <xdr:to>
      <xdr:col>24</xdr:col>
      <xdr:colOff>508000</xdr:colOff>
      <xdr:row>34</xdr:row>
      <xdr:rowOff>94344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45357</xdr:rowOff>
    </xdr:from>
    <xdr:to>
      <xdr:col>6</xdr:col>
      <xdr:colOff>625929</xdr:colOff>
      <xdr:row>49</xdr:row>
      <xdr:rowOff>121557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263072</xdr:colOff>
      <xdr:row>35</xdr:row>
      <xdr:rowOff>36285</xdr:rowOff>
    </xdr:from>
    <xdr:to>
      <xdr:col>12</xdr:col>
      <xdr:colOff>381000</xdr:colOff>
      <xdr:row>49</xdr:row>
      <xdr:rowOff>112485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635000</xdr:colOff>
      <xdr:row>35</xdr:row>
      <xdr:rowOff>81643</xdr:rowOff>
    </xdr:from>
    <xdr:to>
      <xdr:col>17</xdr:col>
      <xdr:colOff>635000</xdr:colOff>
      <xdr:row>49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108857</xdr:colOff>
      <xdr:row>35</xdr:row>
      <xdr:rowOff>108857</xdr:rowOff>
    </xdr:from>
    <xdr:to>
      <xdr:col>24</xdr:col>
      <xdr:colOff>489857</xdr:colOff>
      <xdr:row>49</xdr:row>
      <xdr:rowOff>185057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9071</xdr:colOff>
      <xdr:row>50</xdr:row>
      <xdr:rowOff>63500</xdr:rowOff>
    </xdr:from>
    <xdr:to>
      <xdr:col>6</xdr:col>
      <xdr:colOff>635000</xdr:colOff>
      <xdr:row>64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244930</xdr:colOff>
      <xdr:row>50</xdr:row>
      <xdr:rowOff>54428</xdr:rowOff>
    </xdr:from>
    <xdr:to>
      <xdr:col>12</xdr:col>
      <xdr:colOff>362858</xdr:colOff>
      <xdr:row>64</xdr:row>
      <xdr:rowOff>130628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625928</xdr:colOff>
      <xdr:row>50</xdr:row>
      <xdr:rowOff>63500</xdr:rowOff>
    </xdr:from>
    <xdr:to>
      <xdr:col>17</xdr:col>
      <xdr:colOff>625928</xdr:colOff>
      <xdr:row>64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108856</xdr:colOff>
      <xdr:row>50</xdr:row>
      <xdr:rowOff>81645</xdr:rowOff>
    </xdr:from>
    <xdr:to>
      <xdr:col>24</xdr:col>
      <xdr:colOff>489856</xdr:colOff>
      <xdr:row>64</xdr:row>
      <xdr:rowOff>157845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18143</xdr:colOff>
      <xdr:row>65</xdr:row>
      <xdr:rowOff>108857</xdr:rowOff>
    </xdr:from>
    <xdr:to>
      <xdr:col>6</xdr:col>
      <xdr:colOff>644072</xdr:colOff>
      <xdr:row>79</xdr:row>
      <xdr:rowOff>185057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235858</xdr:colOff>
      <xdr:row>65</xdr:row>
      <xdr:rowOff>81642</xdr:rowOff>
    </xdr:from>
    <xdr:to>
      <xdr:col>12</xdr:col>
      <xdr:colOff>353786</xdr:colOff>
      <xdr:row>79</xdr:row>
      <xdr:rowOff>157842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616857</xdr:colOff>
      <xdr:row>65</xdr:row>
      <xdr:rowOff>90714</xdr:rowOff>
    </xdr:from>
    <xdr:to>
      <xdr:col>17</xdr:col>
      <xdr:colOff>616857</xdr:colOff>
      <xdr:row>79</xdr:row>
      <xdr:rowOff>166914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127000</xdr:colOff>
      <xdr:row>65</xdr:row>
      <xdr:rowOff>81644</xdr:rowOff>
    </xdr:from>
    <xdr:to>
      <xdr:col>24</xdr:col>
      <xdr:colOff>508000</xdr:colOff>
      <xdr:row>79</xdr:row>
      <xdr:rowOff>157844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18142</xdr:colOff>
      <xdr:row>80</xdr:row>
      <xdr:rowOff>127002</xdr:rowOff>
    </xdr:from>
    <xdr:to>
      <xdr:col>6</xdr:col>
      <xdr:colOff>644071</xdr:colOff>
      <xdr:row>95</xdr:row>
      <xdr:rowOff>12702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226786</xdr:colOff>
      <xdr:row>80</xdr:row>
      <xdr:rowOff>136071</xdr:rowOff>
    </xdr:from>
    <xdr:to>
      <xdr:col>12</xdr:col>
      <xdr:colOff>344714</xdr:colOff>
      <xdr:row>95</xdr:row>
      <xdr:rowOff>21771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20</xdr:row>
      <xdr:rowOff>18142</xdr:rowOff>
    </xdr:from>
    <xdr:to>
      <xdr:col>6</xdr:col>
      <xdr:colOff>625929</xdr:colOff>
      <xdr:row>34</xdr:row>
      <xdr:rowOff>94342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254000</xdr:colOff>
      <xdr:row>20</xdr:row>
      <xdr:rowOff>0</xdr:rowOff>
    </xdr:from>
    <xdr:to>
      <xdr:col>12</xdr:col>
      <xdr:colOff>371928</xdr:colOff>
      <xdr:row>34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653143</xdr:colOff>
      <xdr:row>20</xdr:row>
      <xdr:rowOff>9071</xdr:rowOff>
    </xdr:from>
    <xdr:to>
      <xdr:col>17</xdr:col>
      <xdr:colOff>653143</xdr:colOff>
      <xdr:row>34</xdr:row>
      <xdr:rowOff>85271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6</xdr:col>
      <xdr:colOff>625929</xdr:colOff>
      <xdr:row>113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145142</xdr:colOff>
      <xdr:row>99</xdr:row>
      <xdr:rowOff>9072</xdr:rowOff>
    </xdr:from>
    <xdr:to>
      <xdr:col>12</xdr:col>
      <xdr:colOff>263070</xdr:colOff>
      <xdr:row>113</xdr:row>
      <xdr:rowOff>85272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480785</xdr:colOff>
      <xdr:row>99</xdr:row>
      <xdr:rowOff>27215</xdr:rowOff>
    </xdr:from>
    <xdr:to>
      <xdr:col>17</xdr:col>
      <xdr:colOff>480785</xdr:colOff>
      <xdr:row>113</xdr:row>
      <xdr:rowOff>103415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54428</xdr:colOff>
      <xdr:row>99</xdr:row>
      <xdr:rowOff>27215</xdr:rowOff>
    </xdr:from>
    <xdr:to>
      <xdr:col>24</xdr:col>
      <xdr:colOff>435428</xdr:colOff>
      <xdr:row>113</xdr:row>
      <xdr:rowOff>103415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9071</xdr:colOff>
      <xdr:row>114</xdr:row>
      <xdr:rowOff>81643</xdr:rowOff>
    </xdr:from>
    <xdr:to>
      <xdr:col>6</xdr:col>
      <xdr:colOff>635000</xdr:colOff>
      <xdr:row>128</xdr:row>
      <xdr:rowOff>157843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136072</xdr:colOff>
      <xdr:row>114</xdr:row>
      <xdr:rowOff>81643</xdr:rowOff>
    </xdr:from>
    <xdr:to>
      <xdr:col>12</xdr:col>
      <xdr:colOff>254000</xdr:colOff>
      <xdr:row>128</xdr:row>
      <xdr:rowOff>157843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480784</xdr:colOff>
      <xdr:row>114</xdr:row>
      <xdr:rowOff>72572</xdr:rowOff>
    </xdr:from>
    <xdr:to>
      <xdr:col>17</xdr:col>
      <xdr:colOff>480784</xdr:colOff>
      <xdr:row>128</xdr:row>
      <xdr:rowOff>148772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45358</xdr:colOff>
      <xdr:row>114</xdr:row>
      <xdr:rowOff>90715</xdr:rowOff>
    </xdr:from>
    <xdr:to>
      <xdr:col>24</xdr:col>
      <xdr:colOff>426358</xdr:colOff>
      <xdr:row>128</xdr:row>
      <xdr:rowOff>166915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18142</xdr:colOff>
      <xdr:row>129</xdr:row>
      <xdr:rowOff>99787</xdr:rowOff>
    </xdr:from>
    <xdr:to>
      <xdr:col>6</xdr:col>
      <xdr:colOff>644071</xdr:colOff>
      <xdr:row>143</xdr:row>
      <xdr:rowOff>175987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117929</xdr:colOff>
      <xdr:row>129</xdr:row>
      <xdr:rowOff>99787</xdr:rowOff>
    </xdr:from>
    <xdr:to>
      <xdr:col>12</xdr:col>
      <xdr:colOff>235857</xdr:colOff>
      <xdr:row>143</xdr:row>
      <xdr:rowOff>175987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471714</xdr:colOff>
      <xdr:row>129</xdr:row>
      <xdr:rowOff>99787</xdr:rowOff>
    </xdr:from>
    <xdr:to>
      <xdr:col>17</xdr:col>
      <xdr:colOff>471714</xdr:colOff>
      <xdr:row>143</xdr:row>
      <xdr:rowOff>175987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63499</xdr:colOff>
      <xdr:row>129</xdr:row>
      <xdr:rowOff>99787</xdr:rowOff>
    </xdr:from>
    <xdr:to>
      <xdr:col>24</xdr:col>
      <xdr:colOff>444499</xdr:colOff>
      <xdr:row>143</xdr:row>
      <xdr:rowOff>175987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18142</xdr:colOff>
      <xdr:row>145</xdr:row>
      <xdr:rowOff>0</xdr:rowOff>
    </xdr:from>
    <xdr:to>
      <xdr:col>6</xdr:col>
      <xdr:colOff>644071</xdr:colOff>
      <xdr:row>159</xdr:row>
      <xdr:rowOff>76200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190501</xdr:colOff>
      <xdr:row>145</xdr:row>
      <xdr:rowOff>18143</xdr:rowOff>
    </xdr:from>
    <xdr:to>
      <xdr:col>12</xdr:col>
      <xdr:colOff>308429</xdr:colOff>
      <xdr:row>159</xdr:row>
      <xdr:rowOff>94343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526143</xdr:colOff>
      <xdr:row>145</xdr:row>
      <xdr:rowOff>36286</xdr:rowOff>
    </xdr:from>
    <xdr:to>
      <xdr:col>17</xdr:col>
      <xdr:colOff>526143</xdr:colOff>
      <xdr:row>159</xdr:row>
      <xdr:rowOff>112486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18142</xdr:colOff>
      <xdr:row>145</xdr:row>
      <xdr:rowOff>36286</xdr:rowOff>
    </xdr:from>
    <xdr:to>
      <xdr:col>24</xdr:col>
      <xdr:colOff>399142</xdr:colOff>
      <xdr:row>159</xdr:row>
      <xdr:rowOff>112486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160</xdr:row>
      <xdr:rowOff>18143</xdr:rowOff>
    </xdr:from>
    <xdr:to>
      <xdr:col>6</xdr:col>
      <xdr:colOff>625929</xdr:colOff>
      <xdr:row>174</xdr:row>
      <xdr:rowOff>94343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190500</xdr:colOff>
      <xdr:row>160</xdr:row>
      <xdr:rowOff>36286</xdr:rowOff>
    </xdr:from>
    <xdr:to>
      <xdr:col>12</xdr:col>
      <xdr:colOff>308428</xdr:colOff>
      <xdr:row>174</xdr:row>
      <xdr:rowOff>112486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279398</xdr:colOff>
      <xdr:row>42</xdr:row>
      <xdr:rowOff>118532</xdr:rowOff>
    </xdr:from>
    <xdr:to>
      <xdr:col>39</xdr:col>
      <xdr:colOff>279398</xdr:colOff>
      <xdr:row>69</xdr:row>
      <xdr:rowOff>110065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 x14ac:dyDescent="0.2"/>
  <cols>
    <col min="1" max="1" width="23.1640625" style="57" customWidth="1"/>
    <col min="2" max="5" width="12.83203125" style="57" customWidth="1"/>
    <col min="6" max="6" width="13.6640625" style="57" customWidth="1"/>
    <col min="7" max="10" width="12.83203125" style="57" customWidth="1"/>
    <col min="11" max="13" width="2" style="57" customWidth="1"/>
    <col min="14" max="41" width="9.1640625" style="57" customWidth="1"/>
    <col min="42" max="16384" width="9.1640625" style="57"/>
  </cols>
  <sheetData>
    <row r="1" spans="2:13" x14ac:dyDescent="0.2">
      <c r="B1" s="14"/>
      <c r="C1" s="15"/>
      <c r="D1" s="15"/>
      <c r="E1" s="15"/>
    </row>
    <row r="2" spans="2:13" x14ac:dyDescent="0.2">
      <c r="B2" s="64" t="s">
        <v>0</v>
      </c>
      <c r="C2" s="65"/>
      <c r="D2" s="65"/>
      <c r="E2" s="65"/>
      <c r="F2" s="65"/>
      <c r="G2" s="65"/>
      <c r="H2" s="65"/>
      <c r="I2" s="65"/>
      <c r="J2" s="66"/>
    </row>
    <row r="4" spans="2:13" x14ac:dyDescent="0.2">
      <c r="B4" s="64" t="s">
        <v>1</v>
      </c>
      <c r="C4" s="65"/>
      <c r="D4" s="65"/>
      <c r="E4" s="65"/>
      <c r="F4" s="66"/>
      <c r="G4" s="64" t="s">
        <v>2</v>
      </c>
      <c r="H4" s="65"/>
      <c r="I4" s="65"/>
      <c r="J4" s="66"/>
    </row>
    <row r="6" spans="2:13" x14ac:dyDescent="0.2">
      <c r="B6" s="61" t="s">
        <v>3</v>
      </c>
      <c r="C6" s="61"/>
      <c r="D6" s="61"/>
      <c r="E6" s="61"/>
      <c r="F6" s="61"/>
      <c r="G6" s="61" t="s">
        <v>4</v>
      </c>
      <c r="H6" s="61"/>
      <c r="I6" s="61"/>
      <c r="J6" s="61"/>
    </row>
    <row r="7" spans="2:13" ht="30.75" customHeight="1" x14ac:dyDescent="0.2">
      <c r="G7" s="60" t="s">
        <v>5</v>
      </c>
      <c r="H7" s="61"/>
      <c r="I7" s="61"/>
      <c r="J7" s="61"/>
    </row>
    <row r="8" spans="2:13" x14ac:dyDescent="0.2">
      <c r="B8" s="60"/>
      <c r="C8" s="61"/>
      <c r="D8" s="61"/>
      <c r="E8" s="61"/>
      <c r="F8" s="61"/>
      <c r="G8" s="61"/>
      <c r="H8" s="61"/>
      <c r="I8" s="61"/>
      <c r="J8" s="61"/>
    </row>
    <row r="9" spans="2:13" x14ac:dyDescent="0.2">
      <c r="B9" s="62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</row>
    <row r="10" spans="2:13" x14ac:dyDescent="0.2">
      <c r="B10" s="60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2:13" x14ac:dyDescent="0.2">
      <c r="B11" s="63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29"/>
  <sheetViews>
    <sheetView zoomScale="190" zoomScaleNormal="190" workbookViewId="0">
      <selection activeCell="F16" sqref="F16"/>
    </sheetView>
  </sheetViews>
  <sheetFormatPr baseColWidth="10" defaultRowHeight="15" x14ac:dyDescent="0.2"/>
  <cols>
    <col min="1" max="1" width="34.1640625" style="30" customWidth="1"/>
  </cols>
  <sheetData>
    <row r="1" spans="1:4" x14ac:dyDescent="0.2">
      <c r="A1" t="s">
        <v>6</v>
      </c>
      <c r="B1" t="s">
        <v>7</v>
      </c>
      <c r="C1" t="s">
        <v>8</v>
      </c>
      <c r="D1" t="s">
        <v>9</v>
      </c>
    </row>
    <row r="2" spans="1:4" x14ac:dyDescent="0.2">
      <c r="A2" t="s">
        <v>10</v>
      </c>
      <c r="B2">
        <v>1.6790943920683761E-2</v>
      </c>
      <c r="C2">
        <v>1.6407465395443108E-2</v>
      </c>
      <c r="D2">
        <v>1.115276765936578E-2</v>
      </c>
    </row>
    <row r="3" spans="1:4" x14ac:dyDescent="0.2">
      <c r="A3" t="s">
        <v>11</v>
      </c>
      <c r="B3">
        <v>5.5317363621841711E-2</v>
      </c>
      <c r="C3">
        <v>0.12226677108077</v>
      </c>
      <c r="D3">
        <v>-2.2629152430098401E-2</v>
      </c>
    </row>
    <row r="4" spans="1:4" x14ac:dyDescent="0.2">
      <c r="A4" t="s">
        <v>12</v>
      </c>
      <c r="B4">
        <v>5.8327773290725903E-3</v>
      </c>
      <c r="C4">
        <v>3.1375709731505858E-3</v>
      </c>
      <c r="D4">
        <v>4.8151001540830369E-4</v>
      </c>
    </row>
    <row r="5" spans="1:4" x14ac:dyDescent="0.2">
      <c r="A5" t="s">
        <v>13</v>
      </c>
      <c r="B5">
        <v>4.9810802665505713E-3</v>
      </c>
      <c r="C5">
        <v>4.8044807563845026E-3</v>
      </c>
      <c r="D5">
        <v>3.1541871834860728E-3</v>
      </c>
    </row>
    <row r="6" spans="1:4" x14ac:dyDescent="0.2">
      <c r="A6" t="s">
        <v>14</v>
      </c>
      <c r="B6">
        <v>-1.914353268123687E-2</v>
      </c>
      <c r="C6">
        <v>8.5241703608500956E-3</v>
      </c>
      <c r="D6">
        <v>-8.3442029991026741E-3</v>
      </c>
    </row>
    <row r="7" spans="1:4" x14ac:dyDescent="0.2">
      <c r="A7" t="s">
        <v>15</v>
      </c>
      <c r="B7">
        <v>-2.4805028365475039E-2</v>
      </c>
      <c r="C7">
        <v>1.468871684038702E-2</v>
      </c>
      <c r="D7">
        <v>-2.6894312168303059E-2</v>
      </c>
    </row>
    <row r="8" spans="1:4" x14ac:dyDescent="0.2">
      <c r="A8" t="s">
        <v>16</v>
      </c>
      <c r="B8">
        <v>2.5641025641025661E-2</v>
      </c>
      <c r="C8">
        <v>-8.4745762711864403E-2</v>
      </c>
      <c r="D8">
        <v>-4.4776119402985037E-2</v>
      </c>
    </row>
    <row r="9" spans="1:4" x14ac:dyDescent="0.2">
      <c r="A9" t="s">
        <v>17</v>
      </c>
      <c r="B9">
        <v>149629</v>
      </c>
      <c r="C9">
        <v>146387</v>
      </c>
      <c r="D9">
        <v>143017</v>
      </c>
    </row>
    <row r="10" spans="1:4" x14ac:dyDescent="0.2">
      <c r="A10" t="s">
        <v>18</v>
      </c>
      <c r="B10">
        <v>223000</v>
      </c>
      <c r="C10">
        <v>377000</v>
      </c>
      <c r="D10">
        <v>863000</v>
      </c>
    </row>
    <row r="11" spans="1:4" x14ac:dyDescent="0.2">
      <c r="A11" t="s">
        <v>19</v>
      </c>
      <c r="B11">
        <v>-1.0235595164563491E-3</v>
      </c>
      <c r="C11">
        <v>5.4822432562803116E-3</v>
      </c>
      <c r="D11">
        <v>1.157358567077907E-2</v>
      </c>
    </row>
    <row r="12" spans="1:4" x14ac:dyDescent="0.2">
      <c r="A12" t="s">
        <v>20</v>
      </c>
      <c r="B12" t="s">
        <v>21</v>
      </c>
    </row>
    <row r="13" spans="1:4" x14ac:dyDescent="0.2">
      <c r="A13" t="s">
        <v>22</v>
      </c>
      <c r="B13">
        <v>3.9499999999999596E-3</v>
      </c>
    </row>
    <row r="14" spans="1:4" x14ac:dyDescent="0.2">
      <c r="A14" t="s">
        <v>23</v>
      </c>
      <c r="B14">
        <v>7.4249999999999256E-3</v>
      </c>
    </row>
    <row r="15" spans="1:4" x14ac:dyDescent="0.2">
      <c r="A15" t="s">
        <v>24</v>
      </c>
      <c r="B15">
        <v>1.6449999999999961E-2</v>
      </c>
    </row>
    <row r="16" spans="1:4" x14ac:dyDescent="0.2">
      <c r="A16" t="s">
        <v>25</v>
      </c>
      <c r="B16">
        <v>0.19</v>
      </c>
    </row>
    <row r="17" spans="1:4" x14ac:dyDescent="0.2">
      <c r="A17" t="s">
        <v>26</v>
      </c>
      <c r="B17">
        <v>1.18</v>
      </c>
      <c r="C17">
        <v>0.17419999999999999</v>
      </c>
      <c r="D17">
        <v>0.1113</v>
      </c>
    </row>
    <row r="18" spans="1:4" x14ac:dyDescent="0.2">
      <c r="A18" t="s">
        <v>27</v>
      </c>
      <c r="B18">
        <v>1.81</v>
      </c>
      <c r="C18">
        <v>1.179</v>
      </c>
      <c r="D18">
        <v>1.079</v>
      </c>
    </row>
    <row r="19" spans="1:4" x14ac:dyDescent="0.2">
      <c r="A19" t="s">
        <v>28</v>
      </c>
      <c r="B19">
        <v>2.12</v>
      </c>
    </row>
    <row r="20" spans="1:4" x14ac:dyDescent="0.2">
      <c r="A20" t="s">
        <v>29</v>
      </c>
      <c r="B20">
        <v>96.389999389648438</v>
      </c>
      <c r="C20">
        <v>92.050003051757812</v>
      </c>
      <c r="D20">
        <v>91.019996643066406</v>
      </c>
    </row>
    <row r="21" spans="1:4" x14ac:dyDescent="0.2">
      <c r="A21" t="s">
        <v>30</v>
      </c>
      <c r="B21">
        <v>67.2</v>
      </c>
      <c r="C21">
        <v>81.2</v>
      </c>
      <c r="D21">
        <v>79</v>
      </c>
    </row>
    <row r="22" spans="1:4" x14ac:dyDescent="0.2">
      <c r="A22" t="s">
        <v>31</v>
      </c>
      <c r="B22">
        <v>64.099999999999994</v>
      </c>
      <c r="C22">
        <v>79</v>
      </c>
      <c r="D22">
        <v>74</v>
      </c>
    </row>
    <row r="23" spans="1:4" x14ac:dyDescent="0.2">
      <c r="A23" t="s">
        <v>32</v>
      </c>
      <c r="B23">
        <v>120.8</v>
      </c>
      <c r="C23">
        <v>115.1</v>
      </c>
      <c r="D23">
        <v>109.6</v>
      </c>
    </row>
    <row r="24" spans="1:4" x14ac:dyDescent="0.2">
      <c r="A24" t="s">
        <v>33</v>
      </c>
      <c r="B24">
        <v>1885</v>
      </c>
      <c r="C24">
        <v>1594</v>
      </c>
      <c r="D24">
        <v>1758</v>
      </c>
    </row>
    <row r="25" spans="1:4" x14ac:dyDescent="0.2">
      <c r="A25" t="s">
        <v>34</v>
      </c>
      <c r="B25">
        <v>57.6</v>
      </c>
      <c r="C25">
        <v>59.5</v>
      </c>
      <c r="D25">
        <v>58.7</v>
      </c>
    </row>
    <row r="26" spans="1:4" x14ac:dyDescent="0.2">
      <c r="A26" t="s">
        <v>35</v>
      </c>
      <c r="B26">
        <v>57.9</v>
      </c>
      <c r="C26">
        <v>64.900000000000006</v>
      </c>
      <c r="D26">
        <v>61.1</v>
      </c>
    </row>
    <row r="27" spans="1:4" x14ac:dyDescent="0.2">
      <c r="A27" t="s">
        <v>36</v>
      </c>
      <c r="B27">
        <v>59.9</v>
      </c>
      <c r="C27">
        <v>64.099999999999994</v>
      </c>
      <c r="D27">
        <v>58.7</v>
      </c>
    </row>
    <row r="28" spans="1:4" x14ac:dyDescent="0.2">
      <c r="A28" t="s">
        <v>37</v>
      </c>
      <c r="B28">
        <v>4.4355004312292834E-3</v>
      </c>
      <c r="C28">
        <v>-6.2922982269701883E-3</v>
      </c>
      <c r="D28">
        <v>9.4422127684804739E-3</v>
      </c>
    </row>
    <row r="29" spans="1:4" x14ac:dyDescent="0.2">
      <c r="A29" t="s">
        <v>38</v>
      </c>
      <c r="B29">
        <v>3.6119845126418508E-3</v>
      </c>
      <c r="C29">
        <v>-7.3986308583464744E-3</v>
      </c>
      <c r="D29">
        <v>5.7621431321854388E-3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S7"/>
  <sheetViews>
    <sheetView zoomScale="190" zoomScaleNormal="190" workbookViewId="0">
      <selection activeCell="W14" sqref="W14"/>
    </sheetView>
  </sheetViews>
  <sheetFormatPr baseColWidth="10" defaultRowHeight="15" x14ac:dyDescent="0.2"/>
  <cols>
    <col min="1" max="1" width="23.1640625" style="30" customWidth="1"/>
    <col min="2" max="28" width="10.83203125" style="30" customWidth="1"/>
    <col min="29" max="16384" width="10.83203125" style="30"/>
  </cols>
  <sheetData>
    <row r="1" spans="1:19" x14ac:dyDescent="0.2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</row>
    <row r="2" spans="1:19" x14ac:dyDescent="0.2">
      <c r="A2" s="59">
        <v>44562</v>
      </c>
      <c r="B2">
        <v>14</v>
      </c>
      <c r="C2">
        <v>3</v>
      </c>
      <c r="D2">
        <v>4</v>
      </c>
      <c r="E2">
        <v>9</v>
      </c>
      <c r="F2">
        <v>5</v>
      </c>
      <c r="G2">
        <v>8</v>
      </c>
      <c r="H2">
        <v>13</v>
      </c>
      <c r="I2">
        <v>10</v>
      </c>
      <c r="J2">
        <v>12</v>
      </c>
      <c r="K2">
        <v>11</v>
      </c>
      <c r="L2">
        <v>-1</v>
      </c>
      <c r="M2">
        <v>2</v>
      </c>
      <c r="N2">
        <v>1</v>
      </c>
      <c r="O2">
        <v>6</v>
      </c>
      <c r="P2">
        <v>0</v>
      </c>
      <c r="Q2">
        <v>0</v>
      </c>
      <c r="R2">
        <v>7</v>
      </c>
      <c r="S2">
        <v>0</v>
      </c>
    </row>
    <row r="3" spans="1:19" x14ac:dyDescent="0.2">
      <c r="A3" s="59">
        <v>44593</v>
      </c>
      <c r="B3">
        <v>16</v>
      </c>
      <c r="C3">
        <v>2</v>
      </c>
      <c r="D3">
        <v>8</v>
      </c>
      <c r="E3">
        <v>9</v>
      </c>
      <c r="F3">
        <v>5</v>
      </c>
      <c r="G3">
        <v>4</v>
      </c>
      <c r="H3">
        <v>7</v>
      </c>
      <c r="I3">
        <v>12</v>
      </c>
      <c r="J3">
        <v>11</v>
      </c>
      <c r="K3">
        <v>3</v>
      </c>
      <c r="L3">
        <v>14</v>
      </c>
      <c r="M3">
        <v>1</v>
      </c>
      <c r="N3">
        <v>6</v>
      </c>
      <c r="O3">
        <v>10</v>
      </c>
      <c r="P3">
        <v>0</v>
      </c>
      <c r="Q3">
        <v>15</v>
      </c>
      <c r="R3">
        <v>13</v>
      </c>
      <c r="S3">
        <v>-1</v>
      </c>
    </row>
    <row r="4" spans="1:19" x14ac:dyDescent="0.2">
      <c r="A4" s="59">
        <v>44621</v>
      </c>
      <c r="B4">
        <v>15</v>
      </c>
      <c r="C4">
        <v>5</v>
      </c>
      <c r="D4">
        <v>4</v>
      </c>
      <c r="E4">
        <v>12</v>
      </c>
      <c r="F4">
        <v>7</v>
      </c>
      <c r="G4">
        <v>13</v>
      </c>
      <c r="H4">
        <v>14</v>
      </c>
      <c r="I4">
        <v>10</v>
      </c>
      <c r="J4">
        <v>11</v>
      </c>
      <c r="K4">
        <v>3</v>
      </c>
      <c r="L4">
        <v>6</v>
      </c>
      <c r="M4">
        <v>-1</v>
      </c>
      <c r="N4">
        <v>1</v>
      </c>
      <c r="O4">
        <v>2</v>
      </c>
      <c r="P4">
        <v>0</v>
      </c>
      <c r="Q4">
        <v>9</v>
      </c>
      <c r="R4">
        <v>8</v>
      </c>
      <c r="S4">
        <v>-2</v>
      </c>
    </row>
    <row r="5" spans="1:19" x14ac:dyDescent="0.2">
      <c r="A5" s="59">
        <v>44652</v>
      </c>
      <c r="B5">
        <v>17</v>
      </c>
      <c r="C5">
        <v>5</v>
      </c>
      <c r="D5">
        <v>13</v>
      </c>
      <c r="E5">
        <v>9</v>
      </c>
      <c r="F5">
        <v>3</v>
      </c>
      <c r="G5">
        <v>12</v>
      </c>
      <c r="H5">
        <v>6</v>
      </c>
      <c r="I5">
        <v>16</v>
      </c>
      <c r="J5">
        <v>2</v>
      </c>
      <c r="K5">
        <v>14</v>
      </c>
      <c r="L5">
        <v>8</v>
      </c>
      <c r="M5">
        <v>-1</v>
      </c>
      <c r="N5">
        <v>15</v>
      </c>
      <c r="O5">
        <v>7</v>
      </c>
      <c r="P5">
        <v>10</v>
      </c>
      <c r="Q5">
        <v>4</v>
      </c>
      <c r="R5">
        <v>11</v>
      </c>
      <c r="S5">
        <v>1</v>
      </c>
    </row>
    <row r="6" spans="1:19" x14ac:dyDescent="0.2">
      <c r="A6" s="59">
        <v>44682</v>
      </c>
      <c r="B6">
        <v>15</v>
      </c>
      <c r="C6">
        <v>4</v>
      </c>
      <c r="D6">
        <v>11</v>
      </c>
      <c r="E6">
        <v>1</v>
      </c>
      <c r="F6">
        <v>5</v>
      </c>
      <c r="G6">
        <v>10</v>
      </c>
      <c r="H6">
        <v>-1</v>
      </c>
      <c r="I6">
        <v>13</v>
      </c>
      <c r="J6">
        <v>3</v>
      </c>
      <c r="K6">
        <v>12</v>
      </c>
      <c r="L6">
        <v>8</v>
      </c>
      <c r="M6">
        <v>7</v>
      </c>
      <c r="N6">
        <v>6</v>
      </c>
      <c r="O6">
        <v>2</v>
      </c>
      <c r="P6">
        <v>14</v>
      </c>
      <c r="Q6">
        <v>0</v>
      </c>
      <c r="R6">
        <v>9</v>
      </c>
      <c r="S6">
        <v>0</v>
      </c>
    </row>
    <row r="7" spans="1:19" x14ac:dyDescent="0.2">
      <c r="A7" s="59">
        <v>44713</v>
      </c>
      <c r="B7">
        <v>15</v>
      </c>
      <c r="C7">
        <v>1</v>
      </c>
      <c r="D7">
        <v>12</v>
      </c>
      <c r="E7">
        <v>10</v>
      </c>
      <c r="F7">
        <v>5</v>
      </c>
      <c r="G7">
        <v>2</v>
      </c>
      <c r="H7">
        <v>-1</v>
      </c>
      <c r="I7">
        <v>11</v>
      </c>
      <c r="J7">
        <v>4</v>
      </c>
      <c r="K7">
        <v>8</v>
      </c>
      <c r="L7">
        <v>-3</v>
      </c>
      <c r="M7">
        <v>3</v>
      </c>
      <c r="N7">
        <v>7</v>
      </c>
      <c r="O7">
        <v>9</v>
      </c>
      <c r="P7">
        <v>13</v>
      </c>
      <c r="Q7">
        <v>14</v>
      </c>
      <c r="R7">
        <v>6</v>
      </c>
      <c r="S7">
        <v>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S7"/>
  <sheetViews>
    <sheetView zoomScale="190" zoomScaleNormal="190" workbookViewId="0">
      <selection activeCell="P35" sqref="P35"/>
    </sheetView>
  </sheetViews>
  <sheetFormatPr baseColWidth="10" defaultRowHeight="15" x14ac:dyDescent="0.2"/>
  <cols>
    <col min="1" max="1" width="23.1640625" style="30" customWidth="1"/>
    <col min="2" max="19" width="10.83203125" style="30" customWidth="1"/>
    <col min="20" max="16384" width="10.83203125" style="30"/>
  </cols>
  <sheetData>
    <row r="1" spans="1:19" x14ac:dyDescent="0.2">
      <c r="A1" t="s">
        <v>39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</row>
    <row r="2" spans="1:19" x14ac:dyDescent="0.2">
      <c r="A2" s="59">
        <v>44562</v>
      </c>
      <c r="B2">
        <v>17</v>
      </c>
      <c r="C2">
        <v>1</v>
      </c>
      <c r="D2">
        <v>5</v>
      </c>
      <c r="E2">
        <v>14</v>
      </c>
      <c r="F2">
        <v>6</v>
      </c>
      <c r="G2">
        <v>3</v>
      </c>
      <c r="H2">
        <v>12</v>
      </c>
      <c r="I2">
        <v>9</v>
      </c>
      <c r="J2">
        <v>16</v>
      </c>
      <c r="K2">
        <v>11</v>
      </c>
      <c r="L2">
        <v>7</v>
      </c>
      <c r="M2">
        <v>8</v>
      </c>
      <c r="N2">
        <v>18</v>
      </c>
      <c r="O2">
        <v>4</v>
      </c>
      <c r="P2">
        <v>2</v>
      </c>
      <c r="Q2">
        <v>15</v>
      </c>
      <c r="R2">
        <v>13</v>
      </c>
      <c r="S2">
        <v>10</v>
      </c>
    </row>
    <row r="3" spans="1:19" x14ac:dyDescent="0.2">
      <c r="A3" s="59">
        <v>44593</v>
      </c>
      <c r="B3">
        <v>11</v>
      </c>
      <c r="C3">
        <v>5</v>
      </c>
      <c r="D3">
        <v>3</v>
      </c>
      <c r="E3">
        <v>2</v>
      </c>
      <c r="F3">
        <v>7</v>
      </c>
      <c r="G3">
        <v>6</v>
      </c>
      <c r="H3">
        <v>9</v>
      </c>
      <c r="I3">
        <v>10</v>
      </c>
      <c r="J3">
        <v>18</v>
      </c>
      <c r="K3">
        <v>17</v>
      </c>
      <c r="L3">
        <v>13</v>
      </c>
      <c r="M3">
        <v>4</v>
      </c>
      <c r="N3">
        <v>12</v>
      </c>
      <c r="O3">
        <v>8</v>
      </c>
      <c r="P3">
        <v>15</v>
      </c>
      <c r="Q3">
        <v>16</v>
      </c>
      <c r="R3">
        <v>1</v>
      </c>
      <c r="S3">
        <v>14</v>
      </c>
    </row>
    <row r="4" spans="1:19" x14ac:dyDescent="0.2">
      <c r="A4" s="59">
        <v>44621</v>
      </c>
      <c r="B4">
        <v>9</v>
      </c>
      <c r="C4">
        <v>6</v>
      </c>
      <c r="D4">
        <v>2</v>
      </c>
      <c r="E4">
        <v>3</v>
      </c>
      <c r="F4">
        <v>1</v>
      </c>
      <c r="G4">
        <v>12</v>
      </c>
      <c r="H4">
        <v>15</v>
      </c>
      <c r="I4">
        <v>16</v>
      </c>
      <c r="J4">
        <v>18</v>
      </c>
      <c r="K4">
        <v>10</v>
      </c>
      <c r="L4">
        <v>7</v>
      </c>
      <c r="M4">
        <v>4</v>
      </c>
      <c r="N4">
        <v>13</v>
      </c>
      <c r="O4">
        <v>11</v>
      </c>
      <c r="P4">
        <v>8</v>
      </c>
      <c r="Q4">
        <v>17</v>
      </c>
      <c r="R4">
        <v>5</v>
      </c>
      <c r="S4">
        <v>14</v>
      </c>
    </row>
    <row r="5" spans="1:19" x14ac:dyDescent="0.2">
      <c r="A5" s="59">
        <v>44652</v>
      </c>
      <c r="B5">
        <v>18</v>
      </c>
      <c r="C5">
        <v>2</v>
      </c>
      <c r="D5">
        <v>4</v>
      </c>
      <c r="E5">
        <v>13</v>
      </c>
      <c r="F5">
        <v>10</v>
      </c>
      <c r="G5">
        <v>16</v>
      </c>
      <c r="H5">
        <v>6</v>
      </c>
      <c r="I5">
        <v>17</v>
      </c>
      <c r="J5">
        <v>14</v>
      </c>
      <c r="K5">
        <v>15</v>
      </c>
      <c r="L5">
        <v>9</v>
      </c>
      <c r="M5">
        <v>5</v>
      </c>
      <c r="N5">
        <v>1</v>
      </c>
      <c r="O5">
        <v>7</v>
      </c>
      <c r="P5">
        <v>11</v>
      </c>
      <c r="Q5">
        <v>12</v>
      </c>
      <c r="R5">
        <v>3</v>
      </c>
      <c r="S5">
        <v>8</v>
      </c>
    </row>
    <row r="6" spans="1:19" x14ac:dyDescent="0.2">
      <c r="A6" s="59">
        <v>44682</v>
      </c>
      <c r="B6">
        <v>18</v>
      </c>
      <c r="C6">
        <v>10</v>
      </c>
      <c r="D6">
        <v>3</v>
      </c>
      <c r="E6">
        <v>14</v>
      </c>
      <c r="F6">
        <v>7</v>
      </c>
      <c r="G6">
        <v>12</v>
      </c>
      <c r="H6">
        <v>13</v>
      </c>
      <c r="I6">
        <v>17</v>
      </c>
      <c r="J6">
        <v>16</v>
      </c>
      <c r="K6">
        <v>11</v>
      </c>
      <c r="L6">
        <v>9</v>
      </c>
      <c r="M6">
        <v>4</v>
      </c>
      <c r="N6">
        <v>1</v>
      </c>
      <c r="O6">
        <v>5</v>
      </c>
      <c r="P6">
        <v>8</v>
      </c>
      <c r="Q6">
        <v>15</v>
      </c>
      <c r="R6">
        <v>6</v>
      </c>
      <c r="S6">
        <v>2</v>
      </c>
    </row>
    <row r="7" spans="1:19" x14ac:dyDescent="0.2">
      <c r="A7" s="59">
        <v>44713</v>
      </c>
      <c r="B7">
        <v>18</v>
      </c>
      <c r="C7">
        <v>2</v>
      </c>
      <c r="D7">
        <v>4</v>
      </c>
      <c r="E7">
        <v>13</v>
      </c>
      <c r="F7">
        <v>7</v>
      </c>
      <c r="G7">
        <v>8</v>
      </c>
      <c r="H7">
        <v>16</v>
      </c>
      <c r="I7">
        <v>17</v>
      </c>
      <c r="J7">
        <v>6</v>
      </c>
      <c r="K7">
        <v>11</v>
      </c>
      <c r="L7">
        <v>15</v>
      </c>
      <c r="M7">
        <v>9</v>
      </c>
      <c r="N7">
        <v>1</v>
      </c>
      <c r="O7">
        <v>10</v>
      </c>
      <c r="P7">
        <v>12</v>
      </c>
      <c r="Q7">
        <v>3</v>
      </c>
      <c r="R7">
        <v>14</v>
      </c>
      <c r="S7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AA142"/>
  <sheetViews>
    <sheetView zoomScale="170" zoomScaleNormal="170" workbookViewId="0">
      <pane ySplit="1" topLeftCell="A128" activePane="bottomLeft" state="frozen"/>
      <selection activeCell="F16" sqref="F16"/>
      <selection pane="bottomLeft" activeCell="F16" sqref="F16"/>
    </sheetView>
  </sheetViews>
  <sheetFormatPr baseColWidth="10" defaultRowHeight="15" x14ac:dyDescent="0.2"/>
  <sheetData>
    <row r="1" spans="1:27" x14ac:dyDescent="0.2">
      <c r="A1" t="s">
        <v>39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</row>
    <row r="2" spans="1:27" x14ac:dyDescent="0.2">
      <c r="A2" s="59">
        <v>40452</v>
      </c>
      <c r="B2">
        <v>53.7</v>
      </c>
      <c r="C2">
        <v>56.9</v>
      </c>
    </row>
    <row r="3" spans="1:27" x14ac:dyDescent="0.2">
      <c r="A3" s="59">
        <v>40483</v>
      </c>
      <c r="B3">
        <v>54</v>
      </c>
      <c r="C3">
        <v>57.3</v>
      </c>
    </row>
    <row r="4" spans="1:27" x14ac:dyDescent="0.2">
      <c r="A4" s="59">
        <v>40513</v>
      </c>
      <c r="B4">
        <v>54.9</v>
      </c>
      <c r="C4">
        <v>56.6</v>
      </c>
    </row>
    <row r="5" spans="1:27" x14ac:dyDescent="0.2">
      <c r="A5" s="59">
        <v>40544</v>
      </c>
      <c r="B5">
        <v>57.2</v>
      </c>
      <c r="C5">
        <v>59.1</v>
      </c>
    </row>
    <row r="6" spans="1:27" x14ac:dyDescent="0.2">
      <c r="A6" s="59">
        <v>40575</v>
      </c>
      <c r="B6">
        <v>58.2</v>
      </c>
      <c r="C6">
        <v>59.2</v>
      </c>
    </row>
    <row r="7" spans="1:27" x14ac:dyDescent="0.2">
      <c r="A7" s="59">
        <v>40603</v>
      </c>
      <c r="B7">
        <v>56</v>
      </c>
      <c r="C7">
        <v>58.4</v>
      </c>
    </row>
    <row r="8" spans="1:27" x14ac:dyDescent="0.2">
      <c r="A8" s="59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2">
      <c r="A9" s="59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2">
      <c r="A10" s="59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2">
      <c r="A11" s="59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2">
      <c r="A12" s="59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2">
      <c r="A13" s="59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2">
      <c r="A14" s="59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2">
      <c r="A15" s="59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2">
      <c r="A16" s="59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2">
      <c r="A17" s="59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2">
      <c r="A18" s="59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2">
      <c r="A19" s="59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2">
      <c r="A20" s="59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2">
      <c r="A21" s="59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2">
      <c r="A22" s="59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2">
      <c r="A23" s="59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2">
      <c r="A24" s="59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2">
      <c r="A25" s="59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2">
      <c r="A26" s="59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2">
      <c r="A27" s="59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2">
      <c r="A28" s="59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2">
      <c r="A29" s="59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2">
      <c r="A30" s="59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2">
      <c r="A31" s="59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2">
      <c r="A32" s="59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2">
      <c r="A33" s="59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2">
      <c r="A34" s="59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2">
      <c r="A35" s="59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2">
      <c r="A36" s="59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2">
      <c r="A37" s="59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2">
      <c r="A38" s="59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2">
      <c r="A39" s="59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2">
      <c r="A40" s="59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2">
      <c r="A41" s="59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2">
      <c r="A42" s="59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2">
      <c r="A43" s="59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2">
      <c r="A44" s="59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2">
      <c r="A45" s="59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2">
      <c r="A46" s="59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2">
      <c r="A47" s="59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2">
      <c r="A48" s="59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2">
      <c r="A49" s="59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2">
      <c r="A50" s="59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2">
      <c r="A51" s="59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2">
      <c r="A52" s="59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2">
      <c r="A53" s="59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2">
      <c r="A54" s="59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2">
      <c r="A55" s="59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2">
      <c r="A56" s="59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2">
      <c r="A57" s="59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2">
      <c r="A58" s="59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2">
      <c r="A59" s="59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2">
      <c r="A60" s="59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2">
      <c r="A61" s="59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2">
      <c r="A62" s="59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2">
      <c r="A63" s="59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2">
      <c r="A64" s="59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2">
      <c r="A65" s="59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2">
      <c r="A66" s="59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2">
      <c r="A67" s="59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2">
      <c r="A68" s="59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2">
      <c r="A69" s="59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2">
      <c r="A70" s="59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2">
      <c r="A71" s="59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2">
      <c r="A72" s="59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2">
      <c r="A73" s="59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2">
      <c r="A74" s="59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2">
      <c r="A75" s="59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2">
      <c r="A76" s="59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2">
      <c r="A77" s="59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2">
      <c r="A78" s="59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2">
      <c r="A79" s="59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2">
      <c r="A80" s="59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2">
      <c r="A81" s="59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2">
      <c r="A82" s="59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2">
      <c r="A83" s="59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2">
      <c r="A84" s="59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2">
      <c r="A85" s="59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2">
      <c r="A86" s="59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2">
      <c r="A87" s="59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2">
      <c r="A88" s="59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2">
      <c r="A89" s="59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2">
      <c r="A90" s="59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2">
      <c r="A91" s="59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2">
      <c r="A92" s="59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2">
      <c r="A93" s="59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2">
      <c r="A94" s="59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2">
      <c r="A95" s="59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2">
      <c r="A96" s="59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2">
      <c r="A97" s="59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2">
      <c r="A98" s="59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2">
      <c r="A99" s="59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2">
      <c r="A100" s="59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2">
      <c r="A101" s="59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2">
      <c r="A102" s="59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2">
      <c r="A103" s="59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2">
      <c r="A104" s="59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2">
      <c r="A105" s="59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2">
      <c r="A106" s="59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2">
      <c r="A107" s="59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2">
      <c r="A108" s="59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2">
      <c r="A109" s="59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2">
      <c r="A110" s="59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2">
      <c r="A111" s="59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2">
      <c r="A112" s="59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2">
      <c r="A113" s="59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2">
      <c r="A114" s="59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2">
      <c r="A115" s="59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2">
      <c r="A116" s="59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2">
      <c r="A117" s="59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2">
      <c r="A118" s="59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2">
      <c r="A119" s="59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2">
      <c r="A120" s="59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2">
      <c r="A121" s="59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2">
      <c r="A122" s="59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2">
      <c r="A123" s="59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2">
      <c r="A124" s="59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2">
      <c r="A125" s="59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2">
      <c r="A126" s="59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2">
      <c r="A127" s="59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2">
      <c r="A128" s="59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2">
      <c r="A129" s="59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2">
      <c r="A130" s="59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2">
      <c r="A131" s="59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2">
      <c r="A132" s="59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2">
      <c r="A133" s="59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2">
      <c r="A134" s="59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2">
      <c r="A135" s="59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2">
      <c r="A136" s="59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2">
      <c r="A137" s="59">
        <v>44562</v>
      </c>
      <c r="B137">
        <v>51.4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  <row r="138" spans="1:27" x14ac:dyDescent="0.2">
      <c r="A138" s="59">
        <v>44593</v>
      </c>
      <c r="C138">
        <v>58.6</v>
      </c>
      <c r="D138">
        <v>57.5</v>
      </c>
      <c r="E138">
        <v>50.4</v>
      </c>
      <c r="F138">
        <v>58.4</v>
      </c>
      <c r="G138">
        <v>52.9</v>
      </c>
      <c r="H138">
        <v>58.5</v>
      </c>
      <c r="I138">
        <v>57.6</v>
      </c>
      <c r="J138">
        <v>57.3</v>
      </c>
      <c r="K138">
        <v>58.3</v>
      </c>
      <c r="L138">
        <v>56.9</v>
      </c>
      <c r="M138">
        <v>49.6</v>
      </c>
      <c r="N138">
        <v>48</v>
      </c>
      <c r="O138">
        <v>48.6</v>
      </c>
      <c r="P138">
        <v>54.9</v>
      </c>
      <c r="Q138">
        <v>56.6</v>
      </c>
      <c r="R138">
        <v>53.2</v>
      </c>
      <c r="S138">
        <v>51.2</v>
      </c>
      <c r="T138">
        <v>53.8</v>
      </c>
      <c r="U138">
        <v>54.3</v>
      </c>
      <c r="V138">
        <v>57.8</v>
      </c>
      <c r="W138">
        <v>57.8</v>
      </c>
      <c r="X138">
        <v>50.4</v>
      </c>
      <c r="Y138">
        <v>56.5</v>
      </c>
      <c r="Z138">
        <v>54.7</v>
      </c>
      <c r="AA138">
        <v>50.66</v>
      </c>
    </row>
    <row r="139" spans="1:27" x14ac:dyDescent="0.2">
      <c r="A139" s="59">
        <v>44621</v>
      </c>
      <c r="C139">
        <v>57.1</v>
      </c>
      <c r="D139">
        <v>58.5</v>
      </c>
      <c r="E139">
        <v>48.1</v>
      </c>
      <c r="F139">
        <v>57</v>
      </c>
      <c r="G139">
        <v>53.2</v>
      </c>
      <c r="H139">
        <v>57.6</v>
      </c>
      <c r="I139">
        <v>54.8</v>
      </c>
      <c r="J139">
        <v>55.5</v>
      </c>
      <c r="K139">
        <v>55.8</v>
      </c>
      <c r="L139">
        <v>54.2</v>
      </c>
      <c r="M139">
        <v>52.3</v>
      </c>
      <c r="N139">
        <v>49.2</v>
      </c>
      <c r="O139">
        <v>44.1</v>
      </c>
      <c r="P139">
        <v>54</v>
      </c>
      <c r="Q139">
        <v>58.9</v>
      </c>
      <c r="R139">
        <v>55.7</v>
      </c>
      <c r="S139">
        <v>51.3</v>
      </c>
      <c r="T139">
        <v>51.2</v>
      </c>
      <c r="U139">
        <v>54.1</v>
      </c>
      <c r="V139">
        <v>54.6</v>
      </c>
      <c r="W139">
        <v>59.4</v>
      </c>
      <c r="X139">
        <v>49.4</v>
      </c>
      <c r="Y139">
        <v>54.7</v>
      </c>
      <c r="Z139">
        <v>52.7</v>
      </c>
      <c r="AA139">
        <v>62.1</v>
      </c>
    </row>
    <row r="140" spans="1:27" x14ac:dyDescent="0.2">
      <c r="A140" s="59">
        <v>44652</v>
      </c>
      <c r="C140">
        <v>55.4</v>
      </c>
      <c r="D140">
        <v>59.2</v>
      </c>
      <c r="E140">
        <v>46</v>
      </c>
      <c r="F140">
        <v>55.5</v>
      </c>
      <c r="G140">
        <v>53.5</v>
      </c>
      <c r="H140">
        <v>54.6</v>
      </c>
      <c r="I140">
        <v>55.7</v>
      </c>
      <c r="J140">
        <v>55.3</v>
      </c>
      <c r="K140">
        <v>54.5</v>
      </c>
      <c r="L140">
        <v>53.3</v>
      </c>
      <c r="M140">
        <v>51.8</v>
      </c>
      <c r="N140">
        <v>49.3</v>
      </c>
      <c r="O140">
        <v>48.2</v>
      </c>
      <c r="P140">
        <v>54.7</v>
      </c>
      <c r="Q140">
        <v>56.2</v>
      </c>
      <c r="R140">
        <v>58.5</v>
      </c>
      <c r="S140">
        <v>51.9</v>
      </c>
      <c r="T140">
        <v>52.1</v>
      </c>
      <c r="U140">
        <v>51.7</v>
      </c>
      <c r="V140">
        <v>54.8</v>
      </c>
      <c r="W140">
        <v>59.1</v>
      </c>
      <c r="X140">
        <v>49.2</v>
      </c>
      <c r="Y140">
        <v>54.4</v>
      </c>
      <c r="Z140">
        <v>52.4</v>
      </c>
      <c r="AA140">
        <v>63</v>
      </c>
    </row>
    <row r="141" spans="1:27" x14ac:dyDescent="0.2">
      <c r="A141" s="59">
        <v>44682</v>
      </c>
      <c r="C141">
        <v>56.1</v>
      </c>
      <c r="D141">
        <v>57.5</v>
      </c>
      <c r="E141">
        <v>48.1</v>
      </c>
      <c r="F141">
        <v>54.4</v>
      </c>
      <c r="G141">
        <v>53.2</v>
      </c>
      <c r="H141">
        <v>54.7</v>
      </c>
      <c r="I141">
        <v>54.5</v>
      </c>
      <c r="J141">
        <v>54.6</v>
      </c>
      <c r="K141">
        <v>51.9</v>
      </c>
      <c r="L141">
        <v>53.8</v>
      </c>
      <c r="M141">
        <v>54.2</v>
      </c>
      <c r="N141">
        <v>50.6</v>
      </c>
      <c r="O141">
        <v>50.8</v>
      </c>
      <c r="P141">
        <v>54.6</v>
      </c>
      <c r="Q141">
        <v>56.8</v>
      </c>
      <c r="R141">
        <v>52.4</v>
      </c>
      <c r="S141">
        <v>50.8</v>
      </c>
      <c r="T141">
        <v>51.8</v>
      </c>
      <c r="U141">
        <v>50</v>
      </c>
      <c r="V141">
        <v>53.8</v>
      </c>
      <c r="W141">
        <v>56.4</v>
      </c>
      <c r="X141">
        <v>49.2</v>
      </c>
      <c r="Y141">
        <v>52.3</v>
      </c>
      <c r="Z141">
        <v>48.5</v>
      </c>
      <c r="AA141">
        <v>60.7</v>
      </c>
    </row>
    <row r="142" spans="1:27" x14ac:dyDescent="0.2">
      <c r="A142" s="59">
        <v>44713</v>
      </c>
      <c r="C142">
        <v>53</v>
      </c>
      <c r="D142">
        <v>52.4</v>
      </c>
      <c r="E142">
        <v>51.7</v>
      </c>
      <c r="F142">
        <v>52</v>
      </c>
      <c r="G142">
        <v>52.7</v>
      </c>
      <c r="H142">
        <v>52</v>
      </c>
      <c r="I142">
        <v>51</v>
      </c>
      <c r="J142">
        <v>53.4</v>
      </c>
      <c r="K142">
        <v>50.9</v>
      </c>
      <c r="L142">
        <v>52.6</v>
      </c>
      <c r="M142">
        <v>54.1</v>
      </c>
      <c r="N142">
        <v>52.2</v>
      </c>
      <c r="O142">
        <v>50.9</v>
      </c>
      <c r="P142">
        <v>53.9</v>
      </c>
      <c r="Q142">
        <v>54.6</v>
      </c>
      <c r="R142">
        <v>54</v>
      </c>
      <c r="S142">
        <v>50.2</v>
      </c>
      <c r="T142">
        <v>51.3</v>
      </c>
      <c r="U142">
        <v>49.8</v>
      </c>
      <c r="V142">
        <v>51.1</v>
      </c>
      <c r="W142">
        <v>53.1</v>
      </c>
      <c r="X142">
        <v>48.1</v>
      </c>
      <c r="Y142">
        <v>49</v>
      </c>
      <c r="Z142">
        <v>44.4</v>
      </c>
      <c r="AA142">
        <v>71.3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P98"/>
  <sheetViews>
    <sheetView topLeftCell="C6" zoomScale="140" zoomScaleNormal="140" workbookViewId="0">
      <selection activeCell="F16" sqref="F16"/>
    </sheetView>
  </sheetViews>
  <sheetFormatPr baseColWidth="10" defaultColWidth="9.1640625" defaultRowHeight="15" x14ac:dyDescent="0.2"/>
  <cols>
    <col min="1" max="2" width="9.1640625" style="57" customWidth="1"/>
    <col min="3" max="3" width="24.33203125" style="57" customWidth="1"/>
    <col min="4" max="7" width="9.1640625" style="57" customWidth="1"/>
    <col min="8" max="8" width="21.33203125" style="57" customWidth="1"/>
    <col min="9" max="12" width="9.33203125" style="57" customWidth="1"/>
    <col min="13" max="13" width="23.33203125" style="57" customWidth="1"/>
    <col min="14" max="41" width="9.1640625" style="57" customWidth="1"/>
    <col min="42" max="16384" width="9.1640625" style="57"/>
  </cols>
  <sheetData>
    <row r="1" spans="3:16" ht="16" customHeight="1" thickBot="1" x14ac:dyDescent="0.25"/>
    <row r="2" spans="3:16" ht="16" customHeight="1" thickBot="1" x14ac:dyDescent="0.25">
      <c r="C2" s="67" t="s">
        <v>102</v>
      </c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9"/>
    </row>
    <row r="3" spans="3:16" ht="16" customHeight="1" thickBot="1" x14ac:dyDescent="0.25"/>
    <row r="4" spans="3:16" ht="16" customHeight="1" thickBot="1" x14ac:dyDescent="0.25">
      <c r="C4" s="67" t="s">
        <v>103</v>
      </c>
      <c r="D4" s="68"/>
      <c r="E4" s="68"/>
      <c r="F4" s="69"/>
      <c r="H4" s="67" t="s">
        <v>104</v>
      </c>
      <c r="I4" s="68"/>
      <c r="J4" s="68"/>
      <c r="K4" s="69"/>
      <c r="M4" s="67" t="s">
        <v>105</v>
      </c>
      <c r="N4" s="68"/>
      <c r="O4" s="68"/>
      <c r="P4" s="69"/>
    </row>
    <row r="5" spans="3:16" ht="16" customHeight="1" thickBot="1" x14ac:dyDescent="0.25"/>
    <row r="6" spans="3:16" x14ac:dyDescent="0.2">
      <c r="C6" s="3"/>
      <c r="D6" s="4" t="s">
        <v>7</v>
      </c>
      <c r="E6" s="4" t="s">
        <v>8</v>
      </c>
      <c r="F6" s="5" t="s">
        <v>9</v>
      </c>
      <c r="H6" s="3"/>
      <c r="I6" s="4" t="s">
        <v>7</v>
      </c>
      <c r="J6" s="4" t="s">
        <v>8</v>
      </c>
      <c r="K6" s="5" t="s">
        <v>9</v>
      </c>
      <c r="M6" s="3"/>
      <c r="N6" s="4" t="s">
        <v>7</v>
      </c>
      <c r="O6" s="4" t="s">
        <v>8</v>
      </c>
      <c r="P6" s="5" t="s">
        <v>9</v>
      </c>
    </row>
    <row r="7" spans="3:16" x14ac:dyDescent="0.2">
      <c r="C7" s="6" t="s">
        <v>10</v>
      </c>
      <c r="D7" s="40">
        <f>VLOOKUP($C$7,'DB US Indicators'!$A:$D,MATCH(D$6,'DB US Indicators'!$A$1:$S$1,0),0)</f>
        <v>1.6790943920683761E-2</v>
      </c>
      <c r="E7" s="40">
        <f>VLOOKUP($C$7,'DB US Indicators'!$A:$D,MATCH(E$6,'DB US Indicators'!$A$1:$S$1,0),0)</f>
        <v>1.6407465395443108E-2</v>
      </c>
      <c r="F7" s="41">
        <f>VLOOKUP($C$7,'DB US Indicators'!$A:$D,MATCH(F$6,'DB US Indicators'!$A$1:$S$1,0),0)</f>
        <v>1.115276765936578E-2</v>
      </c>
      <c r="G7" s="44"/>
      <c r="H7" s="6" t="s">
        <v>106</v>
      </c>
      <c r="I7" s="47" t="str">
        <f>VLOOKUP($H$7,'DB US Indicators'!$A:$D,MATCH(I$6,'DB US Indicators'!$A$1:$S$1,0),0)</f>
        <v>0.00-0.25%</v>
      </c>
      <c r="J7" s="47"/>
      <c r="K7" s="8"/>
      <c r="L7" s="1"/>
      <c r="M7" s="6" t="s">
        <v>30</v>
      </c>
      <c r="N7" s="50">
        <f>IF(VLOOKUP($M$7,'DB US Indicators'!$A:$D,MATCH(N$6,'DB US Indicators'!$A$1:$S$1,0),0)="","",VLOOKUP($M$7,'DB US Indicators'!$A:$D,MATCH(N$6,'DB US Indicators'!$A$1:$S$1,0),0))</f>
        <v>67.2</v>
      </c>
      <c r="O7" s="50">
        <f>IF(VLOOKUP($M$7,'DB US Indicators'!$A:$D,MATCH(O$6,'DB US Indicators'!$A$1:$S$1,0),0)="","",VLOOKUP($M$7,'DB US Indicators'!$A:$D,MATCH(O$6,'DB US Indicators'!$A$1:$S$1,0),0))</f>
        <v>81.2</v>
      </c>
      <c r="P7" s="51">
        <f>IF(VLOOKUP($M$7,'DB US Indicators'!$A:$D,MATCH(P$6,'DB US Indicators'!$A$1:$S$1,0),0)="","",VLOOKUP($M$7,'DB US Indicators'!$A:$D,MATCH(P$6,'DB US Indicators'!$A$1:$S$1,0),0))</f>
        <v>79</v>
      </c>
    </row>
    <row r="8" spans="3:16" x14ac:dyDescent="0.2">
      <c r="C8" s="6" t="s">
        <v>11</v>
      </c>
      <c r="D8" s="42">
        <f>VLOOKUP($C$8,'DB US Indicators'!$A:$D,MATCH(D$6,'DB US Indicators'!$A$1:$S$1,0),0)</f>
        <v>5.5317363621841711E-2</v>
      </c>
      <c r="E8" s="42">
        <f>VLOOKUP($C$8,'DB US Indicators'!$A:$D,MATCH(E$6,'DB US Indicators'!$A$1:$S$1,0),0)</f>
        <v>0.12226677108077</v>
      </c>
      <c r="F8" s="43">
        <f>VLOOKUP($C$8,'DB US Indicators'!$A:$D,MATCH(F$6,'DB US Indicators'!$A$1:$S$1,0),0)</f>
        <v>-2.2629152430098401E-2</v>
      </c>
      <c r="G8" s="44"/>
      <c r="H8" s="6" t="s">
        <v>22</v>
      </c>
      <c r="I8" s="48">
        <f>VLOOKUP($H$8,'DB US Indicators'!$A:$D,MATCH(I$6,'DB US Indicators'!$A$1:$S$1,0),0)</f>
        <v>3.9499999999999596E-3</v>
      </c>
      <c r="J8" s="48"/>
      <c r="K8" s="9"/>
      <c r="L8" s="2"/>
      <c r="M8" s="6" t="s">
        <v>31</v>
      </c>
      <c r="N8" s="50">
        <f>IF(VLOOKUP($M$8,'DB US Indicators'!$A:$D,MATCH(N$6,'DB US Indicators'!$A$1:$S$1,0),0)="","",VLOOKUP($M$8,'DB US Indicators'!$A:$D,MATCH(N$6,'DB US Indicators'!$A$1:$S$1,0),0))</f>
        <v>64.099999999999994</v>
      </c>
      <c r="O8" s="50">
        <f>IF(VLOOKUP($M$8,'DB US Indicators'!$A:$D,MATCH(O$6,'DB US Indicators'!$A$1:$S$1,0),0)="","",VLOOKUP($M$8,'DB US Indicators'!$A:$D,MATCH(O$6,'DB US Indicators'!$A$1:$S$1,0),0))</f>
        <v>79</v>
      </c>
      <c r="P8" s="51">
        <f>IF(VLOOKUP($M$8,'DB US Indicators'!$A:$D,MATCH(P$6,'DB US Indicators'!$A$1:$S$1,0),0)="","",VLOOKUP($M$8,'DB US Indicators'!$A:$D,MATCH(P$6,'DB US Indicators'!$A$1:$S$1,0),0))</f>
        <v>74</v>
      </c>
    </row>
    <row r="9" spans="3:16" x14ac:dyDescent="0.2">
      <c r="C9" s="6" t="s">
        <v>12</v>
      </c>
      <c r="D9" s="44">
        <f>VLOOKUP($C$9,'DB US Indicators'!$A:$D,MATCH(D$6,'DB US Indicators'!$A$1:$S$1,0),0)</f>
        <v>5.8327773290725903E-3</v>
      </c>
      <c r="E9" s="44">
        <f>VLOOKUP($C$9,'DB US Indicators'!$A:$D,MATCH(E$6,'DB US Indicators'!$A$1:$S$1,0),0)</f>
        <v>3.1375709731505858E-3</v>
      </c>
      <c r="F9" s="31">
        <f>VLOOKUP($C$9,'DB US Indicators'!$A:$D,MATCH(F$6,'DB US Indicators'!$A$1:$S$1,0),0)</f>
        <v>4.8151001540830369E-4</v>
      </c>
      <c r="G9" s="44"/>
      <c r="H9" s="6" t="s">
        <v>23</v>
      </c>
      <c r="I9" s="48">
        <f>VLOOKUP($H$9,'DB US Indicators'!$A:$D,MATCH(I$6,'DB US Indicators'!$A$1:$S$1,0),0)</f>
        <v>7.4249999999999256E-3</v>
      </c>
      <c r="J9" s="48"/>
      <c r="K9" s="9"/>
      <c r="L9" s="2"/>
      <c r="M9" s="6" t="s">
        <v>32</v>
      </c>
      <c r="N9" s="52">
        <f>IF(VLOOKUP($M$9,'DB US Indicators'!$A:$D,MATCH(N$6,'DB US Indicators'!$A$1:$S$1,0),0)="","",VLOOKUP($M$9,'DB US Indicators'!$A:$D,MATCH(N$6,'DB US Indicators'!$A$1:$S$1,0),0))</f>
        <v>120.8</v>
      </c>
      <c r="O9" s="52">
        <f>IF(VLOOKUP($M$9,'DB US Indicators'!$A:$D,MATCH(O$6,'DB US Indicators'!$A$1:$S$1,0),0)="","",VLOOKUP($M$9,'DB US Indicators'!$A:$D,MATCH(O$6,'DB US Indicators'!$A$1:$S$1,0),0))</f>
        <v>115.1</v>
      </c>
      <c r="P9" s="53">
        <f>IF(VLOOKUP($M$9,'DB US Indicators'!$A:$D,MATCH(P$6,'DB US Indicators'!$A$1:$S$1,0),0)="","",VLOOKUP($M$9,'DB US Indicators'!$A:$D,MATCH(P$6,'DB US Indicators'!$A$1:$S$1,0),0))</f>
        <v>109.6</v>
      </c>
    </row>
    <row r="10" spans="3:16" x14ac:dyDescent="0.2">
      <c r="C10" s="6" t="s">
        <v>13</v>
      </c>
      <c r="D10" s="42">
        <f>VLOOKUP($C$10,'DB US Indicators'!$A:$D,MATCH(D$6,'DB US Indicators'!$A$1:$S$1,0),0)</f>
        <v>4.9810802665505713E-3</v>
      </c>
      <c r="E10" s="42">
        <f>VLOOKUP($C$10,'DB US Indicators'!$A:$D,MATCH(E$6,'DB US Indicators'!$A$1:$S$1,0),0)</f>
        <v>4.8044807563845026E-3</v>
      </c>
      <c r="F10" s="43">
        <f>VLOOKUP($C$10,'DB US Indicators'!$A:$D,MATCH(F$6,'DB US Indicators'!$A$1:$S$1,0),0)</f>
        <v>3.1541871834860728E-3</v>
      </c>
      <c r="G10" s="44"/>
      <c r="H10" s="6" t="s">
        <v>24</v>
      </c>
      <c r="I10" s="48">
        <f>VLOOKUP($H$10,'DB US Indicators'!$A:$D,MATCH(I$6,'DB US Indicators'!$A$1:$S$1,0),0)</f>
        <v>1.6449999999999961E-2</v>
      </c>
      <c r="J10" s="48"/>
      <c r="K10" s="9"/>
      <c r="L10" s="2"/>
      <c r="M10" s="6" t="s">
        <v>33</v>
      </c>
      <c r="N10" s="52">
        <f>IF(VLOOKUP($M$10,'DB US Indicators'!$A:$D,MATCH(N$6,'DB US Indicators'!$A$1:$S$1,0),0)="","",VLOOKUP($M$10,'DB US Indicators'!$A:$D,MATCH(N$6,'DB US Indicators'!$A$1:$S$1,0),0))</f>
        <v>1885</v>
      </c>
      <c r="O10" s="52">
        <f>IF(VLOOKUP($M$10,'DB US Indicators'!$A:$D,MATCH(O$6,'DB US Indicators'!$A$1:$S$1,0),0)="","",VLOOKUP($M$10,'DB US Indicators'!$A:$D,MATCH(O$6,'DB US Indicators'!$A$1:$S$1,0),0))</f>
        <v>1594</v>
      </c>
      <c r="P10" s="53">
        <f>IF(VLOOKUP($M$10,'DB US Indicators'!$A:$D,MATCH(P$6,'DB US Indicators'!$A$1:$S$1,0),0)="","",VLOOKUP($M$10,'DB US Indicators'!$A:$D,MATCH(P$6,'DB US Indicators'!$A$1:$S$1,0),0))</f>
        <v>1758</v>
      </c>
    </row>
    <row r="11" spans="3:16" x14ac:dyDescent="0.2">
      <c r="C11" s="6" t="s">
        <v>15</v>
      </c>
      <c r="D11" s="40">
        <f>VLOOKUP($C$11,'DB US Indicators'!$A:$D,MATCH(D$6,'DB US Indicators'!$A$1:$S$1,0),0)</f>
        <v>-2.4805028365475039E-2</v>
      </c>
      <c r="E11" s="40">
        <f>VLOOKUP($C$11,'DB US Indicators'!$A:$D,MATCH(E$6,'DB US Indicators'!$A$1:$S$1,0),0)</f>
        <v>1.468871684038702E-2</v>
      </c>
      <c r="F11" s="41">
        <f>VLOOKUP($C$11,'DB US Indicators'!$A:$D,MATCH(F$6,'DB US Indicators'!$A$1:$S$1,0),0)</f>
        <v>-2.6894312168303059E-2</v>
      </c>
      <c r="G11" s="44"/>
      <c r="H11" s="6" t="s">
        <v>107</v>
      </c>
      <c r="I11" s="44">
        <f>IF(VLOOKUP($H$11,'DB US Indicators'!$A:$D,MATCH(I$6,'DB US Indicators'!$A$1:$S$1,0),0)="","",VLOOKUP($H$11,'DB US Indicators'!$A:$D,MATCH(I$6,'DB US Indicators'!$A$1:$S$1,0),0)/100)</f>
        <v>2.12E-2</v>
      </c>
      <c r="J11" s="44" t="str">
        <f>IF(VLOOKUP($H$11,'DB US Indicators'!$A:$D,MATCH(J$6,'DB US Indicators'!$A$1:$S$1,0),0)="","",VLOOKUP($H$11,'DB US Indicators'!$A:$D,MATCH(J$6,'DB US Indicators'!$A$1:$S$1,0),0))</f>
        <v/>
      </c>
      <c r="K11" s="31" t="str">
        <f>IF(VLOOKUP($H$11,'DB US Indicators'!$A:$D,MATCH(K$6,'DB US Indicators'!$A$1:$S$1,0),0)="","",VLOOKUP($H$11,'DB US Indicators'!$A:$D,MATCH(K$6,'DB US Indicators'!$A$1:$S$1,0),0))</f>
        <v/>
      </c>
      <c r="M11" s="6" t="s">
        <v>34</v>
      </c>
      <c r="N11" s="52">
        <f>IF(VLOOKUP($M$11,'DB US Indicators'!$A:$D,MATCH(N$6,'DB US Indicators'!$A$1:$S$1,0),0)="","",VLOOKUP($M$11,'DB US Indicators'!$A:$D,MATCH(N$6,'DB US Indicators'!$A$1:$S$1,0),0))</f>
        <v>57.6</v>
      </c>
      <c r="O11" s="52">
        <f>IF(VLOOKUP($M$11,'DB US Indicators'!$A:$D,MATCH(O$6,'DB US Indicators'!$A$1:$S$1,0),0)="","",VLOOKUP($M$11,'DB US Indicators'!$A:$D,MATCH(O$6,'DB US Indicators'!$A$1:$S$1,0),0))</f>
        <v>59.5</v>
      </c>
      <c r="P11" s="53">
        <f>IF(VLOOKUP($M$11,'DB US Indicators'!$A:$D,MATCH(P$6,'DB US Indicators'!$A$1:$S$1,0),0)="","",VLOOKUP($M$11,'DB US Indicators'!$A:$D,MATCH(P$6,'DB US Indicators'!$A$1:$S$1,0),0))</f>
        <v>58.7</v>
      </c>
    </row>
    <row r="12" spans="3:16" x14ac:dyDescent="0.2">
      <c r="C12" s="6" t="s">
        <v>14</v>
      </c>
      <c r="D12" s="42">
        <f>VLOOKUP($C$12,'DB US Indicators'!$A:$D,MATCH(D$6,'DB US Indicators'!$A$1:$S$1,0),0)</f>
        <v>-1.914353268123687E-2</v>
      </c>
      <c r="E12" s="42">
        <f>VLOOKUP($C$12,'DB US Indicators'!$A:$D,MATCH(E$6,'DB US Indicators'!$A$1:$S$1,0),0)</f>
        <v>8.5241703608500956E-3</v>
      </c>
      <c r="F12" s="43">
        <f>VLOOKUP($C$12,'DB US Indicators'!$A:$D,MATCH(F$6,'DB US Indicators'!$A$1:$S$1,0),0)</f>
        <v>-8.3442029991026741E-3</v>
      </c>
      <c r="G12" s="44"/>
      <c r="H12" s="6" t="s">
        <v>108</v>
      </c>
      <c r="I12" s="47">
        <f>IF(VLOOKUP($H$12,'DB US Indicators'!$A:$D,MATCH(I$6,'DB US Indicators'!$A$1:$S$1,0),0)="","",VLOOKUP($H$12,'DB US Indicators'!$A:$D,MATCH(I$6,'DB US Indicators'!$A$1:$S$1,0),0)/100)</f>
        <v>1.8100000000000002E-2</v>
      </c>
      <c r="J12" s="47">
        <f>IF(VLOOKUP($H$12,'DB US Indicators'!$A:$D,MATCH(J$6,'DB US Indicators'!$A$1:$S$1,0),0)="","",VLOOKUP($H$12,'DB US Indicators'!$A:$D,MATCH(J$6,'DB US Indicators'!$A$1:$S$1,0),0)/100)</f>
        <v>1.179E-2</v>
      </c>
      <c r="K12" s="8">
        <f>IF(VLOOKUP($H$12,'DB US Indicators'!$A:$D,MATCH(K$6,'DB US Indicators'!$A$1:$S$1,0),0)="","",VLOOKUP($H$12,'DB US Indicators'!$A:$D,MATCH(K$6,'DB US Indicators'!$A$1:$S$1,0),0)/100)</f>
        <v>1.0789999999999999E-2</v>
      </c>
      <c r="L12" s="1"/>
      <c r="M12" s="6" t="s">
        <v>35</v>
      </c>
      <c r="N12" s="52">
        <f>IF(VLOOKUP($M$12,'DB US Indicators'!$A:$D,MATCH(N$6,'DB US Indicators'!$A$1:$S$1,0),0)="","",VLOOKUP($M$12,'DB US Indicators'!$A:$D,MATCH(N$6,'DB US Indicators'!$A$1:$S$1,0),0))</f>
        <v>57.9</v>
      </c>
      <c r="O12" s="52">
        <f>IF(VLOOKUP($M$12,'DB US Indicators'!$A:$D,MATCH(O$6,'DB US Indicators'!$A$1:$S$1,0),0)="","",VLOOKUP($M$12,'DB US Indicators'!$A:$D,MATCH(O$6,'DB US Indicators'!$A$1:$S$1,0),0))</f>
        <v>64.900000000000006</v>
      </c>
      <c r="P12" s="53">
        <f>IF(VLOOKUP($M$12,'DB US Indicators'!$A:$D,MATCH(P$6,'DB US Indicators'!$A$1:$S$1,0),0)="","",VLOOKUP($M$12,'DB US Indicators'!$A:$D,MATCH(P$6,'DB US Indicators'!$A$1:$S$1,0),0))</f>
        <v>61.1</v>
      </c>
    </row>
    <row r="13" spans="3:16" x14ac:dyDescent="0.2">
      <c r="C13" s="6" t="s">
        <v>16</v>
      </c>
      <c r="D13" s="42">
        <f>VLOOKUP($C$13,'DB US Indicators'!$A:$D,MATCH(D$6,'DB US Indicators'!$A$1:$S$1,0),0)</f>
        <v>2.5641025641025661E-2</v>
      </c>
      <c r="E13" s="42">
        <f>VLOOKUP($C$13,'DB US Indicators'!$A:$D,MATCH(E$6,'DB US Indicators'!$A$1:$S$1,0),0)</f>
        <v>-8.4745762711864403E-2</v>
      </c>
      <c r="F13" s="43">
        <f>VLOOKUP($C$13,'DB US Indicators'!$A:$D,MATCH(F$6,'DB US Indicators'!$A$1:$S$1,0),0)</f>
        <v>-4.4776119402985037E-2</v>
      </c>
      <c r="G13" s="44"/>
      <c r="H13" s="6" t="s">
        <v>109</v>
      </c>
      <c r="I13" s="47">
        <f>IF(VLOOKUP($H$13,'DB US Indicators'!$A:$D,MATCH(I$6,'DB US Indicators'!$A$1:$S$1,0),0)="","",VLOOKUP($H$13,'DB US Indicators'!$A:$D,MATCH(I$6,'DB US Indicators'!$A$1:$S$1,0),0)/100)</f>
        <v>1.18E-2</v>
      </c>
      <c r="J13" s="47">
        <f>IF(VLOOKUP($H$13,'DB US Indicators'!$A:$D,MATCH(J$6,'DB US Indicators'!$A$1:$S$1,0),0)="","",VLOOKUP($H$13,'DB US Indicators'!$A:$D,MATCH(J$6,'DB US Indicators'!$A$1:$S$1,0),0)/100)</f>
        <v>1.7419999999999998E-3</v>
      </c>
      <c r="K13" s="8">
        <f>IF(VLOOKUP($H$13,'DB US Indicators'!$A:$D,MATCH(K$6,'DB US Indicators'!$A$1:$S$1,0),0)="","",VLOOKUP($H$13,'DB US Indicators'!$A:$D,MATCH(K$6,'DB US Indicators'!$A$1:$S$1,0),0)/100)</f>
        <v>1.1130000000000001E-3</v>
      </c>
      <c r="L13" s="1"/>
      <c r="M13" s="6" t="s">
        <v>36</v>
      </c>
      <c r="N13" s="52">
        <f>IF(VLOOKUP($M$13,'DB US Indicators'!$A:$D,MATCH(N$6,'DB US Indicators'!$A$1:$S$1,0),0)="","",VLOOKUP($M$13,'DB US Indicators'!$A:$D,MATCH(N$6,'DB US Indicators'!$A$1:$S$1,0),0))</f>
        <v>59.9</v>
      </c>
      <c r="O13" s="52">
        <f>IF(VLOOKUP($M$13,'DB US Indicators'!$A:$D,MATCH(O$6,'DB US Indicators'!$A$1:$S$1,0),0)="","",VLOOKUP($M$13,'DB US Indicators'!$A:$D,MATCH(O$6,'DB US Indicators'!$A$1:$S$1,0),0))</f>
        <v>64.099999999999994</v>
      </c>
      <c r="P13" s="53">
        <f>IF(VLOOKUP($M$13,'DB US Indicators'!$A:$D,MATCH(P$6,'DB US Indicators'!$A$1:$S$1,0),0)="","",VLOOKUP($M$13,'DB US Indicators'!$A:$D,MATCH(P$6,'DB US Indicators'!$A$1:$S$1,0),0))</f>
        <v>58.7</v>
      </c>
    </row>
    <row r="14" spans="3:16" x14ac:dyDescent="0.2">
      <c r="C14" s="6" t="s">
        <v>17</v>
      </c>
      <c r="D14" s="55">
        <f>VLOOKUP($C$14,'DB US Indicators'!$A:$D,MATCH(D$6,'DB US Indicators'!$A$1:$S$1,0),0)</f>
        <v>149629</v>
      </c>
      <c r="E14" s="55">
        <f>VLOOKUP($C$14,'DB US Indicators'!$A:$D,MATCH(E$6,'DB US Indicators'!$A$1:$S$1,0),0)</f>
        <v>146387</v>
      </c>
      <c r="F14" s="56">
        <f>VLOOKUP($C$14,'DB US Indicators'!$A:$D,MATCH(F$6,'DB US Indicators'!$A$1:$S$1,0),0)</f>
        <v>143017</v>
      </c>
      <c r="G14" s="32"/>
      <c r="H14" s="6" t="s">
        <v>110</v>
      </c>
      <c r="I14" s="47">
        <f>IF(VLOOKUP($H$14,'DB US Indicators'!$A:$D,MATCH(I$6,'DB US Indicators'!$A$1:$S$1,0),0)="","",VLOOKUP($H$14,'DB US Indicators'!$A:$D,MATCH(I$6,'DB US Indicators'!$A$1:$S$1,0),0)/100)</f>
        <v>1.9E-3</v>
      </c>
      <c r="J14" s="47" t="str">
        <f>IF(VLOOKUP($H$14,'DB US Indicators'!$A:$D,MATCH(J$6,'DB US Indicators'!$A$1:$S$1,0),0)="","",VLOOKUP($H$14,'DB US Indicators'!$A:$D,MATCH(J$6,'DB US Indicators'!$A$1:$S$1,0),0))</f>
        <v/>
      </c>
      <c r="K14" s="8" t="str">
        <f>IF(VLOOKUP($H$14,'DB US Indicators'!$A:$D,MATCH(K$6,'DB US Indicators'!$A$1:$S$1,0),0)="","",VLOOKUP($H$14,'DB US Indicators'!$A:$D,MATCH(K$6,'DB US Indicators'!$A$1:$S$1,0),0))</f>
        <v/>
      </c>
      <c r="L14" s="1"/>
      <c r="M14" s="6" t="s">
        <v>37</v>
      </c>
      <c r="N14" s="48">
        <f>IF(VLOOKUP($M$14,'DB US Indicators'!$A:$D,MATCH(N$6,'DB US Indicators'!$A$1:$S$1,0),0)="","",VLOOKUP($M$14,'DB US Indicators'!$A:$D,MATCH(N$6,'DB US Indicators'!$A$1:$S$1,0),0))</f>
        <v>4.4355004312292834E-3</v>
      </c>
      <c r="O14" s="54"/>
      <c r="P14" s="10"/>
    </row>
    <row r="15" spans="3:16" x14ac:dyDescent="0.2">
      <c r="C15" s="6" t="s">
        <v>18</v>
      </c>
      <c r="D15" s="55">
        <f>VLOOKUP($C$15,'DB US Indicators'!$A:$D,MATCH(D$6,'DB US Indicators'!$A$1:$S$1,0),0)</f>
        <v>223000</v>
      </c>
      <c r="E15" s="55">
        <f>VLOOKUP($C$15,'DB US Indicators'!$A:$D,MATCH(E$6,'DB US Indicators'!$A$1:$S$1,0),0)</f>
        <v>377000</v>
      </c>
      <c r="F15" s="56">
        <f>VLOOKUP($C$15,'DB US Indicators'!$A:$D,MATCH(F$6,'DB US Indicators'!$A$1:$S$1,0),0)</f>
        <v>863000</v>
      </c>
      <c r="G15" s="32"/>
      <c r="H15" s="6" t="s">
        <v>111</v>
      </c>
      <c r="I15" s="47">
        <f>I12-I13</f>
        <v>6.3000000000000018E-3</v>
      </c>
      <c r="J15" s="47">
        <f>J12-J13</f>
        <v>1.0048E-2</v>
      </c>
      <c r="K15" s="8">
        <f>K12-K13</f>
        <v>9.6769999999999998E-3</v>
      </c>
      <c r="L15" s="1"/>
      <c r="M15" s="6" t="s">
        <v>38</v>
      </c>
      <c r="N15" s="48">
        <f>IF(VLOOKUP($M$15,'DB US Indicators'!$A:$D,MATCH(N$6,'DB US Indicators'!$A$1:$S$1,0),0)="","",VLOOKUP($M$15,'DB US Indicators'!$A:$D,MATCH(N$6,'DB US Indicators'!$A$1:$S$1,0),0))</f>
        <v>3.6119845126418508E-3</v>
      </c>
      <c r="O15" s="54"/>
      <c r="P15" s="10"/>
    </row>
    <row r="16" spans="3:16" ht="16" customHeight="1" thickBot="1" x14ac:dyDescent="0.25">
      <c r="C16" s="7" t="s">
        <v>19</v>
      </c>
      <c r="D16" s="33">
        <f>VLOOKUP($C$16,'DB US Indicators'!$A:$D,MATCH(D$6,'DB US Indicators'!$A$1:$S$1,0),0)</f>
        <v>-1.0235595164563491E-3</v>
      </c>
      <c r="E16" s="33">
        <f>VLOOKUP($C$16,'DB US Indicators'!$A:$D,MATCH(E$6,'DB US Indicators'!$A$1:$S$1,0),0)</f>
        <v>5.4822432562803116E-3</v>
      </c>
      <c r="F16" s="45">
        <f>VLOOKUP($C$16,'DB US Indicators'!$A:$D,MATCH(F$6,'DB US Indicators'!$A$1:$S$1,0),0)</f>
        <v>1.157358567077907E-2</v>
      </c>
      <c r="G16" s="44"/>
      <c r="H16" s="7" t="s">
        <v>29</v>
      </c>
      <c r="I16" s="46">
        <f>IF(VLOOKUP($H$16,'DB US Indicators'!$A:$D,MATCH(I$6,'DB US Indicators'!$A$1:$S$1,0),0)="","",VLOOKUP($H$16,'DB US Indicators'!$A:$D,MATCH(I$6,'DB US Indicators'!$A$1:$S$1,0),0))</f>
        <v>96.389999389648438</v>
      </c>
      <c r="J16" s="46">
        <f>IF(VLOOKUP($H$16,'DB US Indicators'!$A:$D,MATCH(J$6,'DB US Indicators'!$A$1:$S$1,0),0)="","",VLOOKUP($H$16,'DB US Indicators'!$A:$D,MATCH(J$6,'DB US Indicators'!$A$1:$S$1,0),0))</f>
        <v>92.050003051757812</v>
      </c>
      <c r="K16" s="49">
        <f>IF(VLOOKUP($H$16,'DB US Indicators'!$A:$D,MATCH(K$6,'DB US Indicators'!$A$1:$S$1,0),0)="","",VLOOKUP($H$16,'DB US Indicators'!$A:$D,MATCH(K$6,'DB US Indicators'!$A$1:$S$1,0),0))</f>
        <v>91.019996643066406</v>
      </c>
      <c r="L16" s="1"/>
      <c r="M16" s="11"/>
      <c r="N16" s="12"/>
      <c r="O16" s="12"/>
      <c r="P16" s="13"/>
    </row>
    <row r="19" spans="3:3" x14ac:dyDescent="0.2">
      <c r="C19" s="58" t="s">
        <v>112</v>
      </c>
    </row>
    <row r="98" spans="3:3" x14ac:dyDescent="0.2">
      <c r="C98" s="58" t="s">
        <v>113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V320"/>
  <sheetViews>
    <sheetView tabSelected="1" zoomScale="150" zoomScaleNormal="150" workbookViewId="0">
      <pane xSplit="2" ySplit="10" topLeftCell="C46" activePane="bottomRight" state="frozen"/>
      <selection activeCell="AE27" sqref="AE27"/>
      <selection pane="topRight" activeCell="AE27" sqref="AE27"/>
      <selection pane="bottomLeft" activeCell="AE27" sqref="AE27"/>
      <selection pane="bottomRight" activeCell="C68" sqref="C68"/>
    </sheetView>
  </sheetViews>
  <sheetFormatPr baseColWidth="10" defaultColWidth="9.1640625" defaultRowHeight="15" x14ac:dyDescent="0.2"/>
  <cols>
    <col min="1" max="1" width="9.1640625" style="57" customWidth="1"/>
    <col min="2" max="2" width="17.83203125" style="30" customWidth="1"/>
    <col min="3" max="27" width="6.1640625" style="30" customWidth="1"/>
    <col min="28" max="28" width="7.33203125" style="30" customWidth="1"/>
    <col min="29" max="29" width="9.1640625" style="57" customWidth="1"/>
    <col min="30" max="30" width="12.33203125" style="57" customWidth="1"/>
    <col min="31" max="31" width="9.1640625" style="57" customWidth="1"/>
    <col min="32" max="32" width="10.6640625" style="57" customWidth="1"/>
    <col min="33" max="33" width="10.6640625" style="57" bestFit="1" customWidth="1"/>
    <col min="34" max="74" width="9.1640625" style="57" customWidth="1"/>
  </cols>
  <sheetData>
    <row r="1" spans="2:36" s="57" customFormat="1" ht="16" customHeight="1" thickBot="1" x14ac:dyDescent="0.25">
      <c r="C1" s="57" t="s">
        <v>76</v>
      </c>
      <c r="D1" s="57" t="s">
        <v>77</v>
      </c>
      <c r="E1" s="57" t="s">
        <v>78</v>
      </c>
      <c r="F1" s="57" t="s">
        <v>79</v>
      </c>
      <c r="G1" s="57" t="s">
        <v>80</v>
      </c>
      <c r="H1" s="57" t="s">
        <v>81</v>
      </c>
      <c r="I1" s="57" t="s">
        <v>82</v>
      </c>
      <c r="J1" s="57" t="s">
        <v>83</v>
      </c>
      <c r="K1" s="57" t="s">
        <v>84</v>
      </c>
      <c r="L1" s="57" t="s">
        <v>85</v>
      </c>
      <c r="M1" s="57" t="s">
        <v>86</v>
      </c>
      <c r="N1" s="57" t="s">
        <v>87</v>
      </c>
      <c r="O1" s="57" t="s">
        <v>88</v>
      </c>
      <c r="P1" s="57" t="s">
        <v>89</v>
      </c>
      <c r="Q1" s="57" t="s">
        <v>90</v>
      </c>
      <c r="R1" s="57" t="s">
        <v>91</v>
      </c>
      <c r="S1" s="57" t="s">
        <v>92</v>
      </c>
      <c r="T1" s="57" t="s">
        <v>93</v>
      </c>
      <c r="U1" s="57" t="s">
        <v>94</v>
      </c>
      <c r="V1" s="57" t="s">
        <v>95</v>
      </c>
      <c r="W1" s="57" t="s">
        <v>96</v>
      </c>
      <c r="X1" s="57" t="s">
        <v>97</v>
      </c>
      <c r="Y1" s="57" t="s">
        <v>98</v>
      </c>
      <c r="Z1" s="57" t="s">
        <v>99</v>
      </c>
      <c r="AA1" s="57" t="s">
        <v>100</v>
      </c>
      <c r="AB1" s="57" t="s">
        <v>101</v>
      </c>
      <c r="AD1" s="17" t="s">
        <v>114</v>
      </c>
      <c r="AE1" s="57" t="s">
        <v>115</v>
      </c>
      <c r="AG1" s="39">
        <v>44562</v>
      </c>
      <c r="AJ1" s="16"/>
    </row>
    <row r="2" spans="2:36" ht="72.75" customHeight="1" thickBot="1" x14ac:dyDescent="0.25">
      <c r="B2" s="18"/>
      <c r="C2" s="19" t="s">
        <v>76</v>
      </c>
      <c r="D2" s="19" t="s">
        <v>116</v>
      </c>
      <c r="E2" s="19" t="s">
        <v>78</v>
      </c>
      <c r="F2" s="19" t="s">
        <v>117</v>
      </c>
      <c r="G2" s="19" t="s">
        <v>118</v>
      </c>
      <c r="H2" s="19" t="s">
        <v>119</v>
      </c>
      <c r="I2" s="19" t="s">
        <v>120</v>
      </c>
      <c r="J2" s="19" t="s">
        <v>121</v>
      </c>
      <c r="K2" s="19" t="s">
        <v>84</v>
      </c>
      <c r="L2" s="19" t="s">
        <v>122</v>
      </c>
      <c r="M2" s="19" t="s">
        <v>123</v>
      </c>
      <c r="N2" s="19" t="s">
        <v>124</v>
      </c>
      <c r="O2" s="19" t="s">
        <v>125</v>
      </c>
      <c r="P2" s="19" t="s">
        <v>126</v>
      </c>
      <c r="Q2" s="19" t="s">
        <v>127</v>
      </c>
      <c r="R2" s="19" t="s">
        <v>128</v>
      </c>
      <c r="S2" s="19" t="s">
        <v>129</v>
      </c>
      <c r="T2" s="20" t="s">
        <v>130</v>
      </c>
      <c r="U2" s="19" t="s">
        <v>131</v>
      </c>
      <c r="V2" s="19" t="s">
        <v>132</v>
      </c>
      <c r="W2" s="19" t="s">
        <v>133</v>
      </c>
      <c r="X2" s="19" t="s">
        <v>134</v>
      </c>
      <c r="Y2" s="19" t="s">
        <v>135</v>
      </c>
      <c r="Z2" s="19" t="s">
        <v>136</v>
      </c>
      <c r="AA2" s="19" t="s">
        <v>137</v>
      </c>
      <c r="AB2" s="21" t="s">
        <v>138</v>
      </c>
      <c r="AG2" s="22"/>
    </row>
    <row r="3" spans="2:36" hidden="1" x14ac:dyDescent="0.2">
      <c r="B3" s="23" t="s">
        <v>139</v>
      </c>
      <c r="C3" s="34" t="e">
        <f t="shared" ref="C3:AB3" ca="1" si="0">MAX(OFFSET(C$12,COUNT(C$12:C$105),0,-13,1))</f>
        <v>#N/A</v>
      </c>
      <c r="D3" s="34">
        <f t="shared" ca="1" si="0"/>
        <v>61.5</v>
      </c>
      <c r="E3" s="34">
        <f t="shared" ca="1" si="0"/>
        <v>63.4</v>
      </c>
      <c r="F3" s="34">
        <f t="shared" ca="1" si="0"/>
        <v>51.7</v>
      </c>
      <c r="G3" s="34">
        <f t="shared" ca="1" si="0"/>
        <v>62.8</v>
      </c>
      <c r="H3" s="34">
        <f t="shared" ca="1" si="0"/>
        <v>55.4</v>
      </c>
      <c r="I3" s="34">
        <f t="shared" ca="1" si="0"/>
        <v>65.900000000000006</v>
      </c>
      <c r="J3" s="34">
        <f t="shared" ca="1" si="0"/>
        <v>58</v>
      </c>
      <c r="K3" s="34">
        <f t="shared" ca="1" si="0"/>
        <v>60.4</v>
      </c>
      <c r="L3" s="34">
        <f t="shared" ca="1" si="0"/>
        <v>62.8</v>
      </c>
      <c r="M3" s="34">
        <f t="shared" ca="1" si="0"/>
        <v>59.5</v>
      </c>
      <c r="N3" s="34">
        <f t="shared" ca="1" si="0"/>
        <v>56.7</v>
      </c>
      <c r="O3" s="34">
        <f t="shared" ca="1" si="0"/>
        <v>52.2</v>
      </c>
      <c r="P3" s="34">
        <f t="shared" ca="1" si="0"/>
        <v>51.8</v>
      </c>
      <c r="Q3" s="34">
        <f t="shared" ca="1" si="0"/>
        <v>57.6</v>
      </c>
      <c r="R3" s="34">
        <f t="shared" ca="1" si="0"/>
        <v>58.9</v>
      </c>
      <c r="S3" s="34">
        <f t="shared" ca="1" si="0"/>
        <v>60.8</v>
      </c>
      <c r="T3" s="34">
        <f t="shared" ca="1" si="0"/>
        <v>57.2</v>
      </c>
      <c r="U3" s="34">
        <f t="shared" ca="1" si="0"/>
        <v>53.8</v>
      </c>
      <c r="V3" s="34">
        <f t="shared" ca="1" si="0"/>
        <v>59.7</v>
      </c>
      <c r="W3" s="34">
        <f t="shared" ca="1" si="0"/>
        <v>59.3</v>
      </c>
      <c r="X3" s="34">
        <f t="shared" ca="1" si="0"/>
        <v>63.3</v>
      </c>
      <c r="Y3" s="34">
        <f t="shared" ca="1" si="0"/>
        <v>54.1</v>
      </c>
      <c r="Z3" s="34">
        <f t="shared" ca="1" si="0"/>
        <v>62</v>
      </c>
      <c r="AA3" s="34">
        <f t="shared" ca="1" si="0"/>
        <v>57.6</v>
      </c>
      <c r="AB3" s="34">
        <f t="shared" ca="1" si="0"/>
        <v>71.900000000000006</v>
      </c>
      <c r="AE3" s="57" t="s">
        <v>140</v>
      </c>
      <c r="AG3" s="22">
        <f>DATE(YEAR(AG1),MONTH(AG1)-1,DAY(AG1))</f>
        <v>44531</v>
      </c>
    </row>
    <row r="4" spans="2:36" hidden="1" x14ac:dyDescent="0.2">
      <c r="B4" s="23" t="s">
        <v>141</v>
      </c>
      <c r="C4" s="34" t="e">
        <f t="shared" ref="C4:AB4" ca="1" si="1">MIN(OFFSET(C$12,COUNT(C$12:C$105),0,-13,1))</f>
        <v>#N/A</v>
      </c>
      <c r="D4" s="34">
        <f t="shared" ca="1" si="1"/>
        <v>53</v>
      </c>
      <c r="E4" s="34">
        <f t="shared" ca="1" si="1"/>
        <v>52.4</v>
      </c>
      <c r="F4" s="34">
        <f t="shared" ca="1" si="1"/>
        <v>46</v>
      </c>
      <c r="G4" s="34">
        <f t="shared" ca="1" si="1"/>
        <v>52</v>
      </c>
      <c r="H4" s="34">
        <f t="shared" ca="1" si="1"/>
        <v>51.5</v>
      </c>
      <c r="I4" s="34">
        <f t="shared" ca="1" si="1"/>
        <v>52</v>
      </c>
      <c r="J4" s="34">
        <f t="shared" ca="1" si="1"/>
        <v>51</v>
      </c>
      <c r="K4" s="34">
        <f t="shared" ca="1" si="1"/>
        <v>53.4</v>
      </c>
      <c r="L4" s="34">
        <f t="shared" ca="1" si="1"/>
        <v>50.9</v>
      </c>
      <c r="M4" s="34">
        <f t="shared" ca="1" si="1"/>
        <v>52.6</v>
      </c>
      <c r="N4" s="34">
        <f t="shared" ca="1" si="1"/>
        <v>47.8</v>
      </c>
      <c r="O4" s="34">
        <f t="shared" ca="1" si="1"/>
        <v>46.1</v>
      </c>
      <c r="P4" s="34">
        <f t="shared" ca="1" si="1"/>
        <v>44.1</v>
      </c>
      <c r="Q4" s="34">
        <f t="shared" ca="1" si="1"/>
        <v>52.3</v>
      </c>
      <c r="R4" s="34">
        <f t="shared" ca="1" si="1"/>
        <v>54.6</v>
      </c>
      <c r="S4" s="34">
        <f t="shared" ca="1" si="1"/>
        <v>48.4</v>
      </c>
      <c r="T4" s="34">
        <f t="shared" ca="1" si="1"/>
        <v>40.1</v>
      </c>
      <c r="U4" s="34">
        <f t="shared" ca="1" si="1"/>
        <v>50.2</v>
      </c>
      <c r="V4" s="34">
        <f t="shared" ca="1" si="1"/>
        <v>49.8</v>
      </c>
      <c r="W4" s="34">
        <f t="shared" ca="1" si="1"/>
        <v>51.1</v>
      </c>
      <c r="X4" s="34">
        <f t="shared" ca="1" si="1"/>
        <v>53.1</v>
      </c>
      <c r="Y4" s="34">
        <f t="shared" ca="1" si="1"/>
        <v>48.1</v>
      </c>
      <c r="Z4" s="34">
        <f t="shared" ca="1" si="1"/>
        <v>49</v>
      </c>
      <c r="AA4" s="34">
        <f t="shared" ca="1" si="1"/>
        <v>44.4</v>
      </c>
      <c r="AB4" s="34">
        <f t="shared" ca="1" si="1"/>
        <v>50.66</v>
      </c>
      <c r="AE4" s="57" t="s">
        <v>142</v>
      </c>
      <c r="AG4" s="22">
        <f>DATE(YEAR(AG1),MONTH(AG1)-12,DAY(AG1))</f>
        <v>44197</v>
      </c>
    </row>
    <row r="5" spans="2:36" ht="16" hidden="1" customHeight="1" thickBot="1" x14ac:dyDescent="0.25">
      <c r="B5" s="23" t="s">
        <v>143</v>
      </c>
      <c r="C5" s="35" t="e">
        <f t="shared" ref="C5:AB5" ca="1" si="2">AVERAGE(OFFSET(C$12,COUNT(C$12:C$105),0,-13,1))</f>
        <v>#N/A</v>
      </c>
      <c r="D5" s="35">
        <f t="shared" ca="1" si="2"/>
        <v>58.400000000000006</v>
      </c>
      <c r="E5" s="35">
        <f t="shared" ca="1" si="2"/>
        <v>58.30833333333333</v>
      </c>
      <c r="F5" s="35">
        <f t="shared" ca="1" si="2"/>
        <v>49.525000000000006</v>
      </c>
      <c r="G5" s="35">
        <f t="shared" ca="1" si="2"/>
        <v>57.816666666666656</v>
      </c>
      <c r="H5" s="35">
        <f t="shared" ca="1" si="2"/>
        <v>53.341666666666669</v>
      </c>
      <c r="I5" s="35">
        <f t="shared" ca="1" si="2"/>
        <v>58.116666666666667</v>
      </c>
      <c r="J5" s="35">
        <f t="shared" ca="1" si="2"/>
        <v>55.391666666666673</v>
      </c>
      <c r="K5" s="35">
        <f t="shared" ca="1" si="2"/>
        <v>57.04999999999999</v>
      </c>
      <c r="L5" s="35">
        <f t="shared" ca="1" si="2"/>
        <v>58.041666666666657</v>
      </c>
      <c r="M5" s="35">
        <f t="shared" ca="1" si="2"/>
        <v>56.191666666666663</v>
      </c>
      <c r="N5" s="35">
        <f t="shared" ca="1" si="2"/>
        <v>52.150000000000013</v>
      </c>
      <c r="O5" s="35">
        <f t="shared" ca="1" si="2"/>
        <v>49.06666666666667</v>
      </c>
      <c r="P5" s="35">
        <f t="shared" ca="1" si="2"/>
        <v>49.425000000000004</v>
      </c>
      <c r="Q5" s="35">
        <f t="shared" ca="1" si="2"/>
        <v>54.699999999999996</v>
      </c>
      <c r="R5" s="35">
        <f t="shared" ca="1" si="2"/>
        <v>56.675000000000004</v>
      </c>
      <c r="S5" s="35">
        <f t="shared" ca="1" si="2"/>
        <v>53.283333333333331</v>
      </c>
      <c r="T5" s="35">
        <f t="shared" ca="1" si="2"/>
        <v>50.808333333333337</v>
      </c>
      <c r="U5" s="35">
        <f t="shared" ca="1" si="2"/>
        <v>51.883333333333326</v>
      </c>
      <c r="V5" s="35">
        <f t="shared" ca="1" si="2"/>
        <v>54.458333333333336</v>
      </c>
      <c r="W5" s="35">
        <f t="shared" ca="1" si="2"/>
        <v>56.816666666666663</v>
      </c>
      <c r="X5" s="35">
        <f t="shared" ca="1" si="2"/>
        <v>59.324999999999996</v>
      </c>
      <c r="Y5" s="35">
        <f t="shared" ca="1" si="2"/>
        <v>51.058333333333337</v>
      </c>
      <c r="Z5" s="35">
        <f t="shared" ca="1" si="2"/>
        <v>56.516666666666659</v>
      </c>
      <c r="AA5" s="35">
        <f t="shared" ca="1" si="2"/>
        <v>53.208333333333336</v>
      </c>
      <c r="AB5" s="35">
        <f t="shared" ca="1" si="2"/>
        <v>64.62166666666667</v>
      </c>
    </row>
    <row r="6" spans="2:36" x14ac:dyDescent="0.2">
      <c r="B6" s="24" t="s">
        <v>144</v>
      </c>
      <c r="C6" s="36" t="e">
        <f t="shared" ref="C6:AB6" ca="1" si="3">IF((VLOOKUP($AG$1,$B:$AB,MATCH(C2,$B$2:$AB$2,),))&gt;C5,"above","below")</f>
        <v>#N/A</v>
      </c>
      <c r="D6" s="36" t="str">
        <f t="shared" ca="1" si="3"/>
        <v>below</v>
      </c>
      <c r="E6" s="36" t="str">
        <f t="shared" ca="1" si="3"/>
        <v>below</v>
      </c>
      <c r="F6" s="36" t="str">
        <f t="shared" ca="1" si="3"/>
        <v>below</v>
      </c>
      <c r="G6" s="36" t="str">
        <f t="shared" ca="1" si="3"/>
        <v>above</v>
      </c>
      <c r="H6" s="36" t="str">
        <f t="shared" ca="1" si="3"/>
        <v>above</v>
      </c>
      <c r="I6" s="36" t="str">
        <f t="shared" ca="1" si="3"/>
        <v>above</v>
      </c>
      <c r="J6" s="36" t="str">
        <f t="shared" ca="1" si="3"/>
        <v>above</v>
      </c>
      <c r="K6" s="36" t="str">
        <f t="shared" ca="1" si="3"/>
        <v>below</v>
      </c>
      <c r="L6" s="36" t="str">
        <f t="shared" ca="1" si="3"/>
        <v>above</v>
      </c>
      <c r="M6" s="36" t="str">
        <f t="shared" ca="1" si="3"/>
        <v>above</v>
      </c>
      <c r="N6" s="36" t="str">
        <f t="shared" ca="1" si="3"/>
        <v>below</v>
      </c>
      <c r="O6" s="36" t="str">
        <f t="shared" ca="1" si="3"/>
        <v>below</v>
      </c>
      <c r="P6" s="36" t="str">
        <f t="shared" ca="1" si="3"/>
        <v>above</v>
      </c>
      <c r="Q6" s="36" t="str">
        <f t="shared" ca="1" si="3"/>
        <v>below</v>
      </c>
      <c r="R6" s="36" t="str">
        <f t="shared" ca="1" si="3"/>
        <v>below</v>
      </c>
      <c r="S6" s="36" t="str">
        <f t="shared" ca="1" si="3"/>
        <v>below</v>
      </c>
      <c r="T6" s="36" t="str">
        <f t="shared" ca="1" si="3"/>
        <v>above</v>
      </c>
      <c r="U6" s="36" t="str">
        <f t="shared" ca="1" si="3"/>
        <v>above</v>
      </c>
      <c r="V6" s="36" t="str">
        <f t="shared" ca="1" si="3"/>
        <v>above</v>
      </c>
      <c r="W6" s="36" t="str">
        <f t="shared" ca="1" si="3"/>
        <v>above</v>
      </c>
      <c r="X6" s="36" t="str">
        <f t="shared" ca="1" si="3"/>
        <v>above</v>
      </c>
      <c r="Y6" s="36" t="str">
        <f t="shared" ca="1" si="3"/>
        <v>below</v>
      </c>
      <c r="Z6" s="36" t="str">
        <f t="shared" ca="1" si="3"/>
        <v>above</v>
      </c>
      <c r="AA6" s="36" t="str">
        <f t="shared" ca="1" si="3"/>
        <v>above</v>
      </c>
      <c r="AB6" s="36" t="str">
        <f t="shared" ca="1" si="3"/>
        <v>below</v>
      </c>
    </row>
    <row r="7" spans="2:36" x14ac:dyDescent="0.2">
      <c r="B7" s="24" t="s">
        <v>145</v>
      </c>
      <c r="C7" s="37">
        <f t="shared" ref="C7:AB7" si="4">VLOOKUP($AG$1,$B:$AB,MATCH(C2,$B$2:$AB$2,),)-VLOOKUP($AG$4,$B:$AB,MATCH(C2,$B$2:$AB$2,),)</f>
        <v>-2.2000000000000028</v>
      </c>
      <c r="D7" s="37">
        <f t="shared" si="4"/>
        <v>-1.1000000000000014</v>
      </c>
      <c r="E7" s="37">
        <f t="shared" si="4"/>
        <v>-4.2000000000000028</v>
      </c>
      <c r="F7" s="37">
        <f t="shared" si="4"/>
        <v>-2.3999999999999986</v>
      </c>
      <c r="G7" s="37">
        <f t="shared" si="4"/>
        <v>4.2000000000000028</v>
      </c>
      <c r="H7" s="37">
        <f t="shared" si="4"/>
        <v>5.6000000000000014</v>
      </c>
      <c r="I7" s="37">
        <f t="shared" si="4"/>
        <v>3.3999999999999986</v>
      </c>
      <c r="J7" s="37">
        <f t="shared" si="4"/>
        <v>3.8999999999999986</v>
      </c>
      <c r="K7" s="37">
        <f t="shared" si="4"/>
        <v>2.7999999999999972</v>
      </c>
      <c r="L7" s="37">
        <f t="shared" si="4"/>
        <v>3.1999999999999957</v>
      </c>
      <c r="M7" s="37">
        <f t="shared" si="4"/>
        <v>6.9000000000000057</v>
      </c>
      <c r="N7" s="37">
        <f t="shared" si="4"/>
        <v>-8.7000000000000028</v>
      </c>
      <c r="O7" s="37">
        <f t="shared" si="4"/>
        <v>3.1000000000000014</v>
      </c>
      <c r="P7" s="37">
        <f t="shared" si="4"/>
        <v>0.89999999999999858</v>
      </c>
      <c r="Q7" s="37">
        <f t="shared" si="4"/>
        <v>-3.7000000000000028</v>
      </c>
      <c r="R7" s="37">
        <f t="shared" si="4"/>
        <v>1.8000000000000043</v>
      </c>
      <c r="S7" s="37">
        <f t="shared" si="4"/>
        <v>-6.8999999999999986</v>
      </c>
      <c r="T7" s="37">
        <f t="shared" si="4"/>
        <v>1.5</v>
      </c>
      <c r="U7" s="37">
        <f t="shared" si="4"/>
        <v>-0.40000000000000568</v>
      </c>
      <c r="V7" s="37">
        <f t="shared" si="4"/>
        <v>-5.1000000000000014</v>
      </c>
      <c r="W7" s="37">
        <f t="shared" si="4"/>
        <v>7.8999999999999986</v>
      </c>
      <c r="X7" s="37">
        <f t="shared" si="4"/>
        <v>7.6000000000000014</v>
      </c>
      <c r="Y7" s="37">
        <f t="shared" si="4"/>
        <v>-3.8999999999999986</v>
      </c>
      <c r="Z7" s="37">
        <f t="shared" si="4"/>
        <v>2</v>
      </c>
      <c r="AA7" s="37">
        <f t="shared" si="4"/>
        <v>2.6000000000000014</v>
      </c>
      <c r="AB7" s="37">
        <f t="shared" si="4"/>
        <v>18.799999999999997</v>
      </c>
    </row>
    <row r="8" spans="2:36" x14ac:dyDescent="0.2">
      <c r="B8" s="24" t="s">
        <v>146</v>
      </c>
      <c r="C8" s="37">
        <f t="shared" ref="C8:AB8" si="5">VLOOKUP($AG$1,$B:$AB,MATCH(C2,$B$2:$AB$2,),)-VLOOKUP($AG$3,$B:$AB,MATCH(C2,$B$2:$AB$2,),)</f>
        <v>-2.8999999999999986</v>
      </c>
      <c r="D8" s="37">
        <f t="shared" si="5"/>
        <v>-3.8999999999999986</v>
      </c>
      <c r="E8" s="37">
        <f t="shared" si="5"/>
        <v>-2.7000000000000028</v>
      </c>
      <c r="F8" s="37">
        <f t="shared" si="5"/>
        <v>-1.7999999999999972</v>
      </c>
      <c r="G8" s="37">
        <f t="shared" si="5"/>
        <v>1</v>
      </c>
      <c r="H8" s="37">
        <f t="shared" si="5"/>
        <v>1.1000000000000014</v>
      </c>
      <c r="I8" s="37">
        <f t="shared" si="5"/>
        <v>3.1000000000000014</v>
      </c>
      <c r="J8" s="37">
        <f t="shared" si="5"/>
        <v>-0.10000000000000142</v>
      </c>
      <c r="K8" s="37">
        <f t="shared" si="5"/>
        <v>-1</v>
      </c>
      <c r="L8" s="37">
        <f t="shared" si="5"/>
        <v>-3.7000000000000028</v>
      </c>
      <c r="M8" s="37">
        <f t="shared" si="5"/>
        <v>0</v>
      </c>
      <c r="N8" s="37">
        <f t="shared" si="5"/>
        <v>-2</v>
      </c>
      <c r="O8" s="37">
        <f t="shared" si="5"/>
        <v>-3.2999999999999972</v>
      </c>
      <c r="P8" s="37">
        <f t="shared" si="5"/>
        <v>0.19999999999999574</v>
      </c>
      <c r="Q8" s="37">
        <f t="shared" si="5"/>
        <v>-1.5</v>
      </c>
      <c r="R8" s="37">
        <f t="shared" si="5"/>
        <v>0.70000000000000284</v>
      </c>
      <c r="S8" s="37">
        <f t="shared" si="5"/>
        <v>0</v>
      </c>
      <c r="T8" s="37">
        <f t="shared" si="5"/>
        <v>0.20000000000000284</v>
      </c>
      <c r="U8" s="37">
        <f t="shared" si="5"/>
        <v>0.89999999999999858</v>
      </c>
      <c r="V8" s="37">
        <f t="shared" si="5"/>
        <v>-0.39999999999999858</v>
      </c>
      <c r="W8" s="37">
        <f t="shared" si="5"/>
        <v>-1.1000000000000014</v>
      </c>
      <c r="X8" s="37">
        <f t="shared" si="5"/>
        <v>1.1000000000000014</v>
      </c>
      <c r="Y8" s="37">
        <f t="shared" si="5"/>
        <v>-1.6000000000000014</v>
      </c>
      <c r="Z8" s="37">
        <f t="shared" si="5"/>
        <v>-0.10000000000000142</v>
      </c>
      <c r="AA8" s="37">
        <f t="shared" si="5"/>
        <v>-1.6000000000000014</v>
      </c>
      <c r="AB8" s="37">
        <f t="shared" si="5"/>
        <v>-3.5000000000000071</v>
      </c>
    </row>
    <row r="9" spans="2:36" ht="66.75" customHeight="1" x14ac:dyDescent="0.2">
      <c r="B9" s="25" t="s">
        <v>147</v>
      </c>
      <c r="C9" s="26" t="str">
        <f t="shared" ref="C9:AB9" si="6">IF(VLOOKUP($AG$1,$B:$AB,MATCH(C2,$B$2:$AB$2,),)&gt;50,"Growth","Contraction")</f>
        <v>Growth</v>
      </c>
      <c r="D9" s="26" t="str">
        <f t="shared" si="6"/>
        <v>Growth</v>
      </c>
      <c r="E9" s="26" t="str">
        <f t="shared" si="6"/>
        <v>Growth</v>
      </c>
      <c r="F9" s="26" t="str">
        <f t="shared" si="6"/>
        <v>Contraction</v>
      </c>
      <c r="G9" s="26" t="str">
        <f t="shared" si="6"/>
        <v>Growth</v>
      </c>
      <c r="H9" s="26" t="str">
        <f t="shared" si="6"/>
        <v>Growth</v>
      </c>
      <c r="I9" s="26" t="str">
        <f t="shared" si="6"/>
        <v>Growth</v>
      </c>
      <c r="J9" s="26" t="str">
        <f t="shared" si="6"/>
        <v>Growth</v>
      </c>
      <c r="K9" s="26" t="str">
        <f t="shared" si="6"/>
        <v>Growth</v>
      </c>
      <c r="L9" s="26" t="str">
        <f t="shared" si="6"/>
        <v>Growth</v>
      </c>
      <c r="M9" s="26" t="str">
        <f t="shared" si="6"/>
        <v>Growth</v>
      </c>
      <c r="N9" s="26" t="str">
        <f t="shared" si="6"/>
        <v>Contraction</v>
      </c>
      <c r="O9" s="26" t="str">
        <f t="shared" si="6"/>
        <v>Contraction</v>
      </c>
      <c r="P9" s="26" t="str">
        <f t="shared" si="6"/>
        <v>Growth</v>
      </c>
      <c r="Q9" s="26" t="str">
        <f t="shared" si="6"/>
        <v>Growth</v>
      </c>
      <c r="R9" s="26" t="str">
        <f t="shared" si="6"/>
        <v>Growth</v>
      </c>
      <c r="S9" s="26" t="str">
        <f t="shared" si="6"/>
        <v>Contraction</v>
      </c>
      <c r="T9" s="26" t="str">
        <f t="shared" si="6"/>
        <v>Growth</v>
      </c>
      <c r="U9" s="26" t="str">
        <f t="shared" si="6"/>
        <v>Growth</v>
      </c>
      <c r="V9" s="26" t="str">
        <f t="shared" si="6"/>
        <v>Growth</v>
      </c>
      <c r="W9" s="26" t="str">
        <f t="shared" si="6"/>
        <v>Growth</v>
      </c>
      <c r="X9" s="26" t="str">
        <f t="shared" si="6"/>
        <v>Growth</v>
      </c>
      <c r="Y9" s="26" t="str">
        <f t="shared" si="6"/>
        <v>Growth</v>
      </c>
      <c r="Z9" s="26" t="str">
        <f t="shared" si="6"/>
        <v>Growth</v>
      </c>
      <c r="AA9" s="26" t="str">
        <f t="shared" si="6"/>
        <v>Growth</v>
      </c>
      <c r="AB9" s="26" t="str">
        <f t="shared" si="6"/>
        <v>Growth</v>
      </c>
    </row>
    <row r="10" spans="2:36" ht="26.25" customHeight="1" thickBot="1" x14ac:dyDescent="0.25">
      <c r="B10" s="27" t="s">
        <v>148</v>
      </c>
      <c r="C10" s="28" t="str">
        <f t="shared" ref="C10:AB10" si="7">IF(C8&gt;0,"+","-")</f>
        <v>-</v>
      </c>
      <c r="D10" s="28" t="str">
        <f t="shared" si="7"/>
        <v>-</v>
      </c>
      <c r="E10" s="28" t="str">
        <f t="shared" si="7"/>
        <v>-</v>
      </c>
      <c r="F10" s="28" t="str">
        <f t="shared" si="7"/>
        <v>-</v>
      </c>
      <c r="G10" s="28" t="str">
        <f t="shared" si="7"/>
        <v>+</v>
      </c>
      <c r="H10" s="28" t="str">
        <f t="shared" si="7"/>
        <v>+</v>
      </c>
      <c r="I10" s="28" t="str">
        <f t="shared" si="7"/>
        <v>+</v>
      </c>
      <c r="J10" s="28" t="str">
        <f t="shared" si="7"/>
        <v>-</v>
      </c>
      <c r="K10" s="28" t="str">
        <f t="shared" si="7"/>
        <v>-</v>
      </c>
      <c r="L10" s="28" t="str">
        <f t="shared" si="7"/>
        <v>-</v>
      </c>
      <c r="M10" s="28" t="str">
        <f t="shared" si="7"/>
        <v>-</v>
      </c>
      <c r="N10" s="28" t="str">
        <f t="shared" si="7"/>
        <v>-</v>
      </c>
      <c r="O10" s="28" t="str">
        <f t="shared" si="7"/>
        <v>-</v>
      </c>
      <c r="P10" s="28" t="str">
        <f t="shared" si="7"/>
        <v>+</v>
      </c>
      <c r="Q10" s="28" t="str">
        <f t="shared" si="7"/>
        <v>-</v>
      </c>
      <c r="R10" s="28" t="str">
        <f t="shared" si="7"/>
        <v>+</v>
      </c>
      <c r="S10" s="28" t="str">
        <f t="shared" si="7"/>
        <v>-</v>
      </c>
      <c r="T10" s="28" t="str">
        <f t="shared" si="7"/>
        <v>+</v>
      </c>
      <c r="U10" s="28" t="str">
        <f t="shared" si="7"/>
        <v>+</v>
      </c>
      <c r="V10" s="28" t="str">
        <f t="shared" si="7"/>
        <v>-</v>
      </c>
      <c r="W10" s="28" t="str">
        <f t="shared" si="7"/>
        <v>-</v>
      </c>
      <c r="X10" s="28" t="str">
        <f t="shared" si="7"/>
        <v>+</v>
      </c>
      <c r="Y10" s="28" t="str">
        <f t="shared" si="7"/>
        <v>-</v>
      </c>
      <c r="Z10" s="28" t="str">
        <f t="shared" si="7"/>
        <v>-</v>
      </c>
      <c r="AA10" s="28" t="str">
        <f t="shared" si="7"/>
        <v>-</v>
      </c>
      <c r="AB10" s="28" t="str">
        <f t="shared" si="7"/>
        <v>-</v>
      </c>
    </row>
    <row r="11" spans="2:36" ht="26.25" customHeight="1" x14ac:dyDescent="0.2"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</row>
    <row r="12" spans="2:36" x14ac:dyDescent="0.2">
      <c r="B12" s="29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>52.6</v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>56.7</v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>52</v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>50.4</v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>57.4</v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>52.4</v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>59.6</v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>54.8</v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>54.4</v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>55.2</v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>54.7</v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>50.5</v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>52.3</v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>50.3</v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>50.9</v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>54.7</v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>55</v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>49.5</v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>50.1</v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>53.3</v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>50.5</v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>56</v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>54.7</v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>56.4</v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>53.1</v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>63.61</v>
      </c>
    </row>
    <row r="13" spans="2:36" x14ac:dyDescent="0.2">
      <c r="B13" s="29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>52.8</v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>56.5</v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>53.3</v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>51.1</v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>56.6</v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>52.1</v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>58.1</v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>54.9</v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>55.3</v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>55.1</v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>54</v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>50</v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>51.2</v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>52.7</v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>47.9</v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>55.5</v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>56</v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>48.6</v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>49.1</v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>53.6</v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>50.5</v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>54.6</v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>53.6</v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>55.3</v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>52.3</v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>63.72</v>
      </c>
    </row>
    <row r="14" spans="2:36" x14ac:dyDescent="0.2">
      <c r="B14" s="29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>53.2</v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>59.3</v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>52.8</v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>51.6</v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>57.4</v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>52.2</v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>59.3</v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>55.8</v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>56.8</v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>56.3</v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>52.4</v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>50.9</v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>52.2</v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>51.6</v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>51.2</v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>54.6</v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>59.8</v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>50.7</v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>49.9</v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>54.3</v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>52.2</v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>56.1</v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>55.3</v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>54.9</v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>52.5</v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>60.57</v>
      </c>
    </row>
    <row r="15" spans="2:36" x14ac:dyDescent="0.2">
      <c r="B15" s="29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>53.3</v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>60.2</v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>53.1</v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>51</v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>58.1</v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>52.9</v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>60.6</v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>56.1</v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>56</v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>56.3</v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>54.3</v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>50.9</v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>52.8</v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>51.9</v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>51.2</v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>55</v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>54.2</v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>50.4</v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>50.6</v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>54.2</v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>52.8</v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>55.4</v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>53.5</v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>56.6</v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>53.7</v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>61.78</v>
      </c>
    </row>
    <row r="16" spans="2:36" x14ac:dyDescent="0.2">
      <c r="B16" s="29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>53.5</v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>58.5</v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>54.6</v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>51</v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>58.5</v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>52.8</v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>60.6</v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>56.1</v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>56.2</v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>57.8</v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>55.8</v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>51.2</v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>49.2</v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>51.1</v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>50.3</v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>54.3</v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>51.1</v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>50.1</v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>50.2</v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>53.6</v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>52.1</v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>54.4</v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>52.8</v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>58.5</v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>53.4</v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>58.57</v>
      </c>
    </row>
    <row r="17" spans="2:28" x14ac:dyDescent="0.2">
      <c r="B17" s="29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>54.1</v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>58.2</v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>53.9</v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>50.8</v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>60.1</v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>53.6</v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>62.5</v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>57.7</v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>58.3</v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>58.3</v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>56.1</v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>53.5</v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>52.4</v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>51.5</v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>52.6</v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>54.4</v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>57.3</v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>50.4</v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>51.2</v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>56.3</v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>52.2</v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>58.1</v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>52.9</v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>58.7</v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>54.2</v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>58.31</v>
      </c>
    </row>
    <row r="18" spans="2:28" x14ac:dyDescent="0.2">
      <c r="B18" s="29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>54.5</v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>59.3</v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>55.1</v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>51.5</v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>60.6</v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>54</v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>63.3</v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>58.8</v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>56</v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>57.4</v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>55.8</v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>52.4</v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>51.7</v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>52</v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>54.7</v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>54.7</v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>56.2</v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>49.3</v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>49.9</v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>56.6</v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>53.1</v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>59.1</v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>54.9</v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>59.8</v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>55</v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>61.04</v>
      </c>
    </row>
    <row r="19" spans="2:28" x14ac:dyDescent="0.2">
      <c r="B19" s="29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>54.4</v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>59.1</v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>55.5</v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>51.6</v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>59.6</v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>54.8</v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>61.1</v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>58.4</v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>55</v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>59</v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>55.2</v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>51.2</v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>52.6</v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>52.1</v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>52.4</v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>55.9</v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>58.7</v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>49.9</v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>50.7</v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>56.9</v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>55.2</v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>57.6</v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>55.7</v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>59.8</v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>54.6</v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>66.650000000000006</v>
      </c>
    </row>
    <row r="20" spans="2:28" x14ac:dyDescent="0.2">
      <c r="B20" s="29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>54.1</v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>60.8</v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>55.3</v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>51.5</v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>58.6</v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>54.1</v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>60.6</v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>55.9</v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>54.9</v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>56.8</v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>56</v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>53.2</v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>51.6</v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>50.2</v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>52.1</v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>55.6</v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>57.5</v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>51.4</v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>50.3</v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>56</v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>56.1</v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>56.2</v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>55.6</v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>58.8</v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>53.7</v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>70.75</v>
      </c>
    </row>
    <row r="21" spans="2:28" x14ac:dyDescent="0.2">
      <c r="B21" s="29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>53.3</v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>59.3</v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>55.6</v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>51</v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>56.6</v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>53.2</v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>58.4</v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>53.7</v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>54.9</v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>55.1</v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>54.8</v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>53.4</v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>52.4</v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>50.6</v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>51</v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>55.7</v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>63.1</v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>50.7</v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>49.1</v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>55.3</v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>55</v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>54.1</v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>51.8</v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>57.3</v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>53.7</v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>61.05</v>
      </c>
    </row>
    <row r="22" spans="2:28" x14ac:dyDescent="0.2">
      <c r="B22" s="29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>53.5</v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>57.3</v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>56.5</v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>51.1</v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>56.2</v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>53.8</v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>58.1</v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>53.8</v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>53.9</v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>53.5</v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>54.4</v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>52.3</v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>51.6</v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>51.3</v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>51.6</v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>55.5</v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>58.3</v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>51.6</v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>48.4</v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>54.8</v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>52.9</v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>55.3</v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>48.9</v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>57.2</v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>53.9</v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>54.24</v>
      </c>
    </row>
    <row r="23" spans="2:28" x14ac:dyDescent="0.2">
      <c r="B23" s="29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>53.1</v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>58.7</v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>56.4</v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>51.1</v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>55.5</v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>52.8</v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>56.9</v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>55.1</v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>54.4</v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>52.7</v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>53.4</v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>50.7</v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>51</v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>49.8</v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>51.2</v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>56.2</v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>57.5</v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>51.7</v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>48.9</v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>53.4</v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>54.2</v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>55.4</v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>46.4</v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>56.5</v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>53.3</v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>47.78</v>
      </c>
    </row>
    <row r="24" spans="2:28" x14ac:dyDescent="0.2">
      <c r="B24" s="29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>53</v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>60.2</v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>55.4</v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>51</v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>54.9</v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>53</v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>55.9</v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>52.5</v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>54.4</v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>53.3</v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>53.4</v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>49.8</v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>52.1</v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>49.5</v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>53.1</v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>57.1</v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>57.4</v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>50.3</v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>49.8</v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>54.5</v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>53.5</v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>56.6</v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>46.8</v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>56.8</v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>54.2</v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>49.8</v>
      </c>
    </row>
    <row r="25" spans="2:28" x14ac:dyDescent="0.2">
      <c r="B25" s="29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>52.8</v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>58.1</v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>55.3</v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>50.8</v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>55.1</v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>52.3</v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>56.9</v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>53.3</v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>54</v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>51.5</v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>52.9</v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>50.5</v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>52.1</v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>48.1</v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>52.3</v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>56.9</v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>52</v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>50.5</v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>48.3</v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>53.1</v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>53.5</v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>56.3</v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>49</v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>55.4</v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>52.9</v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>55.7</v>
      </c>
    </row>
    <row r="26" spans="2:28" x14ac:dyDescent="0.2">
      <c r="B26" s="29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>52.6</v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>61.3</v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>54.5</v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>50.6</v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>54.6</v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>52.5</v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>55.9</v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>53.5</v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>52.8</v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>50.1</v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>53</v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>51.1</v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>50.7</v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>48.9</v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>51.7</v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>56.8</v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>56.7</v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>51.9</v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>49.9</v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>53</v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>53.9</v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>57.5</v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>46.4</v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>54.9</v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>51.4</v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>59.15</v>
      </c>
    </row>
    <row r="27" spans="2:28" x14ac:dyDescent="0.2">
      <c r="B27" s="29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>52.2</v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>59.8</v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>55.6</v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>50</v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>53.2</v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>52.5</v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>53.7</v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>52.5</v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>53.8</v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>50</v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>51.4</v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>50.9</v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>51.7</v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>50</v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>52.2</v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>54.8</v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>59</v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>50.7</v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>51.3</v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>50.8</v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>53.6</v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>56.3</v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>42.7</v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>53.4</v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>50.5</v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>53.7</v>
      </c>
    </row>
    <row r="28" spans="2:28" x14ac:dyDescent="0.2">
      <c r="B28" s="29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>52</v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>57.7</v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>55.7</v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>50.1</v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>52</v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>52.9</v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>52.2</v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>51.2</v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>51.1</v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>49.2</v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>51.8</v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>51.1</v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>50.7</v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>51.3</v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>53.1</v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>53.9</v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>58.3</v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>50.5</v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>51</v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>48.7</v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>53.1</v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>54.9</v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>44.3</v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>52.5</v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>50.4</v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>66.8</v>
      </c>
    </row>
    <row r="29" spans="2:28" x14ac:dyDescent="0.2">
      <c r="B29" s="29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>52</v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>59.3</v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>55.3</v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>50.2</v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>51.8</v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>52.2</v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>51.8</v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>50.8</v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>53.1</v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>48.6</v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>52.6</v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>52.7</v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>49.7</v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>52.6</v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>54</v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>54.9</v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>51.3</v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>50.4</v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>48.6</v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>48.4</v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>54</v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>55.4</v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>44.7</v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>51.8</v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>49.5</v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>58.2</v>
      </c>
    </row>
    <row r="30" spans="2:28" x14ac:dyDescent="0.2">
      <c r="B30" s="29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>51.5</v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>54.3</v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>53.8</v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>49.7</v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>51.4</v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>52.4</v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>51.5</v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>49.7</v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>54.2</v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>49.2</v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>51.1</v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>52.6</v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>49.7</v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>51.7</v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>53.2</v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>53.6</v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>49.5</v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>51.2</v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>49.8</v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>47.7</v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>53.8</v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>54.5</v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>44.2</v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>49.7</v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>47.6</v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>57.5</v>
      </c>
    </row>
    <row r="31" spans="2:28" x14ac:dyDescent="0.2">
      <c r="B31" s="29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>50.7</v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>56.6</v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>54.9</v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>48.3</v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>50.5</v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>50.3</v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>49.7</v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>51.2</v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>52.8</v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>47.8</v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>52.4</v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>52.7</v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>50.9</v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>50.9</v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>53.9</v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>53</v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>52.5</v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>49.9</v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>48.3</v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>47.5</v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>53.7</v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>52.6</v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>44.2</v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>49</v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>48.2</v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>51.1</v>
      </c>
    </row>
    <row r="32" spans="2:28" x14ac:dyDescent="0.2">
      <c r="B32" s="29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>50.6</v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>54.3</v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>53</v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>49.9</v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>49.3</v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>48.9</v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>47.6</v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>51.5</v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>52</v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>47.7</v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>49.9</v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>53.4</v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>52.6</v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>50.1</v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>54.3</v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>52.6</v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>54</v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>50.1</v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>47.2</v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>46.3</v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>54.2</v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>54</v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>46.4</v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>48.6</v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>47.6</v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>61.6</v>
      </c>
    </row>
    <row r="33" spans="2:28" x14ac:dyDescent="0.2">
      <c r="B33" s="29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>50.5</v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>54.3</v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>52.4</v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>50.8</v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>47.5</v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>49.2</v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>44.1</v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>49.7</v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>55.1</v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>47.4</v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>50.9</v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>52.8</v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>49.8</v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>52.8</v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>52.6</v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>50.5</v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>51</v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>51.2</v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>48.8</v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>49</v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>54.7</v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>53.9</v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>47.2</v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>47.3</v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>48.7</v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>56.6</v>
      </c>
    </row>
    <row r="34" spans="2:28" x14ac:dyDescent="0.2">
      <c r="B34" s="29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>50.4</v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>52.8</v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>52.6</v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>50.2</v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>47.9</v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>49.5</v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>44.4</v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>50</v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>53.1</v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>49.1</v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>51.8</v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>51.5</v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>50.1</v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>51.8</v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>51.8</v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>49.7</v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>54.8</v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>50.4</v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>50.2</v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>48.2</v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>56.6</v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>52.5</v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>46.8</v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>46.6</v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>49</v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>59.6</v>
      </c>
    </row>
    <row r="35" spans="2:28" x14ac:dyDescent="0.2">
      <c r="B35" s="29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>49.8</v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>52.1</v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>50.5</v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>50.2</v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>47.7</v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>49.8</v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>44.3</v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>50.6</v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>49.4</v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>49.7</v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>50.1</v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>50.2</v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>50</v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>49.8</v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>52.7</v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>49.1</v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>52.7</v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>51.6</v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>48.4</v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>48.4</v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>54.2</v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>50.4</v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>45.3</v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>46.6</v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>48.8</v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>47.6</v>
      </c>
    </row>
    <row r="36" spans="2:28" x14ac:dyDescent="0.2">
      <c r="B36" s="29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>49.4</v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>51.7</v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>50.6</v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>49.4</v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>47.6</v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>49.3</v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>45</v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>51.9</v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>48</v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>48.4</v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>47.9</v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>51</v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>49.2</v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>48.6</v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>52.1</v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>49.2</v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>49.4</v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>50.6</v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>47.5</v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>45.5</v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>52.4</v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>49.8</v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>47.9</v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>45.9</v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>48.4</v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>45</v>
      </c>
    </row>
    <row r="37" spans="2:28" x14ac:dyDescent="0.2">
      <c r="B37" s="29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>49.3</v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>51.2</v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>50</v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>49.9</v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>46.5</v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>49.4</v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>43.2</v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>49.7</v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>48</v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>48.5</v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>48.2</v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>49.9</v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>49.8</v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>49.3</v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>52.5</v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>50.2</v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>51.3</v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>49.6</v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>47.3</v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>48.1</v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>54.6</v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>48.7</v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>46.7</v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>43.1</v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>47.4</v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>49.5</v>
      </c>
    </row>
    <row r="38" spans="2:28" x14ac:dyDescent="0.2">
      <c r="B38" s="29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>49.5</v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>49.1</v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>50.3</v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>50.4</v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>47</v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>49.3</v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>43.5</v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>51.1</v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>47.4</v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>48.7</v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>48.8</v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>52.5</v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>49</v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>49.1</v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>51.4</v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>49.1</v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>53.1</v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>49</v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>49</v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>47.9</v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>54.9</v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>48.6</v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>48</v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>44.9</v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>48.8</v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>48.7</v>
      </c>
    </row>
    <row r="39" spans="2:28" x14ac:dyDescent="0.2">
      <c r="B39" s="29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>49.7</v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>47.8</v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>51.1</v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>51.4</v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>45.7</v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>48.9</v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>41.7</v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>50.1</v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>48.3</v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>47.8</v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>47.7</v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>53.4</v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>49.1</v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>46.3</v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>51.4</v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>51</v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>54.7</v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>49.1</v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>48</v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>50</v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>53.6</v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>48.7</v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>50</v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>44.9</v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>47.8</v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>50.2</v>
      </c>
    </row>
    <row r="40" spans="2:28" x14ac:dyDescent="0.2">
      <c r="B40" s="29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>49.8</v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>48.3</v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>51.3</v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>51.7</v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>45.9</v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>48.4</v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>42.1</v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>50.7</v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>49.6</v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>47.7</v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>46.8</v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>52.2</v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>50.4</v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>47.2</v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>50.6</v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>51.2</v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>51.6</v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>47.7</v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>48.4</v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>49.8</v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>53.5</v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>50.7</v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>49</v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>45</v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>45.6</v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>49.5</v>
      </c>
    </row>
    <row r="41" spans="2:28" x14ac:dyDescent="0.2">
      <c r="B41" s="29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>50.3</v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>48.1</v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>52.6</v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>51.8</v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>46.9</v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>48.9</v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>44.1</v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>51.7</v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>48.9</v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>47.6</v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>47.5</v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>52.9</v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>48</v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>45.6</v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>51.2</v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>51.4</v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>48.1</v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>48.2</v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>49.4</v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>49.8</v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>54.1</v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>49.7</v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>49.5</v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>43.5</v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>46.7</v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>53</v>
      </c>
    </row>
    <row r="42" spans="2:28" x14ac:dyDescent="0.2">
      <c r="B42" s="29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>50.1</v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>47.8</v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>52.4</v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>51.5</v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>46.3</v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>48.4</v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>43.7</v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>50.4</v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>47.5</v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>46.2</v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>47.4</v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>50.2</v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>47.1</v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>47.5</v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>52.7</v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>50.4</v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>48.3</v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>49.5</v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>50.1</v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>50.8</v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>53.9</v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>49.5</v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>49.5</v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>43.6</v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>48</v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>50.7</v>
      </c>
    </row>
    <row r="43" spans="2:28" x14ac:dyDescent="0.2">
      <c r="B43" s="29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>50.4</v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>50.9</v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>51.9</v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>51.1</v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>47.9</v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>48.8</v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>45.3</v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>51.1</v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>50</v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>48.9</v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>48.5</v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>51</v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>49</v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>47.9</v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>55.3</v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>50.6</v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>45.4</v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>49.3</v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>49.8</v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>51.8</v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>54.4</v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>51.4</v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>51.3</v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>45.2</v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>47.4</v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>53.2</v>
      </c>
    </row>
    <row r="44" spans="2:28" x14ac:dyDescent="0.2">
      <c r="B44" s="29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>47.1</v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>50.1</v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>50.7</v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>40.299999999999997</v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>49.2</v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>47.8</v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>48</v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>49.8</v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>51.7</v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>48.7</v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>50.4</v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>52.3</v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>50</v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>48.2</v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>54.5</v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>51.8</v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>44.3</v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>51.9</v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>48.7</v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>49.9</v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>56.2</v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>51.2</v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>52.4</v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>46.5</v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>48.2</v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>49.2</v>
      </c>
    </row>
    <row r="45" spans="2:28" x14ac:dyDescent="0.2">
      <c r="B45" s="29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>47.3</v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>49.1</v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>48.5</v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>50.1</v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>44.5</v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>44.2</v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>45.4</v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>43.2</v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>47.8</v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>40.299999999999997</v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>45.7</v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>48.4</v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>46.9</v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>47.5</v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>51.8</v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>46.1</v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>53.7</v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>45.3</v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>44.2</v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>50.4</v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>42.5</v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>45.1</v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>48.1</v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>41.3</v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>42.4</v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>46.8</v>
      </c>
    </row>
    <row r="46" spans="2:28" x14ac:dyDescent="0.2">
      <c r="B46" s="29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>39.6</v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>41.5</v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>36.1</v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>49.4</v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>33.4</v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>41.9</v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>34.5</v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>31.5</v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>32.6</v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>31.1</v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>30.8</v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>36</v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>35</v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>31.3</v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>27.4</v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>33</v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>35.799999999999997</v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>27.5</v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>41.6</v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>42.2</v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>29.5</v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>36</v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>33.4</v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>35.1</v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>31.9</v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>38.6</v>
      </c>
    </row>
    <row r="47" spans="2:28" x14ac:dyDescent="0.2">
      <c r="B47" s="29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>42.4</v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>43.1</v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>39.799999999999997</v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>50.7</v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>39.4</v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>38.4</v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>36.6</v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>40.6</v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>40.700000000000003</v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>45.4</v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>38.299999999999997</v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>38.299999999999997</v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>38.299999999999997</v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>36.200000000000003</v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>30.8</v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>40.6</v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>41.6</v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>28.6</v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>41.3</v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>41.9</v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>41.1</v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>39.200000000000003</v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>40.9</v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>39.6</v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>40.6</v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>54</v>
      </c>
    </row>
    <row r="48" spans="2:28" x14ac:dyDescent="0.2">
      <c r="B48" s="29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>47.8</v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>52.6</v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>49.8</v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>51.2</v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>47.4</v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>40.1</v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>45.2</v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>52.3</v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>50.1</v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>47.5</v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>49</v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>51.6</v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>38.6</v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>49.4</v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>47.2</v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>47.8</v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>51.5</v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>39.1</v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>43.4</v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>46.2</v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>49.4</v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>51</v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>53.9</v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>44.9</v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>47.2</v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>52.2</v>
      </c>
    </row>
    <row r="49" spans="2:28" s="57" customFormat="1" x14ac:dyDescent="0.2">
      <c r="B49" s="29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>50.6</v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>54.2</v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>50.9</v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>52.8</v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>51.8</v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>45.2</v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>51</v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>52.4</v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>53.3</v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>51.9</v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>53.5</v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>58.2</v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>40.4</v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>48.4</v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>46</v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>52.9</v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>53.5</v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>46.9</v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>46.9</v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>50.6</v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>48.6</v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>57.3</v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>56.9</v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>47</v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>52.8</v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>57.4</v>
      </c>
    </row>
    <row r="50" spans="2:28" s="57" customFormat="1" x14ac:dyDescent="0.2">
      <c r="B50" s="29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>51.8</v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>56</v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>53.1</v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>53.1</v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>51.7</v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>47.2</v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>52.2</v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>49.8</v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>55.2</v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>53.1</v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>49.9</v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>64.7</v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>41.3</v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>51.1</v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>52</v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>55.1</v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>49.3</v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>50.8</v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>48.5</v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>52.2</v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>49.4</v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>52.3</v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>54.3</v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>49.1</v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>50.6</v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>52.3</v>
      </c>
    </row>
    <row r="51" spans="2:28" s="57" customFormat="1" x14ac:dyDescent="0.2">
      <c r="B51" s="29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>52.4</v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>57.8</v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>53.2</v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>53</v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>53.7</v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>47.7</v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>56.4</v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>51.2</v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>54.1</v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>53.2</v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>50.8</v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>64.900000000000006</v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>42.1</v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>48.9</v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>56.8</v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>56</v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>46.7</v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>47.2</v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>49.8</v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>55.2</v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>50</v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>50</v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>52.8</v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>50.7</v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>50.8</v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>54.4</v>
      </c>
    </row>
    <row r="52" spans="2:28" s="57" customFormat="1" x14ac:dyDescent="0.2">
      <c r="B52" s="29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>53</v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>59.3</v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>53.4</v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>53.6</v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>54.8</v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>48.7</v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>58.2</v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>51.3</v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>53.7</v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>53.8</v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>52.5</v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>66.7</v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>43.6</v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>46.9</v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>58.9</v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>55.5</v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>56.3</v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>47.8</v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>51.2</v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>55.1</v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>48.7</v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>50.3</v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>53.9</v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>51.9</v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>50.8</v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>61.8</v>
      </c>
    </row>
    <row r="53" spans="2:28" s="57" customFormat="1" x14ac:dyDescent="0.2">
      <c r="B53" s="29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>53.8</v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>57.5</v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>56.7</v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>54.9</v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>53.8</v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>49</v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>57.8</v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>49.6</v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>55.6</v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>51.5</v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>49.8</v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>64</v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>43.7</v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>46.3</v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>56.3</v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>55.8</v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>52.1</v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>50.6</v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>52.9</v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>56.9</v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>42.3</v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>52.2</v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>51.4</v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>53.9</v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>50.8</v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>47.7</v>
      </c>
    </row>
    <row r="54" spans="2:28" s="57" customFormat="1" x14ac:dyDescent="0.2">
      <c r="B54" s="29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>53.8</v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>60.5</v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>57.1</v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>53</v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>55.2</v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>50</v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>58.3</v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>51.1</v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>57.5</v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>52.8</v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>51</v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>61.5</v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>42.4</v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>49.7</v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>56.4</v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>57.9</v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>55.3</v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>51.3</v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>52.9</v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>59.4</v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>46.9</v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>57.2</v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>50.8</v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>57</v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>51.7</v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>41.9</v>
      </c>
    </row>
    <row r="55" spans="2:28" s="57" customFormat="1" x14ac:dyDescent="0.2">
      <c r="B55" s="29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>53.6</v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>58.7</v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>59.2</v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>51.5</v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>54.8</v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>49.8</v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>57.1</v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>51.6</v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>54.1</v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>55.1</v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>49.3</v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>56.5</v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>43</v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>50.9</v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>57.7</v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>54.4</v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>55.3</v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>52.2</v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>53.2</v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>60.2</v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>50</v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>51.8</v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>54.4</v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>57</v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>51.9</v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>42.1</v>
      </c>
    </row>
    <row r="56" spans="2:28" s="57" customFormat="1" x14ac:dyDescent="0.2">
      <c r="B56" s="29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>53.9</v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>60.8</v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>58.6</v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>50.9</v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>57.9</v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>51.4</v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>60.7</v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>56.1</v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>55.1</v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>56.9</v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>52.9</v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>58.4</v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>44.2</v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>51.5</v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>57.5</v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>54.8</v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>58.8</v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>50.9</v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>55.3</v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>60.4</v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>49.4</v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>52</v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>51.7</v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>56.5</v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>53.4</v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>40.799999999999997</v>
      </c>
    </row>
    <row r="57" spans="2:28" s="57" customFormat="1" x14ac:dyDescent="0.2">
      <c r="B57" s="29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>55</v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>64.7</v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>59.1</v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>50.6</v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>62.5</v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>52.7</v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>66.599999999999994</v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>59.3</v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>58.9</v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>59.8</v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>56.9</v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>52.8</v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>45.6</v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>51.1</v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>55.4</v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>58.5</v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>59.9</v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>53.2</v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>55.3</v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>60.8</v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>51.8</v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>57.1</v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>52.6</v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>58</v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>54.3</v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>67.599999999999994</v>
      </c>
    </row>
    <row r="58" spans="2:28" s="57" customFormat="1" x14ac:dyDescent="0.2">
      <c r="B58" s="29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>55.9</v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>60.7</v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>60.5</v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>51.9</v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>62.9</v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>53.6</v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>66.2</v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>58.9</v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>60.9</v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>60.7</v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>57.7</v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>52.3</v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>48.4</v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>50.4</v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>55.5</v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>57.2</v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>61.7</v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>54.6</v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>54.6</v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>62.4</v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>54.4</v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>60.8</v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>50.4</v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>58.9</v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>53.7</v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>72</v>
      </c>
    </row>
    <row r="59" spans="2:28" s="57" customFormat="1" x14ac:dyDescent="0.2">
      <c r="B59" s="29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>56</v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>61.2</v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>62.6</v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>52</v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>63.1</v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>53</v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>64.400000000000006</v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>59.4</v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>65.599999999999994</v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>62.3</v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>59.4</v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>53.7</v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>47.6</v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>51.9</v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>50.8</v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>57</v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>61.8</v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>55.3</v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>53.7</v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>62</v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>58</v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>64.099999999999994</v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>49.3</v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>61.8</v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>57.2</v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>67.7</v>
      </c>
    </row>
    <row r="60" spans="2:28" s="57" customFormat="1" x14ac:dyDescent="0.2">
      <c r="B60" s="29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>55.5</v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>60.6</v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>62.1</v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>51.3</v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>63.4</v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>52.4</v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>65.099999999999994</v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>59</v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>63.9</v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>62.2</v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>60.4</v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>56.4</v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>48.8</v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>49.2</v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>48.1</v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>56.5</v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>63.2</v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>53.5</v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>53.9</v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>57.6</v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>58.6</v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>64</v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>51.3</v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>62.7</v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>59.4</v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>62.1</v>
      </c>
    </row>
    <row r="61" spans="2:28" s="57" customFormat="1" x14ac:dyDescent="0.2">
      <c r="B61" s="29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>55.4</v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>59.5</v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>63.4</v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>50.3</v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>62.8</v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>53</v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>65.900000000000006</v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>58</v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>60.4</v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>60.3</v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>59</v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>56.7</v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>49.6</v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>47.5</v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>55.3</v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>56.2</v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>60.8</v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>40.1</v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>53</v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>59.7</v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>57.4</v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>63.3</v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>54</v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>62</v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>57.6</v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>69.8</v>
      </c>
    </row>
    <row r="62" spans="2:28" s="57" customFormat="1" x14ac:dyDescent="0.2">
      <c r="B62" s="29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>54.1</v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>59.9</v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>61.1</v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>49.2</v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>61.4</v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>52.7</v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>62.6</v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>57.5</v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>60.3</v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>60.9</v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>59.5</v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>53.6</v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>47.1</v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>46.5</v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>52.3</v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>57.2</v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>51.6</v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>43.7</v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>51.2</v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>58.5</v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>59.3</v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>62.8</v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>54.1</v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>61</v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>56</v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>67.3</v>
      </c>
    </row>
    <row r="63" spans="2:28" s="57" customFormat="1" x14ac:dyDescent="0.2">
      <c r="B63" s="29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>54.1</v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>60.3</v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>60.7</v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>50</v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>58.6</v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>51.5</v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>58.4</v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>55</v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>57.1</v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>59.7</v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>58.1</v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>54.4</v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>48.6</v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>49.8</v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>53.7</v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>57</v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>51.2</v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>52.2</v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>52.4</v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>54.7</v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>58.4</v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>60.3</v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>52.5</v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>58</v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>53.4</v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>65.2</v>
      </c>
    </row>
    <row r="64" spans="2:28" s="57" customFormat="1" x14ac:dyDescent="0.2">
      <c r="B64" s="29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>54.2</v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>60.7</v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>58.4</v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>50.6</v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>58.3</v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>53.2</v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>57.8</v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>53.6</v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>57.8</v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>61.1</v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>57.4</v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>51.7</v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>49.3</v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>51.6</v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>55.9</v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>57.7</v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>50.4</v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>57.2</v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>50.2</v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>55.2</v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>58.9</v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>62.1</v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>51.2</v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>55.1</v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>53.8</v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>71.900000000000006</v>
      </c>
    </row>
    <row r="65" spans="2:28" s="57" customFormat="1" x14ac:dyDescent="0.2">
      <c r="B65" s="29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>54.2</v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>61.1</v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>58.3</v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>49.9</v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>58.4</v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>54.5</v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>57.4</v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>55.9</v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>58.1</v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>62.8</v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>57.1</v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>49.8</v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>49.4</v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>51.7</v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>57.6</v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>57.2</v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>54.8</v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>53.9</v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>50.9</v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>54.9</v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>58.8</v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>59.9</v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>52</v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>57.1</v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>54.4</v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>68.2</v>
      </c>
    </row>
    <row r="66" spans="2:28" s="57" customFormat="1" x14ac:dyDescent="0.2">
      <c r="B66" s="29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>54.3</v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>61.5</v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>57.7</v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>50.9</v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>58</v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>54.3</v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>57.4</v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>55.6</v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>57.9</v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>62</v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>56.2</v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>49.8</v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>49.4</v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>51.6</v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>55.5</v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>55.5</v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>48.4</v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>53.5</v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>51.9</v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>55.5</v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>59</v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>58.3</v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>52.1</v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>59.1</v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>56.1</v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>64.400000000000006</v>
      </c>
    </row>
    <row r="67" spans="2:28" s="57" customFormat="1" x14ac:dyDescent="0.2">
      <c r="B67" s="29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>51.4</v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>57.6</v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>55</v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>49.1</v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>59</v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>55.4</v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>60.5</v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>55.5</v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>56.9</v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>58.3</v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>56.2</v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>47.8</v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>46.1</v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>51.8</v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>54</v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>56.2</v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>48.4</v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>53.7</v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>52.8</v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>55.1</v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>57.9</v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>59.4</v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>50.5</v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>59</v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>54.5</v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>60.9</v>
      </c>
    </row>
    <row r="68" spans="2:28" s="57" customFormat="1" x14ac:dyDescent="0.2">
      <c r="B68" s="29">
        <v>44593</v>
      </c>
      <c r="C68" s="38" t="e">
        <f>IF((VLOOKUP(B68,'DB PMI Manufacturing World'!$A:$AA,MATCH($C$1,'DB PMI Manufacturing World'!$A$1:$AA$1,),))=0,#N/A, (VLOOKUP(B68,'DB PMI Manufacturing World'!$A:$AA,MATCH($C$1,'DB PMI Manufacturing World'!$A$1:$AA$1,),)))</f>
        <v>#N/A</v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>58.6</v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>57.5</v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>50.4</v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>58.4</v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>52.9</v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>58.5</v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>57.6</v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>57.3</v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>58.3</v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>56.9</v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>49.6</v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>48</v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>48.6</v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>54.9</v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>56.6</v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>53.2</v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>51.2</v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>53.8</v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>54.3</v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>57.8</v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>57.8</v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>50.4</v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>56.5</v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>54.7</v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>50.66</v>
      </c>
    </row>
    <row r="69" spans="2:28" s="57" customFormat="1" x14ac:dyDescent="0.2">
      <c r="B69" s="29">
        <v>44621</v>
      </c>
      <c r="C69" s="38" t="e">
        <f>IF((VLOOKUP(B69,'DB PMI Manufacturing World'!$A:$AA,MATCH($C$1,'DB PMI Manufacturing World'!$A$1:$AA$1,),))=0,#N/A, (VLOOKUP(B69,'DB PMI Manufacturing World'!$A:$AA,MATCH($C$1,'DB PMI Manufacturing World'!$A$1:$AA$1,),)))</f>
        <v>#N/A</v>
      </c>
      <c r="D69" s="38">
        <f>IF((VLOOKUP(B69,'DB PMI Manufacturing World'!$A:$AA,MATCH($D$1,'DB PMI Manufacturing World'!$A$1:$AA$1,),))=0,#N/A, (VLOOKUP(B69,'DB PMI Manufacturing World'!$A:$AA,MATCH($D$1,'DB PMI Manufacturing World'!$A$1:$AA$1,),)))</f>
        <v>57.1</v>
      </c>
      <c r="E69" s="38">
        <f>IF((VLOOKUP(B69,'DB PMI Manufacturing World'!$A:$AA,MATCH($E$1,'DB PMI Manufacturing World'!$A$1:$AA$1,),))=0,#N/A, (VLOOKUP(B69,'DB PMI Manufacturing World'!$A:$AA,MATCH($E$1,'DB PMI Manufacturing World'!$A$1:$AA$1,),)))</f>
        <v>58.5</v>
      </c>
      <c r="F69" s="38">
        <f>IF((VLOOKUP(B69,'DB PMI Manufacturing World'!$A:$AA,MATCH($F$1,'DB PMI Manufacturing World'!$A$1:$AA$1,),))=0,#N/A, (VLOOKUP(B69,'DB PMI Manufacturing World'!$A:$AA,MATCH($F$1,'DB PMI Manufacturing World'!$A$1:$AA$1,),)))</f>
        <v>48.1</v>
      </c>
      <c r="G69" s="38">
        <f>IF((VLOOKUP(B69,'DB PMI Manufacturing World'!$A:$AA,MATCH($G$1,'DB PMI Manufacturing World'!$A$1:$AA$1,),))=0,#N/A, (VLOOKUP(B69,'DB PMI Manufacturing World'!$A:$AA,MATCH($G$1,'DB PMI Manufacturing World'!$A$1:$AA$1,),)))</f>
        <v>57</v>
      </c>
      <c r="H69" s="38">
        <f>IF((VLOOKUP(B69,'DB PMI Manufacturing World'!$A:$AA,MATCH($H$1,'DB PMI Manufacturing World'!$A$1:$AA$1,),))=0,#N/A, (VLOOKUP(B69,'DB PMI Manufacturing World'!$A:$AA,MATCH($H$1,'DB PMI Manufacturing World'!$A$1:$AA$1,),)))</f>
        <v>53.2</v>
      </c>
      <c r="I69" s="38">
        <f>IF((VLOOKUP(B69,'DB PMI Manufacturing World'!$A:$AA,MATCH($I$1,'DB PMI Manufacturing World'!$A$1:$AA$1,),))=0,#N/A, (VLOOKUP(B69,'DB PMI Manufacturing World'!$A:$AA,MATCH($I$1,'DB PMI Manufacturing World'!$A$1:$AA$1,),)))</f>
        <v>57.6</v>
      </c>
      <c r="J69" s="38">
        <f>IF((VLOOKUP(B69,'DB PMI Manufacturing World'!$A:$AA,MATCH($J$1,'DB PMI Manufacturing World'!$A$1:$AA$1,),))=0,#N/A, (VLOOKUP(B69,'DB PMI Manufacturing World'!$A:$AA,MATCH($J$1,'DB PMI Manufacturing World'!$A$1:$AA$1,),)))</f>
        <v>54.8</v>
      </c>
      <c r="K69" s="38">
        <f>IF((VLOOKUP(B69,'DB PMI Manufacturing World'!$A:$AA,MATCH($K$1,'DB PMI Manufacturing World'!$A$1:$AA$1,),))=0,#N/A, (VLOOKUP(B69,'DB PMI Manufacturing World'!$A:$AA,MATCH($K$1,'DB PMI Manufacturing World'!$A$1:$AA$1,),)))</f>
        <v>55.5</v>
      </c>
      <c r="L69" s="38">
        <f>IF((VLOOKUP(B69,'DB PMI Manufacturing World'!$A:$AA,MATCH($L$1,'DB PMI Manufacturing World'!$A$1:$AA$1,),))=0,#N/A, (VLOOKUP(B69,'DB PMI Manufacturing World'!$A:$AA,MATCH($L$1,'DB PMI Manufacturing World'!$A$1:$AA$1,),)))</f>
        <v>55.8</v>
      </c>
      <c r="M69" s="38">
        <f>IF((VLOOKUP(B69,'DB PMI Manufacturing World'!$A:$AA,MATCH($M$1,'DB PMI Manufacturing World'!$A$1:$AA$1,),))=0,#N/A, (VLOOKUP(B69,'DB PMI Manufacturing World'!$A:$AA,MATCH($M$1,'DB PMI Manufacturing World'!$A$1:$AA$1,),)))</f>
        <v>54.2</v>
      </c>
      <c r="N69" s="38">
        <f>IF((VLOOKUP(B69,'DB PMI Manufacturing World'!$A:$AA,MATCH($N$1,'DB PMI Manufacturing World'!$A$1:$AA$1,),))=0,#N/A, (VLOOKUP(B69,'DB PMI Manufacturing World'!$A:$AA,MATCH($N$1,'DB PMI Manufacturing World'!$A$1:$AA$1,),)))</f>
        <v>52.3</v>
      </c>
      <c r="O69" s="38">
        <f>IF((VLOOKUP(B69,'DB PMI Manufacturing World'!$A:$AA,MATCH($O$1,'DB PMI Manufacturing World'!$A$1:$AA$1,),))=0,#N/A, (VLOOKUP(B69,'DB PMI Manufacturing World'!$A:$AA,MATCH($O$1,'DB PMI Manufacturing World'!$A$1:$AA$1,),)))</f>
        <v>49.2</v>
      </c>
      <c r="P69" s="38">
        <f>IF((VLOOKUP(B69,'DB PMI Manufacturing World'!$A:$AA,MATCH($P$1,'DB PMI Manufacturing World'!$A$1:$AA$1,),))=0,#N/A, (VLOOKUP(B69,'DB PMI Manufacturing World'!$A:$AA,MATCH($P$1,'DB PMI Manufacturing World'!$A$1:$AA$1,),)))</f>
        <v>44.1</v>
      </c>
      <c r="Q69" s="38">
        <f>IF((VLOOKUP(B69,'DB PMI Manufacturing World'!$A:$AA,MATCH($Q$1,'DB PMI Manufacturing World'!$A$1:$AA$1,),))=0,#N/A, (VLOOKUP(B69,'DB PMI Manufacturing World'!$A:$AA,MATCH($Q$1,'DB PMI Manufacturing World'!$A$1:$AA$1,),)))</f>
        <v>54</v>
      </c>
      <c r="R69" s="38">
        <f>IF((VLOOKUP(B69,'DB PMI Manufacturing World'!$A:$AA,MATCH($R$1,'DB PMI Manufacturing World'!$A$1:$AA$1,),))=0,#N/A, (VLOOKUP(B69,'DB PMI Manufacturing World'!$A:$AA,MATCH($R$1,'DB PMI Manufacturing World'!$A$1:$AA$1,),)))</f>
        <v>58.9</v>
      </c>
      <c r="S69" s="38">
        <f>IF((VLOOKUP(B69,'DB PMI Manufacturing World'!$A:$AA,MATCH($S$1,'DB PMI Manufacturing World'!$A$1:$AA$1,),))=0,#N/A, (VLOOKUP(B69,'DB PMI Manufacturing World'!$A:$AA,MATCH($S$1,'DB PMI Manufacturing World'!$A$1:$AA$1,),)))</f>
        <v>55.7</v>
      </c>
      <c r="T69" s="38">
        <f>IF((VLOOKUP(B69,'DB PMI Manufacturing World'!$A:$AA,MATCH($T$1,'DB PMI Manufacturing World'!$A$1:$AA$1,),))=0,#N/A, (VLOOKUP(B69,'DB PMI Manufacturing World'!$A:$AA,MATCH($T$1,'DB PMI Manufacturing World'!$A$1:$AA$1,),)))</f>
        <v>51.3</v>
      </c>
      <c r="U69" s="38">
        <f>IF((VLOOKUP(B69,'DB PMI Manufacturing World'!$A:$AA,MATCH($U$1,'DB PMI Manufacturing World'!$A$1:$AA$1,),))=0,#N/A, (VLOOKUP(B69,'DB PMI Manufacturing World'!$A:$AA,MATCH($U$1,'DB PMI Manufacturing World'!$A$1:$AA$1,),)))</f>
        <v>51.2</v>
      </c>
      <c r="V69" s="38">
        <f>IF((VLOOKUP(B69,'DB PMI Manufacturing World'!$A:$AA,MATCH($V$1,'DB PMI Manufacturing World'!$A$1:$AA$1,),))=0,#N/A, (VLOOKUP(B69,'DB PMI Manufacturing World'!$A:$AA,MATCH($V$1,'DB PMI Manufacturing World'!$A$1:$AA$1,),)))</f>
        <v>54.1</v>
      </c>
      <c r="W69" s="38">
        <f>IF((VLOOKUP(B69,'DB PMI Manufacturing World'!$A:$AA,MATCH($W$1,'DB PMI Manufacturing World'!$A$1:$AA$1,),))=0,#N/A, (VLOOKUP(B69,'DB PMI Manufacturing World'!$A:$AA,MATCH($W$1,'DB PMI Manufacturing World'!$A$1:$AA$1,),)))</f>
        <v>54.6</v>
      </c>
      <c r="X69" s="38">
        <f>IF((VLOOKUP(B69,'DB PMI Manufacturing World'!$A:$AA,MATCH($X$1,'DB PMI Manufacturing World'!$A$1:$AA$1,),))=0,#N/A, (VLOOKUP(B69,'DB PMI Manufacturing World'!$A:$AA,MATCH($X$1,'DB PMI Manufacturing World'!$A$1:$AA$1,),)))</f>
        <v>59.4</v>
      </c>
      <c r="Y69" s="38">
        <f>IF((VLOOKUP(B69,'DB PMI Manufacturing World'!$A:$AA,MATCH($Y$1,'DB PMI Manufacturing World'!$A$1:$AA$1,),))=0,#N/A, (VLOOKUP(B69,'DB PMI Manufacturing World'!$A:$AA,MATCH($Y$1,'DB PMI Manufacturing World'!$A$1:$AA$1,),)))</f>
        <v>49.4</v>
      </c>
      <c r="Z69" s="38">
        <f>IF((VLOOKUP(B69,'DB PMI Manufacturing World'!$A:$AA,MATCH($Z$1,'DB PMI Manufacturing World'!$A$1:$AA$1,),))=0,#N/A, (VLOOKUP(B69,'DB PMI Manufacturing World'!$A:$AA,MATCH($Z$1,'DB PMI Manufacturing World'!$A$1:$AA$1,),)))</f>
        <v>54.7</v>
      </c>
      <c r="AA69" s="38">
        <f>IF((VLOOKUP(B69,'DB PMI Manufacturing World'!$A:$AA,MATCH($AA$1,'DB PMI Manufacturing World'!$A$1:$AA$1,),))=0,#N/A, (VLOOKUP(B69,'DB PMI Manufacturing World'!$A:$AA,MATCH($AA$1,'DB PMI Manufacturing World'!$A$1:$AA$1,),)))</f>
        <v>52.7</v>
      </c>
      <c r="AB69" s="38">
        <f>IF((VLOOKUP(B69,'DB PMI Manufacturing World'!$A:$AA,MATCH($AB$1,'DB PMI Manufacturing World'!$A$1:$AA$1,),))=0,#N/A, (VLOOKUP(B69,'DB PMI Manufacturing World'!$A:$AA,MATCH($AB$1,'DB PMI Manufacturing World'!$A$1:$AA$1,),)))</f>
        <v>62.1</v>
      </c>
    </row>
    <row r="70" spans="2:28" s="57" customFormat="1" x14ac:dyDescent="0.2">
      <c r="B70" s="29">
        <v>44652</v>
      </c>
      <c r="C70" s="38" t="e">
        <f>IF((VLOOKUP(B70,'DB PMI Manufacturing World'!$A:$AA,MATCH($C$1,'DB PMI Manufacturing World'!$A$1:$AA$1,),))=0,#N/A, (VLOOKUP(B70,'DB PMI Manufacturing World'!$A:$AA,MATCH($C$1,'DB PMI Manufacturing World'!$A$1:$AA$1,),)))</f>
        <v>#N/A</v>
      </c>
      <c r="D70" s="38">
        <f>IF((VLOOKUP(B70,'DB PMI Manufacturing World'!$A:$AA,MATCH($D$1,'DB PMI Manufacturing World'!$A$1:$AA$1,),))=0,#N/A, (VLOOKUP(B70,'DB PMI Manufacturing World'!$A:$AA,MATCH($D$1,'DB PMI Manufacturing World'!$A$1:$AA$1,),)))</f>
        <v>55.4</v>
      </c>
      <c r="E70" s="38">
        <f>IF((VLOOKUP(B70,'DB PMI Manufacturing World'!$A:$AA,MATCH($E$1,'DB PMI Manufacturing World'!$A$1:$AA$1,),))=0,#N/A, (VLOOKUP(B70,'DB PMI Manufacturing World'!$A:$AA,MATCH($E$1,'DB PMI Manufacturing World'!$A$1:$AA$1,),)))</f>
        <v>59.2</v>
      </c>
      <c r="F70" s="38">
        <f>IF((VLOOKUP(B70,'DB PMI Manufacturing World'!$A:$AA,MATCH($F$1,'DB PMI Manufacturing World'!$A$1:$AA$1,),))=0,#N/A, (VLOOKUP(B70,'DB PMI Manufacturing World'!$A:$AA,MATCH($F$1,'DB PMI Manufacturing World'!$A$1:$AA$1,),)))</f>
        <v>46</v>
      </c>
      <c r="G70" s="38">
        <f>IF((VLOOKUP(B70,'DB PMI Manufacturing World'!$A:$AA,MATCH($G$1,'DB PMI Manufacturing World'!$A$1:$AA$1,),))=0,#N/A, (VLOOKUP(B70,'DB PMI Manufacturing World'!$A:$AA,MATCH($G$1,'DB PMI Manufacturing World'!$A$1:$AA$1,),)))</f>
        <v>55.5</v>
      </c>
      <c r="H70" s="38">
        <f>IF((VLOOKUP(B70,'DB PMI Manufacturing World'!$A:$AA,MATCH($H$1,'DB PMI Manufacturing World'!$A$1:$AA$1,),))=0,#N/A, (VLOOKUP(B70,'DB PMI Manufacturing World'!$A:$AA,MATCH($H$1,'DB PMI Manufacturing World'!$A$1:$AA$1,),)))</f>
        <v>53.5</v>
      </c>
      <c r="I70" s="38">
        <f>IF((VLOOKUP(B70,'DB PMI Manufacturing World'!$A:$AA,MATCH($I$1,'DB PMI Manufacturing World'!$A$1:$AA$1,),))=0,#N/A, (VLOOKUP(B70,'DB PMI Manufacturing World'!$A:$AA,MATCH($I$1,'DB PMI Manufacturing World'!$A$1:$AA$1,),)))</f>
        <v>54.6</v>
      </c>
      <c r="J70" s="38">
        <f>IF((VLOOKUP(B70,'DB PMI Manufacturing World'!$A:$AA,MATCH($J$1,'DB PMI Manufacturing World'!$A$1:$AA$1,),))=0,#N/A, (VLOOKUP(B70,'DB PMI Manufacturing World'!$A:$AA,MATCH($J$1,'DB PMI Manufacturing World'!$A$1:$AA$1,),)))</f>
        <v>55.7</v>
      </c>
      <c r="K70" s="38">
        <f>IF((VLOOKUP(B70,'DB PMI Manufacturing World'!$A:$AA,MATCH($K$1,'DB PMI Manufacturing World'!$A$1:$AA$1,),))=0,#N/A, (VLOOKUP(B70,'DB PMI Manufacturing World'!$A:$AA,MATCH($K$1,'DB PMI Manufacturing World'!$A$1:$AA$1,),)))</f>
        <v>55.3</v>
      </c>
      <c r="L70" s="38">
        <f>IF((VLOOKUP(B70,'DB PMI Manufacturing World'!$A:$AA,MATCH($L$1,'DB PMI Manufacturing World'!$A$1:$AA$1,),))=0,#N/A, (VLOOKUP(B70,'DB PMI Manufacturing World'!$A:$AA,MATCH($L$1,'DB PMI Manufacturing World'!$A$1:$AA$1,),)))</f>
        <v>54.5</v>
      </c>
      <c r="M70" s="38">
        <f>IF((VLOOKUP(B70,'DB PMI Manufacturing World'!$A:$AA,MATCH($M$1,'DB PMI Manufacturing World'!$A$1:$AA$1,),))=0,#N/A, (VLOOKUP(B70,'DB PMI Manufacturing World'!$A:$AA,MATCH($M$1,'DB PMI Manufacturing World'!$A$1:$AA$1,),)))</f>
        <v>53.3</v>
      </c>
      <c r="N70" s="38">
        <f>IF((VLOOKUP(B70,'DB PMI Manufacturing World'!$A:$AA,MATCH($N$1,'DB PMI Manufacturing World'!$A$1:$AA$1,),))=0,#N/A, (VLOOKUP(B70,'DB PMI Manufacturing World'!$A:$AA,MATCH($N$1,'DB PMI Manufacturing World'!$A$1:$AA$1,),)))</f>
        <v>51.8</v>
      </c>
      <c r="O70" s="38">
        <f>IF((VLOOKUP(B70,'DB PMI Manufacturing World'!$A:$AA,MATCH($O$1,'DB PMI Manufacturing World'!$A$1:$AA$1,),))=0,#N/A, (VLOOKUP(B70,'DB PMI Manufacturing World'!$A:$AA,MATCH($O$1,'DB PMI Manufacturing World'!$A$1:$AA$1,),)))</f>
        <v>49.3</v>
      </c>
      <c r="P70" s="38">
        <f>IF((VLOOKUP(B70,'DB PMI Manufacturing World'!$A:$AA,MATCH($P$1,'DB PMI Manufacturing World'!$A$1:$AA$1,),))=0,#N/A, (VLOOKUP(B70,'DB PMI Manufacturing World'!$A:$AA,MATCH($P$1,'DB PMI Manufacturing World'!$A$1:$AA$1,),)))</f>
        <v>48.2</v>
      </c>
      <c r="Q70" s="38">
        <f>IF((VLOOKUP(B70,'DB PMI Manufacturing World'!$A:$AA,MATCH($Q$1,'DB PMI Manufacturing World'!$A$1:$AA$1,),))=0,#N/A, (VLOOKUP(B70,'DB PMI Manufacturing World'!$A:$AA,MATCH($Q$1,'DB PMI Manufacturing World'!$A$1:$AA$1,),)))</f>
        <v>54.7</v>
      </c>
      <c r="R70" s="38">
        <f>IF((VLOOKUP(B70,'DB PMI Manufacturing World'!$A:$AA,MATCH($R$1,'DB PMI Manufacturing World'!$A$1:$AA$1,),))=0,#N/A, (VLOOKUP(B70,'DB PMI Manufacturing World'!$A:$AA,MATCH($R$1,'DB PMI Manufacturing World'!$A$1:$AA$1,),)))</f>
        <v>56.2</v>
      </c>
      <c r="S70" s="38">
        <f>IF((VLOOKUP(B70,'DB PMI Manufacturing World'!$A:$AA,MATCH($S$1,'DB PMI Manufacturing World'!$A$1:$AA$1,),))=0,#N/A, (VLOOKUP(B70,'DB PMI Manufacturing World'!$A:$AA,MATCH($S$1,'DB PMI Manufacturing World'!$A$1:$AA$1,),)))</f>
        <v>58.5</v>
      </c>
      <c r="T70" s="38">
        <f>IF((VLOOKUP(B70,'DB PMI Manufacturing World'!$A:$AA,MATCH($T$1,'DB PMI Manufacturing World'!$A$1:$AA$1,),))=0,#N/A, (VLOOKUP(B70,'DB PMI Manufacturing World'!$A:$AA,MATCH($T$1,'DB PMI Manufacturing World'!$A$1:$AA$1,),)))</f>
        <v>51.9</v>
      </c>
      <c r="U70" s="38">
        <f>IF((VLOOKUP(B70,'DB PMI Manufacturing World'!$A:$AA,MATCH($U$1,'DB PMI Manufacturing World'!$A$1:$AA$1,),))=0,#N/A, (VLOOKUP(B70,'DB PMI Manufacturing World'!$A:$AA,MATCH($U$1,'DB PMI Manufacturing World'!$A$1:$AA$1,),)))</f>
        <v>52.1</v>
      </c>
      <c r="V70" s="38">
        <f>IF((VLOOKUP(B70,'DB PMI Manufacturing World'!$A:$AA,MATCH($V$1,'DB PMI Manufacturing World'!$A$1:$AA$1,),))=0,#N/A, (VLOOKUP(B70,'DB PMI Manufacturing World'!$A:$AA,MATCH($V$1,'DB PMI Manufacturing World'!$A$1:$AA$1,),)))</f>
        <v>51.7</v>
      </c>
      <c r="W70" s="38">
        <f>IF((VLOOKUP(B70,'DB PMI Manufacturing World'!$A:$AA,MATCH($W$1,'DB PMI Manufacturing World'!$A$1:$AA$1,),))=0,#N/A, (VLOOKUP(B70,'DB PMI Manufacturing World'!$A:$AA,MATCH($W$1,'DB PMI Manufacturing World'!$A$1:$AA$1,),)))</f>
        <v>54.8</v>
      </c>
      <c r="X70" s="38">
        <f>IF((VLOOKUP(B70,'DB PMI Manufacturing World'!$A:$AA,MATCH($X$1,'DB PMI Manufacturing World'!$A$1:$AA$1,),))=0,#N/A, (VLOOKUP(B70,'DB PMI Manufacturing World'!$A:$AA,MATCH($X$1,'DB PMI Manufacturing World'!$A$1:$AA$1,),)))</f>
        <v>59.1</v>
      </c>
      <c r="Y70" s="38">
        <f>IF((VLOOKUP(B70,'DB PMI Manufacturing World'!$A:$AA,MATCH($Y$1,'DB PMI Manufacturing World'!$A$1:$AA$1,),))=0,#N/A, (VLOOKUP(B70,'DB PMI Manufacturing World'!$A:$AA,MATCH($Y$1,'DB PMI Manufacturing World'!$A$1:$AA$1,),)))</f>
        <v>49.2</v>
      </c>
      <c r="Z70" s="38">
        <f>IF((VLOOKUP(B70,'DB PMI Manufacturing World'!$A:$AA,MATCH($Z$1,'DB PMI Manufacturing World'!$A$1:$AA$1,),))=0,#N/A, (VLOOKUP(B70,'DB PMI Manufacturing World'!$A:$AA,MATCH($Z$1,'DB PMI Manufacturing World'!$A$1:$AA$1,),)))</f>
        <v>54.4</v>
      </c>
      <c r="AA70" s="38">
        <f>IF((VLOOKUP(B70,'DB PMI Manufacturing World'!$A:$AA,MATCH($AA$1,'DB PMI Manufacturing World'!$A$1:$AA$1,),))=0,#N/A, (VLOOKUP(B70,'DB PMI Manufacturing World'!$A:$AA,MATCH($AA$1,'DB PMI Manufacturing World'!$A$1:$AA$1,),)))</f>
        <v>52.4</v>
      </c>
      <c r="AB70" s="38">
        <f>IF((VLOOKUP(B70,'DB PMI Manufacturing World'!$A:$AA,MATCH($AB$1,'DB PMI Manufacturing World'!$A$1:$AA$1,),))=0,#N/A, (VLOOKUP(B70,'DB PMI Manufacturing World'!$A:$AA,MATCH($AB$1,'DB PMI Manufacturing World'!$A$1:$AA$1,),)))</f>
        <v>63</v>
      </c>
    </row>
    <row r="71" spans="2:28" s="57" customFormat="1" x14ac:dyDescent="0.2">
      <c r="B71" s="29">
        <v>44682</v>
      </c>
      <c r="C71" s="38" t="e">
        <f>IF((VLOOKUP(B71,'DB PMI Manufacturing World'!$A:$AA,MATCH($C$1,'DB PMI Manufacturing World'!$A$1:$AA$1,),))=0,#N/A, (VLOOKUP(B71,'DB PMI Manufacturing World'!$A:$AA,MATCH($C$1,'DB PMI Manufacturing World'!$A$1:$AA$1,),)))</f>
        <v>#N/A</v>
      </c>
      <c r="D71" s="38">
        <f>IF((VLOOKUP(B71,'DB PMI Manufacturing World'!$A:$AA,MATCH($D$1,'DB PMI Manufacturing World'!$A$1:$AA$1,),))=0,#N/A, (VLOOKUP(B71,'DB PMI Manufacturing World'!$A:$AA,MATCH($D$1,'DB PMI Manufacturing World'!$A$1:$AA$1,),)))</f>
        <v>56.1</v>
      </c>
      <c r="E71" s="38">
        <f>IF((VLOOKUP(B71,'DB PMI Manufacturing World'!$A:$AA,MATCH($E$1,'DB PMI Manufacturing World'!$A$1:$AA$1,),))=0,#N/A, (VLOOKUP(B71,'DB PMI Manufacturing World'!$A:$AA,MATCH($E$1,'DB PMI Manufacturing World'!$A$1:$AA$1,),)))</f>
        <v>57.5</v>
      </c>
      <c r="F71" s="38">
        <f>IF((VLOOKUP(B71,'DB PMI Manufacturing World'!$A:$AA,MATCH($F$1,'DB PMI Manufacturing World'!$A$1:$AA$1,),))=0,#N/A, (VLOOKUP(B71,'DB PMI Manufacturing World'!$A:$AA,MATCH($F$1,'DB PMI Manufacturing World'!$A$1:$AA$1,),)))</f>
        <v>48.1</v>
      </c>
      <c r="G71" s="38">
        <f>IF((VLOOKUP(B71,'DB PMI Manufacturing World'!$A:$AA,MATCH($G$1,'DB PMI Manufacturing World'!$A$1:$AA$1,),))=0,#N/A, (VLOOKUP(B71,'DB PMI Manufacturing World'!$A:$AA,MATCH($G$1,'DB PMI Manufacturing World'!$A$1:$AA$1,),)))</f>
        <v>54.4</v>
      </c>
      <c r="H71" s="38">
        <f>IF((VLOOKUP(B71,'DB PMI Manufacturing World'!$A:$AA,MATCH($H$1,'DB PMI Manufacturing World'!$A$1:$AA$1,),))=0,#N/A, (VLOOKUP(B71,'DB PMI Manufacturing World'!$A:$AA,MATCH($H$1,'DB PMI Manufacturing World'!$A$1:$AA$1,),)))</f>
        <v>53.2</v>
      </c>
      <c r="I71" s="38">
        <f>IF((VLOOKUP(B71,'DB PMI Manufacturing World'!$A:$AA,MATCH($I$1,'DB PMI Manufacturing World'!$A$1:$AA$1,),))=0,#N/A, (VLOOKUP(B71,'DB PMI Manufacturing World'!$A:$AA,MATCH($I$1,'DB PMI Manufacturing World'!$A$1:$AA$1,),)))</f>
        <v>54.7</v>
      </c>
      <c r="J71" s="38">
        <f>IF((VLOOKUP(B71,'DB PMI Manufacturing World'!$A:$AA,MATCH($J$1,'DB PMI Manufacturing World'!$A$1:$AA$1,),))=0,#N/A, (VLOOKUP(B71,'DB PMI Manufacturing World'!$A:$AA,MATCH($J$1,'DB PMI Manufacturing World'!$A$1:$AA$1,),)))</f>
        <v>54.5</v>
      </c>
      <c r="K71" s="38">
        <f>IF((VLOOKUP(B71,'DB PMI Manufacturing World'!$A:$AA,MATCH($K$1,'DB PMI Manufacturing World'!$A$1:$AA$1,),))=0,#N/A, (VLOOKUP(B71,'DB PMI Manufacturing World'!$A:$AA,MATCH($K$1,'DB PMI Manufacturing World'!$A$1:$AA$1,),)))</f>
        <v>54.6</v>
      </c>
      <c r="L71" s="38">
        <f>IF((VLOOKUP(B71,'DB PMI Manufacturing World'!$A:$AA,MATCH($L$1,'DB PMI Manufacturing World'!$A$1:$AA$1,),))=0,#N/A, (VLOOKUP(B71,'DB PMI Manufacturing World'!$A:$AA,MATCH($L$1,'DB PMI Manufacturing World'!$A$1:$AA$1,),)))</f>
        <v>51.9</v>
      </c>
      <c r="M71" s="38">
        <f>IF((VLOOKUP(B71,'DB PMI Manufacturing World'!$A:$AA,MATCH($M$1,'DB PMI Manufacturing World'!$A$1:$AA$1,),))=0,#N/A, (VLOOKUP(B71,'DB PMI Manufacturing World'!$A:$AA,MATCH($M$1,'DB PMI Manufacturing World'!$A$1:$AA$1,),)))</f>
        <v>53.8</v>
      </c>
      <c r="N71" s="38">
        <f>IF((VLOOKUP(B71,'DB PMI Manufacturing World'!$A:$AA,MATCH($N$1,'DB PMI Manufacturing World'!$A$1:$AA$1,),))=0,#N/A, (VLOOKUP(B71,'DB PMI Manufacturing World'!$A:$AA,MATCH($N$1,'DB PMI Manufacturing World'!$A$1:$AA$1,),)))</f>
        <v>54.2</v>
      </c>
      <c r="O71" s="38">
        <f>IF((VLOOKUP(B71,'DB PMI Manufacturing World'!$A:$AA,MATCH($O$1,'DB PMI Manufacturing World'!$A$1:$AA$1,),))=0,#N/A, (VLOOKUP(B71,'DB PMI Manufacturing World'!$A:$AA,MATCH($O$1,'DB PMI Manufacturing World'!$A$1:$AA$1,),)))</f>
        <v>50.6</v>
      </c>
      <c r="P71" s="38">
        <f>IF((VLOOKUP(B71,'DB PMI Manufacturing World'!$A:$AA,MATCH($P$1,'DB PMI Manufacturing World'!$A$1:$AA$1,),))=0,#N/A, (VLOOKUP(B71,'DB PMI Manufacturing World'!$A:$AA,MATCH($P$1,'DB PMI Manufacturing World'!$A$1:$AA$1,),)))</f>
        <v>50.8</v>
      </c>
      <c r="Q71" s="38">
        <f>IF((VLOOKUP(B71,'DB PMI Manufacturing World'!$A:$AA,MATCH($Q$1,'DB PMI Manufacturing World'!$A$1:$AA$1,),))=0,#N/A, (VLOOKUP(B71,'DB PMI Manufacturing World'!$A:$AA,MATCH($Q$1,'DB PMI Manufacturing World'!$A$1:$AA$1,),)))</f>
        <v>54.6</v>
      </c>
      <c r="R71" s="38">
        <f>IF((VLOOKUP(B71,'DB PMI Manufacturing World'!$A:$AA,MATCH($R$1,'DB PMI Manufacturing World'!$A$1:$AA$1,),))=0,#N/A, (VLOOKUP(B71,'DB PMI Manufacturing World'!$A:$AA,MATCH($R$1,'DB PMI Manufacturing World'!$A$1:$AA$1,),)))</f>
        <v>56.8</v>
      </c>
      <c r="S71" s="38">
        <f>IF((VLOOKUP(B71,'DB PMI Manufacturing World'!$A:$AA,MATCH($S$1,'DB PMI Manufacturing World'!$A$1:$AA$1,),))=0,#N/A, (VLOOKUP(B71,'DB PMI Manufacturing World'!$A:$AA,MATCH($S$1,'DB PMI Manufacturing World'!$A$1:$AA$1,),)))</f>
        <v>52.4</v>
      </c>
      <c r="T71" s="38">
        <f>IF((VLOOKUP(B71,'DB PMI Manufacturing World'!$A:$AA,MATCH($T$1,'DB PMI Manufacturing World'!$A$1:$AA$1,),))=0,#N/A, (VLOOKUP(B71,'DB PMI Manufacturing World'!$A:$AA,MATCH($T$1,'DB PMI Manufacturing World'!$A$1:$AA$1,),)))</f>
        <v>50.8</v>
      </c>
      <c r="U71" s="38">
        <f>IF((VLOOKUP(B71,'DB PMI Manufacturing World'!$A:$AA,MATCH($U$1,'DB PMI Manufacturing World'!$A$1:$AA$1,),))=0,#N/A, (VLOOKUP(B71,'DB PMI Manufacturing World'!$A:$AA,MATCH($U$1,'DB PMI Manufacturing World'!$A$1:$AA$1,),)))</f>
        <v>51.8</v>
      </c>
      <c r="V71" s="38">
        <f>IF((VLOOKUP(B71,'DB PMI Manufacturing World'!$A:$AA,MATCH($V$1,'DB PMI Manufacturing World'!$A$1:$AA$1,),))=0,#N/A, (VLOOKUP(B71,'DB PMI Manufacturing World'!$A:$AA,MATCH($V$1,'DB PMI Manufacturing World'!$A$1:$AA$1,),)))</f>
        <v>50</v>
      </c>
      <c r="W71" s="38">
        <f>IF((VLOOKUP(B71,'DB PMI Manufacturing World'!$A:$AA,MATCH($W$1,'DB PMI Manufacturing World'!$A$1:$AA$1,),))=0,#N/A, (VLOOKUP(B71,'DB PMI Manufacturing World'!$A:$AA,MATCH($W$1,'DB PMI Manufacturing World'!$A$1:$AA$1,),)))</f>
        <v>53.8</v>
      </c>
      <c r="X71" s="38">
        <f>IF((VLOOKUP(B71,'DB PMI Manufacturing World'!$A:$AA,MATCH($X$1,'DB PMI Manufacturing World'!$A$1:$AA$1,),))=0,#N/A, (VLOOKUP(B71,'DB PMI Manufacturing World'!$A:$AA,MATCH($X$1,'DB PMI Manufacturing World'!$A$1:$AA$1,),)))</f>
        <v>56.4</v>
      </c>
      <c r="Y71" s="38">
        <f>IF((VLOOKUP(B71,'DB PMI Manufacturing World'!$A:$AA,MATCH($Y$1,'DB PMI Manufacturing World'!$A$1:$AA$1,),))=0,#N/A, (VLOOKUP(B71,'DB PMI Manufacturing World'!$A:$AA,MATCH($Y$1,'DB PMI Manufacturing World'!$A$1:$AA$1,),)))</f>
        <v>49.2</v>
      </c>
      <c r="Z71" s="38">
        <f>IF((VLOOKUP(B71,'DB PMI Manufacturing World'!$A:$AA,MATCH($Z$1,'DB PMI Manufacturing World'!$A$1:$AA$1,),))=0,#N/A, (VLOOKUP(B71,'DB PMI Manufacturing World'!$A:$AA,MATCH($Z$1,'DB PMI Manufacturing World'!$A$1:$AA$1,),)))</f>
        <v>52.3</v>
      </c>
      <c r="AA71" s="38">
        <f>IF((VLOOKUP(B71,'DB PMI Manufacturing World'!$A:$AA,MATCH($AA$1,'DB PMI Manufacturing World'!$A$1:$AA$1,),))=0,#N/A, (VLOOKUP(B71,'DB PMI Manufacturing World'!$A:$AA,MATCH($AA$1,'DB PMI Manufacturing World'!$A$1:$AA$1,),)))</f>
        <v>48.5</v>
      </c>
      <c r="AB71" s="38">
        <f>IF((VLOOKUP(B71,'DB PMI Manufacturing World'!$A:$AA,MATCH($AB$1,'DB PMI Manufacturing World'!$A$1:$AA$1,),))=0,#N/A, (VLOOKUP(B71,'DB PMI Manufacturing World'!$A:$AA,MATCH($AB$1,'DB PMI Manufacturing World'!$A$1:$AA$1,),)))</f>
        <v>60.7</v>
      </c>
    </row>
    <row r="72" spans="2:28" s="57" customFormat="1" x14ac:dyDescent="0.2">
      <c r="B72" s="29">
        <v>44713</v>
      </c>
      <c r="C72" s="38" t="e">
        <f>IF((VLOOKUP(B72,'DB PMI Manufacturing World'!$A:$AA,MATCH($C$1,'DB PMI Manufacturing World'!$A$1:$AA$1,),))=0,#N/A, (VLOOKUP(B72,'DB PMI Manufacturing World'!$A:$AA,MATCH($C$1,'DB PMI Manufacturing World'!$A$1:$AA$1,),)))</f>
        <v>#N/A</v>
      </c>
      <c r="D72" s="38">
        <f>IF((VLOOKUP(B72,'DB PMI Manufacturing World'!$A:$AA,MATCH($D$1,'DB PMI Manufacturing World'!$A$1:$AA$1,),))=0,#N/A, (VLOOKUP(B72,'DB PMI Manufacturing World'!$A:$AA,MATCH($D$1,'DB PMI Manufacturing World'!$A$1:$AA$1,),)))</f>
        <v>53</v>
      </c>
      <c r="E72" s="38">
        <f>IF((VLOOKUP(B72,'DB PMI Manufacturing World'!$A:$AA,MATCH($E$1,'DB PMI Manufacturing World'!$A$1:$AA$1,),))=0,#N/A, (VLOOKUP(B72,'DB PMI Manufacturing World'!$A:$AA,MATCH($E$1,'DB PMI Manufacturing World'!$A$1:$AA$1,),)))</f>
        <v>52.4</v>
      </c>
      <c r="F72" s="38">
        <f>IF((VLOOKUP(B72,'DB PMI Manufacturing World'!$A:$AA,MATCH($F$1,'DB PMI Manufacturing World'!$A$1:$AA$1,),))=0,#N/A, (VLOOKUP(B72,'DB PMI Manufacturing World'!$A:$AA,MATCH($F$1,'DB PMI Manufacturing World'!$A$1:$AA$1,),)))</f>
        <v>51.7</v>
      </c>
      <c r="G72" s="38">
        <f>IF((VLOOKUP(B72,'DB PMI Manufacturing World'!$A:$AA,MATCH($G$1,'DB PMI Manufacturing World'!$A$1:$AA$1,),))=0,#N/A, (VLOOKUP(B72,'DB PMI Manufacturing World'!$A:$AA,MATCH($G$1,'DB PMI Manufacturing World'!$A$1:$AA$1,),)))</f>
        <v>52</v>
      </c>
      <c r="H72" s="38">
        <f>IF((VLOOKUP(B72,'DB PMI Manufacturing World'!$A:$AA,MATCH($H$1,'DB PMI Manufacturing World'!$A$1:$AA$1,),))=0,#N/A, (VLOOKUP(B72,'DB PMI Manufacturing World'!$A:$AA,MATCH($H$1,'DB PMI Manufacturing World'!$A$1:$AA$1,),)))</f>
        <v>52.7</v>
      </c>
      <c r="I72" s="38">
        <f>IF((VLOOKUP(B72,'DB PMI Manufacturing World'!$A:$AA,MATCH($I$1,'DB PMI Manufacturing World'!$A$1:$AA$1,),))=0,#N/A, (VLOOKUP(B72,'DB PMI Manufacturing World'!$A:$AA,MATCH($I$1,'DB PMI Manufacturing World'!$A$1:$AA$1,),)))</f>
        <v>52</v>
      </c>
      <c r="J72" s="38">
        <f>IF((VLOOKUP(B72,'DB PMI Manufacturing World'!$A:$AA,MATCH($J$1,'DB PMI Manufacturing World'!$A$1:$AA$1,),))=0,#N/A, (VLOOKUP(B72,'DB PMI Manufacturing World'!$A:$AA,MATCH($J$1,'DB PMI Manufacturing World'!$A$1:$AA$1,),)))</f>
        <v>51</v>
      </c>
      <c r="K72" s="38">
        <f>IF((VLOOKUP(B72,'DB PMI Manufacturing World'!$A:$AA,MATCH($K$1,'DB PMI Manufacturing World'!$A$1:$AA$1,),))=0,#N/A, (VLOOKUP(B72,'DB PMI Manufacturing World'!$A:$AA,MATCH($K$1,'DB PMI Manufacturing World'!$A$1:$AA$1,),)))</f>
        <v>53.4</v>
      </c>
      <c r="L72" s="38">
        <f>IF((VLOOKUP(B72,'DB PMI Manufacturing World'!$A:$AA,MATCH($L$1,'DB PMI Manufacturing World'!$A$1:$AA$1,),))=0,#N/A, (VLOOKUP(B72,'DB PMI Manufacturing World'!$A:$AA,MATCH($L$1,'DB PMI Manufacturing World'!$A$1:$AA$1,),)))</f>
        <v>50.9</v>
      </c>
      <c r="M72" s="38">
        <f>IF((VLOOKUP(B72,'DB PMI Manufacturing World'!$A:$AA,MATCH($M$1,'DB PMI Manufacturing World'!$A$1:$AA$1,),))=0,#N/A, (VLOOKUP(B72,'DB PMI Manufacturing World'!$A:$AA,MATCH($M$1,'DB PMI Manufacturing World'!$A$1:$AA$1,),)))</f>
        <v>52.6</v>
      </c>
      <c r="N72" s="38">
        <f>IF((VLOOKUP(B72,'DB PMI Manufacturing World'!$A:$AA,MATCH($N$1,'DB PMI Manufacturing World'!$A$1:$AA$1,),))=0,#N/A, (VLOOKUP(B72,'DB PMI Manufacturing World'!$A:$AA,MATCH($N$1,'DB PMI Manufacturing World'!$A$1:$AA$1,),)))</f>
        <v>54.1</v>
      </c>
      <c r="O72" s="38">
        <f>IF((VLOOKUP(B72,'DB PMI Manufacturing World'!$A:$AA,MATCH($O$1,'DB PMI Manufacturing World'!$A$1:$AA$1,),))=0,#N/A, (VLOOKUP(B72,'DB PMI Manufacturing World'!$A:$AA,MATCH($O$1,'DB PMI Manufacturing World'!$A$1:$AA$1,),)))</f>
        <v>52.2</v>
      </c>
      <c r="P72" s="38">
        <f>IF((VLOOKUP(B72,'DB PMI Manufacturing World'!$A:$AA,MATCH($P$1,'DB PMI Manufacturing World'!$A$1:$AA$1,),))=0,#N/A, (VLOOKUP(B72,'DB PMI Manufacturing World'!$A:$AA,MATCH($P$1,'DB PMI Manufacturing World'!$A$1:$AA$1,),)))</f>
        <v>50.9</v>
      </c>
      <c r="Q72" s="38">
        <f>IF((VLOOKUP(B72,'DB PMI Manufacturing World'!$A:$AA,MATCH($Q$1,'DB PMI Manufacturing World'!$A$1:$AA$1,),))=0,#N/A, (VLOOKUP(B72,'DB PMI Manufacturing World'!$A:$AA,MATCH($Q$1,'DB PMI Manufacturing World'!$A$1:$AA$1,),)))</f>
        <v>53.9</v>
      </c>
      <c r="R72" s="38">
        <f>IF((VLOOKUP(B72,'DB PMI Manufacturing World'!$A:$AA,MATCH($R$1,'DB PMI Manufacturing World'!$A$1:$AA$1,),))=0,#N/A, (VLOOKUP(B72,'DB PMI Manufacturing World'!$A:$AA,MATCH($R$1,'DB PMI Manufacturing World'!$A$1:$AA$1,),)))</f>
        <v>54.6</v>
      </c>
      <c r="S72" s="38">
        <f>IF((VLOOKUP(B72,'DB PMI Manufacturing World'!$A:$AA,MATCH($S$1,'DB PMI Manufacturing World'!$A$1:$AA$1,),))=0,#N/A, (VLOOKUP(B72,'DB PMI Manufacturing World'!$A:$AA,MATCH($S$1,'DB PMI Manufacturing World'!$A$1:$AA$1,),)))</f>
        <v>54</v>
      </c>
      <c r="T72" s="38">
        <f>IF((VLOOKUP(B72,'DB PMI Manufacturing World'!$A:$AA,MATCH($T$1,'DB PMI Manufacturing World'!$A$1:$AA$1,),))=0,#N/A, (VLOOKUP(B72,'DB PMI Manufacturing World'!$A:$AA,MATCH($T$1,'DB PMI Manufacturing World'!$A$1:$AA$1,),)))</f>
        <v>50.2</v>
      </c>
      <c r="U72" s="38">
        <f>IF((VLOOKUP(B72,'DB PMI Manufacturing World'!$A:$AA,MATCH($U$1,'DB PMI Manufacturing World'!$A$1:$AA$1,),))=0,#N/A, (VLOOKUP(B72,'DB PMI Manufacturing World'!$A:$AA,MATCH($U$1,'DB PMI Manufacturing World'!$A$1:$AA$1,),)))</f>
        <v>51.3</v>
      </c>
      <c r="V72" s="38">
        <f>IF((VLOOKUP(B72,'DB PMI Manufacturing World'!$A:$AA,MATCH($V$1,'DB PMI Manufacturing World'!$A$1:$AA$1,),))=0,#N/A, (VLOOKUP(B72,'DB PMI Manufacturing World'!$A:$AA,MATCH($V$1,'DB PMI Manufacturing World'!$A$1:$AA$1,),)))</f>
        <v>49.8</v>
      </c>
      <c r="W72" s="38">
        <f>IF((VLOOKUP(B72,'DB PMI Manufacturing World'!$A:$AA,MATCH($W$1,'DB PMI Manufacturing World'!$A$1:$AA$1,),))=0,#N/A, (VLOOKUP(B72,'DB PMI Manufacturing World'!$A:$AA,MATCH($W$1,'DB PMI Manufacturing World'!$A$1:$AA$1,),)))</f>
        <v>51.1</v>
      </c>
      <c r="X72" s="38">
        <f>IF((VLOOKUP(B72,'DB PMI Manufacturing World'!$A:$AA,MATCH($X$1,'DB PMI Manufacturing World'!$A$1:$AA$1,),))=0,#N/A, (VLOOKUP(B72,'DB PMI Manufacturing World'!$A:$AA,MATCH($X$1,'DB PMI Manufacturing World'!$A$1:$AA$1,),)))</f>
        <v>53.1</v>
      </c>
      <c r="Y72" s="38">
        <f>IF((VLOOKUP(B72,'DB PMI Manufacturing World'!$A:$AA,MATCH($Y$1,'DB PMI Manufacturing World'!$A$1:$AA$1,),))=0,#N/A, (VLOOKUP(B72,'DB PMI Manufacturing World'!$A:$AA,MATCH($Y$1,'DB PMI Manufacturing World'!$A$1:$AA$1,),)))</f>
        <v>48.1</v>
      </c>
      <c r="Z72" s="38">
        <f>IF((VLOOKUP(B72,'DB PMI Manufacturing World'!$A:$AA,MATCH($Z$1,'DB PMI Manufacturing World'!$A$1:$AA$1,),))=0,#N/A, (VLOOKUP(B72,'DB PMI Manufacturing World'!$A:$AA,MATCH($Z$1,'DB PMI Manufacturing World'!$A$1:$AA$1,),)))</f>
        <v>49</v>
      </c>
      <c r="AA72" s="38">
        <f>IF((VLOOKUP(B72,'DB PMI Manufacturing World'!$A:$AA,MATCH($AA$1,'DB PMI Manufacturing World'!$A$1:$AA$1,),))=0,#N/A, (VLOOKUP(B72,'DB PMI Manufacturing World'!$A:$AA,MATCH($AA$1,'DB PMI Manufacturing World'!$A$1:$AA$1,),)))</f>
        <v>44.4</v>
      </c>
      <c r="AB72" s="38">
        <f>IF((VLOOKUP(B72,'DB PMI Manufacturing World'!$A:$AA,MATCH($AB$1,'DB PMI Manufacturing World'!$A$1:$AA$1,),))=0,#N/A, (VLOOKUP(B72,'DB PMI Manufacturing World'!$A:$AA,MATCH($AB$1,'DB PMI Manufacturing World'!$A$1:$AA$1,),)))</f>
        <v>71.3</v>
      </c>
    </row>
    <row r="73" spans="2:28" s="57" customFormat="1" x14ac:dyDescent="0.2"/>
    <row r="74" spans="2:28" s="57" customFormat="1" x14ac:dyDescent="0.2"/>
    <row r="75" spans="2:28" s="57" customFormat="1" x14ac:dyDescent="0.2"/>
    <row r="76" spans="2:28" s="57" customFormat="1" x14ac:dyDescent="0.2"/>
    <row r="77" spans="2:28" s="57" customFormat="1" x14ac:dyDescent="0.2"/>
    <row r="78" spans="2:28" s="57" customFormat="1" x14ac:dyDescent="0.2"/>
    <row r="79" spans="2:28" s="57" customFormat="1" x14ac:dyDescent="0.2"/>
    <row r="80" spans="2:28" s="57" customFormat="1" x14ac:dyDescent="0.2"/>
    <row r="81" s="57" customFormat="1" x14ac:dyDescent="0.2"/>
    <row r="82" s="57" customFormat="1" x14ac:dyDescent="0.2"/>
    <row r="83" s="57" customFormat="1" x14ac:dyDescent="0.2"/>
    <row r="84" s="57" customFormat="1" x14ac:dyDescent="0.2"/>
    <row r="85" s="57" customFormat="1" x14ac:dyDescent="0.2"/>
    <row r="86" s="57" customFormat="1" x14ac:dyDescent="0.2"/>
    <row r="87" s="57" customFormat="1" x14ac:dyDescent="0.2"/>
    <row r="88" s="57" customFormat="1" x14ac:dyDescent="0.2"/>
    <row r="89" s="57" customFormat="1" x14ac:dyDescent="0.2"/>
    <row r="90" s="57" customFormat="1" x14ac:dyDescent="0.2"/>
    <row r="91" s="57" customFormat="1" x14ac:dyDescent="0.2"/>
    <row r="92" s="57" customFormat="1" x14ac:dyDescent="0.2"/>
    <row r="93" s="57" customFormat="1" x14ac:dyDescent="0.2"/>
    <row r="94" s="57" customFormat="1" x14ac:dyDescent="0.2"/>
    <row r="95" s="57" customFormat="1" x14ac:dyDescent="0.2"/>
    <row r="96" s="57" customFormat="1" x14ac:dyDescent="0.2"/>
    <row r="97" s="57" customFormat="1" x14ac:dyDescent="0.2"/>
    <row r="98" s="57" customFormat="1" x14ac:dyDescent="0.2"/>
    <row r="99" s="57" customFormat="1" x14ac:dyDescent="0.2"/>
    <row r="100" s="57" customFormat="1" x14ac:dyDescent="0.2"/>
    <row r="101" s="57" customFormat="1" x14ac:dyDescent="0.2"/>
    <row r="102" s="57" customFormat="1" x14ac:dyDescent="0.2"/>
    <row r="103" s="57" customFormat="1" x14ac:dyDescent="0.2"/>
    <row r="104" s="57" customFormat="1" x14ac:dyDescent="0.2"/>
    <row r="105" s="57" customFormat="1" x14ac:dyDescent="0.2"/>
    <row r="106" s="57" customFormat="1" x14ac:dyDescent="0.2"/>
    <row r="107" s="57" customFormat="1" x14ac:dyDescent="0.2"/>
    <row r="108" s="57" customFormat="1" x14ac:dyDescent="0.2"/>
    <row r="109" s="57" customFormat="1" x14ac:dyDescent="0.2"/>
    <row r="110" s="57" customFormat="1" x14ac:dyDescent="0.2"/>
    <row r="111" s="57" customFormat="1" x14ac:dyDescent="0.2"/>
    <row r="112" s="57" customFormat="1" x14ac:dyDescent="0.2"/>
    <row r="113" s="57" customFormat="1" x14ac:dyDescent="0.2"/>
    <row r="114" s="57" customFormat="1" x14ac:dyDescent="0.2"/>
    <row r="115" s="57" customFormat="1" x14ac:dyDescent="0.2"/>
    <row r="116" s="57" customFormat="1" x14ac:dyDescent="0.2"/>
    <row r="117" s="57" customFormat="1" x14ac:dyDescent="0.2"/>
    <row r="118" s="57" customFormat="1" x14ac:dyDescent="0.2"/>
    <row r="119" s="57" customFormat="1" x14ac:dyDescent="0.2"/>
    <row r="120" s="57" customFormat="1" x14ac:dyDescent="0.2"/>
    <row r="121" s="57" customFormat="1" x14ac:dyDescent="0.2"/>
    <row r="122" s="57" customFormat="1" x14ac:dyDescent="0.2"/>
    <row r="123" s="57" customFormat="1" x14ac:dyDescent="0.2"/>
    <row r="124" s="57" customFormat="1" x14ac:dyDescent="0.2"/>
    <row r="125" s="57" customFormat="1" x14ac:dyDescent="0.2"/>
    <row r="126" s="57" customFormat="1" x14ac:dyDescent="0.2"/>
    <row r="127" s="57" customFormat="1" x14ac:dyDescent="0.2"/>
    <row r="128" s="57" customFormat="1" x14ac:dyDescent="0.2"/>
    <row r="129" s="57" customFormat="1" x14ac:dyDescent="0.2"/>
    <row r="130" s="57" customFormat="1" x14ac:dyDescent="0.2"/>
    <row r="131" s="57" customFormat="1" x14ac:dyDescent="0.2"/>
    <row r="132" s="57" customFormat="1" x14ac:dyDescent="0.2"/>
    <row r="133" s="57" customFormat="1" x14ac:dyDescent="0.2"/>
    <row r="134" s="57" customFormat="1" x14ac:dyDescent="0.2"/>
    <row r="135" s="57" customFormat="1" x14ac:dyDescent="0.2"/>
    <row r="136" s="57" customFormat="1" x14ac:dyDescent="0.2"/>
    <row r="137" s="57" customFormat="1" x14ac:dyDescent="0.2"/>
    <row r="138" s="57" customFormat="1" x14ac:dyDescent="0.2"/>
    <row r="139" s="57" customFormat="1" x14ac:dyDescent="0.2"/>
    <row r="140" s="57" customFormat="1" x14ac:dyDescent="0.2"/>
    <row r="141" s="57" customFormat="1" x14ac:dyDescent="0.2"/>
    <row r="142" s="57" customFormat="1" x14ac:dyDescent="0.2"/>
    <row r="143" s="57" customFormat="1" x14ac:dyDescent="0.2"/>
    <row r="144" s="57" customFormat="1" x14ac:dyDescent="0.2"/>
    <row r="145" s="57" customFormat="1" x14ac:dyDescent="0.2"/>
    <row r="146" s="57" customFormat="1" x14ac:dyDescent="0.2"/>
    <row r="147" s="57" customFormat="1" x14ac:dyDescent="0.2"/>
    <row r="148" s="57" customFormat="1" x14ac:dyDescent="0.2"/>
    <row r="149" s="57" customFormat="1" x14ac:dyDescent="0.2"/>
    <row r="150" s="57" customFormat="1" x14ac:dyDescent="0.2"/>
    <row r="151" s="57" customFormat="1" x14ac:dyDescent="0.2"/>
    <row r="152" s="57" customFormat="1" x14ac:dyDescent="0.2"/>
    <row r="153" s="57" customFormat="1" x14ac:dyDescent="0.2"/>
    <row r="154" s="57" customFormat="1" x14ac:dyDescent="0.2"/>
    <row r="155" s="57" customFormat="1" x14ac:dyDescent="0.2"/>
    <row r="156" s="57" customFormat="1" x14ac:dyDescent="0.2"/>
    <row r="157" s="57" customFormat="1" x14ac:dyDescent="0.2"/>
    <row r="158" s="57" customFormat="1" x14ac:dyDescent="0.2"/>
    <row r="159" s="57" customFormat="1" x14ac:dyDescent="0.2"/>
    <row r="160" s="57" customFormat="1" x14ac:dyDescent="0.2"/>
    <row r="161" s="57" customFormat="1" x14ac:dyDescent="0.2"/>
    <row r="162" s="57" customFormat="1" x14ac:dyDescent="0.2"/>
    <row r="163" s="57" customFormat="1" x14ac:dyDescent="0.2"/>
    <row r="164" s="57" customFormat="1" x14ac:dyDescent="0.2"/>
    <row r="165" s="57" customFormat="1" x14ac:dyDescent="0.2"/>
    <row r="166" s="57" customFormat="1" x14ac:dyDescent="0.2"/>
    <row r="167" s="57" customFormat="1" x14ac:dyDescent="0.2"/>
    <row r="168" s="57" customFormat="1" x14ac:dyDescent="0.2"/>
    <row r="169" s="57" customFormat="1" x14ac:dyDescent="0.2"/>
    <row r="170" s="57" customFormat="1" x14ac:dyDescent="0.2"/>
    <row r="171" s="57" customFormat="1" x14ac:dyDescent="0.2"/>
    <row r="172" s="57" customFormat="1" x14ac:dyDescent="0.2"/>
    <row r="173" s="57" customFormat="1" x14ac:dyDescent="0.2"/>
    <row r="174" s="57" customFormat="1" x14ac:dyDescent="0.2"/>
    <row r="175" s="57" customFormat="1" x14ac:dyDescent="0.2"/>
    <row r="176" s="57" customFormat="1" x14ac:dyDescent="0.2"/>
    <row r="177" s="57" customFormat="1" x14ac:dyDescent="0.2"/>
    <row r="178" s="57" customFormat="1" x14ac:dyDescent="0.2"/>
    <row r="179" s="57" customFormat="1" x14ac:dyDescent="0.2"/>
    <row r="180" s="57" customFormat="1" x14ac:dyDescent="0.2"/>
    <row r="181" s="57" customFormat="1" x14ac:dyDescent="0.2"/>
    <row r="182" s="57" customFormat="1" x14ac:dyDescent="0.2"/>
    <row r="183" s="57" customFormat="1" x14ac:dyDescent="0.2"/>
    <row r="184" s="57" customFormat="1" x14ac:dyDescent="0.2"/>
    <row r="185" s="57" customFormat="1" x14ac:dyDescent="0.2"/>
    <row r="186" s="57" customFormat="1" x14ac:dyDescent="0.2"/>
    <row r="187" s="57" customFormat="1" x14ac:dyDescent="0.2"/>
    <row r="188" s="57" customFormat="1" x14ac:dyDescent="0.2"/>
    <row r="189" s="57" customFormat="1" x14ac:dyDescent="0.2"/>
    <row r="190" s="57" customFormat="1" x14ac:dyDescent="0.2"/>
    <row r="191" s="57" customFormat="1" x14ac:dyDescent="0.2"/>
    <row r="192" s="57" customFormat="1" x14ac:dyDescent="0.2"/>
    <row r="193" s="57" customFormat="1" x14ac:dyDescent="0.2"/>
    <row r="194" s="57" customFormat="1" x14ac:dyDescent="0.2"/>
    <row r="195" s="57" customFormat="1" x14ac:dyDescent="0.2"/>
    <row r="196" s="57" customFormat="1" x14ac:dyDescent="0.2"/>
    <row r="197" s="57" customFormat="1" x14ac:dyDescent="0.2"/>
    <row r="198" s="57" customFormat="1" x14ac:dyDescent="0.2"/>
    <row r="199" s="57" customFormat="1" x14ac:dyDescent="0.2"/>
    <row r="200" s="57" customFormat="1" x14ac:dyDescent="0.2"/>
    <row r="201" s="57" customFormat="1" x14ac:dyDescent="0.2"/>
    <row r="202" s="57" customFormat="1" x14ac:dyDescent="0.2"/>
    <row r="203" s="57" customFormat="1" x14ac:dyDescent="0.2"/>
    <row r="204" s="57" customFormat="1" x14ac:dyDescent="0.2"/>
    <row r="205" s="57" customFormat="1" x14ac:dyDescent="0.2"/>
    <row r="206" s="57" customFormat="1" x14ac:dyDescent="0.2"/>
    <row r="207" s="57" customFormat="1" x14ac:dyDescent="0.2"/>
    <row r="208" s="57" customFormat="1" x14ac:dyDescent="0.2"/>
    <row r="209" s="57" customFormat="1" x14ac:dyDescent="0.2"/>
    <row r="210" s="57" customFormat="1" x14ac:dyDescent="0.2"/>
    <row r="211" s="57" customFormat="1" x14ac:dyDescent="0.2"/>
    <row r="212" s="57" customFormat="1" x14ac:dyDescent="0.2"/>
    <row r="213" s="57" customFormat="1" x14ac:dyDescent="0.2"/>
    <row r="214" s="57" customFormat="1" x14ac:dyDescent="0.2"/>
    <row r="215" s="57" customFormat="1" x14ac:dyDescent="0.2"/>
    <row r="216" s="57" customFormat="1" x14ac:dyDescent="0.2"/>
    <row r="217" s="57" customFormat="1" x14ac:dyDescent="0.2"/>
    <row r="218" s="57" customFormat="1" x14ac:dyDescent="0.2"/>
    <row r="219" s="57" customFormat="1" x14ac:dyDescent="0.2"/>
    <row r="220" s="57" customFormat="1" x14ac:dyDescent="0.2"/>
    <row r="221" s="57" customFormat="1" x14ac:dyDescent="0.2"/>
    <row r="222" s="57" customFormat="1" x14ac:dyDescent="0.2"/>
    <row r="223" s="57" customFormat="1" x14ac:dyDescent="0.2"/>
    <row r="224" s="57" customFormat="1" x14ac:dyDescent="0.2"/>
    <row r="225" s="57" customFormat="1" x14ac:dyDescent="0.2"/>
    <row r="226" s="57" customFormat="1" x14ac:dyDescent="0.2"/>
    <row r="227" s="57" customFormat="1" x14ac:dyDescent="0.2"/>
    <row r="228" s="57" customFormat="1" x14ac:dyDescent="0.2"/>
    <row r="229" s="57" customFormat="1" x14ac:dyDescent="0.2"/>
    <row r="230" s="57" customFormat="1" x14ac:dyDescent="0.2"/>
    <row r="231" s="57" customFormat="1" x14ac:dyDescent="0.2"/>
    <row r="232" s="57" customFormat="1" x14ac:dyDescent="0.2"/>
    <row r="233" s="57" customFormat="1" x14ac:dyDescent="0.2"/>
    <row r="234" s="57" customFormat="1" x14ac:dyDescent="0.2"/>
    <row r="235" s="57" customFormat="1" x14ac:dyDescent="0.2"/>
    <row r="236" s="57" customFormat="1" x14ac:dyDescent="0.2"/>
    <row r="237" s="57" customFormat="1" x14ac:dyDescent="0.2"/>
    <row r="238" s="57" customFormat="1" x14ac:dyDescent="0.2"/>
    <row r="239" s="57" customFormat="1" x14ac:dyDescent="0.2"/>
    <row r="240" s="57" customFormat="1" x14ac:dyDescent="0.2"/>
    <row r="241" s="57" customFormat="1" x14ac:dyDescent="0.2"/>
    <row r="242" s="57" customFormat="1" x14ac:dyDescent="0.2"/>
    <row r="243" s="57" customFormat="1" x14ac:dyDescent="0.2"/>
    <row r="244" s="57" customFormat="1" x14ac:dyDescent="0.2"/>
    <row r="245" s="57" customFormat="1" x14ac:dyDescent="0.2"/>
    <row r="246" s="57" customFormat="1" x14ac:dyDescent="0.2"/>
    <row r="247" s="57" customFormat="1" x14ac:dyDescent="0.2"/>
    <row r="248" s="57" customFormat="1" x14ac:dyDescent="0.2"/>
    <row r="249" s="57" customFormat="1" x14ac:dyDescent="0.2"/>
    <row r="250" s="57" customFormat="1" x14ac:dyDescent="0.2"/>
    <row r="251" s="57" customFormat="1" x14ac:dyDescent="0.2"/>
    <row r="252" s="57" customFormat="1" x14ac:dyDescent="0.2"/>
    <row r="253" s="57" customFormat="1" x14ac:dyDescent="0.2"/>
    <row r="254" s="57" customFormat="1" x14ac:dyDescent="0.2"/>
    <row r="255" s="57" customFormat="1" x14ac:dyDescent="0.2"/>
    <row r="256" s="57" customFormat="1" x14ac:dyDescent="0.2"/>
    <row r="257" s="57" customFormat="1" x14ac:dyDescent="0.2"/>
    <row r="258" s="57" customFormat="1" x14ac:dyDescent="0.2"/>
    <row r="259" s="57" customFormat="1" x14ac:dyDescent="0.2"/>
    <row r="260" s="57" customFormat="1" x14ac:dyDescent="0.2"/>
    <row r="261" s="57" customFormat="1" x14ac:dyDescent="0.2"/>
    <row r="262" s="57" customFormat="1" x14ac:dyDescent="0.2"/>
    <row r="263" s="57" customFormat="1" x14ac:dyDescent="0.2"/>
    <row r="264" s="57" customFormat="1" x14ac:dyDescent="0.2"/>
    <row r="265" s="57" customFormat="1" x14ac:dyDescent="0.2"/>
    <row r="266" s="57" customFormat="1" x14ac:dyDescent="0.2"/>
    <row r="267" s="57" customFormat="1" x14ac:dyDescent="0.2"/>
    <row r="268" s="57" customFormat="1" x14ac:dyDescent="0.2"/>
    <row r="269" s="57" customFormat="1" x14ac:dyDescent="0.2"/>
    <row r="270" s="57" customFormat="1" x14ac:dyDescent="0.2"/>
    <row r="271" s="57" customFormat="1" x14ac:dyDescent="0.2"/>
    <row r="272" s="57" customFormat="1" x14ac:dyDescent="0.2"/>
    <row r="273" s="57" customFormat="1" x14ac:dyDescent="0.2"/>
    <row r="274" s="57" customFormat="1" x14ac:dyDescent="0.2"/>
    <row r="275" s="57" customFormat="1" x14ac:dyDescent="0.2"/>
    <row r="276" s="57" customFormat="1" x14ac:dyDescent="0.2"/>
    <row r="277" s="57" customFormat="1" x14ac:dyDescent="0.2"/>
    <row r="278" s="57" customFormat="1" x14ac:dyDescent="0.2"/>
    <row r="279" s="57" customFormat="1" x14ac:dyDescent="0.2"/>
    <row r="280" s="57" customFormat="1" x14ac:dyDescent="0.2"/>
    <row r="281" s="57" customFormat="1" x14ac:dyDescent="0.2"/>
    <row r="282" s="57" customFormat="1" x14ac:dyDescent="0.2"/>
    <row r="283" s="57" customFormat="1" x14ac:dyDescent="0.2"/>
    <row r="284" s="57" customFormat="1" x14ac:dyDescent="0.2"/>
    <row r="285" s="57" customFormat="1" x14ac:dyDescent="0.2"/>
    <row r="286" s="57" customFormat="1" x14ac:dyDescent="0.2"/>
    <row r="287" s="57" customFormat="1" x14ac:dyDescent="0.2"/>
    <row r="288" s="57" customFormat="1" x14ac:dyDescent="0.2"/>
    <row r="289" s="57" customFormat="1" x14ac:dyDescent="0.2"/>
    <row r="290" s="57" customFormat="1" x14ac:dyDescent="0.2"/>
    <row r="291" s="57" customFormat="1" x14ac:dyDescent="0.2"/>
    <row r="292" s="57" customFormat="1" x14ac:dyDescent="0.2"/>
    <row r="293" s="57" customFormat="1" x14ac:dyDescent="0.2"/>
    <row r="294" s="57" customFormat="1" x14ac:dyDescent="0.2"/>
    <row r="295" s="57" customFormat="1" x14ac:dyDescent="0.2"/>
    <row r="296" s="57" customFormat="1" x14ac:dyDescent="0.2"/>
    <row r="297" s="57" customFormat="1" x14ac:dyDescent="0.2"/>
    <row r="298" s="57" customFormat="1" x14ac:dyDescent="0.2"/>
    <row r="299" s="57" customFormat="1" x14ac:dyDescent="0.2"/>
    <row r="300" s="57" customFormat="1" x14ac:dyDescent="0.2"/>
    <row r="301" s="57" customFormat="1" x14ac:dyDescent="0.2"/>
    <row r="302" s="57" customFormat="1" x14ac:dyDescent="0.2"/>
    <row r="303" s="57" customFormat="1" x14ac:dyDescent="0.2"/>
    <row r="304" s="57" customFormat="1" x14ac:dyDescent="0.2"/>
    <row r="305" s="57" customFormat="1" x14ac:dyDescent="0.2"/>
    <row r="306" s="57" customFormat="1" x14ac:dyDescent="0.2"/>
    <row r="307" s="57" customFormat="1" x14ac:dyDescent="0.2"/>
    <row r="308" s="57" customFormat="1" x14ac:dyDescent="0.2"/>
    <row r="309" s="57" customFormat="1" x14ac:dyDescent="0.2"/>
    <row r="310" s="57" customFormat="1" x14ac:dyDescent="0.2"/>
    <row r="311" s="57" customFormat="1" x14ac:dyDescent="0.2"/>
    <row r="312" s="57" customFormat="1" x14ac:dyDescent="0.2"/>
    <row r="313" s="57" customFormat="1" x14ac:dyDescent="0.2"/>
    <row r="314" s="57" customFormat="1" x14ac:dyDescent="0.2"/>
    <row r="315" s="57" customFormat="1" x14ac:dyDescent="0.2"/>
    <row r="316" s="57" customFormat="1" x14ac:dyDescent="0.2"/>
    <row r="317" s="57" customFormat="1" x14ac:dyDescent="0.2"/>
    <row r="318" s="57" customFormat="1" x14ac:dyDescent="0.2"/>
    <row r="319" s="57" customFormat="1" x14ac:dyDescent="0.2"/>
    <row r="320" s="57" customFormat="1" x14ac:dyDescent="0.2"/>
  </sheetData>
  <conditionalFormatting sqref="C6:AB6">
    <cfRule type="containsText" dxfId="7" priority="15" operator="containsText" text="below">
      <formula>NOT(ISERROR(SEARCH("below",C6)))</formula>
    </cfRule>
    <cfRule type="containsText" dxfId="6" priority="16" operator="containsText" text="above">
      <formula>NOT(ISERROR(SEARCH("above",C6)))</formula>
    </cfRule>
  </conditionalFormatting>
  <conditionalFormatting sqref="C8:AB8">
    <cfRule type="cellIs" dxfId="5" priority="13" operator="lessThan">
      <formula>0</formula>
    </cfRule>
    <cfRule type="cellIs" dxfId="4" priority="14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72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DB US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2022-07-27T13:31:22Z</dcterms:modified>
</cp:coreProperties>
</file>