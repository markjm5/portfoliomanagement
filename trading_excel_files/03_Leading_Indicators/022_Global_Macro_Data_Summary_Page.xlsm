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3E51AE5E-AEC6-124F-8DD0-CCD0F3BCAF9F}" xr6:coauthVersionLast="47" xr6:coauthVersionMax="47" xr10:uidLastSave="{00000000-0000-0000-0000-000000000000}"/>
  <bookViews>
    <workbookView xWindow="-61560" yWindow="460" windowWidth="54140" windowHeight="22700" xr2:uid="{00000000-000D-0000-FFFF-FFFF00000000}"/>
  </bookViews>
  <sheets>
    <sheet name="Note" sheetId="1" r:id="rId1"/>
    <sheet name="DB US Lagging Indicators" sheetId="2" r:id="rId2"/>
    <sheet name="DB US Rates and Currency" sheetId="3" r:id="rId3"/>
    <sheet name="DB US Leading Indicators" sheetId="4" r:id="rId4"/>
    <sheet name="DB ISM Manufacturing Sectors" sheetId="5" r:id="rId5"/>
    <sheet name="DB PMI Manufacturing World" sheetId="6" r:id="rId6"/>
    <sheet name="Big Picture Index" sheetId="7" r:id="rId7"/>
    <sheet name="PMI Manufacturing World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5" i="7" l="1"/>
  <c r="J15" i="7"/>
  <c r="I15" i="7"/>
</calcChain>
</file>

<file path=xl/sharedStrings.xml><?xml version="1.0" encoding="utf-8"?>
<sst xmlns="http://schemas.openxmlformats.org/spreadsheetml/2006/main" count="280" uniqueCount="159">
  <si>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</si>
  <si>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</si>
  <si>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</si>
  <si>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</si>
  <si>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</si>
  <si>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</si>
  <si>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</si>
  <si>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</si>
  <si>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</si>
  <si>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</si>
  <si>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CORE_CPI_MoM</t>
  </si>
  <si>
    <t>CORE_PCE_MoM</t>
  </si>
  <si>
    <t>CORE_RETAIL_SALES_MoM</t>
  </si>
  <si>
    <t>GDP_QoQ</t>
  </si>
  <si>
    <t>GDP_YoY</t>
  </si>
  <si>
    <t>ICSA</t>
  </si>
  <si>
    <t>INDUSTRIAL_PRODUCTION_MoM</t>
  </si>
  <si>
    <t>PAYEMS</t>
  </si>
  <si>
    <t>RETAIL_SALES_MoM</t>
  </si>
  <si>
    <t>UNEMPLOYMENT_RATE_MoM</t>
  </si>
  <si>
    <t>Fed Funds Target Rate</t>
  </si>
  <si>
    <t>0.00-0.25%</t>
  </si>
  <si>
    <t>Euro Futures 1m</t>
  </si>
  <si>
    <t>Euro Futures 6m</t>
  </si>
  <si>
    <t>Euro Futures 12m</t>
  </si>
  <si>
    <t>2Y</t>
  </si>
  <si>
    <t>10Y</t>
  </si>
  <si>
    <t>30Y</t>
  </si>
  <si>
    <t>DXY</t>
  </si>
  <si>
    <t>UMCSI</t>
  </si>
  <si>
    <t>EXPECTED</t>
  </si>
  <si>
    <t>LEI</t>
  </si>
  <si>
    <t>PERMIT</t>
  </si>
  <si>
    <t>ISM</t>
  </si>
  <si>
    <t>NEW_ORDERS</t>
  </si>
  <si>
    <t>ISM_SERVICES</t>
  </si>
  <si>
    <t>M1_MoM</t>
  </si>
  <si>
    <t>M2_MoM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</si>
  <si>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</si>
  <si>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</si>
  <si>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</si>
  <si>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</si>
  <si>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</si>
  <si>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</si>
  <si>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</si>
  <si>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</si>
  <si>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</si>
  <si>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</si>
  <si>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</si>
  <si>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</si>
  <si>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</si>
  <si>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</si>
  <si>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</si>
  <si>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</si>
  <si>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</si>
  <si>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</si>
  <si>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</si>
  <si>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Global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</si>
  <si>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</si>
  <si>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</si>
  <si>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</si>
  <si>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</si>
  <si>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</si>
  <si>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</si>
  <si>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</si>
  <si>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</si>
  <si>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</si>
  <si>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</si>
  <si>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</si>
  <si>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</si>
  <si>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</si>
  <si>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</si>
  <si>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</si>
  <si>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</si>
  <si>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</si>
  <si>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</si>
  <si>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</si>
  <si>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</si>
  <si>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</si>
  <si>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</si>
  <si>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</si>
  <si>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</si>
  <si>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</si>
  <si>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</si>
  <si>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</si>
  <si>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</si>
  <si>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Last</t>
  </si>
  <si>
    <t>6m</t>
  </si>
  <si>
    <t>12m</t>
  </si>
  <si>
    <t>GDP qoq</t>
  </si>
  <si>
    <t>Fed Funds Target rate</t>
  </si>
  <si>
    <t>0 to 0.25%</t>
  </si>
  <si>
    <t>UMCSI Index</t>
  </si>
  <si>
    <t>GDP yoy</t>
  </si>
  <si>
    <t>UMCSI Exp</t>
  </si>
  <si>
    <t>Core CPI</t>
  </si>
  <si>
    <t>Conference Board LEI</t>
  </si>
  <si>
    <t>Core PCE</t>
  </si>
  <si>
    <t>Building Permits</t>
  </si>
  <si>
    <t>Core Retail Sales</t>
  </si>
  <si>
    <t>30y</t>
  </si>
  <si>
    <t>ISM Manufacturing</t>
  </si>
  <si>
    <t>Retail Sales MoM</t>
  </si>
  <si>
    <t>10 y</t>
  </si>
  <si>
    <t>ISM Manuf New orders</t>
  </si>
  <si>
    <t>Unemployment Rate</t>
  </si>
  <si>
    <t>2 y</t>
  </si>
  <si>
    <t>ISM Services</t>
  </si>
  <si>
    <t>Non-Farm Payroll</t>
  </si>
  <si>
    <t xml:space="preserve"> -140k</t>
  </si>
  <si>
    <t>4781k</t>
  </si>
  <si>
    <t>184k</t>
  </si>
  <si>
    <t>3 Months</t>
  </si>
  <si>
    <t>Money Supply M1</t>
  </si>
  <si>
    <t>Weekly Claims</t>
  </si>
  <si>
    <t>965k</t>
  </si>
  <si>
    <t>1310k</t>
  </si>
  <si>
    <t>207k</t>
  </si>
  <si>
    <t>10y -2y</t>
  </si>
  <si>
    <t>Money Supply M2</t>
  </si>
  <si>
    <t>Industrial Production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</si>
  <si>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</si>
  <si>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</si>
  <si>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</si>
  <si>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</si>
  <si>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</si>
  <si>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</si>
  <si>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</si>
  <si>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</si>
  <si>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</si>
  <si>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</si>
  <si>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</si>
  <si>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</si>
  <si>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</si>
  <si>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</si>
  <si>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</si>
  <si>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</si>
  <si>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</si>
  <si>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</si>
  <si>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</si>
  <si>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</si>
  <si>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</si>
  <si>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</si>
  <si>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</si>
  <si>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</si>
  <si>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12 months</t>
  </si>
  <si>
    <t>min 12m</t>
  </si>
  <si>
    <t>12m avg</t>
  </si>
  <si>
    <t>Last vs 12m avg</t>
  </si>
  <si>
    <t>above</t>
  </si>
  <si>
    <t>below</t>
  </si>
  <si>
    <t>Y/Y</t>
  </si>
  <si>
    <t>M/M</t>
  </si>
  <si>
    <t>Growth / Contraction</t>
  </si>
  <si>
    <t>Growth</t>
  </si>
  <si>
    <t>Contraction</t>
  </si>
  <si>
    <t>Slower/Faster</t>
  </si>
  <si>
    <t>-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</si>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</sst>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4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0" xfId="2" applyNumberFormat="1" applyFont="1" applyFill="1" applyAlignment="1">
      <alignment horizontal="center"/>
    </xf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17" fontId="9" fillId="2" borderId="12" xfId="0" applyNumberFormat="1" applyFont="1" applyFill="1" applyBorder="1" applyAlignment="1">
      <alignment horizontal="left" vertical="top" wrapText="1"/>
    </xf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5" xfId="0" applyFont="1" applyFill="1" applyBorder="1"/>
    <xf numFmtId="0" fontId="1" fillId="4" borderId="25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9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20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3" borderId="22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0" fillId="0" borderId="0" xfId="0"/>
    <xf numFmtId="164" fontId="5" fillId="2" borderId="0" xfId="2" applyNumberFormat="1" applyFont="1" applyFill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5" fontId="0" fillId="2" borderId="8" xfId="2" applyNumberFormat="1" applyFont="1" applyFill="1" applyBorder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4" fontId="0" fillId="2" borderId="10" xfId="2" applyNumberFormat="1" applyFont="1" applyFill="1" applyBorder="1" applyAlignment="1">
      <alignment horizontal="center"/>
    </xf>
    <xf numFmtId="164" fontId="0" fillId="2" borderId="11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19" xfId="0" applyNumberFormat="1" applyFont="1" applyFill="1" applyBorder="1" applyAlignment="1">
      <alignment horizontal="center" vertical="center"/>
    </xf>
    <xf numFmtId="165" fontId="12" fillId="3" borderId="23" xfId="0" applyNumberFormat="1" applyFont="1" applyFill="1" applyBorder="1" applyAlignment="1">
      <alignment horizontal="center" vertical="center"/>
    </xf>
    <xf numFmtId="165" fontId="12" fillId="3" borderId="24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6" xfId="0" applyNumberFormat="1" applyFont="1" applyFill="1" applyBorder="1" applyAlignment="1">
      <alignment horizontal="center" vertical="center"/>
    </xf>
    <xf numFmtId="165" fontId="12" fillId="3" borderId="17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0" fillId="2" borderId="0" xfId="0" applyFill="1"/>
    <xf numFmtId="166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Manufacturing</a:t>
            </a:r>
            <a:r>
              <a:rPr lang="en-GB" baseline="0"/>
              <a:t> PMI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US ISM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Lit>
              <c:formatCode>General</c:formatCode>
              <c:ptCount val="41"/>
              <c:pt idx="0">
                <c:v>42125</c:v>
              </c:pt>
              <c:pt idx="1">
                <c:v>42156</c:v>
              </c:pt>
              <c:pt idx="2">
                <c:v>42186</c:v>
              </c:pt>
              <c:pt idx="3">
                <c:v>42217</c:v>
              </c:pt>
              <c:pt idx="4">
                <c:v>42248</c:v>
              </c:pt>
              <c:pt idx="5">
                <c:v>42278</c:v>
              </c:pt>
              <c:pt idx="6">
                <c:v>42309</c:v>
              </c:pt>
              <c:pt idx="7">
                <c:v>42339</c:v>
              </c:pt>
              <c:pt idx="8">
                <c:v>42370</c:v>
              </c:pt>
              <c:pt idx="9">
                <c:v>42401</c:v>
              </c:pt>
              <c:pt idx="10">
                <c:v>42430</c:v>
              </c:pt>
              <c:pt idx="11">
                <c:v>42461</c:v>
              </c:pt>
              <c:pt idx="12">
                <c:v>42491</c:v>
              </c:pt>
              <c:pt idx="13">
                <c:v>42522</c:v>
              </c:pt>
              <c:pt idx="14">
                <c:v>42552</c:v>
              </c:pt>
              <c:pt idx="15">
                <c:v>42583</c:v>
              </c:pt>
              <c:pt idx="16">
                <c:v>42614</c:v>
              </c:pt>
              <c:pt idx="17">
                <c:v>42644</c:v>
              </c:pt>
              <c:pt idx="18">
                <c:v>42675</c:v>
              </c:pt>
              <c:pt idx="19">
                <c:v>42705</c:v>
              </c:pt>
              <c:pt idx="20">
                <c:v>42736</c:v>
              </c:pt>
              <c:pt idx="21">
                <c:v>42767</c:v>
              </c:pt>
              <c:pt idx="22">
                <c:v>42795</c:v>
              </c:pt>
              <c:pt idx="23">
                <c:v>42826</c:v>
              </c:pt>
              <c:pt idx="24">
                <c:v>42856</c:v>
              </c:pt>
              <c:pt idx="25">
                <c:v>42887</c:v>
              </c:pt>
              <c:pt idx="26">
                <c:v>42917</c:v>
              </c:pt>
              <c:pt idx="27">
                <c:v>42948</c:v>
              </c:pt>
              <c:pt idx="28">
                <c:v>42979</c:v>
              </c:pt>
              <c:pt idx="29">
                <c:v>43009</c:v>
              </c:pt>
              <c:pt idx="30">
                <c:v>43040</c:v>
              </c:pt>
              <c:pt idx="31">
                <c:v>43070</c:v>
              </c:pt>
              <c:pt idx="32">
                <c:v>43101</c:v>
              </c:pt>
              <c:pt idx="33">
                <c:v>43132</c:v>
              </c:pt>
              <c:pt idx="34">
                <c:v>43160</c:v>
              </c:pt>
              <c:pt idx="35">
                <c:v>43191</c:v>
              </c:pt>
              <c:pt idx="36">
                <c:v>43221</c:v>
              </c:pt>
              <c:pt idx="37">
                <c:v>43252</c:v>
              </c:pt>
              <c:pt idx="38">
                <c:v>43282</c:v>
              </c:pt>
              <c:pt idx="39">
                <c:v>43313</c:v>
              </c:pt>
              <c:pt idx="40">
                <c:v>43344</c:v>
              </c:pt>
            </c:numLit>
          </c:cat>
          <c:val>
            <c:numLit>
              <c:formatCode>General</c:formatCode>
              <c:ptCount val="41"/>
              <c:pt idx="0">
                <c:v>52.9</c:v>
              </c:pt>
              <c:pt idx="1">
                <c:v>52.3</c:v>
              </c:pt>
              <c:pt idx="2">
                <c:v>51.9</c:v>
              </c:pt>
              <c:pt idx="3">
                <c:v>50.8</c:v>
              </c:pt>
              <c:pt idx="4">
                <c:v>50.1</c:v>
              </c:pt>
              <c:pt idx="5">
                <c:v>49.6</c:v>
              </c:pt>
              <c:pt idx="6">
                <c:v>49.1</c:v>
              </c:pt>
              <c:pt idx="7">
                <c:v>48.4</c:v>
              </c:pt>
              <c:pt idx="8">
                <c:v>47.8</c:v>
              </c:pt>
              <c:pt idx="9">
                <c:v>49.4</c:v>
              </c:pt>
              <c:pt idx="10">
                <c:v>51.2</c:v>
              </c:pt>
              <c:pt idx="11">
                <c:v>50.8</c:v>
              </c:pt>
              <c:pt idx="12">
                <c:v>50.9</c:v>
              </c:pt>
              <c:pt idx="13">
                <c:v>52.5</c:v>
              </c:pt>
              <c:pt idx="14">
                <c:v>52.9</c:v>
              </c:pt>
              <c:pt idx="15">
                <c:v>49.9</c:v>
              </c:pt>
              <c:pt idx="16">
                <c:v>51.4</c:v>
              </c:pt>
              <c:pt idx="17">
                <c:v>51.8</c:v>
              </c:pt>
              <c:pt idx="18">
                <c:v>53.4</c:v>
              </c:pt>
              <c:pt idx="19">
                <c:v>54.3</c:v>
              </c:pt>
              <c:pt idx="20">
                <c:v>55.6</c:v>
              </c:pt>
              <c:pt idx="21">
                <c:v>57.6</c:v>
              </c:pt>
              <c:pt idx="22">
                <c:v>56.6</c:v>
              </c:pt>
              <c:pt idx="23">
                <c:v>55.3</c:v>
              </c:pt>
              <c:pt idx="24">
                <c:v>55.5</c:v>
              </c:pt>
              <c:pt idx="25">
                <c:v>56.7</c:v>
              </c:pt>
              <c:pt idx="26">
                <c:v>56.5</c:v>
              </c:pt>
              <c:pt idx="27">
                <c:v>59.3</c:v>
              </c:pt>
              <c:pt idx="28">
                <c:v>60.2</c:v>
              </c:pt>
              <c:pt idx="29">
                <c:v>58.5</c:v>
              </c:pt>
              <c:pt idx="30">
                <c:v>58.2</c:v>
              </c:pt>
              <c:pt idx="31">
                <c:v>59.3</c:v>
              </c:pt>
              <c:pt idx="32">
                <c:v>59.1</c:v>
              </c:pt>
              <c:pt idx="33">
                <c:v>60.8</c:v>
              </c:pt>
              <c:pt idx="34">
                <c:v>59.3</c:v>
              </c:pt>
              <c:pt idx="35">
                <c:v>57.3</c:v>
              </c:pt>
              <c:pt idx="36">
                <c:v>58.7</c:v>
              </c:pt>
              <c:pt idx="37">
                <c:v>60.2</c:v>
              </c:pt>
              <c:pt idx="38">
                <c:v>58.1</c:v>
              </c:pt>
              <c:pt idx="39">
                <c:v>61.3</c:v>
              </c:pt>
              <c:pt idx="40">
                <c:v>59.8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581-534F-94F6-D3F5307B0EE0}"/>
            </c:ext>
          </c:extLst>
        </c:ser>
        <c:ser>
          <c:idx val="2"/>
          <c:order val="1"/>
          <c:tx>
            <c:v>Eurozone</c:v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Lit>
              <c:formatCode>General</c:formatCode>
              <c:ptCount val="41"/>
              <c:pt idx="0">
                <c:v>42125</c:v>
              </c:pt>
              <c:pt idx="1">
                <c:v>42156</c:v>
              </c:pt>
              <c:pt idx="2">
                <c:v>42186</c:v>
              </c:pt>
              <c:pt idx="3">
                <c:v>42217</c:v>
              </c:pt>
              <c:pt idx="4">
                <c:v>42248</c:v>
              </c:pt>
              <c:pt idx="5">
                <c:v>42278</c:v>
              </c:pt>
              <c:pt idx="6">
                <c:v>42309</c:v>
              </c:pt>
              <c:pt idx="7">
                <c:v>42339</c:v>
              </c:pt>
              <c:pt idx="8">
                <c:v>42370</c:v>
              </c:pt>
              <c:pt idx="9">
                <c:v>42401</c:v>
              </c:pt>
              <c:pt idx="10">
                <c:v>42430</c:v>
              </c:pt>
              <c:pt idx="11">
                <c:v>42461</c:v>
              </c:pt>
              <c:pt idx="12">
                <c:v>42491</c:v>
              </c:pt>
              <c:pt idx="13">
                <c:v>42522</c:v>
              </c:pt>
              <c:pt idx="14">
                <c:v>42552</c:v>
              </c:pt>
              <c:pt idx="15">
                <c:v>42583</c:v>
              </c:pt>
              <c:pt idx="16">
                <c:v>42614</c:v>
              </c:pt>
              <c:pt idx="17">
                <c:v>42644</c:v>
              </c:pt>
              <c:pt idx="18">
                <c:v>42675</c:v>
              </c:pt>
              <c:pt idx="19">
                <c:v>42705</c:v>
              </c:pt>
              <c:pt idx="20">
                <c:v>42736</c:v>
              </c:pt>
              <c:pt idx="21">
                <c:v>42767</c:v>
              </c:pt>
              <c:pt idx="22">
                <c:v>42795</c:v>
              </c:pt>
              <c:pt idx="23">
                <c:v>42826</c:v>
              </c:pt>
              <c:pt idx="24">
                <c:v>42856</c:v>
              </c:pt>
              <c:pt idx="25">
                <c:v>42887</c:v>
              </c:pt>
              <c:pt idx="26">
                <c:v>42917</c:v>
              </c:pt>
              <c:pt idx="27">
                <c:v>42948</c:v>
              </c:pt>
              <c:pt idx="28">
                <c:v>42979</c:v>
              </c:pt>
              <c:pt idx="29">
                <c:v>43009</c:v>
              </c:pt>
              <c:pt idx="30">
                <c:v>43040</c:v>
              </c:pt>
              <c:pt idx="31">
                <c:v>43070</c:v>
              </c:pt>
              <c:pt idx="32">
                <c:v>43101</c:v>
              </c:pt>
              <c:pt idx="33">
                <c:v>43132</c:v>
              </c:pt>
              <c:pt idx="34">
                <c:v>43160</c:v>
              </c:pt>
              <c:pt idx="35">
                <c:v>43191</c:v>
              </c:pt>
              <c:pt idx="36">
                <c:v>43221</c:v>
              </c:pt>
              <c:pt idx="37">
                <c:v>43252</c:v>
              </c:pt>
              <c:pt idx="38">
                <c:v>43282</c:v>
              </c:pt>
              <c:pt idx="39">
                <c:v>43313</c:v>
              </c:pt>
              <c:pt idx="40">
                <c:v>43344</c:v>
              </c:pt>
            </c:numLit>
          </c:cat>
          <c:val>
            <c:numLit>
              <c:formatCode>General</c:formatCode>
              <c:ptCount val="41"/>
              <c:pt idx="0">
                <c:v>52.2</c:v>
              </c:pt>
              <c:pt idx="1">
                <c:v>52.5</c:v>
              </c:pt>
              <c:pt idx="2">
                <c:v>52.4</c:v>
              </c:pt>
              <c:pt idx="3">
                <c:v>52.3</c:v>
              </c:pt>
              <c:pt idx="4">
                <c:v>52</c:v>
              </c:pt>
              <c:pt idx="5">
                <c:v>52.3</c:v>
              </c:pt>
              <c:pt idx="6">
                <c:v>52.8</c:v>
              </c:pt>
              <c:pt idx="7">
                <c:v>53.2</c:v>
              </c:pt>
              <c:pt idx="8">
                <c:v>52.3</c:v>
              </c:pt>
              <c:pt idx="9">
                <c:v>51.2</c:v>
              </c:pt>
              <c:pt idx="10">
                <c:v>51.6</c:v>
              </c:pt>
              <c:pt idx="11">
                <c:v>51.7</c:v>
              </c:pt>
              <c:pt idx="12">
                <c:v>51.5</c:v>
              </c:pt>
              <c:pt idx="13">
                <c:v>52.8</c:v>
              </c:pt>
              <c:pt idx="14">
                <c:v>52</c:v>
              </c:pt>
              <c:pt idx="15">
                <c:v>51.7</c:v>
              </c:pt>
              <c:pt idx="16">
                <c:v>52.6</c:v>
              </c:pt>
              <c:pt idx="17">
                <c:v>53.5</c:v>
              </c:pt>
              <c:pt idx="18">
                <c:v>53.7</c:v>
              </c:pt>
              <c:pt idx="19">
                <c:v>54.9</c:v>
              </c:pt>
              <c:pt idx="20">
                <c:v>55.2</c:v>
              </c:pt>
              <c:pt idx="21">
                <c:v>55.4</c:v>
              </c:pt>
              <c:pt idx="22">
                <c:v>56.2</c:v>
              </c:pt>
              <c:pt idx="23">
                <c:v>56.7</c:v>
              </c:pt>
              <c:pt idx="24">
                <c:v>57</c:v>
              </c:pt>
              <c:pt idx="25">
                <c:v>57.4</c:v>
              </c:pt>
              <c:pt idx="26">
                <c:v>56.6</c:v>
              </c:pt>
              <c:pt idx="27">
                <c:v>57.4</c:v>
              </c:pt>
              <c:pt idx="28">
                <c:v>58.1</c:v>
              </c:pt>
              <c:pt idx="29">
                <c:v>58.5</c:v>
              </c:pt>
              <c:pt idx="30">
                <c:v>60.1</c:v>
              </c:pt>
              <c:pt idx="31">
                <c:v>60.6</c:v>
              </c:pt>
              <c:pt idx="32">
                <c:v>59.6</c:v>
              </c:pt>
              <c:pt idx="33">
                <c:v>58.6</c:v>
              </c:pt>
              <c:pt idx="34">
                <c:v>56.6</c:v>
              </c:pt>
              <c:pt idx="35">
                <c:v>56.2</c:v>
              </c:pt>
              <c:pt idx="36">
                <c:v>55.5</c:v>
              </c:pt>
              <c:pt idx="37">
                <c:v>54.9</c:v>
              </c:pt>
              <c:pt idx="38">
                <c:v>55.1</c:v>
              </c:pt>
              <c:pt idx="39">
                <c:v>54.6</c:v>
              </c:pt>
              <c:pt idx="40">
                <c:v>53.2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581-534F-94F6-D3F5307B0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424984"/>
        <c:axId val="752678216"/>
      </c:lineChart>
      <c:catAx>
        <c:axId val="495424984"/>
        <c:scaling>
          <c:orientation val="minMax"/>
          <c:max val="43344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78216"/>
        <c:crosses val="autoZero"/>
        <c:auto val="1"/>
        <c:lblAlgn val="ctr"/>
        <c:lblOffset val="100"/>
        <c:noMultiLvlLbl val="1"/>
      </c:catAx>
      <c:valAx>
        <c:axId val="7526782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24984"/>
        <c:crosses val="autoZero"/>
        <c:crossBetween val="between"/>
        <c:majorUnit val="1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25</xdr:col>
      <xdr:colOff>492163</xdr:colOff>
      <xdr:row>47</xdr:row>
      <xdr:rowOff>83820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118" y="3305735"/>
          <a:ext cx="17861280" cy="579882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605117</xdr:colOff>
      <xdr:row>48</xdr:row>
      <xdr:rowOff>0</xdr:rowOff>
    </xdr:from>
    <xdr:to>
      <xdr:col>25</xdr:col>
      <xdr:colOff>448235</xdr:colOff>
      <xdr:row>77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117" y="9211235"/>
          <a:ext cx="17817353" cy="558546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881062</xdr:colOff>
      <xdr:row>67</xdr:row>
      <xdr:rowOff>190499</xdr:rowOff>
    </xdr:from>
    <xdr:to>
      <xdr:col>17</xdr:col>
      <xdr:colOff>214312</xdr:colOff>
      <xdr:row>92</xdr:row>
      <xdr:rowOff>166686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tabSelected="1" zoomScale="160" zoomScaleNormal="160" workbookViewId="0">
      <selection activeCell="F145" sqref="F145"/>
    </sheetView>
  </sheetViews>
  <sheetFormatPr baseColWidth="10" defaultColWidth="9.1640625" defaultRowHeight="15" x14ac:dyDescent="0.2"/>
  <cols>
    <col min="1" max="1" width="23.1640625" style="62" customWidth="1"/>
    <col min="2" max="5" width="12.83203125" style="62" customWidth="1"/>
    <col min="6" max="6" width="13.6640625" style="62" customWidth="1"/>
    <col min="7" max="10" width="12.83203125" style="62" customWidth="1"/>
    <col min="11" max="13" width="2" style="62" customWidth="1"/>
    <col min="14" max="20" width="9.1640625" style="62" customWidth="1"/>
    <col min="21" max="16384" width="9.1640625" style="62"/>
  </cols>
  <sheetData>
    <row r="1" spans="2:13" x14ac:dyDescent="0.2">
      <c r="B1" s="17"/>
      <c r="C1" s="18"/>
      <c r="D1" s="18"/>
      <c r="E1" s="18"/>
    </row>
    <row r="2" spans="2:13" x14ac:dyDescent="0.2">
      <c r="B2" s="68" t="s">
        <v>0</v>
      </c>
      <c r="C2" s="69"/>
      <c r="D2" s="69"/>
      <c r="E2" s="69"/>
      <c r="F2" s="69"/>
      <c r="G2" s="69"/>
      <c r="H2" s="69"/>
      <c r="I2" s="69"/>
      <c r="J2" s="70"/>
    </row>
    <row r="4" spans="2:13" x14ac:dyDescent="0.2">
      <c r="B4" s="68" t="s">
        <v>1</v>
      </c>
      <c r="C4" s="69"/>
      <c r="D4" s="69"/>
      <c r="E4" s="69"/>
      <c r="F4" s="70"/>
      <c r="G4" s="68" t="s">
        <v>2</v>
      </c>
      <c r="H4" s="69"/>
      <c r="I4" s="69"/>
      <c r="J4" s="70"/>
    </row>
    <row r="6" spans="2:13" x14ac:dyDescent="0.2">
      <c r="B6" s="65" t="s">
        <v>3</v>
      </c>
      <c r="C6" s="65"/>
      <c r="D6" s="65"/>
      <c r="E6" s="65"/>
      <c r="F6" s="65"/>
      <c r="G6" s="65" t="s">
        <v>4</v>
      </c>
      <c r="H6" s="65"/>
      <c r="I6" s="65"/>
      <c r="J6" s="65"/>
    </row>
    <row r="7" spans="2:13" ht="30.75" customHeight="1" x14ac:dyDescent="0.2">
      <c r="G7" s="64" t="s">
        <v>5</v>
      </c>
      <c r="H7" s="65"/>
      <c r="I7" s="65"/>
      <c r="J7" s="65"/>
    </row>
    <row r="8" spans="2:13" x14ac:dyDescent="0.2">
      <c r="B8" s="64"/>
      <c r="C8" s="65"/>
      <c r="D8" s="65"/>
      <c r="E8" s="65"/>
      <c r="F8" s="65"/>
      <c r="G8" s="65"/>
      <c r="H8" s="65"/>
      <c r="I8" s="65"/>
      <c r="J8" s="65"/>
    </row>
    <row r="9" spans="2:13" x14ac:dyDescent="0.2">
      <c r="B9" s="66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</row>
    <row r="10" spans="2:13" x14ac:dyDescent="0.2">
      <c r="B10" s="64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</row>
    <row r="11" spans="2:13" x14ac:dyDescent="0.2">
      <c r="B11" s="67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11"/>
  <sheetViews>
    <sheetView zoomScale="150" zoomScaleNormal="150" workbookViewId="0">
      <selection activeCell="F145" sqref="F145"/>
    </sheetView>
  </sheetViews>
  <sheetFormatPr baseColWidth="10" defaultRowHeight="15" x14ac:dyDescent="0.2"/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10</v>
      </c>
      <c r="B2">
        <v>5.8327773290725903E-3</v>
      </c>
      <c r="C2">
        <v>3.1375709731505858E-3</v>
      </c>
      <c r="D2">
        <v>4.8151001540830369E-4</v>
      </c>
    </row>
    <row r="3" spans="1:4" x14ac:dyDescent="0.2">
      <c r="A3" t="s">
        <v>11</v>
      </c>
      <c r="B3">
        <v>4.9810802665505713E-3</v>
      </c>
      <c r="C3">
        <v>4.8044807563845026E-3</v>
      </c>
      <c r="D3">
        <v>3.1541871834860728E-3</v>
      </c>
    </row>
    <row r="4" spans="1:4" x14ac:dyDescent="0.2">
      <c r="A4" t="s">
        <v>12</v>
      </c>
      <c r="B4">
        <v>-2.4805028365475039E-2</v>
      </c>
      <c r="C4">
        <v>1.468871684038702E-2</v>
      </c>
      <c r="D4">
        <v>-2.6894312168303059E-2</v>
      </c>
    </row>
    <row r="5" spans="1:4" x14ac:dyDescent="0.2">
      <c r="A5" t="s">
        <v>13</v>
      </c>
      <c r="B5">
        <v>1.6790943920683761E-2</v>
      </c>
      <c r="C5">
        <v>1.6407465395443108E-2</v>
      </c>
      <c r="D5">
        <v>1.115276765936578E-2</v>
      </c>
    </row>
    <row r="6" spans="1:4" x14ac:dyDescent="0.2">
      <c r="A6" t="s">
        <v>14</v>
      </c>
      <c r="B6">
        <v>5.5317363621841711E-2</v>
      </c>
      <c r="C6">
        <v>0.12226677108077</v>
      </c>
      <c r="D6">
        <v>-2.2629152430098401E-2</v>
      </c>
    </row>
    <row r="7" spans="1:4" x14ac:dyDescent="0.2">
      <c r="A7" t="s">
        <v>15</v>
      </c>
      <c r="B7">
        <v>223000</v>
      </c>
      <c r="C7">
        <v>377000</v>
      </c>
      <c r="D7">
        <v>863000</v>
      </c>
    </row>
    <row r="8" spans="1:4" x14ac:dyDescent="0.2">
      <c r="A8" t="s">
        <v>16</v>
      </c>
      <c r="B8">
        <v>-1.0235595164563491E-3</v>
      </c>
      <c r="C8">
        <v>5.4822432562803116E-3</v>
      </c>
      <c r="D8">
        <v>1.157358567077907E-2</v>
      </c>
    </row>
    <row r="9" spans="1:4" x14ac:dyDescent="0.2">
      <c r="A9" t="s">
        <v>17</v>
      </c>
      <c r="B9">
        <v>149629</v>
      </c>
      <c r="C9">
        <v>146387</v>
      </c>
      <c r="D9">
        <v>143017</v>
      </c>
    </row>
    <row r="10" spans="1:4" x14ac:dyDescent="0.2">
      <c r="A10" t="s">
        <v>18</v>
      </c>
      <c r="B10">
        <v>-2.4805028365475039E-2</v>
      </c>
      <c r="C10">
        <v>1.468871684038702E-2</v>
      </c>
      <c r="D10">
        <v>-2.6894312168303059E-2</v>
      </c>
    </row>
    <row r="11" spans="1:4" x14ac:dyDescent="0.2">
      <c r="A11" t="s">
        <v>19</v>
      </c>
      <c r="B11">
        <v>2.5641025641025661E-2</v>
      </c>
      <c r="C11">
        <v>-8.4745762711864403E-2</v>
      </c>
      <c r="D11">
        <v>-4.4776119402985037E-2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D9"/>
  <sheetViews>
    <sheetView zoomScale="150" zoomScaleNormal="150" workbookViewId="0"/>
  </sheetViews>
  <sheetFormatPr baseColWidth="10" defaultRowHeight="15" x14ac:dyDescent="0.2"/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20</v>
      </c>
      <c r="B2" t="s">
        <v>21</v>
      </c>
    </row>
    <row r="3" spans="1:4" x14ac:dyDescent="0.2">
      <c r="A3" t="s">
        <v>22</v>
      </c>
      <c r="B3">
        <v>0.43000000000000682</v>
      </c>
    </row>
    <row r="4" spans="1:4" x14ac:dyDescent="0.2">
      <c r="A4" t="s">
        <v>23</v>
      </c>
      <c r="B4">
        <v>0.96999999999999886</v>
      </c>
    </row>
    <row r="5" spans="1:4" x14ac:dyDescent="0.2">
      <c r="A5" t="s">
        <v>24</v>
      </c>
      <c r="B5">
        <v>1.7950000000000019</v>
      </c>
    </row>
    <row r="6" spans="1:4" x14ac:dyDescent="0.2">
      <c r="A6" t="s">
        <v>25</v>
      </c>
      <c r="B6">
        <v>1.18</v>
      </c>
      <c r="C6">
        <v>0.17419999999999999</v>
      </c>
      <c r="D6">
        <v>0.1113</v>
      </c>
    </row>
    <row r="7" spans="1:4" x14ac:dyDescent="0.2">
      <c r="A7" t="s">
        <v>26</v>
      </c>
      <c r="B7">
        <v>1.81</v>
      </c>
      <c r="C7">
        <v>1.179</v>
      </c>
      <c r="D7">
        <v>1.079</v>
      </c>
    </row>
    <row r="8" spans="1:4" x14ac:dyDescent="0.2">
      <c r="A8" t="s">
        <v>27</v>
      </c>
      <c r="B8">
        <v>2.12</v>
      </c>
    </row>
    <row r="9" spans="1:4" x14ac:dyDescent="0.2">
      <c r="A9" t="s">
        <v>28</v>
      </c>
      <c r="B9">
        <v>96.389999389648438</v>
      </c>
      <c r="C9">
        <v>92.050003051757812</v>
      </c>
      <c r="D9">
        <v>91.019996643066406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10"/>
  <sheetViews>
    <sheetView zoomScale="150" zoomScaleNormal="150" workbookViewId="0">
      <selection activeCell="E32" sqref="E32"/>
    </sheetView>
  </sheetViews>
  <sheetFormatPr baseColWidth="10" defaultRowHeight="15" x14ac:dyDescent="0.2"/>
  <cols>
    <col min="1" max="7" width="10.83203125" style="43" customWidth="1"/>
    <col min="8" max="16384" width="10.83203125" style="43"/>
  </cols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29</v>
      </c>
      <c r="B2">
        <v>67.2</v>
      </c>
      <c r="C2">
        <v>81.2</v>
      </c>
      <c r="D2">
        <v>79</v>
      </c>
    </row>
    <row r="3" spans="1:4" x14ac:dyDescent="0.2">
      <c r="A3" t="s">
        <v>30</v>
      </c>
      <c r="B3">
        <v>64.099999999999994</v>
      </c>
      <c r="C3">
        <v>79</v>
      </c>
      <c r="D3">
        <v>74</v>
      </c>
    </row>
    <row r="4" spans="1:4" x14ac:dyDescent="0.2">
      <c r="A4" t="s">
        <v>31</v>
      </c>
      <c r="B4">
        <v>120.8</v>
      </c>
      <c r="C4">
        <v>115.1</v>
      </c>
      <c r="D4">
        <v>109.6</v>
      </c>
    </row>
    <row r="5" spans="1:4" x14ac:dyDescent="0.2">
      <c r="A5" t="s">
        <v>32</v>
      </c>
      <c r="B5">
        <v>1885</v>
      </c>
      <c r="C5">
        <v>1594</v>
      </c>
      <c r="D5">
        <v>1758</v>
      </c>
    </row>
    <row r="6" spans="1:4" x14ac:dyDescent="0.2">
      <c r="A6" t="s">
        <v>33</v>
      </c>
      <c r="B6">
        <v>57.6</v>
      </c>
      <c r="C6">
        <v>59.5</v>
      </c>
      <c r="D6">
        <v>58.7</v>
      </c>
    </row>
    <row r="7" spans="1:4" x14ac:dyDescent="0.2">
      <c r="A7" t="s">
        <v>34</v>
      </c>
      <c r="B7">
        <v>57.9</v>
      </c>
      <c r="C7">
        <v>64.900000000000006</v>
      </c>
      <c r="D7">
        <v>61.1</v>
      </c>
    </row>
    <row r="8" spans="1:4" x14ac:dyDescent="0.2">
      <c r="A8" t="s">
        <v>35</v>
      </c>
      <c r="B8">
        <v>62</v>
      </c>
      <c r="C8">
        <v>60.1</v>
      </c>
      <c r="D8">
        <v>57.2</v>
      </c>
    </row>
    <row r="9" spans="1:4" x14ac:dyDescent="0.2">
      <c r="A9" t="s">
        <v>36</v>
      </c>
      <c r="B9">
        <v>4.4355004312292834E-3</v>
      </c>
      <c r="C9">
        <v>-6.2922982269701883E-3</v>
      </c>
      <c r="D9">
        <v>9.4422127684804739E-3</v>
      </c>
    </row>
    <row r="10" spans="1:4" x14ac:dyDescent="0.2">
      <c r="A10" t="s">
        <v>37</v>
      </c>
      <c r="B10">
        <v>3.6119845126418508E-3</v>
      </c>
      <c r="C10">
        <v>-7.3986308583464744E-3</v>
      </c>
      <c r="D10">
        <v>5.7621431321854388E-3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S7"/>
  <sheetViews>
    <sheetView zoomScale="140" zoomScaleNormal="140" workbookViewId="0">
      <selection activeCell="G27" sqref="G27"/>
    </sheetView>
  </sheetViews>
  <sheetFormatPr baseColWidth="10" defaultRowHeight="15" x14ac:dyDescent="0.2"/>
  <cols>
    <col min="1" max="1" width="23.1640625" style="43" customWidth="1"/>
    <col min="2" max="7" width="10.83203125" style="43" customWidth="1"/>
    <col min="8" max="16384" width="10.83203125" style="43"/>
  </cols>
  <sheetData>
    <row r="1" spans="1:19" x14ac:dyDescent="0.2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</row>
    <row r="2" spans="1:19" x14ac:dyDescent="0.2">
      <c r="A2" s="63">
        <v>44409</v>
      </c>
      <c r="B2">
        <v>0</v>
      </c>
      <c r="C2">
        <v>8</v>
      </c>
      <c r="D2">
        <v>14</v>
      </c>
      <c r="E2">
        <v>11</v>
      </c>
      <c r="F2">
        <v>10</v>
      </c>
      <c r="G2">
        <v>6</v>
      </c>
      <c r="H2">
        <v>15</v>
      </c>
      <c r="I2">
        <v>13</v>
      </c>
      <c r="J2">
        <v>7</v>
      </c>
      <c r="K2">
        <v>-1</v>
      </c>
      <c r="L2">
        <v>2</v>
      </c>
      <c r="M2">
        <v>1</v>
      </c>
      <c r="N2">
        <v>9</v>
      </c>
      <c r="O2">
        <v>12</v>
      </c>
      <c r="P2">
        <v>3</v>
      </c>
      <c r="Q2">
        <v>-2</v>
      </c>
      <c r="R2">
        <v>5</v>
      </c>
      <c r="S2">
        <v>4</v>
      </c>
    </row>
    <row r="3" spans="1:19" x14ac:dyDescent="0.2">
      <c r="A3" s="63">
        <v>44440</v>
      </c>
      <c r="B3">
        <v>11</v>
      </c>
      <c r="C3">
        <v>12</v>
      </c>
      <c r="D3">
        <v>13</v>
      </c>
      <c r="E3">
        <v>14</v>
      </c>
      <c r="F3">
        <v>5</v>
      </c>
      <c r="G3">
        <v>6</v>
      </c>
      <c r="H3">
        <v>17</v>
      </c>
      <c r="I3">
        <v>15</v>
      </c>
      <c r="J3">
        <v>7</v>
      </c>
      <c r="K3">
        <v>2</v>
      </c>
      <c r="L3">
        <v>9</v>
      </c>
      <c r="M3">
        <v>16</v>
      </c>
      <c r="N3">
        <v>1</v>
      </c>
      <c r="O3">
        <v>3</v>
      </c>
      <c r="P3">
        <v>8</v>
      </c>
      <c r="Q3">
        <v>10</v>
      </c>
      <c r="R3">
        <v>4</v>
      </c>
      <c r="S3">
        <v>-1</v>
      </c>
    </row>
    <row r="4" spans="1:19" x14ac:dyDescent="0.2">
      <c r="A4" s="63">
        <v>44470</v>
      </c>
      <c r="B4">
        <v>16</v>
      </c>
      <c r="C4">
        <v>8</v>
      </c>
      <c r="D4">
        <v>9</v>
      </c>
      <c r="E4">
        <v>13</v>
      </c>
      <c r="F4">
        <v>7</v>
      </c>
      <c r="G4">
        <v>10</v>
      </c>
      <c r="H4">
        <v>15</v>
      </c>
      <c r="I4">
        <v>12</v>
      </c>
      <c r="J4">
        <v>6</v>
      </c>
      <c r="K4">
        <v>-1</v>
      </c>
      <c r="L4">
        <v>3</v>
      </c>
      <c r="M4">
        <v>5</v>
      </c>
      <c r="N4">
        <v>4</v>
      </c>
      <c r="O4">
        <v>2</v>
      </c>
      <c r="P4">
        <v>11</v>
      </c>
      <c r="Q4">
        <v>14</v>
      </c>
      <c r="R4">
        <v>1</v>
      </c>
      <c r="S4">
        <v>-2</v>
      </c>
    </row>
    <row r="5" spans="1:19" x14ac:dyDescent="0.2">
      <c r="A5" s="63">
        <v>44501</v>
      </c>
      <c r="B5">
        <v>13</v>
      </c>
      <c r="C5">
        <v>4</v>
      </c>
      <c r="D5">
        <v>10</v>
      </c>
      <c r="E5">
        <v>11</v>
      </c>
      <c r="F5">
        <v>2</v>
      </c>
      <c r="G5">
        <v>6</v>
      </c>
      <c r="H5">
        <v>12</v>
      </c>
      <c r="I5">
        <v>9</v>
      </c>
      <c r="J5">
        <v>5</v>
      </c>
      <c r="K5">
        <v>0</v>
      </c>
      <c r="L5">
        <v>7</v>
      </c>
      <c r="M5">
        <v>3</v>
      </c>
      <c r="N5">
        <v>8</v>
      </c>
      <c r="O5">
        <v>-1</v>
      </c>
      <c r="P5">
        <v>-2</v>
      </c>
      <c r="Q5">
        <v>0</v>
      </c>
      <c r="R5">
        <v>1</v>
      </c>
      <c r="S5">
        <v>0</v>
      </c>
    </row>
    <row r="6" spans="1:19" x14ac:dyDescent="0.2">
      <c r="A6" s="63">
        <v>44531</v>
      </c>
      <c r="B6">
        <v>15</v>
      </c>
      <c r="C6">
        <v>8</v>
      </c>
      <c r="D6">
        <v>5</v>
      </c>
      <c r="E6">
        <v>7</v>
      </c>
      <c r="F6">
        <v>6</v>
      </c>
      <c r="G6">
        <v>4</v>
      </c>
      <c r="H6">
        <v>14</v>
      </c>
      <c r="I6">
        <v>11</v>
      </c>
      <c r="J6">
        <v>9</v>
      </c>
      <c r="K6">
        <v>10</v>
      </c>
      <c r="L6">
        <v>-1</v>
      </c>
      <c r="M6">
        <v>1</v>
      </c>
      <c r="N6">
        <v>12</v>
      </c>
      <c r="O6">
        <v>2</v>
      </c>
      <c r="P6">
        <v>-2</v>
      </c>
      <c r="Q6">
        <v>13</v>
      </c>
      <c r="R6">
        <v>3</v>
      </c>
      <c r="S6">
        <v>-3</v>
      </c>
    </row>
    <row r="7" spans="1:19" x14ac:dyDescent="0.2">
      <c r="A7" s="63">
        <v>44562</v>
      </c>
      <c r="B7">
        <v>14</v>
      </c>
      <c r="C7">
        <v>3</v>
      </c>
      <c r="D7">
        <v>4</v>
      </c>
      <c r="E7">
        <v>9</v>
      </c>
      <c r="F7">
        <v>5</v>
      </c>
      <c r="G7">
        <v>8</v>
      </c>
      <c r="H7">
        <v>13</v>
      </c>
      <c r="I7">
        <v>10</v>
      </c>
      <c r="J7">
        <v>12</v>
      </c>
      <c r="K7">
        <v>11</v>
      </c>
      <c r="L7">
        <v>-1</v>
      </c>
      <c r="M7">
        <v>2</v>
      </c>
      <c r="N7">
        <v>1</v>
      </c>
      <c r="O7">
        <v>6</v>
      </c>
      <c r="P7">
        <v>0</v>
      </c>
      <c r="Q7">
        <v>0</v>
      </c>
      <c r="R7">
        <v>7</v>
      </c>
      <c r="S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AA137"/>
  <sheetViews>
    <sheetView zoomScale="140" zoomScaleNormal="140" workbookViewId="0">
      <pane ySplit="1" topLeftCell="A106" activePane="bottomLeft" state="frozen"/>
      <selection activeCell="F145" sqref="F145"/>
      <selection pane="bottomLeft" activeCell="F145" sqref="F145"/>
    </sheetView>
  </sheetViews>
  <sheetFormatPr baseColWidth="10" defaultRowHeight="15" x14ac:dyDescent="0.2"/>
  <sheetData>
    <row r="1" spans="1:27" x14ac:dyDescent="0.2">
      <c r="A1" t="s">
        <v>38</v>
      </c>
      <c r="B1" t="s">
        <v>57</v>
      </c>
      <c r="C1" t="s">
        <v>33</v>
      </c>
      <c r="D1" t="s">
        <v>58</v>
      </c>
      <c r="E1" t="s">
        <v>59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  <c r="M1" t="s">
        <v>67</v>
      </c>
      <c r="N1" t="s">
        <v>68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74</v>
      </c>
      <c r="U1" t="s">
        <v>75</v>
      </c>
      <c r="V1" t="s">
        <v>76</v>
      </c>
      <c r="W1" t="s">
        <v>77</v>
      </c>
      <c r="X1" t="s">
        <v>78</v>
      </c>
      <c r="Y1" t="s">
        <v>79</v>
      </c>
      <c r="Z1" t="s">
        <v>80</v>
      </c>
      <c r="AA1" t="s">
        <v>81</v>
      </c>
    </row>
    <row r="2" spans="1:27" x14ac:dyDescent="0.2">
      <c r="A2" s="63">
        <v>40452</v>
      </c>
      <c r="B2">
        <v>53.7</v>
      </c>
      <c r="C2">
        <v>56.9</v>
      </c>
    </row>
    <row r="3" spans="1:27" x14ac:dyDescent="0.2">
      <c r="A3" s="63">
        <v>40483</v>
      </c>
      <c r="B3">
        <v>54</v>
      </c>
      <c r="C3">
        <v>57.3</v>
      </c>
    </row>
    <row r="4" spans="1:27" x14ac:dyDescent="0.2">
      <c r="A4" s="63">
        <v>40513</v>
      </c>
      <c r="B4">
        <v>54.9</v>
      </c>
      <c r="C4">
        <v>56.6</v>
      </c>
    </row>
    <row r="5" spans="1:27" x14ac:dyDescent="0.2">
      <c r="A5" s="63">
        <v>40544</v>
      </c>
      <c r="B5">
        <v>57.2</v>
      </c>
      <c r="C5">
        <v>59.1</v>
      </c>
    </row>
    <row r="6" spans="1:27" x14ac:dyDescent="0.2">
      <c r="A6" s="63">
        <v>40575</v>
      </c>
      <c r="B6">
        <v>58.2</v>
      </c>
      <c r="C6">
        <v>59.2</v>
      </c>
    </row>
    <row r="7" spans="1:27" x14ac:dyDescent="0.2">
      <c r="A7" s="63">
        <v>40603</v>
      </c>
      <c r="B7">
        <v>56</v>
      </c>
      <c r="C7">
        <v>58.4</v>
      </c>
    </row>
    <row r="8" spans="1:27" x14ac:dyDescent="0.2">
      <c r="A8" s="63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2">
      <c r="A9" s="63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2">
      <c r="A10" s="63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2">
      <c r="A11" s="63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2">
      <c r="A12" s="63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2">
      <c r="A13" s="63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2">
      <c r="A14" s="63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2">
      <c r="A15" s="63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2">
      <c r="A16" s="63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2">
      <c r="A17" s="63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2">
      <c r="A18" s="63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2">
      <c r="A19" s="63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2">
      <c r="A20" s="63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2">
      <c r="A21" s="63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2">
      <c r="A22" s="63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2">
      <c r="A23" s="63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2">
      <c r="A24" s="63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2">
      <c r="A25" s="63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2">
      <c r="A26" s="63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2">
      <c r="A27" s="63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2">
      <c r="A28" s="63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2">
      <c r="A29" s="63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2">
      <c r="A30" s="63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2">
      <c r="A31" s="63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2">
      <c r="A32" s="63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2">
      <c r="A33" s="63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2">
      <c r="A34" s="63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2">
      <c r="A35" s="63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2">
      <c r="A36" s="63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2">
      <c r="A37" s="63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2">
      <c r="A38" s="63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2">
      <c r="A39" s="63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2">
      <c r="A40" s="63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2">
      <c r="A41" s="63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2">
      <c r="A42" s="63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2">
      <c r="A43" s="63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2">
      <c r="A44" s="63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2">
      <c r="A45" s="63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2">
      <c r="A46" s="63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2">
      <c r="A47" s="63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2">
      <c r="A48" s="63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2">
      <c r="A49" s="63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2">
      <c r="A50" s="63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2">
      <c r="A51" s="63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2">
      <c r="A52" s="63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2">
      <c r="A53" s="63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2">
      <c r="A54" s="63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2">
      <c r="A55" s="63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2">
      <c r="A56" s="63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2">
      <c r="A57" s="63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2">
      <c r="A58" s="63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2">
      <c r="A59" s="63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2">
      <c r="A60" s="63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2">
      <c r="A61" s="63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2">
      <c r="A62" s="63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2">
      <c r="A63" s="63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2">
      <c r="A64" s="63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2">
      <c r="A65" s="63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2">
      <c r="A66" s="63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2">
      <c r="A67" s="63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2">
      <c r="A68" s="63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2">
      <c r="A69" s="63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2">
      <c r="A70" s="63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2">
      <c r="A71" s="63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2">
      <c r="A72" s="63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2">
      <c r="A73" s="63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2">
      <c r="A74" s="63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2">
      <c r="A75" s="63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2">
      <c r="A76" s="63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2">
      <c r="A77" s="63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2">
      <c r="A78" s="63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2">
      <c r="A79" s="63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2">
      <c r="A80" s="63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2">
      <c r="A81" s="63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2">
      <c r="A82" s="63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2">
      <c r="A83" s="63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2">
      <c r="A84" s="63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2">
      <c r="A85" s="63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2">
      <c r="A86" s="63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2">
      <c r="A87" s="63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2">
      <c r="A88" s="63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2">
      <c r="A89" s="63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2">
      <c r="A90" s="63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2">
      <c r="A91" s="63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2">
      <c r="A92" s="63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2">
      <c r="A93" s="63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2">
      <c r="A94" s="63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2">
      <c r="A95" s="63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2">
      <c r="A96" s="63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2">
      <c r="A97" s="63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2">
      <c r="A98" s="63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2">
      <c r="A99" s="63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2">
      <c r="A100" s="63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2">
      <c r="A101" s="63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2">
      <c r="A102" s="63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2">
      <c r="A103" s="63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2">
      <c r="A104" s="63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2">
      <c r="A105" s="63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2">
      <c r="A106" s="63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2">
      <c r="A107" s="63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2">
      <c r="A108" s="63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2">
      <c r="A109" s="63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2">
      <c r="A110" s="63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2">
      <c r="A111" s="63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2">
      <c r="A112" s="63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2">
      <c r="A113" s="63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2">
      <c r="A114" s="63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2">
      <c r="A115" s="63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2">
      <c r="A116" s="63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2">
      <c r="A117" s="63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2">
      <c r="A118" s="63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2">
      <c r="A119" s="63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2">
      <c r="A120" s="63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2">
      <c r="A121" s="63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2">
      <c r="A122" s="63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2">
      <c r="A123" s="63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2">
      <c r="A124" s="63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2">
      <c r="A125" s="63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2">
      <c r="A126" s="63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2">
      <c r="A127" s="63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2">
      <c r="A128" s="63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2">
      <c r="A129" s="63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2">
      <c r="A130" s="63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2">
      <c r="A131" s="63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2">
      <c r="A132" s="63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2">
      <c r="A133" s="63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2">
      <c r="A134" s="63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2">
      <c r="A135" s="63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2">
      <c r="A136" s="63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2">
      <c r="A137" s="63">
        <v>44562</v>
      </c>
      <c r="B137">
        <v>51.4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C1:P16"/>
  <sheetViews>
    <sheetView topLeftCell="B1" zoomScale="140" zoomScaleNormal="140" workbookViewId="0">
      <selection activeCell="AA22" sqref="AA22"/>
    </sheetView>
  </sheetViews>
  <sheetFormatPr baseColWidth="10" defaultColWidth="9.1640625" defaultRowHeight="15" x14ac:dyDescent="0.2"/>
  <cols>
    <col min="1" max="2" width="9.1640625" style="62" customWidth="1"/>
    <col min="3" max="3" width="24.33203125" style="62" customWidth="1"/>
    <col min="4" max="7" width="9.1640625" style="62" customWidth="1"/>
    <col min="8" max="8" width="21.33203125" style="62" customWidth="1"/>
    <col min="9" max="12" width="9.33203125" style="62" customWidth="1"/>
    <col min="13" max="13" width="23.33203125" style="62" customWidth="1"/>
    <col min="14" max="20" width="9.1640625" style="62" customWidth="1"/>
    <col min="21" max="16384" width="9.1640625" style="62"/>
  </cols>
  <sheetData>
    <row r="1" spans="3:16" ht="16" customHeight="1" thickBot="1" x14ac:dyDescent="0.25"/>
    <row r="2" spans="3:16" ht="16" customHeight="1" thickBot="1" x14ac:dyDescent="0.25">
      <c r="C2" s="71" t="s">
        <v>82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3"/>
    </row>
    <row r="3" spans="3:16" ht="16" customHeight="1" thickBot="1" x14ac:dyDescent="0.25"/>
    <row r="4" spans="3:16" ht="16" customHeight="1" thickBot="1" x14ac:dyDescent="0.25">
      <c r="C4" s="71" t="s">
        <v>83</v>
      </c>
      <c r="D4" s="72"/>
      <c r="E4" s="72"/>
      <c r="F4" s="73"/>
      <c r="H4" s="71" t="s">
        <v>84</v>
      </c>
      <c r="I4" s="72"/>
      <c r="J4" s="72"/>
      <c r="K4" s="73"/>
      <c r="M4" s="71" t="s">
        <v>85</v>
      </c>
      <c r="N4" s="72"/>
      <c r="O4" s="72"/>
      <c r="P4" s="73"/>
    </row>
    <row r="5" spans="3:16" ht="16" customHeight="1" thickBot="1" x14ac:dyDescent="0.25"/>
    <row r="6" spans="3:16" x14ac:dyDescent="0.2">
      <c r="C6" s="3"/>
      <c r="D6" s="4" t="s">
        <v>86</v>
      </c>
      <c r="E6" s="4" t="s">
        <v>87</v>
      </c>
      <c r="F6" s="5" t="s">
        <v>88</v>
      </c>
      <c r="H6" s="3"/>
      <c r="I6" s="4" t="s">
        <v>86</v>
      </c>
      <c r="J6" s="4" t="s">
        <v>87</v>
      </c>
      <c r="K6" s="5" t="s">
        <v>88</v>
      </c>
      <c r="M6" s="3"/>
      <c r="N6" s="4" t="s">
        <v>86</v>
      </c>
      <c r="O6" s="4" t="s">
        <v>87</v>
      </c>
      <c r="P6" s="5" t="s">
        <v>88</v>
      </c>
    </row>
    <row r="7" spans="3:16" x14ac:dyDescent="0.2">
      <c r="C7" s="6" t="s">
        <v>89</v>
      </c>
      <c r="D7" s="44">
        <v>0.33400000000000002</v>
      </c>
      <c r="E7" s="45">
        <v>-4.9599999999999998E-2</v>
      </c>
      <c r="F7" s="46">
        <v>2.5700000000000001E-2</v>
      </c>
      <c r="G7" s="45"/>
      <c r="H7" s="6" t="s">
        <v>90</v>
      </c>
      <c r="I7" s="8" t="s">
        <v>91</v>
      </c>
      <c r="J7" s="8"/>
      <c r="K7" s="9"/>
      <c r="L7" s="1"/>
      <c r="M7" s="6" t="s">
        <v>92</v>
      </c>
      <c r="N7" s="38">
        <v>80.7</v>
      </c>
      <c r="O7" s="39">
        <v>78.099999999999994</v>
      </c>
      <c r="P7" s="13">
        <v>99.3</v>
      </c>
    </row>
    <row r="8" spans="3:16" x14ac:dyDescent="0.2">
      <c r="C8" s="6" t="s">
        <v>93</v>
      </c>
      <c r="D8" s="47">
        <v>-2.8500000000000001E-2</v>
      </c>
      <c r="E8" s="45">
        <v>3.2000000000000002E-3</v>
      </c>
      <c r="F8" s="46">
        <v>2.0799999999999999E-2</v>
      </c>
      <c r="G8" s="45"/>
      <c r="H8" s="6" t="s">
        <v>22</v>
      </c>
      <c r="I8" s="41">
        <v>2.0000000000000001E-4</v>
      </c>
      <c r="J8" s="41"/>
      <c r="K8" s="10"/>
      <c r="L8" s="2"/>
      <c r="M8" s="6" t="s">
        <v>94</v>
      </c>
      <c r="N8" s="38">
        <v>74.599999999999994</v>
      </c>
      <c r="O8" s="39">
        <v>72.3</v>
      </c>
      <c r="P8" s="13">
        <v>88.9</v>
      </c>
    </row>
    <row r="9" spans="3:16" x14ac:dyDescent="0.2">
      <c r="C9" s="6" t="s">
        <v>95</v>
      </c>
      <c r="D9" s="45">
        <v>1.6500000000000001E-2</v>
      </c>
      <c r="E9" s="45">
        <v>1.24E-2</v>
      </c>
      <c r="F9" s="46">
        <v>2.3199999999999998E-2</v>
      </c>
      <c r="G9" s="45"/>
      <c r="H9" s="6" t="s">
        <v>23</v>
      </c>
      <c r="I9" s="41">
        <v>2.0000000000000001E-4</v>
      </c>
      <c r="J9" s="41"/>
      <c r="K9" s="10"/>
      <c r="L9" s="2"/>
      <c r="M9" s="6" t="s">
        <v>96</v>
      </c>
      <c r="N9" s="40">
        <v>109.1</v>
      </c>
      <c r="O9" s="39">
        <v>99.8</v>
      </c>
      <c r="P9" s="13">
        <v>111.5</v>
      </c>
    </row>
    <row r="10" spans="3:16" x14ac:dyDescent="0.2">
      <c r="C10" s="6" t="s">
        <v>97</v>
      </c>
      <c r="D10" s="47">
        <v>1.38E-2</v>
      </c>
      <c r="E10" s="45">
        <v>1.01E-2</v>
      </c>
      <c r="F10" s="46">
        <v>1.5800000000000002E-2</v>
      </c>
      <c r="G10" s="45"/>
      <c r="H10" s="6" t="s">
        <v>24</v>
      </c>
      <c r="I10" s="41">
        <v>-2.0000000000000001E-4</v>
      </c>
      <c r="J10" s="41"/>
      <c r="K10" s="10"/>
      <c r="L10" s="2"/>
      <c r="M10" s="6" t="s">
        <v>98</v>
      </c>
      <c r="N10" s="40">
        <v>1635</v>
      </c>
      <c r="O10" s="39">
        <v>12.16</v>
      </c>
      <c r="P10" s="13">
        <v>1510</v>
      </c>
    </row>
    <row r="11" spans="3:16" x14ac:dyDescent="0.2">
      <c r="C11" s="6" t="s">
        <v>99</v>
      </c>
      <c r="D11" s="44">
        <v>5.9299999999999999E-2</v>
      </c>
      <c r="E11" s="47">
        <v>-3.9E-2</v>
      </c>
      <c r="F11" s="46">
        <v>2.6599999999999999E-2</v>
      </c>
      <c r="G11" s="45"/>
      <c r="H11" s="6" t="s">
        <v>100</v>
      </c>
      <c r="I11" s="8">
        <v>1.8450000000000001E-2</v>
      </c>
      <c r="J11" s="8">
        <v>1.3310000000000001E-2</v>
      </c>
      <c r="K11" s="9">
        <v>2.24E-2</v>
      </c>
      <c r="M11" s="6" t="s">
        <v>101</v>
      </c>
      <c r="N11" s="40">
        <v>60.7</v>
      </c>
      <c r="O11" s="39">
        <v>52.6</v>
      </c>
      <c r="P11" s="13">
        <v>47.8</v>
      </c>
    </row>
    <row r="12" spans="3:16" x14ac:dyDescent="0.2">
      <c r="C12" s="6" t="s">
        <v>102</v>
      </c>
      <c r="D12" s="47">
        <v>-8.0000000000000002E-3</v>
      </c>
      <c r="E12" s="45">
        <v>0.12330000000000001</v>
      </c>
      <c r="F12" s="46">
        <v>-3.8E-3</v>
      </c>
      <c r="G12" s="45"/>
      <c r="H12" s="6" t="s">
        <v>103</v>
      </c>
      <c r="I12" s="8">
        <v>1.0999999999999999E-2</v>
      </c>
      <c r="J12" s="8">
        <v>6.3E-3</v>
      </c>
      <c r="K12" s="9">
        <v>1.788E-2</v>
      </c>
      <c r="L12" s="1"/>
      <c r="M12" s="6" t="s">
        <v>104</v>
      </c>
      <c r="N12" s="40">
        <v>67.900000000000006</v>
      </c>
      <c r="O12" s="39">
        <v>56.4</v>
      </c>
      <c r="P12" s="13">
        <v>47.6</v>
      </c>
    </row>
    <row r="13" spans="3:16" x14ac:dyDescent="0.2">
      <c r="C13" s="6" t="s">
        <v>105</v>
      </c>
      <c r="D13" s="47">
        <v>6.7000000000000004E-2</v>
      </c>
      <c r="E13" s="45">
        <v>0.111</v>
      </c>
      <c r="F13" s="46">
        <v>3.5999999999999997E-2</v>
      </c>
      <c r="G13" s="45"/>
      <c r="H13" s="6" t="s">
        <v>106</v>
      </c>
      <c r="I13" s="8">
        <v>1.41E-3</v>
      </c>
      <c r="J13" s="8">
        <v>1.39E-3</v>
      </c>
      <c r="K13" s="9">
        <v>1.562E-2</v>
      </c>
      <c r="L13" s="1"/>
      <c r="M13" s="6" t="s">
        <v>107</v>
      </c>
      <c r="N13" s="40">
        <v>57.2</v>
      </c>
      <c r="O13" s="39">
        <v>57.1</v>
      </c>
      <c r="P13" s="13">
        <v>55</v>
      </c>
    </row>
    <row r="14" spans="3:16" x14ac:dyDescent="0.2">
      <c r="C14" s="6" t="s">
        <v>108</v>
      </c>
      <c r="D14" s="47" t="s">
        <v>109</v>
      </c>
      <c r="E14" s="48" t="s">
        <v>110</v>
      </c>
      <c r="F14" s="49" t="s">
        <v>111</v>
      </c>
      <c r="G14" s="48"/>
      <c r="H14" s="6" t="s">
        <v>112</v>
      </c>
      <c r="I14" s="8">
        <v>8.3699999999999996E-4</v>
      </c>
      <c r="J14" s="8">
        <v>1.3699999999999999E-3</v>
      </c>
      <c r="K14" s="9">
        <v>1.5689999999999999E-2</v>
      </c>
      <c r="L14" s="1"/>
      <c r="M14" s="6" t="s">
        <v>113</v>
      </c>
      <c r="N14" s="41">
        <v>0.69</v>
      </c>
      <c r="O14" s="39"/>
      <c r="P14" s="13"/>
    </row>
    <row r="15" spans="3:16" x14ac:dyDescent="0.2">
      <c r="C15" s="6" t="s">
        <v>114</v>
      </c>
      <c r="D15" s="47" t="s">
        <v>115</v>
      </c>
      <c r="E15" s="48" t="s">
        <v>116</v>
      </c>
      <c r="F15" s="49" t="s">
        <v>117</v>
      </c>
      <c r="G15" s="48"/>
      <c r="H15" s="6" t="s">
        <v>118</v>
      </c>
      <c r="I15" s="8">
        <f>I12-I13</f>
        <v>9.5899999999999996E-3</v>
      </c>
      <c r="J15" s="8">
        <f>J12-J13</f>
        <v>4.9100000000000003E-3</v>
      </c>
      <c r="K15" s="9">
        <f>K12-K13</f>
        <v>2.2599999999999999E-3</v>
      </c>
      <c r="L15" s="1"/>
      <c r="M15" s="6" t="s">
        <v>119</v>
      </c>
      <c r="N15" s="41">
        <v>0.25</v>
      </c>
      <c r="O15" s="39"/>
      <c r="P15" s="13"/>
    </row>
    <row r="16" spans="3:16" ht="16" customHeight="1" thickBot="1" x14ac:dyDescent="0.25">
      <c r="C16" s="7" t="s">
        <v>120</v>
      </c>
      <c r="D16" s="50">
        <v>-5.5E-2</v>
      </c>
      <c r="E16" s="51">
        <v>-0.15720000000000001</v>
      </c>
      <c r="F16" s="52">
        <v>-4.1999999999999997E-3</v>
      </c>
      <c r="G16" s="45"/>
      <c r="H16" s="7" t="s">
        <v>28</v>
      </c>
      <c r="I16" s="42">
        <v>90.49</v>
      </c>
      <c r="J16" s="11">
        <v>96.08</v>
      </c>
      <c r="K16" s="12">
        <v>97.23</v>
      </c>
      <c r="L16" s="1"/>
      <c r="M16" s="14"/>
      <c r="N16" s="15"/>
      <c r="O16" s="15"/>
      <c r="P16" s="16"/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V328"/>
  <sheetViews>
    <sheetView zoomScale="150" zoomScaleNormal="150" workbookViewId="0">
      <pane xSplit="2" ySplit="10" topLeftCell="C24" activePane="bottomRight" state="frozen"/>
      <selection activeCell="F145" sqref="F145"/>
      <selection pane="topRight" activeCell="F145" sqref="F145"/>
      <selection pane="bottomLeft" activeCell="F145" sqref="F145"/>
      <selection pane="bottomRight" activeCell="F145" sqref="F145"/>
    </sheetView>
  </sheetViews>
  <sheetFormatPr baseColWidth="10" defaultColWidth="9.1640625" defaultRowHeight="15" x14ac:dyDescent="0.2"/>
  <cols>
    <col min="1" max="1" width="9.1640625" style="62" customWidth="1"/>
    <col min="2" max="2" width="17.83203125" style="43" customWidth="1"/>
    <col min="3" max="27" width="6.1640625" style="43" customWidth="1"/>
    <col min="28" max="28" width="7.33203125" style="43" customWidth="1"/>
    <col min="29" max="29" width="9.1640625" style="62" customWidth="1"/>
    <col min="30" max="30" width="12.33203125" style="62" customWidth="1"/>
    <col min="31" max="31" width="9.1640625" style="62" customWidth="1"/>
    <col min="32" max="32" width="10.6640625" style="62" customWidth="1"/>
    <col min="33" max="33" width="10.6640625" style="62" bestFit="1" customWidth="1"/>
    <col min="34" max="74" width="9.1640625" style="62" customWidth="1"/>
  </cols>
  <sheetData>
    <row r="1" spans="2:36" s="62" customFormat="1" ht="16" customHeight="1" thickBot="1" x14ac:dyDescent="0.25">
      <c r="C1" s="62" t="s">
        <v>57</v>
      </c>
      <c r="D1" s="62" t="s">
        <v>33</v>
      </c>
      <c r="E1" s="62" t="s">
        <v>58</v>
      </c>
      <c r="F1" s="62" t="s">
        <v>59</v>
      </c>
      <c r="G1" s="62" t="s">
        <v>60</v>
      </c>
      <c r="H1" s="62" t="s">
        <v>61</v>
      </c>
      <c r="I1" s="62" t="s">
        <v>62</v>
      </c>
      <c r="J1" s="62" t="s">
        <v>63</v>
      </c>
      <c r="K1" s="62" t="s">
        <v>64</v>
      </c>
      <c r="L1" s="62" t="s">
        <v>65</v>
      </c>
      <c r="M1" s="62" t="s">
        <v>66</v>
      </c>
      <c r="N1" s="62" t="s">
        <v>67</v>
      </c>
      <c r="O1" s="62" t="s">
        <v>68</v>
      </c>
      <c r="P1" s="62" t="s">
        <v>69</v>
      </c>
      <c r="Q1" s="62" t="s">
        <v>70</v>
      </c>
      <c r="R1" s="62" t="s">
        <v>71</v>
      </c>
      <c r="S1" s="62" t="s">
        <v>72</v>
      </c>
      <c r="T1" s="62" t="s">
        <v>73</v>
      </c>
      <c r="U1" s="62" t="s">
        <v>74</v>
      </c>
      <c r="V1" s="62" t="s">
        <v>75</v>
      </c>
      <c r="W1" s="62" t="s">
        <v>76</v>
      </c>
      <c r="X1" s="62" t="s">
        <v>77</v>
      </c>
      <c r="Y1" s="62" t="s">
        <v>78</v>
      </c>
      <c r="Z1" s="62" t="s">
        <v>79</v>
      </c>
      <c r="AA1" s="62" t="s">
        <v>80</v>
      </c>
      <c r="AB1" s="62" t="s">
        <v>81</v>
      </c>
      <c r="AD1" s="20"/>
      <c r="AG1" s="21"/>
      <c r="AJ1" s="19"/>
    </row>
    <row r="2" spans="2:36" ht="72.75" customHeight="1" thickBot="1" x14ac:dyDescent="0.25">
      <c r="B2" s="22"/>
      <c r="C2" s="23" t="s">
        <v>57</v>
      </c>
      <c r="D2" s="23" t="s">
        <v>121</v>
      </c>
      <c r="E2" s="23" t="s">
        <v>58</v>
      </c>
      <c r="F2" s="23" t="s">
        <v>122</v>
      </c>
      <c r="G2" s="23" t="s">
        <v>123</v>
      </c>
      <c r="H2" s="23" t="s">
        <v>124</v>
      </c>
      <c r="I2" s="23" t="s">
        <v>125</v>
      </c>
      <c r="J2" s="23" t="s">
        <v>126</v>
      </c>
      <c r="K2" s="23" t="s">
        <v>64</v>
      </c>
      <c r="L2" s="23" t="s">
        <v>127</v>
      </c>
      <c r="M2" s="23" t="s">
        <v>128</v>
      </c>
      <c r="N2" s="23" t="s">
        <v>129</v>
      </c>
      <c r="O2" s="23" t="s">
        <v>130</v>
      </c>
      <c r="P2" s="23" t="s">
        <v>131</v>
      </c>
      <c r="Q2" s="23" t="s">
        <v>132</v>
      </c>
      <c r="R2" s="23" t="s">
        <v>133</v>
      </c>
      <c r="S2" s="23" t="s">
        <v>134</v>
      </c>
      <c r="T2" s="24" t="s">
        <v>135</v>
      </c>
      <c r="U2" s="23" t="s">
        <v>136</v>
      </c>
      <c r="V2" s="23" t="s">
        <v>137</v>
      </c>
      <c r="W2" s="23" t="s">
        <v>138</v>
      </c>
      <c r="X2" s="23" t="s">
        <v>139</v>
      </c>
      <c r="Y2" s="23" t="s">
        <v>140</v>
      </c>
      <c r="Z2" s="23" t="s">
        <v>141</v>
      </c>
      <c r="AA2" s="23" t="s">
        <v>142</v>
      </c>
      <c r="AB2" s="25" t="s">
        <v>143</v>
      </c>
      <c r="AG2" s="26"/>
    </row>
    <row r="3" spans="2:36" ht="16" hidden="1" customHeight="1" thickBot="1" x14ac:dyDescent="0.25">
      <c r="B3" s="27" t="s">
        <v>144</v>
      </c>
      <c r="C3" s="53">
        <v>53.5</v>
      </c>
      <c r="D3" s="53">
        <v>61.3</v>
      </c>
      <c r="E3" s="53">
        <v>56.5</v>
      </c>
      <c r="F3" s="53">
        <v>51.6</v>
      </c>
      <c r="G3" s="53">
        <v>60.6</v>
      </c>
      <c r="H3" s="53">
        <v>54.8</v>
      </c>
      <c r="I3" s="53">
        <v>63.3</v>
      </c>
      <c r="J3" s="53">
        <v>58.8</v>
      </c>
      <c r="K3" s="53">
        <v>56</v>
      </c>
      <c r="L3" s="53">
        <v>59</v>
      </c>
      <c r="M3" s="53">
        <v>56</v>
      </c>
      <c r="N3" s="53">
        <v>53.4</v>
      </c>
      <c r="O3" s="53">
        <v>52.6</v>
      </c>
      <c r="P3" s="53">
        <v>52.6</v>
      </c>
      <c r="Q3" s="53">
        <v>54.7</v>
      </c>
      <c r="R3" s="53">
        <v>57.1</v>
      </c>
      <c r="S3" s="53">
        <v>63.1</v>
      </c>
      <c r="T3" s="53">
        <v>51.9</v>
      </c>
      <c r="U3" s="53">
        <v>51.3</v>
      </c>
      <c r="V3" s="53">
        <v>56.9</v>
      </c>
      <c r="W3" s="53">
        <v>56.1</v>
      </c>
      <c r="X3" s="53">
        <v>59.1</v>
      </c>
      <c r="Y3" s="53">
        <v>55.7</v>
      </c>
      <c r="Z3" s="53">
        <v>59.8</v>
      </c>
      <c r="AA3" s="53">
        <v>55</v>
      </c>
      <c r="AB3" s="54">
        <v>70.75</v>
      </c>
      <c r="AF3" s="62" t="s">
        <v>145</v>
      </c>
      <c r="AG3" s="26">
        <v>43313</v>
      </c>
    </row>
    <row r="4" spans="2:36" ht="16" hidden="1" customHeight="1" thickBot="1" x14ac:dyDescent="0.25">
      <c r="B4" s="27" t="s">
        <v>146</v>
      </c>
      <c r="C4" s="53">
        <v>50.6</v>
      </c>
      <c r="D4" s="53">
        <v>57.3</v>
      </c>
      <c r="E4" s="53">
        <v>54.5</v>
      </c>
      <c r="F4" s="53">
        <v>50</v>
      </c>
      <c r="G4" s="53">
        <v>51.8</v>
      </c>
      <c r="H4" s="53">
        <v>52.2</v>
      </c>
      <c r="I4" s="53">
        <v>51.8</v>
      </c>
      <c r="J4" s="53">
        <v>50.8</v>
      </c>
      <c r="K4" s="53">
        <v>51.1</v>
      </c>
      <c r="L4" s="53">
        <v>48.6</v>
      </c>
      <c r="M4" s="53">
        <v>51.4</v>
      </c>
      <c r="N4" s="53">
        <v>49.8</v>
      </c>
      <c r="O4" s="53">
        <v>49.7</v>
      </c>
      <c r="P4" s="53">
        <v>48.1</v>
      </c>
      <c r="Q4" s="53">
        <v>51</v>
      </c>
      <c r="R4" s="53">
        <v>53.9</v>
      </c>
      <c r="S4" s="53">
        <v>51.3</v>
      </c>
      <c r="T4" s="53">
        <v>49.3</v>
      </c>
      <c r="U4" s="53">
        <v>48.3</v>
      </c>
      <c r="V4" s="53">
        <v>48.4</v>
      </c>
      <c r="W4" s="53">
        <v>52.9</v>
      </c>
      <c r="X4" s="53">
        <v>54.1</v>
      </c>
      <c r="Y4" s="53">
        <v>42.7</v>
      </c>
      <c r="Z4" s="53">
        <v>51.8</v>
      </c>
      <c r="AA4" s="53">
        <v>49.5</v>
      </c>
      <c r="AB4" s="54">
        <v>47.78</v>
      </c>
    </row>
    <row r="5" spans="2:36" ht="16" hidden="1" customHeight="1" thickBot="1" x14ac:dyDescent="0.25">
      <c r="B5" s="27" t="s">
        <v>147</v>
      </c>
      <c r="C5" s="55">
        <v>52.275000000000013</v>
      </c>
      <c r="D5" s="55">
        <v>59.241666666666667</v>
      </c>
      <c r="E5" s="55">
        <v>55.516666666666659</v>
      </c>
      <c r="F5" s="55">
        <v>50.875000000000007</v>
      </c>
      <c r="G5" s="55">
        <v>55.725000000000001</v>
      </c>
      <c r="H5" s="55">
        <v>53.174999999999997</v>
      </c>
      <c r="I5" s="55">
        <v>57.066666666666663</v>
      </c>
      <c r="J5" s="55">
        <v>54.125</v>
      </c>
      <c r="K5" s="55">
        <v>54.024999999999999</v>
      </c>
      <c r="L5" s="55">
        <v>53.1</v>
      </c>
      <c r="M5" s="55">
        <v>53.724999999999987</v>
      </c>
      <c r="N5" s="55">
        <v>51.608333333333341</v>
      </c>
      <c r="O5" s="55">
        <v>51.491666666666681</v>
      </c>
      <c r="P5" s="55">
        <v>50.533333333333331</v>
      </c>
      <c r="Q5" s="55">
        <v>52.45000000000001</v>
      </c>
      <c r="R5" s="55">
        <v>55.666666666666657</v>
      </c>
      <c r="S5" s="55">
        <v>57.166666666666657</v>
      </c>
      <c r="T5" s="55">
        <v>50.741666666666667</v>
      </c>
      <c r="U5" s="55">
        <v>49.68333333333333</v>
      </c>
      <c r="V5" s="55">
        <v>53.458333333333343</v>
      </c>
      <c r="W5" s="55">
        <v>54.008333333333333</v>
      </c>
      <c r="X5" s="55">
        <v>56.224999999999987</v>
      </c>
      <c r="Y5" s="55">
        <v>48.93333333333333</v>
      </c>
      <c r="Z5" s="55">
        <v>56.18333333333333</v>
      </c>
      <c r="AA5" s="55">
        <v>52.758333333333333</v>
      </c>
      <c r="AB5" s="56">
        <v>58.738333333333337</v>
      </c>
    </row>
    <row r="6" spans="2:36" x14ac:dyDescent="0.2">
      <c r="B6" s="28" t="s">
        <v>148</v>
      </c>
      <c r="C6" s="57" t="s">
        <v>149</v>
      </c>
      <c r="D6" s="58" t="s">
        <v>149</v>
      </c>
      <c r="E6" s="58" t="s">
        <v>149</v>
      </c>
      <c r="F6" s="58" t="s">
        <v>149</v>
      </c>
      <c r="G6" s="58" t="s">
        <v>150</v>
      </c>
      <c r="H6" s="58" t="s">
        <v>150</v>
      </c>
      <c r="I6" s="58" t="s">
        <v>149</v>
      </c>
      <c r="J6" s="58" t="s">
        <v>150</v>
      </c>
      <c r="K6" s="58" t="s">
        <v>149</v>
      </c>
      <c r="L6" s="58" t="s">
        <v>150</v>
      </c>
      <c r="M6" s="58" t="s">
        <v>150</v>
      </c>
      <c r="N6" s="58" t="s">
        <v>149</v>
      </c>
      <c r="O6" s="58" t="s">
        <v>150</v>
      </c>
      <c r="P6" s="58" t="s">
        <v>150</v>
      </c>
      <c r="Q6" s="58" t="s">
        <v>149</v>
      </c>
      <c r="R6" s="58" t="s">
        <v>149</v>
      </c>
      <c r="S6" s="58" t="s">
        <v>150</v>
      </c>
      <c r="T6" s="58" t="s">
        <v>149</v>
      </c>
      <c r="U6" s="58" t="s">
        <v>149</v>
      </c>
      <c r="V6" s="58" t="s">
        <v>149</v>
      </c>
      <c r="W6" s="58" t="s">
        <v>150</v>
      </c>
      <c r="X6" s="58" t="s">
        <v>149</v>
      </c>
      <c r="Y6" s="58" t="s">
        <v>149</v>
      </c>
      <c r="Z6" s="58" t="s">
        <v>149</v>
      </c>
      <c r="AA6" s="58" t="s">
        <v>150</v>
      </c>
      <c r="AB6" s="59" t="s">
        <v>150</v>
      </c>
    </row>
    <row r="7" spans="2:36" x14ac:dyDescent="0.2">
      <c r="B7" s="28" t="s">
        <v>151</v>
      </c>
      <c r="C7" s="60">
        <v>3.6999999999999962</v>
      </c>
      <c r="D7" s="53">
        <v>12.900000000000009</v>
      </c>
      <c r="E7" s="53">
        <v>4.7000000000000028</v>
      </c>
      <c r="F7" s="53">
        <v>1.5</v>
      </c>
      <c r="G7" s="53">
        <v>8.9000000000000057</v>
      </c>
      <c r="H7" s="53">
        <v>1.600000000000001</v>
      </c>
      <c r="I7" s="53">
        <v>14.599999999999991</v>
      </c>
      <c r="J7" s="53">
        <v>0.70000000000000284</v>
      </c>
      <c r="K7" s="53">
        <v>10</v>
      </c>
      <c r="L7" s="53">
        <v>6.5999999999999943</v>
      </c>
      <c r="M7" s="53">
        <v>3.600000000000001</v>
      </c>
      <c r="N7" s="53">
        <v>11.3</v>
      </c>
      <c r="O7" s="53">
        <v>-4.7000000000000028</v>
      </c>
      <c r="P7" s="53">
        <v>2.2000000000000028</v>
      </c>
      <c r="Q7" s="53">
        <v>3.6999999999999962</v>
      </c>
      <c r="R7" s="53">
        <v>7.5</v>
      </c>
      <c r="S7" s="53">
        <v>-48.3</v>
      </c>
      <c r="T7" s="53">
        <v>1.7999999999999969</v>
      </c>
      <c r="U7" s="53">
        <v>2.7999999999999972</v>
      </c>
      <c r="V7" s="53">
        <v>8.6000000000000014</v>
      </c>
      <c r="W7" s="53">
        <v>-7</v>
      </c>
      <c r="X7" s="53">
        <v>7.7000000000000028</v>
      </c>
      <c r="Y7" s="53">
        <v>1.2999999999999969</v>
      </c>
      <c r="Z7" s="53">
        <v>13.4</v>
      </c>
      <c r="AA7" s="53">
        <v>3.7000000000000028</v>
      </c>
      <c r="AB7" s="54">
        <v>-8.8000000000000043</v>
      </c>
    </row>
    <row r="8" spans="2:36" x14ac:dyDescent="0.2">
      <c r="B8" s="28" t="s">
        <v>152</v>
      </c>
      <c r="C8" s="60">
        <v>0</v>
      </c>
      <c r="D8" s="53">
        <v>3.2000000000000028</v>
      </c>
      <c r="E8" s="53">
        <v>0.39999999999999858</v>
      </c>
      <c r="F8" s="53">
        <v>-1.899999999999999</v>
      </c>
      <c r="G8" s="53">
        <v>1.4000000000000059</v>
      </c>
      <c r="H8" s="53">
        <v>1</v>
      </c>
      <c r="I8" s="53">
        <v>0.5</v>
      </c>
      <c r="J8" s="53">
        <v>1.5</v>
      </c>
      <c r="K8" s="53">
        <v>1.899999999999999</v>
      </c>
      <c r="L8" s="53">
        <v>1.2999999999999969</v>
      </c>
      <c r="M8" s="53">
        <v>1.2000000000000031</v>
      </c>
      <c r="N8" s="53">
        <v>-2.5</v>
      </c>
      <c r="O8" s="53">
        <v>-1.300000000000004</v>
      </c>
      <c r="P8" s="53">
        <v>3.4000000000000061</v>
      </c>
      <c r="Q8" s="53">
        <v>0.10000000000000139</v>
      </c>
      <c r="R8" s="53">
        <v>2.100000000000001</v>
      </c>
      <c r="S8" s="53">
        <v>-52.1</v>
      </c>
      <c r="T8" s="53">
        <v>0.69999999999999574</v>
      </c>
      <c r="U8" s="53">
        <v>0</v>
      </c>
      <c r="V8" s="53">
        <v>2.5</v>
      </c>
      <c r="W8" s="53">
        <v>4.6000000000000014</v>
      </c>
      <c r="X8" s="53">
        <v>5</v>
      </c>
      <c r="Y8" s="53">
        <v>-0.60000000000000142</v>
      </c>
      <c r="Z8" s="53">
        <v>3.100000000000001</v>
      </c>
      <c r="AA8" s="53">
        <v>0.90000000000000568</v>
      </c>
      <c r="AB8" s="54">
        <v>-5.8000000000000043</v>
      </c>
    </row>
    <row r="9" spans="2:36" ht="66.75" customHeight="1" x14ac:dyDescent="0.2">
      <c r="B9" s="29" t="s">
        <v>153</v>
      </c>
      <c r="C9" s="30" t="s">
        <v>154</v>
      </c>
      <c r="D9" s="31" t="s">
        <v>154</v>
      </c>
      <c r="E9" s="31" t="s">
        <v>154</v>
      </c>
      <c r="F9" s="31" t="s">
        <v>154</v>
      </c>
      <c r="G9" s="31" t="s">
        <v>154</v>
      </c>
      <c r="H9" s="31" t="s">
        <v>155</v>
      </c>
      <c r="I9" s="31" t="s">
        <v>154</v>
      </c>
      <c r="J9" s="31" t="s">
        <v>154</v>
      </c>
      <c r="K9" s="31" t="s">
        <v>154</v>
      </c>
      <c r="L9" s="31" t="s">
        <v>154</v>
      </c>
      <c r="M9" s="31" t="s">
        <v>154</v>
      </c>
      <c r="N9" s="31" t="s">
        <v>154</v>
      </c>
      <c r="O9" s="31" t="s">
        <v>155</v>
      </c>
      <c r="P9" s="31" t="s">
        <v>155</v>
      </c>
      <c r="Q9" s="31" t="s">
        <v>154</v>
      </c>
      <c r="R9" s="31" t="s">
        <v>154</v>
      </c>
      <c r="S9" s="31" t="s">
        <v>155</v>
      </c>
      <c r="T9" s="31" t="s">
        <v>154</v>
      </c>
      <c r="U9" s="31" t="s">
        <v>154</v>
      </c>
      <c r="V9" s="31" t="s">
        <v>154</v>
      </c>
      <c r="W9" s="31" t="s">
        <v>155</v>
      </c>
      <c r="X9" s="31" t="s">
        <v>154</v>
      </c>
      <c r="Y9" s="31" t="s">
        <v>154</v>
      </c>
      <c r="Z9" s="31" t="s">
        <v>154</v>
      </c>
      <c r="AA9" s="31" t="s">
        <v>154</v>
      </c>
      <c r="AB9" s="32" t="s">
        <v>155</v>
      </c>
    </row>
    <row r="10" spans="2:36" ht="26.25" customHeight="1" thickBot="1" x14ac:dyDescent="0.25">
      <c r="B10" s="33" t="s">
        <v>156</v>
      </c>
      <c r="C10" s="34" t="s">
        <v>157</v>
      </c>
      <c r="D10" s="35" t="s">
        <v>158</v>
      </c>
      <c r="E10" s="35" t="s">
        <v>158</v>
      </c>
      <c r="F10" s="35" t="s">
        <v>157</v>
      </c>
      <c r="G10" s="35" t="s">
        <v>158</v>
      </c>
      <c r="H10" s="35" t="s">
        <v>158</v>
      </c>
      <c r="I10" s="35" t="s">
        <v>158</v>
      </c>
      <c r="J10" s="35" t="s">
        <v>158</v>
      </c>
      <c r="K10" s="35" t="s">
        <v>158</v>
      </c>
      <c r="L10" s="35" t="s">
        <v>158</v>
      </c>
      <c r="M10" s="35" t="s">
        <v>158</v>
      </c>
      <c r="N10" s="35" t="s">
        <v>157</v>
      </c>
      <c r="O10" s="35" t="s">
        <v>157</v>
      </c>
      <c r="P10" s="35" t="s">
        <v>158</v>
      </c>
      <c r="Q10" s="35" t="s">
        <v>158</v>
      </c>
      <c r="R10" s="35" t="s">
        <v>158</v>
      </c>
      <c r="S10" s="35" t="s">
        <v>157</v>
      </c>
      <c r="T10" s="35" t="s">
        <v>158</v>
      </c>
      <c r="U10" s="35" t="s">
        <v>157</v>
      </c>
      <c r="V10" s="35" t="s">
        <v>158</v>
      </c>
      <c r="W10" s="35" t="s">
        <v>158</v>
      </c>
      <c r="X10" s="35" t="s">
        <v>158</v>
      </c>
      <c r="Y10" s="35" t="s">
        <v>157</v>
      </c>
      <c r="Z10" s="35" t="s">
        <v>158</v>
      </c>
      <c r="AA10" s="35" t="s">
        <v>158</v>
      </c>
      <c r="AB10" s="36" t="s">
        <v>157</v>
      </c>
    </row>
    <row r="11" spans="2:36" ht="26.25" customHeight="1" x14ac:dyDescent="0.2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</row>
    <row r="12" spans="2:36" x14ac:dyDescent="0.2">
      <c r="B12" s="37">
        <v>42887</v>
      </c>
      <c r="C12" s="61">
        <v>52.6</v>
      </c>
      <c r="D12" s="61">
        <v>56.7</v>
      </c>
      <c r="E12" s="61">
        <v>52</v>
      </c>
      <c r="F12" s="61">
        <v>50.4</v>
      </c>
      <c r="G12" s="61">
        <v>57.4</v>
      </c>
      <c r="H12" s="61">
        <v>52.4</v>
      </c>
      <c r="I12" s="61">
        <v>59.6</v>
      </c>
      <c r="J12" s="61">
        <v>54.8</v>
      </c>
      <c r="K12" s="61">
        <v>54.4</v>
      </c>
      <c r="L12" s="61">
        <v>55.2</v>
      </c>
      <c r="M12" s="61">
        <v>54.7</v>
      </c>
      <c r="N12" s="61">
        <v>50.5</v>
      </c>
      <c r="O12" s="61">
        <v>52.3</v>
      </c>
      <c r="P12" s="61">
        <v>50.3</v>
      </c>
      <c r="Q12" s="61">
        <v>50.9</v>
      </c>
      <c r="R12" s="61">
        <v>54.7</v>
      </c>
      <c r="S12" s="61">
        <v>55</v>
      </c>
      <c r="T12" s="61">
        <v>49.5</v>
      </c>
      <c r="U12" s="61">
        <v>50.1</v>
      </c>
      <c r="V12" s="61">
        <v>53.3</v>
      </c>
      <c r="W12" s="61">
        <v>50.5</v>
      </c>
      <c r="X12" s="61">
        <v>56</v>
      </c>
      <c r="Y12" s="61">
        <v>54.7</v>
      </c>
      <c r="Z12" s="61">
        <v>56.4</v>
      </c>
      <c r="AA12" s="61">
        <v>53.1</v>
      </c>
      <c r="AB12" s="61">
        <v>63.61</v>
      </c>
    </row>
    <row r="13" spans="2:36" x14ac:dyDescent="0.2">
      <c r="B13" s="37">
        <v>42917</v>
      </c>
      <c r="C13" s="61">
        <v>52.8</v>
      </c>
      <c r="D13" s="61">
        <v>56.5</v>
      </c>
      <c r="E13" s="61">
        <v>53.3</v>
      </c>
      <c r="F13" s="61">
        <v>51.1</v>
      </c>
      <c r="G13" s="61">
        <v>56.6</v>
      </c>
      <c r="H13" s="61">
        <v>52.1</v>
      </c>
      <c r="I13" s="61">
        <v>58.1</v>
      </c>
      <c r="J13" s="61">
        <v>54.9</v>
      </c>
      <c r="K13" s="61">
        <v>55.3</v>
      </c>
      <c r="L13" s="61">
        <v>55.1</v>
      </c>
      <c r="M13" s="61">
        <v>54</v>
      </c>
      <c r="N13" s="61">
        <v>50</v>
      </c>
      <c r="O13" s="61">
        <v>51.2</v>
      </c>
      <c r="P13" s="61">
        <v>52.7</v>
      </c>
      <c r="Q13" s="61">
        <v>47.9</v>
      </c>
      <c r="R13" s="61">
        <v>55.5</v>
      </c>
      <c r="S13" s="61">
        <v>56</v>
      </c>
      <c r="T13" s="61">
        <v>48.6</v>
      </c>
      <c r="U13" s="61">
        <v>49.1</v>
      </c>
      <c r="V13" s="61">
        <v>53.6</v>
      </c>
      <c r="W13" s="61">
        <v>50.5</v>
      </c>
      <c r="X13" s="61">
        <v>54.6</v>
      </c>
      <c r="Y13" s="61">
        <v>53.6</v>
      </c>
      <c r="Z13" s="61">
        <v>55.3</v>
      </c>
      <c r="AA13" s="61">
        <v>52.3</v>
      </c>
      <c r="AB13" s="61">
        <v>63.72</v>
      </c>
    </row>
    <row r="14" spans="2:36" x14ac:dyDescent="0.2">
      <c r="B14" s="37">
        <v>42948</v>
      </c>
      <c r="C14" s="61">
        <v>53.2</v>
      </c>
      <c r="D14" s="61">
        <v>59.3</v>
      </c>
      <c r="E14" s="61">
        <v>52.8</v>
      </c>
      <c r="F14" s="61">
        <v>51.6</v>
      </c>
      <c r="G14" s="61">
        <v>57.4</v>
      </c>
      <c r="H14" s="61">
        <v>52.2</v>
      </c>
      <c r="I14" s="61">
        <v>59.3</v>
      </c>
      <c r="J14" s="61">
        <v>55.8</v>
      </c>
      <c r="K14" s="61">
        <v>56.8</v>
      </c>
      <c r="L14" s="61">
        <v>56.3</v>
      </c>
      <c r="M14" s="61">
        <v>52.4</v>
      </c>
      <c r="N14" s="61">
        <v>50.9</v>
      </c>
      <c r="O14" s="61">
        <v>52.2</v>
      </c>
      <c r="P14" s="61">
        <v>51.6</v>
      </c>
      <c r="Q14" s="61">
        <v>51.2</v>
      </c>
      <c r="R14" s="61">
        <v>54.6</v>
      </c>
      <c r="S14" s="61">
        <v>59.8</v>
      </c>
      <c r="T14" s="61">
        <v>50.7</v>
      </c>
      <c r="U14" s="61">
        <v>49.9</v>
      </c>
      <c r="V14" s="61">
        <v>54.3</v>
      </c>
      <c r="W14" s="61">
        <v>52.2</v>
      </c>
      <c r="X14" s="61">
        <v>56.1</v>
      </c>
      <c r="Y14" s="61">
        <v>55.3</v>
      </c>
      <c r="Z14" s="61">
        <v>54.9</v>
      </c>
      <c r="AA14" s="61">
        <v>52.5</v>
      </c>
      <c r="AB14" s="61">
        <v>60.57</v>
      </c>
    </row>
    <row r="15" spans="2:36" x14ac:dyDescent="0.2">
      <c r="B15" s="37">
        <v>42979</v>
      </c>
      <c r="C15" s="61">
        <v>53.3</v>
      </c>
      <c r="D15" s="61">
        <v>60.2</v>
      </c>
      <c r="E15" s="61">
        <v>53.1</v>
      </c>
      <c r="F15" s="61">
        <v>51</v>
      </c>
      <c r="G15" s="61">
        <v>58.1</v>
      </c>
      <c r="H15" s="61">
        <v>52.9</v>
      </c>
      <c r="I15" s="61">
        <v>60.6</v>
      </c>
      <c r="J15" s="61">
        <v>56.1</v>
      </c>
      <c r="K15" s="61">
        <v>56</v>
      </c>
      <c r="L15" s="61">
        <v>56.3</v>
      </c>
      <c r="M15" s="61">
        <v>54.3</v>
      </c>
      <c r="N15" s="61">
        <v>50.9</v>
      </c>
      <c r="O15" s="61">
        <v>52.8</v>
      </c>
      <c r="P15" s="61">
        <v>51.9</v>
      </c>
      <c r="Q15" s="61">
        <v>51.2</v>
      </c>
      <c r="R15" s="61">
        <v>55</v>
      </c>
      <c r="S15" s="61">
        <v>54.2</v>
      </c>
      <c r="T15" s="61">
        <v>50.4</v>
      </c>
      <c r="U15" s="61">
        <v>50.6</v>
      </c>
      <c r="V15" s="61">
        <v>54.2</v>
      </c>
      <c r="W15" s="61">
        <v>52.8</v>
      </c>
      <c r="X15" s="61">
        <v>55.4</v>
      </c>
      <c r="Y15" s="61">
        <v>53.5</v>
      </c>
      <c r="Z15" s="61">
        <v>56.6</v>
      </c>
      <c r="AA15" s="61">
        <v>53.7</v>
      </c>
      <c r="AB15" s="61">
        <v>61.78</v>
      </c>
    </row>
    <row r="16" spans="2:36" x14ac:dyDescent="0.2">
      <c r="B16" s="37">
        <v>43009</v>
      </c>
      <c r="C16" s="61">
        <v>53.5</v>
      </c>
      <c r="D16" s="61">
        <v>58.5</v>
      </c>
      <c r="E16" s="61">
        <v>54.6</v>
      </c>
      <c r="F16" s="61">
        <v>51</v>
      </c>
      <c r="G16" s="61">
        <v>58.5</v>
      </c>
      <c r="H16" s="61">
        <v>52.8</v>
      </c>
      <c r="I16" s="61">
        <v>60.6</v>
      </c>
      <c r="J16" s="61">
        <v>56.1</v>
      </c>
      <c r="K16" s="61">
        <v>56.2</v>
      </c>
      <c r="L16" s="61">
        <v>57.8</v>
      </c>
      <c r="M16" s="61">
        <v>55.8</v>
      </c>
      <c r="N16" s="61">
        <v>51.2</v>
      </c>
      <c r="O16" s="61">
        <v>49.2</v>
      </c>
      <c r="P16" s="61">
        <v>51.1</v>
      </c>
      <c r="Q16" s="61">
        <v>50.3</v>
      </c>
      <c r="R16" s="61">
        <v>54.3</v>
      </c>
      <c r="S16" s="61">
        <v>51.1</v>
      </c>
      <c r="T16" s="61">
        <v>50.1</v>
      </c>
      <c r="U16" s="61">
        <v>50.2</v>
      </c>
      <c r="V16" s="61">
        <v>53.6</v>
      </c>
      <c r="W16" s="61">
        <v>52.1</v>
      </c>
      <c r="X16" s="61">
        <v>54.4</v>
      </c>
      <c r="Y16" s="61">
        <v>52.8</v>
      </c>
      <c r="Z16" s="61">
        <v>58.5</v>
      </c>
      <c r="AA16" s="61">
        <v>53.4</v>
      </c>
      <c r="AB16" s="61">
        <v>58.57</v>
      </c>
    </row>
    <row r="17" spans="2:28" x14ac:dyDescent="0.2">
      <c r="B17" s="37">
        <v>43040</v>
      </c>
      <c r="C17" s="61">
        <v>54.1</v>
      </c>
      <c r="D17" s="61">
        <v>58.2</v>
      </c>
      <c r="E17" s="61">
        <v>53.9</v>
      </c>
      <c r="F17" s="61">
        <v>50.8</v>
      </c>
      <c r="G17" s="61">
        <v>60.1</v>
      </c>
      <c r="H17" s="61">
        <v>53.6</v>
      </c>
      <c r="I17" s="61">
        <v>62.5</v>
      </c>
      <c r="J17" s="61">
        <v>57.7</v>
      </c>
      <c r="K17" s="61">
        <v>58.3</v>
      </c>
      <c r="L17" s="61">
        <v>58.3</v>
      </c>
      <c r="M17" s="61">
        <v>56.1</v>
      </c>
      <c r="N17" s="61">
        <v>53.5</v>
      </c>
      <c r="O17" s="61">
        <v>52.4</v>
      </c>
      <c r="P17" s="61">
        <v>51.5</v>
      </c>
      <c r="Q17" s="61">
        <v>52.6</v>
      </c>
      <c r="R17" s="61">
        <v>54.4</v>
      </c>
      <c r="S17" s="61">
        <v>57.3</v>
      </c>
      <c r="T17" s="61">
        <v>50.4</v>
      </c>
      <c r="U17" s="61">
        <v>51.2</v>
      </c>
      <c r="V17" s="61">
        <v>56.3</v>
      </c>
      <c r="W17" s="61">
        <v>52.2</v>
      </c>
      <c r="X17" s="61">
        <v>58.1</v>
      </c>
      <c r="Y17" s="61">
        <v>52.9</v>
      </c>
      <c r="Z17" s="61">
        <v>58.7</v>
      </c>
      <c r="AA17" s="61">
        <v>54.2</v>
      </c>
      <c r="AB17" s="61">
        <v>58.31</v>
      </c>
    </row>
    <row r="18" spans="2:28" x14ac:dyDescent="0.2">
      <c r="B18" s="37">
        <v>43070</v>
      </c>
      <c r="C18" s="61">
        <v>54.5</v>
      </c>
      <c r="D18" s="61">
        <v>59.3</v>
      </c>
      <c r="E18" s="61">
        <v>55.1</v>
      </c>
      <c r="F18" s="61">
        <v>51.5</v>
      </c>
      <c r="G18" s="61">
        <v>60.6</v>
      </c>
      <c r="H18" s="61">
        <v>54</v>
      </c>
      <c r="I18" s="61">
        <v>63.3</v>
      </c>
      <c r="J18" s="61">
        <v>58.8</v>
      </c>
      <c r="K18" s="61">
        <v>56</v>
      </c>
      <c r="L18" s="61">
        <v>57.4</v>
      </c>
      <c r="M18" s="61">
        <v>55.8</v>
      </c>
      <c r="N18" s="61">
        <v>52.4</v>
      </c>
      <c r="O18" s="61">
        <v>51.7</v>
      </c>
      <c r="P18" s="61">
        <v>52</v>
      </c>
      <c r="Q18" s="61">
        <v>54.7</v>
      </c>
      <c r="R18" s="61">
        <v>54.7</v>
      </c>
      <c r="S18" s="61">
        <v>56.2</v>
      </c>
      <c r="T18" s="61">
        <v>49.3</v>
      </c>
      <c r="U18" s="61">
        <v>49.9</v>
      </c>
      <c r="V18" s="61">
        <v>56.6</v>
      </c>
      <c r="W18" s="61">
        <v>53.1</v>
      </c>
      <c r="X18" s="61">
        <v>59.1</v>
      </c>
      <c r="Y18" s="61">
        <v>54.9</v>
      </c>
      <c r="Z18" s="61">
        <v>59.8</v>
      </c>
      <c r="AA18" s="61">
        <v>55</v>
      </c>
      <c r="AB18" s="61">
        <v>61.04</v>
      </c>
    </row>
    <row r="19" spans="2:28" x14ac:dyDescent="0.2">
      <c r="B19" s="37">
        <v>43101</v>
      </c>
      <c r="C19" s="61">
        <v>54.4</v>
      </c>
      <c r="D19" s="61">
        <v>59.1</v>
      </c>
      <c r="E19" s="61">
        <v>55.5</v>
      </c>
      <c r="F19" s="61">
        <v>51.6</v>
      </c>
      <c r="G19" s="61">
        <v>59.6</v>
      </c>
      <c r="H19" s="61">
        <v>54.8</v>
      </c>
      <c r="I19" s="61">
        <v>61.1</v>
      </c>
      <c r="J19" s="61">
        <v>58.4</v>
      </c>
      <c r="K19" s="61">
        <v>55</v>
      </c>
      <c r="L19" s="61">
        <v>59</v>
      </c>
      <c r="M19" s="61">
        <v>55.2</v>
      </c>
      <c r="N19" s="61">
        <v>51.2</v>
      </c>
      <c r="O19" s="61">
        <v>52.6</v>
      </c>
      <c r="P19" s="61">
        <v>52.1</v>
      </c>
      <c r="Q19" s="61">
        <v>52.4</v>
      </c>
      <c r="R19" s="61">
        <v>55.9</v>
      </c>
      <c r="S19" s="61">
        <v>58.7</v>
      </c>
      <c r="T19" s="61">
        <v>49.9</v>
      </c>
      <c r="U19" s="61">
        <v>50.7</v>
      </c>
      <c r="V19" s="61">
        <v>56.9</v>
      </c>
      <c r="W19" s="61">
        <v>55.2</v>
      </c>
      <c r="X19" s="61">
        <v>57.6</v>
      </c>
      <c r="Y19" s="61">
        <v>55.7</v>
      </c>
      <c r="Z19" s="61">
        <v>59.8</v>
      </c>
      <c r="AA19" s="61">
        <v>54.6</v>
      </c>
      <c r="AB19" s="61">
        <v>66.650000000000006</v>
      </c>
    </row>
    <row r="20" spans="2:28" x14ac:dyDescent="0.2">
      <c r="B20" s="37">
        <v>43132</v>
      </c>
      <c r="C20" s="61">
        <v>54.1</v>
      </c>
      <c r="D20" s="61">
        <v>60.8</v>
      </c>
      <c r="E20" s="61">
        <v>55.3</v>
      </c>
      <c r="F20" s="61">
        <v>51.5</v>
      </c>
      <c r="G20" s="61">
        <v>58.6</v>
      </c>
      <c r="H20" s="61">
        <v>54.1</v>
      </c>
      <c r="I20" s="61">
        <v>60.6</v>
      </c>
      <c r="J20" s="61">
        <v>55.9</v>
      </c>
      <c r="K20" s="61">
        <v>54.9</v>
      </c>
      <c r="L20" s="61">
        <v>56.8</v>
      </c>
      <c r="M20" s="61">
        <v>56</v>
      </c>
      <c r="N20" s="61">
        <v>53.2</v>
      </c>
      <c r="O20" s="61">
        <v>51.6</v>
      </c>
      <c r="P20" s="61">
        <v>50.2</v>
      </c>
      <c r="Q20" s="61">
        <v>52.1</v>
      </c>
      <c r="R20" s="61">
        <v>55.6</v>
      </c>
      <c r="S20" s="61">
        <v>57.5</v>
      </c>
      <c r="T20" s="61">
        <v>51.4</v>
      </c>
      <c r="U20" s="61">
        <v>50.3</v>
      </c>
      <c r="V20" s="61">
        <v>56</v>
      </c>
      <c r="W20" s="61">
        <v>56.1</v>
      </c>
      <c r="X20" s="61">
        <v>56.2</v>
      </c>
      <c r="Y20" s="61">
        <v>55.6</v>
      </c>
      <c r="Z20" s="61">
        <v>58.8</v>
      </c>
      <c r="AA20" s="61">
        <v>53.7</v>
      </c>
      <c r="AB20" s="61">
        <v>70.75</v>
      </c>
    </row>
    <row r="21" spans="2:28" x14ac:dyDescent="0.2">
      <c r="B21" s="37">
        <v>43160</v>
      </c>
      <c r="C21" s="61">
        <v>53.3</v>
      </c>
      <c r="D21" s="61">
        <v>59.3</v>
      </c>
      <c r="E21" s="61">
        <v>55.6</v>
      </c>
      <c r="F21" s="61">
        <v>51</v>
      </c>
      <c r="G21" s="61">
        <v>56.6</v>
      </c>
      <c r="H21" s="61">
        <v>53.2</v>
      </c>
      <c r="I21" s="61">
        <v>58.4</v>
      </c>
      <c r="J21" s="61">
        <v>53.7</v>
      </c>
      <c r="K21" s="61">
        <v>54.9</v>
      </c>
      <c r="L21" s="61">
        <v>55.1</v>
      </c>
      <c r="M21" s="61">
        <v>54.8</v>
      </c>
      <c r="N21" s="61">
        <v>53.4</v>
      </c>
      <c r="O21" s="61">
        <v>52.4</v>
      </c>
      <c r="P21" s="61">
        <v>50.6</v>
      </c>
      <c r="Q21" s="61">
        <v>51</v>
      </c>
      <c r="R21" s="61">
        <v>55.7</v>
      </c>
      <c r="S21" s="61">
        <v>63.1</v>
      </c>
      <c r="T21" s="61">
        <v>50.7</v>
      </c>
      <c r="U21" s="61">
        <v>49.1</v>
      </c>
      <c r="V21" s="61">
        <v>55.3</v>
      </c>
      <c r="W21" s="61">
        <v>55</v>
      </c>
      <c r="X21" s="61">
        <v>54.1</v>
      </c>
      <c r="Y21" s="61">
        <v>51.8</v>
      </c>
      <c r="Z21" s="61">
        <v>57.3</v>
      </c>
      <c r="AA21" s="61">
        <v>53.7</v>
      </c>
      <c r="AB21" s="61">
        <v>61.05</v>
      </c>
    </row>
    <row r="22" spans="2:28" x14ac:dyDescent="0.2">
      <c r="B22" s="37">
        <v>43191</v>
      </c>
      <c r="C22" s="61">
        <v>53.5</v>
      </c>
      <c r="D22" s="61">
        <v>57.3</v>
      </c>
      <c r="E22" s="61">
        <v>56.5</v>
      </c>
      <c r="F22" s="61">
        <v>51.1</v>
      </c>
      <c r="G22" s="61">
        <v>56.2</v>
      </c>
      <c r="H22" s="61">
        <v>53.8</v>
      </c>
      <c r="I22" s="61">
        <v>58.1</v>
      </c>
      <c r="J22" s="61">
        <v>53.8</v>
      </c>
      <c r="K22" s="61">
        <v>53.9</v>
      </c>
      <c r="L22" s="61">
        <v>53.5</v>
      </c>
      <c r="M22" s="61">
        <v>54.4</v>
      </c>
      <c r="N22" s="61">
        <v>52.3</v>
      </c>
      <c r="O22" s="61">
        <v>51.6</v>
      </c>
      <c r="P22" s="61">
        <v>51.3</v>
      </c>
      <c r="Q22" s="61">
        <v>51.6</v>
      </c>
      <c r="R22" s="61">
        <v>55.5</v>
      </c>
      <c r="S22" s="61">
        <v>58.3</v>
      </c>
      <c r="T22" s="61">
        <v>51.6</v>
      </c>
      <c r="U22" s="61">
        <v>48.4</v>
      </c>
      <c r="V22" s="61">
        <v>54.8</v>
      </c>
      <c r="W22" s="61">
        <v>52.9</v>
      </c>
      <c r="X22" s="61">
        <v>55.3</v>
      </c>
      <c r="Y22" s="61">
        <v>48.9</v>
      </c>
      <c r="Z22" s="61">
        <v>57.2</v>
      </c>
      <c r="AA22" s="61">
        <v>53.9</v>
      </c>
      <c r="AB22" s="61">
        <v>54.24</v>
      </c>
    </row>
    <row r="23" spans="2:28" x14ac:dyDescent="0.2">
      <c r="B23" s="37">
        <v>43221</v>
      </c>
      <c r="C23" s="61">
        <v>53.1</v>
      </c>
      <c r="D23" s="61">
        <v>58.7</v>
      </c>
      <c r="E23" s="61">
        <v>56.4</v>
      </c>
      <c r="F23" s="61">
        <v>51.1</v>
      </c>
      <c r="G23" s="61">
        <v>55.5</v>
      </c>
      <c r="H23" s="61">
        <v>52.8</v>
      </c>
      <c r="I23" s="61">
        <v>56.9</v>
      </c>
      <c r="J23" s="61">
        <v>55.1</v>
      </c>
      <c r="K23" s="61">
        <v>54.4</v>
      </c>
      <c r="L23" s="61">
        <v>52.7</v>
      </c>
      <c r="M23" s="61">
        <v>53.4</v>
      </c>
      <c r="N23" s="61">
        <v>50.7</v>
      </c>
      <c r="O23" s="61">
        <v>51</v>
      </c>
      <c r="P23" s="61">
        <v>49.8</v>
      </c>
      <c r="Q23" s="61">
        <v>51.2</v>
      </c>
      <c r="R23" s="61">
        <v>56.2</v>
      </c>
      <c r="S23" s="61">
        <v>57.5</v>
      </c>
      <c r="T23" s="61">
        <v>51.7</v>
      </c>
      <c r="U23" s="61">
        <v>48.9</v>
      </c>
      <c r="V23" s="61">
        <v>53.4</v>
      </c>
      <c r="W23" s="61">
        <v>54.2</v>
      </c>
      <c r="X23" s="61">
        <v>55.4</v>
      </c>
      <c r="Y23" s="61">
        <v>46.4</v>
      </c>
      <c r="Z23" s="61">
        <v>56.5</v>
      </c>
      <c r="AA23" s="61">
        <v>53.3</v>
      </c>
      <c r="AB23" s="61">
        <v>47.78</v>
      </c>
    </row>
    <row r="24" spans="2:28" x14ac:dyDescent="0.2">
      <c r="B24" s="37">
        <v>43252</v>
      </c>
      <c r="C24" s="61">
        <v>53</v>
      </c>
      <c r="D24" s="61">
        <v>60.2</v>
      </c>
      <c r="E24" s="61">
        <v>55.4</v>
      </c>
      <c r="F24" s="61">
        <v>51</v>
      </c>
      <c r="G24" s="61">
        <v>54.9</v>
      </c>
      <c r="H24" s="61">
        <v>53</v>
      </c>
      <c r="I24" s="61">
        <v>55.9</v>
      </c>
      <c r="J24" s="61">
        <v>52.5</v>
      </c>
      <c r="K24" s="61">
        <v>54.4</v>
      </c>
      <c r="L24" s="61">
        <v>53.3</v>
      </c>
      <c r="M24" s="61">
        <v>53.4</v>
      </c>
      <c r="N24" s="61">
        <v>49.8</v>
      </c>
      <c r="O24" s="61">
        <v>52.1</v>
      </c>
      <c r="P24" s="61">
        <v>49.5</v>
      </c>
      <c r="Q24" s="61">
        <v>53.1</v>
      </c>
      <c r="R24" s="61">
        <v>57.1</v>
      </c>
      <c r="S24" s="61">
        <v>57.4</v>
      </c>
      <c r="T24" s="61">
        <v>50.3</v>
      </c>
      <c r="U24" s="61">
        <v>49.8</v>
      </c>
      <c r="V24" s="61">
        <v>54.5</v>
      </c>
      <c r="W24" s="61">
        <v>53.5</v>
      </c>
      <c r="X24" s="61">
        <v>56.6</v>
      </c>
      <c r="Y24" s="61">
        <v>46.8</v>
      </c>
      <c r="Z24" s="61">
        <v>56.8</v>
      </c>
      <c r="AA24" s="61">
        <v>54.2</v>
      </c>
      <c r="AB24" s="61">
        <v>49.8</v>
      </c>
    </row>
    <row r="25" spans="2:28" x14ac:dyDescent="0.2">
      <c r="B25" s="37">
        <v>43282</v>
      </c>
      <c r="C25" s="61">
        <v>52.8</v>
      </c>
      <c r="D25" s="61">
        <v>58.1</v>
      </c>
      <c r="E25" s="61">
        <v>55.3</v>
      </c>
      <c r="F25" s="61">
        <v>50.8</v>
      </c>
      <c r="G25" s="61">
        <v>55.1</v>
      </c>
      <c r="H25" s="61">
        <v>52.3</v>
      </c>
      <c r="I25" s="61">
        <v>56.9</v>
      </c>
      <c r="J25" s="61">
        <v>53.3</v>
      </c>
      <c r="K25" s="61">
        <v>54</v>
      </c>
      <c r="L25" s="61">
        <v>51.5</v>
      </c>
      <c r="M25" s="61">
        <v>52.9</v>
      </c>
      <c r="N25" s="61">
        <v>50.5</v>
      </c>
      <c r="O25" s="61">
        <v>52.1</v>
      </c>
      <c r="P25" s="61">
        <v>48.1</v>
      </c>
      <c r="Q25" s="61">
        <v>52.3</v>
      </c>
      <c r="R25" s="61">
        <v>56.9</v>
      </c>
      <c r="S25" s="61">
        <v>52</v>
      </c>
      <c r="T25" s="61">
        <v>50.5</v>
      </c>
      <c r="U25" s="61">
        <v>48.3</v>
      </c>
      <c r="V25" s="61">
        <v>53.1</v>
      </c>
      <c r="W25" s="61">
        <v>53.5</v>
      </c>
      <c r="X25" s="61">
        <v>56.3</v>
      </c>
      <c r="Y25" s="61">
        <v>49</v>
      </c>
      <c r="Z25" s="61">
        <v>55.4</v>
      </c>
      <c r="AA25" s="61">
        <v>52.9</v>
      </c>
      <c r="AB25" s="61">
        <v>55.7</v>
      </c>
    </row>
    <row r="26" spans="2:28" x14ac:dyDescent="0.2">
      <c r="B26" s="37">
        <v>43313</v>
      </c>
      <c r="C26" s="61">
        <v>52.6</v>
      </c>
      <c r="D26" s="61">
        <v>61.3</v>
      </c>
      <c r="E26" s="61">
        <v>54.5</v>
      </c>
      <c r="F26" s="61">
        <v>50.6</v>
      </c>
      <c r="G26" s="61">
        <v>54.6</v>
      </c>
      <c r="H26" s="61">
        <v>52.5</v>
      </c>
      <c r="I26" s="61">
        <v>55.9</v>
      </c>
      <c r="J26" s="61">
        <v>53.5</v>
      </c>
      <c r="K26" s="61">
        <v>52.8</v>
      </c>
      <c r="L26" s="61">
        <v>50.1</v>
      </c>
      <c r="M26" s="61">
        <v>53</v>
      </c>
      <c r="N26" s="61">
        <v>51.1</v>
      </c>
      <c r="O26" s="61">
        <v>50.7</v>
      </c>
      <c r="P26" s="61">
        <v>48.9</v>
      </c>
      <c r="Q26" s="61">
        <v>51.7</v>
      </c>
      <c r="R26" s="61">
        <v>56.8</v>
      </c>
      <c r="S26" s="61">
        <v>56.7</v>
      </c>
      <c r="T26" s="61">
        <v>51.9</v>
      </c>
      <c r="U26" s="61">
        <v>49.9</v>
      </c>
      <c r="V26" s="61">
        <v>53</v>
      </c>
      <c r="W26" s="61">
        <v>53.9</v>
      </c>
      <c r="X26" s="61">
        <v>57.5</v>
      </c>
      <c r="Y26" s="61">
        <v>46.4</v>
      </c>
      <c r="Z26" s="61">
        <v>54.9</v>
      </c>
      <c r="AA26" s="61">
        <v>51.4</v>
      </c>
      <c r="AB26" s="61">
        <v>59.15</v>
      </c>
    </row>
    <row r="27" spans="2:28" x14ac:dyDescent="0.2">
      <c r="B27" s="37">
        <v>43344</v>
      </c>
      <c r="C27" s="61">
        <v>52.2</v>
      </c>
      <c r="D27" s="61">
        <v>59.8</v>
      </c>
      <c r="E27" s="61">
        <v>55.6</v>
      </c>
      <c r="F27" s="61">
        <v>50</v>
      </c>
      <c r="G27" s="61">
        <v>53.2</v>
      </c>
      <c r="H27" s="61">
        <v>52.5</v>
      </c>
      <c r="I27" s="61">
        <v>53.7</v>
      </c>
      <c r="J27" s="61">
        <v>52.5</v>
      </c>
      <c r="K27" s="61">
        <v>53.8</v>
      </c>
      <c r="L27" s="61">
        <v>50</v>
      </c>
      <c r="M27" s="61">
        <v>51.4</v>
      </c>
      <c r="N27" s="61">
        <v>50.9</v>
      </c>
      <c r="O27" s="61">
        <v>51.7</v>
      </c>
      <c r="P27" s="61">
        <v>50</v>
      </c>
      <c r="Q27" s="61">
        <v>52.2</v>
      </c>
      <c r="R27" s="61">
        <v>54.8</v>
      </c>
      <c r="S27" s="61">
        <v>59</v>
      </c>
      <c r="T27" s="61">
        <v>50.7</v>
      </c>
      <c r="U27" s="61">
        <v>51.3</v>
      </c>
      <c r="V27" s="61">
        <v>50.8</v>
      </c>
      <c r="W27" s="61">
        <v>53.6</v>
      </c>
      <c r="X27" s="61">
        <v>56.3</v>
      </c>
      <c r="Y27" s="61">
        <v>42.7</v>
      </c>
      <c r="Z27" s="61">
        <v>53.4</v>
      </c>
      <c r="AA27" s="61">
        <v>50.5</v>
      </c>
      <c r="AB27" s="61">
        <v>53.7</v>
      </c>
    </row>
    <row r="28" spans="2:28" x14ac:dyDescent="0.2">
      <c r="B28" s="37">
        <v>43374</v>
      </c>
      <c r="C28" s="61">
        <v>52</v>
      </c>
      <c r="D28" s="61">
        <v>57.7</v>
      </c>
      <c r="E28" s="61">
        <v>55.7</v>
      </c>
      <c r="F28" s="61">
        <v>50.1</v>
      </c>
      <c r="G28" s="61">
        <v>52</v>
      </c>
      <c r="H28" s="61">
        <v>52.9</v>
      </c>
      <c r="I28" s="61">
        <v>52.2</v>
      </c>
      <c r="J28" s="61">
        <v>51.2</v>
      </c>
      <c r="K28" s="61">
        <v>51.1</v>
      </c>
      <c r="L28" s="61">
        <v>49.2</v>
      </c>
      <c r="M28" s="61">
        <v>51.8</v>
      </c>
      <c r="N28" s="61">
        <v>51.1</v>
      </c>
      <c r="O28" s="61">
        <v>50.7</v>
      </c>
      <c r="P28" s="61">
        <v>51.3</v>
      </c>
      <c r="Q28" s="61">
        <v>53.1</v>
      </c>
      <c r="R28" s="61">
        <v>53.9</v>
      </c>
      <c r="S28" s="61">
        <v>58.3</v>
      </c>
      <c r="T28" s="61">
        <v>50.5</v>
      </c>
      <c r="U28" s="61">
        <v>51</v>
      </c>
      <c r="V28" s="61">
        <v>48.7</v>
      </c>
      <c r="W28" s="61">
        <v>53.1</v>
      </c>
      <c r="X28" s="61">
        <v>54.9</v>
      </c>
      <c r="Y28" s="61">
        <v>44.3</v>
      </c>
      <c r="Z28" s="61">
        <v>52.5</v>
      </c>
      <c r="AA28" s="61">
        <v>50.4</v>
      </c>
      <c r="AB28" s="61">
        <v>66.8</v>
      </c>
    </row>
    <row r="29" spans="2:28" x14ac:dyDescent="0.2">
      <c r="B29" s="37">
        <v>43405</v>
      </c>
      <c r="C29" s="61">
        <v>52</v>
      </c>
      <c r="D29" s="61">
        <v>59.3</v>
      </c>
      <c r="E29" s="61">
        <v>55.3</v>
      </c>
      <c r="F29" s="61">
        <v>50.2</v>
      </c>
      <c r="G29" s="61">
        <v>51.8</v>
      </c>
      <c r="H29" s="61">
        <v>52.2</v>
      </c>
      <c r="I29" s="61">
        <v>51.8</v>
      </c>
      <c r="J29" s="61">
        <v>50.8</v>
      </c>
      <c r="K29" s="61">
        <v>53.1</v>
      </c>
      <c r="L29" s="61">
        <v>48.6</v>
      </c>
      <c r="M29" s="61">
        <v>52.6</v>
      </c>
      <c r="N29" s="61">
        <v>52.7</v>
      </c>
      <c r="O29" s="61">
        <v>49.7</v>
      </c>
      <c r="P29" s="61">
        <v>52.6</v>
      </c>
      <c r="Q29" s="61">
        <v>54</v>
      </c>
      <c r="R29" s="61">
        <v>54.9</v>
      </c>
      <c r="S29" s="61">
        <v>51.3</v>
      </c>
      <c r="T29" s="61">
        <v>50.4</v>
      </c>
      <c r="U29" s="61">
        <v>48.6</v>
      </c>
      <c r="V29" s="61">
        <v>48.4</v>
      </c>
      <c r="W29" s="61">
        <v>54</v>
      </c>
      <c r="X29" s="61">
        <v>55.4</v>
      </c>
      <c r="Y29" s="61">
        <v>44.7</v>
      </c>
      <c r="Z29" s="61">
        <v>51.8</v>
      </c>
      <c r="AA29" s="61">
        <v>49.5</v>
      </c>
      <c r="AB29" s="61">
        <v>58.2</v>
      </c>
    </row>
    <row r="30" spans="2:28" x14ac:dyDescent="0.2">
      <c r="B30" s="37">
        <v>43435</v>
      </c>
      <c r="C30" s="61">
        <v>51.5</v>
      </c>
      <c r="D30" s="61">
        <v>54.3</v>
      </c>
      <c r="E30" s="61">
        <v>53.8</v>
      </c>
      <c r="F30" s="61">
        <v>49.7</v>
      </c>
      <c r="G30" s="61">
        <v>51.4</v>
      </c>
      <c r="H30" s="61">
        <v>52.4</v>
      </c>
      <c r="I30" s="61">
        <v>51.5</v>
      </c>
      <c r="J30" s="61">
        <v>49.7</v>
      </c>
      <c r="K30" s="61">
        <v>54.2</v>
      </c>
      <c r="L30" s="61">
        <v>49.2</v>
      </c>
      <c r="M30" s="61">
        <v>51.1</v>
      </c>
      <c r="N30" s="61">
        <v>52.6</v>
      </c>
      <c r="O30" s="61">
        <v>49.7</v>
      </c>
      <c r="P30" s="61">
        <v>51.7</v>
      </c>
      <c r="Q30" s="61">
        <v>53.2</v>
      </c>
      <c r="R30" s="61">
        <v>53.6</v>
      </c>
      <c r="S30" s="61">
        <v>49.5</v>
      </c>
      <c r="T30" s="61">
        <v>51.2</v>
      </c>
      <c r="U30" s="61">
        <v>49.8</v>
      </c>
      <c r="V30" s="61">
        <v>47.7</v>
      </c>
      <c r="W30" s="61">
        <v>53.8</v>
      </c>
      <c r="X30" s="61">
        <v>54.5</v>
      </c>
      <c r="Y30" s="61">
        <v>44.2</v>
      </c>
      <c r="Z30" s="61">
        <v>49.7</v>
      </c>
      <c r="AA30" s="61">
        <v>47.6</v>
      </c>
      <c r="AB30" s="61">
        <v>57.5</v>
      </c>
    </row>
    <row r="31" spans="2:28" x14ac:dyDescent="0.2">
      <c r="B31" s="37">
        <v>43466</v>
      </c>
      <c r="C31" s="61">
        <v>50.7</v>
      </c>
      <c r="D31" s="61">
        <v>56.6</v>
      </c>
      <c r="E31" s="61">
        <v>54.9</v>
      </c>
      <c r="F31" s="61">
        <v>48.3</v>
      </c>
      <c r="G31" s="61">
        <v>50.5</v>
      </c>
      <c r="H31" s="61">
        <v>50.3</v>
      </c>
      <c r="I31" s="61">
        <v>49.7</v>
      </c>
      <c r="J31" s="61">
        <v>51.2</v>
      </c>
      <c r="K31" s="61">
        <v>52.8</v>
      </c>
      <c r="L31" s="61">
        <v>47.8</v>
      </c>
      <c r="M31" s="61">
        <v>52.4</v>
      </c>
      <c r="N31" s="61">
        <v>52.7</v>
      </c>
      <c r="O31" s="61">
        <v>50.9</v>
      </c>
      <c r="P31" s="61">
        <v>50.9</v>
      </c>
      <c r="Q31" s="61">
        <v>53.9</v>
      </c>
      <c r="R31" s="61">
        <v>53</v>
      </c>
      <c r="S31" s="61">
        <v>52.5</v>
      </c>
      <c r="T31" s="61">
        <v>49.9</v>
      </c>
      <c r="U31" s="61">
        <v>48.3</v>
      </c>
      <c r="V31" s="61">
        <v>47.5</v>
      </c>
      <c r="W31" s="61">
        <v>53.7</v>
      </c>
      <c r="X31" s="61">
        <v>52.6</v>
      </c>
      <c r="Y31" s="61">
        <v>44.2</v>
      </c>
      <c r="Z31" s="61">
        <v>49</v>
      </c>
      <c r="AA31" s="61">
        <v>48.2</v>
      </c>
      <c r="AB31" s="61">
        <v>51.1</v>
      </c>
    </row>
    <row r="32" spans="2:28" x14ac:dyDescent="0.2">
      <c r="B32" s="37">
        <v>43497</v>
      </c>
      <c r="C32" s="61">
        <v>50.6</v>
      </c>
      <c r="D32" s="61">
        <v>54.3</v>
      </c>
      <c r="E32" s="61">
        <v>53</v>
      </c>
      <c r="F32" s="61">
        <v>49.9</v>
      </c>
      <c r="G32" s="61">
        <v>49.3</v>
      </c>
      <c r="H32" s="61">
        <v>48.9</v>
      </c>
      <c r="I32" s="61">
        <v>47.6</v>
      </c>
      <c r="J32" s="61">
        <v>51.5</v>
      </c>
      <c r="K32" s="61">
        <v>52</v>
      </c>
      <c r="L32" s="61">
        <v>47.7</v>
      </c>
      <c r="M32" s="61">
        <v>49.9</v>
      </c>
      <c r="N32" s="61">
        <v>53.4</v>
      </c>
      <c r="O32" s="61">
        <v>52.6</v>
      </c>
      <c r="P32" s="61">
        <v>50.1</v>
      </c>
      <c r="Q32" s="61">
        <v>54.3</v>
      </c>
      <c r="R32" s="61">
        <v>52.6</v>
      </c>
      <c r="S32" s="61">
        <v>54</v>
      </c>
      <c r="T32" s="61">
        <v>50.1</v>
      </c>
      <c r="U32" s="61">
        <v>47.2</v>
      </c>
      <c r="V32" s="61">
        <v>46.3</v>
      </c>
      <c r="W32" s="61">
        <v>54.2</v>
      </c>
      <c r="X32" s="61">
        <v>54</v>
      </c>
      <c r="Y32" s="61">
        <v>46.4</v>
      </c>
      <c r="Z32" s="61">
        <v>48.6</v>
      </c>
      <c r="AA32" s="61">
        <v>47.6</v>
      </c>
      <c r="AB32" s="61">
        <v>61.6</v>
      </c>
    </row>
    <row r="33" spans="2:28" x14ac:dyDescent="0.2">
      <c r="B33" s="37">
        <v>43525</v>
      </c>
      <c r="C33" s="61">
        <v>50.5</v>
      </c>
      <c r="D33" s="61">
        <v>54.3</v>
      </c>
      <c r="E33" s="61">
        <v>52.4</v>
      </c>
      <c r="F33" s="61">
        <v>50.8</v>
      </c>
      <c r="G33" s="61">
        <v>47.5</v>
      </c>
      <c r="H33" s="61">
        <v>49.2</v>
      </c>
      <c r="I33" s="61">
        <v>44.1</v>
      </c>
      <c r="J33" s="61">
        <v>49.7</v>
      </c>
      <c r="K33" s="61">
        <v>55.1</v>
      </c>
      <c r="L33" s="61">
        <v>47.4</v>
      </c>
      <c r="M33" s="61">
        <v>50.9</v>
      </c>
      <c r="N33" s="61">
        <v>52.8</v>
      </c>
      <c r="O33" s="61">
        <v>49.8</v>
      </c>
      <c r="P33" s="61">
        <v>52.8</v>
      </c>
      <c r="Q33" s="61">
        <v>52.6</v>
      </c>
      <c r="R33" s="61">
        <v>50.5</v>
      </c>
      <c r="S33" s="61">
        <v>51</v>
      </c>
      <c r="T33" s="61">
        <v>51.2</v>
      </c>
      <c r="U33" s="61">
        <v>48.8</v>
      </c>
      <c r="V33" s="61">
        <v>49</v>
      </c>
      <c r="W33" s="61">
        <v>54.7</v>
      </c>
      <c r="X33" s="61">
        <v>53.9</v>
      </c>
      <c r="Y33" s="61">
        <v>47.2</v>
      </c>
      <c r="Z33" s="61">
        <v>47.3</v>
      </c>
      <c r="AA33" s="61">
        <v>48.7</v>
      </c>
      <c r="AB33" s="61">
        <v>56.6</v>
      </c>
    </row>
    <row r="34" spans="2:28" x14ac:dyDescent="0.2">
      <c r="B34" s="37">
        <v>43556</v>
      </c>
      <c r="C34" s="61">
        <v>50.4</v>
      </c>
      <c r="D34" s="61">
        <v>52.8</v>
      </c>
      <c r="E34" s="61">
        <v>52.6</v>
      </c>
      <c r="F34" s="61">
        <v>50.2</v>
      </c>
      <c r="G34" s="61">
        <v>47.9</v>
      </c>
      <c r="H34" s="61">
        <v>49.5</v>
      </c>
      <c r="I34" s="61">
        <v>44.4</v>
      </c>
      <c r="J34" s="61">
        <v>50</v>
      </c>
      <c r="K34" s="61">
        <v>53.1</v>
      </c>
      <c r="L34" s="61">
        <v>49.1</v>
      </c>
      <c r="M34" s="61">
        <v>51.8</v>
      </c>
      <c r="N34" s="61">
        <v>51.5</v>
      </c>
      <c r="O34" s="61">
        <v>50.1</v>
      </c>
      <c r="P34" s="61">
        <v>51.8</v>
      </c>
      <c r="Q34" s="61">
        <v>51.8</v>
      </c>
      <c r="R34" s="61">
        <v>49.7</v>
      </c>
      <c r="S34" s="61">
        <v>54.8</v>
      </c>
      <c r="T34" s="61">
        <v>50.4</v>
      </c>
      <c r="U34" s="61">
        <v>50.2</v>
      </c>
      <c r="V34" s="61">
        <v>48.2</v>
      </c>
      <c r="W34" s="61">
        <v>56.6</v>
      </c>
      <c r="X34" s="61">
        <v>52.5</v>
      </c>
      <c r="Y34" s="61">
        <v>46.8</v>
      </c>
      <c r="Z34" s="61">
        <v>46.6</v>
      </c>
      <c r="AA34" s="61">
        <v>49</v>
      </c>
      <c r="AB34" s="61">
        <v>59.6</v>
      </c>
    </row>
    <row r="35" spans="2:28" x14ac:dyDescent="0.2">
      <c r="B35" s="37">
        <v>43586</v>
      </c>
      <c r="C35" s="61">
        <v>49.8</v>
      </c>
      <c r="D35" s="61">
        <v>52.1</v>
      </c>
      <c r="E35" s="61">
        <v>50.5</v>
      </c>
      <c r="F35" s="61">
        <v>50.2</v>
      </c>
      <c r="G35" s="61">
        <v>47.7</v>
      </c>
      <c r="H35" s="61">
        <v>49.8</v>
      </c>
      <c r="I35" s="61">
        <v>44.3</v>
      </c>
      <c r="J35" s="61">
        <v>50.6</v>
      </c>
      <c r="K35" s="61">
        <v>49.4</v>
      </c>
      <c r="L35" s="61">
        <v>49.7</v>
      </c>
      <c r="M35" s="61">
        <v>50.1</v>
      </c>
      <c r="N35" s="61">
        <v>50.2</v>
      </c>
      <c r="O35" s="61">
        <v>50</v>
      </c>
      <c r="P35" s="61">
        <v>49.8</v>
      </c>
      <c r="Q35" s="61">
        <v>52.7</v>
      </c>
      <c r="R35" s="61">
        <v>49.1</v>
      </c>
      <c r="S35" s="61">
        <v>52.7</v>
      </c>
      <c r="T35" s="61">
        <v>51.6</v>
      </c>
      <c r="U35" s="61">
        <v>48.4</v>
      </c>
      <c r="V35" s="61">
        <v>48.4</v>
      </c>
      <c r="W35" s="61">
        <v>54.2</v>
      </c>
      <c r="X35" s="61">
        <v>50.4</v>
      </c>
      <c r="Y35" s="61">
        <v>45.3</v>
      </c>
      <c r="Z35" s="61">
        <v>46.6</v>
      </c>
      <c r="AA35" s="61">
        <v>48.8</v>
      </c>
      <c r="AB35" s="61">
        <v>47.6</v>
      </c>
    </row>
    <row r="36" spans="2:28" x14ac:dyDescent="0.2">
      <c r="B36" s="37">
        <v>43617</v>
      </c>
      <c r="C36" s="61">
        <v>49.4</v>
      </c>
      <c r="D36" s="61">
        <v>51.7</v>
      </c>
      <c r="E36" s="61">
        <v>50.6</v>
      </c>
      <c r="F36" s="61">
        <v>49.4</v>
      </c>
      <c r="G36" s="61">
        <v>47.6</v>
      </c>
      <c r="H36" s="61">
        <v>49.3</v>
      </c>
      <c r="I36" s="61">
        <v>45</v>
      </c>
      <c r="J36" s="61">
        <v>51.9</v>
      </c>
      <c r="K36" s="61">
        <v>48</v>
      </c>
      <c r="L36" s="61">
        <v>48.4</v>
      </c>
      <c r="M36" s="61">
        <v>47.9</v>
      </c>
      <c r="N36" s="61">
        <v>51</v>
      </c>
      <c r="O36" s="61">
        <v>49.2</v>
      </c>
      <c r="P36" s="61">
        <v>48.6</v>
      </c>
      <c r="Q36" s="61">
        <v>52.1</v>
      </c>
      <c r="R36" s="61">
        <v>49.2</v>
      </c>
      <c r="S36" s="61">
        <v>49.4</v>
      </c>
      <c r="T36" s="61">
        <v>50.6</v>
      </c>
      <c r="U36" s="61">
        <v>47.5</v>
      </c>
      <c r="V36" s="61">
        <v>45.5</v>
      </c>
      <c r="W36" s="61">
        <v>52.4</v>
      </c>
      <c r="X36" s="61">
        <v>49.8</v>
      </c>
      <c r="Y36" s="61">
        <v>47.9</v>
      </c>
      <c r="Z36" s="61">
        <v>45.9</v>
      </c>
      <c r="AA36" s="61">
        <v>48.4</v>
      </c>
      <c r="AB36" s="61">
        <v>45</v>
      </c>
    </row>
    <row r="37" spans="2:28" x14ac:dyDescent="0.2">
      <c r="B37" s="37">
        <v>43647</v>
      </c>
      <c r="C37" s="61">
        <v>49.3</v>
      </c>
      <c r="D37" s="61">
        <v>51.2</v>
      </c>
      <c r="E37" s="61">
        <v>50</v>
      </c>
      <c r="F37" s="61">
        <v>49.9</v>
      </c>
      <c r="G37" s="61">
        <v>46.5</v>
      </c>
      <c r="H37" s="61">
        <v>49.4</v>
      </c>
      <c r="I37" s="61">
        <v>43.2</v>
      </c>
      <c r="J37" s="61">
        <v>49.7</v>
      </c>
      <c r="K37" s="61">
        <v>48</v>
      </c>
      <c r="L37" s="61">
        <v>48.5</v>
      </c>
      <c r="M37" s="61">
        <v>48.2</v>
      </c>
      <c r="N37" s="61">
        <v>49.9</v>
      </c>
      <c r="O37" s="61">
        <v>49.8</v>
      </c>
      <c r="P37" s="61">
        <v>49.3</v>
      </c>
      <c r="Q37" s="61">
        <v>52.5</v>
      </c>
      <c r="R37" s="61">
        <v>50.2</v>
      </c>
      <c r="S37" s="61">
        <v>51.3</v>
      </c>
      <c r="T37" s="61">
        <v>49.6</v>
      </c>
      <c r="U37" s="61">
        <v>47.3</v>
      </c>
      <c r="V37" s="61">
        <v>48.1</v>
      </c>
      <c r="W37" s="61">
        <v>54.6</v>
      </c>
      <c r="X37" s="61">
        <v>48.7</v>
      </c>
      <c r="Y37" s="61">
        <v>46.7</v>
      </c>
      <c r="Z37" s="61">
        <v>43.1</v>
      </c>
      <c r="AA37" s="61">
        <v>47.4</v>
      </c>
      <c r="AB37" s="61">
        <v>49.5</v>
      </c>
    </row>
    <row r="38" spans="2:28" x14ac:dyDescent="0.2">
      <c r="B38" s="37">
        <v>43678</v>
      </c>
      <c r="C38" s="61">
        <v>49.5</v>
      </c>
      <c r="D38" s="61">
        <v>49.1</v>
      </c>
      <c r="E38" s="61">
        <v>50.3</v>
      </c>
      <c r="F38" s="61">
        <v>50.4</v>
      </c>
      <c r="G38" s="61">
        <v>47</v>
      </c>
      <c r="H38" s="61">
        <v>49.3</v>
      </c>
      <c r="I38" s="61">
        <v>43.5</v>
      </c>
      <c r="J38" s="61">
        <v>51.1</v>
      </c>
      <c r="K38" s="61">
        <v>47.4</v>
      </c>
      <c r="L38" s="61">
        <v>48.7</v>
      </c>
      <c r="M38" s="61">
        <v>48.8</v>
      </c>
      <c r="N38" s="61">
        <v>52.5</v>
      </c>
      <c r="O38" s="61">
        <v>49</v>
      </c>
      <c r="P38" s="61">
        <v>49.1</v>
      </c>
      <c r="Q38" s="61">
        <v>51.4</v>
      </c>
      <c r="R38" s="61">
        <v>49.1</v>
      </c>
      <c r="S38" s="61">
        <v>53.1</v>
      </c>
      <c r="T38" s="61">
        <v>49</v>
      </c>
      <c r="U38" s="61">
        <v>49</v>
      </c>
      <c r="V38" s="61">
        <v>47.9</v>
      </c>
      <c r="W38" s="61">
        <v>54.9</v>
      </c>
      <c r="X38" s="61">
        <v>48.6</v>
      </c>
      <c r="Y38" s="61">
        <v>48</v>
      </c>
      <c r="Z38" s="61">
        <v>44.9</v>
      </c>
      <c r="AA38" s="61">
        <v>48.8</v>
      </c>
      <c r="AB38" s="61">
        <v>48.7</v>
      </c>
    </row>
    <row r="39" spans="2:28" x14ac:dyDescent="0.2">
      <c r="B39" s="37">
        <v>43709</v>
      </c>
      <c r="C39" s="61">
        <v>49.7</v>
      </c>
      <c r="D39" s="61">
        <v>47.8</v>
      </c>
      <c r="E39" s="61">
        <v>51.1</v>
      </c>
      <c r="F39" s="61">
        <v>51.4</v>
      </c>
      <c r="G39" s="61">
        <v>45.7</v>
      </c>
      <c r="H39" s="61">
        <v>48.9</v>
      </c>
      <c r="I39" s="61">
        <v>41.7</v>
      </c>
      <c r="J39" s="61">
        <v>50.1</v>
      </c>
      <c r="K39" s="61">
        <v>48.3</v>
      </c>
      <c r="L39" s="61">
        <v>47.8</v>
      </c>
      <c r="M39" s="61">
        <v>47.7</v>
      </c>
      <c r="N39" s="61">
        <v>53.4</v>
      </c>
      <c r="O39" s="61">
        <v>49.1</v>
      </c>
      <c r="P39" s="61">
        <v>46.3</v>
      </c>
      <c r="Q39" s="61">
        <v>51.4</v>
      </c>
      <c r="R39" s="61">
        <v>51</v>
      </c>
      <c r="S39" s="61">
        <v>54.7</v>
      </c>
      <c r="T39" s="61">
        <v>49.1</v>
      </c>
      <c r="U39" s="61">
        <v>48</v>
      </c>
      <c r="V39" s="61">
        <v>50</v>
      </c>
      <c r="W39" s="61">
        <v>53.6</v>
      </c>
      <c r="X39" s="61">
        <v>48.7</v>
      </c>
      <c r="Y39" s="61">
        <v>50</v>
      </c>
      <c r="Z39" s="61">
        <v>44.9</v>
      </c>
      <c r="AA39" s="61">
        <v>47.8</v>
      </c>
      <c r="AB39" s="61">
        <v>50.2</v>
      </c>
    </row>
    <row r="40" spans="2:28" x14ac:dyDescent="0.2">
      <c r="B40" s="37">
        <v>43739</v>
      </c>
      <c r="C40" s="61">
        <v>49.8</v>
      </c>
      <c r="D40" s="61">
        <v>48.3</v>
      </c>
      <c r="E40" s="61">
        <v>51.3</v>
      </c>
      <c r="F40" s="61">
        <v>51.7</v>
      </c>
      <c r="G40" s="61">
        <v>45.9</v>
      </c>
      <c r="H40" s="61">
        <v>48.4</v>
      </c>
      <c r="I40" s="61">
        <v>42.1</v>
      </c>
      <c r="J40" s="61">
        <v>50.7</v>
      </c>
      <c r="K40" s="61">
        <v>49.6</v>
      </c>
      <c r="L40" s="61">
        <v>47.7</v>
      </c>
      <c r="M40" s="61">
        <v>46.8</v>
      </c>
      <c r="N40" s="61">
        <v>52.2</v>
      </c>
      <c r="O40" s="61">
        <v>50.4</v>
      </c>
      <c r="P40" s="61">
        <v>47.2</v>
      </c>
      <c r="Q40" s="61">
        <v>50.6</v>
      </c>
      <c r="R40" s="61">
        <v>51.2</v>
      </c>
      <c r="S40" s="61">
        <v>51.6</v>
      </c>
      <c r="T40" s="61">
        <v>47.7</v>
      </c>
      <c r="U40" s="61">
        <v>48.4</v>
      </c>
      <c r="V40" s="61">
        <v>49.8</v>
      </c>
      <c r="W40" s="61">
        <v>53.5</v>
      </c>
      <c r="X40" s="61">
        <v>50.7</v>
      </c>
      <c r="Y40" s="61">
        <v>49</v>
      </c>
      <c r="Z40" s="61">
        <v>45</v>
      </c>
      <c r="AA40" s="61">
        <v>45.6</v>
      </c>
      <c r="AB40" s="61">
        <v>49.5</v>
      </c>
    </row>
    <row r="41" spans="2:28" x14ac:dyDescent="0.2">
      <c r="B41" s="37">
        <v>43770</v>
      </c>
      <c r="C41" s="61">
        <v>50.3</v>
      </c>
      <c r="D41" s="61">
        <v>48.1</v>
      </c>
      <c r="E41" s="61">
        <v>52.6</v>
      </c>
      <c r="F41" s="61">
        <v>51.8</v>
      </c>
      <c r="G41" s="61">
        <v>46.9</v>
      </c>
      <c r="H41" s="61">
        <v>48.9</v>
      </c>
      <c r="I41" s="61">
        <v>44.1</v>
      </c>
      <c r="J41" s="61">
        <v>51.7</v>
      </c>
      <c r="K41" s="61">
        <v>48.9</v>
      </c>
      <c r="L41" s="61">
        <v>47.6</v>
      </c>
      <c r="M41" s="61">
        <v>47.5</v>
      </c>
      <c r="N41" s="61">
        <v>52.9</v>
      </c>
      <c r="O41" s="61">
        <v>48</v>
      </c>
      <c r="P41" s="61">
        <v>45.6</v>
      </c>
      <c r="Q41" s="61">
        <v>51.2</v>
      </c>
      <c r="R41" s="61">
        <v>51.4</v>
      </c>
      <c r="S41" s="61">
        <v>48.1</v>
      </c>
      <c r="T41" s="61">
        <v>48.2</v>
      </c>
      <c r="U41" s="61">
        <v>49.4</v>
      </c>
      <c r="V41" s="61">
        <v>49.8</v>
      </c>
      <c r="W41" s="61">
        <v>54.1</v>
      </c>
      <c r="X41" s="61">
        <v>49.7</v>
      </c>
      <c r="Y41" s="61">
        <v>49.5</v>
      </c>
      <c r="Z41" s="61">
        <v>43.5</v>
      </c>
      <c r="AA41" s="61">
        <v>46.7</v>
      </c>
      <c r="AB41" s="61">
        <v>53</v>
      </c>
    </row>
    <row r="42" spans="2:28" x14ac:dyDescent="0.2">
      <c r="B42" s="37">
        <v>43800</v>
      </c>
      <c r="C42" s="61">
        <v>50.1</v>
      </c>
      <c r="D42" s="61">
        <v>47.8</v>
      </c>
      <c r="E42" s="61">
        <v>52.4</v>
      </c>
      <c r="F42" s="61">
        <v>51.5</v>
      </c>
      <c r="G42" s="61">
        <v>46.3</v>
      </c>
      <c r="H42" s="61">
        <v>48.4</v>
      </c>
      <c r="I42" s="61">
        <v>43.7</v>
      </c>
      <c r="J42" s="61">
        <v>50.4</v>
      </c>
      <c r="K42" s="61">
        <v>47.5</v>
      </c>
      <c r="L42" s="61">
        <v>46.2</v>
      </c>
      <c r="M42" s="61">
        <v>47.4</v>
      </c>
      <c r="N42" s="61">
        <v>50.2</v>
      </c>
      <c r="O42" s="61">
        <v>47.1</v>
      </c>
      <c r="P42" s="61">
        <v>47.5</v>
      </c>
      <c r="Q42" s="61">
        <v>52.7</v>
      </c>
      <c r="R42" s="61">
        <v>50.4</v>
      </c>
      <c r="S42" s="61">
        <v>48.3</v>
      </c>
      <c r="T42" s="61">
        <v>49.5</v>
      </c>
      <c r="U42" s="61">
        <v>50.1</v>
      </c>
      <c r="V42" s="61">
        <v>50.8</v>
      </c>
      <c r="W42" s="61">
        <v>53.9</v>
      </c>
      <c r="X42" s="61">
        <v>49.5</v>
      </c>
      <c r="Y42" s="61">
        <v>49.5</v>
      </c>
      <c r="Z42" s="61">
        <v>43.6</v>
      </c>
      <c r="AA42" s="61">
        <v>48</v>
      </c>
      <c r="AB42" s="61">
        <v>50.7</v>
      </c>
    </row>
    <row r="43" spans="2:28" x14ac:dyDescent="0.2">
      <c r="B43" s="37">
        <v>43831</v>
      </c>
      <c r="C43" s="61">
        <v>50.4</v>
      </c>
      <c r="D43" s="61">
        <v>50.9</v>
      </c>
      <c r="E43" s="61">
        <v>51.9</v>
      </c>
      <c r="F43" s="61">
        <v>51.1</v>
      </c>
      <c r="G43" s="61">
        <v>47.9</v>
      </c>
      <c r="H43" s="61">
        <v>48.8</v>
      </c>
      <c r="I43" s="61">
        <v>45.3</v>
      </c>
      <c r="J43" s="61">
        <v>51.1</v>
      </c>
      <c r="K43" s="61">
        <v>50</v>
      </c>
      <c r="L43" s="61">
        <v>48.9</v>
      </c>
      <c r="M43" s="61">
        <v>48.5</v>
      </c>
      <c r="N43" s="61">
        <v>51</v>
      </c>
      <c r="O43" s="61">
        <v>49</v>
      </c>
      <c r="P43" s="61">
        <v>47.9</v>
      </c>
      <c r="Q43" s="61">
        <v>55.3</v>
      </c>
      <c r="R43" s="61">
        <v>50.6</v>
      </c>
      <c r="S43" s="61">
        <v>45.4</v>
      </c>
      <c r="T43" s="61">
        <v>49.3</v>
      </c>
      <c r="U43" s="61">
        <v>49.8</v>
      </c>
      <c r="V43" s="61">
        <v>51.8</v>
      </c>
      <c r="W43" s="61">
        <v>54.4</v>
      </c>
      <c r="X43" s="61">
        <v>51.4</v>
      </c>
      <c r="Y43" s="61">
        <v>51.3</v>
      </c>
      <c r="Z43" s="61">
        <v>45.2</v>
      </c>
      <c r="AA43" s="61">
        <v>47.4</v>
      </c>
      <c r="AB43" s="61">
        <v>53.2</v>
      </c>
    </row>
    <row r="44" spans="2:28" x14ac:dyDescent="0.2">
      <c r="B44" s="37">
        <v>43862</v>
      </c>
      <c r="C44" s="61">
        <v>47.1</v>
      </c>
      <c r="D44" s="61">
        <v>50.1</v>
      </c>
      <c r="E44" s="61">
        <v>50.7</v>
      </c>
      <c r="F44" s="61">
        <v>40.299999999999997</v>
      </c>
      <c r="G44" s="61">
        <v>49.2</v>
      </c>
      <c r="H44" s="61">
        <v>47.8</v>
      </c>
      <c r="I44" s="61">
        <v>48</v>
      </c>
      <c r="J44" s="61">
        <v>49.8</v>
      </c>
      <c r="K44" s="61">
        <v>51.7</v>
      </c>
      <c r="L44" s="61">
        <v>48.7</v>
      </c>
      <c r="M44" s="61">
        <v>50.4</v>
      </c>
      <c r="N44" s="61">
        <v>52.3</v>
      </c>
      <c r="O44" s="61">
        <v>50</v>
      </c>
      <c r="P44" s="61">
        <v>48.2</v>
      </c>
      <c r="Q44" s="61">
        <v>54.5</v>
      </c>
      <c r="R44" s="61">
        <v>51.8</v>
      </c>
      <c r="S44" s="61">
        <v>44.3</v>
      </c>
      <c r="T44" s="61">
        <v>51.9</v>
      </c>
      <c r="U44" s="61">
        <v>48.7</v>
      </c>
      <c r="V44" s="61">
        <v>49.9</v>
      </c>
      <c r="W44" s="61">
        <v>56.2</v>
      </c>
      <c r="X44" s="61">
        <v>51.2</v>
      </c>
      <c r="Y44" s="61">
        <v>52.4</v>
      </c>
      <c r="Z44" s="61">
        <v>46.5</v>
      </c>
      <c r="AA44" s="61">
        <v>48.2</v>
      </c>
      <c r="AB44" s="61">
        <v>49.2</v>
      </c>
    </row>
    <row r="45" spans="2:28" x14ac:dyDescent="0.2">
      <c r="B45" s="37">
        <v>43891</v>
      </c>
      <c r="C45" s="61">
        <v>47.3</v>
      </c>
      <c r="D45" s="61">
        <v>49.1</v>
      </c>
      <c r="E45" s="61">
        <v>48.5</v>
      </c>
      <c r="F45" s="61">
        <v>50.1</v>
      </c>
      <c r="G45" s="61">
        <v>44.5</v>
      </c>
      <c r="H45" s="61">
        <v>44.2</v>
      </c>
      <c r="I45" s="61">
        <v>45.4</v>
      </c>
      <c r="J45" s="61">
        <v>43.2</v>
      </c>
      <c r="K45" s="61">
        <v>47.8</v>
      </c>
      <c r="L45" s="61">
        <v>40.299999999999997</v>
      </c>
      <c r="M45" s="61">
        <v>45.7</v>
      </c>
      <c r="N45" s="61">
        <v>48.4</v>
      </c>
      <c r="O45" s="61">
        <v>46.9</v>
      </c>
      <c r="P45" s="61">
        <v>47.5</v>
      </c>
      <c r="Q45" s="61">
        <v>51.8</v>
      </c>
      <c r="R45" s="61">
        <v>46.1</v>
      </c>
      <c r="S45" s="61">
        <v>53.7</v>
      </c>
      <c r="T45" s="61">
        <v>45.3</v>
      </c>
      <c r="U45" s="61">
        <v>44.2</v>
      </c>
      <c r="V45" s="61">
        <v>50.4</v>
      </c>
      <c r="W45" s="61">
        <v>42.5</v>
      </c>
      <c r="X45" s="61">
        <v>45.1</v>
      </c>
      <c r="Y45" s="61">
        <v>48.1</v>
      </c>
      <c r="Z45" s="61">
        <v>41.3</v>
      </c>
      <c r="AA45" s="61">
        <v>42.4</v>
      </c>
      <c r="AB45" s="61">
        <v>46.8</v>
      </c>
    </row>
    <row r="46" spans="2:28" x14ac:dyDescent="0.2">
      <c r="B46" s="37">
        <v>43922</v>
      </c>
      <c r="C46" s="61">
        <v>39.6</v>
      </c>
      <c r="D46" s="61">
        <v>41.5</v>
      </c>
      <c r="E46" s="61">
        <v>36.1</v>
      </c>
      <c r="F46" s="61">
        <v>49.4</v>
      </c>
      <c r="G46" s="61">
        <v>33.4</v>
      </c>
      <c r="H46" s="61">
        <v>41.9</v>
      </c>
      <c r="I46" s="61">
        <v>34.5</v>
      </c>
      <c r="J46" s="61">
        <v>31.5</v>
      </c>
      <c r="K46" s="61">
        <v>32.6</v>
      </c>
      <c r="L46" s="61">
        <v>31.1</v>
      </c>
      <c r="M46" s="61">
        <v>30.8</v>
      </c>
      <c r="N46" s="61">
        <v>36</v>
      </c>
      <c r="O46" s="61">
        <v>35</v>
      </c>
      <c r="P46" s="61">
        <v>31.3</v>
      </c>
      <c r="Q46" s="61">
        <v>27.4</v>
      </c>
      <c r="R46" s="61">
        <v>33</v>
      </c>
      <c r="S46" s="61">
        <v>35.799999999999997</v>
      </c>
      <c r="T46" s="61">
        <v>27.5</v>
      </c>
      <c r="U46" s="61">
        <v>41.6</v>
      </c>
      <c r="V46" s="61">
        <v>42.2</v>
      </c>
      <c r="W46" s="61">
        <v>29.5</v>
      </c>
      <c r="X46" s="61">
        <v>36</v>
      </c>
      <c r="Y46" s="61">
        <v>33.4</v>
      </c>
      <c r="Z46" s="61">
        <v>35.1</v>
      </c>
      <c r="AA46" s="61">
        <v>31.9</v>
      </c>
      <c r="AB46" s="61">
        <v>38.6</v>
      </c>
    </row>
    <row r="47" spans="2:28" x14ac:dyDescent="0.2">
      <c r="B47" s="37">
        <v>43952</v>
      </c>
      <c r="C47" s="61">
        <v>42.4</v>
      </c>
      <c r="D47" s="61">
        <v>43.1</v>
      </c>
      <c r="E47" s="61">
        <v>39.799999999999997</v>
      </c>
      <c r="F47" s="61">
        <v>50.7</v>
      </c>
      <c r="G47" s="61">
        <v>39.4</v>
      </c>
      <c r="H47" s="61">
        <v>38.4</v>
      </c>
      <c r="I47" s="61">
        <v>36.6</v>
      </c>
      <c r="J47" s="61">
        <v>40.6</v>
      </c>
      <c r="K47" s="61">
        <v>40.700000000000003</v>
      </c>
      <c r="L47" s="61">
        <v>45.4</v>
      </c>
      <c r="M47" s="61">
        <v>38.299999999999997</v>
      </c>
      <c r="N47" s="61">
        <v>38.299999999999997</v>
      </c>
      <c r="O47" s="61">
        <v>38.299999999999997</v>
      </c>
      <c r="P47" s="61">
        <v>36.200000000000003</v>
      </c>
      <c r="Q47" s="61">
        <v>30.8</v>
      </c>
      <c r="R47" s="61">
        <v>40.6</v>
      </c>
      <c r="S47" s="61">
        <v>41.6</v>
      </c>
      <c r="T47" s="61">
        <v>28.6</v>
      </c>
      <c r="U47" s="61">
        <v>41.3</v>
      </c>
      <c r="V47" s="61">
        <v>41.9</v>
      </c>
      <c r="W47" s="61">
        <v>41.1</v>
      </c>
      <c r="X47" s="61">
        <v>39.200000000000003</v>
      </c>
      <c r="Y47" s="61">
        <v>40.9</v>
      </c>
      <c r="Z47" s="61">
        <v>39.6</v>
      </c>
      <c r="AA47" s="61">
        <v>40.6</v>
      </c>
      <c r="AB47" s="61">
        <v>54</v>
      </c>
    </row>
    <row r="48" spans="2:28" x14ac:dyDescent="0.2">
      <c r="B48" s="37">
        <v>43983</v>
      </c>
      <c r="C48" s="61">
        <v>47.8</v>
      </c>
      <c r="D48" s="61">
        <v>52.6</v>
      </c>
      <c r="E48" s="61">
        <v>49.8</v>
      </c>
      <c r="F48" s="61">
        <v>51.2</v>
      </c>
      <c r="G48" s="61">
        <v>47.4</v>
      </c>
      <c r="H48" s="61">
        <v>40.1</v>
      </c>
      <c r="I48" s="61">
        <v>45.2</v>
      </c>
      <c r="J48" s="61">
        <v>52.3</v>
      </c>
      <c r="K48" s="61">
        <v>50.1</v>
      </c>
      <c r="L48" s="61">
        <v>47.5</v>
      </c>
      <c r="M48" s="61">
        <v>49</v>
      </c>
      <c r="N48" s="61">
        <v>51.6</v>
      </c>
      <c r="O48" s="61">
        <v>38.6</v>
      </c>
      <c r="P48" s="61">
        <v>49.4</v>
      </c>
      <c r="Q48" s="61">
        <v>47.2</v>
      </c>
      <c r="R48" s="61">
        <v>47.8</v>
      </c>
      <c r="S48" s="61">
        <v>51.5</v>
      </c>
      <c r="T48" s="61">
        <v>39.1</v>
      </c>
      <c r="U48" s="61">
        <v>43.4</v>
      </c>
      <c r="V48" s="61">
        <v>46.2</v>
      </c>
      <c r="W48" s="61">
        <v>49.4</v>
      </c>
      <c r="X48" s="61">
        <v>51</v>
      </c>
      <c r="Y48" s="61">
        <v>53.9</v>
      </c>
      <c r="Z48" s="61">
        <v>44.9</v>
      </c>
      <c r="AA48" s="61">
        <v>47.2</v>
      </c>
      <c r="AB48" s="61">
        <v>52.2</v>
      </c>
    </row>
    <row r="49" spans="2:28" s="62" customFormat="1" x14ac:dyDescent="0.2">
      <c r="B49" s="37">
        <v>44013</v>
      </c>
      <c r="C49" s="61">
        <v>50.6</v>
      </c>
      <c r="D49" s="61">
        <v>54.2</v>
      </c>
      <c r="E49" s="61">
        <v>50.9</v>
      </c>
      <c r="F49" s="61">
        <v>52.8</v>
      </c>
      <c r="G49" s="61">
        <v>51.8</v>
      </c>
      <c r="H49" s="61">
        <v>45.2</v>
      </c>
      <c r="I49" s="61">
        <v>51</v>
      </c>
      <c r="J49" s="61">
        <v>52.4</v>
      </c>
      <c r="K49" s="61">
        <v>53.3</v>
      </c>
      <c r="L49" s="61">
        <v>51.9</v>
      </c>
      <c r="M49" s="61">
        <v>53.5</v>
      </c>
      <c r="N49" s="61">
        <v>58.2</v>
      </c>
      <c r="O49" s="61">
        <v>40.4</v>
      </c>
      <c r="P49" s="61">
        <v>48.4</v>
      </c>
      <c r="Q49" s="61">
        <v>46</v>
      </c>
      <c r="R49" s="61">
        <v>52.9</v>
      </c>
      <c r="S49" s="61">
        <v>53.5</v>
      </c>
      <c r="T49" s="61">
        <v>46.9</v>
      </c>
      <c r="U49" s="61">
        <v>46.9</v>
      </c>
      <c r="V49" s="61">
        <v>50.6</v>
      </c>
      <c r="W49" s="61">
        <v>48.6</v>
      </c>
      <c r="X49" s="61">
        <v>57.3</v>
      </c>
      <c r="Y49" s="61">
        <v>56.9</v>
      </c>
      <c r="Z49" s="61">
        <v>47</v>
      </c>
      <c r="AA49" s="61">
        <v>52.8</v>
      </c>
      <c r="AB49" s="61">
        <v>57.4</v>
      </c>
    </row>
    <row r="50" spans="2:28" s="62" customFormat="1" x14ac:dyDescent="0.2">
      <c r="B50" s="37">
        <v>44044</v>
      </c>
      <c r="C50" s="61">
        <v>51.8</v>
      </c>
      <c r="D50" s="61">
        <v>56</v>
      </c>
      <c r="E50" s="61">
        <v>53.1</v>
      </c>
      <c r="F50" s="61">
        <v>53.1</v>
      </c>
      <c r="G50" s="61">
        <v>51.7</v>
      </c>
      <c r="H50" s="61">
        <v>47.2</v>
      </c>
      <c r="I50" s="61">
        <v>52.2</v>
      </c>
      <c r="J50" s="61">
        <v>49.8</v>
      </c>
      <c r="K50" s="61">
        <v>55.2</v>
      </c>
      <c r="L50" s="61">
        <v>53.1</v>
      </c>
      <c r="M50" s="61">
        <v>49.9</v>
      </c>
      <c r="N50" s="61">
        <v>64.7</v>
      </c>
      <c r="O50" s="61">
        <v>41.3</v>
      </c>
      <c r="P50" s="61">
        <v>51.1</v>
      </c>
      <c r="Q50" s="61">
        <v>52</v>
      </c>
      <c r="R50" s="61">
        <v>55.1</v>
      </c>
      <c r="S50" s="61">
        <v>49.3</v>
      </c>
      <c r="T50" s="61">
        <v>50.8</v>
      </c>
      <c r="U50" s="61">
        <v>48.5</v>
      </c>
      <c r="V50" s="61">
        <v>52.2</v>
      </c>
      <c r="W50" s="61">
        <v>49.4</v>
      </c>
      <c r="X50" s="61">
        <v>52.3</v>
      </c>
      <c r="Y50" s="61">
        <v>54.3</v>
      </c>
      <c r="Z50" s="61">
        <v>49.1</v>
      </c>
      <c r="AA50" s="61">
        <v>50.6</v>
      </c>
      <c r="AB50" s="61">
        <v>52.3</v>
      </c>
    </row>
    <row r="51" spans="2:28" s="62" customFormat="1" x14ac:dyDescent="0.2">
      <c r="B51" s="37">
        <v>44075</v>
      </c>
      <c r="C51" s="61">
        <v>52.4</v>
      </c>
      <c r="D51" s="61">
        <v>57.8</v>
      </c>
      <c r="E51" s="61">
        <v>53.2</v>
      </c>
      <c r="F51" s="61">
        <v>53</v>
      </c>
      <c r="G51" s="61">
        <v>53.7</v>
      </c>
      <c r="H51" s="61">
        <v>47.7</v>
      </c>
      <c r="I51" s="61">
        <v>56.4</v>
      </c>
      <c r="J51" s="61">
        <v>51.2</v>
      </c>
      <c r="K51" s="61">
        <v>54.1</v>
      </c>
      <c r="L51" s="61">
        <v>53.2</v>
      </c>
      <c r="M51" s="61">
        <v>50.8</v>
      </c>
      <c r="N51" s="61">
        <v>64.900000000000006</v>
      </c>
      <c r="O51" s="61">
        <v>42.1</v>
      </c>
      <c r="P51" s="61">
        <v>48.9</v>
      </c>
      <c r="Q51" s="61">
        <v>56.8</v>
      </c>
      <c r="R51" s="61">
        <v>56</v>
      </c>
      <c r="S51" s="61">
        <v>46.7</v>
      </c>
      <c r="T51" s="61">
        <v>47.2</v>
      </c>
      <c r="U51" s="61">
        <v>49.8</v>
      </c>
      <c r="V51" s="61">
        <v>55.2</v>
      </c>
      <c r="W51" s="61">
        <v>50</v>
      </c>
      <c r="X51" s="61">
        <v>50</v>
      </c>
      <c r="Y51" s="61">
        <v>52.8</v>
      </c>
      <c r="Z51" s="61">
        <v>50.7</v>
      </c>
      <c r="AA51" s="61">
        <v>50.8</v>
      </c>
      <c r="AB51" s="61">
        <v>54.4</v>
      </c>
    </row>
    <row r="52" spans="2:28" s="62" customFormat="1" x14ac:dyDescent="0.2">
      <c r="B52" s="37">
        <v>44105</v>
      </c>
      <c r="C52" s="61">
        <v>53</v>
      </c>
      <c r="D52" s="61">
        <v>59.3</v>
      </c>
      <c r="E52" s="61">
        <v>53.4</v>
      </c>
      <c r="F52" s="61">
        <v>53.6</v>
      </c>
      <c r="G52" s="61">
        <v>54.8</v>
      </c>
      <c r="H52" s="61">
        <v>48.7</v>
      </c>
      <c r="I52" s="61">
        <v>58.2</v>
      </c>
      <c r="J52" s="61">
        <v>51.3</v>
      </c>
      <c r="K52" s="61">
        <v>53.7</v>
      </c>
      <c r="L52" s="61">
        <v>53.8</v>
      </c>
      <c r="M52" s="61">
        <v>52.5</v>
      </c>
      <c r="N52" s="61">
        <v>66.7</v>
      </c>
      <c r="O52" s="61">
        <v>43.6</v>
      </c>
      <c r="P52" s="61">
        <v>46.9</v>
      </c>
      <c r="Q52" s="61">
        <v>58.9</v>
      </c>
      <c r="R52" s="61">
        <v>55.5</v>
      </c>
      <c r="S52" s="61">
        <v>56.3</v>
      </c>
      <c r="T52" s="61">
        <v>47.8</v>
      </c>
      <c r="U52" s="61">
        <v>51.2</v>
      </c>
      <c r="V52" s="61">
        <v>55.1</v>
      </c>
      <c r="W52" s="61">
        <v>48.7</v>
      </c>
      <c r="X52" s="61">
        <v>50.3</v>
      </c>
      <c r="Y52" s="61">
        <v>53.9</v>
      </c>
      <c r="Z52" s="61">
        <v>51.9</v>
      </c>
      <c r="AA52" s="61">
        <v>50.8</v>
      </c>
      <c r="AB52" s="61">
        <v>61.8</v>
      </c>
    </row>
    <row r="53" spans="2:28" s="62" customFormat="1" x14ac:dyDescent="0.2">
      <c r="B53" s="37">
        <v>44136</v>
      </c>
      <c r="C53" s="61">
        <v>53.8</v>
      </c>
      <c r="D53" s="61">
        <v>57.5</v>
      </c>
      <c r="E53" s="61">
        <v>56.7</v>
      </c>
      <c r="F53" s="61">
        <v>54.9</v>
      </c>
      <c r="G53" s="61">
        <v>53.8</v>
      </c>
      <c r="H53" s="61">
        <v>49</v>
      </c>
      <c r="I53" s="61">
        <v>57.8</v>
      </c>
      <c r="J53" s="61">
        <v>49.6</v>
      </c>
      <c r="K53" s="61">
        <v>55.6</v>
      </c>
      <c r="L53" s="61">
        <v>51.5</v>
      </c>
      <c r="M53" s="61">
        <v>49.8</v>
      </c>
      <c r="N53" s="61">
        <v>64</v>
      </c>
      <c r="O53" s="61">
        <v>43.7</v>
      </c>
      <c r="P53" s="61">
        <v>46.3</v>
      </c>
      <c r="Q53" s="61">
        <v>56.3</v>
      </c>
      <c r="R53" s="61">
        <v>55.8</v>
      </c>
      <c r="S53" s="61">
        <v>52.1</v>
      </c>
      <c r="T53" s="61">
        <v>50.6</v>
      </c>
      <c r="U53" s="61">
        <v>52.9</v>
      </c>
      <c r="V53" s="61">
        <v>56.9</v>
      </c>
      <c r="W53" s="61">
        <v>42.3</v>
      </c>
      <c r="X53" s="61">
        <v>52.2</v>
      </c>
      <c r="Y53" s="61">
        <v>51.4</v>
      </c>
      <c r="Z53" s="61">
        <v>53.9</v>
      </c>
      <c r="AA53" s="61">
        <v>50.8</v>
      </c>
      <c r="AB53" s="61">
        <v>47.7</v>
      </c>
    </row>
    <row r="54" spans="2:28" s="62" customFormat="1" x14ac:dyDescent="0.2">
      <c r="B54" s="37">
        <v>44166</v>
      </c>
      <c r="C54" s="61">
        <v>53.8</v>
      </c>
      <c r="D54" s="61">
        <v>60.7</v>
      </c>
      <c r="E54" s="61">
        <v>57.1</v>
      </c>
      <c r="F54" s="61">
        <v>53</v>
      </c>
      <c r="G54" s="61">
        <v>55.2</v>
      </c>
      <c r="H54" s="61">
        <v>50</v>
      </c>
      <c r="I54" s="61">
        <v>58.3</v>
      </c>
      <c r="J54" s="61">
        <v>51.1</v>
      </c>
      <c r="K54" s="61">
        <v>57.5</v>
      </c>
      <c r="L54" s="61">
        <v>52.8</v>
      </c>
      <c r="M54" s="61">
        <v>51</v>
      </c>
      <c r="N54" s="61">
        <v>61.5</v>
      </c>
      <c r="O54" s="61">
        <v>42.4</v>
      </c>
      <c r="P54" s="61">
        <v>49.7</v>
      </c>
      <c r="Q54" s="61">
        <v>56.4</v>
      </c>
      <c r="R54" s="61">
        <v>57.9</v>
      </c>
      <c r="S54" s="61"/>
      <c r="T54" s="61">
        <v>51.3</v>
      </c>
      <c r="U54" s="61">
        <v>52.9</v>
      </c>
      <c r="V54" s="61">
        <v>59.4</v>
      </c>
      <c r="W54" s="61">
        <v>46.9</v>
      </c>
      <c r="X54" s="61">
        <v>57.2</v>
      </c>
      <c r="Y54" s="61">
        <v>50.8</v>
      </c>
      <c r="Z54" s="61">
        <v>57</v>
      </c>
      <c r="AA54" s="61">
        <v>51.7</v>
      </c>
      <c r="AB54" s="61">
        <v>41.9</v>
      </c>
    </row>
    <row r="55" spans="2:28" s="62" customFormat="1" x14ac:dyDescent="0.2"/>
    <row r="56" spans="2:28" s="62" customFormat="1" x14ac:dyDescent="0.2"/>
    <row r="57" spans="2:28" s="62" customFormat="1" x14ac:dyDescent="0.2"/>
    <row r="58" spans="2:28" s="62" customFormat="1" x14ac:dyDescent="0.2"/>
    <row r="59" spans="2:28" s="62" customFormat="1" x14ac:dyDescent="0.2"/>
    <row r="60" spans="2:28" s="62" customFormat="1" x14ac:dyDescent="0.2"/>
    <row r="61" spans="2:28" s="62" customFormat="1" x14ac:dyDescent="0.2"/>
    <row r="62" spans="2:28" s="62" customFormat="1" x14ac:dyDescent="0.2"/>
    <row r="63" spans="2:28" s="62" customFormat="1" x14ac:dyDescent="0.2"/>
    <row r="64" spans="2:28" s="62" customFormat="1" x14ac:dyDescent="0.2"/>
    <row r="65" s="62" customFormat="1" x14ac:dyDescent="0.2"/>
    <row r="66" s="62" customFormat="1" x14ac:dyDescent="0.2"/>
    <row r="67" s="62" customFormat="1" x14ac:dyDescent="0.2"/>
    <row r="68" s="62" customFormat="1" x14ac:dyDescent="0.2"/>
    <row r="69" s="62" customFormat="1" x14ac:dyDescent="0.2"/>
    <row r="70" s="62" customFormat="1" x14ac:dyDescent="0.2"/>
    <row r="71" s="62" customFormat="1" x14ac:dyDescent="0.2"/>
    <row r="72" s="62" customFormat="1" x14ac:dyDescent="0.2"/>
    <row r="73" s="62" customFormat="1" x14ac:dyDescent="0.2"/>
    <row r="74" s="62" customFormat="1" x14ac:dyDescent="0.2"/>
    <row r="75" s="62" customFormat="1" x14ac:dyDescent="0.2"/>
    <row r="76" s="62" customFormat="1" x14ac:dyDescent="0.2"/>
    <row r="77" s="62" customFormat="1" x14ac:dyDescent="0.2"/>
    <row r="78" s="62" customFormat="1" x14ac:dyDescent="0.2"/>
    <row r="79" s="62" customFormat="1" x14ac:dyDescent="0.2"/>
    <row r="80" s="62" customFormat="1" x14ac:dyDescent="0.2"/>
    <row r="81" s="62" customFormat="1" x14ac:dyDescent="0.2"/>
    <row r="82" s="62" customFormat="1" x14ac:dyDescent="0.2"/>
    <row r="83" s="62" customFormat="1" x14ac:dyDescent="0.2"/>
    <row r="84" s="62" customFormat="1" x14ac:dyDescent="0.2"/>
    <row r="85" s="62" customFormat="1" x14ac:dyDescent="0.2"/>
    <row r="86" s="62" customFormat="1" x14ac:dyDescent="0.2"/>
    <row r="87" s="62" customFormat="1" x14ac:dyDescent="0.2"/>
    <row r="88" s="62" customFormat="1" x14ac:dyDescent="0.2"/>
    <row r="89" s="62" customFormat="1" x14ac:dyDescent="0.2"/>
    <row r="90" s="62" customFormat="1" x14ac:dyDescent="0.2"/>
    <row r="91" s="62" customFormat="1" x14ac:dyDescent="0.2"/>
    <row r="92" s="62" customFormat="1" x14ac:dyDescent="0.2"/>
    <row r="93" s="62" customFormat="1" x14ac:dyDescent="0.2"/>
    <row r="94" s="62" customFormat="1" x14ac:dyDescent="0.2"/>
    <row r="95" s="62" customFormat="1" x14ac:dyDescent="0.2"/>
    <row r="96" s="62" customFormat="1" x14ac:dyDescent="0.2"/>
    <row r="97" s="62" customFormat="1" x14ac:dyDescent="0.2"/>
    <row r="98" s="62" customFormat="1" x14ac:dyDescent="0.2"/>
    <row r="99" s="62" customFormat="1" x14ac:dyDescent="0.2"/>
    <row r="100" s="62" customFormat="1" x14ac:dyDescent="0.2"/>
    <row r="101" s="62" customFormat="1" x14ac:dyDescent="0.2"/>
    <row r="102" s="62" customFormat="1" x14ac:dyDescent="0.2"/>
    <row r="103" s="62" customFormat="1" x14ac:dyDescent="0.2"/>
    <row r="104" s="62" customFormat="1" x14ac:dyDescent="0.2"/>
    <row r="105" s="62" customFormat="1" x14ac:dyDescent="0.2"/>
    <row r="106" s="62" customFormat="1" x14ac:dyDescent="0.2"/>
    <row r="107" s="62" customFormat="1" x14ac:dyDescent="0.2"/>
    <row r="108" s="62" customFormat="1" x14ac:dyDescent="0.2"/>
    <row r="109" s="62" customFormat="1" x14ac:dyDescent="0.2"/>
    <row r="110" s="62" customFormat="1" x14ac:dyDescent="0.2"/>
    <row r="111" s="62" customFormat="1" x14ac:dyDescent="0.2"/>
    <row r="112" s="62" customFormat="1" x14ac:dyDescent="0.2"/>
    <row r="113" s="62" customFormat="1" x14ac:dyDescent="0.2"/>
    <row r="114" s="62" customFormat="1" x14ac:dyDescent="0.2"/>
    <row r="115" s="62" customFormat="1" x14ac:dyDescent="0.2"/>
    <row r="116" s="62" customFormat="1" x14ac:dyDescent="0.2"/>
    <row r="117" s="62" customFormat="1" x14ac:dyDescent="0.2"/>
    <row r="118" s="62" customFormat="1" x14ac:dyDescent="0.2"/>
    <row r="119" s="62" customFormat="1" x14ac:dyDescent="0.2"/>
    <row r="120" s="62" customFormat="1" x14ac:dyDescent="0.2"/>
    <row r="121" s="62" customFormat="1" x14ac:dyDescent="0.2"/>
    <row r="122" s="62" customFormat="1" x14ac:dyDescent="0.2"/>
    <row r="123" s="62" customFormat="1" x14ac:dyDescent="0.2"/>
    <row r="124" s="62" customFormat="1" x14ac:dyDescent="0.2"/>
    <row r="125" s="62" customFormat="1" x14ac:dyDescent="0.2"/>
    <row r="126" s="62" customFormat="1" x14ac:dyDescent="0.2"/>
    <row r="127" s="62" customFormat="1" x14ac:dyDescent="0.2"/>
    <row r="128" s="62" customFormat="1" x14ac:dyDescent="0.2"/>
    <row r="129" s="62" customFormat="1" x14ac:dyDescent="0.2"/>
    <row r="130" s="62" customFormat="1" x14ac:dyDescent="0.2"/>
    <row r="131" s="62" customFormat="1" x14ac:dyDescent="0.2"/>
    <row r="132" s="62" customFormat="1" x14ac:dyDescent="0.2"/>
    <row r="133" s="62" customFormat="1" x14ac:dyDescent="0.2"/>
    <row r="134" s="62" customFormat="1" x14ac:dyDescent="0.2"/>
    <row r="135" s="62" customFormat="1" x14ac:dyDescent="0.2"/>
    <row r="136" s="62" customFormat="1" x14ac:dyDescent="0.2"/>
    <row r="137" s="62" customFormat="1" x14ac:dyDescent="0.2"/>
    <row r="138" s="62" customFormat="1" x14ac:dyDescent="0.2"/>
    <row r="139" s="62" customFormat="1" x14ac:dyDescent="0.2"/>
    <row r="140" s="62" customFormat="1" x14ac:dyDescent="0.2"/>
    <row r="141" s="62" customFormat="1" x14ac:dyDescent="0.2"/>
    <row r="142" s="62" customFormat="1" x14ac:dyDescent="0.2"/>
    <row r="143" s="62" customFormat="1" x14ac:dyDescent="0.2"/>
    <row r="144" s="62" customFormat="1" x14ac:dyDescent="0.2"/>
    <row r="145" s="62" customFormat="1" x14ac:dyDescent="0.2"/>
    <row r="146" s="62" customFormat="1" x14ac:dyDescent="0.2"/>
    <row r="147" s="62" customFormat="1" x14ac:dyDescent="0.2"/>
    <row r="148" s="62" customFormat="1" x14ac:dyDescent="0.2"/>
    <row r="149" s="62" customFormat="1" x14ac:dyDescent="0.2"/>
    <row r="150" s="62" customFormat="1" x14ac:dyDescent="0.2"/>
    <row r="151" s="62" customFormat="1" x14ac:dyDescent="0.2"/>
    <row r="152" s="62" customFormat="1" x14ac:dyDescent="0.2"/>
    <row r="153" s="62" customFormat="1" x14ac:dyDescent="0.2"/>
    <row r="154" s="62" customFormat="1" x14ac:dyDescent="0.2"/>
    <row r="155" s="62" customFormat="1" x14ac:dyDescent="0.2"/>
    <row r="156" s="62" customFormat="1" x14ac:dyDescent="0.2"/>
    <row r="157" s="62" customFormat="1" x14ac:dyDescent="0.2"/>
    <row r="158" s="62" customFormat="1" x14ac:dyDescent="0.2"/>
    <row r="159" s="62" customFormat="1" x14ac:dyDescent="0.2"/>
    <row r="160" s="62" customFormat="1" x14ac:dyDescent="0.2"/>
    <row r="161" s="62" customFormat="1" x14ac:dyDescent="0.2"/>
    <row r="162" s="62" customFormat="1" x14ac:dyDescent="0.2"/>
    <row r="163" s="62" customFormat="1" x14ac:dyDescent="0.2"/>
    <row r="164" s="62" customFormat="1" x14ac:dyDescent="0.2"/>
    <row r="165" s="62" customFormat="1" x14ac:dyDescent="0.2"/>
    <row r="166" s="62" customFormat="1" x14ac:dyDescent="0.2"/>
    <row r="167" s="62" customFormat="1" x14ac:dyDescent="0.2"/>
    <row r="168" s="62" customFormat="1" x14ac:dyDescent="0.2"/>
    <row r="169" s="62" customFormat="1" x14ac:dyDescent="0.2"/>
    <row r="170" s="62" customFormat="1" x14ac:dyDescent="0.2"/>
    <row r="171" s="62" customFormat="1" x14ac:dyDescent="0.2"/>
    <row r="172" s="62" customFormat="1" x14ac:dyDescent="0.2"/>
    <row r="173" s="62" customFormat="1" x14ac:dyDescent="0.2"/>
    <row r="174" s="62" customFormat="1" x14ac:dyDescent="0.2"/>
    <row r="175" s="62" customFormat="1" x14ac:dyDescent="0.2"/>
    <row r="176" s="62" customFormat="1" x14ac:dyDescent="0.2"/>
    <row r="177" s="62" customFormat="1" x14ac:dyDescent="0.2"/>
    <row r="178" s="62" customFormat="1" x14ac:dyDescent="0.2"/>
    <row r="179" s="62" customFormat="1" x14ac:dyDescent="0.2"/>
    <row r="180" s="62" customFormat="1" x14ac:dyDescent="0.2"/>
    <row r="181" s="62" customFormat="1" x14ac:dyDescent="0.2"/>
    <row r="182" s="62" customFormat="1" x14ac:dyDescent="0.2"/>
    <row r="183" s="62" customFormat="1" x14ac:dyDescent="0.2"/>
    <row r="184" s="62" customFormat="1" x14ac:dyDescent="0.2"/>
    <row r="185" s="62" customFormat="1" x14ac:dyDescent="0.2"/>
    <row r="186" s="62" customFormat="1" x14ac:dyDescent="0.2"/>
    <row r="187" s="62" customFormat="1" x14ac:dyDescent="0.2"/>
    <row r="188" s="62" customFormat="1" x14ac:dyDescent="0.2"/>
    <row r="189" s="62" customFormat="1" x14ac:dyDescent="0.2"/>
    <row r="190" s="62" customFormat="1" x14ac:dyDescent="0.2"/>
    <row r="191" s="62" customFormat="1" x14ac:dyDescent="0.2"/>
    <row r="192" s="62" customFormat="1" x14ac:dyDescent="0.2"/>
    <row r="193" s="62" customFormat="1" x14ac:dyDescent="0.2"/>
    <row r="194" s="62" customFormat="1" x14ac:dyDescent="0.2"/>
    <row r="195" s="62" customFormat="1" x14ac:dyDescent="0.2"/>
    <row r="196" s="62" customFormat="1" x14ac:dyDescent="0.2"/>
    <row r="197" s="62" customFormat="1" x14ac:dyDescent="0.2"/>
    <row r="198" s="62" customFormat="1" x14ac:dyDescent="0.2"/>
    <row r="199" s="62" customFormat="1" x14ac:dyDescent="0.2"/>
    <row r="200" s="62" customFormat="1" x14ac:dyDescent="0.2"/>
    <row r="201" s="62" customFormat="1" x14ac:dyDescent="0.2"/>
    <row r="202" s="62" customFormat="1" x14ac:dyDescent="0.2"/>
    <row r="203" s="62" customFormat="1" x14ac:dyDescent="0.2"/>
    <row r="204" s="62" customFormat="1" x14ac:dyDescent="0.2"/>
    <row r="205" s="62" customFormat="1" x14ac:dyDescent="0.2"/>
    <row r="206" s="62" customFormat="1" x14ac:dyDescent="0.2"/>
    <row r="207" s="62" customFormat="1" x14ac:dyDescent="0.2"/>
    <row r="208" s="62" customFormat="1" x14ac:dyDescent="0.2"/>
    <row r="209" s="62" customFormat="1" x14ac:dyDescent="0.2"/>
    <row r="210" s="62" customFormat="1" x14ac:dyDescent="0.2"/>
    <row r="211" s="62" customFormat="1" x14ac:dyDescent="0.2"/>
    <row r="212" s="62" customFormat="1" x14ac:dyDescent="0.2"/>
    <row r="213" s="62" customFormat="1" x14ac:dyDescent="0.2"/>
    <row r="214" s="62" customFormat="1" x14ac:dyDescent="0.2"/>
    <row r="215" s="62" customFormat="1" x14ac:dyDescent="0.2"/>
    <row r="216" s="62" customFormat="1" x14ac:dyDescent="0.2"/>
    <row r="217" s="62" customFormat="1" x14ac:dyDescent="0.2"/>
    <row r="218" s="62" customFormat="1" x14ac:dyDescent="0.2"/>
    <row r="219" s="62" customFormat="1" x14ac:dyDescent="0.2"/>
    <row r="220" s="62" customFormat="1" x14ac:dyDescent="0.2"/>
    <row r="221" s="62" customFormat="1" x14ac:dyDescent="0.2"/>
    <row r="222" s="62" customFormat="1" x14ac:dyDescent="0.2"/>
    <row r="223" s="62" customFormat="1" x14ac:dyDescent="0.2"/>
    <row r="224" s="62" customFormat="1" x14ac:dyDescent="0.2"/>
    <row r="225" s="62" customFormat="1" x14ac:dyDescent="0.2"/>
    <row r="226" s="62" customFormat="1" x14ac:dyDescent="0.2"/>
    <row r="227" s="62" customFormat="1" x14ac:dyDescent="0.2"/>
    <row r="228" s="62" customFormat="1" x14ac:dyDescent="0.2"/>
    <row r="229" s="62" customFormat="1" x14ac:dyDescent="0.2"/>
    <row r="230" s="62" customFormat="1" x14ac:dyDescent="0.2"/>
    <row r="231" s="62" customFormat="1" x14ac:dyDescent="0.2"/>
    <row r="232" s="62" customFormat="1" x14ac:dyDescent="0.2"/>
    <row r="233" s="62" customFormat="1" x14ac:dyDescent="0.2"/>
    <row r="234" s="62" customFormat="1" x14ac:dyDescent="0.2"/>
    <row r="235" s="62" customFormat="1" x14ac:dyDescent="0.2"/>
    <row r="236" s="62" customFormat="1" x14ac:dyDescent="0.2"/>
    <row r="237" s="62" customFormat="1" x14ac:dyDescent="0.2"/>
    <row r="238" s="62" customFormat="1" x14ac:dyDescent="0.2"/>
    <row r="239" s="62" customFormat="1" x14ac:dyDescent="0.2"/>
    <row r="240" s="62" customFormat="1" x14ac:dyDescent="0.2"/>
    <row r="241" s="62" customFormat="1" x14ac:dyDescent="0.2"/>
    <row r="242" s="62" customFormat="1" x14ac:dyDescent="0.2"/>
    <row r="243" s="62" customFormat="1" x14ac:dyDescent="0.2"/>
    <row r="244" s="62" customFormat="1" x14ac:dyDescent="0.2"/>
    <row r="245" s="62" customFormat="1" x14ac:dyDescent="0.2"/>
    <row r="246" s="62" customFormat="1" x14ac:dyDescent="0.2"/>
    <row r="247" s="62" customFormat="1" x14ac:dyDescent="0.2"/>
    <row r="248" s="62" customFormat="1" x14ac:dyDescent="0.2"/>
    <row r="249" s="62" customFormat="1" x14ac:dyDescent="0.2"/>
    <row r="250" s="62" customFormat="1" x14ac:dyDescent="0.2"/>
    <row r="251" s="62" customFormat="1" x14ac:dyDescent="0.2"/>
    <row r="252" s="62" customFormat="1" x14ac:dyDescent="0.2"/>
    <row r="253" s="62" customFormat="1" x14ac:dyDescent="0.2"/>
    <row r="254" s="62" customFormat="1" x14ac:dyDescent="0.2"/>
    <row r="255" s="62" customFormat="1" x14ac:dyDescent="0.2"/>
    <row r="256" s="62" customFormat="1" x14ac:dyDescent="0.2"/>
    <row r="257" s="62" customFormat="1" x14ac:dyDescent="0.2"/>
    <row r="258" s="62" customFormat="1" x14ac:dyDescent="0.2"/>
    <row r="259" s="62" customFormat="1" x14ac:dyDescent="0.2"/>
    <row r="260" s="62" customFormat="1" x14ac:dyDescent="0.2"/>
    <row r="261" s="62" customFormat="1" x14ac:dyDescent="0.2"/>
    <row r="262" s="62" customFormat="1" x14ac:dyDescent="0.2"/>
    <row r="263" s="62" customFormat="1" x14ac:dyDescent="0.2"/>
    <row r="264" s="62" customFormat="1" x14ac:dyDescent="0.2"/>
    <row r="265" s="62" customFormat="1" x14ac:dyDescent="0.2"/>
    <row r="266" s="62" customFormat="1" x14ac:dyDescent="0.2"/>
    <row r="267" s="62" customFormat="1" x14ac:dyDescent="0.2"/>
    <row r="268" s="62" customFormat="1" x14ac:dyDescent="0.2"/>
    <row r="269" s="62" customFormat="1" x14ac:dyDescent="0.2"/>
    <row r="270" s="62" customFormat="1" x14ac:dyDescent="0.2"/>
    <row r="271" s="62" customFormat="1" x14ac:dyDescent="0.2"/>
    <row r="272" s="62" customFormat="1" x14ac:dyDescent="0.2"/>
    <row r="273" s="62" customFormat="1" x14ac:dyDescent="0.2"/>
    <row r="274" s="62" customFormat="1" x14ac:dyDescent="0.2"/>
    <row r="275" s="62" customFormat="1" x14ac:dyDescent="0.2"/>
    <row r="276" s="62" customFormat="1" x14ac:dyDescent="0.2"/>
    <row r="277" s="62" customFormat="1" x14ac:dyDescent="0.2"/>
    <row r="278" s="62" customFormat="1" x14ac:dyDescent="0.2"/>
    <row r="279" s="62" customFormat="1" x14ac:dyDescent="0.2"/>
    <row r="280" s="62" customFormat="1" x14ac:dyDescent="0.2"/>
    <row r="281" s="62" customFormat="1" x14ac:dyDescent="0.2"/>
    <row r="282" s="62" customFormat="1" x14ac:dyDescent="0.2"/>
    <row r="283" s="62" customFormat="1" x14ac:dyDescent="0.2"/>
    <row r="284" s="62" customFormat="1" x14ac:dyDescent="0.2"/>
    <row r="285" s="62" customFormat="1" x14ac:dyDescent="0.2"/>
    <row r="286" s="62" customFormat="1" x14ac:dyDescent="0.2"/>
    <row r="287" s="62" customFormat="1" x14ac:dyDescent="0.2"/>
    <row r="288" s="62" customFormat="1" x14ac:dyDescent="0.2"/>
    <row r="289" s="62" customFormat="1" x14ac:dyDescent="0.2"/>
    <row r="290" s="62" customFormat="1" x14ac:dyDescent="0.2"/>
    <row r="291" s="62" customFormat="1" x14ac:dyDescent="0.2"/>
    <row r="292" s="62" customFormat="1" x14ac:dyDescent="0.2"/>
    <row r="293" s="62" customFormat="1" x14ac:dyDescent="0.2"/>
    <row r="294" s="62" customFormat="1" x14ac:dyDescent="0.2"/>
    <row r="295" s="62" customFormat="1" x14ac:dyDescent="0.2"/>
    <row r="296" s="62" customFormat="1" x14ac:dyDescent="0.2"/>
    <row r="297" s="62" customFormat="1" x14ac:dyDescent="0.2"/>
    <row r="298" s="62" customFormat="1" x14ac:dyDescent="0.2"/>
    <row r="299" s="62" customFormat="1" x14ac:dyDescent="0.2"/>
    <row r="300" s="62" customFormat="1" x14ac:dyDescent="0.2"/>
    <row r="301" s="62" customFormat="1" x14ac:dyDescent="0.2"/>
    <row r="302" s="62" customFormat="1" x14ac:dyDescent="0.2"/>
    <row r="303" s="62" customFormat="1" x14ac:dyDescent="0.2"/>
    <row r="304" s="62" customFormat="1" x14ac:dyDescent="0.2"/>
    <row r="305" s="62" customFormat="1" x14ac:dyDescent="0.2"/>
    <row r="306" s="62" customFormat="1" x14ac:dyDescent="0.2"/>
    <row r="307" s="62" customFormat="1" x14ac:dyDescent="0.2"/>
    <row r="308" s="62" customFormat="1" x14ac:dyDescent="0.2"/>
    <row r="309" s="62" customFormat="1" x14ac:dyDescent="0.2"/>
    <row r="310" s="62" customFormat="1" x14ac:dyDescent="0.2"/>
    <row r="311" s="62" customFormat="1" x14ac:dyDescent="0.2"/>
    <row r="312" s="62" customFormat="1" x14ac:dyDescent="0.2"/>
    <row r="313" s="62" customFormat="1" x14ac:dyDescent="0.2"/>
    <row r="314" s="62" customFormat="1" x14ac:dyDescent="0.2"/>
    <row r="315" s="62" customFormat="1" x14ac:dyDescent="0.2"/>
    <row r="316" s="62" customFormat="1" x14ac:dyDescent="0.2"/>
    <row r="317" s="62" customFormat="1" x14ac:dyDescent="0.2"/>
    <row r="318" s="62" customFormat="1" x14ac:dyDescent="0.2"/>
    <row r="319" s="62" customFormat="1" x14ac:dyDescent="0.2"/>
    <row r="320" s="62" customFormat="1" x14ac:dyDescent="0.2"/>
    <row r="321" s="62" customFormat="1" x14ac:dyDescent="0.2"/>
    <row r="322" s="62" customFormat="1" x14ac:dyDescent="0.2"/>
    <row r="323" s="62" customFormat="1" x14ac:dyDescent="0.2"/>
    <row r="324" s="62" customFormat="1" x14ac:dyDescent="0.2"/>
    <row r="325" s="62" customFormat="1" x14ac:dyDescent="0.2"/>
    <row r="326" s="62" customFormat="1" x14ac:dyDescent="0.2"/>
    <row r="327" s="62" customFormat="1" x14ac:dyDescent="0.2"/>
    <row r="328" s="62" customFormat="1" x14ac:dyDescent="0.2"/>
  </sheetData>
  <conditionalFormatting sqref="C6:AA6">
    <cfRule type="containsText" dxfId="11" priority="15" operator="containsText" text="below">
      <formula>NOT(ISERROR(SEARCH("below",C6)))</formula>
    </cfRule>
    <cfRule type="containsText" dxfId="10" priority="16" operator="containsText" text="above">
      <formula>NOT(ISERROR(SEARCH("above",C6)))</formula>
    </cfRule>
  </conditionalFormatting>
  <conditionalFormatting sqref="C8:AA8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AB6">
    <cfRule type="containsText" dxfId="7" priority="11" operator="containsText" text="below">
      <formula>NOT(ISERROR(SEARCH("below",AB6)))</formula>
    </cfRule>
    <cfRule type="containsText" dxfId="6" priority="12" operator="containsText" text="above">
      <formula>NOT(ISERROR(SEARCH("above",AB6)))</formula>
    </cfRule>
  </conditionalFormatting>
  <conditionalFormatting sqref="AB8">
    <cfRule type="cellIs" dxfId="5" priority="9" operator="lessThan">
      <formula>0</formula>
    </cfRule>
    <cfRule type="cellIs" dxfId="4" priority="10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47">
    <cfRule type="colorScale" priority="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8:AB54">
    <cfRule type="colorScale" priority="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Note</vt:lpstr>
      <vt:lpstr>DB US Lagging Indicators</vt:lpstr>
      <vt:lpstr>DB US Rates and Currency</vt:lpstr>
      <vt:lpstr>DB US Leading Indicators</vt:lpstr>
      <vt:lpstr>DB ISM Manufacturing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2022-02-12T15:22:32Z</dcterms:modified>
</cp:coreProperties>
</file>