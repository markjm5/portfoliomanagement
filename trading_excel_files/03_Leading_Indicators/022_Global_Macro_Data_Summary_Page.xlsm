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AF816FE2-2D70-4F0D-9C05-8BA3127BF914}" xr6:coauthVersionLast="47" xr6:coauthVersionMax="47" xr10:uidLastSave="{00000000-0000-0000-0000-000000000000}"/>
  <bookViews>
    <workbookView xWindow="-12195" yWindow="-21045" windowWidth="34665" windowHeight="20580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6" l="1"/>
  <c r="AB77" i="7"/>
  <c r="AA77" i="7"/>
  <c r="Z77" i="7"/>
  <c r="Y77" i="7"/>
  <c r="X77" i="7"/>
  <c r="W77" i="7"/>
  <c r="V77" i="7"/>
  <c r="U77" i="7"/>
  <c r="T77" i="7"/>
  <c r="T9" i="7" s="1"/>
  <c r="S77" i="7"/>
  <c r="R77" i="7"/>
  <c r="Q77" i="7"/>
  <c r="P77" i="7"/>
  <c r="O77" i="7"/>
  <c r="N77" i="7"/>
  <c r="M77" i="7"/>
  <c r="L77" i="7"/>
  <c r="K77" i="7"/>
  <c r="J77" i="7"/>
  <c r="I77" i="7"/>
  <c r="H77" i="7"/>
  <c r="H9" i="7" s="1"/>
  <c r="G77" i="7"/>
  <c r="F77" i="7"/>
  <c r="E77" i="7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T5" i="7" s="1"/>
  <c r="T6" i="7" s="1"/>
  <c r="S17" i="7"/>
  <c r="R17" i="7"/>
  <c r="Q17" i="7"/>
  <c r="P17" i="7"/>
  <c r="O17" i="7"/>
  <c r="N17" i="7"/>
  <c r="M17" i="7"/>
  <c r="L17" i="7"/>
  <c r="K17" i="7"/>
  <c r="J17" i="7"/>
  <c r="I17" i="7"/>
  <c r="H17" i="7"/>
  <c r="H5" i="7" s="1"/>
  <c r="H6" i="7" s="1"/>
  <c r="G17" i="7"/>
  <c r="F17" i="7"/>
  <c r="E17" i="7"/>
  <c r="D17" i="7"/>
  <c r="C17" i="7"/>
  <c r="AB16" i="7"/>
  <c r="AA16" i="7"/>
  <c r="Z16" i="7"/>
  <c r="Y16" i="7"/>
  <c r="X16" i="7"/>
  <c r="W16" i="7"/>
  <c r="V16" i="7"/>
  <c r="V4" i="7" s="1"/>
  <c r="U16" i="7"/>
  <c r="T16" i="7"/>
  <c r="S16" i="7"/>
  <c r="R16" i="7"/>
  <c r="Q16" i="7"/>
  <c r="Q3" i="7" s="1"/>
  <c r="P16" i="7"/>
  <c r="O16" i="7"/>
  <c r="N16" i="7"/>
  <c r="M16" i="7"/>
  <c r="L16" i="7"/>
  <c r="K16" i="7"/>
  <c r="J16" i="7"/>
  <c r="J4" i="7" s="1"/>
  <c r="I16" i="7"/>
  <c r="H16" i="7"/>
  <c r="G16" i="7"/>
  <c r="F16" i="7"/>
  <c r="E16" i="7"/>
  <c r="E3" i="7" s="1"/>
  <c r="D16" i="7"/>
  <c r="C16" i="7"/>
  <c r="AB15" i="7"/>
  <c r="AA15" i="7"/>
  <c r="Z15" i="7"/>
  <c r="Y15" i="7"/>
  <c r="X15" i="7"/>
  <c r="X5" i="7" s="1"/>
  <c r="X6" i="7" s="1"/>
  <c r="W15" i="7"/>
  <c r="V15" i="7"/>
  <c r="U15" i="7"/>
  <c r="T15" i="7"/>
  <c r="S15" i="7"/>
  <c r="S5" i="7" s="1"/>
  <c r="S6" i="7" s="1"/>
  <c r="R15" i="7"/>
  <c r="Q15" i="7"/>
  <c r="P15" i="7"/>
  <c r="O15" i="7"/>
  <c r="N15" i="7"/>
  <c r="M15" i="7"/>
  <c r="L15" i="7"/>
  <c r="L5" i="7" s="1"/>
  <c r="L6" i="7" s="1"/>
  <c r="K15" i="7"/>
  <c r="J15" i="7"/>
  <c r="I15" i="7"/>
  <c r="H15" i="7"/>
  <c r="G15" i="7"/>
  <c r="G5" i="7" s="1"/>
  <c r="G6" i="7" s="1"/>
  <c r="F15" i="7"/>
  <c r="E15" i="7"/>
  <c r="D15" i="7"/>
  <c r="C15" i="7"/>
  <c r="AB14" i="7"/>
  <c r="AA14" i="7"/>
  <c r="AA4" i="7" s="1"/>
  <c r="Z14" i="7"/>
  <c r="Z5" i="7" s="1"/>
  <c r="Z6" i="7" s="1"/>
  <c r="Y14" i="7"/>
  <c r="X14" i="7"/>
  <c r="W14" i="7"/>
  <c r="V14" i="7"/>
  <c r="U14" i="7"/>
  <c r="T14" i="7"/>
  <c r="S14" i="7"/>
  <c r="R14" i="7"/>
  <c r="Q14" i="7"/>
  <c r="P14" i="7"/>
  <c r="O14" i="7"/>
  <c r="O4" i="7" s="1"/>
  <c r="N14" i="7"/>
  <c r="N5" i="7" s="1"/>
  <c r="N6" i="7" s="1"/>
  <c r="M14" i="7"/>
  <c r="L14" i="7"/>
  <c r="K14" i="7"/>
  <c r="J14" i="7"/>
  <c r="I14" i="7"/>
  <c r="H14" i="7"/>
  <c r="G14" i="7"/>
  <c r="F14" i="7"/>
  <c r="E14" i="7"/>
  <c r="D14" i="7"/>
  <c r="C14" i="7"/>
  <c r="C5" i="7" s="1"/>
  <c r="C6" i="7" s="1"/>
  <c r="AB13" i="7"/>
  <c r="AB5" i="7" s="1"/>
  <c r="AB6" i="7" s="1"/>
  <c r="AA13" i="7"/>
  <c r="Z13" i="7"/>
  <c r="Y13" i="7"/>
  <c r="X13" i="7"/>
  <c r="W13" i="7"/>
  <c r="W5" i="7" s="1"/>
  <c r="W6" i="7" s="1"/>
  <c r="V13" i="7"/>
  <c r="V5" i="7" s="1"/>
  <c r="V6" i="7" s="1"/>
  <c r="U13" i="7"/>
  <c r="U5" i="7" s="1"/>
  <c r="U6" i="7" s="1"/>
  <c r="T13" i="7"/>
  <c r="S13" i="7"/>
  <c r="R13" i="7"/>
  <c r="Q13" i="7"/>
  <c r="Q4" i="7" s="1"/>
  <c r="P13" i="7"/>
  <c r="P5" i="7" s="1"/>
  <c r="P6" i="7" s="1"/>
  <c r="O13" i="7"/>
  <c r="N13" i="7"/>
  <c r="M13" i="7"/>
  <c r="L13" i="7"/>
  <c r="K13" i="7"/>
  <c r="K5" i="7" s="1"/>
  <c r="K6" i="7" s="1"/>
  <c r="J13" i="7"/>
  <c r="J5" i="7" s="1"/>
  <c r="J6" i="7" s="1"/>
  <c r="I13" i="7"/>
  <c r="I5" i="7" s="1"/>
  <c r="I6" i="7" s="1"/>
  <c r="H13" i="7"/>
  <c r="G13" i="7"/>
  <c r="F13" i="7"/>
  <c r="E13" i="7"/>
  <c r="E5" i="7" s="1"/>
  <c r="E6" i="7" s="1"/>
  <c r="D13" i="7"/>
  <c r="D5" i="7" s="1"/>
  <c r="D6" i="7" s="1"/>
  <c r="C13" i="7"/>
  <c r="AB12" i="7"/>
  <c r="AB3" i="7" s="1"/>
  <c r="AA12" i="7"/>
  <c r="AA3" i="7" s="1"/>
  <c r="Z12" i="7"/>
  <c r="Y12" i="7"/>
  <c r="Y4" i="7" s="1"/>
  <c r="X12" i="7"/>
  <c r="X4" i="7" s="1"/>
  <c r="W12" i="7"/>
  <c r="W4" i="7" s="1"/>
  <c r="V12" i="7"/>
  <c r="U12" i="7"/>
  <c r="T12" i="7"/>
  <c r="S12" i="7"/>
  <c r="S4" i="7" s="1"/>
  <c r="R12" i="7"/>
  <c r="R3" i="7" s="1"/>
  <c r="Q12" i="7"/>
  <c r="P12" i="7"/>
  <c r="P3" i="7" s="1"/>
  <c r="O12" i="7"/>
  <c r="O3" i="7" s="1"/>
  <c r="N12" i="7"/>
  <c r="M12" i="7"/>
  <c r="M4" i="7" s="1"/>
  <c r="L12" i="7"/>
  <c r="L4" i="7" s="1"/>
  <c r="K12" i="7"/>
  <c r="K4" i="7" s="1"/>
  <c r="J12" i="7"/>
  <c r="I12" i="7"/>
  <c r="H12" i="7"/>
  <c r="G12" i="7"/>
  <c r="G4" i="7" s="1"/>
  <c r="F12" i="7"/>
  <c r="F3" i="7" s="1"/>
  <c r="E12" i="7"/>
  <c r="D12" i="7"/>
  <c r="D3" i="7" s="1"/>
  <c r="C12" i="7"/>
  <c r="C4" i="7" s="1"/>
  <c r="AB9" i="7"/>
  <c r="AA9" i="7"/>
  <c r="Z9" i="7"/>
  <c r="Y9" i="7"/>
  <c r="X9" i="7"/>
  <c r="W9" i="7"/>
  <c r="V9" i="7"/>
  <c r="U9" i="7"/>
  <c r="S9" i="7"/>
  <c r="R9" i="7"/>
  <c r="Q9" i="7"/>
  <c r="P9" i="7"/>
  <c r="O9" i="7"/>
  <c r="N9" i="7"/>
  <c r="M9" i="7"/>
  <c r="L9" i="7"/>
  <c r="K9" i="7"/>
  <c r="J9" i="7"/>
  <c r="I9" i="7"/>
  <c r="G9" i="7"/>
  <c r="F9" i="7"/>
  <c r="E9" i="7"/>
  <c r="D9" i="7"/>
  <c r="C9" i="7"/>
  <c r="X8" i="7"/>
  <c r="X10" i="7" s="1"/>
  <c r="S8" i="7"/>
  <c r="S10" i="7" s="1"/>
  <c r="L8" i="7"/>
  <c r="L10" i="7" s="1"/>
  <c r="G8" i="7"/>
  <c r="G10" i="7" s="1"/>
  <c r="AA7" i="7"/>
  <c r="Z7" i="7"/>
  <c r="U7" i="7"/>
  <c r="S7" i="7"/>
  <c r="O7" i="7"/>
  <c r="N7" i="7"/>
  <c r="I7" i="7"/>
  <c r="G7" i="7"/>
  <c r="C7" i="7"/>
  <c r="Y5" i="7"/>
  <c r="Y6" i="7" s="1"/>
  <c r="R5" i="7"/>
  <c r="R6" i="7" s="1"/>
  <c r="M5" i="7"/>
  <c r="M6" i="7" s="1"/>
  <c r="F5" i="7"/>
  <c r="F6" i="7" s="1"/>
  <c r="AG4" i="7"/>
  <c r="V7" i="7" s="1"/>
  <c r="U4" i="7"/>
  <c r="I4" i="7"/>
  <c r="AG3" i="7"/>
  <c r="T8" i="7" s="1"/>
  <c r="T10" i="7" s="1"/>
  <c r="X3" i="7"/>
  <c r="S3" i="7"/>
  <c r="L3" i="7"/>
  <c r="G3" i="7"/>
  <c r="K16" i="6"/>
  <c r="J16" i="6"/>
  <c r="I16" i="6"/>
  <c r="F16" i="6"/>
  <c r="E16" i="6"/>
  <c r="D16" i="6"/>
  <c r="N15" i="6"/>
  <c r="K15" i="6"/>
  <c r="F15" i="6"/>
  <c r="E15" i="6"/>
  <c r="D15" i="6"/>
  <c r="N14" i="6"/>
  <c r="K14" i="6"/>
  <c r="I14" i="6"/>
  <c r="F14" i="6"/>
  <c r="E14" i="6"/>
  <c r="D14" i="6"/>
  <c r="P13" i="6"/>
  <c r="O13" i="6"/>
  <c r="N13" i="6"/>
  <c r="K13" i="6"/>
  <c r="J13" i="6"/>
  <c r="I13" i="6"/>
  <c r="I15" i="6" s="1"/>
  <c r="F13" i="6"/>
  <c r="E13" i="6"/>
  <c r="D13" i="6"/>
  <c r="P12" i="6"/>
  <c r="O12" i="6"/>
  <c r="N12" i="6"/>
  <c r="K12" i="6"/>
  <c r="J12" i="6"/>
  <c r="J15" i="6" s="1"/>
  <c r="I12" i="6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D4" i="7" l="1"/>
  <c r="P4" i="7"/>
  <c r="AB4" i="7"/>
  <c r="H3" i="7"/>
  <c r="I3" i="7"/>
  <c r="U3" i="7"/>
  <c r="F4" i="7"/>
  <c r="R4" i="7"/>
  <c r="O5" i="7"/>
  <c r="O6" i="7" s="1"/>
  <c r="AA5" i="7"/>
  <c r="AA6" i="7" s="1"/>
  <c r="K7" i="7"/>
  <c r="W7" i="7"/>
  <c r="I8" i="7"/>
  <c r="I10" i="7" s="1"/>
  <c r="U8" i="7"/>
  <c r="U10" i="7" s="1"/>
  <c r="T3" i="7"/>
  <c r="J3" i="7"/>
  <c r="V3" i="7"/>
  <c r="L7" i="7"/>
  <c r="X7" i="7"/>
  <c r="J8" i="7"/>
  <c r="J10" i="7" s="1"/>
  <c r="V8" i="7"/>
  <c r="V10" i="7" s="1"/>
  <c r="E4" i="7"/>
  <c r="K3" i="7"/>
  <c r="W3" i="7"/>
  <c r="H4" i="7"/>
  <c r="T4" i="7"/>
  <c r="Q5" i="7"/>
  <c r="Q6" i="7" s="1"/>
  <c r="M7" i="7"/>
  <c r="Y7" i="7"/>
  <c r="K8" i="7"/>
  <c r="K10" i="7" s="1"/>
  <c r="W8" i="7"/>
  <c r="W10" i="7" s="1"/>
  <c r="M3" i="7"/>
  <c r="Y8" i="7"/>
  <c r="Y10" i="7" s="1"/>
  <c r="N3" i="7"/>
  <c r="D7" i="7"/>
  <c r="P7" i="7"/>
  <c r="AB7" i="7"/>
  <c r="N8" i="7"/>
  <c r="N10" i="7" s="1"/>
  <c r="Z8" i="7"/>
  <c r="Z10" i="7" s="1"/>
  <c r="Y3" i="7"/>
  <c r="M8" i="7"/>
  <c r="M10" i="7" s="1"/>
  <c r="Z3" i="7"/>
  <c r="C3" i="7"/>
  <c r="E7" i="7"/>
  <c r="Q7" i="7"/>
  <c r="C8" i="7"/>
  <c r="C10" i="7" s="1"/>
  <c r="O8" i="7"/>
  <c r="O10" i="7" s="1"/>
  <c r="AA8" i="7"/>
  <c r="AA10" i="7" s="1"/>
  <c r="F7" i="7"/>
  <c r="R7" i="7"/>
  <c r="D8" i="7"/>
  <c r="D10" i="7" s="1"/>
  <c r="P8" i="7"/>
  <c r="P10" i="7" s="1"/>
  <c r="AB8" i="7"/>
  <c r="AB10" i="7" s="1"/>
  <c r="N4" i="7"/>
  <c r="Z4" i="7"/>
  <c r="E8" i="7"/>
  <c r="E10" i="7" s="1"/>
  <c r="Q8" i="7"/>
  <c r="Q10" i="7" s="1"/>
  <c r="H7" i="7"/>
  <c r="T7" i="7"/>
  <c r="F8" i="7"/>
  <c r="F10" i="7" s="1"/>
  <c r="R8" i="7"/>
  <c r="R10" i="7" s="1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<sst xmlns="http://schemas.openxmlformats.org/spreadsheetml/2006/main" count="212" uniqueCount="149">
  <si>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</si>
  <si>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</si>
  <si>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</si>
  <si>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</si>
  <si>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</si>
  <si>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</si>
  <si>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</si>
  <si>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</si>
  <si>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</si>
  <si>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</si>
  <si>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</si>
  <si>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</si>
  <si>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</si>
  <si>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</si>
  <si>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</si>
  <si>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</si>
  <si>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</si>
  <si>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</si>
  <si>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</si>
  <si>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</si>
  <si>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</si>
  <si>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4.25-4.50%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</si>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</sst>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8-4A26-AE7F-B68BE387D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-8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E-45C8-AA11-DF508299D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-2</c:v>
                </c:pt>
                <c:pt idx="1">
                  <c:v>1</c:v>
                </c:pt>
                <c:pt idx="2">
                  <c:v>3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B-403D-A861-4F04A5A5E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-6</c:v>
                </c:pt>
                <c:pt idx="1">
                  <c:v>-5</c:v>
                </c:pt>
                <c:pt idx="2">
                  <c:v>-7</c:v>
                </c:pt>
                <c:pt idx="3">
                  <c:v>-10</c:v>
                </c:pt>
                <c:pt idx="4">
                  <c:v>-7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2-470D-8AB8-77D996DF3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5</c:v>
                </c:pt>
                <c:pt idx="1">
                  <c:v>3</c:v>
                </c:pt>
                <c:pt idx="2">
                  <c:v>8</c:v>
                </c:pt>
                <c:pt idx="3">
                  <c:v>6</c:v>
                </c:pt>
                <c:pt idx="4">
                  <c:v>-2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7-4A00-9C16-8A235A97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-4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4-4C58-A9FA-4DE645D6A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F-4C44-A8D3-C2378F697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-8</c:v>
                </c:pt>
                <c:pt idx="4">
                  <c:v>-10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7-4BC4-BF3C-A5E24332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F-4285-A9D8-677B1CF5B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-5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8-4CF5-9FB9-115EDFC5A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-3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9-4E6E-8FC6-49912DCA0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-4</c:v>
                </c:pt>
                <c:pt idx="3">
                  <c:v>-6</c:v>
                </c:pt>
                <c:pt idx="4">
                  <c:v>-12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3-469F-A029-F0B92A3B4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-6</c:v>
                </c:pt>
                <c:pt idx="3">
                  <c:v>-7</c:v>
                </c:pt>
                <c:pt idx="4">
                  <c:v>-9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6-419F-B7D5-C5A0A4B6F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6-4F68-8311-6A275361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-7</c:v>
                </c:pt>
                <c:pt idx="1">
                  <c:v>-7</c:v>
                </c:pt>
                <c:pt idx="2">
                  <c:v>-5</c:v>
                </c:pt>
                <c:pt idx="3">
                  <c:v>-9</c:v>
                </c:pt>
                <c:pt idx="4">
                  <c:v>-11</c:v>
                </c:pt>
                <c:pt idx="5">
                  <c:v>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6-435F-87CD-E3E45D733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11</c:v>
                </c:pt>
                <c:pt idx="1">
                  <c:v>-6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5-4AA9-86B0-CA5020261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-1</c:v>
                </c:pt>
                <c:pt idx="1">
                  <c:v>-3</c:v>
                </c:pt>
                <c:pt idx="2">
                  <c:v>-2</c:v>
                </c:pt>
                <c:pt idx="3">
                  <c:v>-4</c:v>
                </c:pt>
                <c:pt idx="4">
                  <c:v>-6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3-4986-AD45-6BED886E5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8-49C6-BB6F-9C3979D0B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18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2-4AC3-BFEE-F2B189F3A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3</c:v>
                </c:pt>
                <c:pt idx="1">
                  <c:v>14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9-43F8-A8A7-29D6236F4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13</c:v>
                </c:pt>
                <c:pt idx="2">
                  <c:v>16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585-9ADA-76588B3EE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13</c:v>
                </c:pt>
                <c:pt idx="1">
                  <c:v>-1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A-4FCB-8FA8-8A2108726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7</c:v>
                </c:pt>
                <c:pt idx="2">
                  <c:v>11</c:v>
                </c:pt>
                <c:pt idx="3">
                  <c:v>15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51-4268-9BD9-F5564119D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7</c:v>
                </c:pt>
                <c:pt idx="1">
                  <c:v>16</c:v>
                </c:pt>
                <c:pt idx="2">
                  <c:v>12</c:v>
                </c:pt>
                <c:pt idx="3">
                  <c:v>17</c:v>
                </c:pt>
                <c:pt idx="4">
                  <c:v>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A-45A4-BE3D-04651A491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6</c:v>
                </c:pt>
                <c:pt idx="1">
                  <c:v>12</c:v>
                </c:pt>
                <c:pt idx="2">
                  <c:v>1</c:v>
                </c:pt>
                <c:pt idx="3">
                  <c:v>10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5-4738-A6B7-48A77FE7B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6</c:v>
                </c:pt>
                <c:pt idx="3">
                  <c:v>13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6-49E4-A4CE-2ED331E79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-1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A-4234-BC56-5E4E7618F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-1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D-4E79-984D-172D1B440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17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A0-47D1-A6C4-B672CD075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30-49D8-A8A3-26632FF71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3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F-473C-8BBD-CAB48D33A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14</c:v>
                </c:pt>
                <c:pt idx="1">
                  <c:v>5</c:v>
                </c:pt>
                <c:pt idx="2">
                  <c:v>10</c:v>
                </c:pt>
                <c:pt idx="3">
                  <c:v>16</c:v>
                </c:pt>
                <c:pt idx="4">
                  <c:v>9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F-4798-BAF5-104A24CB5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9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B-46C2-A41C-C2D178EC7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14</c:v>
                </c:pt>
                <c:pt idx="3">
                  <c:v>6</c:v>
                </c:pt>
                <c:pt idx="4">
                  <c:v>13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1-473B-AA62-B7574346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1</c:v>
                </c:pt>
                <c:pt idx="4">
                  <c:v>3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D-48BE-9D3E-82B640AF0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6-4E25-8B00-697417855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8-432D-BE72-3A50F408BBEF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D8-432D-BE72-3A50F408B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47" width="9.1796875" style="56" customWidth="1"/>
    <col min="48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59" t="s">
        <v>0</v>
      </c>
      <c r="C2" s="60"/>
      <c r="D2" s="60"/>
      <c r="E2" s="60"/>
      <c r="F2" s="60"/>
      <c r="G2" s="60"/>
      <c r="H2" s="60"/>
      <c r="I2" s="60"/>
      <c r="J2" s="61"/>
    </row>
    <row r="4" spans="2:13" x14ac:dyDescent="0.35">
      <c r="B4" s="59" t="s">
        <v>1</v>
      </c>
      <c r="C4" s="60"/>
      <c r="D4" s="60"/>
      <c r="E4" s="60"/>
      <c r="F4" s="61"/>
      <c r="G4" s="59" t="s">
        <v>2</v>
      </c>
      <c r="H4" s="60"/>
      <c r="I4" s="60"/>
      <c r="J4" s="61"/>
    </row>
    <row r="6" spans="2:13" x14ac:dyDescent="0.35">
      <c r="B6" s="62" t="s">
        <v>3</v>
      </c>
      <c r="C6" s="62"/>
      <c r="D6" s="62"/>
      <c r="E6" s="62"/>
      <c r="F6" s="62"/>
      <c r="G6" s="62" t="s">
        <v>4</v>
      </c>
      <c r="H6" s="62"/>
      <c r="I6" s="62"/>
      <c r="J6" s="62"/>
    </row>
    <row r="7" spans="2:13" ht="30.75" customHeight="1" x14ac:dyDescent="0.35">
      <c r="G7" s="63" t="s">
        <v>5</v>
      </c>
      <c r="H7" s="62"/>
      <c r="I7" s="62"/>
      <c r="J7" s="62"/>
    </row>
    <row r="8" spans="2:13" x14ac:dyDescent="0.35">
      <c r="B8" s="63"/>
      <c r="C8" s="62"/>
      <c r="D8" s="62"/>
      <c r="E8" s="62"/>
      <c r="F8" s="62"/>
      <c r="G8" s="62"/>
      <c r="H8" s="62"/>
      <c r="I8" s="62"/>
      <c r="J8" s="62"/>
    </row>
    <row r="9" spans="2:13" x14ac:dyDescent="0.35">
      <c r="B9" s="64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2:13" x14ac:dyDescent="0.35">
      <c r="B10" s="63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</row>
    <row r="11" spans="2:13" x14ac:dyDescent="0.35">
      <c r="B11" s="65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8.0115520919518922E-3</v>
      </c>
      <c r="C2">
        <v>-4.1033818498393453E-3</v>
      </c>
      <c r="D2">
        <v>6.5669449139205242E-3</v>
      </c>
    </row>
    <row r="3" spans="1:4" x14ac:dyDescent="0.35">
      <c r="A3" t="s">
        <v>11</v>
      </c>
      <c r="B3">
        <v>1.9421383880539569E-2</v>
      </c>
      <c r="C3">
        <v>3.683678957947209E-2</v>
      </c>
      <c r="D3">
        <v>4.9556544805406812E-2</v>
      </c>
    </row>
    <row r="4" spans="1:4" x14ac:dyDescent="0.35">
      <c r="A4" t="s">
        <v>12</v>
      </c>
      <c r="B4">
        <v>1.9868367888709439E-3</v>
      </c>
      <c r="C4">
        <v>6.3142311201391044E-3</v>
      </c>
      <c r="D4">
        <v>5.2324239896345097E-3</v>
      </c>
    </row>
    <row r="5" spans="1:4" x14ac:dyDescent="0.35">
      <c r="A5" t="s">
        <v>13</v>
      </c>
      <c r="B5">
        <v>1.680900962916073E-3</v>
      </c>
      <c r="C5">
        <v>3.753175448660153E-3</v>
      </c>
      <c r="D5">
        <v>5.1627441582793457E-3</v>
      </c>
    </row>
    <row r="6" spans="1:4" x14ac:dyDescent="0.35">
      <c r="A6" t="s">
        <v>14</v>
      </c>
      <c r="B6">
        <v>-5.8242319195018757E-3</v>
      </c>
      <c r="C6">
        <v>3.5511079427139299E-3</v>
      </c>
      <c r="D6">
        <v>1.091606247384953E-2</v>
      </c>
    </row>
    <row r="7" spans="1:4" x14ac:dyDescent="0.35">
      <c r="A7" t="s">
        <v>15</v>
      </c>
      <c r="B7">
        <v>-2.061575043333107E-3</v>
      </c>
      <c r="C7">
        <v>7.5985910945678822E-3</v>
      </c>
      <c r="D7">
        <v>7.7021795162142631E-3</v>
      </c>
    </row>
    <row r="8" spans="1:4" x14ac:dyDescent="0.35">
      <c r="A8" t="s">
        <v>16</v>
      </c>
      <c r="B8">
        <v>-2.7777777777777801E-2</v>
      </c>
      <c r="C8">
        <v>0</v>
      </c>
      <c r="D8">
        <v>-7.1428571428571494E-2</v>
      </c>
    </row>
    <row r="9" spans="1:4" x14ac:dyDescent="0.35">
      <c r="A9" t="s">
        <v>17</v>
      </c>
      <c r="B9">
        <v>153743</v>
      </c>
      <c r="C9">
        <v>151903</v>
      </c>
      <c r="D9">
        <v>149240</v>
      </c>
    </row>
    <row r="10" spans="1:4" x14ac:dyDescent="0.35">
      <c r="A10" t="s">
        <v>18</v>
      </c>
      <c r="B10">
        <v>231000</v>
      </c>
      <c r="C10">
        <v>232000</v>
      </c>
      <c r="D10">
        <v>228000</v>
      </c>
    </row>
    <row r="11" spans="1:4" x14ac:dyDescent="0.35">
      <c r="A11" t="s">
        <v>19</v>
      </c>
      <c r="B11">
        <v>-2.194803880573653E-3</v>
      </c>
      <c r="C11">
        <v>-1.019459887658057E-3</v>
      </c>
      <c r="D11">
        <v>5.9273758339071199E-3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2.875000000000085E-3</v>
      </c>
    </row>
    <row r="14" spans="1:4" x14ac:dyDescent="0.35">
      <c r="A14" t="s">
        <v>23</v>
      </c>
      <c r="B14">
        <v>3.4750000000001082E-3</v>
      </c>
    </row>
    <row r="15" spans="1:4" x14ac:dyDescent="0.35">
      <c r="A15" t="s">
        <v>24</v>
      </c>
      <c r="B15">
        <v>-1.5424999999999901E-2</v>
      </c>
    </row>
    <row r="16" spans="1:4" x14ac:dyDescent="0.35">
      <c r="A16" t="s">
        <v>25</v>
      </c>
      <c r="B16">
        <v>4.53</v>
      </c>
      <c r="C16">
        <v>1.73</v>
      </c>
    </row>
    <row r="17" spans="1:4" x14ac:dyDescent="0.35">
      <c r="A17" t="s">
        <v>26</v>
      </c>
      <c r="B17">
        <v>4.4000000000000004</v>
      </c>
      <c r="C17">
        <v>2.84</v>
      </c>
      <c r="D17">
        <v>0.55130000000000001</v>
      </c>
    </row>
    <row r="18" spans="1:4" x14ac:dyDescent="0.35">
      <c r="A18" t="s">
        <v>27</v>
      </c>
      <c r="B18">
        <v>3.79</v>
      </c>
      <c r="C18">
        <v>2.88</v>
      </c>
      <c r="D18">
        <v>1.4039999999999999</v>
      </c>
    </row>
    <row r="19" spans="1:4" x14ac:dyDescent="0.35">
      <c r="A19" t="s">
        <v>28</v>
      </c>
      <c r="B19">
        <v>3.88</v>
      </c>
      <c r="C19">
        <v>3.11</v>
      </c>
    </row>
    <row r="20" spans="1:4" x14ac:dyDescent="0.35">
      <c r="A20" t="s">
        <v>29</v>
      </c>
      <c r="B20">
        <v>104.51999664306641</v>
      </c>
      <c r="C20">
        <v>105.13999938964839</v>
      </c>
      <c r="D20">
        <v>96.239997863769531</v>
      </c>
    </row>
    <row r="21" spans="1:4" x14ac:dyDescent="0.35">
      <c r="A21" t="s">
        <v>30</v>
      </c>
      <c r="B21">
        <v>59.7</v>
      </c>
      <c r="C21">
        <v>50</v>
      </c>
      <c r="D21">
        <v>70.599999999999994</v>
      </c>
    </row>
    <row r="22" spans="1:4" x14ac:dyDescent="0.35">
      <c r="A22" t="s">
        <v>31</v>
      </c>
      <c r="B22">
        <v>59.9</v>
      </c>
      <c r="C22">
        <v>47.5</v>
      </c>
      <c r="D22">
        <v>68.3</v>
      </c>
    </row>
    <row r="23" spans="1:4" x14ac:dyDescent="0.35">
      <c r="A23" t="s">
        <v>32</v>
      </c>
      <c r="B23">
        <v>113.5</v>
      </c>
      <c r="C23">
        <v>118.3</v>
      </c>
      <c r="D23">
        <v>119.9</v>
      </c>
    </row>
    <row r="24" spans="1:4" x14ac:dyDescent="0.35">
      <c r="A24" t="s">
        <v>33</v>
      </c>
      <c r="B24">
        <v>1351</v>
      </c>
      <c r="C24">
        <v>1695</v>
      </c>
      <c r="D24">
        <v>1729</v>
      </c>
    </row>
    <row r="25" spans="1:4" x14ac:dyDescent="0.35">
      <c r="A25" t="s">
        <v>34</v>
      </c>
      <c r="B25">
        <v>48.4</v>
      </c>
      <c r="C25">
        <v>53</v>
      </c>
      <c r="D25">
        <v>58.7</v>
      </c>
    </row>
    <row r="26" spans="1:4" x14ac:dyDescent="0.35">
      <c r="A26" t="s">
        <v>35</v>
      </c>
      <c r="B26">
        <v>45.2</v>
      </c>
      <c r="C26">
        <v>49.2</v>
      </c>
      <c r="D26">
        <v>60.4</v>
      </c>
    </row>
    <row r="27" spans="1:4" x14ac:dyDescent="0.35">
      <c r="A27" t="s">
        <v>36</v>
      </c>
      <c r="B27">
        <v>49.6</v>
      </c>
      <c r="C27">
        <v>55.3</v>
      </c>
      <c r="D27">
        <v>62</v>
      </c>
    </row>
    <row r="28" spans="1:4" x14ac:dyDescent="0.35">
      <c r="A28" t="s">
        <v>37</v>
      </c>
      <c r="B28">
        <v>-9.238525987988461E-3</v>
      </c>
      <c r="C28">
        <v>-9.1565860215053266E-3</v>
      </c>
      <c r="D28">
        <v>3.7497070541364962E-3</v>
      </c>
    </row>
    <row r="29" spans="1:4" x14ac:dyDescent="0.35">
      <c r="A29" t="s">
        <v>38</v>
      </c>
      <c r="B29">
        <v>-3.9110888415660296E-3</v>
      </c>
      <c r="C29">
        <v>-9.4157186487243919E-3</v>
      </c>
      <c r="D29">
        <v>2.6947478579371271E-3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44743</v>
      </c>
      <c r="B2">
        <v>11</v>
      </c>
      <c r="C2">
        <v>-1</v>
      </c>
      <c r="D2">
        <v>7</v>
      </c>
      <c r="E2">
        <v>1</v>
      </c>
      <c r="F2">
        <v>-3</v>
      </c>
      <c r="G2">
        <v>-2</v>
      </c>
      <c r="H2">
        <v>-6</v>
      </c>
      <c r="I2">
        <v>5</v>
      </c>
      <c r="J2">
        <v>-4</v>
      </c>
      <c r="K2">
        <v>10</v>
      </c>
      <c r="L2">
        <v>-5</v>
      </c>
      <c r="M2">
        <v>9</v>
      </c>
      <c r="N2">
        <v>2</v>
      </c>
      <c r="O2">
        <v>3</v>
      </c>
      <c r="P2">
        <v>8</v>
      </c>
      <c r="Q2">
        <v>4</v>
      </c>
      <c r="R2">
        <v>6</v>
      </c>
      <c r="S2">
        <v>-7</v>
      </c>
    </row>
    <row r="3" spans="1:19" x14ac:dyDescent="0.35">
      <c r="A3" s="58">
        <v>44774</v>
      </c>
      <c r="B3">
        <v>-6</v>
      </c>
      <c r="C3">
        <v>-3</v>
      </c>
      <c r="D3">
        <v>7</v>
      </c>
      <c r="E3">
        <v>-1</v>
      </c>
      <c r="F3">
        <v>-2</v>
      </c>
      <c r="G3">
        <v>1</v>
      </c>
      <c r="H3">
        <v>-5</v>
      </c>
      <c r="I3">
        <v>3</v>
      </c>
      <c r="J3">
        <v>2</v>
      </c>
      <c r="K3">
        <v>10</v>
      </c>
      <c r="L3">
        <v>-4</v>
      </c>
      <c r="M3">
        <v>9</v>
      </c>
      <c r="N3">
        <v>5</v>
      </c>
      <c r="O3">
        <v>4</v>
      </c>
      <c r="P3">
        <v>6</v>
      </c>
      <c r="Q3">
        <v>0</v>
      </c>
      <c r="R3">
        <v>8</v>
      </c>
      <c r="S3">
        <v>-7</v>
      </c>
    </row>
    <row r="4" spans="1:19" x14ac:dyDescent="0.35">
      <c r="A4" s="58">
        <v>44805</v>
      </c>
      <c r="B4">
        <v>5</v>
      </c>
      <c r="C4">
        <v>-2</v>
      </c>
      <c r="D4">
        <v>2</v>
      </c>
      <c r="E4">
        <v>1</v>
      </c>
      <c r="F4">
        <v>-1</v>
      </c>
      <c r="G4">
        <v>3</v>
      </c>
      <c r="H4">
        <v>-7</v>
      </c>
      <c r="I4">
        <v>8</v>
      </c>
      <c r="J4">
        <v>6</v>
      </c>
      <c r="K4">
        <v>9</v>
      </c>
      <c r="L4">
        <v>-3</v>
      </c>
      <c r="M4">
        <v>0</v>
      </c>
      <c r="N4">
        <v>7</v>
      </c>
      <c r="O4">
        <v>0</v>
      </c>
      <c r="P4">
        <v>-4</v>
      </c>
      <c r="Q4">
        <v>-6</v>
      </c>
      <c r="R4">
        <v>4</v>
      </c>
      <c r="S4">
        <v>-5</v>
      </c>
    </row>
    <row r="5" spans="1:19" x14ac:dyDescent="0.35">
      <c r="A5" s="58">
        <v>44835</v>
      </c>
      <c r="B5">
        <v>8</v>
      </c>
      <c r="C5">
        <v>-4</v>
      </c>
      <c r="D5">
        <v>-2</v>
      </c>
      <c r="E5">
        <v>1</v>
      </c>
      <c r="F5">
        <v>-5</v>
      </c>
      <c r="G5">
        <v>-1</v>
      </c>
      <c r="H5">
        <v>-10</v>
      </c>
      <c r="I5">
        <v>6</v>
      </c>
      <c r="J5">
        <v>3</v>
      </c>
      <c r="K5">
        <v>7</v>
      </c>
      <c r="L5">
        <v>-8</v>
      </c>
      <c r="M5">
        <v>5</v>
      </c>
      <c r="N5">
        <v>2</v>
      </c>
      <c r="O5">
        <v>-3</v>
      </c>
      <c r="P5">
        <v>-6</v>
      </c>
      <c r="Q5">
        <v>-7</v>
      </c>
      <c r="R5">
        <v>4</v>
      </c>
      <c r="S5">
        <v>-9</v>
      </c>
    </row>
    <row r="6" spans="1:19" x14ac:dyDescent="0.35">
      <c r="A6" s="58">
        <v>44866</v>
      </c>
      <c r="B6">
        <v>6</v>
      </c>
      <c r="C6">
        <v>-6</v>
      </c>
      <c r="D6">
        <v>-4</v>
      </c>
      <c r="E6">
        <v>-1</v>
      </c>
      <c r="F6">
        <v>-8</v>
      </c>
      <c r="G6">
        <v>-3</v>
      </c>
      <c r="H6">
        <v>-7</v>
      </c>
      <c r="I6">
        <v>-2</v>
      </c>
      <c r="J6">
        <v>3</v>
      </c>
      <c r="K6">
        <v>5</v>
      </c>
      <c r="L6">
        <v>-10</v>
      </c>
      <c r="M6">
        <v>2</v>
      </c>
      <c r="N6">
        <v>-5</v>
      </c>
      <c r="O6">
        <v>4</v>
      </c>
      <c r="P6">
        <v>-12</v>
      </c>
      <c r="Q6">
        <v>-9</v>
      </c>
      <c r="R6">
        <v>1</v>
      </c>
      <c r="S6">
        <v>-11</v>
      </c>
    </row>
    <row r="7" spans="1:19" x14ac:dyDescent="0.35">
      <c r="A7" s="58">
        <v>44896</v>
      </c>
      <c r="B7">
        <v>-6</v>
      </c>
      <c r="C7">
        <v>-11</v>
      </c>
      <c r="D7">
        <v>-5</v>
      </c>
      <c r="E7">
        <v>-8</v>
      </c>
      <c r="F7">
        <v>-12</v>
      </c>
      <c r="G7">
        <v>-3</v>
      </c>
      <c r="H7">
        <v>-7</v>
      </c>
      <c r="I7">
        <v>-4</v>
      </c>
      <c r="J7">
        <v>-1</v>
      </c>
      <c r="K7">
        <v>0</v>
      </c>
      <c r="L7">
        <v>-10</v>
      </c>
      <c r="M7">
        <v>1</v>
      </c>
      <c r="N7">
        <v>-9</v>
      </c>
      <c r="O7">
        <v>2</v>
      </c>
      <c r="P7">
        <v>0</v>
      </c>
      <c r="Q7">
        <v>0</v>
      </c>
      <c r="R7">
        <v>-2</v>
      </c>
      <c r="S7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44743</v>
      </c>
      <c r="B2">
        <v>0</v>
      </c>
      <c r="C2">
        <v>3</v>
      </c>
      <c r="D2">
        <v>4</v>
      </c>
      <c r="E2">
        <v>13</v>
      </c>
      <c r="F2">
        <v>10</v>
      </c>
      <c r="G2">
        <v>7</v>
      </c>
      <c r="H2">
        <v>6</v>
      </c>
      <c r="I2">
        <v>16</v>
      </c>
      <c r="J2">
        <v>5</v>
      </c>
      <c r="K2">
        <v>1</v>
      </c>
      <c r="L2">
        <v>15</v>
      </c>
      <c r="M2">
        <v>8</v>
      </c>
      <c r="N2">
        <v>12</v>
      </c>
      <c r="O2">
        <v>14</v>
      </c>
      <c r="P2">
        <v>11</v>
      </c>
      <c r="Q2">
        <v>9</v>
      </c>
      <c r="R2">
        <v>0</v>
      </c>
      <c r="S2">
        <v>2</v>
      </c>
    </row>
    <row r="3" spans="1:19" x14ac:dyDescent="0.35">
      <c r="A3" s="58">
        <v>44774</v>
      </c>
      <c r="B3">
        <v>15</v>
      </c>
      <c r="C3">
        <v>14</v>
      </c>
      <c r="D3">
        <v>13</v>
      </c>
      <c r="E3">
        <v>-1</v>
      </c>
      <c r="F3">
        <v>7</v>
      </c>
      <c r="G3">
        <v>16</v>
      </c>
      <c r="H3">
        <v>12</v>
      </c>
      <c r="I3">
        <v>17</v>
      </c>
      <c r="J3">
        <v>4</v>
      </c>
      <c r="K3">
        <v>2</v>
      </c>
      <c r="L3">
        <v>11</v>
      </c>
      <c r="M3">
        <v>1</v>
      </c>
      <c r="N3">
        <v>9</v>
      </c>
      <c r="O3">
        <v>5</v>
      </c>
      <c r="P3">
        <v>8</v>
      </c>
      <c r="Q3">
        <v>6</v>
      </c>
      <c r="R3">
        <v>3</v>
      </c>
      <c r="S3">
        <v>10</v>
      </c>
    </row>
    <row r="4" spans="1:19" x14ac:dyDescent="0.35">
      <c r="A4" s="58">
        <v>44805</v>
      </c>
      <c r="B4">
        <v>18</v>
      </c>
      <c r="C4">
        <v>7</v>
      </c>
      <c r="D4">
        <v>16</v>
      </c>
      <c r="E4">
        <v>3</v>
      </c>
      <c r="F4">
        <v>11</v>
      </c>
      <c r="G4">
        <v>12</v>
      </c>
      <c r="H4">
        <v>1</v>
      </c>
      <c r="I4">
        <v>6</v>
      </c>
      <c r="J4">
        <v>8</v>
      </c>
      <c r="K4">
        <v>2</v>
      </c>
      <c r="L4">
        <v>17</v>
      </c>
      <c r="M4">
        <v>5</v>
      </c>
      <c r="N4">
        <v>15</v>
      </c>
      <c r="O4">
        <v>10</v>
      </c>
      <c r="P4">
        <v>4</v>
      </c>
      <c r="Q4">
        <v>14</v>
      </c>
      <c r="R4">
        <v>9</v>
      </c>
      <c r="S4">
        <v>13</v>
      </c>
    </row>
    <row r="5" spans="1:19" x14ac:dyDescent="0.35">
      <c r="A5" s="58">
        <v>44835</v>
      </c>
      <c r="B5">
        <v>5</v>
      </c>
      <c r="C5">
        <v>4</v>
      </c>
      <c r="D5">
        <v>14</v>
      </c>
      <c r="E5">
        <v>2</v>
      </c>
      <c r="F5">
        <v>15</v>
      </c>
      <c r="G5">
        <v>17</v>
      </c>
      <c r="H5">
        <v>10</v>
      </c>
      <c r="I5">
        <v>13</v>
      </c>
      <c r="J5">
        <v>11</v>
      </c>
      <c r="K5">
        <v>-1</v>
      </c>
      <c r="L5">
        <v>7</v>
      </c>
      <c r="M5">
        <v>8</v>
      </c>
      <c r="N5">
        <v>3</v>
      </c>
      <c r="O5">
        <v>16</v>
      </c>
      <c r="P5">
        <v>9</v>
      </c>
      <c r="Q5">
        <v>6</v>
      </c>
      <c r="R5">
        <v>1</v>
      </c>
      <c r="S5">
        <v>12</v>
      </c>
    </row>
    <row r="6" spans="1:19" x14ac:dyDescent="0.35">
      <c r="A6" s="58">
        <v>44866</v>
      </c>
      <c r="B6">
        <v>5</v>
      </c>
      <c r="C6">
        <v>7</v>
      </c>
      <c r="D6">
        <v>14</v>
      </c>
      <c r="E6">
        <v>16</v>
      </c>
      <c r="F6">
        <v>1</v>
      </c>
      <c r="G6">
        <v>15</v>
      </c>
      <c r="H6">
        <v>2</v>
      </c>
      <c r="I6">
        <v>4</v>
      </c>
      <c r="J6">
        <v>-1</v>
      </c>
      <c r="K6">
        <v>-2</v>
      </c>
      <c r="L6">
        <v>12</v>
      </c>
      <c r="M6">
        <v>6</v>
      </c>
      <c r="N6">
        <v>8</v>
      </c>
      <c r="O6">
        <v>9</v>
      </c>
      <c r="P6">
        <v>11</v>
      </c>
      <c r="Q6">
        <v>13</v>
      </c>
      <c r="R6">
        <v>3</v>
      </c>
      <c r="S6">
        <v>10</v>
      </c>
    </row>
    <row r="7" spans="1:19" x14ac:dyDescent="0.35">
      <c r="A7" s="58">
        <v>44896</v>
      </c>
      <c r="B7">
        <v>0</v>
      </c>
      <c r="C7">
        <v>6</v>
      </c>
      <c r="D7">
        <v>13</v>
      </c>
      <c r="E7">
        <v>8</v>
      </c>
      <c r="F7">
        <v>4</v>
      </c>
      <c r="G7">
        <v>0</v>
      </c>
      <c r="H7">
        <v>3</v>
      </c>
      <c r="I7">
        <v>0</v>
      </c>
      <c r="J7">
        <v>2</v>
      </c>
      <c r="K7">
        <v>1</v>
      </c>
      <c r="L7">
        <v>15</v>
      </c>
      <c r="M7">
        <v>9</v>
      </c>
      <c r="N7">
        <v>7</v>
      </c>
      <c r="O7">
        <v>14</v>
      </c>
      <c r="P7">
        <v>5</v>
      </c>
      <c r="Q7">
        <v>12</v>
      </c>
      <c r="R7">
        <v>11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8"/>
  <sheetViews>
    <sheetView zoomScaleNormal="100" workbookViewId="0">
      <pane ySplit="1" topLeftCell="A134" activePane="bottomLeft" state="frozen"/>
      <selection activeCell="F16" sqref="F16"/>
      <selection pane="bottomLeft" activeCell="F16" sqref="F16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8">
        <v>44896</v>
      </c>
      <c r="C148">
        <v>48.4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zoomScaleNormal="100" workbookViewId="0">
      <selection activeCell="AE15" sqref="AE15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47" width="9.1796875" style="56" customWidth="1"/>
    <col min="48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8.0115520919518922E-3</v>
      </c>
      <c r="E7" s="39">
        <f>VLOOKUP($C$7,'DB US Indicators'!$A:$D,MATCH(E$6,'DB US Indicators'!$A$1:$S$1,0),0)</f>
        <v>-4.1033818498393453E-3</v>
      </c>
      <c r="F7" s="40">
        <f>VLOOKUP($C$7,'DB US Indicators'!$A:$D,MATCH(F$6,'DB US Indicators'!$A$1:$S$1,0),0)</f>
        <v>6.5669449139205242E-3</v>
      </c>
      <c r="G7" s="43"/>
      <c r="H7" s="6" t="s">
        <v>106</v>
      </c>
      <c r="I7" s="46" t="str">
        <f>VLOOKUP($H$7,'DB US Indicators'!$A:$D,MATCH(I$6,'DB US Indicators'!$A$1:$S$1,0),0)</f>
        <v>4.25-4.50%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59.7</v>
      </c>
      <c r="O7" s="49">
        <f>IF(VLOOKUP($M$7,'DB US Indicators'!$A:$D,MATCH(O$6,'DB US Indicators'!$A$1:$S$1,0),0)="","",VLOOKUP($M$7,'DB US Indicators'!$A:$D,MATCH(O$6,'DB US Indicators'!$A$1:$S$1,0),0))</f>
        <v>50</v>
      </c>
      <c r="P7" s="50">
        <f>IF(VLOOKUP($M$7,'DB US Indicators'!$A:$D,MATCH(P$6,'DB US Indicators'!$A$1:$S$1,0),0)="","",VLOOKUP($M$7,'DB US Indicators'!$A:$D,MATCH(P$6,'DB US Indicators'!$A$1:$S$1,0),0))</f>
        <v>70.599999999999994</v>
      </c>
    </row>
    <row r="8" spans="3:16" x14ac:dyDescent="0.35">
      <c r="C8" s="6" t="s">
        <v>11</v>
      </c>
      <c r="D8" s="41">
        <f>VLOOKUP($C$8,'DB US Indicators'!$A:$D,MATCH(D$6,'DB US Indicators'!$A$1:$S$1,0),0)</f>
        <v>1.9421383880539569E-2</v>
      </c>
      <c r="E8" s="41">
        <f>VLOOKUP($C$8,'DB US Indicators'!$A:$D,MATCH(E$6,'DB US Indicators'!$A$1:$S$1,0),0)</f>
        <v>3.683678957947209E-2</v>
      </c>
      <c r="F8" s="42">
        <f>VLOOKUP($C$8,'DB US Indicators'!$A:$D,MATCH(F$6,'DB US Indicators'!$A$1:$S$1,0),0)</f>
        <v>4.9556544805406812E-2</v>
      </c>
      <c r="G8" s="43"/>
      <c r="H8" s="6" t="s">
        <v>22</v>
      </c>
      <c r="I8" s="47">
        <f>VLOOKUP($H$8,'DB US Indicators'!$A:$D,MATCH(I$6,'DB US Indicators'!$A$1:$S$1,0),0)</f>
        <v>2.875000000000085E-3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59.9</v>
      </c>
      <c r="O8" s="49">
        <f>IF(VLOOKUP($M$8,'DB US Indicators'!$A:$D,MATCH(O$6,'DB US Indicators'!$A$1:$S$1,0),0)="","",VLOOKUP($M$8,'DB US Indicators'!$A:$D,MATCH(O$6,'DB US Indicators'!$A$1:$S$1,0),0))</f>
        <v>47.5</v>
      </c>
      <c r="P8" s="50">
        <f>IF(VLOOKUP($M$8,'DB US Indicators'!$A:$D,MATCH(P$6,'DB US Indicators'!$A$1:$S$1,0),0)="","",VLOOKUP($M$8,'DB US Indicators'!$A:$D,MATCH(P$6,'DB US Indicators'!$A$1:$S$1,0),0))</f>
        <v>68.3</v>
      </c>
    </row>
    <row r="9" spans="3:16" x14ac:dyDescent="0.35">
      <c r="C9" s="6" t="s">
        <v>12</v>
      </c>
      <c r="D9" s="43">
        <f>VLOOKUP($C$9,'DB US Indicators'!$A:$D,MATCH(D$6,'DB US Indicators'!$A$1:$S$1,0),0)</f>
        <v>1.9868367888709439E-3</v>
      </c>
      <c r="E9" s="43">
        <f>VLOOKUP($C$9,'DB US Indicators'!$A:$D,MATCH(E$6,'DB US Indicators'!$A$1:$S$1,0),0)</f>
        <v>6.3142311201391044E-3</v>
      </c>
      <c r="F9" s="30">
        <f>VLOOKUP($C$9,'DB US Indicators'!$A:$D,MATCH(F$6,'DB US Indicators'!$A$1:$S$1,0),0)</f>
        <v>5.2324239896345097E-3</v>
      </c>
      <c r="G9" s="43"/>
      <c r="H9" s="6" t="s">
        <v>23</v>
      </c>
      <c r="I9" s="47">
        <f>VLOOKUP($H$9,'DB US Indicators'!$A:$D,MATCH(I$6,'DB US Indicators'!$A$1:$S$1,0),0)</f>
        <v>3.4750000000001082E-3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113.5</v>
      </c>
      <c r="O9" s="51">
        <f>IF(VLOOKUP($M$9,'DB US Indicators'!$A:$D,MATCH(O$6,'DB US Indicators'!$A$1:$S$1,0),0)="","",VLOOKUP($M$9,'DB US Indicators'!$A:$D,MATCH(O$6,'DB US Indicators'!$A$1:$S$1,0),0))</f>
        <v>118.3</v>
      </c>
      <c r="P9" s="52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1">
        <f>VLOOKUP($C$10,'DB US Indicators'!$A:$D,MATCH(D$6,'DB US Indicators'!$A$1:$S$1,0),0)</f>
        <v>1.680900962916073E-3</v>
      </c>
      <c r="E10" s="41">
        <f>VLOOKUP($C$10,'DB US Indicators'!$A:$D,MATCH(E$6,'DB US Indicators'!$A$1:$S$1,0),0)</f>
        <v>3.753175448660153E-3</v>
      </c>
      <c r="F10" s="42">
        <f>VLOOKUP($C$10,'DB US Indicators'!$A:$D,MATCH(F$6,'DB US Indicators'!$A$1:$S$1,0),0)</f>
        <v>5.1627441582793457E-3</v>
      </c>
      <c r="G10" s="43"/>
      <c r="H10" s="6" t="s">
        <v>24</v>
      </c>
      <c r="I10" s="47">
        <f>VLOOKUP($H$10,'DB US Indicators'!$A:$D,MATCH(I$6,'DB US Indicators'!$A$1:$S$1,0),0)</f>
        <v>-1.5424999999999901E-2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1351</v>
      </c>
      <c r="O10" s="51">
        <f>IF(VLOOKUP($M$10,'DB US Indicators'!$A:$D,MATCH(O$6,'DB US Indicators'!$A$1:$S$1,0),0)="","",VLOOKUP($M$10,'DB US Indicators'!$A:$D,MATCH(O$6,'DB US Indicators'!$A$1:$S$1,0),0))</f>
        <v>1695</v>
      </c>
      <c r="P10" s="52">
        <f>IF(VLOOKUP($M$10,'DB US Indicators'!$A:$D,MATCH(P$6,'DB US Indicators'!$A$1:$S$1,0),0)="","",VLOOKUP($M$10,'DB US Indicators'!$A:$D,MATCH(P$6,'DB US Indicators'!$A$1:$S$1,0),0))</f>
        <v>1729</v>
      </c>
    </row>
    <row r="11" spans="3:16" x14ac:dyDescent="0.35">
      <c r="C11" s="6" t="s">
        <v>15</v>
      </c>
      <c r="D11" s="39">
        <f>VLOOKUP($C$11,'DB US Indicators'!$A:$D,MATCH(D$6,'DB US Indicators'!$A$1:$S$1,0),0)</f>
        <v>-2.061575043333107E-3</v>
      </c>
      <c r="E11" s="39">
        <f>VLOOKUP($C$11,'DB US Indicators'!$A:$D,MATCH(E$6,'DB US Indicators'!$A$1:$S$1,0),0)</f>
        <v>7.5985910945678822E-3</v>
      </c>
      <c r="F11" s="40">
        <f>VLOOKUP($C$11,'DB US Indicators'!$A:$D,MATCH(F$6,'DB US Indicators'!$A$1:$S$1,0),0)</f>
        <v>7.7021795162142631E-3</v>
      </c>
      <c r="G11" s="43"/>
      <c r="H11" s="6" t="s">
        <v>107</v>
      </c>
      <c r="I11" s="46">
        <f>IF(VLOOKUP($H$11,'DB US Indicators'!$A:$D,MATCH(I$6,'DB US Indicators'!$A$1:$S$1,0),0)="","",VLOOKUP($H$11,'DB US Indicators'!$A:$D,MATCH(I$6,'DB US Indicators'!$A$1:$S$1,0),0)/100)</f>
        <v>3.8800000000000001E-2</v>
      </c>
      <c r="J11" s="46">
        <f>IF(VLOOKUP($H$11,'DB US Indicators'!$A:$D,MATCH(J$6,'DB US Indicators'!$A$1:$S$1,0),0)="","",VLOOKUP($H$11,'DB US Indicators'!$A:$D,MATCH(J$6,'DB US Indicators'!$A$1:$S$1,0),0)/100)</f>
        <v>3.1099999999999999E-2</v>
      </c>
      <c r="K11" s="3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48.4</v>
      </c>
      <c r="O11" s="51">
        <f>IF(VLOOKUP($M$11,'DB US Indicators'!$A:$D,MATCH(O$6,'DB US Indicators'!$A$1:$S$1,0),0)="","",VLOOKUP($M$11,'DB US Indicators'!$A:$D,MATCH(O$6,'DB US Indicators'!$A$1:$S$1,0),0))</f>
        <v>53</v>
      </c>
      <c r="P11" s="52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35">
      <c r="C12" s="6" t="s">
        <v>14</v>
      </c>
      <c r="D12" s="41">
        <f>VLOOKUP($C$12,'DB US Indicators'!$A:$D,MATCH(D$6,'DB US Indicators'!$A$1:$S$1,0),0)</f>
        <v>-5.8242319195018757E-3</v>
      </c>
      <c r="E12" s="41">
        <f>VLOOKUP($C$12,'DB US Indicators'!$A:$D,MATCH(E$6,'DB US Indicators'!$A$1:$S$1,0),0)</f>
        <v>3.5511079427139299E-3</v>
      </c>
      <c r="F12" s="42">
        <f>VLOOKUP($C$12,'DB US Indicators'!$A:$D,MATCH(F$6,'DB US Indicators'!$A$1:$S$1,0),0)</f>
        <v>1.091606247384953E-2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3.7900000000000003E-2</v>
      </c>
      <c r="J12" s="46">
        <f>IF(VLOOKUP($H$12,'DB US Indicators'!$A:$D,MATCH(J$6,'DB US Indicators'!$A$1:$S$1,0),0)="","",VLOOKUP($H$12,'DB US Indicators'!$A:$D,MATCH(J$6,'DB US Indicators'!$A$1:$S$1,0),0)/100)</f>
        <v>2.8799999999999999E-2</v>
      </c>
      <c r="K12" s="8">
        <f>IF(VLOOKUP($H$12,'DB US Indicators'!$A:$D,MATCH(K$6,'DB US Indicators'!$A$1:$S$1,0),0)="","",VLOOKUP($H$12,'DB US Indicators'!$A:$D,MATCH(K$6,'DB US Indicators'!$A$1:$S$1,0),0)/100)</f>
        <v>1.4039999999999999E-2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45.2</v>
      </c>
      <c r="O12" s="51">
        <f>IF(VLOOKUP($M$12,'DB US Indicators'!$A:$D,MATCH(O$6,'DB US Indicators'!$A$1:$S$1,0),0)="","",VLOOKUP($M$12,'DB US Indicators'!$A:$D,MATCH(O$6,'DB US Indicators'!$A$1:$S$1,0),0))</f>
        <v>49.2</v>
      </c>
      <c r="P12" s="52">
        <f>IF(VLOOKUP($M$12,'DB US Indicators'!$A:$D,MATCH(P$6,'DB US Indicators'!$A$1:$S$1,0),0)="","",VLOOKUP($M$12,'DB US Indicators'!$A:$D,MATCH(P$6,'DB US Indicators'!$A$1:$S$1,0),0))</f>
        <v>60.4</v>
      </c>
    </row>
    <row r="13" spans="3:16" x14ac:dyDescent="0.35">
      <c r="C13" s="6" t="s">
        <v>16</v>
      </c>
      <c r="D13" s="41">
        <f>VLOOKUP($C$13,'DB US Indicators'!$A:$D,MATCH(D$6,'DB US Indicators'!$A$1:$S$1,0),0)</f>
        <v>-2.7777777777777801E-2</v>
      </c>
      <c r="E13" s="41">
        <f>VLOOKUP($C$13,'DB US Indicators'!$A:$D,MATCH(E$6,'DB US Indicators'!$A$1:$S$1,0),0)</f>
        <v>0</v>
      </c>
      <c r="F13" s="42">
        <f>VLOOKUP($C$13,'DB US Indicators'!$A:$D,MATCH(F$6,'DB US Indicators'!$A$1:$S$1,0),0)</f>
        <v>-7.1428571428571494E-2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4.4000000000000004E-2</v>
      </c>
      <c r="J13" s="46">
        <f>IF(VLOOKUP($H$13,'DB US Indicators'!$A:$D,MATCH(J$6,'DB US Indicators'!$A$1:$S$1,0),0)="","",VLOOKUP($H$13,'DB US Indicators'!$A:$D,MATCH(J$6,'DB US Indicators'!$A$1:$S$1,0),0)/100)</f>
        <v>2.8399999999999998E-2</v>
      </c>
      <c r="K13" s="8">
        <f>IF(VLOOKUP($H$13,'DB US Indicators'!$A:$D,MATCH(K$6,'DB US Indicators'!$A$1:$S$1,0),0)="","",VLOOKUP($H$13,'DB US Indicators'!$A:$D,MATCH(K$6,'DB US Indicators'!$A$1:$S$1,0),0)/100)</f>
        <v>5.5130000000000005E-3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49.6</v>
      </c>
      <c r="O13" s="51">
        <f>IF(VLOOKUP($M$13,'DB US Indicators'!$A:$D,MATCH(O$6,'DB US Indicators'!$A$1:$S$1,0),0)="","",VLOOKUP($M$13,'DB US Indicators'!$A:$D,MATCH(O$6,'DB US Indicators'!$A$1:$S$1,0),0))</f>
        <v>55.3</v>
      </c>
      <c r="P13" s="52">
        <f>IF(VLOOKUP($M$13,'DB US Indicators'!$A:$D,MATCH(P$6,'DB US Indicators'!$A$1:$S$1,0),0)="","",VLOOKUP($M$13,'DB US Indicators'!$A:$D,MATCH(P$6,'DB US Indicators'!$A$1:$S$1,0),0))</f>
        <v>62</v>
      </c>
    </row>
    <row r="14" spans="3:16" x14ac:dyDescent="0.35">
      <c r="C14" s="6" t="s">
        <v>17</v>
      </c>
      <c r="D14" s="54">
        <f>VLOOKUP($C$14,'DB US Indicators'!$A:$D,MATCH(D$6,'DB US Indicators'!$A$1:$S$1,0),0)</f>
        <v>153743</v>
      </c>
      <c r="E14" s="54">
        <f>VLOOKUP($C$14,'DB US Indicators'!$A:$D,MATCH(E$6,'DB US Indicators'!$A$1:$S$1,0),0)</f>
        <v>151903</v>
      </c>
      <c r="F14" s="55">
        <f>VLOOKUP($C$14,'DB US Indicators'!$A:$D,MATCH(F$6,'DB US Indicators'!$A$1:$S$1,0),0)</f>
        <v>149240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4.53E-2</v>
      </c>
      <c r="J14" s="46">
        <f>IF(VLOOKUP($H$14,'DB US Indicators'!$A:$D,MATCH(J$6,'DB US Indicators'!$A$1:$S$1,0),0)="","",VLOOKUP($H$14,'DB US Indicators'!$A:$D,MATCH(J$6,'DB US Indicators'!$A$1:$S$1,0),0)/100)</f>
        <v>1.7299999999999999E-2</v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-9.238525987988461E-3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231000</v>
      </c>
      <c r="E15" s="54">
        <f>VLOOKUP($C$15,'DB US Indicators'!$A:$D,MATCH(E$6,'DB US Indicators'!$A$1:$S$1,0),0)</f>
        <v>232000</v>
      </c>
      <c r="F15" s="55">
        <f>VLOOKUP($C$15,'DB US Indicators'!$A:$D,MATCH(F$6,'DB US Indicators'!$A$1:$S$1,0),0)</f>
        <v>228000</v>
      </c>
      <c r="G15" s="31"/>
      <c r="H15" s="6" t="s">
        <v>111</v>
      </c>
      <c r="I15" s="46">
        <f>I12-I13</f>
        <v>-6.1000000000000013E-3</v>
      </c>
      <c r="J15" s="46">
        <f>J12-J13</f>
        <v>4.0000000000000105E-4</v>
      </c>
      <c r="K15" s="8">
        <f>K12-K13</f>
        <v>8.5269999999999981E-3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-3.9110888415660296E-3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-2.194803880573653E-3</v>
      </c>
      <c r="E16" s="32">
        <f>VLOOKUP($C$16,'DB US Indicators'!$A:$D,MATCH(E$6,'DB US Indicators'!$A$1:$S$1,0),0)</f>
        <v>-1.019459887658057E-3</v>
      </c>
      <c r="F16" s="44">
        <f>VLOOKUP($C$16,'DB US Indicators'!$A:$D,MATCH(F$6,'DB US Indicators'!$A$1:$S$1,0),0)</f>
        <v>5.9273758339071199E-3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104.51999664306641</v>
      </c>
      <c r="J16" s="45">
        <f>IF(VLOOKUP($H$16,'DB US Indicators'!$A:$D,MATCH(J$6,'DB US Indicators'!$A$1:$S$1,0),0)="","",VLOOKUP($H$16,'DB US Indicators'!$A:$D,MATCH(J$6,'DB US Indicators'!$A$1:$S$1,0),0))</f>
        <v>105.13999938964839</v>
      </c>
      <c r="K16" s="48">
        <f>IF(VLOOKUP($H$16,'DB US Indicators'!$A:$D,MATCH(K$6,'DB US Indicators'!$A$1:$S$1,0),0)="","",VLOOKUP($H$16,'DB US Indicators'!$A:$D,MATCH(K$6,'DB US Indicators'!$A$1:$S$1,0),0))</f>
        <v>96.239997863769531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2023-01-07T04:06:24Z</dcterms:modified>
</cp:coreProperties>
</file>