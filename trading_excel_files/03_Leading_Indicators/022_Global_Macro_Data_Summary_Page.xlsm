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27A9D9A5-1D4C-4170-A27D-4FCAD1F81185}" xr6:coauthVersionLast="47" xr6:coauthVersionMax="47" xr10:uidLastSave="{00000000-0000-0000-0000-000000000000}"/>
  <bookViews>
    <workbookView xWindow="-13120" yWindow="-14100" windowWidth="32440" windowHeight="13760" firstSheet="2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9" i="7" l="1"/>
  <c r="AA79" i="7"/>
  <c r="Z79" i="7"/>
  <c r="Y79" i="7"/>
  <c r="X79" i="7"/>
  <c r="W79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AB77" i="7"/>
  <c r="AA77" i="7"/>
  <c r="Z77" i="7"/>
  <c r="Y77" i="7"/>
  <c r="X77" i="7"/>
  <c r="W77" i="7"/>
  <c r="V77" i="7"/>
  <c r="U77" i="7"/>
  <c r="U9" i="7" s="1"/>
  <c r="T77" i="7"/>
  <c r="S77" i="7"/>
  <c r="R77" i="7"/>
  <c r="Q77" i="7"/>
  <c r="P77" i="7"/>
  <c r="O77" i="7"/>
  <c r="N77" i="7"/>
  <c r="M77" i="7"/>
  <c r="L77" i="7"/>
  <c r="K77" i="7"/>
  <c r="J77" i="7"/>
  <c r="I77" i="7"/>
  <c r="I9" i="7" s="1"/>
  <c r="H77" i="7"/>
  <c r="G77" i="7"/>
  <c r="F77" i="7"/>
  <c r="E77" i="7"/>
  <c r="D77" i="7"/>
  <c r="C77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U4" i="7" s="1"/>
  <c r="T17" i="7"/>
  <c r="S17" i="7"/>
  <c r="R17" i="7"/>
  <c r="Q17" i="7"/>
  <c r="P17" i="7"/>
  <c r="O17" i="7"/>
  <c r="N17" i="7"/>
  <c r="M17" i="7"/>
  <c r="L17" i="7"/>
  <c r="K17" i="7"/>
  <c r="J17" i="7"/>
  <c r="I17" i="7"/>
  <c r="I4" i="7" s="1"/>
  <c r="H17" i="7"/>
  <c r="G17" i="7"/>
  <c r="F17" i="7"/>
  <c r="E17" i="7"/>
  <c r="D17" i="7"/>
  <c r="C17" i="7"/>
  <c r="AB16" i="7"/>
  <c r="AA16" i="7"/>
  <c r="Z16" i="7"/>
  <c r="Y16" i="7"/>
  <c r="X16" i="7"/>
  <c r="W16" i="7"/>
  <c r="W3" i="7" s="1"/>
  <c r="V16" i="7"/>
  <c r="U16" i="7"/>
  <c r="T16" i="7"/>
  <c r="S16" i="7"/>
  <c r="R16" i="7"/>
  <c r="Q16" i="7"/>
  <c r="P16" i="7"/>
  <c r="O16" i="7"/>
  <c r="N16" i="7"/>
  <c r="M16" i="7"/>
  <c r="L16" i="7"/>
  <c r="K16" i="7"/>
  <c r="K3" i="7" s="1"/>
  <c r="J16" i="7"/>
  <c r="I16" i="7"/>
  <c r="H16" i="7"/>
  <c r="G16" i="7"/>
  <c r="F16" i="7"/>
  <c r="E16" i="7"/>
  <c r="D16" i="7"/>
  <c r="C16" i="7"/>
  <c r="AB15" i="7"/>
  <c r="AA15" i="7"/>
  <c r="Z15" i="7"/>
  <c r="Y15" i="7"/>
  <c r="Y5" i="7" s="1"/>
  <c r="Y6" i="7" s="1"/>
  <c r="X15" i="7"/>
  <c r="W15" i="7"/>
  <c r="V15" i="7"/>
  <c r="U15" i="7"/>
  <c r="T15" i="7"/>
  <c r="S15" i="7"/>
  <c r="R15" i="7"/>
  <c r="Q15" i="7"/>
  <c r="P15" i="7"/>
  <c r="O15" i="7"/>
  <c r="N15" i="7"/>
  <c r="M15" i="7"/>
  <c r="M5" i="7" s="1"/>
  <c r="M6" i="7" s="1"/>
  <c r="L15" i="7"/>
  <c r="K15" i="7"/>
  <c r="J15" i="7"/>
  <c r="I15" i="7"/>
  <c r="H15" i="7"/>
  <c r="G15" i="7"/>
  <c r="F15" i="7"/>
  <c r="E15" i="7"/>
  <c r="D15" i="7"/>
  <c r="C15" i="7"/>
  <c r="AB14" i="7"/>
  <c r="AA14" i="7"/>
  <c r="AA5" i="7" s="1"/>
  <c r="AA6" i="7" s="1"/>
  <c r="Z14" i="7"/>
  <c r="Y14" i="7"/>
  <c r="X14" i="7"/>
  <c r="X3" i="7" s="1"/>
  <c r="W14" i="7"/>
  <c r="V14" i="7"/>
  <c r="U14" i="7"/>
  <c r="T14" i="7"/>
  <c r="S14" i="7"/>
  <c r="R14" i="7"/>
  <c r="Q14" i="7"/>
  <c r="P14" i="7"/>
  <c r="O14" i="7"/>
  <c r="O5" i="7" s="1"/>
  <c r="O6" i="7" s="1"/>
  <c r="N14" i="7"/>
  <c r="M14" i="7"/>
  <c r="L14" i="7"/>
  <c r="L3" i="7" s="1"/>
  <c r="K14" i="7"/>
  <c r="J14" i="7"/>
  <c r="I14" i="7"/>
  <c r="H14" i="7"/>
  <c r="G14" i="7"/>
  <c r="F14" i="7"/>
  <c r="E14" i="7"/>
  <c r="D14" i="7"/>
  <c r="C14" i="7"/>
  <c r="C5" i="7" s="1"/>
  <c r="C6" i="7" s="1"/>
  <c r="AB13" i="7"/>
  <c r="AA13" i="7"/>
  <c r="Z13" i="7"/>
  <c r="Z5" i="7" s="1"/>
  <c r="Z6" i="7" s="1"/>
  <c r="Y13" i="7"/>
  <c r="X13" i="7"/>
  <c r="W13" i="7"/>
  <c r="V13" i="7"/>
  <c r="U13" i="7"/>
  <c r="T13" i="7"/>
  <c r="S13" i="7"/>
  <c r="R13" i="7"/>
  <c r="Q13" i="7"/>
  <c r="Q5" i="7" s="1"/>
  <c r="Q6" i="7" s="1"/>
  <c r="P13" i="7"/>
  <c r="O13" i="7"/>
  <c r="N13" i="7"/>
  <c r="N5" i="7" s="1"/>
  <c r="N6" i="7" s="1"/>
  <c r="M13" i="7"/>
  <c r="L13" i="7"/>
  <c r="K13" i="7"/>
  <c r="J13" i="7"/>
  <c r="I13" i="7"/>
  <c r="H13" i="7"/>
  <c r="G13" i="7"/>
  <c r="F13" i="7"/>
  <c r="E13" i="7"/>
  <c r="E5" i="7" s="1"/>
  <c r="E6" i="7" s="1"/>
  <c r="D13" i="7"/>
  <c r="C13" i="7"/>
  <c r="AB12" i="7"/>
  <c r="AB4" i="7" s="1"/>
  <c r="AA12" i="7"/>
  <c r="Z12" i="7"/>
  <c r="Y12" i="7"/>
  <c r="X12" i="7"/>
  <c r="W12" i="7"/>
  <c r="V12" i="7"/>
  <c r="U12" i="7"/>
  <c r="T12" i="7"/>
  <c r="S12" i="7"/>
  <c r="S4" i="7" s="1"/>
  <c r="R12" i="7"/>
  <c r="Q12" i="7"/>
  <c r="P12" i="7"/>
  <c r="P4" i="7" s="1"/>
  <c r="O12" i="7"/>
  <c r="N12" i="7"/>
  <c r="M12" i="7"/>
  <c r="L12" i="7"/>
  <c r="K12" i="7"/>
  <c r="J12" i="7"/>
  <c r="I12" i="7"/>
  <c r="H12" i="7"/>
  <c r="G12" i="7"/>
  <c r="G4" i="7" s="1"/>
  <c r="F12" i="7"/>
  <c r="E12" i="7"/>
  <c r="D12" i="7"/>
  <c r="D4" i="7" s="1"/>
  <c r="C12" i="7"/>
  <c r="AB9" i="7"/>
  <c r="AA9" i="7"/>
  <c r="Z9" i="7"/>
  <c r="Y9" i="7"/>
  <c r="X9" i="7"/>
  <c r="W9" i="7"/>
  <c r="V9" i="7"/>
  <c r="T9" i="7"/>
  <c r="S9" i="7"/>
  <c r="R9" i="7"/>
  <c r="Q9" i="7"/>
  <c r="P9" i="7"/>
  <c r="O9" i="7"/>
  <c r="N9" i="7"/>
  <c r="M9" i="7"/>
  <c r="L9" i="7"/>
  <c r="K9" i="7"/>
  <c r="J9" i="7"/>
  <c r="H9" i="7"/>
  <c r="G9" i="7"/>
  <c r="F9" i="7"/>
  <c r="E9" i="7"/>
  <c r="D9" i="7"/>
  <c r="C9" i="7"/>
  <c r="Y8" i="7"/>
  <c r="Y10" i="7" s="1"/>
  <c r="V8" i="7"/>
  <c r="V10" i="7" s="1"/>
  <c r="M8" i="7"/>
  <c r="M10" i="7" s="1"/>
  <c r="J8" i="7"/>
  <c r="J10" i="7" s="1"/>
  <c r="AA7" i="7"/>
  <c r="X7" i="7"/>
  <c r="T7" i="7"/>
  <c r="S7" i="7"/>
  <c r="R7" i="7"/>
  <c r="Q7" i="7"/>
  <c r="O7" i="7"/>
  <c r="L7" i="7"/>
  <c r="H7" i="7"/>
  <c r="G7" i="7"/>
  <c r="F7" i="7"/>
  <c r="E7" i="7"/>
  <c r="C7" i="7"/>
  <c r="H6" i="7"/>
  <c r="AB5" i="7"/>
  <c r="AB6" i="7" s="1"/>
  <c r="X5" i="7"/>
  <c r="X6" i="7" s="1"/>
  <c r="V5" i="7"/>
  <c r="V6" i="7" s="1"/>
  <c r="T5" i="7"/>
  <c r="T6" i="7" s="1"/>
  <c r="R5" i="7"/>
  <c r="R6" i="7" s="1"/>
  <c r="P5" i="7"/>
  <c r="P6" i="7" s="1"/>
  <c r="L5" i="7"/>
  <c r="L6" i="7" s="1"/>
  <c r="J5" i="7"/>
  <c r="J6" i="7" s="1"/>
  <c r="H5" i="7"/>
  <c r="F5" i="7"/>
  <c r="F6" i="7" s="1"/>
  <c r="D5" i="7"/>
  <c r="D6" i="7" s="1"/>
  <c r="AG4" i="7"/>
  <c r="Z7" i="7" s="1"/>
  <c r="Z4" i="7"/>
  <c r="X4" i="7"/>
  <c r="V4" i="7"/>
  <c r="T4" i="7"/>
  <c r="R4" i="7"/>
  <c r="N4" i="7"/>
  <c r="L4" i="7"/>
  <c r="J4" i="7"/>
  <c r="H4" i="7"/>
  <c r="F4" i="7"/>
  <c r="AG3" i="7"/>
  <c r="X8" i="7" s="1"/>
  <c r="X10" i="7" s="1"/>
  <c r="Y3" i="7"/>
  <c r="V3" i="7"/>
  <c r="T3" i="7"/>
  <c r="R3" i="7"/>
  <c r="M3" i="7"/>
  <c r="J3" i="7"/>
  <c r="H3" i="7"/>
  <c r="F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J15" i="6" s="1"/>
  <c r="I12" i="6"/>
  <c r="I15" i="6" s="1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N3" i="7" l="1"/>
  <c r="Z3" i="7"/>
  <c r="K4" i="7"/>
  <c r="W4" i="7"/>
  <c r="D7" i="7"/>
  <c r="P7" i="7"/>
  <c r="AB7" i="7"/>
  <c r="N8" i="7"/>
  <c r="N10" i="7" s="1"/>
  <c r="Z8" i="7"/>
  <c r="Z10" i="7" s="1"/>
  <c r="C3" i="7"/>
  <c r="O3" i="7"/>
  <c r="AA3" i="7"/>
  <c r="I5" i="7"/>
  <c r="I6" i="7" s="1"/>
  <c r="U5" i="7"/>
  <c r="U6" i="7" s="1"/>
  <c r="C8" i="7"/>
  <c r="C10" i="7" s="1"/>
  <c r="O8" i="7"/>
  <c r="O10" i="7" s="1"/>
  <c r="AA8" i="7"/>
  <c r="AA10" i="7" s="1"/>
  <c r="S5" i="7"/>
  <c r="S6" i="7" s="1"/>
  <c r="D3" i="7"/>
  <c r="P3" i="7"/>
  <c r="AB3" i="7"/>
  <c r="M4" i="7"/>
  <c r="Y4" i="7"/>
  <c r="D8" i="7"/>
  <c r="D10" i="7" s="1"/>
  <c r="P8" i="7"/>
  <c r="P10" i="7" s="1"/>
  <c r="AB8" i="7"/>
  <c r="AB10" i="7" s="1"/>
  <c r="E3" i="7"/>
  <c r="Q3" i="7"/>
  <c r="K5" i="7"/>
  <c r="K6" i="7" s="1"/>
  <c r="W5" i="7"/>
  <c r="W6" i="7" s="1"/>
  <c r="E8" i="7"/>
  <c r="E10" i="7" s="1"/>
  <c r="Q8" i="7"/>
  <c r="Q10" i="7" s="1"/>
  <c r="C4" i="7"/>
  <c r="O4" i="7"/>
  <c r="AA4" i="7"/>
  <c r="F8" i="7"/>
  <c r="F10" i="7" s="1"/>
  <c r="R8" i="7"/>
  <c r="R10" i="7" s="1"/>
  <c r="G5" i="7"/>
  <c r="G6" i="7" s="1"/>
  <c r="G3" i="7"/>
  <c r="S3" i="7"/>
  <c r="I7" i="7"/>
  <c r="U7" i="7"/>
  <c r="G8" i="7"/>
  <c r="G10" i="7" s="1"/>
  <c r="S8" i="7"/>
  <c r="S10" i="7" s="1"/>
  <c r="E4" i="7"/>
  <c r="Q4" i="7"/>
  <c r="J7" i="7"/>
  <c r="V7" i="7"/>
  <c r="H8" i="7"/>
  <c r="H10" i="7" s="1"/>
  <c r="T8" i="7"/>
  <c r="T10" i="7" s="1"/>
  <c r="I3" i="7"/>
  <c r="U3" i="7"/>
  <c r="K7" i="7"/>
  <c r="W7" i="7"/>
  <c r="I8" i="7"/>
  <c r="I10" i="7" s="1"/>
  <c r="U8" i="7"/>
  <c r="U10" i="7" s="1"/>
  <c r="M7" i="7"/>
  <c r="Y7" i="7"/>
  <c r="K8" i="7"/>
  <c r="K10" i="7" s="1"/>
  <c r="W8" i="7"/>
  <c r="W10" i="7" s="1"/>
  <c r="N7" i="7"/>
  <c r="L8" i="7"/>
  <c r="L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<sst xmlns="http://schemas.openxmlformats.org/spreadsheetml/2006/main" count="212" uniqueCount="149">
  <si>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</si>
  <si>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</si>
  <si>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</si>
  <si>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</si>
  <si>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</si>
  <si>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</si>
  <si>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</si>
  <si>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</si>
  <si>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</si>
  <si>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</si>
  <si>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</si>
  <si>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</si>
  <si>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</si>
  <si>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</si>
  <si>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</si>
  <si>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</si>
  <si>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</si>
  <si>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</si>
  <si>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</si>
  <si>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</si>
  <si>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</si>
  <si>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4.50-4.75%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</si>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</sst>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1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10" fontId="0" fillId="2" borderId="22" xfId="2" applyNumberFormat="1" applyFont="1" applyFill="1" applyBorder="1" applyAlignment="1">
      <alignment horizontal="center"/>
    </xf>
    <xf numFmtId="10" fontId="0" fillId="2" borderId="22" xfId="0" applyNumberFormat="1" applyFill="1" applyBorder="1" applyAlignment="1">
      <alignment horizontal="center"/>
    </xf>
    <xf numFmtId="10" fontId="3" fillId="0" borderId="22" xfId="2" applyNumberFormat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-8</c:v>
                </c:pt>
                <c:pt idx="4">
                  <c:v>12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0-4910-9716-3A8D67BF0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-1</c:v>
                </c:pt>
                <c:pt idx="1">
                  <c:v>-5</c:v>
                </c:pt>
                <c:pt idx="2">
                  <c:v>-8</c:v>
                </c:pt>
                <c:pt idx="3">
                  <c:v>-12</c:v>
                </c:pt>
                <c:pt idx="4">
                  <c:v>8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4-441E-9B23-03BEC38A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3</c:v>
                </c:pt>
                <c:pt idx="1">
                  <c:v>-1</c:v>
                </c:pt>
                <c:pt idx="2">
                  <c:v>-3</c:v>
                </c:pt>
                <c:pt idx="3">
                  <c:v>-3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FB-4B91-BC5D-16D995B8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-7</c:v>
                </c:pt>
                <c:pt idx="1">
                  <c:v>-10</c:v>
                </c:pt>
                <c:pt idx="2">
                  <c:v>-7</c:v>
                </c:pt>
                <c:pt idx="3">
                  <c:v>-7</c:v>
                </c:pt>
                <c:pt idx="4">
                  <c:v>11</c:v>
                </c:pt>
                <c:pt idx="5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F-4BBC-A5EE-BB1F4822A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-2</c:v>
                </c:pt>
                <c:pt idx="3">
                  <c:v>-4</c:v>
                </c:pt>
                <c:pt idx="4">
                  <c:v>7</c:v>
                </c:pt>
                <c:pt idx="5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8-44B6-97DD-18EEB898C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6</c:v>
                </c:pt>
                <c:pt idx="1">
                  <c:v>3</c:v>
                </c:pt>
                <c:pt idx="2">
                  <c:v>3</c:v>
                </c:pt>
                <c:pt idx="3">
                  <c:v>-1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0-47E2-AF1E-D53B786F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9</c:v>
                </c:pt>
                <c:pt idx="1">
                  <c:v>7</c:v>
                </c:pt>
                <c:pt idx="2">
                  <c:v>5</c:v>
                </c:pt>
                <c:pt idx="3">
                  <c:v>0</c:v>
                </c:pt>
                <c:pt idx="4">
                  <c:v>13</c:v>
                </c:pt>
                <c:pt idx="5">
                  <c:v>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7-4781-88C0-9BEA2D01A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-3</c:v>
                </c:pt>
                <c:pt idx="1">
                  <c:v>-8</c:v>
                </c:pt>
                <c:pt idx="2">
                  <c:v>-10</c:v>
                </c:pt>
                <c:pt idx="3">
                  <c:v>-10</c:v>
                </c:pt>
                <c:pt idx="4">
                  <c:v>14</c:v>
                </c:pt>
                <c:pt idx="5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A-4A29-856B-4AC9803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7-4102-A78E-0CA836AD6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7</c:v>
                </c:pt>
                <c:pt idx="1">
                  <c:v>2</c:v>
                </c:pt>
                <c:pt idx="2">
                  <c:v>-5</c:v>
                </c:pt>
                <c:pt idx="3">
                  <c:v>-9</c:v>
                </c:pt>
                <c:pt idx="4">
                  <c:v>10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E-40D9-B105-AF00515A8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0</c:v>
                </c:pt>
                <c:pt idx="1">
                  <c:v>-3</c:v>
                </c:pt>
                <c:pt idx="2">
                  <c:v>4</c:v>
                </c:pt>
                <c:pt idx="3">
                  <c:v>2</c:v>
                </c:pt>
                <c:pt idx="4">
                  <c:v>9</c:v>
                </c:pt>
                <c:pt idx="5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1-451B-A399-54E9352D3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-4</c:v>
                </c:pt>
                <c:pt idx="1">
                  <c:v>-6</c:v>
                </c:pt>
                <c:pt idx="2">
                  <c:v>-12</c:v>
                </c:pt>
                <c:pt idx="3">
                  <c:v>0</c:v>
                </c:pt>
                <c:pt idx="4">
                  <c:v>0</c:v>
                </c:pt>
                <c:pt idx="5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8D-44DF-AFD8-C3CAC354D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-6</c:v>
                </c:pt>
                <c:pt idx="1">
                  <c:v>-7</c:v>
                </c:pt>
                <c:pt idx="2">
                  <c:v>-9</c:v>
                </c:pt>
                <c:pt idx="3">
                  <c:v>0</c:v>
                </c:pt>
                <c:pt idx="4">
                  <c:v>16</c:v>
                </c:pt>
                <c:pt idx="5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D8-41C8-900E-E0FB2FA05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-2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1-43EA-A4A8-D64C1008B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-5</c:v>
                </c:pt>
                <c:pt idx="1">
                  <c:v>-9</c:v>
                </c:pt>
                <c:pt idx="2">
                  <c:v>-11</c:v>
                </c:pt>
                <c:pt idx="3">
                  <c:v>-13</c:v>
                </c:pt>
                <c:pt idx="4">
                  <c:v>17</c:v>
                </c:pt>
                <c:pt idx="5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2-41B7-B51A-8F904EA0F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-6</c:v>
                </c:pt>
                <c:pt idx="4">
                  <c:v>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7-4E3A-994D-9908DBBD9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-2</c:v>
                </c:pt>
                <c:pt idx="1">
                  <c:v>-4</c:v>
                </c:pt>
                <c:pt idx="2">
                  <c:v>-6</c:v>
                </c:pt>
                <c:pt idx="3">
                  <c:v>-11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E2-4E18-8351-B5D6C1BE2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2</c:v>
                </c:pt>
                <c:pt idx="1">
                  <c:v>-2</c:v>
                </c:pt>
                <c:pt idx="2">
                  <c:v>-4</c:v>
                </c:pt>
                <c:pt idx="3">
                  <c:v>-5</c:v>
                </c:pt>
                <c:pt idx="4">
                  <c:v>2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0-42EF-BA42-B488A3DB6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18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15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C-4A1A-A157-9366F2F10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7</c:v>
                </c:pt>
                <c:pt idx="3">
                  <c:v>6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2A-451A-8B5A-E282B9D8F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16</c:v>
                </c:pt>
                <c:pt idx="1">
                  <c:v>14</c:v>
                </c:pt>
                <c:pt idx="2">
                  <c:v>14</c:v>
                </c:pt>
                <c:pt idx="3">
                  <c:v>13</c:v>
                </c:pt>
                <c:pt idx="4">
                  <c:v>8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4-43AD-BBBF-46D48EA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16</c:v>
                </c:pt>
                <c:pt idx="3">
                  <c:v>8</c:v>
                </c:pt>
                <c:pt idx="4">
                  <c:v>9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3-4C8E-8400-A2AE045F4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11</c:v>
                </c:pt>
                <c:pt idx="1">
                  <c:v>15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4-4E0B-AC66-4C5D909BE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12</c:v>
                </c:pt>
                <c:pt idx="1">
                  <c:v>17</c:v>
                </c:pt>
                <c:pt idx="2">
                  <c:v>15</c:v>
                </c:pt>
                <c:pt idx="3">
                  <c:v>0</c:v>
                </c:pt>
                <c:pt idx="4">
                  <c:v>13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77-40EA-A164-AFD30ADD4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3-42B5-A02A-A44A22BD8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6</c:v>
                </c:pt>
                <c:pt idx="1">
                  <c:v>13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E-441C-9FFD-6E1497F02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8</c:v>
                </c:pt>
                <c:pt idx="1">
                  <c:v>11</c:v>
                </c:pt>
                <c:pt idx="2">
                  <c:v>-1</c:v>
                </c:pt>
                <c:pt idx="3">
                  <c:v>2</c:v>
                </c:pt>
                <c:pt idx="4">
                  <c:v>-1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7-4E0A-8A30-7983BB77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2</c:v>
                </c:pt>
                <c:pt idx="1">
                  <c:v>-1</c:v>
                </c:pt>
                <c:pt idx="2">
                  <c:v>-2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0-46E0-AAF3-5179DACFD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17</c:v>
                </c:pt>
                <c:pt idx="1">
                  <c:v>7</c:v>
                </c:pt>
                <c:pt idx="2">
                  <c:v>12</c:v>
                </c:pt>
                <c:pt idx="3">
                  <c:v>15</c:v>
                </c:pt>
                <c:pt idx="4">
                  <c:v>7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B-4763-BD0B-39445DF22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9-4494-AC37-A1EEF7D8E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15</c:v>
                </c:pt>
                <c:pt idx="1">
                  <c:v>3</c:v>
                </c:pt>
                <c:pt idx="2">
                  <c:v>8</c:v>
                </c:pt>
                <c:pt idx="3">
                  <c:v>7</c:v>
                </c:pt>
                <c:pt idx="4">
                  <c:v>4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E-4E34-8AD7-ACEC6B06D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10</c:v>
                </c:pt>
                <c:pt idx="1">
                  <c:v>16</c:v>
                </c:pt>
                <c:pt idx="2">
                  <c:v>9</c:v>
                </c:pt>
                <c:pt idx="3">
                  <c:v>14</c:v>
                </c:pt>
                <c:pt idx="4">
                  <c:v>3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1-40B7-A10B-1CF44DEF8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4</c:v>
                </c:pt>
                <c:pt idx="1">
                  <c:v>9</c:v>
                </c:pt>
                <c:pt idx="2">
                  <c:v>11</c:v>
                </c:pt>
                <c:pt idx="3">
                  <c:v>5</c:v>
                </c:pt>
                <c:pt idx="4">
                  <c:v>11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7B-42C2-8B74-42F0F504C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14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  <c:pt idx="4">
                  <c:v>14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9-4EEA-BA65-E67D203A6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9</c:v>
                </c:pt>
                <c:pt idx="1">
                  <c:v>1</c:v>
                </c:pt>
                <c:pt idx="2">
                  <c:v>3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3-4FAC-B4EA-FAEA0DDC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13</c:v>
                </c:pt>
                <c:pt idx="1">
                  <c:v>12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D9-4B3B-9764-68ABFCC3D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D-4B15-8230-BBF412AB1BD5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4D-4B15-8230-BBF412AB1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90" zoomScaleNormal="90" workbookViewId="0">
      <selection activeCell="AB21" sqref="AB21"/>
    </sheetView>
  </sheetViews>
  <sheetFormatPr defaultColWidth="9.1796875" defaultRowHeight="14.5" x14ac:dyDescent="0.35"/>
  <cols>
    <col min="1" max="1" width="23.1796875" style="55" customWidth="1"/>
    <col min="2" max="5" width="12.81640625" style="55" customWidth="1"/>
    <col min="6" max="6" width="13.6328125" style="55" customWidth="1"/>
    <col min="7" max="10" width="12.81640625" style="55" customWidth="1"/>
    <col min="11" max="13" width="2" style="55" customWidth="1"/>
    <col min="14" max="53" width="9.1796875" style="55" customWidth="1"/>
    <col min="54" max="16384" width="9.1796875" style="55"/>
  </cols>
  <sheetData>
    <row r="1" spans="2:13" x14ac:dyDescent="0.35">
      <c r="B1" s="13"/>
      <c r="C1" s="14"/>
      <c r="D1" s="14"/>
      <c r="E1" s="14"/>
    </row>
    <row r="2" spans="2:13" x14ac:dyDescent="0.35">
      <c r="B2" s="61" t="s">
        <v>0</v>
      </c>
      <c r="C2" s="62"/>
      <c r="D2" s="62"/>
      <c r="E2" s="62"/>
      <c r="F2" s="62"/>
      <c r="G2" s="62"/>
      <c r="H2" s="62"/>
      <c r="I2" s="62"/>
      <c r="J2" s="63"/>
    </row>
    <row r="4" spans="2:13" x14ac:dyDescent="0.35">
      <c r="B4" s="61" t="s">
        <v>1</v>
      </c>
      <c r="C4" s="62"/>
      <c r="D4" s="62"/>
      <c r="E4" s="62"/>
      <c r="F4" s="63"/>
      <c r="G4" s="61" t="s">
        <v>2</v>
      </c>
      <c r="H4" s="62"/>
      <c r="I4" s="62"/>
      <c r="J4" s="63"/>
    </row>
    <row r="6" spans="2:13" x14ac:dyDescent="0.35">
      <c r="B6" s="64" t="s">
        <v>3</v>
      </c>
      <c r="C6" s="64"/>
      <c r="D6" s="64"/>
      <c r="E6" s="64"/>
      <c r="F6" s="64"/>
      <c r="G6" s="64" t="s">
        <v>4</v>
      </c>
      <c r="H6" s="64"/>
      <c r="I6" s="64"/>
      <c r="J6" s="64"/>
    </row>
    <row r="7" spans="2:13" ht="30.75" customHeight="1" x14ac:dyDescent="0.35">
      <c r="G7" s="65" t="s">
        <v>5</v>
      </c>
      <c r="H7" s="64"/>
      <c r="I7" s="64"/>
      <c r="J7" s="64"/>
    </row>
    <row r="8" spans="2:13" x14ac:dyDescent="0.35">
      <c r="B8" s="65"/>
      <c r="C8" s="64"/>
      <c r="D8" s="64"/>
      <c r="E8" s="64"/>
      <c r="F8" s="64"/>
      <c r="G8" s="64"/>
      <c r="H8" s="64"/>
      <c r="I8" s="64"/>
      <c r="J8" s="64"/>
    </row>
    <row r="9" spans="2:13" x14ac:dyDescent="0.35">
      <c r="B9" s="66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</row>
    <row r="10" spans="2:13" x14ac:dyDescent="0.35">
      <c r="B10" s="65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2:13" x14ac:dyDescent="0.35">
      <c r="B11" s="67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Normal="100" workbookViewId="0">
      <selection activeCell="H21" sqref="H21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6.6234969892038833E-3</v>
      </c>
      <c r="C2">
        <v>-1.4463397270680139E-3</v>
      </c>
      <c r="D2">
        <v>1.695694019812535E-2</v>
      </c>
    </row>
    <row r="3" spans="1:4" x14ac:dyDescent="0.35">
      <c r="A3" t="s">
        <v>11</v>
      </c>
      <c r="B3">
        <v>9.0628991110296604E-3</v>
      </c>
      <c r="C3">
        <v>1.79604249802807E-2</v>
      </c>
      <c r="D3">
        <v>5.7171000908780578E-2</v>
      </c>
    </row>
    <row r="4" spans="1:4" x14ac:dyDescent="0.35">
      <c r="A4" t="s">
        <v>12</v>
      </c>
      <c r="B4">
        <v>4.5192962055090316E-3</v>
      </c>
      <c r="C4">
        <v>5.8116470289056492E-3</v>
      </c>
      <c r="D4">
        <v>4.724678512650347E-3</v>
      </c>
    </row>
    <row r="5" spans="1:4" x14ac:dyDescent="0.35">
      <c r="A5" t="s">
        <v>13</v>
      </c>
      <c r="B5">
        <v>5.7107860682271052E-3</v>
      </c>
      <c r="C5">
        <v>7.6262798357922652E-4</v>
      </c>
      <c r="D5">
        <v>4.7257327797791708E-3</v>
      </c>
    </row>
    <row r="6" spans="1:4" x14ac:dyDescent="0.35">
      <c r="A6" t="s">
        <v>14</v>
      </c>
      <c r="B6">
        <v>-4.004669736057156E-3</v>
      </c>
      <c r="C6">
        <v>6.7199328153538058E-3</v>
      </c>
      <c r="D6">
        <v>1.7644563703929111E-2</v>
      </c>
    </row>
    <row r="7" spans="1:4" x14ac:dyDescent="0.35">
      <c r="A7" t="s">
        <v>15</v>
      </c>
      <c r="B7">
        <v>-1.4540481486430189E-4</v>
      </c>
      <c r="C7">
        <v>8.8212691509017473E-3</v>
      </c>
      <c r="D7">
        <v>1.034290732292403E-2</v>
      </c>
    </row>
    <row r="8" spans="1:4" x14ac:dyDescent="0.35">
      <c r="A8" t="s">
        <v>16</v>
      </c>
      <c r="B8">
        <v>5.8823529411764761E-2</v>
      </c>
      <c r="C8">
        <v>5.7142857142857197E-2</v>
      </c>
      <c r="D8">
        <v>-5.0000000000000037E-2</v>
      </c>
    </row>
    <row r="9" spans="1:4" x14ac:dyDescent="0.35">
      <c r="A9" t="s">
        <v>17</v>
      </c>
      <c r="B9">
        <v>155350</v>
      </c>
      <c r="C9">
        <v>153332</v>
      </c>
      <c r="D9">
        <v>151010</v>
      </c>
    </row>
    <row r="10" spans="1:4" x14ac:dyDescent="0.35">
      <c r="A10" t="s">
        <v>18</v>
      </c>
      <c r="B10">
        <v>211000</v>
      </c>
      <c r="C10">
        <v>190000</v>
      </c>
      <c r="D10">
        <v>171000</v>
      </c>
    </row>
    <row r="11" spans="1:4" x14ac:dyDescent="0.35">
      <c r="A11" t="s">
        <v>19</v>
      </c>
      <c r="B11">
        <v>2.6135383228271402E-4</v>
      </c>
      <c r="C11">
        <v>5.1565037365411534E-3</v>
      </c>
      <c r="D11">
        <v>3.8060627739937339E-3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-2.7499999999999148E-3</v>
      </c>
    </row>
    <row r="14" spans="1:4" x14ac:dyDescent="0.35">
      <c r="A14" t="s">
        <v>23</v>
      </c>
      <c r="B14">
        <v>-1.159999999999997E-2</v>
      </c>
    </row>
    <row r="15" spans="1:4" x14ac:dyDescent="0.35">
      <c r="A15" t="s">
        <v>24</v>
      </c>
      <c r="B15">
        <v>-1.554999999999993E-2</v>
      </c>
    </row>
    <row r="16" spans="1:4" x14ac:dyDescent="0.35">
      <c r="A16" t="s">
        <v>25</v>
      </c>
      <c r="B16">
        <v>4.75</v>
      </c>
      <c r="C16">
        <v>3.24</v>
      </c>
      <c r="D16">
        <v>0.55000000000000004</v>
      </c>
    </row>
    <row r="17" spans="1:4" x14ac:dyDescent="0.35">
      <c r="A17" t="s">
        <v>26</v>
      </c>
      <c r="B17">
        <v>3.93</v>
      </c>
      <c r="C17">
        <v>4.2</v>
      </c>
      <c r="D17">
        <v>2.35</v>
      </c>
    </row>
    <row r="18" spans="1:4" x14ac:dyDescent="0.35">
      <c r="A18" t="s">
        <v>27</v>
      </c>
      <c r="B18">
        <v>3.51</v>
      </c>
      <c r="C18">
        <v>3.69</v>
      </c>
      <c r="D18">
        <v>2.41</v>
      </c>
    </row>
    <row r="19" spans="1:4" x14ac:dyDescent="0.35">
      <c r="A19" t="s">
        <v>28</v>
      </c>
      <c r="B19">
        <v>3.7</v>
      </c>
      <c r="C19">
        <v>3.61</v>
      </c>
      <c r="D19">
        <v>2.5299999999999998</v>
      </c>
    </row>
    <row r="20" spans="1:4" x14ac:dyDescent="0.35">
      <c r="A20" t="s">
        <v>29</v>
      </c>
      <c r="B20">
        <v>104.5419998168945</v>
      </c>
      <c r="C20">
        <v>112.120002746582</v>
      </c>
      <c r="D20">
        <v>98.30999755859375</v>
      </c>
    </row>
    <row r="21" spans="1:4" x14ac:dyDescent="0.35">
      <c r="A21" t="s">
        <v>30</v>
      </c>
      <c r="B21">
        <v>67</v>
      </c>
      <c r="C21">
        <v>58.2</v>
      </c>
      <c r="D21">
        <v>62.8</v>
      </c>
    </row>
    <row r="22" spans="1:4" x14ac:dyDescent="0.35">
      <c r="A22" t="s">
        <v>31</v>
      </c>
      <c r="B22">
        <v>64.7</v>
      </c>
      <c r="C22">
        <v>58</v>
      </c>
      <c r="D22">
        <v>59.4</v>
      </c>
    </row>
    <row r="23" spans="1:4" x14ac:dyDescent="0.35">
      <c r="A23" t="s">
        <v>32</v>
      </c>
      <c r="B23">
        <v>110.3</v>
      </c>
      <c r="C23">
        <v>116.6</v>
      </c>
      <c r="D23">
        <v>119.6</v>
      </c>
    </row>
    <row r="24" spans="1:4" x14ac:dyDescent="0.35">
      <c r="A24" t="s">
        <v>33</v>
      </c>
      <c r="B24">
        <v>1339</v>
      </c>
      <c r="C24">
        <v>1685</v>
      </c>
      <c r="D24">
        <v>1841</v>
      </c>
    </row>
    <row r="25" spans="1:4" x14ac:dyDescent="0.35">
      <c r="A25" t="s">
        <v>34</v>
      </c>
      <c r="B25">
        <v>47.7</v>
      </c>
      <c r="C25">
        <v>52.8</v>
      </c>
      <c r="D25">
        <v>58.6</v>
      </c>
    </row>
    <row r="26" spans="1:4" x14ac:dyDescent="0.35">
      <c r="A26" t="s">
        <v>35</v>
      </c>
      <c r="B26">
        <v>47</v>
      </c>
      <c r="C26">
        <v>51.3</v>
      </c>
      <c r="D26">
        <v>61.7</v>
      </c>
    </row>
    <row r="27" spans="1:4" x14ac:dyDescent="0.35">
      <c r="A27" t="s">
        <v>36</v>
      </c>
      <c r="B27">
        <v>55.1</v>
      </c>
      <c r="C27">
        <v>56.9</v>
      </c>
      <c r="D27">
        <v>56.5</v>
      </c>
    </row>
    <row r="28" spans="1:4" x14ac:dyDescent="0.35">
      <c r="A28" t="s">
        <v>37</v>
      </c>
      <c r="B28">
        <v>-9.8480372104298285E-3</v>
      </c>
      <c r="C28">
        <v>-8.8910558845880974E-4</v>
      </c>
      <c r="D28">
        <v>1.6232203040099299E-3</v>
      </c>
    </row>
    <row r="29" spans="1:4" x14ac:dyDescent="0.35">
      <c r="A29" t="s">
        <v>38</v>
      </c>
      <c r="B29">
        <v>-3.6887900205559549E-3</v>
      </c>
      <c r="C29">
        <v>1.869158878504648E-3</v>
      </c>
      <c r="D29">
        <v>1.464722422023124E-3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Normal="10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7">
        <v>44805</v>
      </c>
      <c r="B2">
        <v>5</v>
      </c>
      <c r="C2">
        <v>-2</v>
      </c>
      <c r="D2">
        <v>2</v>
      </c>
      <c r="E2">
        <v>1</v>
      </c>
      <c r="F2">
        <v>-1</v>
      </c>
      <c r="G2">
        <v>3</v>
      </c>
      <c r="H2">
        <v>-7</v>
      </c>
      <c r="I2">
        <v>8</v>
      </c>
      <c r="J2">
        <v>6</v>
      </c>
      <c r="K2">
        <v>9</v>
      </c>
      <c r="L2">
        <v>-3</v>
      </c>
      <c r="M2">
        <v>0</v>
      </c>
      <c r="N2">
        <v>7</v>
      </c>
      <c r="O2">
        <v>0</v>
      </c>
      <c r="P2">
        <v>-4</v>
      </c>
      <c r="Q2">
        <v>-6</v>
      </c>
      <c r="R2">
        <v>4</v>
      </c>
      <c r="S2">
        <v>-5</v>
      </c>
    </row>
    <row r="3" spans="1:19" x14ac:dyDescent="0.35">
      <c r="A3" s="57">
        <v>44835</v>
      </c>
      <c r="B3">
        <v>8</v>
      </c>
      <c r="C3">
        <v>-4</v>
      </c>
      <c r="D3">
        <v>-2</v>
      </c>
      <c r="E3">
        <v>1</v>
      </c>
      <c r="F3">
        <v>-5</v>
      </c>
      <c r="G3">
        <v>-1</v>
      </c>
      <c r="H3">
        <v>-10</v>
      </c>
      <c r="I3">
        <v>6</v>
      </c>
      <c r="J3">
        <v>3</v>
      </c>
      <c r="K3">
        <v>7</v>
      </c>
      <c r="L3">
        <v>-8</v>
      </c>
      <c r="M3">
        <v>5</v>
      </c>
      <c r="N3">
        <v>2</v>
      </c>
      <c r="O3">
        <v>-3</v>
      </c>
      <c r="P3">
        <v>-6</v>
      </c>
      <c r="Q3">
        <v>-7</v>
      </c>
      <c r="R3">
        <v>4</v>
      </c>
      <c r="S3">
        <v>-9</v>
      </c>
    </row>
    <row r="4" spans="1:19" x14ac:dyDescent="0.35">
      <c r="A4" s="57">
        <v>44866</v>
      </c>
      <c r="B4">
        <v>6</v>
      </c>
      <c r="C4">
        <v>-6</v>
      </c>
      <c r="D4">
        <v>-4</v>
      </c>
      <c r="E4">
        <v>-1</v>
      </c>
      <c r="F4">
        <v>-8</v>
      </c>
      <c r="G4">
        <v>-3</v>
      </c>
      <c r="H4">
        <v>-7</v>
      </c>
      <c r="I4">
        <v>-2</v>
      </c>
      <c r="J4">
        <v>3</v>
      </c>
      <c r="K4">
        <v>5</v>
      </c>
      <c r="L4">
        <v>-10</v>
      </c>
      <c r="M4">
        <v>2</v>
      </c>
      <c r="N4">
        <v>-5</v>
      </c>
      <c r="O4">
        <v>4</v>
      </c>
      <c r="P4">
        <v>-12</v>
      </c>
      <c r="Q4">
        <v>-9</v>
      </c>
      <c r="R4">
        <v>1</v>
      </c>
      <c r="S4">
        <v>-11</v>
      </c>
    </row>
    <row r="5" spans="1:19" x14ac:dyDescent="0.35">
      <c r="A5" s="57">
        <v>44896</v>
      </c>
      <c r="B5">
        <v>-6</v>
      </c>
      <c r="C5">
        <v>-11</v>
      </c>
      <c r="D5">
        <v>-5</v>
      </c>
      <c r="E5">
        <v>-8</v>
      </c>
      <c r="F5">
        <v>-12</v>
      </c>
      <c r="G5">
        <v>-3</v>
      </c>
      <c r="H5">
        <v>-7</v>
      </c>
      <c r="I5">
        <v>-4</v>
      </c>
      <c r="J5">
        <v>-1</v>
      </c>
      <c r="K5">
        <v>0</v>
      </c>
      <c r="L5">
        <v>-10</v>
      </c>
      <c r="M5">
        <v>1</v>
      </c>
      <c r="N5">
        <v>-9</v>
      </c>
      <c r="O5">
        <v>2</v>
      </c>
      <c r="P5">
        <v>0</v>
      </c>
      <c r="Q5">
        <v>0</v>
      </c>
      <c r="R5">
        <v>-2</v>
      </c>
      <c r="S5">
        <v>-13</v>
      </c>
    </row>
    <row r="6" spans="1:19" x14ac:dyDescent="0.35">
      <c r="A6" s="57">
        <v>44927</v>
      </c>
      <c r="B6">
        <v>15</v>
      </c>
      <c r="C6">
        <v>3</v>
      </c>
      <c r="D6">
        <v>2</v>
      </c>
      <c r="E6">
        <v>12</v>
      </c>
      <c r="F6">
        <v>8</v>
      </c>
      <c r="G6">
        <v>5</v>
      </c>
      <c r="H6">
        <v>11</v>
      </c>
      <c r="I6">
        <v>7</v>
      </c>
      <c r="J6">
        <v>4</v>
      </c>
      <c r="K6">
        <v>13</v>
      </c>
      <c r="L6">
        <v>14</v>
      </c>
      <c r="M6">
        <v>6</v>
      </c>
      <c r="N6">
        <v>10</v>
      </c>
      <c r="O6">
        <v>9</v>
      </c>
      <c r="P6">
        <v>0</v>
      </c>
      <c r="Q6">
        <v>16</v>
      </c>
      <c r="R6">
        <v>1</v>
      </c>
      <c r="S6">
        <v>17</v>
      </c>
    </row>
    <row r="7" spans="1:19" x14ac:dyDescent="0.35">
      <c r="A7" s="57">
        <v>44958</v>
      </c>
      <c r="B7">
        <v>0</v>
      </c>
      <c r="C7">
        <v>0</v>
      </c>
      <c r="D7">
        <v>-1</v>
      </c>
      <c r="E7">
        <v>-2</v>
      </c>
      <c r="F7">
        <v>-3</v>
      </c>
      <c r="G7">
        <v>0</v>
      </c>
      <c r="H7">
        <v>-8</v>
      </c>
      <c r="I7">
        <v>-6</v>
      </c>
      <c r="J7">
        <v>1</v>
      </c>
      <c r="K7">
        <v>-11</v>
      </c>
      <c r="L7">
        <v>-12</v>
      </c>
      <c r="M7">
        <v>3</v>
      </c>
      <c r="N7">
        <v>-5</v>
      </c>
      <c r="O7">
        <v>-4</v>
      </c>
      <c r="P7">
        <v>-9</v>
      </c>
      <c r="Q7">
        <v>-10</v>
      </c>
      <c r="R7">
        <v>2</v>
      </c>
      <c r="S7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90" zoomScaleNormal="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7">
        <v>44805</v>
      </c>
      <c r="B2">
        <v>18</v>
      </c>
      <c r="C2">
        <v>7</v>
      </c>
      <c r="D2">
        <v>16</v>
      </c>
      <c r="E2">
        <v>3</v>
      </c>
      <c r="F2">
        <v>11</v>
      </c>
      <c r="G2">
        <v>12</v>
      </c>
      <c r="H2">
        <v>1</v>
      </c>
      <c r="I2">
        <v>6</v>
      </c>
      <c r="J2">
        <v>8</v>
      </c>
      <c r="K2">
        <v>2</v>
      </c>
      <c r="L2">
        <v>17</v>
      </c>
      <c r="M2">
        <v>5</v>
      </c>
      <c r="N2">
        <v>15</v>
      </c>
      <c r="O2">
        <v>10</v>
      </c>
      <c r="P2">
        <v>4</v>
      </c>
      <c r="Q2">
        <v>14</v>
      </c>
      <c r="R2">
        <v>9</v>
      </c>
      <c r="S2">
        <v>13</v>
      </c>
    </row>
    <row r="3" spans="1:19" x14ac:dyDescent="0.35">
      <c r="A3" s="57">
        <v>44835</v>
      </c>
      <c r="B3">
        <v>5</v>
      </c>
      <c r="C3">
        <v>4</v>
      </c>
      <c r="D3">
        <v>14</v>
      </c>
      <c r="E3">
        <v>2</v>
      </c>
      <c r="F3">
        <v>15</v>
      </c>
      <c r="G3">
        <v>17</v>
      </c>
      <c r="H3">
        <v>10</v>
      </c>
      <c r="I3">
        <v>13</v>
      </c>
      <c r="J3">
        <v>11</v>
      </c>
      <c r="K3">
        <v>-1</v>
      </c>
      <c r="L3">
        <v>7</v>
      </c>
      <c r="M3">
        <v>8</v>
      </c>
      <c r="N3">
        <v>3</v>
      </c>
      <c r="O3">
        <v>16</v>
      </c>
      <c r="P3">
        <v>9</v>
      </c>
      <c r="Q3">
        <v>6</v>
      </c>
      <c r="R3">
        <v>1</v>
      </c>
      <c r="S3">
        <v>12</v>
      </c>
    </row>
    <row r="4" spans="1:19" x14ac:dyDescent="0.35">
      <c r="A4" s="57">
        <v>44866</v>
      </c>
      <c r="B4">
        <v>5</v>
      </c>
      <c r="C4">
        <v>7</v>
      </c>
      <c r="D4">
        <v>14</v>
      </c>
      <c r="E4">
        <v>16</v>
      </c>
      <c r="F4">
        <v>1</v>
      </c>
      <c r="G4">
        <v>15</v>
      </c>
      <c r="H4">
        <v>2</v>
      </c>
      <c r="I4">
        <v>4</v>
      </c>
      <c r="J4">
        <v>-1</v>
      </c>
      <c r="K4">
        <v>-2</v>
      </c>
      <c r="L4">
        <v>12</v>
      </c>
      <c r="M4">
        <v>6</v>
      </c>
      <c r="N4">
        <v>8</v>
      </c>
      <c r="O4">
        <v>9</v>
      </c>
      <c r="P4">
        <v>11</v>
      </c>
      <c r="Q4">
        <v>13</v>
      </c>
      <c r="R4">
        <v>3</v>
      </c>
      <c r="S4">
        <v>10</v>
      </c>
    </row>
    <row r="5" spans="1:19" x14ac:dyDescent="0.35">
      <c r="A5" s="57">
        <v>44896</v>
      </c>
      <c r="B5">
        <v>0</v>
      </c>
      <c r="C5">
        <v>6</v>
      </c>
      <c r="D5">
        <v>13</v>
      </c>
      <c r="E5">
        <v>8</v>
      </c>
      <c r="F5">
        <v>4</v>
      </c>
      <c r="G5">
        <v>0</v>
      </c>
      <c r="H5">
        <v>3</v>
      </c>
      <c r="I5">
        <v>0</v>
      </c>
      <c r="J5">
        <v>2</v>
      </c>
      <c r="K5">
        <v>1</v>
      </c>
      <c r="L5">
        <v>15</v>
      </c>
      <c r="M5">
        <v>9</v>
      </c>
      <c r="N5">
        <v>7</v>
      </c>
      <c r="O5">
        <v>14</v>
      </c>
      <c r="P5">
        <v>5</v>
      </c>
      <c r="Q5">
        <v>12</v>
      </c>
      <c r="R5">
        <v>11</v>
      </c>
      <c r="S5">
        <v>10</v>
      </c>
    </row>
    <row r="6" spans="1:19" x14ac:dyDescent="0.35">
      <c r="A6" s="57">
        <v>44927</v>
      </c>
      <c r="B6">
        <v>15</v>
      </c>
      <c r="C6">
        <v>10</v>
      </c>
      <c r="D6">
        <v>8</v>
      </c>
      <c r="E6">
        <v>9</v>
      </c>
      <c r="F6">
        <v>2</v>
      </c>
      <c r="G6">
        <v>13</v>
      </c>
      <c r="H6">
        <v>0</v>
      </c>
      <c r="I6">
        <v>0</v>
      </c>
      <c r="J6">
        <v>-1</v>
      </c>
      <c r="K6">
        <v>1</v>
      </c>
      <c r="L6">
        <v>7</v>
      </c>
      <c r="M6">
        <v>6</v>
      </c>
      <c r="N6">
        <v>4</v>
      </c>
      <c r="O6">
        <v>3</v>
      </c>
      <c r="P6">
        <v>11</v>
      </c>
      <c r="Q6">
        <v>14</v>
      </c>
      <c r="R6">
        <v>5</v>
      </c>
      <c r="S6">
        <v>12</v>
      </c>
    </row>
    <row r="7" spans="1:19" x14ac:dyDescent="0.35">
      <c r="A7" s="57">
        <v>44958</v>
      </c>
      <c r="B7">
        <v>16</v>
      </c>
      <c r="C7">
        <v>0</v>
      </c>
      <c r="D7">
        <v>13</v>
      </c>
      <c r="E7">
        <v>-1</v>
      </c>
      <c r="F7">
        <v>11</v>
      </c>
      <c r="G7">
        <v>6</v>
      </c>
      <c r="H7">
        <v>1</v>
      </c>
      <c r="I7">
        <v>15</v>
      </c>
      <c r="J7">
        <v>12</v>
      </c>
      <c r="K7">
        <v>2</v>
      </c>
      <c r="L7">
        <v>14</v>
      </c>
      <c r="M7">
        <v>4</v>
      </c>
      <c r="N7">
        <v>9</v>
      </c>
      <c r="O7">
        <v>8</v>
      </c>
      <c r="P7">
        <v>7</v>
      </c>
      <c r="Q7">
        <v>5</v>
      </c>
      <c r="R7">
        <v>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50"/>
  <sheetViews>
    <sheetView tabSelected="1" zoomScaleNormal="100" workbookViewId="0">
      <pane ySplit="1" topLeftCell="A131" activePane="bottomLeft" state="frozen"/>
      <selection activeCell="AB21" sqref="AB21"/>
      <selection pane="bottomLeft" activeCell="AB21" sqref="AB21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7">
        <v>40452</v>
      </c>
      <c r="B2">
        <v>53.7</v>
      </c>
      <c r="C2">
        <v>56.9</v>
      </c>
    </row>
    <row r="3" spans="1:27" x14ac:dyDescent="0.35">
      <c r="A3" s="57">
        <v>40483</v>
      </c>
      <c r="B3">
        <v>54</v>
      </c>
      <c r="C3">
        <v>57.3</v>
      </c>
    </row>
    <row r="4" spans="1:27" x14ac:dyDescent="0.35">
      <c r="A4" s="57">
        <v>40513</v>
      </c>
      <c r="B4">
        <v>54.9</v>
      </c>
      <c r="C4">
        <v>56.6</v>
      </c>
    </row>
    <row r="5" spans="1:27" x14ac:dyDescent="0.35">
      <c r="A5" s="57">
        <v>40544</v>
      </c>
      <c r="B5">
        <v>57.2</v>
      </c>
      <c r="C5">
        <v>59.1</v>
      </c>
    </row>
    <row r="6" spans="1:27" x14ac:dyDescent="0.35">
      <c r="A6" s="57">
        <v>40575</v>
      </c>
      <c r="B6">
        <v>58.2</v>
      </c>
      <c r="C6">
        <v>59.2</v>
      </c>
    </row>
    <row r="7" spans="1:27" x14ac:dyDescent="0.35">
      <c r="A7" s="57">
        <v>40603</v>
      </c>
      <c r="B7">
        <v>56</v>
      </c>
      <c r="C7">
        <v>58.4</v>
      </c>
    </row>
    <row r="8" spans="1:27" x14ac:dyDescent="0.35">
      <c r="A8" s="57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7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7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7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7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7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7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7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7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7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7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7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7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7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7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7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7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7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7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7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7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7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7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7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7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7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7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7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7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7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7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7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7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7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7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7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7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7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7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7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7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7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7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7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7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7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7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7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7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7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7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7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7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7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7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7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7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7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7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7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7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7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7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7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7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7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7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7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7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7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7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7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7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7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7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7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7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7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7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7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7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7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7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7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7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7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7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7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7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7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7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7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7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7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7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7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7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7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7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7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7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7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7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7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7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7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7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7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7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7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7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7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7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7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7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7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7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7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7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7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7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7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7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7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7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7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7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7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7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7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7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7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7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7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7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7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7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7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7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7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  <row r="148" spans="1:27" x14ac:dyDescent="0.35">
      <c r="A148" s="57">
        <v>44896</v>
      </c>
      <c r="C148">
        <v>48.4</v>
      </c>
    </row>
    <row r="149" spans="1:27" x14ac:dyDescent="0.35">
      <c r="A149" s="57">
        <v>44927</v>
      </c>
      <c r="C149">
        <v>47.4</v>
      </c>
    </row>
    <row r="150" spans="1:27" x14ac:dyDescent="0.35">
      <c r="A150" s="57">
        <v>44958</v>
      </c>
      <c r="C150">
        <v>47.7</v>
      </c>
      <c r="D150">
        <v>47.3</v>
      </c>
      <c r="E150">
        <v>51.6</v>
      </c>
      <c r="F150">
        <v>48.5</v>
      </c>
      <c r="G150">
        <v>47.7</v>
      </c>
      <c r="H150">
        <v>46.3</v>
      </c>
      <c r="I150">
        <v>47.4</v>
      </c>
      <c r="J150">
        <v>49.3</v>
      </c>
      <c r="K150">
        <v>52</v>
      </c>
      <c r="L150">
        <v>50.7</v>
      </c>
      <c r="M150">
        <v>49.2</v>
      </c>
      <c r="N150">
        <v>51</v>
      </c>
      <c r="O150">
        <v>53.6</v>
      </c>
      <c r="P150">
        <v>55.3</v>
      </c>
      <c r="Q150">
        <v>52.4</v>
      </c>
      <c r="R150">
        <v>-6.4</v>
      </c>
      <c r="S150">
        <v>51.2</v>
      </c>
      <c r="T150">
        <v>48.5</v>
      </c>
      <c r="U150">
        <v>49</v>
      </c>
      <c r="V150">
        <v>51.7</v>
      </c>
      <c r="W150">
        <v>51.3</v>
      </c>
      <c r="X150">
        <v>50.1</v>
      </c>
      <c r="Y150">
        <v>44.3</v>
      </c>
      <c r="Z150">
        <v>48.5</v>
      </c>
      <c r="AA150">
        <v>44.1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zoomScaleNormal="100" workbookViewId="0">
      <selection activeCell="AB21" sqref="AB21"/>
    </sheetView>
  </sheetViews>
  <sheetFormatPr defaultColWidth="9.1796875" defaultRowHeight="14.5" x14ac:dyDescent="0.35"/>
  <cols>
    <col min="1" max="2" width="9.1796875" style="55" customWidth="1"/>
    <col min="3" max="3" width="24.36328125" style="55" customWidth="1"/>
    <col min="4" max="7" width="9.1796875" style="55" customWidth="1"/>
    <col min="8" max="8" width="21.36328125" style="55" customWidth="1"/>
    <col min="9" max="12" width="9.36328125" style="55" customWidth="1"/>
    <col min="13" max="13" width="23.36328125" style="55" customWidth="1"/>
    <col min="14" max="53" width="9.1796875" style="55" customWidth="1"/>
    <col min="54" max="16384" width="9.1796875" style="55"/>
  </cols>
  <sheetData>
    <row r="1" spans="3:16" ht="16" customHeight="1" thickBot="1" x14ac:dyDescent="0.4"/>
    <row r="2" spans="3:16" ht="16" customHeight="1" thickBot="1" x14ac:dyDescent="0.4">
      <c r="C2" s="68" t="s">
        <v>102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70"/>
    </row>
    <row r="3" spans="3:16" ht="16" customHeight="1" thickBot="1" x14ac:dyDescent="0.4"/>
    <row r="4" spans="3:16" ht="16" customHeight="1" thickBot="1" x14ac:dyDescent="0.4">
      <c r="C4" s="68" t="s">
        <v>103</v>
      </c>
      <c r="D4" s="69"/>
      <c r="E4" s="69"/>
      <c r="F4" s="70"/>
      <c r="H4" s="68" t="s">
        <v>104</v>
      </c>
      <c r="I4" s="69"/>
      <c r="J4" s="69"/>
      <c r="K4" s="70"/>
      <c r="M4" s="68" t="s">
        <v>105</v>
      </c>
      <c r="N4" s="69"/>
      <c r="O4" s="69"/>
      <c r="P4" s="70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8">
        <f>VLOOKUP($C$7,'DB US Indicators'!$A:$D,MATCH(D$6,'DB US Indicators'!$A$1:$S$1,0),0)</f>
        <v>6.6234969892038833E-3</v>
      </c>
      <c r="E7" s="38">
        <f>VLOOKUP($C$7,'DB US Indicators'!$A:$D,MATCH(E$6,'DB US Indicators'!$A$1:$S$1,0),0)</f>
        <v>-1.4463397270680139E-3</v>
      </c>
      <c r="F7" s="39">
        <f>VLOOKUP($C$7,'DB US Indicators'!$A:$D,MATCH(F$6,'DB US Indicators'!$A$1:$S$1,0),0)</f>
        <v>1.695694019812535E-2</v>
      </c>
      <c r="G7" s="42"/>
      <c r="H7" s="6" t="s">
        <v>106</v>
      </c>
      <c r="I7" s="45" t="str">
        <f>VLOOKUP($H$7,'DB US Indicators'!$A:$D,MATCH(I$6,'DB US Indicators'!$A$1:$S$1,0),0)</f>
        <v>4.50-4.75%</v>
      </c>
      <c r="J7" s="45"/>
      <c r="K7" s="58"/>
      <c r="L7" s="1"/>
      <c r="M7" s="6" t="s">
        <v>30</v>
      </c>
      <c r="N7" s="48">
        <f>IF(VLOOKUP($M$7,'DB US Indicators'!$A:$D,MATCH(N$6,'DB US Indicators'!$A$1:$S$1,0),0)="","",VLOOKUP($M$7,'DB US Indicators'!$A:$D,MATCH(N$6,'DB US Indicators'!$A$1:$S$1,0),0))</f>
        <v>67</v>
      </c>
      <c r="O7" s="48">
        <f>IF(VLOOKUP($M$7,'DB US Indicators'!$A:$D,MATCH(O$6,'DB US Indicators'!$A$1:$S$1,0),0)="","",VLOOKUP($M$7,'DB US Indicators'!$A:$D,MATCH(O$6,'DB US Indicators'!$A$1:$S$1,0),0))</f>
        <v>58.2</v>
      </c>
      <c r="P7" s="49">
        <f>IF(VLOOKUP($M$7,'DB US Indicators'!$A:$D,MATCH(P$6,'DB US Indicators'!$A$1:$S$1,0),0)="","",VLOOKUP($M$7,'DB US Indicators'!$A:$D,MATCH(P$6,'DB US Indicators'!$A$1:$S$1,0),0))</f>
        <v>62.8</v>
      </c>
    </row>
    <row r="8" spans="3:16" x14ac:dyDescent="0.35">
      <c r="C8" s="6" t="s">
        <v>11</v>
      </c>
      <c r="D8" s="40">
        <f>VLOOKUP($C$8,'DB US Indicators'!$A:$D,MATCH(D$6,'DB US Indicators'!$A$1:$S$1,0),0)</f>
        <v>9.0628991110296604E-3</v>
      </c>
      <c r="E8" s="40">
        <f>VLOOKUP($C$8,'DB US Indicators'!$A:$D,MATCH(E$6,'DB US Indicators'!$A$1:$S$1,0),0)</f>
        <v>1.79604249802807E-2</v>
      </c>
      <c r="F8" s="41">
        <f>VLOOKUP($C$8,'DB US Indicators'!$A:$D,MATCH(F$6,'DB US Indicators'!$A$1:$S$1,0),0)</f>
        <v>5.7171000908780578E-2</v>
      </c>
      <c r="G8" s="42"/>
      <c r="H8" s="6" t="s">
        <v>22</v>
      </c>
      <c r="I8" s="46">
        <f>VLOOKUP($H$8,'DB US Indicators'!$A:$D,MATCH(I$6,'DB US Indicators'!$A$1:$S$1,0),0)</f>
        <v>-2.7499999999999148E-3</v>
      </c>
      <c r="J8" s="46"/>
      <c r="K8" s="59"/>
      <c r="L8" s="2"/>
      <c r="M8" s="6" t="s">
        <v>31</v>
      </c>
      <c r="N8" s="48">
        <f>IF(VLOOKUP($M$8,'DB US Indicators'!$A:$D,MATCH(N$6,'DB US Indicators'!$A$1:$S$1,0),0)="","",VLOOKUP($M$8,'DB US Indicators'!$A:$D,MATCH(N$6,'DB US Indicators'!$A$1:$S$1,0),0))</f>
        <v>64.7</v>
      </c>
      <c r="O8" s="48">
        <f>IF(VLOOKUP($M$8,'DB US Indicators'!$A:$D,MATCH(O$6,'DB US Indicators'!$A$1:$S$1,0),0)="","",VLOOKUP($M$8,'DB US Indicators'!$A:$D,MATCH(O$6,'DB US Indicators'!$A$1:$S$1,0),0))</f>
        <v>58</v>
      </c>
      <c r="P8" s="49">
        <f>IF(VLOOKUP($M$8,'DB US Indicators'!$A:$D,MATCH(P$6,'DB US Indicators'!$A$1:$S$1,0),0)="","",VLOOKUP($M$8,'DB US Indicators'!$A:$D,MATCH(P$6,'DB US Indicators'!$A$1:$S$1,0),0))</f>
        <v>59.4</v>
      </c>
    </row>
    <row r="9" spans="3:16" x14ac:dyDescent="0.35">
      <c r="C9" s="6" t="s">
        <v>12</v>
      </c>
      <c r="D9" s="42">
        <f>VLOOKUP($C$9,'DB US Indicators'!$A:$D,MATCH(D$6,'DB US Indicators'!$A$1:$S$1,0),0)</f>
        <v>4.5192962055090316E-3</v>
      </c>
      <c r="E9" s="42">
        <f>VLOOKUP($C$9,'DB US Indicators'!$A:$D,MATCH(E$6,'DB US Indicators'!$A$1:$S$1,0),0)</f>
        <v>5.8116470289056492E-3</v>
      </c>
      <c r="F9" s="29">
        <f>VLOOKUP($C$9,'DB US Indicators'!$A:$D,MATCH(F$6,'DB US Indicators'!$A$1:$S$1,0),0)</f>
        <v>4.724678512650347E-3</v>
      </c>
      <c r="G9" s="42"/>
      <c r="H9" s="6" t="s">
        <v>23</v>
      </c>
      <c r="I9" s="46">
        <f>VLOOKUP($H$9,'DB US Indicators'!$A:$D,MATCH(I$6,'DB US Indicators'!$A$1:$S$1,0),0)</f>
        <v>-1.159999999999997E-2</v>
      </c>
      <c r="J9" s="46"/>
      <c r="K9" s="59"/>
      <c r="L9" s="2"/>
      <c r="M9" s="6" t="s">
        <v>32</v>
      </c>
      <c r="N9" s="50">
        <f>IF(VLOOKUP($M$9,'DB US Indicators'!$A:$D,MATCH(N$6,'DB US Indicators'!$A$1:$S$1,0),0)="","",VLOOKUP($M$9,'DB US Indicators'!$A:$D,MATCH(N$6,'DB US Indicators'!$A$1:$S$1,0),0))</f>
        <v>110.3</v>
      </c>
      <c r="O9" s="50">
        <f>IF(VLOOKUP($M$9,'DB US Indicators'!$A:$D,MATCH(O$6,'DB US Indicators'!$A$1:$S$1,0),0)="","",VLOOKUP($M$9,'DB US Indicators'!$A:$D,MATCH(O$6,'DB US Indicators'!$A$1:$S$1,0),0))</f>
        <v>116.6</v>
      </c>
      <c r="P9" s="51">
        <f>IF(VLOOKUP($M$9,'DB US Indicators'!$A:$D,MATCH(P$6,'DB US Indicators'!$A$1:$S$1,0),0)="","",VLOOKUP($M$9,'DB US Indicators'!$A:$D,MATCH(P$6,'DB US Indicators'!$A$1:$S$1,0),0))</f>
        <v>119.6</v>
      </c>
    </row>
    <row r="10" spans="3:16" x14ac:dyDescent="0.35">
      <c r="C10" s="6" t="s">
        <v>13</v>
      </c>
      <c r="D10" s="40">
        <f>VLOOKUP($C$10,'DB US Indicators'!$A:$D,MATCH(D$6,'DB US Indicators'!$A$1:$S$1,0),0)</f>
        <v>5.7107860682271052E-3</v>
      </c>
      <c r="E10" s="40">
        <f>VLOOKUP($C$10,'DB US Indicators'!$A:$D,MATCH(E$6,'DB US Indicators'!$A$1:$S$1,0),0)</f>
        <v>7.6262798357922652E-4</v>
      </c>
      <c r="F10" s="41">
        <f>VLOOKUP($C$10,'DB US Indicators'!$A:$D,MATCH(F$6,'DB US Indicators'!$A$1:$S$1,0),0)</f>
        <v>4.7257327797791708E-3</v>
      </c>
      <c r="G10" s="42"/>
      <c r="H10" s="6" t="s">
        <v>24</v>
      </c>
      <c r="I10" s="46">
        <f>VLOOKUP($H$10,'DB US Indicators'!$A:$D,MATCH(I$6,'DB US Indicators'!$A$1:$S$1,0),0)</f>
        <v>-1.554999999999993E-2</v>
      </c>
      <c r="J10" s="46"/>
      <c r="K10" s="59"/>
      <c r="L10" s="2"/>
      <c r="M10" s="6" t="s">
        <v>33</v>
      </c>
      <c r="N10" s="50">
        <f>IF(VLOOKUP($M$10,'DB US Indicators'!$A:$D,MATCH(N$6,'DB US Indicators'!$A$1:$S$1,0),0)="","",VLOOKUP($M$10,'DB US Indicators'!$A:$D,MATCH(N$6,'DB US Indicators'!$A$1:$S$1,0),0))</f>
        <v>1339</v>
      </c>
      <c r="O10" s="50">
        <f>IF(VLOOKUP($M$10,'DB US Indicators'!$A:$D,MATCH(O$6,'DB US Indicators'!$A$1:$S$1,0),0)="","",VLOOKUP($M$10,'DB US Indicators'!$A:$D,MATCH(O$6,'DB US Indicators'!$A$1:$S$1,0),0))</f>
        <v>1685</v>
      </c>
      <c r="P10" s="51">
        <f>IF(VLOOKUP($M$10,'DB US Indicators'!$A:$D,MATCH(P$6,'DB US Indicators'!$A$1:$S$1,0),0)="","",VLOOKUP($M$10,'DB US Indicators'!$A:$D,MATCH(P$6,'DB US Indicators'!$A$1:$S$1,0),0))</f>
        <v>1841</v>
      </c>
    </row>
    <row r="11" spans="3:16" x14ac:dyDescent="0.35">
      <c r="C11" s="6" t="s">
        <v>15</v>
      </c>
      <c r="D11" s="38">
        <f>VLOOKUP($C$11,'DB US Indicators'!$A:$D,MATCH(D$6,'DB US Indicators'!$A$1:$S$1,0),0)</f>
        <v>-1.4540481486430189E-4</v>
      </c>
      <c r="E11" s="38">
        <f>VLOOKUP($C$11,'DB US Indicators'!$A:$D,MATCH(E$6,'DB US Indicators'!$A$1:$S$1,0),0)</f>
        <v>8.8212691509017473E-3</v>
      </c>
      <c r="F11" s="39">
        <f>VLOOKUP($C$11,'DB US Indicators'!$A:$D,MATCH(F$6,'DB US Indicators'!$A$1:$S$1,0),0)</f>
        <v>1.034290732292403E-2</v>
      </c>
      <c r="G11" s="42"/>
      <c r="H11" s="6" t="s">
        <v>107</v>
      </c>
      <c r="I11" s="45">
        <f>IF(VLOOKUP($H$11,'DB US Indicators'!$A:$D,MATCH(I$6,'DB US Indicators'!$A$1:$S$1,0),0)="","",VLOOKUP($H$11,'DB US Indicators'!$A:$D,MATCH(I$6,'DB US Indicators'!$A$1:$S$1,0),0)/100)</f>
        <v>3.7000000000000005E-2</v>
      </c>
      <c r="J11" s="45">
        <f>IF(VLOOKUP($H$11,'DB US Indicators'!$A:$D,MATCH(J$6,'DB US Indicators'!$A$1:$S$1,0),0)="","",VLOOKUP($H$11,'DB US Indicators'!$A:$D,MATCH(J$6,'DB US Indicators'!$A$1:$S$1,0),0)/100)</f>
        <v>3.61E-2</v>
      </c>
      <c r="K11" s="60">
        <f>IF(VLOOKUP($H$11,'DB US Indicators'!$A:$D,MATCH(K$6,'DB US Indicators'!$A$1:$S$1,0),0)="","",VLOOKUP($H$11,'DB US Indicators'!$A:$D,MATCH(K$6,'DB US Indicators'!$A$1:$S$1,0),0))/100</f>
        <v>2.53E-2</v>
      </c>
      <c r="M11" s="6" t="s">
        <v>34</v>
      </c>
      <c r="N11" s="50">
        <f>IF(VLOOKUP($M$11,'DB US Indicators'!$A:$D,MATCH(N$6,'DB US Indicators'!$A$1:$S$1,0),0)="","",VLOOKUP($M$11,'DB US Indicators'!$A:$D,MATCH(N$6,'DB US Indicators'!$A$1:$S$1,0),0))</f>
        <v>47.7</v>
      </c>
      <c r="O11" s="50">
        <f>IF(VLOOKUP($M$11,'DB US Indicators'!$A:$D,MATCH(O$6,'DB US Indicators'!$A$1:$S$1,0),0)="","",VLOOKUP($M$11,'DB US Indicators'!$A:$D,MATCH(O$6,'DB US Indicators'!$A$1:$S$1,0),0))</f>
        <v>52.8</v>
      </c>
      <c r="P11" s="51">
        <f>IF(VLOOKUP($M$11,'DB US Indicators'!$A:$D,MATCH(P$6,'DB US Indicators'!$A$1:$S$1,0),0)="","",VLOOKUP($M$11,'DB US Indicators'!$A:$D,MATCH(P$6,'DB US Indicators'!$A$1:$S$1,0),0))</f>
        <v>58.6</v>
      </c>
    </row>
    <row r="12" spans="3:16" x14ac:dyDescent="0.35">
      <c r="C12" s="6" t="s">
        <v>14</v>
      </c>
      <c r="D12" s="40">
        <f>VLOOKUP($C$12,'DB US Indicators'!$A:$D,MATCH(D$6,'DB US Indicators'!$A$1:$S$1,0),0)</f>
        <v>-4.004669736057156E-3</v>
      </c>
      <c r="E12" s="40">
        <f>VLOOKUP($C$12,'DB US Indicators'!$A:$D,MATCH(E$6,'DB US Indicators'!$A$1:$S$1,0),0)</f>
        <v>6.7199328153538058E-3</v>
      </c>
      <c r="F12" s="41">
        <f>VLOOKUP($C$12,'DB US Indicators'!$A:$D,MATCH(F$6,'DB US Indicators'!$A$1:$S$1,0),0)</f>
        <v>1.7644563703929111E-2</v>
      </c>
      <c r="G12" s="42"/>
      <c r="H12" s="6" t="s">
        <v>108</v>
      </c>
      <c r="I12" s="45">
        <f>IF(VLOOKUP($H$12,'DB US Indicators'!$A:$D,MATCH(I$6,'DB US Indicators'!$A$1:$S$1,0),0)="","",VLOOKUP($H$12,'DB US Indicators'!$A:$D,MATCH(I$6,'DB US Indicators'!$A$1:$S$1,0),0)/100)</f>
        <v>3.5099999999999999E-2</v>
      </c>
      <c r="J12" s="45">
        <f>IF(VLOOKUP($H$12,'DB US Indicators'!$A:$D,MATCH(J$6,'DB US Indicators'!$A$1:$S$1,0),0)="","",VLOOKUP($H$12,'DB US Indicators'!$A:$D,MATCH(J$6,'DB US Indicators'!$A$1:$S$1,0),0)/100)</f>
        <v>3.6900000000000002E-2</v>
      </c>
      <c r="K12" s="58">
        <f>IF(VLOOKUP($H$12,'DB US Indicators'!$A:$D,MATCH(K$6,'DB US Indicators'!$A$1:$S$1,0),0)="","",VLOOKUP($H$12,'DB US Indicators'!$A:$D,MATCH(K$6,'DB US Indicators'!$A$1:$S$1,0),0)/100)</f>
        <v>2.41E-2</v>
      </c>
      <c r="L12" s="1"/>
      <c r="M12" s="6" t="s">
        <v>35</v>
      </c>
      <c r="N12" s="50">
        <f>IF(VLOOKUP($M$12,'DB US Indicators'!$A:$D,MATCH(N$6,'DB US Indicators'!$A$1:$S$1,0),0)="","",VLOOKUP($M$12,'DB US Indicators'!$A:$D,MATCH(N$6,'DB US Indicators'!$A$1:$S$1,0),0))</f>
        <v>47</v>
      </c>
      <c r="O12" s="50">
        <f>IF(VLOOKUP($M$12,'DB US Indicators'!$A:$D,MATCH(O$6,'DB US Indicators'!$A$1:$S$1,0),0)="","",VLOOKUP($M$12,'DB US Indicators'!$A:$D,MATCH(O$6,'DB US Indicators'!$A$1:$S$1,0),0))</f>
        <v>51.3</v>
      </c>
      <c r="P12" s="51">
        <f>IF(VLOOKUP($M$12,'DB US Indicators'!$A:$D,MATCH(P$6,'DB US Indicators'!$A$1:$S$1,0),0)="","",VLOOKUP($M$12,'DB US Indicators'!$A:$D,MATCH(P$6,'DB US Indicators'!$A$1:$S$1,0),0))</f>
        <v>61.7</v>
      </c>
    </row>
    <row r="13" spans="3:16" x14ac:dyDescent="0.35">
      <c r="C13" s="6" t="s">
        <v>16</v>
      </c>
      <c r="D13" s="40">
        <f>VLOOKUP($C$13,'DB US Indicators'!$A:$D,MATCH(D$6,'DB US Indicators'!$A$1:$S$1,0),0)</f>
        <v>5.8823529411764761E-2</v>
      </c>
      <c r="E13" s="40">
        <f>VLOOKUP($C$13,'DB US Indicators'!$A:$D,MATCH(E$6,'DB US Indicators'!$A$1:$S$1,0),0)</f>
        <v>5.7142857142857197E-2</v>
      </c>
      <c r="F13" s="41">
        <f>VLOOKUP($C$13,'DB US Indicators'!$A:$D,MATCH(F$6,'DB US Indicators'!$A$1:$S$1,0),0)</f>
        <v>-5.0000000000000037E-2</v>
      </c>
      <c r="G13" s="42"/>
      <c r="H13" s="6" t="s">
        <v>109</v>
      </c>
      <c r="I13" s="45">
        <f>IF(VLOOKUP($H$13,'DB US Indicators'!$A:$D,MATCH(I$6,'DB US Indicators'!$A$1:$S$1,0),0)="","",VLOOKUP($H$13,'DB US Indicators'!$A:$D,MATCH(I$6,'DB US Indicators'!$A$1:$S$1,0),0)/100)</f>
        <v>3.9300000000000002E-2</v>
      </c>
      <c r="J13" s="45">
        <f>IF(VLOOKUP($H$13,'DB US Indicators'!$A:$D,MATCH(J$6,'DB US Indicators'!$A$1:$S$1,0),0)="","",VLOOKUP($H$13,'DB US Indicators'!$A:$D,MATCH(J$6,'DB US Indicators'!$A$1:$S$1,0),0)/100)</f>
        <v>4.2000000000000003E-2</v>
      </c>
      <c r="K13" s="8">
        <f>IF(VLOOKUP($H$13,'DB US Indicators'!$A:$D,MATCH(K$6,'DB US Indicators'!$A$1:$S$1,0),0)="","",VLOOKUP($H$13,'DB US Indicators'!$A:$D,MATCH(K$6,'DB US Indicators'!$A$1:$S$1,0),0)/100)</f>
        <v>2.35E-2</v>
      </c>
      <c r="L13" s="1"/>
      <c r="M13" s="6" t="s">
        <v>36</v>
      </c>
      <c r="N13" s="50">
        <f>IF(VLOOKUP($M$13,'DB US Indicators'!$A:$D,MATCH(N$6,'DB US Indicators'!$A$1:$S$1,0),0)="","",VLOOKUP($M$13,'DB US Indicators'!$A:$D,MATCH(N$6,'DB US Indicators'!$A$1:$S$1,0),0))</f>
        <v>55.1</v>
      </c>
      <c r="O13" s="50">
        <f>IF(VLOOKUP($M$13,'DB US Indicators'!$A:$D,MATCH(O$6,'DB US Indicators'!$A$1:$S$1,0),0)="","",VLOOKUP($M$13,'DB US Indicators'!$A:$D,MATCH(O$6,'DB US Indicators'!$A$1:$S$1,0),0))</f>
        <v>56.9</v>
      </c>
      <c r="P13" s="51">
        <f>IF(VLOOKUP($M$13,'DB US Indicators'!$A:$D,MATCH(P$6,'DB US Indicators'!$A$1:$S$1,0),0)="","",VLOOKUP($M$13,'DB US Indicators'!$A:$D,MATCH(P$6,'DB US Indicators'!$A$1:$S$1,0),0))</f>
        <v>56.5</v>
      </c>
    </row>
    <row r="14" spans="3:16" x14ac:dyDescent="0.35">
      <c r="C14" s="6" t="s">
        <v>17</v>
      </c>
      <c r="D14" s="53">
        <f>VLOOKUP($C$14,'DB US Indicators'!$A:$D,MATCH(D$6,'DB US Indicators'!$A$1:$S$1,0),0)</f>
        <v>155350</v>
      </c>
      <c r="E14" s="53">
        <f>VLOOKUP($C$14,'DB US Indicators'!$A:$D,MATCH(E$6,'DB US Indicators'!$A$1:$S$1,0),0)</f>
        <v>153332</v>
      </c>
      <c r="F14" s="54">
        <f>VLOOKUP($C$14,'DB US Indicators'!$A:$D,MATCH(F$6,'DB US Indicators'!$A$1:$S$1,0),0)</f>
        <v>151010</v>
      </c>
      <c r="G14" s="30"/>
      <c r="H14" s="6" t="s">
        <v>110</v>
      </c>
      <c r="I14" s="45">
        <f>IF(VLOOKUP($H$14,'DB US Indicators'!$A:$D,MATCH(I$6,'DB US Indicators'!$A$1:$S$1,0),0)="","",VLOOKUP($H$14,'DB US Indicators'!$A:$D,MATCH(I$6,'DB US Indicators'!$A$1:$S$1,0),0)/100)</f>
        <v>4.7500000000000001E-2</v>
      </c>
      <c r="J14" s="45">
        <f>IF(VLOOKUP($H$14,'DB US Indicators'!$A:$D,MATCH(J$6,'DB US Indicators'!$A$1:$S$1,0),0)="","",VLOOKUP($H$14,'DB US Indicators'!$A:$D,MATCH(J$6,'DB US Indicators'!$A$1:$S$1,0),0)/100)</f>
        <v>3.2400000000000005E-2</v>
      </c>
      <c r="K14" s="8">
        <f>IF(VLOOKUP($H$14,'DB US Indicators'!$A:$D,MATCH(K$6,'DB US Indicators'!$A$1:$S$1,0),0)="","",VLOOKUP($H$14,'DB US Indicators'!$A:$D,MATCH(K$6,'DB US Indicators'!$A$1:$S$1,0),0))</f>
        <v>0.55000000000000004</v>
      </c>
      <c r="L14" s="1"/>
      <c r="M14" s="6" t="s">
        <v>37</v>
      </c>
      <c r="N14" s="46">
        <f>IF(VLOOKUP($M$14,'DB US Indicators'!$A:$D,MATCH(N$6,'DB US Indicators'!$A$1:$S$1,0),0)="","",VLOOKUP($M$14,'DB US Indicators'!$A:$D,MATCH(N$6,'DB US Indicators'!$A$1:$S$1,0),0))</f>
        <v>-9.8480372104298285E-3</v>
      </c>
      <c r="O14" s="52"/>
      <c r="P14" s="9"/>
    </row>
    <row r="15" spans="3:16" x14ac:dyDescent="0.35">
      <c r="C15" s="6" t="s">
        <v>18</v>
      </c>
      <c r="D15" s="53">
        <f>VLOOKUP($C$15,'DB US Indicators'!$A:$D,MATCH(D$6,'DB US Indicators'!$A$1:$S$1,0),0)</f>
        <v>211000</v>
      </c>
      <c r="E15" s="53">
        <f>VLOOKUP($C$15,'DB US Indicators'!$A:$D,MATCH(E$6,'DB US Indicators'!$A$1:$S$1,0),0)</f>
        <v>190000</v>
      </c>
      <c r="F15" s="54">
        <f>VLOOKUP($C$15,'DB US Indicators'!$A:$D,MATCH(F$6,'DB US Indicators'!$A$1:$S$1,0),0)</f>
        <v>171000</v>
      </c>
      <c r="G15" s="30"/>
      <c r="H15" s="6" t="s">
        <v>111</v>
      </c>
      <c r="I15" s="45">
        <f>I12-I13</f>
        <v>-4.2000000000000023E-3</v>
      </c>
      <c r="J15" s="45">
        <f>J12-J13</f>
        <v>-5.1000000000000004E-3</v>
      </c>
      <c r="K15" s="8">
        <f>K12-K13</f>
        <v>5.9999999999999984E-4</v>
      </c>
      <c r="L15" s="1"/>
      <c r="M15" s="6" t="s">
        <v>38</v>
      </c>
      <c r="N15" s="46">
        <f>IF(VLOOKUP($M$15,'DB US Indicators'!$A:$D,MATCH(N$6,'DB US Indicators'!$A$1:$S$1,0),0)="","",VLOOKUP($M$15,'DB US Indicators'!$A:$D,MATCH(N$6,'DB US Indicators'!$A$1:$S$1,0),0))</f>
        <v>-3.6887900205559549E-3</v>
      </c>
      <c r="O15" s="52"/>
      <c r="P15" s="9"/>
    </row>
    <row r="16" spans="3:16" ht="16" customHeight="1" thickBot="1" x14ac:dyDescent="0.4">
      <c r="C16" s="7" t="s">
        <v>19</v>
      </c>
      <c r="D16" s="31">
        <f>VLOOKUP($C$16,'DB US Indicators'!$A:$D,MATCH(D$6,'DB US Indicators'!$A$1:$S$1,0),0)</f>
        <v>2.6135383228271402E-4</v>
      </c>
      <c r="E16" s="31">
        <f>VLOOKUP($C$16,'DB US Indicators'!$A:$D,MATCH(E$6,'DB US Indicators'!$A$1:$S$1,0),0)</f>
        <v>5.1565037365411534E-3</v>
      </c>
      <c r="F16" s="43">
        <f>VLOOKUP($C$16,'DB US Indicators'!$A:$D,MATCH(F$6,'DB US Indicators'!$A$1:$S$1,0),0)</f>
        <v>3.8060627739937339E-3</v>
      </c>
      <c r="G16" s="42"/>
      <c r="H16" s="7" t="s">
        <v>29</v>
      </c>
      <c r="I16" s="44">
        <f>IF(VLOOKUP($H$16,'DB US Indicators'!$A:$D,MATCH(I$6,'DB US Indicators'!$A$1:$S$1,0),0)="","",VLOOKUP($H$16,'DB US Indicators'!$A:$D,MATCH(I$6,'DB US Indicators'!$A$1:$S$1,0),0))</f>
        <v>104.5419998168945</v>
      </c>
      <c r="J16" s="44">
        <f>IF(VLOOKUP($H$16,'DB US Indicators'!$A:$D,MATCH(J$6,'DB US Indicators'!$A$1:$S$1,0),0)="","",VLOOKUP($H$16,'DB US Indicators'!$A:$D,MATCH(J$6,'DB US Indicators'!$A$1:$S$1,0),0))</f>
        <v>112.120002746582</v>
      </c>
      <c r="K16" s="47">
        <f>IF(VLOOKUP($H$16,'DB US Indicators'!$A:$D,MATCH(K$6,'DB US Indicators'!$A$1:$S$1,0),0)="","",VLOOKUP($H$16,'DB US Indicators'!$A:$D,MATCH(K$6,'DB US Indicators'!$A$1:$S$1,0),0))</f>
        <v>98.30999755859375</v>
      </c>
      <c r="L16" s="1"/>
      <c r="M16" s="10"/>
      <c r="N16" s="11"/>
      <c r="O16" s="11"/>
      <c r="P16" s="12"/>
    </row>
    <row r="19" spans="3:3" x14ac:dyDescent="0.35">
      <c r="C19" s="56" t="s">
        <v>112</v>
      </c>
    </row>
    <row r="98" spans="3:3" x14ac:dyDescent="0.35">
      <c r="C98" s="56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C000"/>
  </sheetPr>
  <dimension ref="A1:BV320"/>
  <sheetViews>
    <sheetView zoomScale="70" zoomScaleNormal="7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W84" sqref="W84"/>
    </sheetView>
  </sheetViews>
  <sheetFormatPr defaultColWidth="9.1796875" defaultRowHeight="14.5" x14ac:dyDescent="0.35"/>
  <cols>
    <col min="1" max="1" width="9.1796875" style="55" customWidth="1"/>
    <col min="2" max="2" width="17.81640625" customWidth="1"/>
    <col min="3" max="27" width="6.1796875" customWidth="1"/>
    <col min="28" max="28" width="7.36328125" customWidth="1"/>
    <col min="29" max="29" width="9.1796875" style="55" customWidth="1"/>
    <col min="30" max="30" width="12.36328125" style="55" customWidth="1"/>
    <col min="31" max="31" width="9.1796875" style="55" customWidth="1"/>
    <col min="32" max="32" width="10.6328125" style="55" customWidth="1"/>
    <col min="33" max="33" width="10.6328125" style="55" bestFit="1" customWidth="1"/>
    <col min="34" max="74" width="9.1796875" style="55" customWidth="1"/>
  </cols>
  <sheetData>
    <row r="1" spans="2:36" s="55" customFormat="1" ht="16" customHeight="1" thickBot="1" x14ac:dyDescent="0.4">
      <c r="C1" s="55" t="s">
        <v>76</v>
      </c>
      <c r="D1" s="55" t="s">
        <v>77</v>
      </c>
      <c r="E1" s="55" t="s">
        <v>78</v>
      </c>
      <c r="F1" s="55" t="s">
        <v>79</v>
      </c>
      <c r="G1" s="55" t="s">
        <v>80</v>
      </c>
      <c r="H1" s="55" t="s">
        <v>81</v>
      </c>
      <c r="I1" s="55" t="s">
        <v>82</v>
      </c>
      <c r="J1" s="55" t="s">
        <v>83</v>
      </c>
      <c r="K1" s="55" t="s">
        <v>84</v>
      </c>
      <c r="L1" s="55" t="s">
        <v>85</v>
      </c>
      <c r="M1" s="55" t="s">
        <v>86</v>
      </c>
      <c r="N1" s="55" t="s">
        <v>87</v>
      </c>
      <c r="O1" s="55" t="s">
        <v>88</v>
      </c>
      <c r="P1" s="55" t="s">
        <v>89</v>
      </c>
      <c r="Q1" s="55" t="s">
        <v>90</v>
      </c>
      <c r="R1" s="55" t="s">
        <v>91</v>
      </c>
      <c r="S1" s="55" t="s">
        <v>92</v>
      </c>
      <c r="T1" s="55" t="s">
        <v>93</v>
      </c>
      <c r="U1" s="55" t="s">
        <v>94</v>
      </c>
      <c r="V1" s="55" t="s">
        <v>95</v>
      </c>
      <c r="W1" s="55" t="s">
        <v>96</v>
      </c>
      <c r="X1" s="55" t="s">
        <v>97</v>
      </c>
      <c r="Y1" s="55" t="s">
        <v>98</v>
      </c>
      <c r="Z1" s="55" t="s">
        <v>99</v>
      </c>
      <c r="AA1" s="55" t="s">
        <v>100</v>
      </c>
      <c r="AB1" s="55" t="s">
        <v>101</v>
      </c>
      <c r="AD1" s="16" t="s">
        <v>114</v>
      </c>
      <c r="AE1" s="55" t="s">
        <v>115</v>
      </c>
      <c r="AG1" s="37">
        <v>44866</v>
      </c>
      <c r="AJ1" s="15"/>
    </row>
    <row r="2" spans="2:36" ht="72.75" customHeight="1" thickBot="1" x14ac:dyDescent="0.4">
      <c r="B2" s="17"/>
      <c r="C2" s="18" t="s">
        <v>76</v>
      </c>
      <c r="D2" s="18" t="s">
        <v>116</v>
      </c>
      <c r="E2" s="18" t="s">
        <v>78</v>
      </c>
      <c r="F2" s="18" t="s">
        <v>117</v>
      </c>
      <c r="G2" s="18" t="s">
        <v>118</v>
      </c>
      <c r="H2" s="18" t="s">
        <v>119</v>
      </c>
      <c r="I2" s="18" t="s">
        <v>120</v>
      </c>
      <c r="J2" s="18" t="s">
        <v>121</v>
      </c>
      <c r="K2" s="18" t="s">
        <v>84</v>
      </c>
      <c r="L2" s="18" t="s">
        <v>122</v>
      </c>
      <c r="M2" s="18" t="s">
        <v>123</v>
      </c>
      <c r="N2" s="18" t="s">
        <v>124</v>
      </c>
      <c r="O2" s="18" t="s">
        <v>125</v>
      </c>
      <c r="P2" s="18" t="s">
        <v>126</v>
      </c>
      <c r="Q2" s="18" t="s">
        <v>127</v>
      </c>
      <c r="R2" s="18" t="s">
        <v>128</v>
      </c>
      <c r="S2" s="18" t="s">
        <v>129</v>
      </c>
      <c r="T2" s="19" t="s">
        <v>130</v>
      </c>
      <c r="U2" s="18" t="s">
        <v>131</v>
      </c>
      <c r="V2" s="18" t="s">
        <v>132</v>
      </c>
      <c r="W2" s="18" t="s">
        <v>133</v>
      </c>
      <c r="X2" s="18" t="s">
        <v>134</v>
      </c>
      <c r="Y2" s="18" t="s">
        <v>135</v>
      </c>
      <c r="Z2" s="18" t="s">
        <v>136</v>
      </c>
      <c r="AA2" s="18" t="s">
        <v>137</v>
      </c>
      <c r="AB2" s="20" t="s">
        <v>138</v>
      </c>
      <c r="AG2" s="21"/>
    </row>
    <row r="3" spans="2:36" hidden="1" x14ac:dyDescent="0.35">
      <c r="B3" s="22" t="s">
        <v>139</v>
      </c>
      <c r="C3" s="32" t="e">
        <f t="shared" ref="C3:AB3" ca="1" si="0">MAX(OFFSET(C$12,COUNT(C$12:C$105),0,-13,1))</f>
        <v>#N/A</v>
      </c>
      <c r="D3" s="32">
        <f t="shared" ca="1" si="0"/>
        <v>58.6</v>
      </c>
      <c r="E3" s="32" t="e">
        <f t="shared" ca="1" si="0"/>
        <v>#N/A</v>
      </c>
      <c r="F3" s="32" t="e">
        <f t="shared" ca="1" si="0"/>
        <v>#N/A</v>
      </c>
      <c r="G3" s="32" t="e">
        <f t="shared" ca="1" si="0"/>
        <v>#N/A</v>
      </c>
      <c r="H3" s="32" t="e">
        <f t="shared" ca="1" si="0"/>
        <v>#N/A</v>
      </c>
      <c r="I3" s="32" t="e">
        <f t="shared" ca="1" si="0"/>
        <v>#N/A</v>
      </c>
      <c r="J3" s="32" t="e">
        <f t="shared" ca="1" si="0"/>
        <v>#N/A</v>
      </c>
      <c r="K3" s="32" t="e">
        <f t="shared" ca="1" si="0"/>
        <v>#N/A</v>
      </c>
      <c r="L3" s="32" t="e">
        <f t="shared" ca="1" si="0"/>
        <v>#N/A</v>
      </c>
      <c r="M3" s="32" t="e">
        <f t="shared" ca="1" si="0"/>
        <v>#N/A</v>
      </c>
      <c r="N3" s="32" t="e">
        <f t="shared" ca="1" si="0"/>
        <v>#N/A</v>
      </c>
      <c r="O3" s="32" t="e">
        <f t="shared" ca="1" si="0"/>
        <v>#N/A</v>
      </c>
      <c r="P3" s="32" t="e">
        <f t="shared" ca="1" si="0"/>
        <v>#N/A</v>
      </c>
      <c r="Q3" s="32" t="e">
        <f t="shared" ca="1" si="0"/>
        <v>#N/A</v>
      </c>
      <c r="R3" s="32" t="e">
        <f t="shared" ca="1" si="0"/>
        <v>#N/A</v>
      </c>
      <c r="S3" s="32" t="e">
        <f t="shared" ca="1" si="0"/>
        <v>#N/A</v>
      </c>
      <c r="T3" s="32" t="e">
        <f t="shared" ca="1" si="0"/>
        <v>#N/A</v>
      </c>
      <c r="U3" s="32" t="e">
        <f t="shared" ca="1" si="0"/>
        <v>#N/A</v>
      </c>
      <c r="V3" s="32" t="e">
        <f t="shared" ca="1" si="0"/>
        <v>#N/A</v>
      </c>
      <c r="W3" s="32" t="e">
        <f t="shared" ca="1" si="0"/>
        <v>#N/A</v>
      </c>
      <c r="X3" s="32" t="e">
        <f t="shared" ca="1" si="0"/>
        <v>#N/A</v>
      </c>
      <c r="Y3" s="32" t="e">
        <f t="shared" ca="1" si="0"/>
        <v>#N/A</v>
      </c>
      <c r="Z3" s="32" t="e">
        <f t="shared" ca="1" si="0"/>
        <v>#N/A</v>
      </c>
      <c r="AA3" s="32" t="e">
        <f t="shared" ca="1" si="0"/>
        <v>#N/A</v>
      </c>
      <c r="AB3" s="32" t="e">
        <f t="shared" ca="1" si="0"/>
        <v>#N/A</v>
      </c>
      <c r="AE3" s="55" t="s">
        <v>140</v>
      </c>
      <c r="AG3" s="21">
        <f>DATE(YEAR(AG1),MONTH(AG1)-1,DAY(AG1))</f>
        <v>44835</v>
      </c>
    </row>
    <row r="4" spans="2:36" hidden="1" x14ac:dyDescent="0.35">
      <c r="B4" s="22" t="s">
        <v>141</v>
      </c>
      <c r="C4" s="32" t="e">
        <f t="shared" ref="C4:AB4" ca="1" si="1">MIN(OFFSET(C$12,COUNT(C$12:C$105),0,-13,1))</f>
        <v>#N/A</v>
      </c>
      <c r="D4" s="32">
        <f t="shared" ca="1" si="1"/>
        <v>47.4</v>
      </c>
      <c r="E4" s="32" t="e">
        <f t="shared" ca="1" si="1"/>
        <v>#N/A</v>
      </c>
      <c r="F4" s="32" t="e">
        <f t="shared" ca="1" si="1"/>
        <v>#N/A</v>
      </c>
      <c r="G4" s="32" t="e">
        <f t="shared" ca="1" si="1"/>
        <v>#N/A</v>
      </c>
      <c r="H4" s="32" t="e">
        <f t="shared" ca="1" si="1"/>
        <v>#N/A</v>
      </c>
      <c r="I4" s="32" t="e">
        <f t="shared" ca="1" si="1"/>
        <v>#N/A</v>
      </c>
      <c r="J4" s="32" t="e">
        <f t="shared" ca="1" si="1"/>
        <v>#N/A</v>
      </c>
      <c r="K4" s="32" t="e">
        <f t="shared" ca="1" si="1"/>
        <v>#N/A</v>
      </c>
      <c r="L4" s="32" t="e">
        <f t="shared" ca="1" si="1"/>
        <v>#N/A</v>
      </c>
      <c r="M4" s="32" t="e">
        <f t="shared" ca="1" si="1"/>
        <v>#N/A</v>
      </c>
      <c r="N4" s="32" t="e">
        <f t="shared" ca="1" si="1"/>
        <v>#N/A</v>
      </c>
      <c r="O4" s="32" t="e">
        <f t="shared" ca="1" si="1"/>
        <v>#N/A</v>
      </c>
      <c r="P4" s="32" t="e">
        <f t="shared" ca="1" si="1"/>
        <v>#N/A</v>
      </c>
      <c r="Q4" s="32" t="e">
        <f t="shared" ca="1" si="1"/>
        <v>#N/A</v>
      </c>
      <c r="R4" s="32" t="e">
        <f t="shared" ca="1" si="1"/>
        <v>#N/A</v>
      </c>
      <c r="S4" s="32" t="e">
        <f t="shared" ca="1" si="1"/>
        <v>#N/A</v>
      </c>
      <c r="T4" s="32" t="e">
        <f t="shared" ca="1" si="1"/>
        <v>#N/A</v>
      </c>
      <c r="U4" s="32" t="e">
        <f t="shared" ca="1" si="1"/>
        <v>#N/A</v>
      </c>
      <c r="V4" s="32" t="e">
        <f t="shared" ca="1" si="1"/>
        <v>#N/A</v>
      </c>
      <c r="W4" s="32" t="e">
        <f t="shared" ca="1" si="1"/>
        <v>#N/A</v>
      </c>
      <c r="X4" s="32" t="e">
        <f t="shared" ca="1" si="1"/>
        <v>#N/A</v>
      </c>
      <c r="Y4" s="32" t="e">
        <f t="shared" ca="1" si="1"/>
        <v>#N/A</v>
      </c>
      <c r="Z4" s="32" t="e">
        <f t="shared" ca="1" si="1"/>
        <v>#N/A</v>
      </c>
      <c r="AA4" s="32" t="e">
        <f t="shared" ca="1" si="1"/>
        <v>#N/A</v>
      </c>
      <c r="AB4" s="32" t="e">
        <f t="shared" ca="1" si="1"/>
        <v>#N/A</v>
      </c>
      <c r="AE4" s="55" t="s">
        <v>142</v>
      </c>
      <c r="AG4" s="21">
        <f>DATE(YEAR(AG1),MONTH(AG1)-12,DAY(AG1))</f>
        <v>44501</v>
      </c>
    </row>
    <row r="5" spans="2:36" ht="16" hidden="1" customHeight="1" thickBot="1" x14ac:dyDescent="0.4">
      <c r="B5" s="22" t="s">
        <v>143</v>
      </c>
      <c r="C5" s="33" t="e">
        <f t="shared" ref="C5:AB5" ca="1" si="2">AVERAGE(OFFSET(C$12,COUNT(C$12:C$105),0,-13,1))</f>
        <v>#N/A</v>
      </c>
      <c r="D5" s="33">
        <f t="shared" ca="1" si="2"/>
        <v>52.641666666666659</v>
      </c>
      <c r="E5" s="33" t="e">
        <f t="shared" ca="1" si="2"/>
        <v>#N/A</v>
      </c>
      <c r="F5" s="33" t="e">
        <f t="shared" ca="1" si="2"/>
        <v>#N/A</v>
      </c>
      <c r="G5" s="33" t="e">
        <f t="shared" ca="1" si="2"/>
        <v>#N/A</v>
      </c>
      <c r="H5" s="33" t="e">
        <f t="shared" ca="1" si="2"/>
        <v>#N/A</v>
      </c>
      <c r="I5" s="33" t="e">
        <f t="shared" ca="1" si="2"/>
        <v>#N/A</v>
      </c>
      <c r="J5" s="33" t="e">
        <f t="shared" ca="1" si="2"/>
        <v>#N/A</v>
      </c>
      <c r="K5" s="33" t="e">
        <f t="shared" ca="1" si="2"/>
        <v>#N/A</v>
      </c>
      <c r="L5" s="33" t="e">
        <f t="shared" ca="1" si="2"/>
        <v>#N/A</v>
      </c>
      <c r="M5" s="33" t="e">
        <f t="shared" ca="1" si="2"/>
        <v>#N/A</v>
      </c>
      <c r="N5" s="33" t="e">
        <f t="shared" ca="1" si="2"/>
        <v>#N/A</v>
      </c>
      <c r="O5" s="33" t="e">
        <f t="shared" ca="1" si="2"/>
        <v>#N/A</v>
      </c>
      <c r="P5" s="33" t="e">
        <f t="shared" ca="1" si="2"/>
        <v>#N/A</v>
      </c>
      <c r="Q5" s="33" t="e">
        <f t="shared" ca="1" si="2"/>
        <v>#N/A</v>
      </c>
      <c r="R5" s="33" t="e">
        <f t="shared" ca="1" si="2"/>
        <v>#N/A</v>
      </c>
      <c r="S5" s="33" t="e">
        <f t="shared" ca="1" si="2"/>
        <v>#N/A</v>
      </c>
      <c r="T5" s="33" t="e">
        <f t="shared" ca="1" si="2"/>
        <v>#N/A</v>
      </c>
      <c r="U5" s="33" t="e">
        <f t="shared" ca="1" si="2"/>
        <v>#N/A</v>
      </c>
      <c r="V5" s="33" t="e">
        <f t="shared" ca="1" si="2"/>
        <v>#N/A</v>
      </c>
      <c r="W5" s="33" t="e">
        <f t="shared" ca="1" si="2"/>
        <v>#N/A</v>
      </c>
      <c r="X5" s="33" t="e">
        <f t="shared" ca="1" si="2"/>
        <v>#N/A</v>
      </c>
      <c r="Y5" s="33" t="e">
        <f t="shared" ca="1" si="2"/>
        <v>#N/A</v>
      </c>
      <c r="Z5" s="33" t="e">
        <f t="shared" ca="1" si="2"/>
        <v>#N/A</v>
      </c>
      <c r="AA5" s="33" t="e">
        <f t="shared" ca="1" si="2"/>
        <v>#N/A</v>
      </c>
      <c r="AB5" s="33" t="e">
        <f t="shared" ca="1" si="2"/>
        <v>#N/A</v>
      </c>
    </row>
    <row r="6" spans="2:36" x14ac:dyDescent="0.35">
      <c r="B6" s="23" t="s">
        <v>144</v>
      </c>
      <c r="C6" s="34" t="e">
        <f t="shared" ref="C6:AB6" ca="1" si="3">IF((VLOOKUP($AG$1,$B:$AB,MATCH(C2,$B$2:$AB$2,),))&gt;C5,"above","below")</f>
        <v>#N/A</v>
      </c>
      <c r="D6" s="34" t="str">
        <f t="shared" ca="1" si="3"/>
        <v>below</v>
      </c>
      <c r="E6" s="34" t="e">
        <f t="shared" ca="1" si="3"/>
        <v>#N/A</v>
      </c>
      <c r="F6" s="34" t="e">
        <f t="shared" ca="1" si="3"/>
        <v>#N/A</v>
      </c>
      <c r="G6" s="34" t="e">
        <f t="shared" ca="1" si="3"/>
        <v>#N/A</v>
      </c>
      <c r="H6" s="34" t="e">
        <f t="shared" ca="1" si="3"/>
        <v>#N/A</v>
      </c>
      <c r="I6" s="34" t="e">
        <f t="shared" ca="1" si="3"/>
        <v>#N/A</v>
      </c>
      <c r="J6" s="34" t="e">
        <f t="shared" ca="1" si="3"/>
        <v>#N/A</v>
      </c>
      <c r="K6" s="34" t="e">
        <f t="shared" ca="1" si="3"/>
        <v>#N/A</v>
      </c>
      <c r="L6" s="34" t="e">
        <f t="shared" ca="1" si="3"/>
        <v>#N/A</v>
      </c>
      <c r="M6" s="34" t="e">
        <f t="shared" ca="1" si="3"/>
        <v>#N/A</v>
      </c>
      <c r="N6" s="34" t="e">
        <f t="shared" ca="1" si="3"/>
        <v>#N/A</v>
      </c>
      <c r="O6" s="34" t="e">
        <f t="shared" ca="1" si="3"/>
        <v>#N/A</v>
      </c>
      <c r="P6" s="34" t="e">
        <f t="shared" ca="1" si="3"/>
        <v>#N/A</v>
      </c>
      <c r="Q6" s="34" t="e">
        <f t="shared" ca="1" si="3"/>
        <v>#N/A</v>
      </c>
      <c r="R6" s="34" t="e">
        <f t="shared" ca="1" si="3"/>
        <v>#N/A</v>
      </c>
      <c r="S6" s="34" t="e">
        <f t="shared" ca="1" si="3"/>
        <v>#N/A</v>
      </c>
      <c r="T6" s="34" t="e">
        <f t="shared" ca="1" si="3"/>
        <v>#N/A</v>
      </c>
      <c r="U6" s="34" t="e">
        <f t="shared" ca="1" si="3"/>
        <v>#N/A</v>
      </c>
      <c r="V6" s="34" t="e">
        <f t="shared" ca="1" si="3"/>
        <v>#N/A</v>
      </c>
      <c r="W6" s="34" t="e">
        <f t="shared" ca="1" si="3"/>
        <v>#N/A</v>
      </c>
      <c r="X6" s="34" t="e">
        <f t="shared" ca="1" si="3"/>
        <v>#N/A</v>
      </c>
      <c r="Y6" s="34" t="e">
        <f t="shared" ca="1" si="3"/>
        <v>#N/A</v>
      </c>
      <c r="Z6" s="34" t="e">
        <f t="shared" ca="1" si="3"/>
        <v>#N/A</v>
      </c>
      <c r="AA6" s="34" t="e">
        <f t="shared" ca="1" si="3"/>
        <v>#N/A</v>
      </c>
      <c r="AB6" s="34" t="e">
        <f t="shared" ca="1" si="3"/>
        <v>#N/A</v>
      </c>
    </row>
    <row r="7" spans="2:36" x14ac:dyDescent="0.35">
      <c r="B7" s="23" t="s">
        <v>145</v>
      </c>
      <c r="C7" s="35" t="e">
        <f t="shared" ref="C7:AB7" si="4">VLOOKUP($AG$1,$B:$AB,MATCH(C2,$B$2:$AB$2,),)-VLOOKUP($AG$4,$B:$AB,MATCH(C2,$B$2:$AB$2,),)</f>
        <v>#N/A</v>
      </c>
      <c r="D7" s="35">
        <f t="shared" si="4"/>
        <v>-12.100000000000001</v>
      </c>
      <c r="E7" s="35">
        <f t="shared" si="4"/>
        <v>-10.599999999999994</v>
      </c>
      <c r="F7" s="35">
        <f t="shared" si="4"/>
        <v>-0.5</v>
      </c>
      <c r="G7" s="35">
        <f t="shared" si="4"/>
        <v>-11.299999999999997</v>
      </c>
      <c r="H7" s="35">
        <f t="shared" si="4"/>
        <v>-5.5</v>
      </c>
      <c r="I7" s="35">
        <f t="shared" si="4"/>
        <v>-11.199999999999996</v>
      </c>
      <c r="J7" s="35">
        <f t="shared" si="4"/>
        <v>-7.6000000000000014</v>
      </c>
      <c r="K7" s="35">
        <f t="shared" si="4"/>
        <v>-11.600000000000001</v>
      </c>
      <c r="L7" s="35">
        <f t="shared" si="4"/>
        <v>-14.399999999999999</v>
      </c>
      <c r="M7" s="35">
        <f t="shared" si="4"/>
        <v>-11.399999999999999</v>
      </c>
      <c r="N7" s="35">
        <f t="shared" si="4"/>
        <v>-5.5</v>
      </c>
      <c r="O7" s="35">
        <f t="shared" si="4"/>
        <v>1.2000000000000028</v>
      </c>
      <c r="P7" s="35">
        <f t="shared" si="4"/>
        <v>1.5</v>
      </c>
      <c r="Q7" s="35">
        <f t="shared" si="4"/>
        <v>-1.8999999999999986</v>
      </c>
      <c r="R7" s="35">
        <f t="shared" si="4"/>
        <v>-7.6000000000000014</v>
      </c>
      <c r="S7" s="35">
        <f t="shared" si="4"/>
        <v>-10.099999999999994</v>
      </c>
      <c r="T7" s="35">
        <f t="shared" si="4"/>
        <v>-3.6000000000000014</v>
      </c>
      <c r="U7" s="35">
        <f t="shared" si="4"/>
        <v>-1.8999999999999986</v>
      </c>
      <c r="V7" s="35">
        <f t="shared" si="4"/>
        <v>-13.299999999999997</v>
      </c>
      <c r="W7" s="35">
        <f t="shared" si="4"/>
        <v>-10.399999999999999</v>
      </c>
      <c r="X7" s="35">
        <f t="shared" si="4"/>
        <v>-11.199999999999996</v>
      </c>
      <c r="Y7" s="35">
        <f t="shared" si="4"/>
        <v>-6.2999999999999972</v>
      </c>
      <c r="Z7" s="35">
        <f t="shared" si="4"/>
        <v>-15.5</v>
      </c>
      <c r="AA7" s="35">
        <f t="shared" si="4"/>
        <v>-11</v>
      </c>
      <c r="AB7" s="35">
        <f t="shared" si="4"/>
        <v>-22.720000000000006</v>
      </c>
    </row>
    <row r="8" spans="2:36" x14ac:dyDescent="0.35">
      <c r="B8" s="23" t="s">
        <v>146</v>
      </c>
      <c r="C8" s="35" t="e">
        <f t="shared" ref="C8:AB8" si="5">VLOOKUP($AG$1,$B:$AB,MATCH(C2,$B$2:$AB$2,),)-VLOOKUP($AG$3,$B:$AB,MATCH(C2,$B$2:$AB$2,),)</f>
        <v>#N/A</v>
      </c>
      <c r="D8" s="35">
        <f t="shared" si="5"/>
        <v>-1.2000000000000028</v>
      </c>
      <c r="E8" s="35">
        <f t="shared" si="5"/>
        <v>-2.6999999999999957</v>
      </c>
      <c r="F8" s="35">
        <f t="shared" si="5"/>
        <v>0.19999999999999574</v>
      </c>
      <c r="G8" s="35">
        <f t="shared" si="5"/>
        <v>0.70000000000000284</v>
      </c>
      <c r="H8" s="35">
        <f t="shared" si="5"/>
        <v>-1.7000000000000028</v>
      </c>
      <c r="I8" s="35">
        <f t="shared" si="5"/>
        <v>1.1000000000000014</v>
      </c>
      <c r="J8" s="35">
        <f t="shared" si="5"/>
        <v>1.0999999999999943</v>
      </c>
      <c r="K8" s="35">
        <f t="shared" si="5"/>
        <v>0.29999999999999716</v>
      </c>
      <c r="L8" s="35">
        <f t="shared" si="5"/>
        <v>1.8999999999999986</v>
      </c>
      <c r="M8" s="35">
        <f t="shared" si="5"/>
        <v>1</v>
      </c>
      <c r="N8" s="35">
        <f t="shared" si="5"/>
        <v>-6.5</v>
      </c>
      <c r="O8" s="35">
        <f t="shared" si="5"/>
        <v>0.30000000000000426</v>
      </c>
      <c r="P8" s="35">
        <f t="shared" si="5"/>
        <v>2.5</v>
      </c>
      <c r="Q8" s="35">
        <f t="shared" si="5"/>
        <v>0.40000000000000568</v>
      </c>
      <c r="R8" s="35">
        <f t="shared" si="5"/>
        <v>0.80000000000000426</v>
      </c>
      <c r="S8" s="35">
        <f t="shared" si="5"/>
        <v>-4.8999999999999986</v>
      </c>
      <c r="T8" s="35">
        <f t="shared" si="5"/>
        <v>-1.5</v>
      </c>
      <c r="U8" s="35">
        <f t="shared" si="5"/>
        <v>0.79999999999999716</v>
      </c>
      <c r="V8" s="35">
        <f t="shared" si="5"/>
        <v>0.10000000000000142</v>
      </c>
      <c r="W8" s="35">
        <f t="shared" si="5"/>
        <v>0.29999999999999716</v>
      </c>
      <c r="X8" s="35">
        <f t="shared" si="5"/>
        <v>-2.6999999999999957</v>
      </c>
      <c r="Y8" s="35">
        <f t="shared" si="5"/>
        <v>-0.69999999999999574</v>
      </c>
      <c r="Z8" s="35">
        <f t="shared" si="5"/>
        <v>-0.10000000000000142</v>
      </c>
      <c r="AA8" s="35">
        <f t="shared" si="5"/>
        <v>1.3999999999999986</v>
      </c>
      <c r="AB8" s="35">
        <f t="shared" si="5"/>
        <v>-6.6100000000000065</v>
      </c>
    </row>
    <row r="9" spans="2:36" ht="66.75" customHeight="1" x14ac:dyDescent="0.35">
      <c r="B9" s="24" t="s">
        <v>147</v>
      </c>
      <c r="C9" s="25" t="e">
        <f t="shared" ref="C9:AB9" si="6">IF(VLOOKUP($AG$1,$B:$AB,MATCH(C2,$B$2:$AB$2,),)&gt;50,"Growth","Contraction")</f>
        <v>#N/A</v>
      </c>
      <c r="D9" s="25" t="str">
        <f t="shared" si="6"/>
        <v>Contraction</v>
      </c>
      <c r="E9" s="25" t="str">
        <f t="shared" si="6"/>
        <v>Contraction</v>
      </c>
      <c r="F9" s="25" t="str">
        <f t="shared" si="6"/>
        <v>Contraction</v>
      </c>
      <c r="G9" s="25" t="str">
        <f t="shared" si="6"/>
        <v>Contraction</v>
      </c>
      <c r="H9" s="25" t="str">
        <f t="shared" si="6"/>
        <v>Contraction</v>
      </c>
      <c r="I9" s="25" t="str">
        <f t="shared" si="6"/>
        <v>Contraction</v>
      </c>
      <c r="J9" s="25" t="str">
        <f t="shared" si="6"/>
        <v>Contraction</v>
      </c>
      <c r="K9" s="25" t="str">
        <f t="shared" si="6"/>
        <v>Contraction</v>
      </c>
      <c r="L9" s="25" t="str">
        <f t="shared" si="6"/>
        <v>Contraction</v>
      </c>
      <c r="M9" s="25" t="str">
        <f t="shared" si="6"/>
        <v>Contraction</v>
      </c>
      <c r="N9" s="25" t="str">
        <f t="shared" si="6"/>
        <v>Contraction</v>
      </c>
      <c r="O9" s="25" t="str">
        <f t="shared" si="6"/>
        <v>Growth</v>
      </c>
      <c r="P9" s="25" t="str">
        <f t="shared" si="6"/>
        <v>Growth</v>
      </c>
      <c r="Q9" s="25" t="str">
        <f t="shared" si="6"/>
        <v>Growth</v>
      </c>
      <c r="R9" s="25" t="str">
        <f t="shared" si="6"/>
        <v>Contraction</v>
      </c>
      <c r="S9" s="25" t="str">
        <f t="shared" si="6"/>
        <v>Contraction</v>
      </c>
      <c r="T9" s="25" t="str">
        <f t="shared" si="6"/>
        <v>Growth</v>
      </c>
      <c r="U9" s="25" t="str">
        <f t="shared" si="6"/>
        <v>Contraction</v>
      </c>
      <c r="V9" s="25" t="str">
        <f t="shared" si="6"/>
        <v>Contraction</v>
      </c>
      <c r="W9" s="25" t="str">
        <f t="shared" si="6"/>
        <v>Contraction</v>
      </c>
      <c r="X9" s="25" t="str">
        <f t="shared" si="6"/>
        <v>Contraction</v>
      </c>
      <c r="Y9" s="25" t="str">
        <f t="shared" si="6"/>
        <v>Contraction</v>
      </c>
      <c r="Z9" s="25" t="str">
        <f t="shared" si="6"/>
        <v>Contraction</v>
      </c>
      <c r="AA9" s="25" t="str">
        <f t="shared" si="6"/>
        <v>Contraction</v>
      </c>
      <c r="AB9" s="25" t="str">
        <f t="shared" si="6"/>
        <v>Contraction</v>
      </c>
    </row>
    <row r="10" spans="2:36" ht="26.25" customHeight="1" thickBot="1" x14ac:dyDescent="0.4">
      <c r="B10" s="26" t="s">
        <v>148</v>
      </c>
      <c r="C10" s="27" t="e">
        <f t="shared" ref="C10:AB10" si="7">IF(C8&gt;0,"+","-")</f>
        <v>#N/A</v>
      </c>
      <c r="D10" s="27" t="str">
        <f t="shared" si="7"/>
        <v>-</v>
      </c>
      <c r="E10" s="27" t="str">
        <f t="shared" si="7"/>
        <v>-</v>
      </c>
      <c r="F10" s="27" t="str">
        <f t="shared" si="7"/>
        <v>+</v>
      </c>
      <c r="G10" s="27" t="str">
        <f t="shared" si="7"/>
        <v>+</v>
      </c>
      <c r="H10" s="27" t="str">
        <f t="shared" si="7"/>
        <v>-</v>
      </c>
      <c r="I10" s="27" t="str">
        <f t="shared" si="7"/>
        <v>+</v>
      </c>
      <c r="J10" s="27" t="str">
        <f t="shared" si="7"/>
        <v>+</v>
      </c>
      <c r="K10" s="27" t="str">
        <f t="shared" si="7"/>
        <v>+</v>
      </c>
      <c r="L10" s="27" t="str">
        <f t="shared" si="7"/>
        <v>+</v>
      </c>
      <c r="M10" s="27" t="str">
        <f t="shared" si="7"/>
        <v>+</v>
      </c>
      <c r="N10" s="27" t="str">
        <f t="shared" si="7"/>
        <v>-</v>
      </c>
      <c r="O10" s="27" t="str">
        <f t="shared" si="7"/>
        <v>+</v>
      </c>
      <c r="P10" s="27" t="str">
        <f t="shared" si="7"/>
        <v>+</v>
      </c>
      <c r="Q10" s="27" t="str">
        <f t="shared" si="7"/>
        <v>+</v>
      </c>
      <c r="R10" s="27" t="str">
        <f t="shared" si="7"/>
        <v>+</v>
      </c>
      <c r="S10" s="27" t="str">
        <f t="shared" si="7"/>
        <v>-</v>
      </c>
      <c r="T10" s="27" t="str">
        <f t="shared" si="7"/>
        <v>-</v>
      </c>
      <c r="U10" s="27" t="str">
        <f t="shared" si="7"/>
        <v>+</v>
      </c>
      <c r="V10" s="27" t="str">
        <f t="shared" si="7"/>
        <v>+</v>
      </c>
      <c r="W10" s="27" t="str">
        <f t="shared" si="7"/>
        <v>+</v>
      </c>
      <c r="X10" s="27" t="str">
        <f t="shared" si="7"/>
        <v>-</v>
      </c>
      <c r="Y10" s="27" t="str">
        <f t="shared" si="7"/>
        <v>-</v>
      </c>
      <c r="Z10" s="27" t="str">
        <f t="shared" si="7"/>
        <v>-</v>
      </c>
      <c r="AA10" s="27" t="str">
        <f t="shared" si="7"/>
        <v>+</v>
      </c>
      <c r="AB10" s="27" t="str">
        <f t="shared" si="7"/>
        <v>-</v>
      </c>
    </row>
    <row r="11" spans="2:36" ht="26.25" customHeight="1" x14ac:dyDescent="0.35"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</row>
    <row r="12" spans="2:36" x14ac:dyDescent="0.35">
      <c r="B12" s="28">
        <v>42887</v>
      </c>
      <c r="C12" s="36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6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6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6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6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6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6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6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6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6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6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6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6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6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6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6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6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6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6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6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6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6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6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6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6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6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8">
        <v>42917</v>
      </c>
      <c r="C13" s="36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6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6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6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6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6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6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6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6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6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6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6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6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6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6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6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6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6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6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6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6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6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6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6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6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6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8">
        <v>42948</v>
      </c>
      <c r="C14" s="36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6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6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6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6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6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6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6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6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6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6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6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6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6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6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6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6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6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6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6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6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6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6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6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6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6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8">
        <v>42979</v>
      </c>
      <c r="C15" s="36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6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6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6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6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6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6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6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6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6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6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6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6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6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6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6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6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6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6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6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6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6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6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6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6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6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8">
        <v>43009</v>
      </c>
      <c r="C16" s="36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6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6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6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6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6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6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6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6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6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6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6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6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6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6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6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6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6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6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6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6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6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6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6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6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6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8">
        <v>43040</v>
      </c>
      <c r="C17" s="36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6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6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6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6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6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6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6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6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6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6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6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6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6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6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6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6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6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6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6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6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6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6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6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6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6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8">
        <v>43070</v>
      </c>
      <c r="C18" s="36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6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6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6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6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6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6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6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6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6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6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6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6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6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6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6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6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6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6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6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6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6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6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6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6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6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8">
        <v>43101</v>
      </c>
      <c r="C19" s="36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6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6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6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6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6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6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6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6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6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6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6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6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6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6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6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6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6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6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6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6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6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6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6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6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6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8">
        <v>43132</v>
      </c>
      <c r="C20" s="36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6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6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6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6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6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6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6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6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6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6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6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6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6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6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6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6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6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6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6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6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6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6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6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6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6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8">
        <v>43160</v>
      </c>
      <c r="C21" s="36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6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6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6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6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6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6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6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6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6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6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6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6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6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6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6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6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6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6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6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6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6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6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6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6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6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8">
        <v>43191</v>
      </c>
      <c r="C22" s="36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6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6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6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6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6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6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6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6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6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6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6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6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6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6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6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6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6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6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6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6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6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6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6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6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6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8">
        <v>43221</v>
      </c>
      <c r="C23" s="36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6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6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6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6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6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6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6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6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6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6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6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6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6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6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6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6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6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6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6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6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6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6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6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6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6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8">
        <v>43252</v>
      </c>
      <c r="C24" s="36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6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6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6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6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6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6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6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6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6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6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6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6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6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6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6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6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6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6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6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6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6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6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6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6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6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8">
        <v>43282</v>
      </c>
      <c r="C25" s="36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6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6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6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6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6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6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6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6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6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6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6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6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6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6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6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6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6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6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6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6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6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6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6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6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6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8">
        <v>43313</v>
      </c>
      <c r="C26" s="36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6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6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6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6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6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6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6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6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6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6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6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6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6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6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6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6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6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6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6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6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6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6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6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6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6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8">
        <v>43344</v>
      </c>
      <c r="C27" s="36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6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6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6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6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6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6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6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6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6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6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6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6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6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6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6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6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6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6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6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6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6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6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6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6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6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8">
        <v>43374</v>
      </c>
      <c r="C28" s="36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6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6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6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6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6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6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6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6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6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6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6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6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6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6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6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6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6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6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6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6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6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6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6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6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6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8">
        <v>43405</v>
      </c>
      <c r="C29" s="36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6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6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6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6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6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6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6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6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6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6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6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6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6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6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6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6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6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6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6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6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6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6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6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6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6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8">
        <v>43435</v>
      </c>
      <c r="C30" s="36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6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6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6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6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6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6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6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6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6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6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6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6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6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6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6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6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6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6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6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6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6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6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6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6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6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8">
        <v>43466</v>
      </c>
      <c r="C31" s="36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6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6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6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6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6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6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6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6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6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6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6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6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6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6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6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6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6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6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6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6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6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6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6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6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6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8">
        <v>43497</v>
      </c>
      <c r="C32" s="36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6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6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6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6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6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6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6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6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6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6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6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6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6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6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6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6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6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6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6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6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6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6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6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6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6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8">
        <v>43525</v>
      </c>
      <c r="C33" s="36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6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6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6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6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6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6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6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6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6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6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6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6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6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6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6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6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6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6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6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6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6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6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6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6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6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8">
        <v>43556</v>
      </c>
      <c r="C34" s="36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6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6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6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6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6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6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6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6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6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6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6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6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6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6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6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6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6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6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6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6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6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6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6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6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6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8">
        <v>43586</v>
      </c>
      <c r="C35" s="36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6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6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6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6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6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6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6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6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6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6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6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6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6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6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6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6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6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6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6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6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6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6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6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6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6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8">
        <v>43617</v>
      </c>
      <c r="C36" s="36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6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6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6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6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6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6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6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6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6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6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6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6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6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6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6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6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6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6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6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6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6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6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6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6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6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8">
        <v>43647</v>
      </c>
      <c r="C37" s="36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6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6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6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6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6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6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6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6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6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6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6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6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6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6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6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6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6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6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6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6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6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6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6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6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6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8">
        <v>43678</v>
      </c>
      <c r="C38" s="36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6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6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6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6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6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6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6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6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6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6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6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6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6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6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6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6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6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6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6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6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6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6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6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6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6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8">
        <v>43709</v>
      </c>
      <c r="C39" s="36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6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6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6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6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6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6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6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6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6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6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6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6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6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6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6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6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6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6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6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6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6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6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6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6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6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8">
        <v>43739</v>
      </c>
      <c r="C40" s="36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6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6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6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6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6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6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6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6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6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6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6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6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6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6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6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6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6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6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6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6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6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6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6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6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6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8">
        <v>43770</v>
      </c>
      <c r="C41" s="36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6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6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6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6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6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6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6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6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6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6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6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6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6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6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6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6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6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6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6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6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6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6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6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6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6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8">
        <v>43800</v>
      </c>
      <c r="C42" s="36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6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6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6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6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6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6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6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6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6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6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6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6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6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6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6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6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6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6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6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6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6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6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6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6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6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8">
        <v>43831</v>
      </c>
      <c r="C43" s="36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6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6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6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6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6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6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6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6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6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6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6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6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6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6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6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6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6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6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6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6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6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6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6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6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6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8">
        <v>43862</v>
      </c>
      <c r="C44" s="36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6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6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6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6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6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6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6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6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6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6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6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6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6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6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6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6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6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6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6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6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6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6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6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6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6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8">
        <v>43891</v>
      </c>
      <c r="C45" s="36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6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6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6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6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6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6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6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6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6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6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6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6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6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6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6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6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6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6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6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6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6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6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6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6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6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8">
        <v>43922</v>
      </c>
      <c r="C46" s="36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6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6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6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6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6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6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6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6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6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6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6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6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6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6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6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6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6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6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6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6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6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6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6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6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6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8">
        <v>43952</v>
      </c>
      <c r="C47" s="36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6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6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6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6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6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6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6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6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6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6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6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6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6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6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6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6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6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6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6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6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6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6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6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6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6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8">
        <v>43983</v>
      </c>
      <c r="C48" s="36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6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6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6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6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6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6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6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6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6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6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6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6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6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6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6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6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6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6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6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6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6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6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6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6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6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5" customFormat="1" x14ac:dyDescent="0.35">
      <c r="B49" s="28">
        <v>44013</v>
      </c>
      <c r="C49" s="36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6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6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6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6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6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6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6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6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6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6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6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6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6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6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6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6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6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6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6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6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6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6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6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6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6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5" customFormat="1" x14ac:dyDescent="0.35">
      <c r="B50" s="28">
        <v>44044</v>
      </c>
      <c r="C50" s="36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6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6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6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6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6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6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6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6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6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6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6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6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6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6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6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6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6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6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6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6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6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6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6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6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6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5" customFormat="1" x14ac:dyDescent="0.35">
      <c r="B51" s="28">
        <v>44075</v>
      </c>
      <c r="C51" s="36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6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6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6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6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6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6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6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6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6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6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6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6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6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6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6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6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6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6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6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6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6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6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6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6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6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5" customFormat="1" x14ac:dyDescent="0.35">
      <c r="B52" s="28">
        <v>44105</v>
      </c>
      <c r="C52" s="36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6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6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6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6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6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6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6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6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6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6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6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6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6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6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6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6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6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6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6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6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6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6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6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6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6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5" customFormat="1" x14ac:dyDescent="0.35">
      <c r="B53" s="28">
        <v>44136</v>
      </c>
      <c r="C53" s="36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6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6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6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6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6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6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6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6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6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6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6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6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6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6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6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6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6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6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6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6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6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6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6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6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6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5" customFormat="1" x14ac:dyDescent="0.35">
      <c r="B54" s="28">
        <v>44166</v>
      </c>
      <c r="C54" s="36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6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6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6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6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6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6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6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6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6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6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6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6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6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6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6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6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6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6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6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6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6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6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6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6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6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5" customFormat="1" x14ac:dyDescent="0.35">
      <c r="B55" s="28">
        <v>44197</v>
      </c>
      <c r="C55" s="36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6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6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6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6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6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6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6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6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6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6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6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6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6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6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6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6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6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6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6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6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6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6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6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6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6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5" customFormat="1" x14ac:dyDescent="0.35">
      <c r="B56" s="28">
        <v>44228</v>
      </c>
      <c r="C56" s="36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6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6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6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6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6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6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6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6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6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6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6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6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6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6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6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6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6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6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6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6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6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6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6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6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6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5" customFormat="1" x14ac:dyDescent="0.35">
      <c r="B57" s="28">
        <v>44256</v>
      </c>
      <c r="C57" s="36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6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6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6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6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6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6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6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6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6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6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6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6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6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6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6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6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6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6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6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6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6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6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6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6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6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5" customFormat="1" x14ac:dyDescent="0.35">
      <c r="B58" s="28">
        <v>44287</v>
      </c>
      <c r="C58" s="36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6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6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6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6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6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6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6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6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6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6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6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6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6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6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6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6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6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6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6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6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6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6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6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6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6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5" customFormat="1" x14ac:dyDescent="0.35">
      <c r="B59" s="28">
        <v>44317</v>
      </c>
      <c r="C59" s="36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6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6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6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6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6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6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6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6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6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6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6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6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6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6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6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6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6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6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6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6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6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6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6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6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6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5" customFormat="1" x14ac:dyDescent="0.35">
      <c r="B60" s="28">
        <v>44348</v>
      </c>
      <c r="C60" s="36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6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6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6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6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6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6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6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6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6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6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6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6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6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6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6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6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6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6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6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6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6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6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6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6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6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5" customFormat="1" x14ac:dyDescent="0.35">
      <c r="B61" s="28">
        <v>44378</v>
      </c>
      <c r="C61" s="36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6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6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6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6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6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6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6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6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6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6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6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6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6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6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6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6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6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6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6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6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6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6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6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6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6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5" customFormat="1" x14ac:dyDescent="0.35">
      <c r="B62" s="28">
        <v>44409</v>
      </c>
      <c r="C62" s="36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6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6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6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6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6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6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6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6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6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6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6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6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6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6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6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6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6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6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6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6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6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6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6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6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6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5" customFormat="1" x14ac:dyDescent="0.35">
      <c r="B63" s="28">
        <v>44440</v>
      </c>
      <c r="C63" s="36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6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6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6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6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6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6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6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6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6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6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6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6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6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6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6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6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6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6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6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6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6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6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6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6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6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5" customFormat="1" x14ac:dyDescent="0.35">
      <c r="B64" s="28">
        <v>44470</v>
      </c>
      <c r="C64" s="36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6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6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6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6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6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6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6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6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6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6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6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6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6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6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6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6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6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6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6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6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6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6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6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6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6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5" customFormat="1" x14ac:dyDescent="0.35">
      <c r="B65" s="28">
        <v>44501</v>
      </c>
      <c r="C65" s="36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6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6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6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6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6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6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6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6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6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6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6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6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6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6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6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6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6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6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6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6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6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6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6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6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6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5" customFormat="1" x14ac:dyDescent="0.35">
      <c r="B66" s="28">
        <v>44531</v>
      </c>
      <c r="C66" s="36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6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6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6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6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6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6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6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6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6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6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6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6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6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6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6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6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6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6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6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6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6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6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6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6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6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5" customFormat="1" x14ac:dyDescent="0.35">
      <c r="B67" s="28">
        <v>44562</v>
      </c>
      <c r="C67" s="36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6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6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6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6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6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6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6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6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6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6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6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6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6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6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6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6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6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6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6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6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6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6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6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6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6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5" customFormat="1" x14ac:dyDescent="0.35">
      <c r="B68" s="28">
        <v>44593</v>
      </c>
      <c r="C68" s="36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6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6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6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6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6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6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6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6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6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6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6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6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6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6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6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6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6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6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6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6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6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6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6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6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6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5" customFormat="1" x14ac:dyDescent="0.35">
      <c r="B69" s="28">
        <v>44621</v>
      </c>
      <c r="C69" s="36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6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6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6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6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6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6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6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6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6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6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6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6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6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6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6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6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6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6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6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6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6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6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6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6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6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5" customFormat="1" x14ac:dyDescent="0.35">
      <c r="B70" s="28">
        <v>44652</v>
      </c>
      <c r="C70" s="36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6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6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6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6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6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6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6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6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6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6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6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6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6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6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6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6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6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6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6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6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6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6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6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6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6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5" customFormat="1" x14ac:dyDescent="0.35">
      <c r="B71" s="28">
        <v>44682</v>
      </c>
      <c r="C71" s="36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6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6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6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6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6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6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6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6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6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6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6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6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6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6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6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6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6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6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6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6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6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6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6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6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6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5" customFormat="1" x14ac:dyDescent="0.35">
      <c r="B72" s="28">
        <v>44713</v>
      </c>
      <c r="C72" s="36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6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6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6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6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6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6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6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6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6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6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6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6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6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6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6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6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6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6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6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6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6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6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6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6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6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5" customFormat="1" x14ac:dyDescent="0.35">
      <c r="B73" s="28">
        <v>44743</v>
      </c>
      <c r="C73" s="36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6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6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6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6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6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6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6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6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6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6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6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6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6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6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6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6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6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6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6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6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6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6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6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6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6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5" customFormat="1" x14ac:dyDescent="0.35">
      <c r="B74" s="28">
        <v>44774</v>
      </c>
      <c r="C74" s="36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6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6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6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6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6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6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6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6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6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6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6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6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6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6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6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6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6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6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6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6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6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6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6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6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6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5" customFormat="1" x14ac:dyDescent="0.35">
      <c r="B75" s="28">
        <v>44805</v>
      </c>
      <c r="C75" s="36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6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6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6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6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6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6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6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6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6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6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6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6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6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6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6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6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6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6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6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6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6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6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6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6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6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5" customFormat="1" x14ac:dyDescent="0.35">
      <c r="B76" s="28">
        <v>44835</v>
      </c>
      <c r="C76" s="36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6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6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6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6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6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6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6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6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6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6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6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6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6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6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6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6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6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6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6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6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6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6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6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6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6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5" customFormat="1" x14ac:dyDescent="0.35">
      <c r="B77" s="28">
        <v>44866</v>
      </c>
      <c r="C77" s="36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6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6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6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6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6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6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6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6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6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6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6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6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6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6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6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6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6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6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6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6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6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6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6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6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6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5" customFormat="1" x14ac:dyDescent="0.35">
      <c r="B78" s="28">
        <v>44896</v>
      </c>
      <c r="C78" s="36" t="e">
        <f>IF((VLOOKUP(B78,'DB PMI Manufacturing World'!$A:$AA,MATCH($C$1,'DB PMI Manufacturing World'!$A$1:$AA$1,),))=0,#N/A, (VLOOKUP(B78,'DB PMI Manufacturing World'!$A:$AA,MATCH($C$1,'DB PMI Manufacturing World'!$A$1:$AA$1,),)))</f>
        <v>#N/A</v>
      </c>
      <c r="D78" s="36">
        <f>IF((VLOOKUP(B78,'DB PMI Manufacturing World'!$A:$AA,MATCH($D$1,'DB PMI Manufacturing World'!$A$1:$AA$1,),))=0,#N/A, (VLOOKUP(B78,'DB PMI Manufacturing World'!$A:$AA,MATCH($D$1,'DB PMI Manufacturing World'!$A$1:$AA$1,),)))</f>
        <v>48.4</v>
      </c>
      <c r="E78" s="36" t="e">
        <f>IF((VLOOKUP(B78,'DB PMI Manufacturing World'!$A:$AA,MATCH($E$1,'DB PMI Manufacturing World'!$A$1:$AA$1,),))=0,#N/A, (VLOOKUP(B78,'DB PMI Manufacturing World'!$A:$AA,MATCH($E$1,'DB PMI Manufacturing World'!$A$1:$AA$1,),)))</f>
        <v>#N/A</v>
      </c>
      <c r="F78" s="36" t="e">
        <f>IF((VLOOKUP(B78,'DB PMI Manufacturing World'!$A:$AA,MATCH($F$1,'DB PMI Manufacturing World'!$A$1:$AA$1,),))=0,#N/A, (VLOOKUP(B78,'DB PMI Manufacturing World'!$A:$AA,MATCH($F$1,'DB PMI Manufacturing World'!$A$1:$AA$1,),)))</f>
        <v>#N/A</v>
      </c>
      <c r="G78" s="36" t="e">
        <f>IF((VLOOKUP(B78,'DB PMI Manufacturing World'!$A:$AA,MATCH($G$1,'DB PMI Manufacturing World'!$A$1:$AA$1,),))=0,#N/A, (VLOOKUP(B78,'DB PMI Manufacturing World'!$A:$AA,MATCH($G$1,'DB PMI Manufacturing World'!$A$1:$AA$1,),)))</f>
        <v>#N/A</v>
      </c>
      <c r="H78" s="36" t="e">
        <f>IF((VLOOKUP(B78,'DB PMI Manufacturing World'!$A:$AA,MATCH($H$1,'DB PMI Manufacturing World'!$A$1:$AA$1,),))=0,#N/A, (VLOOKUP(B78,'DB PMI Manufacturing World'!$A:$AA,MATCH($H$1,'DB PMI Manufacturing World'!$A$1:$AA$1,),)))</f>
        <v>#N/A</v>
      </c>
      <c r="I78" s="36" t="e">
        <f>IF((VLOOKUP(B78,'DB PMI Manufacturing World'!$A:$AA,MATCH($I$1,'DB PMI Manufacturing World'!$A$1:$AA$1,),))=0,#N/A, (VLOOKUP(B78,'DB PMI Manufacturing World'!$A:$AA,MATCH($I$1,'DB PMI Manufacturing World'!$A$1:$AA$1,),)))</f>
        <v>#N/A</v>
      </c>
      <c r="J78" s="36" t="e">
        <f>IF((VLOOKUP(B78,'DB PMI Manufacturing World'!$A:$AA,MATCH($J$1,'DB PMI Manufacturing World'!$A$1:$AA$1,),))=0,#N/A, (VLOOKUP(B78,'DB PMI Manufacturing World'!$A:$AA,MATCH($J$1,'DB PMI Manufacturing World'!$A$1:$AA$1,),)))</f>
        <v>#N/A</v>
      </c>
      <c r="K78" s="36" t="e">
        <f>IF((VLOOKUP(B78,'DB PMI Manufacturing World'!$A:$AA,MATCH($K$1,'DB PMI Manufacturing World'!$A$1:$AA$1,),))=0,#N/A, (VLOOKUP(B78,'DB PMI Manufacturing World'!$A:$AA,MATCH($K$1,'DB PMI Manufacturing World'!$A$1:$AA$1,),)))</f>
        <v>#N/A</v>
      </c>
      <c r="L78" s="36" t="e">
        <f>IF((VLOOKUP(B78,'DB PMI Manufacturing World'!$A:$AA,MATCH($L$1,'DB PMI Manufacturing World'!$A$1:$AA$1,),))=0,#N/A, (VLOOKUP(B78,'DB PMI Manufacturing World'!$A:$AA,MATCH($L$1,'DB PMI Manufacturing World'!$A$1:$AA$1,),)))</f>
        <v>#N/A</v>
      </c>
      <c r="M78" s="36" t="e">
        <f>IF((VLOOKUP(B78,'DB PMI Manufacturing World'!$A:$AA,MATCH($M$1,'DB PMI Manufacturing World'!$A$1:$AA$1,),))=0,#N/A, (VLOOKUP(B78,'DB PMI Manufacturing World'!$A:$AA,MATCH($M$1,'DB PMI Manufacturing World'!$A$1:$AA$1,),)))</f>
        <v>#N/A</v>
      </c>
      <c r="N78" s="36" t="e">
        <f>IF((VLOOKUP(B78,'DB PMI Manufacturing World'!$A:$AA,MATCH($N$1,'DB PMI Manufacturing World'!$A$1:$AA$1,),))=0,#N/A, (VLOOKUP(B78,'DB PMI Manufacturing World'!$A:$AA,MATCH($N$1,'DB PMI Manufacturing World'!$A$1:$AA$1,),)))</f>
        <v>#N/A</v>
      </c>
      <c r="O78" s="36" t="e">
        <f>IF((VLOOKUP(B78,'DB PMI Manufacturing World'!$A:$AA,MATCH($O$1,'DB PMI Manufacturing World'!$A$1:$AA$1,),))=0,#N/A, (VLOOKUP(B78,'DB PMI Manufacturing World'!$A:$AA,MATCH($O$1,'DB PMI Manufacturing World'!$A$1:$AA$1,),)))</f>
        <v>#N/A</v>
      </c>
      <c r="P78" s="36" t="e">
        <f>IF((VLOOKUP(B78,'DB PMI Manufacturing World'!$A:$AA,MATCH($P$1,'DB PMI Manufacturing World'!$A$1:$AA$1,),))=0,#N/A, (VLOOKUP(B78,'DB PMI Manufacturing World'!$A:$AA,MATCH($P$1,'DB PMI Manufacturing World'!$A$1:$AA$1,),)))</f>
        <v>#N/A</v>
      </c>
      <c r="Q78" s="36" t="e">
        <f>IF((VLOOKUP(B78,'DB PMI Manufacturing World'!$A:$AA,MATCH($Q$1,'DB PMI Manufacturing World'!$A$1:$AA$1,),))=0,#N/A, (VLOOKUP(B78,'DB PMI Manufacturing World'!$A:$AA,MATCH($Q$1,'DB PMI Manufacturing World'!$A$1:$AA$1,),)))</f>
        <v>#N/A</v>
      </c>
      <c r="R78" s="36" t="e">
        <f>IF((VLOOKUP(B78,'DB PMI Manufacturing World'!$A:$AA,MATCH($R$1,'DB PMI Manufacturing World'!$A$1:$AA$1,),))=0,#N/A, (VLOOKUP(B78,'DB PMI Manufacturing World'!$A:$AA,MATCH($R$1,'DB PMI Manufacturing World'!$A$1:$AA$1,),)))</f>
        <v>#N/A</v>
      </c>
      <c r="S78" s="36" t="e">
        <f>IF((VLOOKUP(B78,'DB PMI Manufacturing World'!$A:$AA,MATCH($S$1,'DB PMI Manufacturing World'!$A$1:$AA$1,),))=0,#N/A, (VLOOKUP(B78,'DB PMI Manufacturing World'!$A:$AA,MATCH($S$1,'DB PMI Manufacturing World'!$A$1:$AA$1,),)))</f>
        <v>#N/A</v>
      </c>
      <c r="T78" s="36" t="e">
        <f>IF((VLOOKUP(B78,'DB PMI Manufacturing World'!$A:$AA,MATCH($T$1,'DB PMI Manufacturing World'!$A$1:$AA$1,),))=0,#N/A, (VLOOKUP(B78,'DB PMI Manufacturing World'!$A:$AA,MATCH($T$1,'DB PMI Manufacturing World'!$A$1:$AA$1,),)))</f>
        <v>#N/A</v>
      </c>
      <c r="U78" s="36" t="e">
        <f>IF((VLOOKUP(B78,'DB PMI Manufacturing World'!$A:$AA,MATCH($U$1,'DB PMI Manufacturing World'!$A$1:$AA$1,),))=0,#N/A, (VLOOKUP(B78,'DB PMI Manufacturing World'!$A:$AA,MATCH($U$1,'DB PMI Manufacturing World'!$A$1:$AA$1,),)))</f>
        <v>#N/A</v>
      </c>
      <c r="V78" s="36" t="e">
        <f>IF((VLOOKUP(B78,'DB PMI Manufacturing World'!$A:$AA,MATCH($V$1,'DB PMI Manufacturing World'!$A$1:$AA$1,),))=0,#N/A, (VLOOKUP(B78,'DB PMI Manufacturing World'!$A:$AA,MATCH($V$1,'DB PMI Manufacturing World'!$A$1:$AA$1,),)))</f>
        <v>#N/A</v>
      </c>
      <c r="W78" s="36" t="e">
        <f>IF((VLOOKUP(B78,'DB PMI Manufacturing World'!$A:$AA,MATCH($W$1,'DB PMI Manufacturing World'!$A$1:$AA$1,),))=0,#N/A, (VLOOKUP(B78,'DB PMI Manufacturing World'!$A:$AA,MATCH($W$1,'DB PMI Manufacturing World'!$A$1:$AA$1,),)))</f>
        <v>#N/A</v>
      </c>
      <c r="X78" s="36" t="e">
        <f>IF((VLOOKUP(B78,'DB PMI Manufacturing World'!$A:$AA,MATCH($X$1,'DB PMI Manufacturing World'!$A$1:$AA$1,),))=0,#N/A, (VLOOKUP(B78,'DB PMI Manufacturing World'!$A:$AA,MATCH($X$1,'DB PMI Manufacturing World'!$A$1:$AA$1,),)))</f>
        <v>#N/A</v>
      </c>
      <c r="Y78" s="36" t="e">
        <f>IF((VLOOKUP(B78,'DB PMI Manufacturing World'!$A:$AA,MATCH($Y$1,'DB PMI Manufacturing World'!$A$1:$AA$1,),))=0,#N/A, (VLOOKUP(B78,'DB PMI Manufacturing World'!$A:$AA,MATCH($Y$1,'DB PMI Manufacturing World'!$A$1:$AA$1,),)))</f>
        <v>#N/A</v>
      </c>
      <c r="Z78" s="36" t="e">
        <f>IF((VLOOKUP(B78,'DB PMI Manufacturing World'!$A:$AA,MATCH($Z$1,'DB PMI Manufacturing World'!$A$1:$AA$1,),))=0,#N/A, (VLOOKUP(B78,'DB PMI Manufacturing World'!$A:$AA,MATCH($Z$1,'DB PMI Manufacturing World'!$A$1:$AA$1,),)))</f>
        <v>#N/A</v>
      </c>
      <c r="AA78" s="36" t="e">
        <f>IF((VLOOKUP(B78,'DB PMI Manufacturing World'!$A:$AA,MATCH($AA$1,'DB PMI Manufacturing World'!$A$1:$AA$1,),))=0,#N/A, (VLOOKUP(B78,'DB PMI Manufacturing World'!$A:$AA,MATCH($AA$1,'DB PMI Manufacturing World'!$A$1:$AA$1,),)))</f>
        <v>#N/A</v>
      </c>
      <c r="AB78" s="36" t="e">
        <f>IF((VLOOKUP(B78,'DB PMI Manufacturing World'!$A:$AA,MATCH($AB$1,'DB PMI Manufacturing World'!$A$1:$AA$1,),))=0,#N/A, (VLOOKUP(B78,'DB PMI Manufacturing World'!$A:$AA,MATCH($AB$1,'DB PMI Manufacturing World'!$A$1:$AA$1,),)))</f>
        <v>#N/A</v>
      </c>
    </row>
    <row r="79" spans="2:28" s="55" customFormat="1" x14ac:dyDescent="0.35">
      <c r="B79" s="28">
        <v>44927</v>
      </c>
      <c r="C79" s="36" t="e">
        <f>IF((VLOOKUP(B79,'DB PMI Manufacturing World'!$A:$AA,MATCH($C$1,'DB PMI Manufacturing World'!$A$1:$AA$1,),))=0,#N/A, (VLOOKUP(B79,'DB PMI Manufacturing World'!$A:$AA,MATCH($C$1,'DB PMI Manufacturing World'!$A$1:$AA$1,),)))</f>
        <v>#N/A</v>
      </c>
      <c r="D79" s="36">
        <f>IF((VLOOKUP(B79,'DB PMI Manufacturing World'!$A:$AA,MATCH($D$1,'DB PMI Manufacturing World'!$A$1:$AA$1,),))=0,#N/A, (VLOOKUP(B79,'DB PMI Manufacturing World'!$A:$AA,MATCH($D$1,'DB PMI Manufacturing World'!$A$1:$AA$1,),)))</f>
        <v>47.4</v>
      </c>
      <c r="E79" s="36" t="e">
        <f>IF((VLOOKUP(B79,'DB PMI Manufacturing World'!$A:$AA,MATCH($E$1,'DB PMI Manufacturing World'!$A$1:$AA$1,),))=0,#N/A, (VLOOKUP(B79,'DB PMI Manufacturing World'!$A:$AA,MATCH($E$1,'DB PMI Manufacturing World'!$A$1:$AA$1,),)))</f>
        <v>#N/A</v>
      </c>
      <c r="F79" s="36" t="e">
        <f>IF((VLOOKUP(B79,'DB PMI Manufacturing World'!$A:$AA,MATCH($F$1,'DB PMI Manufacturing World'!$A$1:$AA$1,),))=0,#N/A, (VLOOKUP(B79,'DB PMI Manufacturing World'!$A:$AA,MATCH($F$1,'DB PMI Manufacturing World'!$A$1:$AA$1,),)))</f>
        <v>#N/A</v>
      </c>
      <c r="G79" s="36" t="e">
        <f>IF((VLOOKUP(B79,'DB PMI Manufacturing World'!$A:$AA,MATCH($G$1,'DB PMI Manufacturing World'!$A$1:$AA$1,),))=0,#N/A, (VLOOKUP(B79,'DB PMI Manufacturing World'!$A:$AA,MATCH($G$1,'DB PMI Manufacturing World'!$A$1:$AA$1,),)))</f>
        <v>#N/A</v>
      </c>
      <c r="H79" s="36" t="e">
        <f>IF((VLOOKUP(B79,'DB PMI Manufacturing World'!$A:$AA,MATCH($H$1,'DB PMI Manufacturing World'!$A$1:$AA$1,),))=0,#N/A, (VLOOKUP(B79,'DB PMI Manufacturing World'!$A:$AA,MATCH($H$1,'DB PMI Manufacturing World'!$A$1:$AA$1,),)))</f>
        <v>#N/A</v>
      </c>
      <c r="I79" s="36" t="e">
        <f>IF((VLOOKUP(B79,'DB PMI Manufacturing World'!$A:$AA,MATCH($I$1,'DB PMI Manufacturing World'!$A$1:$AA$1,),))=0,#N/A, (VLOOKUP(B79,'DB PMI Manufacturing World'!$A:$AA,MATCH($I$1,'DB PMI Manufacturing World'!$A$1:$AA$1,),)))</f>
        <v>#N/A</v>
      </c>
      <c r="J79" s="36" t="e">
        <f>IF((VLOOKUP(B79,'DB PMI Manufacturing World'!$A:$AA,MATCH($J$1,'DB PMI Manufacturing World'!$A$1:$AA$1,),))=0,#N/A, (VLOOKUP(B79,'DB PMI Manufacturing World'!$A:$AA,MATCH($J$1,'DB PMI Manufacturing World'!$A$1:$AA$1,),)))</f>
        <v>#N/A</v>
      </c>
      <c r="K79" s="36" t="e">
        <f>IF((VLOOKUP(B79,'DB PMI Manufacturing World'!$A:$AA,MATCH($K$1,'DB PMI Manufacturing World'!$A$1:$AA$1,),))=0,#N/A, (VLOOKUP(B79,'DB PMI Manufacturing World'!$A:$AA,MATCH($K$1,'DB PMI Manufacturing World'!$A$1:$AA$1,),)))</f>
        <v>#N/A</v>
      </c>
      <c r="L79" s="36" t="e">
        <f>IF((VLOOKUP(B79,'DB PMI Manufacturing World'!$A:$AA,MATCH($L$1,'DB PMI Manufacturing World'!$A$1:$AA$1,),))=0,#N/A, (VLOOKUP(B79,'DB PMI Manufacturing World'!$A:$AA,MATCH($L$1,'DB PMI Manufacturing World'!$A$1:$AA$1,),)))</f>
        <v>#N/A</v>
      </c>
      <c r="M79" s="36" t="e">
        <f>IF((VLOOKUP(B79,'DB PMI Manufacturing World'!$A:$AA,MATCH($M$1,'DB PMI Manufacturing World'!$A$1:$AA$1,),))=0,#N/A, (VLOOKUP(B79,'DB PMI Manufacturing World'!$A:$AA,MATCH($M$1,'DB PMI Manufacturing World'!$A$1:$AA$1,),)))</f>
        <v>#N/A</v>
      </c>
      <c r="N79" s="36" t="e">
        <f>IF((VLOOKUP(B79,'DB PMI Manufacturing World'!$A:$AA,MATCH($N$1,'DB PMI Manufacturing World'!$A$1:$AA$1,),))=0,#N/A, (VLOOKUP(B79,'DB PMI Manufacturing World'!$A:$AA,MATCH($N$1,'DB PMI Manufacturing World'!$A$1:$AA$1,),)))</f>
        <v>#N/A</v>
      </c>
      <c r="O79" s="36" t="e">
        <f>IF((VLOOKUP(B79,'DB PMI Manufacturing World'!$A:$AA,MATCH($O$1,'DB PMI Manufacturing World'!$A$1:$AA$1,),))=0,#N/A, (VLOOKUP(B79,'DB PMI Manufacturing World'!$A:$AA,MATCH($O$1,'DB PMI Manufacturing World'!$A$1:$AA$1,),)))</f>
        <v>#N/A</v>
      </c>
      <c r="P79" s="36" t="e">
        <f>IF((VLOOKUP(B79,'DB PMI Manufacturing World'!$A:$AA,MATCH($P$1,'DB PMI Manufacturing World'!$A$1:$AA$1,),))=0,#N/A, (VLOOKUP(B79,'DB PMI Manufacturing World'!$A:$AA,MATCH($P$1,'DB PMI Manufacturing World'!$A$1:$AA$1,),)))</f>
        <v>#N/A</v>
      </c>
      <c r="Q79" s="36" t="e">
        <f>IF((VLOOKUP(B79,'DB PMI Manufacturing World'!$A:$AA,MATCH($Q$1,'DB PMI Manufacturing World'!$A$1:$AA$1,),))=0,#N/A, (VLOOKUP(B79,'DB PMI Manufacturing World'!$A:$AA,MATCH($Q$1,'DB PMI Manufacturing World'!$A$1:$AA$1,),)))</f>
        <v>#N/A</v>
      </c>
      <c r="R79" s="36" t="e">
        <f>IF((VLOOKUP(B79,'DB PMI Manufacturing World'!$A:$AA,MATCH($R$1,'DB PMI Manufacturing World'!$A$1:$AA$1,),))=0,#N/A, (VLOOKUP(B79,'DB PMI Manufacturing World'!$A:$AA,MATCH($R$1,'DB PMI Manufacturing World'!$A$1:$AA$1,),)))</f>
        <v>#N/A</v>
      </c>
      <c r="S79" s="36" t="e">
        <f>IF((VLOOKUP(B79,'DB PMI Manufacturing World'!$A:$AA,MATCH($S$1,'DB PMI Manufacturing World'!$A$1:$AA$1,),))=0,#N/A, (VLOOKUP(B79,'DB PMI Manufacturing World'!$A:$AA,MATCH($S$1,'DB PMI Manufacturing World'!$A$1:$AA$1,),)))</f>
        <v>#N/A</v>
      </c>
      <c r="T79" s="36" t="e">
        <f>IF((VLOOKUP(B79,'DB PMI Manufacturing World'!$A:$AA,MATCH($T$1,'DB PMI Manufacturing World'!$A$1:$AA$1,),))=0,#N/A, (VLOOKUP(B79,'DB PMI Manufacturing World'!$A:$AA,MATCH($T$1,'DB PMI Manufacturing World'!$A$1:$AA$1,),)))</f>
        <v>#N/A</v>
      </c>
      <c r="U79" s="36" t="e">
        <f>IF((VLOOKUP(B79,'DB PMI Manufacturing World'!$A:$AA,MATCH($U$1,'DB PMI Manufacturing World'!$A$1:$AA$1,),))=0,#N/A, (VLOOKUP(B79,'DB PMI Manufacturing World'!$A:$AA,MATCH($U$1,'DB PMI Manufacturing World'!$A$1:$AA$1,),)))</f>
        <v>#N/A</v>
      </c>
      <c r="V79" s="36" t="e">
        <f>IF((VLOOKUP(B79,'DB PMI Manufacturing World'!$A:$AA,MATCH($V$1,'DB PMI Manufacturing World'!$A$1:$AA$1,),))=0,#N/A, (VLOOKUP(B79,'DB PMI Manufacturing World'!$A:$AA,MATCH($V$1,'DB PMI Manufacturing World'!$A$1:$AA$1,),)))</f>
        <v>#N/A</v>
      </c>
      <c r="W79" s="36" t="e">
        <f>IF((VLOOKUP(B79,'DB PMI Manufacturing World'!$A:$AA,MATCH($W$1,'DB PMI Manufacturing World'!$A$1:$AA$1,),))=0,#N/A, (VLOOKUP(B79,'DB PMI Manufacturing World'!$A:$AA,MATCH($W$1,'DB PMI Manufacturing World'!$A$1:$AA$1,),)))</f>
        <v>#N/A</v>
      </c>
      <c r="X79" s="36" t="e">
        <f>IF((VLOOKUP(B79,'DB PMI Manufacturing World'!$A:$AA,MATCH($X$1,'DB PMI Manufacturing World'!$A$1:$AA$1,),))=0,#N/A, (VLOOKUP(B79,'DB PMI Manufacturing World'!$A:$AA,MATCH($X$1,'DB PMI Manufacturing World'!$A$1:$AA$1,),)))</f>
        <v>#N/A</v>
      </c>
      <c r="Y79" s="36" t="e">
        <f>IF((VLOOKUP(B79,'DB PMI Manufacturing World'!$A:$AA,MATCH($Y$1,'DB PMI Manufacturing World'!$A$1:$AA$1,),))=0,#N/A, (VLOOKUP(B79,'DB PMI Manufacturing World'!$A:$AA,MATCH($Y$1,'DB PMI Manufacturing World'!$A$1:$AA$1,),)))</f>
        <v>#N/A</v>
      </c>
      <c r="Z79" s="36" t="e">
        <f>IF((VLOOKUP(B79,'DB PMI Manufacturing World'!$A:$AA,MATCH($Z$1,'DB PMI Manufacturing World'!$A$1:$AA$1,),))=0,#N/A, (VLOOKUP(B79,'DB PMI Manufacturing World'!$A:$AA,MATCH($Z$1,'DB PMI Manufacturing World'!$A$1:$AA$1,),)))</f>
        <v>#N/A</v>
      </c>
      <c r="AA79" s="36" t="e">
        <f>IF((VLOOKUP(B79,'DB PMI Manufacturing World'!$A:$AA,MATCH($AA$1,'DB PMI Manufacturing World'!$A$1:$AA$1,),))=0,#N/A, (VLOOKUP(B79,'DB PMI Manufacturing World'!$A:$AA,MATCH($AA$1,'DB PMI Manufacturing World'!$A$1:$AA$1,),)))</f>
        <v>#N/A</v>
      </c>
      <c r="AB79" s="36" t="e">
        <f>IF((VLOOKUP(B79,'DB PMI Manufacturing World'!$A:$AA,MATCH($AB$1,'DB PMI Manufacturing World'!$A$1:$AA$1,),))=0,#N/A, (VLOOKUP(B79,'DB PMI Manufacturing World'!$A:$AA,MATCH($AB$1,'DB PMI Manufacturing World'!$A$1:$AA$1,),)))</f>
        <v>#N/A</v>
      </c>
    </row>
    <row r="80" spans="2:28" s="55" customFormat="1" x14ac:dyDescent="0.35"/>
    <row r="81" s="55" customFormat="1" x14ac:dyDescent="0.35"/>
    <row r="82" s="55" customFormat="1" x14ac:dyDescent="0.35"/>
    <row r="83" s="55" customFormat="1" x14ac:dyDescent="0.35"/>
    <row r="84" s="55" customFormat="1" x14ac:dyDescent="0.35"/>
    <row r="85" s="55" customFormat="1" x14ac:dyDescent="0.35"/>
    <row r="86" s="55" customFormat="1" x14ac:dyDescent="0.35"/>
    <row r="87" s="55" customFormat="1" x14ac:dyDescent="0.35"/>
    <row r="88" s="55" customFormat="1" x14ac:dyDescent="0.35"/>
    <row r="89" s="55" customFormat="1" x14ac:dyDescent="0.35"/>
    <row r="90" s="55" customFormat="1" x14ac:dyDescent="0.35"/>
    <row r="91" s="55" customFormat="1" x14ac:dyDescent="0.35"/>
    <row r="92" s="55" customFormat="1" x14ac:dyDescent="0.35"/>
    <row r="93" s="55" customFormat="1" x14ac:dyDescent="0.35"/>
    <row r="94" s="55" customFormat="1" x14ac:dyDescent="0.35"/>
    <row r="95" s="55" customFormat="1" x14ac:dyDescent="0.35"/>
    <row r="96" s="55" customFormat="1" x14ac:dyDescent="0.35"/>
    <row r="97" s="55" customFormat="1" x14ac:dyDescent="0.35"/>
    <row r="98" s="55" customFormat="1" x14ac:dyDescent="0.35"/>
    <row r="99" s="55" customFormat="1" x14ac:dyDescent="0.35"/>
    <row r="100" s="55" customFormat="1" x14ac:dyDescent="0.35"/>
    <row r="101" s="55" customFormat="1" x14ac:dyDescent="0.35"/>
    <row r="102" s="55" customFormat="1" x14ac:dyDescent="0.35"/>
    <row r="103" s="55" customFormat="1" x14ac:dyDescent="0.35"/>
    <row r="104" s="55" customFormat="1" x14ac:dyDescent="0.35"/>
    <row r="105" s="55" customFormat="1" x14ac:dyDescent="0.35"/>
    <row r="106" s="55" customFormat="1" x14ac:dyDescent="0.35"/>
    <row r="107" s="55" customFormat="1" x14ac:dyDescent="0.35"/>
    <row r="108" s="55" customFormat="1" x14ac:dyDescent="0.35"/>
    <row r="109" s="55" customFormat="1" x14ac:dyDescent="0.35"/>
    <row r="110" s="55" customFormat="1" x14ac:dyDescent="0.35"/>
    <row r="111" s="55" customFormat="1" x14ac:dyDescent="0.35"/>
    <row r="112" s="55" customFormat="1" x14ac:dyDescent="0.35"/>
    <row r="113" s="55" customFormat="1" x14ac:dyDescent="0.35"/>
    <row r="114" s="55" customFormat="1" x14ac:dyDescent="0.35"/>
    <row r="115" s="55" customFormat="1" x14ac:dyDescent="0.35"/>
    <row r="116" s="55" customFormat="1" x14ac:dyDescent="0.35"/>
    <row r="117" s="55" customFormat="1" x14ac:dyDescent="0.35"/>
    <row r="118" s="55" customFormat="1" x14ac:dyDescent="0.35"/>
    <row r="119" s="55" customFormat="1" x14ac:dyDescent="0.35"/>
    <row r="120" s="55" customFormat="1" x14ac:dyDescent="0.35"/>
    <row r="121" s="55" customFormat="1" x14ac:dyDescent="0.35"/>
    <row r="122" s="55" customFormat="1" x14ac:dyDescent="0.35"/>
    <row r="123" s="55" customFormat="1" x14ac:dyDescent="0.35"/>
    <row r="124" s="55" customFormat="1" x14ac:dyDescent="0.35"/>
    <row r="125" s="55" customFormat="1" x14ac:dyDescent="0.35"/>
    <row r="126" s="55" customFormat="1" x14ac:dyDescent="0.35"/>
    <row r="127" s="55" customFormat="1" x14ac:dyDescent="0.35"/>
    <row r="128" s="55" customFormat="1" x14ac:dyDescent="0.35"/>
    <row r="129" s="55" customFormat="1" x14ac:dyDescent="0.35"/>
    <row r="130" s="55" customFormat="1" x14ac:dyDescent="0.35"/>
    <row r="131" s="55" customFormat="1" x14ac:dyDescent="0.35"/>
    <row r="132" s="55" customFormat="1" x14ac:dyDescent="0.35"/>
    <row r="133" s="55" customFormat="1" x14ac:dyDescent="0.35"/>
    <row r="134" s="55" customFormat="1" x14ac:dyDescent="0.35"/>
    <row r="135" s="55" customFormat="1" x14ac:dyDescent="0.35"/>
    <row r="136" s="55" customFormat="1" x14ac:dyDescent="0.35"/>
    <row r="137" s="55" customFormat="1" x14ac:dyDescent="0.35"/>
    <row r="138" s="55" customFormat="1" x14ac:dyDescent="0.35"/>
    <row r="139" s="55" customFormat="1" x14ac:dyDescent="0.35"/>
    <row r="140" s="55" customFormat="1" x14ac:dyDescent="0.35"/>
    <row r="141" s="55" customFormat="1" x14ac:dyDescent="0.35"/>
    <row r="142" s="55" customFormat="1" x14ac:dyDescent="0.35"/>
    <row r="143" s="55" customFormat="1" x14ac:dyDescent="0.35"/>
    <row r="144" s="55" customFormat="1" x14ac:dyDescent="0.35"/>
    <row r="145" s="55" customFormat="1" x14ac:dyDescent="0.35"/>
    <row r="146" s="55" customFormat="1" x14ac:dyDescent="0.35"/>
    <row r="147" s="55" customFormat="1" x14ac:dyDescent="0.35"/>
    <row r="148" s="55" customFormat="1" x14ac:dyDescent="0.35"/>
    <row r="149" s="55" customFormat="1" x14ac:dyDescent="0.35"/>
    <row r="150" s="55" customFormat="1" x14ac:dyDescent="0.35"/>
    <row r="151" s="55" customFormat="1" x14ac:dyDescent="0.35"/>
    <row r="152" s="55" customFormat="1" x14ac:dyDescent="0.35"/>
    <row r="153" s="55" customFormat="1" x14ac:dyDescent="0.35"/>
    <row r="154" s="55" customFormat="1" x14ac:dyDescent="0.35"/>
    <row r="155" s="55" customFormat="1" x14ac:dyDescent="0.35"/>
    <row r="156" s="55" customFormat="1" x14ac:dyDescent="0.35"/>
    <row r="157" s="55" customFormat="1" x14ac:dyDescent="0.35"/>
    <row r="158" s="55" customFormat="1" x14ac:dyDescent="0.35"/>
    <row r="159" s="55" customFormat="1" x14ac:dyDescent="0.35"/>
    <row r="160" s="55" customFormat="1" x14ac:dyDescent="0.35"/>
    <row r="161" s="55" customFormat="1" x14ac:dyDescent="0.35"/>
    <row r="162" s="55" customFormat="1" x14ac:dyDescent="0.35"/>
    <row r="163" s="55" customFormat="1" x14ac:dyDescent="0.35"/>
    <row r="164" s="55" customFormat="1" x14ac:dyDescent="0.35"/>
    <row r="165" s="55" customFormat="1" x14ac:dyDescent="0.35"/>
    <row r="166" s="55" customFormat="1" x14ac:dyDescent="0.35"/>
    <row r="167" s="55" customFormat="1" x14ac:dyDescent="0.35"/>
    <row r="168" s="55" customFormat="1" x14ac:dyDescent="0.35"/>
    <row r="169" s="55" customFormat="1" x14ac:dyDescent="0.35"/>
    <row r="170" s="55" customFormat="1" x14ac:dyDescent="0.35"/>
    <row r="171" s="55" customFormat="1" x14ac:dyDescent="0.35"/>
    <row r="172" s="55" customFormat="1" x14ac:dyDescent="0.35"/>
    <row r="173" s="55" customFormat="1" x14ac:dyDescent="0.35"/>
    <row r="174" s="55" customFormat="1" x14ac:dyDescent="0.35"/>
    <row r="175" s="55" customFormat="1" x14ac:dyDescent="0.35"/>
    <row r="176" s="55" customFormat="1" x14ac:dyDescent="0.35"/>
    <row r="177" s="55" customFormat="1" x14ac:dyDescent="0.35"/>
    <row r="178" s="55" customFormat="1" x14ac:dyDescent="0.35"/>
    <row r="179" s="55" customFormat="1" x14ac:dyDescent="0.35"/>
    <row r="180" s="55" customFormat="1" x14ac:dyDescent="0.35"/>
    <row r="181" s="55" customFormat="1" x14ac:dyDescent="0.35"/>
    <row r="182" s="55" customFormat="1" x14ac:dyDescent="0.35"/>
    <row r="183" s="55" customFormat="1" x14ac:dyDescent="0.35"/>
    <row r="184" s="55" customFormat="1" x14ac:dyDescent="0.35"/>
    <row r="185" s="55" customFormat="1" x14ac:dyDescent="0.35"/>
    <row r="186" s="55" customFormat="1" x14ac:dyDescent="0.35"/>
    <row r="187" s="55" customFormat="1" x14ac:dyDescent="0.35"/>
    <row r="188" s="55" customFormat="1" x14ac:dyDescent="0.35"/>
    <row r="189" s="55" customFormat="1" x14ac:dyDescent="0.35"/>
    <row r="190" s="55" customFormat="1" x14ac:dyDescent="0.35"/>
    <row r="191" s="55" customFormat="1" x14ac:dyDescent="0.35"/>
    <row r="192" s="55" customFormat="1" x14ac:dyDescent="0.35"/>
    <row r="193" s="55" customFormat="1" x14ac:dyDescent="0.35"/>
    <row r="194" s="55" customFormat="1" x14ac:dyDescent="0.35"/>
    <row r="195" s="55" customFormat="1" x14ac:dyDescent="0.35"/>
    <row r="196" s="55" customFormat="1" x14ac:dyDescent="0.35"/>
    <row r="197" s="55" customFormat="1" x14ac:dyDescent="0.35"/>
    <row r="198" s="55" customFormat="1" x14ac:dyDescent="0.35"/>
    <row r="199" s="55" customFormat="1" x14ac:dyDescent="0.35"/>
    <row r="200" s="55" customFormat="1" x14ac:dyDescent="0.35"/>
    <row r="201" s="55" customFormat="1" x14ac:dyDescent="0.35"/>
    <row r="202" s="55" customFormat="1" x14ac:dyDescent="0.35"/>
    <row r="203" s="55" customFormat="1" x14ac:dyDescent="0.35"/>
    <row r="204" s="55" customFormat="1" x14ac:dyDescent="0.35"/>
    <row r="205" s="55" customFormat="1" x14ac:dyDescent="0.35"/>
    <row r="206" s="55" customFormat="1" x14ac:dyDescent="0.35"/>
    <row r="207" s="55" customFormat="1" x14ac:dyDescent="0.35"/>
    <row r="208" s="55" customFormat="1" x14ac:dyDescent="0.35"/>
    <row r="209" s="55" customFormat="1" x14ac:dyDescent="0.35"/>
    <row r="210" s="55" customFormat="1" x14ac:dyDescent="0.35"/>
    <row r="211" s="55" customFormat="1" x14ac:dyDescent="0.35"/>
    <row r="212" s="55" customFormat="1" x14ac:dyDescent="0.35"/>
    <row r="213" s="55" customFormat="1" x14ac:dyDescent="0.35"/>
    <row r="214" s="55" customFormat="1" x14ac:dyDescent="0.35"/>
    <row r="215" s="55" customFormat="1" x14ac:dyDescent="0.35"/>
    <row r="216" s="55" customFormat="1" x14ac:dyDescent="0.35"/>
    <row r="217" s="55" customFormat="1" x14ac:dyDescent="0.35"/>
    <row r="218" s="55" customFormat="1" x14ac:dyDescent="0.35"/>
    <row r="219" s="55" customFormat="1" x14ac:dyDescent="0.35"/>
    <row r="220" s="55" customFormat="1" x14ac:dyDescent="0.35"/>
    <row r="221" s="55" customFormat="1" x14ac:dyDescent="0.35"/>
    <row r="222" s="55" customFormat="1" x14ac:dyDescent="0.35"/>
    <row r="223" s="55" customFormat="1" x14ac:dyDescent="0.35"/>
    <row r="224" s="55" customFormat="1" x14ac:dyDescent="0.35"/>
    <row r="225" s="55" customFormat="1" x14ac:dyDescent="0.35"/>
    <row r="226" s="55" customFormat="1" x14ac:dyDescent="0.35"/>
    <row r="227" s="55" customFormat="1" x14ac:dyDescent="0.35"/>
    <row r="228" s="55" customFormat="1" x14ac:dyDescent="0.35"/>
    <row r="229" s="55" customFormat="1" x14ac:dyDescent="0.35"/>
    <row r="230" s="55" customFormat="1" x14ac:dyDescent="0.35"/>
    <row r="231" s="55" customFormat="1" x14ac:dyDescent="0.35"/>
    <row r="232" s="55" customFormat="1" x14ac:dyDescent="0.35"/>
    <row r="233" s="55" customFormat="1" x14ac:dyDescent="0.35"/>
    <row r="234" s="55" customFormat="1" x14ac:dyDescent="0.35"/>
    <row r="235" s="55" customFormat="1" x14ac:dyDescent="0.35"/>
    <row r="236" s="55" customFormat="1" x14ac:dyDescent="0.35"/>
    <row r="237" s="55" customFormat="1" x14ac:dyDescent="0.35"/>
    <row r="238" s="55" customFormat="1" x14ac:dyDescent="0.35"/>
    <row r="239" s="55" customFormat="1" x14ac:dyDescent="0.35"/>
    <row r="240" s="55" customFormat="1" x14ac:dyDescent="0.35"/>
    <row r="241" s="55" customFormat="1" x14ac:dyDescent="0.35"/>
    <row r="242" s="55" customFormat="1" x14ac:dyDescent="0.35"/>
    <row r="243" s="55" customFormat="1" x14ac:dyDescent="0.35"/>
    <row r="244" s="55" customFormat="1" x14ac:dyDescent="0.35"/>
    <row r="245" s="55" customFormat="1" x14ac:dyDescent="0.35"/>
    <row r="246" s="55" customFormat="1" x14ac:dyDescent="0.35"/>
    <row r="247" s="55" customFormat="1" x14ac:dyDescent="0.35"/>
    <row r="248" s="55" customFormat="1" x14ac:dyDescent="0.35"/>
    <row r="249" s="55" customFormat="1" x14ac:dyDescent="0.35"/>
    <row r="250" s="55" customFormat="1" x14ac:dyDescent="0.35"/>
    <row r="251" s="55" customFormat="1" x14ac:dyDescent="0.35"/>
    <row r="252" s="55" customFormat="1" x14ac:dyDescent="0.35"/>
    <row r="253" s="55" customFormat="1" x14ac:dyDescent="0.35"/>
    <row r="254" s="55" customFormat="1" x14ac:dyDescent="0.35"/>
    <row r="255" s="55" customFormat="1" x14ac:dyDescent="0.35"/>
    <row r="256" s="55" customFormat="1" x14ac:dyDescent="0.35"/>
    <row r="257" s="55" customFormat="1" x14ac:dyDescent="0.35"/>
    <row r="258" s="55" customFormat="1" x14ac:dyDescent="0.35"/>
    <row r="259" s="55" customFormat="1" x14ac:dyDescent="0.35"/>
    <row r="260" s="55" customFormat="1" x14ac:dyDescent="0.35"/>
    <row r="261" s="55" customFormat="1" x14ac:dyDescent="0.35"/>
    <row r="262" s="55" customFormat="1" x14ac:dyDescent="0.35"/>
    <row r="263" s="55" customFormat="1" x14ac:dyDescent="0.35"/>
    <row r="264" s="55" customFormat="1" x14ac:dyDescent="0.35"/>
    <row r="265" s="55" customFormat="1" x14ac:dyDescent="0.35"/>
    <row r="266" s="55" customFormat="1" x14ac:dyDescent="0.35"/>
    <row r="267" s="55" customFormat="1" x14ac:dyDescent="0.35"/>
    <row r="268" s="55" customFormat="1" x14ac:dyDescent="0.35"/>
    <row r="269" s="55" customFormat="1" x14ac:dyDescent="0.35"/>
    <row r="270" s="55" customFormat="1" x14ac:dyDescent="0.35"/>
    <row r="271" s="55" customFormat="1" x14ac:dyDescent="0.35"/>
    <row r="272" s="55" customFormat="1" x14ac:dyDescent="0.35"/>
    <row r="273" s="55" customFormat="1" x14ac:dyDescent="0.35"/>
    <row r="274" s="55" customFormat="1" x14ac:dyDescent="0.35"/>
    <row r="275" s="55" customFormat="1" x14ac:dyDescent="0.35"/>
    <row r="276" s="55" customFormat="1" x14ac:dyDescent="0.35"/>
    <row r="277" s="55" customFormat="1" x14ac:dyDescent="0.35"/>
    <row r="278" s="55" customFormat="1" x14ac:dyDescent="0.35"/>
    <row r="279" s="55" customFormat="1" x14ac:dyDescent="0.35"/>
    <row r="280" s="55" customFormat="1" x14ac:dyDescent="0.35"/>
    <row r="281" s="55" customFormat="1" x14ac:dyDescent="0.35"/>
    <row r="282" s="55" customFormat="1" x14ac:dyDescent="0.35"/>
    <row r="283" s="55" customFormat="1" x14ac:dyDescent="0.35"/>
    <row r="284" s="55" customFormat="1" x14ac:dyDescent="0.35"/>
    <row r="285" s="55" customFormat="1" x14ac:dyDescent="0.35"/>
    <row r="286" s="55" customFormat="1" x14ac:dyDescent="0.35"/>
    <row r="287" s="55" customFormat="1" x14ac:dyDescent="0.35"/>
    <row r="288" s="55" customFormat="1" x14ac:dyDescent="0.35"/>
    <row r="289" s="55" customFormat="1" x14ac:dyDescent="0.35"/>
    <row r="290" s="55" customFormat="1" x14ac:dyDescent="0.35"/>
    <row r="291" s="55" customFormat="1" x14ac:dyDescent="0.35"/>
    <row r="292" s="55" customFormat="1" x14ac:dyDescent="0.35"/>
    <row r="293" s="55" customFormat="1" x14ac:dyDescent="0.35"/>
    <row r="294" s="55" customFormat="1" x14ac:dyDescent="0.35"/>
    <row r="295" s="55" customFormat="1" x14ac:dyDescent="0.35"/>
    <row r="296" s="55" customFormat="1" x14ac:dyDescent="0.35"/>
    <row r="297" s="55" customFormat="1" x14ac:dyDescent="0.35"/>
    <row r="298" s="55" customFormat="1" x14ac:dyDescent="0.35"/>
    <row r="299" s="55" customFormat="1" x14ac:dyDescent="0.35"/>
    <row r="300" s="55" customFormat="1" x14ac:dyDescent="0.35"/>
    <row r="301" s="55" customFormat="1" x14ac:dyDescent="0.35"/>
    <row r="302" s="55" customFormat="1" x14ac:dyDescent="0.35"/>
    <row r="303" s="55" customFormat="1" x14ac:dyDescent="0.35"/>
    <row r="304" s="55" customFormat="1" x14ac:dyDescent="0.35"/>
    <row r="305" s="55" customFormat="1" x14ac:dyDescent="0.35"/>
    <row r="306" s="55" customFormat="1" x14ac:dyDescent="0.35"/>
    <row r="307" s="55" customFormat="1" x14ac:dyDescent="0.35"/>
    <row r="308" s="55" customFormat="1" x14ac:dyDescent="0.35"/>
    <row r="309" s="55" customFormat="1" x14ac:dyDescent="0.35"/>
    <row r="310" s="55" customFormat="1" x14ac:dyDescent="0.35"/>
    <row r="311" s="55" customFormat="1" x14ac:dyDescent="0.35"/>
    <row r="312" s="55" customFormat="1" x14ac:dyDescent="0.35"/>
    <row r="313" s="55" customFormat="1" x14ac:dyDescent="0.35"/>
    <row r="314" s="55" customFormat="1" x14ac:dyDescent="0.35"/>
    <row r="315" s="55" customFormat="1" x14ac:dyDescent="0.35"/>
    <row r="316" s="55" customFormat="1" x14ac:dyDescent="0.35"/>
    <row r="317" s="55" customFormat="1" x14ac:dyDescent="0.35"/>
    <row r="318" s="55" customFormat="1" x14ac:dyDescent="0.35"/>
    <row r="319" s="55" customFormat="1" x14ac:dyDescent="0.35"/>
    <row r="320" s="55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9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2023-03-16T11:37:21Z</dcterms:modified>
</cp:coreProperties>
</file>