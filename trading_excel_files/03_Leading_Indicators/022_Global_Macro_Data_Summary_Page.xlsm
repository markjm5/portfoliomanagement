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drawings/drawing2.xml" ContentType="application/vnd.openxmlformats-officedocument.drawing+xml"/>
  <Override PartName="/xl/charts/chart37.xml" ContentType="application/vnd.openxmlformats-officedocument.drawingml.chart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5928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kj\Documents\Projects\portfoliomanagement\trading_excel_files\03_Leading_Indicators\"/>
    </mc:Choice>
  </mc:AlternateContent>
  <xr:revisionPtr revIDLastSave="0" documentId="13_ncr:1_{E07C42CA-F097-4ADA-A20B-1F4C20CD3BA0}" xr6:coauthVersionLast="47" xr6:coauthVersionMax="47" xr10:uidLastSave="{00000000-0000-0000-0000-000000000000}"/>
  <bookViews>
    <workbookView xWindow="-20700" yWindow="-20490" windowWidth="40185" windowHeight="18525" activeTab="5" xr2:uid="{00000000-000D-0000-FFFF-FFFF00000000}"/>
  </bookViews>
  <sheets>
    <sheet name="Note" sheetId="1" r:id="rId1"/>
    <sheet name="DB US Indicators" sheetId="2" r:id="rId2"/>
    <sheet name="DB ISM Manufacturing Sectors" sheetId="3" r:id="rId3"/>
    <sheet name="DB ISM Services Sectors" sheetId="4" r:id="rId4"/>
    <sheet name="DB PMI Manufacturing World" sheetId="5" r:id="rId5"/>
    <sheet name="Big Picture Index" sheetId="6" r:id="rId6"/>
    <sheet name="PMI Manufacturing World" sheetId="7" r:id="rId7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B77" i="7" l="1"/>
  <c r="AA77" i="7"/>
  <c r="Z77" i="7"/>
  <c r="Z9" i="7" s="1"/>
  <c r="Y77" i="7"/>
  <c r="X77" i="7"/>
  <c r="W77" i="7"/>
  <c r="V77" i="7"/>
  <c r="U77" i="7"/>
  <c r="T77" i="7"/>
  <c r="S77" i="7"/>
  <c r="R77" i="7"/>
  <c r="Q77" i="7"/>
  <c r="Q9" i="7" s="1"/>
  <c r="P77" i="7"/>
  <c r="O77" i="7"/>
  <c r="N77" i="7"/>
  <c r="N9" i="7" s="1"/>
  <c r="M77" i="7"/>
  <c r="L77" i="7"/>
  <c r="K77" i="7"/>
  <c r="J77" i="7"/>
  <c r="I77" i="7"/>
  <c r="H77" i="7"/>
  <c r="G77" i="7"/>
  <c r="F77" i="7"/>
  <c r="E77" i="7"/>
  <c r="E9" i="7" s="1"/>
  <c r="D77" i="7"/>
  <c r="C77" i="7"/>
  <c r="AB76" i="7"/>
  <c r="AA76" i="7"/>
  <c r="Z76" i="7"/>
  <c r="Y76" i="7"/>
  <c r="X76" i="7"/>
  <c r="W76" i="7"/>
  <c r="V76" i="7"/>
  <c r="U76" i="7"/>
  <c r="T76" i="7"/>
  <c r="S76" i="7"/>
  <c r="R76" i="7"/>
  <c r="Q76" i="7"/>
  <c r="P76" i="7"/>
  <c r="O76" i="7"/>
  <c r="N76" i="7"/>
  <c r="M76" i="7"/>
  <c r="L76" i="7"/>
  <c r="K76" i="7"/>
  <c r="J76" i="7"/>
  <c r="I76" i="7"/>
  <c r="H76" i="7"/>
  <c r="G76" i="7"/>
  <c r="F76" i="7"/>
  <c r="E76" i="7"/>
  <c r="D76" i="7"/>
  <c r="C76" i="7"/>
  <c r="AB75" i="7"/>
  <c r="AA75" i="7"/>
  <c r="Z75" i="7"/>
  <c r="Y75" i="7"/>
  <c r="X75" i="7"/>
  <c r="W75" i="7"/>
  <c r="V75" i="7"/>
  <c r="U75" i="7"/>
  <c r="T75" i="7"/>
  <c r="S75" i="7"/>
  <c r="R75" i="7"/>
  <c r="Q75" i="7"/>
  <c r="P75" i="7"/>
  <c r="O75" i="7"/>
  <c r="N75" i="7"/>
  <c r="M75" i="7"/>
  <c r="L75" i="7"/>
  <c r="K75" i="7"/>
  <c r="J75" i="7"/>
  <c r="I75" i="7"/>
  <c r="H75" i="7"/>
  <c r="G75" i="7"/>
  <c r="F75" i="7"/>
  <c r="E75" i="7"/>
  <c r="D75" i="7"/>
  <c r="C75" i="7"/>
  <c r="AB74" i="7"/>
  <c r="AA74" i="7"/>
  <c r="Z74" i="7"/>
  <c r="Y74" i="7"/>
  <c r="X74" i="7"/>
  <c r="W74" i="7"/>
  <c r="V74" i="7"/>
  <c r="U74" i="7"/>
  <c r="T74" i="7"/>
  <c r="S74" i="7"/>
  <c r="R74" i="7"/>
  <c r="Q74" i="7"/>
  <c r="P74" i="7"/>
  <c r="O74" i="7"/>
  <c r="N74" i="7"/>
  <c r="M74" i="7"/>
  <c r="L74" i="7"/>
  <c r="K74" i="7"/>
  <c r="J74" i="7"/>
  <c r="I74" i="7"/>
  <c r="H74" i="7"/>
  <c r="G74" i="7"/>
  <c r="F74" i="7"/>
  <c r="E74" i="7"/>
  <c r="D74" i="7"/>
  <c r="C74" i="7"/>
  <c r="AB73" i="7"/>
  <c r="AA73" i="7"/>
  <c r="Z73" i="7"/>
  <c r="Y73" i="7"/>
  <c r="X73" i="7"/>
  <c r="W73" i="7"/>
  <c r="V73" i="7"/>
  <c r="U73" i="7"/>
  <c r="T73" i="7"/>
  <c r="S73" i="7"/>
  <c r="R73" i="7"/>
  <c r="Q73" i="7"/>
  <c r="P73" i="7"/>
  <c r="O73" i="7"/>
  <c r="N73" i="7"/>
  <c r="M73" i="7"/>
  <c r="L73" i="7"/>
  <c r="K73" i="7"/>
  <c r="J73" i="7"/>
  <c r="I73" i="7"/>
  <c r="H73" i="7"/>
  <c r="G73" i="7"/>
  <c r="F73" i="7"/>
  <c r="E73" i="7"/>
  <c r="D73" i="7"/>
  <c r="C73" i="7"/>
  <c r="AB72" i="7"/>
  <c r="AA72" i="7"/>
  <c r="Z72" i="7"/>
  <c r="Y72" i="7"/>
  <c r="X72" i="7"/>
  <c r="W72" i="7"/>
  <c r="V72" i="7"/>
  <c r="U72" i="7"/>
  <c r="T72" i="7"/>
  <c r="S72" i="7"/>
  <c r="R72" i="7"/>
  <c r="Q72" i="7"/>
  <c r="P72" i="7"/>
  <c r="O72" i="7"/>
  <c r="N72" i="7"/>
  <c r="M72" i="7"/>
  <c r="L72" i="7"/>
  <c r="K72" i="7"/>
  <c r="J72" i="7"/>
  <c r="I72" i="7"/>
  <c r="H72" i="7"/>
  <c r="G72" i="7"/>
  <c r="F72" i="7"/>
  <c r="E72" i="7"/>
  <c r="D72" i="7"/>
  <c r="C72" i="7"/>
  <c r="AB71" i="7"/>
  <c r="AA71" i="7"/>
  <c r="Z71" i="7"/>
  <c r="Y71" i="7"/>
  <c r="X71" i="7"/>
  <c r="W71" i="7"/>
  <c r="V71" i="7"/>
  <c r="U71" i="7"/>
  <c r="T71" i="7"/>
  <c r="S71" i="7"/>
  <c r="R71" i="7"/>
  <c r="Q71" i="7"/>
  <c r="P71" i="7"/>
  <c r="O71" i="7"/>
  <c r="N71" i="7"/>
  <c r="M71" i="7"/>
  <c r="L71" i="7"/>
  <c r="K71" i="7"/>
  <c r="J71" i="7"/>
  <c r="I71" i="7"/>
  <c r="H71" i="7"/>
  <c r="G71" i="7"/>
  <c r="F71" i="7"/>
  <c r="E71" i="7"/>
  <c r="D71" i="7"/>
  <c r="C71" i="7"/>
  <c r="AB70" i="7"/>
  <c r="AA70" i="7"/>
  <c r="Z70" i="7"/>
  <c r="Y70" i="7"/>
  <c r="X70" i="7"/>
  <c r="W70" i="7"/>
  <c r="V70" i="7"/>
  <c r="U70" i="7"/>
  <c r="T70" i="7"/>
  <c r="S70" i="7"/>
  <c r="R70" i="7"/>
  <c r="Q70" i="7"/>
  <c r="P70" i="7"/>
  <c r="O70" i="7"/>
  <c r="N70" i="7"/>
  <c r="M70" i="7"/>
  <c r="L70" i="7"/>
  <c r="K70" i="7"/>
  <c r="J70" i="7"/>
  <c r="I70" i="7"/>
  <c r="H70" i="7"/>
  <c r="G70" i="7"/>
  <c r="F70" i="7"/>
  <c r="E70" i="7"/>
  <c r="D70" i="7"/>
  <c r="C70" i="7"/>
  <c r="AB69" i="7"/>
  <c r="AA69" i="7"/>
  <c r="Z69" i="7"/>
  <c r="Y69" i="7"/>
  <c r="X69" i="7"/>
  <c r="W69" i="7"/>
  <c r="V69" i="7"/>
  <c r="U69" i="7"/>
  <c r="T69" i="7"/>
  <c r="S69" i="7"/>
  <c r="R69" i="7"/>
  <c r="Q69" i="7"/>
  <c r="P69" i="7"/>
  <c r="O69" i="7"/>
  <c r="N69" i="7"/>
  <c r="M69" i="7"/>
  <c r="L69" i="7"/>
  <c r="K69" i="7"/>
  <c r="J69" i="7"/>
  <c r="I69" i="7"/>
  <c r="H69" i="7"/>
  <c r="G69" i="7"/>
  <c r="F69" i="7"/>
  <c r="E69" i="7"/>
  <c r="D69" i="7"/>
  <c r="C69" i="7"/>
  <c r="AB68" i="7"/>
  <c r="AA68" i="7"/>
  <c r="Z68" i="7"/>
  <c r="Y68" i="7"/>
  <c r="X68" i="7"/>
  <c r="W68" i="7"/>
  <c r="V68" i="7"/>
  <c r="U68" i="7"/>
  <c r="T68" i="7"/>
  <c r="S68" i="7"/>
  <c r="R68" i="7"/>
  <c r="Q68" i="7"/>
  <c r="P68" i="7"/>
  <c r="O68" i="7"/>
  <c r="N68" i="7"/>
  <c r="M68" i="7"/>
  <c r="L68" i="7"/>
  <c r="K68" i="7"/>
  <c r="J68" i="7"/>
  <c r="I68" i="7"/>
  <c r="H68" i="7"/>
  <c r="G68" i="7"/>
  <c r="F68" i="7"/>
  <c r="E68" i="7"/>
  <c r="D68" i="7"/>
  <c r="C68" i="7"/>
  <c r="AB67" i="7"/>
  <c r="AA67" i="7"/>
  <c r="Z67" i="7"/>
  <c r="Y67" i="7"/>
  <c r="X67" i="7"/>
  <c r="W67" i="7"/>
  <c r="V67" i="7"/>
  <c r="U67" i="7"/>
  <c r="T67" i="7"/>
  <c r="S67" i="7"/>
  <c r="R67" i="7"/>
  <c r="Q67" i="7"/>
  <c r="P67" i="7"/>
  <c r="O67" i="7"/>
  <c r="N67" i="7"/>
  <c r="M67" i="7"/>
  <c r="L67" i="7"/>
  <c r="K67" i="7"/>
  <c r="J67" i="7"/>
  <c r="I67" i="7"/>
  <c r="H67" i="7"/>
  <c r="G67" i="7"/>
  <c r="F67" i="7"/>
  <c r="E67" i="7"/>
  <c r="D67" i="7"/>
  <c r="C67" i="7"/>
  <c r="AB66" i="7"/>
  <c r="AA66" i="7"/>
  <c r="Z66" i="7"/>
  <c r="Y66" i="7"/>
  <c r="X66" i="7"/>
  <c r="W66" i="7"/>
  <c r="V66" i="7"/>
  <c r="U66" i="7"/>
  <c r="T66" i="7"/>
  <c r="S66" i="7"/>
  <c r="R66" i="7"/>
  <c r="Q66" i="7"/>
  <c r="P66" i="7"/>
  <c r="O66" i="7"/>
  <c r="N66" i="7"/>
  <c r="M66" i="7"/>
  <c r="L66" i="7"/>
  <c r="K66" i="7"/>
  <c r="J66" i="7"/>
  <c r="I66" i="7"/>
  <c r="H66" i="7"/>
  <c r="G66" i="7"/>
  <c r="F66" i="7"/>
  <c r="E66" i="7"/>
  <c r="D66" i="7"/>
  <c r="C66" i="7"/>
  <c r="AB65" i="7"/>
  <c r="AA65" i="7"/>
  <c r="Z65" i="7"/>
  <c r="Y65" i="7"/>
  <c r="X65" i="7"/>
  <c r="W65" i="7"/>
  <c r="V65" i="7"/>
  <c r="U65" i="7"/>
  <c r="T65" i="7"/>
  <c r="S65" i="7"/>
  <c r="R65" i="7"/>
  <c r="Q65" i="7"/>
  <c r="P65" i="7"/>
  <c r="O65" i="7"/>
  <c r="N65" i="7"/>
  <c r="N7" i="7" s="1"/>
  <c r="M65" i="7"/>
  <c r="L65" i="7"/>
  <c r="K65" i="7"/>
  <c r="J65" i="7"/>
  <c r="I65" i="7"/>
  <c r="H65" i="7"/>
  <c r="G65" i="7"/>
  <c r="F65" i="7"/>
  <c r="E65" i="7"/>
  <c r="D65" i="7"/>
  <c r="C65" i="7"/>
  <c r="AB64" i="7"/>
  <c r="AA64" i="7"/>
  <c r="Z64" i="7"/>
  <c r="Y64" i="7"/>
  <c r="X64" i="7"/>
  <c r="W64" i="7"/>
  <c r="V64" i="7"/>
  <c r="U64" i="7"/>
  <c r="T64" i="7"/>
  <c r="S64" i="7"/>
  <c r="R64" i="7"/>
  <c r="Q64" i="7"/>
  <c r="P64" i="7"/>
  <c r="O64" i="7"/>
  <c r="N64" i="7"/>
  <c r="M64" i="7"/>
  <c r="L64" i="7"/>
  <c r="K64" i="7"/>
  <c r="J64" i="7"/>
  <c r="I64" i="7"/>
  <c r="H64" i="7"/>
  <c r="G64" i="7"/>
  <c r="F64" i="7"/>
  <c r="E64" i="7"/>
  <c r="D64" i="7"/>
  <c r="C64" i="7"/>
  <c r="AB63" i="7"/>
  <c r="AA63" i="7"/>
  <c r="Z63" i="7"/>
  <c r="Y63" i="7"/>
  <c r="X63" i="7"/>
  <c r="W63" i="7"/>
  <c r="V63" i="7"/>
  <c r="U63" i="7"/>
  <c r="T63" i="7"/>
  <c r="S63" i="7"/>
  <c r="R63" i="7"/>
  <c r="Q63" i="7"/>
  <c r="P63" i="7"/>
  <c r="O63" i="7"/>
  <c r="N63" i="7"/>
  <c r="M63" i="7"/>
  <c r="L63" i="7"/>
  <c r="K63" i="7"/>
  <c r="J63" i="7"/>
  <c r="I63" i="7"/>
  <c r="H63" i="7"/>
  <c r="G63" i="7"/>
  <c r="F63" i="7"/>
  <c r="E63" i="7"/>
  <c r="D63" i="7"/>
  <c r="C63" i="7"/>
  <c r="AB62" i="7"/>
  <c r="AA62" i="7"/>
  <c r="Z62" i="7"/>
  <c r="Y62" i="7"/>
  <c r="X62" i="7"/>
  <c r="W62" i="7"/>
  <c r="V62" i="7"/>
  <c r="U62" i="7"/>
  <c r="T62" i="7"/>
  <c r="S62" i="7"/>
  <c r="R62" i="7"/>
  <c r="Q62" i="7"/>
  <c r="P62" i="7"/>
  <c r="O62" i="7"/>
  <c r="N62" i="7"/>
  <c r="M62" i="7"/>
  <c r="L62" i="7"/>
  <c r="K62" i="7"/>
  <c r="J62" i="7"/>
  <c r="I62" i="7"/>
  <c r="H62" i="7"/>
  <c r="G62" i="7"/>
  <c r="F62" i="7"/>
  <c r="E62" i="7"/>
  <c r="D62" i="7"/>
  <c r="C62" i="7"/>
  <c r="AB61" i="7"/>
  <c r="AA61" i="7"/>
  <c r="Z61" i="7"/>
  <c r="Y61" i="7"/>
  <c r="X61" i="7"/>
  <c r="W61" i="7"/>
  <c r="V61" i="7"/>
  <c r="U61" i="7"/>
  <c r="T61" i="7"/>
  <c r="S61" i="7"/>
  <c r="R61" i="7"/>
  <c r="Q61" i="7"/>
  <c r="P61" i="7"/>
  <c r="O61" i="7"/>
  <c r="N61" i="7"/>
  <c r="M61" i="7"/>
  <c r="L61" i="7"/>
  <c r="K61" i="7"/>
  <c r="J61" i="7"/>
  <c r="I61" i="7"/>
  <c r="H61" i="7"/>
  <c r="G61" i="7"/>
  <c r="F61" i="7"/>
  <c r="E61" i="7"/>
  <c r="D61" i="7"/>
  <c r="C61" i="7"/>
  <c r="AB60" i="7"/>
  <c r="AA60" i="7"/>
  <c r="Z60" i="7"/>
  <c r="Y60" i="7"/>
  <c r="X60" i="7"/>
  <c r="W60" i="7"/>
  <c r="V60" i="7"/>
  <c r="U60" i="7"/>
  <c r="T60" i="7"/>
  <c r="S60" i="7"/>
  <c r="R60" i="7"/>
  <c r="Q60" i="7"/>
  <c r="P60" i="7"/>
  <c r="O60" i="7"/>
  <c r="N60" i="7"/>
  <c r="M60" i="7"/>
  <c r="L60" i="7"/>
  <c r="K60" i="7"/>
  <c r="J60" i="7"/>
  <c r="I60" i="7"/>
  <c r="H60" i="7"/>
  <c r="G60" i="7"/>
  <c r="F60" i="7"/>
  <c r="E60" i="7"/>
  <c r="D60" i="7"/>
  <c r="C60" i="7"/>
  <c r="AB59" i="7"/>
  <c r="AA59" i="7"/>
  <c r="Z59" i="7"/>
  <c r="Y59" i="7"/>
  <c r="X59" i="7"/>
  <c r="W59" i="7"/>
  <c r="V59" i="7"/>
  <c r="U59" i="7"/>
  <c r="T59" i="7"/>
  <c r="S59" i="7"/>
  <c r="R59" i="7"/>
  <c r="Q59" i="7"/>
  <c r="P59" i="7"/>
  <c r="O59" i="7"/>
  <c r="N59" i="7"/>
  <c r="M59" i="7"/>
  <c r="L59" i="7"/>
  <c r="K59" i="7"/>
  <c r="J59" i="7"/>
  <c r="I59" i="7"/>
  <c r="H59" i="7"/>
  <c r="G59" i="7"/>
  <c r="F59" i="7"/>
  <c r="E59" i="7"/>
  <c r="D59" i="7"/>
  <c r="C59" i="7"/>
  <c r="AB58" i="7"/>
  <c r="AA58" i="7"/>
  <c r="Z58" i="7"/>
  <c r="Y58" i="7"/>
  <c r="X58" i="7"/>
  <c r="W58" i="7"/>
  <c r="V58" i="7"/>
  <c r="U58" i="7"/>
  <c r="T58" i="7"/>
  <c r="S58" i="7"/>
  <c r="R58" i="7"/>
  <c r="Q58" i="7"/>
  <c r="P58" i="7"/>
  <c r="O58" i="7"/>
  <c r="N58" i="7"/>
  <c r="M58" i="7"/>
  <c r="L58" i="7"/>
  <c r="K58" i="7"/>
  <c r="J58" i="7"/>
  <c r="I58" i="7"/>
  <c r="H58" i="7"/>
  <c r="G58" i="7"/>
  <c r="F58" i="7"/>
  <c r="E58" i="7"/>
  <c r="D58" i="7"/>
  <c r="C58" i="7"/>
  <c r="AB57" i="7"/>
  <c r="AA57" i="7"/>
  <c r="Z57" i="7"/>
  <c r="Y57" i="7"/>
  <c r="X57" i="7"/>
  <c r="W57" i="7"/>
  <c r="V57" i="7"/>
  <c r="U57" i="7"/>
  <c r="T57" i="7"/>
  <c r="S57" i="7"/>
  <c r="R57" i="7"/>
  <c r="Q57" i="7"/>
  <c r="P57" i="7"/>
  <c r="O57" i="7"/>
  <c r="N57" i="7"/>
  <c r="M57" i="7"/>
  <c r="L57" i="7"/>
  <c r="K57" i="7"/>
  <c r="J57" i="7"/>
  <c r="I57" i="7"/>
  <c r="H57" i="7"/>
  <c r="G57" i="7"/>
  <c r="F57" i="7"/>
  <c r="E57" i="7"/>
  <c r="D57" i="7"/>
  <c r="C57" i="7"/>
  <c r="AB56" i="7"/>
  <c r="AA56" i="7"/>
  <c r="Z56" i="7"/>
  <c r="Y56" i="7"/>
  <c r="X56" i="7"/>
  <c r="W56" i="7"/>
  <c r="V56" i="7"/>
  <c r="U56" i="7"/>
  <c r="T56" i="7"/>
  <c r="S56" i="7"/>
  <c r="R56" i="7"/>
  <c r="Q56" i="7"/>
  <c r="P56" i="7"/>
  <c r="O56" i="7"/>
  <c r="N56" i="7"/>
  <c r="M56" i="7"/>
  <c r="L56" i="7"/>
  <c r="K56" i="7"/>
  <c r="J56" i="7"/>
  <c r="I56" i="7"/>
  <c r="H56" i="7"/>
  <c r="G56" i="7"/>
  <c r="F56" i="7"/>
  <c r="E56" i="7"/>
  <c r="D56" i="7"/>
  <c r="C56" i="7"/>
  <c r="AB55" i="7"/>
  <c r="AA55" i="7"/>
  <c r="Z55" i="7"/>
  <c r="Y55" i="7"/>
  <c r="X55" i="7"/>
  <c r="W55" i="7"/>
  <c r="V55" i="7"/>
  <c r="U55" i="7"/>
  <c r="T55" i="7"/>
  <c r="S55" i="7"/>
  <c r="R55" i="7"/>
  <c r="Q55" i="7"/>
  <c r="P55" i="7"/>
  <c r="O55" i="7"/>
  <c r="N55" i="7"/>
  <c r="M55" i="7"/>
  <c r="L55" i="7"/>
  <c r="K55" i="7"/>
  <c r="J55" i="7"/>
  <c r="I55" i="7"/>
  <c r="H55" i="7"/>
  <c r="G55" i="7"/>
  <c r="F55" i="7"/>
  <c r="E55" i="7"/>
  <c r="D55" i="7"/>
  <c r="C55" i="7"/>
  <c r="AB54" i="7"/>
  <c r="AA54" i="7"/>
  <c r="Z54" i="7"/>
  <c r="Y54" i="7"/>
  <c r="X54" i="7"/>
  <c r="W54" i="7"/>
  <c r="V54" i="7"/>
  <c r="U54" i="7"/>
  <c r="T54" i="7"/>
  <c r="S54" i="7"/>
  <c r="R54" i="7"/>
  <c r="Q54" i="7"/>
  <c r="P54" i="7"/>
  <c r="O54" i="7"/>
  <c r="N54" i="7"/>
  <c r="M54" i="7"/>
  <c r="L54" i="7"/>
  <c r="K54" i="7"/>
  <c r="J54" i="7"/>
  <c r="I54" i="7"/>
  <c r="H54" i="7"/>
  <c r="G54" i="7"/>
  <c r="F54" i="7"/>
  <c r="E54" i="7"/>
  <c r="D54" i="7"/>
  <c r="C54" i="7"/>
  <c r="AB53" i="7"/>
  <c r="AA53" i="7"/>
  <c r="Z53" i="7"/>
  <c r="Y53" i="7"/>
  <c r="X53" i="7"/>
  <c r="W53" i="7"/>
  <c r="V53" i="7"/>
  <c r="U53" i="7"/>
  <c r="T53" i="7"/>
  <c r="S53" i="7"/>
  <c r="R53" i="7"/>
  <c r="Q53" i="7"/>
  <c r="P53" i="7"/>
  <c r="O53" i="7"/>
  <c r="N53" i="7"/>
  <c r="M53" i="7"/>
  <c r="L53" i="7"/>
  <c r="K53" i="7"/>
  <c r="J53" i="7"/>
  <c r="I53" i="7"/>
  <c r="H53" i="7"/>
  <c r="G53" i="7"/>
  <c r="F53" i="7"/>
  <c r="E53" i="7"/>
  <c r="D53" i="7"/>
  <c r="C53" i="7"/>
  <c r="AB52" i="7"/>
  <c r="AA52" i="7"/>
  <c r="Z52" i="7"/>
  <c r="Y52" i="7"/>
  <c r="X52" i="7"/>
  <c r="W52" i="7"/>
  <c r="V52" i="7"/>
  <c r="U52" i="7"/>
  <c r="T52" i="7"/>
  <c r="S52" i="7"/>
  <c r="R52" i="7"/>
  <c r="Q52" i="7"/>
  <c r="P52" i="7"/>
  <c r="O52" i="7"/>
  <c r="N52" i="7"/>
  <c r="M52" i="7"/>
  <c r="L52" i="7"/>
  <c r="K52" i="7"/>
  <c r="J52" i="7"/>
  <c r="I52" i="7"/>
  <c r="H52" i="7"/>
  <c r="G52" i="7"/>
  <c r="F52" i="7"/>
  <c r="E52" i="7"/>
  <c r="D52" i="7"/>
  <c r="C52" i="7"/>
  <c r="AB51" i="7"/>
  <c r="AA51" i="7"/>
  <c r="Z51" i="7"/>
  <c r="Y51" i="7"/>
  <c r="X51" i="7"/>
  <c r="W51" i="7"/>
  <c r="V51" i="7"/>
  <c r="U51" i="7"/>
  <c r="T51" i="7"/>
  <c r="S51" i="7"/>
  <c r="R51" i="7"/>
  <c r="Q51" i="7"/>
  <c r="P51" i="7"/>
  <c r="O51" i="7"/>
  <c r="N51" i="7"/>
  <c r="M51" i="7"/>
  <c r="L51" i="7"/>
  <c r="K51" i="7"/>
  <c r="J51" i="7"/>
  <c r="I51" i="7"/>
  <c r="H51" i="7"/>
  <c r="G51" i="7"/>
  <c r="F51" i="7"/>
  <c r="E51" i="7"/>
  <c r="D51" i="7"/>
  <c r="C51" i="7"/>
  <c r="AB50" i="7"/>
  <c r="AA50" i="7"/>
  <c r="Z50" i="7"/>
  <c r="Y50" i="7"/>
  <c r="X50" i="7"/>
  <c r="W50" i="7"/>
  <c r="V50" i="7"/>
  <c r="U50" i="7"/>
  <c r="T50" i="7"/>
  <c r="S50" i="7"/>
  <c r="R50" i="7"/>
  <c r="Q50" i="7"/>
  <c r="P50" i="7"/>
  <c r="O50" i="7"/>
  <c r="N50" i="7"/>
  <c r="M50" i="7"/>
  <c r="L50" i="7"/>
  <c r="K50" i="7"/>
  <c r="J50" i="7"/>
  <c r="I50" i="7"/>
  <c r="H50" i="7"/>
  <c r="G50" i="7"/>
  <c r="F50" i="7"/>
  <c r="E50" i="7"/>
  <c r="D50" i="7"/>
  <c r="C50" i="7"/>
  <c r="AB49" i="7"/>
  <c r="AA49" i="7"/>
  <c r="Z49" i="7"/>
  <c r="Y49" i="7"/>
  <c r="X49" i="7"/>
  <c r="W49" i="7"/>
  <c r="V49" i="7"/>
  <c r="U49" i="7"/>
  <c r="T49" i="7"/>
  <c r="S49" i="7"/>
  <c r="R49" i="7"/>
  <c r="Q49" i="7"/>
  <c r="P49" i="7"/>
  <c r="O49" i="7"/>
  <c r="N49" i="7"/>
  <c r="M49" i="7"/>
  <c r="L49" i="7"/>
  <c r="K49" i="7"/>
  <c r="J49" i="7"/>
  <c r="I49" i="7"/>
  <c r="H49" i="7"/>
  <c r="G49" i="7"/>
  <c r="F49" i="7"/>
  <c r="E49" i="7"/>
  <c r="D49" i="7"/>
  <c r="C49" i="7"/>
  <c r="AB48" i="7"/>
  <c r="AA48" i="7"/>
  <c r="Z48" i="7"/>
  <c r="Y48" i="7"/>
  <c r="X48" i="7"/>
  <c r="W48" i="7"/>
  <c r="V48" i="7"/>
  <c r="U48" i="7"/>
  <c r="T48" i="7"/>
  <c r="S48" i="7"/>
  <c r="R48" i="7"/>
  <c r="Q48" i="7"/>
  <c r="P48" i="7"/>
  <c r="O48" i="7"/>
  <c r="N48" i="7"/>
  <c r="M48" i="7"/>
  <c r="L48" i="7"/>
  <c r="K48" i="7"/>
  <c r="J48" i="7"/>
  <c r="I48" i="7"/>
  <c r="H48" i="7"/>
  <c r="G48" i="7"/>
  <c r="F48" i="7"/>
  <c r="E48" i="7"/>
  <c r="D48" i="7"/>
  <c r="C48" i="7"/>
  <c r="AB47" i="7"/>
  <c r="AA47" i="7"/>
  <c r="Z47" i="7"/>
  <c r="Y47" i="7"/>
  <c r="X47" i="7"/>
  <c r="W47" i="7"/>
  <c r="V47" i="7"/>
  <c r="U47" i="7"/>
  <c r="T47" i="7"/>
  <c r="S47" i="7"/>
  <c r="R47" i="7"/>
  <c r="Q47" i="7"/>
  <c r="P47" i="7"/>
  <c r="O47" i="7"/>
  <c r="N47" i="7"/>
  <c r="M47" i="7"/>
  <c r="L47" i="7"/>
  <c r="K47" i="7"/>
  <c r="J47" i="7"/>
  <c r="I47" i="7"/>
  <c r="H47" i="7"/>
  <c r="G47" i="7"/>
  <c r="F47" i="7"/>
  <c r="E47" i="7"/>
  <c r="D47" i="7"/>
  <c r="C47" i="7"/>
  <c r="AB46" i="7"/>
  <c r="AA46" i="7"/>
  <c r="Z46" i="7"/>
  <c r="Y46" i="7"/>
  <c r="X46" i="7"/>
  <c r="W46" i="7"/>
  <c r="V46" i="7"/>
  <c r="U46" i="7"/>
  <c r="T46" i="7"/>
  <c r="S46" i="7"/>
  <c r="R46" i="7"/>
  <c r="Q46" i="7"/>
  <c r="P46" i="7"/>
  <c r="O46" i="7"/>
  <c r="N46" i="7"/>
  <c r="M46" i="7"/>
  <c r="L46" i="7"/>
  <c r="K46" i="7"/>
  <c r="J46" i="7"/>
  <c r="I46" i="7"/>
  <c r="H46" i="7"/>
  <c r="G46" i="7"/>
  <c r="F46" i="7"/>
  <c r="E46" i="7"/>
  <c r="D46" i="7"/>
  <c r="C46" i="7"/>
  <c r="AB45" i="7"/>
  <c r="AA45" i="7"/>
  <c r="Z45" i="7"/>
  <c r="Y45" i="7"/>
  <c r="X45" i="7"/>
  <c r="W45" i="7"/>
  <c r="V45" i="7"/>
  <c r="U45" i="7"/>
  <c r="T45" i="7"/>
  <c r="S45" i="7"/>
  <c r="R45" i="7"/>
  <c r="Q45" i="7"/>
  <c r="P45" i="7"/>
  <c r="O45" i="7"/>
  <c r="N45" i="7"/>
  <c r="M45" i="7"/>
  <c r="L45" i="7"/>
  <c r="K45" i="7"/>
  <c r="J45" i="7"/>
  <c r="I45" i="7"/>
  <c r="H45" i="7"/>
  <c r="G45" i="7"/>
  <c r="F45" i="7"/>
  <c r="E45" i="7"/>
  <c r="D45" i="7"/>
  <c r="C45" i="7"/>
  <c r="AB44" i="7"/>
  <c r="AA44" i="7"/>
  <c r="Z44" i="7"/>
  <c r="Y44" i="7"/>
  <c r="X44" i="7"/>
  <c r="W44" i="7"/>
  <c r="V44" i="7"/>
  <c r="U44" i="7"/>
  <c r="T44" i="7"/>
  <c r="S44" i="7"/>
  <c r="R44" i="7"/>
  <c r="Q44" i="7"/>
  <c r="P44" i="7"/>
  <c r="O44" i="7"/>
  <c r="N44" i="7"/>
  <c r="M44" i="7"/>
  <c r="L44" i="7"/>
  <c r="K44" i="7"/>
  <c r="J44" i="7"/>
  <c r="I44" i="7"/>
  <c r="H44" i="7"/>
  <c r="G44" i="7"/>
  <c r="F44" i="7"/>
  <c r="E44" i="7"/>
  <c r="D44" i="7"/>
  <c r="C44" i="7"/>
  <c r="AB43" i="7"/>
  <c r="AA43" i="7"/>
  <c r="Z43" i="7"/>
  <c r="Y43" i="7"/>
  <c r="X43" i="7"/>
  <c r="W43" i="7"/>
  <c r="V43" i="7"/>
  <c r="U43" i="7"/>
  <c r="T43" i="7"/>
  <c r="S43" i="7"/>
  <c r="R43" i="7"/>
  <c r="Q43" i="7"/>
  <c r="P43" i="7"/>
  <c r="O43" i="7"/>
  <c r="N43" i="7"/>
  <c r="M43" i="7"/>
  <c r="L43" i="7"/>
  <c r="K43" i="7"/>
  <c r="J43" i="7"/>
  <c r="I43" i="7"/>
  <c r="H43" i="7"/>
  <c r="G43" i="7"/>
  <c r="F43" i="7"/>
  <c r="E43" i="7"/>
  <c r="D43" i="7"/>
  <c r="C43" i="7"/>
  <c r="AB42" i="7"/>
  <c r="AA42" i="7"/>
  <c r="Z42" i="7"/>
  <c r="Y42" i="7"/>
  <c r="X42" i="7"/>
  <c r="W42" i="7"/>
  <c r="V42" i="7"/>
  <c r="U42" i="7"/>
  <c r="T42" i="7"/>
  <c r="S42" i="7"/>
  <c r="R42" i="7"/>
  <c r="Q42" i="7"/>
  <c r="P42" i="7"/>
  <c r="O42" i="7"/>
  <c r="N42" i="7"/>
  <c r="M42" i="7"/>
  <c r="L42" i="7"/>
  <c r="K42" i="7"/>
  <c r="J42" i="7"/>
  <c r="I42" i="7"/>
  <c r="H42" i="7"/>
  <c r="G42" i="7"/>
  <c r="F42" i="7"/>
  <c r="E42" i="7"/>
  <c r="D42" i="7"/>
  <c r="C42" i="7"/>
  <c r="AB41" i="7"/>
  <c r="AA41" i="7"/>
  <c r="Z41" i="7"/>
  <c r="Y41" i="7"/>
  <c r="X41" i="7"/>
  <c r="W41" i="7"/>
  <c r="V41" i="7"/>
  <c r="U41" i="7"/>
  <c r="T41" i="7"/>
  <c r="S41" i="7"/>
  <c r="R41" i="7"/>
  <c r="Q41" i="7"/>
  <c r="P41" i="7"/>
  <c r="O41" i="7"/>
  <c r="N41" i="7"/>
  <c r="M41" i="7"/>
  <c r="L41" i="7"/>
  <c r="K41" i="7"/>
  <c r="J41" i="7"/>
  <c r="I41" i="7"/>
  <c r="H41" i="7"/>
  <c r="G41" i="7"/>
  <c r="F41" i="7"/>
  <c r="E41" i="7"/>
  <c r="D41" i="7"/>
  <c r="C41" i="7"/>
  <c r="AB40" i="7"/>
  <c r="AA40" i="7"/>
  <c r="Z40" i="7"/>
  <c r="Y40" i="7"/>
  <c r="X40" i="7"/>
  <c r="W40" i="7"/>
  <c r="V40" i="7"/>
  <c r="U40" i="7"/>
  <c r="T40" i="7"/>
  <c r="S40" i="7"/>
  <c r="R40" i="7"/>
  <c r="Q40" i="7"/>
  <c r="P40" i="7"/>
  <c r="O40" i="7"/>
  <c r="N40" i="7"/>
  <c r="M40" i="7"/>
  <c r="L40" i="7"/>
  <c r="K40" i="7"/>
  <c r="J40" i="7"/>
  <c r="I40" i="7"/>
  <c r="H40" i="7"/>
  <c r="G40" i="7"/>
  <c r="F40" i="7"/>
  <c r="E40" i="7"/>
  <c r="D40" i="7"/>
  <c r="C40" i="7"/>
  <c r="AB39" i="7"/>
  <c r="AA39" i="7"/>
  <c r="Z39" i="7"/>
  <c r="Y39" i="7"/>
  <c r="X39" i="7"/>
  <c r="W39" i="7"/>
  <c r="V39" i="7"/>
  <c r="U39" i="7"/>
  <c r="T39" i="7"/>
  <c r="S39" i="7"/>
  <c r="R39" i="7"/>
  <c r="Q39" i="7"/>
  <c r="P39" i="7"/>
  <c r="O39" i="7"/>
  <c r="N39" i="7"/>
  <c r="M39" i="7"/>
  <c r="L39" i="7"/>
  <c r="K39" i="7"/>
  <c r="J39" i="7"/>
  <c r="I39" i="7"/>
  <c r="H39" i="7"/>
  <c r="G39" i="7"/>
  <c r="F39" i="7"/>
  <c r="E39" i="7"/>
  <c r="D39" i="7"/>
  <c r="C39" i="7"/>
  <c r="AB38" i="7"/>
  <c r="AA38" i="7"/>
  <c r="Z38" i="7"/>
  <c r="Y38" i="7"/>
  <c r="X38" i="7"/>
  <c r="W38" i="7"/>
  <c r="V38" i="7"/>
  <c r="U38" i="7"/>
  <c r="T38" i="7"/>
  <c r="S38" i="7"/>
  <c r="R38" i="7"/>
  <c r="Q38" i="7"/>
  <c r="P38" i="7"/>
  <c r="O38" i="7"/>
  <c r="N38" i="7"/>
  <c r="M38" i="7"/>
  <c r="L38" i="7"/>
  <c r="K38" i="7"/>
  <c r="J38" i="7"/>
  <c r="I38" i="7"/>
  <c r="H38" i="7"/>
  <c r="G38" i="7"/>
  <c r="F38" i="7"/>
  <c r="E38" i="7"/>
  <c r="D38" i="7"/>
  <c r="C38" i="7"/>
  <c r="AB37" i="7"/>
  <c r="AA37" i="7"/>
  <c r="Z37" i="7"/>
  <c r="Y37" i="7"/>
  <c r="X37" i="7"/>
  <c r="W37" i="7"/>
  <c r="V37" i="7"/>
  <c r="U37" i="7"/>
  <c r="T37" i="7"/>
  <c r="S37" i="7"/>
  <c r="R37" i="7"/>
  <c r="Q37" i="7"/>
  <c r="P37" i="7"/>
  <c r="O37" i="7"/>
  <c r="N37" i="7"/>
  <c r="M37" i="7"/>
  <c r="L37" i="7"/>
  <c r="K37" i="7"/>
  <c r="J37" i="7"/>
  <c r="I37" i="7"/>
  <c r="H37" i="7"/>
  <c r="G37" i="7"/>
  <c r="F37" i="7"/>
  <c r="E37" i="7"/>
  <c r="D37" i="7"/>
  <c r="C37" i="7"/>
  <c r="AB36" i="7"/>
  <c r="AA36" i="7"/>
  <c r="Z36" i="7"/>
  <c r="Y36" i="7"/>
  <c r="X36" i="7"/>
  <c r="W36" i="7"/>
  <c r="V36" i="7"/>
  <c r="U36" i="7"/>
  <c r="T36" i="7"/>
  <c r="S36" i="7"/>
  <c r="R36" i="7"/>
  <c r="Q36" i="7"/>
  <c r="P36" i="7"/>
  <c r="O36" i="7"/>
  <c r="N36" i="7"/>
  <c r="M36" i="7"/>
  <c r="L36" i="7"/>
  <c r="K36" i="7"/>
  <c r="J36" i="7"/>
  <c r="I36" i="7"/>
  <c r="H36" i="7"/>
  <c r="G36" i="7"/>
  <c r="F36" i="7"/>
  <c r="E36" i="7"/>
  <c r="D36" i="7"/>
  <c r="C36" i="7"/>
  <c r="AB35" i="7"/>
  <c r="AA35" i="7"/>
  <c r="Z35" i="7"/>
  <c r="Y35" i="7"/>
  <c r="X35" i="7"/>
  <c r="W35" i="7"/>
  <c r="V35" i="7"/>
  <c r="U35" i="7"/>
  <c r="T35" i="7"/>
  <c r="S35" i="7"/>
  <c r="R35" i="7"/>
  <c r="Q35" i="7"/>
  <c r="P35" i="7"/>
  <c r="O35" i="7"/>
  <c r="N35" i="7"/>
  <c r="M35" i="7"/>
  <c r="L35" i="7"/>
  <c r="K35" i="7"/>
  <c r="J35" i="7"/>
  <c r="I35" i="7"/>
  <c r="H35" i="7"/>
  <c r="G35" i="7"/>
  <c r="F35" i="7"/>
  <c r="E35" i="7"/>
  <c r="D35" i="7"/>
  <c r="C35" i="7"/>
  <c r="AB34" i="7"/>
  <c r="AA34" i="7"/>
  <c r="Z34" i="7"/>
  <c r="Y34" i="7"/>
  <c r="X34" i="7"/>
  <c r="W34" i="7"/>
  <c r="V34" i="7"/>
  <c r="U34" i="7"/>
  <c r="T34" i="7"/>
  <c r="S34" i="7"/>
  <c r="R34" i="7"/>
  <c r="Q34" i="7"/>
  <c r="P34" i="7"/>
  <c r="O34" i="7"/>
  <c r="N34" i="7"/>
  <c r="M34" i="7"/>
  <c r="L34" i="7"/>
  <c r="K34" i="7"/>
  <c r="J34" i="7"/>
  <c r="I34" i="7"/>
  <c r="H34" i="7"/>
  <c r="G34" i="7"/>
  <c r="F34" i="7"/>
  <c r="E34" i="7"/>
  <c r="D34" i="7"/>
  <c r="C34" i="7"/>
  <c r="AB33" i="7"/>
  <c r="AA33" i="7"/>
  <c r="Z33" i="7"/>
  <c r="Y33" i="7"/>
  <c r="X33" i="7"/>
  <c r="W33" i="7"/>
  <c r="V33" i="7"/>
  <c r="U33" i="7"/>
  <c r="T33" i="7"/>
  <c r="S33" i="7"/>
  <c r="R33" i="7"/>
  <c r="Q33" i="7"/>
  <c r="P33" i="7"/>
  <c r="O33" i="7"/>
  <c r="N33" i="7"/>
  <c r="M33" i="7"/>
  <c r="L33" i="7"/>
  <c r="K33" i="7"/>
  <c r="J33" i="7"/>
  <c r="I33" i="7"/>
  <c r="H33" i="7"/>
  <c r="G33" i="7"/>
  <c r="F33" i="7"/>
  <c r="E33" i="7"/>
  <c r="D33" i="7"/>
  <c r="C33" i="7"/>
  <c r="AB32" i="7"/>
  <c r="AA32" i="7"/>
  <c r="Z32" i="7"/>
  <c r="Y32" i="7"/>
  <c r="X32" i="7"/>
  <c r="W32" i="7"/>
  <c r="V32" i="7"/>
  <c r="U32" i="7"/>
  <c r="T32" i="7"/>
  <c r="S32" i="7"/>
  <c r="R32" i="7"/>
  <c r="Q32" i="7"/>
  <c r="P32" i="7"/>
  <c r="O32" i="7"/>
  <c r="N32" i="7"/>
  <c r="M32" i="7"/>
  <c r="L32" i="7"/>
  <c r="K32" i="7"/>
  <c r="J32" i="7"/>
  <c r="I32" i="7"/>
  <c r="H32" i="7"/>
  <c r="G32" i="7"/>
  <c r="F32" i="7"/>
  <c r="E32" i="7"/>
  <c r="D32" i="7"/>
  <c r="C32" i="7"/>
  <c r="AB31" i="7"/>
  <c r="AA31" i="7"/>
  <c r="Z31" i="7"/>
  <c r="Y31" i="7"/>
  <c r="X31" i="7"/>
  <c r="W31" i="7"/>
  <c r="V31" i="7"/>
  <c r="U31" i="7"/>
  <c r="T31" i="7"/>
  <c r="S31" i="7"/>
  <c r="R31" i="7"/>
  <c r="Q31" i="7"/>
  <c r="P31" i="7"/>
  <c r="O31" i="7"/>
  <c r="N31" i="7"/>
  <c r="M31" i="7"/>
  <c r="L31" i="7"/>
  <c r="K31" i="7"/>
  <c r="J31" i="7"/>
  <c r="I31" i="7"/>
  <c r="H31" i="7"/>
  <c r="G31" i="7"/>
  <c r="F31" i="7"/>
  <c r="E31" i="7"/>
  <c r="D31" i="7"/>
  <c r="C31" i="7"/>
  <c r="AB30" i="7"/>
  <c r="AA30" i="7"/>
  <c r="Z30" i="7"/>
  <c r="Y30" i="7"/>
  <c r="X30" i="7"/>
  <c r="W30" i="7"/>
  <c r="V30" i="7"/>
  <c r="U30" i="7"/>
  <c r="T30" i="7"/>
  <c r="S30" i="7"/>
  <c r="R30" i="7"/>
  <c r="Q30" i="7"/>
  <c r="P30" i="7"/>
  <c r="O30" i="7"/>
  <c r="N30" i="7"/>
  <c r="M30" i="7"/>
  <c r="L30" i="7"/>
  <c r="K30" i="7"/>
  <c r="J30" i="7"/>
  <c r="I30" i="7"/>
  <c r="H30" i="7"/>
  <c r="G30" i="7"/>
  <c r="F30" i="7"/>
  <c r="E30" i="7"/>
  <c r="D30" i="7"/>
  <c r="C30" i="7"/>
  <c r="AB29" i="7"/>
  <c r="AA29" i="7"/>
  <c r="Z29" i="7"/>
  <c r="Y29" i="7"/>
  <c r="X29" i="7"/>
  <c r="W29" i="7"/>
  <c r="V29" i="7"/>
  <c r="U29" i="7"/>
  <c r="T29" i="7"/>
  <c r="S29" i="7"/>
  <c r="R29" i="7"/>
  <c r="Q29" i="7"/>
  <c r="P29" i="7"/>
  <c r="O29" i="7"/>
  <c r="N29" i="7"/>
  <c r="M29" i="7"/>
  <c r="L29" i="7"/>
  <c r="K29" i="7"/>
  <c r="J29" i="7"/>
  <c r="I29" i="7"/>
  <c r="H29" i="7"/>
  <c r="G29" i="7"/>
  <c r="F29" i="7"/>
  <c r="E29" i="7"/>
  <c r="D29" i="7"/>
  <c r="C29" i="7"/>
  <c r="AB28" i="7"/>
  <c r="AA28" i="7"/>
  <c r="Z28" i="7"/>
  <c r="Y28" i="7"/>
  <c r="X28" i="7"/>
  <c r="W28" i="7"/>
  <c r="V28" i="7"/>
  <c r="U28" i="7"/>
  <c r="T28" i="7"/>
  <c r="S28" i="7"/>
  <c r="R28" i="7"/>
  <c r="Q28" i="7"/>
  <c r="P28" i="7"/>
  <c r="O28" i="7"/>
  <c r="N28" i="7"/>
  <c r="M28" i="7"/>
  <c r="L28" i="7"/>
  <c r="K28" i="7"/>
  <c r="J28" i="7"/>
  <c r="I28" i="7"/>
  <c r="H28" i="7"/>
  <c r="G28" i="7"/>
  <c r="F28" i="7"/>
  <c r="E28" i="7"/>
  <c r="D28" i="7"/>
  <c r="C28" i="7"/>
  <c r="AB27" i="7"/>
  <c r="AA27" i="7"/>
  <c r="Z27" i="7"/>
  <c r="Y27" i="7"/>
  <c r="X27" i="7"/>
  <c r="W27" i="7"/>
  <c r="V27" i="7"/>
  <c r="U27" i="7"/>
  <c r="T27" i="7"/>
  <c r="S27" i="7"/>
  <c r="R27" i="7"/>
  <c r="Q27" i="7"/>
  <c r="P27" i="7"/>
  <c r="O27" i="7"/>
  <c r="N27" i="7"/>
  <c r="M27" i="7"/>
  <c r="L27" i="7"/>
  <c r="K27" i="7"/>
  <c r="J27" i="7"/>
  <c r="I27" i="7"/>
  <c r="H27" i="7"/>
  <c r="G27" i="7"/>
  <c r="F27" i="7"/>
  <c r="E27" i="7"/>
  <c r="D27" i="7"/>
  <c r="C27" i="7"/>
  <c r="AB26" i="7"/>
  <c r="AA26" i="7"/>
  <c r="Z26" i="7"/>
  <c r="Y26" i="7"/>
  <c r="X26" i="7"/>
  <c r="W26" i="7"/>
  <c r="V26" i="7"/>
  <c r="U26" i="7"/>
  <c r="T26" i="7"/>
  <c r="S26" i="7"/>
  <c r="R26" i="7"/>
  <c r="Q26" i="7"/>
  <c r="P26" i="7"/>
  <c r="O26" i="7"/>
  <c r="N26" i="7"/>
  <c r="M26" i="7"/>
  <c r="L26" i="7"/>
  <c r="K26" i="7"/>
  <c r="J26" i="7"/>
  <c r="I26" i="7"/>
  <c r="H26" i="7"/>
  <c r="G26" i="7"/>
  <c r="F26" i="7"/>
  <c r="E26" i="7"/>
  <c r="D26" i="7"/>
  <c r="C26" i="7"/>
  <c r="AB25" i="7"/>
  <c r="AA25" i="7"/>
  <c r="Z25" i="7"/>
  <c r="Y25" i="7"/>
  <c r="X25" i="7"/>
  <c r="W25" i="7"/>
  <c r="V25" i="7"/>
  <c r="U25" i="7"/>
  <c r="T25" i="7"/>
  <c r="S25" i="7"/>
  <c r="R25" i="7"/>
  <c r="Q25" i="7"/>
  <c r="P25" i="7"/>
  <c r="O25" i="7"/>
  <c r="N25" i="7"/>
  <c r="M25" i="7"/>
  <c r="L25" i="7"/>
  <c r="K25" i="7"/>
  <c r="J25" i="7"/>
  <c r="I25" i="7"/>
  <c r="H25" i="7"/>
  <c r="G25" i="7"/>
  <c r="F25" i="7"/>
  <c r="E25" i="7"/>
  <c r="D25" i="7"/>
  <c r="C25" i="7"/>
  <c r="AB24" i="7"/>
  <c r="AA24" i="7"/>
  <c r="Z24" i="7"/>
  <c r="Y24" i="7"/>
  <c r="X24" i="7"/>
  <c r="W24" i="7"/>
  <c r="V24" i="7"/>
  <c r="U24" i="7"/>
  <c r="T24" i="7"/>
  <c r="S24" i="7"/>
  <c r="R24" i="7"/>
  <c r="Q24" i="7"/>
  <c r="P24" i="7"/>
  <c r="O24" i="7"/>
  <c r="N24" i="7"/>
  <c r="M24" i="7"/>
  <c r="L24" i="7"/>
  <c r="K24" i="7"/>
  <c r="J24" i="7"/>
  <c r="I24" i="7"/>
  <c r="H24" i="7"/>
  <c r="G24" i="7"/>
  <c r="F24" i="7"/>
  <c r="E24" i="7"/>
  <c r="D24" i="7"/>
  <c r="C24" i="7"/>
  <c r="AB23" i="7"/>
  <c r="AA23" i="7"/>
  <c r="Z23" i="7"/>
  <c r="Y23" i="7"/>
  <c r="X23" i="7"/>
  <c r="W23" i="7"/>
  <c r="V23" i="7"/>
  <c r="U23" i="7"/>
  <c r="T23" i="7"/>
  <c r="S23" i="7"/>
  <c r="R23" i="7"/>
  <c r="Q23" i="7"/>
  <c r="P23" i="7"/>
  <c r="O23" i="7"/>
  <c r="N23" i="7"/>
  <c r="M23" i="7"/>
  <c r="L23" i="7"/>
  <c r="K23" i="7"/>
  <c r="J23" i="7"/>
  <c r="I23" i="7"/>
  <c r="H23" i="7"/>
  <c r="G23" i="7"/>
  <c r="F23" i="7"/>
  <c r="E23" i="7"/>
  <c r="D23" i="7"/>
  <c r="C23" i="7"/>
  <c r="AB22" i="7"/>
  <c r="AA22" i="7"/>
  <c r="Z22" i="7"/>
  <c r="Y22" i="7"/>
  <c r="X22" i="7"/>
  <c r="W22" i="7"/>
  <c r="V22" i="7"/>
  <c r="U22" i="7"/>
  <c r="T22" i="7"/>
  <c r="S22" i="7"/>
  <c r="R22" i="7"/>
  <c r="Q22" i="7"/>
  <c r="P22" i="7"/>
  <c r="O22" i="7"/>
  <c r="N22" i="7"/>
  <c r="M22" i="7"/>
  <c r="L22" i="7"/>
  <c r="K22" i="7"/>
  <c r="J22" i="7"/>
  <c r="I22" i="7"/>
  <c r="H22" i="7"/>
  <c r="G22" i="7"/>
  <c r="F22" i="7"/>
  <c r="E22" i="7"/>
  <c r="D22" i="7"/>
  <c r="C22" i="7"/>
  <c r="AB21" i="7"/>
  <c r="AA21" i="7"/>
  <c r="Z21" i="7"/>
  <c r="Y21" i="7"/>
  <c r="X21" i="7"/>
  <c r="W21" i="7"/>
  <c r="V21" i="7"/>
  <c r="U21" i="7"/>
  <c r="T21" i="7"/>
  <c r="S21" i="7"/>
  <c r="R21" i="7"/>
  <c r="Q21" i="7"/>
  <c r="P21" i="7"/>
  <c r="O21" i="7"/>
  <c r="N21" i="7"/>
  <c r="M21" i="7"/>
  <c r="L21" i="7"/>
  <c r="K21" i="7"/>
  <c r="J21" i="7"/>
  <c r="I21" i="7"/>
  <c r="H21" i="7"/>
  <c r="G21" i="7"/>
  <c r="F21" i="7"/>
  <c r="E21" i="7"/>
  <c r="D21" i="7"/>
  <c r="C21" i="7"/>
  <c r="AB20" i="7"/>
  <c r="AA20" i="7"/>
  <c r="Z20" i="7"/>
  <c r="Y20" i="7"/>
  <c r="X20" i="7"/>
  <c r="W20" i="7"/>
  <c r="V20" i="7"/>
  <c r="U20" i="7"/>
  <c r="T20" i="7"/>
  <c r="S20" i="7"/>
  <c r="R20" i="7"/>
  <c r="Q20" i="7"/>
  <c r="P20" i="7"/>
  <c r="O20" i="7"/>
  <c r="N20" i="7"/>
  <c r="M20" i="7"/>
  <c r="L20" i="7"/>
  <c r="K20" i="7"/>
  <c r="J20" i="7"/>
  <c r="I20" i="7"/>
  <c r="H20" i="7"/>
  <c r="G20" i="7"/>
  <c r="F20" i="7"/>
  <c r="E20" i="7"/>
  <c r="D20" i="7"/>
  <c r="C20" i="7"/>
  <c r="AB19" i="7"/>
  <c r="AA19" i="7"/>
  <c r="Z19" i="7"/>
  <c r="Y19" i="7"/>
  <c r="X19" i="7"/>
  <c r="W19" i="7"/>
  <c r="V19" i="7"/>
  <c r="U19" i="7"/>
  <c r="T19" i="7"/>
  <c r="S19" i="7"/>
  <c r="R19" i="7"/>
  <c r="Q19" i="7"/>
  <c r="P19" i="7"/>
  <c r="O19" i="7"/>
  <c r="N19" i="7"/>
  <c r="M19" i="7"/>
  <c r="L19" i="7"/>
  <c r="K19" i="7"/>
  <c r="J19" i="7"/>
  <c r="I19" i="7"/>
  <c r="H19" i="7"/>
  <c r="G19" i="7"/>
  <c r="F19" i="7"/>
  <c r="E19" i="7"/>
  <c r="D19" i="7"/>
  <c r="C19" i="7"/>
  <c r="AB18" i="7"/>
  <c r="AA18" i="7"/>
  <c r="Z18" i="7"/>
  <c r="Y18" i="7"/>
  <c r="X18" i="7"/>
  <c r="W18" i="7"/>
  <c r="V18" i="7"/>
  <c r="U18" i="7"/>
  <c r="T18" i="7"/>
  <c r="S18" i="7"/>
  <c r="R18" i="7"/>
  <c r="Q18" i="7"/>
  <c r="P18" i="7"/>
  <c r="O18" i="7"/>
  <c r="N18" i="7"/>
  <c r="M18" i="7"/>
  <c r="L18" i="7"/>
  <c r="K18" i="7"/>
  <c r="J18" i="7"/>
  <c r="I18" i="7"/>
  <c r="H18" i="7"/>
  <c r="G18" i="7"/>
  <c r="F18" i="7"/>
  <c r="E18" i="7"/>
  <c r="D18" i="7"/>
  <c r="C18" i="7"/>
  <c r="AB17" i="7"/>
  <c r="AA17" i="7"/>
  <c r="Z17" i="7"/>
  <c r="Z4" i="7" s="1"/>
  <c r="Y17" i="7"/>
  <c r="X17" i="7"/>
  <c r="W17" i="7"/>
  <c r="V17" i="7"/>
  <c r="U17" i="7"/>
  <c r="T17" i="7"/>
  <c r="S17" i="7"/>
  <c r="R17" i="7"/>
  <c r="Q17" i="7"/>
  <c r="P17" i="7"/>
  <c r="O17" i="7"/>
  <c r="N17" i="7"/>
  <c r="N4" i="7" s="1"/>
  <c r="M17" i="7"/>
  <c r="L17" i="7"/>
  <c r="K17" i="7"/>
  <c r="J17" i="7"/>
  <c r="I17" i="7"/>
  <c r="H17" i="7"/>
  <c r="G17" i="7"/>
  <c r="F17" i="7"/>
  <c r="E17" i="7"/>
  <c r="D17" i="7"/>
  <c r="C17" i="7"/>
  <c r="AB16" i="7"/>
  <c r="AB5" i="7" s="1"/>
  <c r="AB6" i="7" s="1"/>
  <c r="AA16" i="7"/>
  <c r="Z16" i="7"/>
  <c r="Y16" i="7"/>
  <c r="X16" i="7"/>
  <c r="W16" i="7"/>
  <c r="V16" i="7"/>
  <c r="U16" i="7"/>
  <c r="T16" i="7"/>
  <c r="S16" i="7"/>
  <c r="R16" i="7"/>
  <c r="Q16" i="7"/>
  <c r="P16" i="7"/>
  <c r="P5" i="7" s="1"/>
  <c r="P6" i="7" s="1"/>
  <c r="O16" i="7"/>
  <c r="N16" i="7"/>
  <c r="M16" i="7"/>
  <c r="L16" i="7"/>
  <c r="K16" i="7"/>
  <c r="J16" i="7"/>
  <c r="I16" i="7"/>
  <c r="H16" i="7"/>
  <c r="G16" i="7"/>
  <c r="F16" i="7"/>
  <c r="E16" i="7"/>
  <c r="D16" i="7"/>
  <c r="D5" i="7" s="1"/>
  <c r="D6" i="7" s="1"/>
  <c r="C16" i="7"/>
  <c r="AB15" i="7"/>
  <c r="AA15" i="7"/>
  <c r="Z15" i="7"/>
  <c r="Y15" i="7"/>
  <c r="X15" i="7"/>
  <c r="W15" i="7"/>
  <c r="V15" i="7"/>
  <c r="U15" i="7"/>
  <c r="T15" i="7"/>
  <c r="S15" i="7"/>
  <c r="R15" i="7"/>
  <c r="R5" i="7" s="1"/>
  <c r="R6" i="7" s="1"/>
  <c r="Q15" i="7"/>
  <c r="Q4" i="7" s="1"/>
  <c r="P15" i="7"/>
  <c r="O15" i="7"/>
  <c r="N15" i="7"/>
  <c r="M15" i="7"/>
  <c r="L15" i="7"/>
  <c r="K15" i="7"/>
  <c r="J15" i="7"/>
  <c r="I15" i="7"/>
  <c r="H15" i="7"/>
  <c r="G15" i="7"/>
  <c r="F15" i="7"/>
  <c r="F5" i="7" s="1"/>
  <c r="F6" i="7" s="1"/>
  <c r="E15" i="7"/>
  <c r="E4" i="7" s="1"/>
  <c r="D15" i="7"/>
  <c r="C15" i="7"/>
  <c r="AB14" i="7"/>
  <c r="AA14" i="7"/>
  <c r="Z14" i="7"/>
  <c r="Y14" i="7"/>
  <c r="X14" i="7"/>
  <c r="W14" i="7"/>
  <c r="W5" i="7" s="1"/>
  <c r="W6" i="7" s="1"/>
  <c r="V14" i="7"/>
  <c r="U14" i="7"/>
  <c r="T14" i="7"/>
  <c r="T3" i="7" s="1"/>
  <c r="S14" i="7"/>
  <c r="S4" i="7" s="1"/>
  <c r="R14" i="7"/>
  <c r="Q14" i="7"/>
  <c r="P14" i="7"/>
  <c r="O14" i="7"/>
  <c r="N14" i="7"/>
  <c r="M14" i="7"/>
  <c r="L14" i="7"/>
  <c r="K14" i="7"/>
  <c r="K5" i="7" s="1"/>
  <c r="K6" i="7" s="1"/>
  <c r="J14" i="7"/>
  <c r="I14" i="7"/>
  <c r="H14" i="7"/>
  <c r="H5" i="7" s="1"/>
  <c r="H6" i="7" s="1"/>
  <c r="G14" i="7"/>
  <c r="G5" i="7" s="1"/>
  <c r="G6" i="7" s="1"/>
  <c r="F14" i="7"/>
  <c r="E14" i="7"/>
  <c r="D14" i="7"/>
  <c r="C14" i="7"/>
  <c r="AB13" i="7"/>
  <c r="AA13" i="7"/>
  <c r="Z13" i="7"/>
  <c r="Z5" i="7" s="1"/>
  <c r="Z6" i="7" s="1"/>
  <c r="Y13" i="7"/>
  <c r="Y5" i="7" s="1"/>
  <c r="Y6" i="7" s="1"/>
  <c r="X13" i="7"/>
  <c r="W13" i="7"/>
  <c r="V13" i="7"/>
  <c r="V5" i="7" s="1"/>
  <c r="V6" i="7" s="1"/>
  <c r="U13" i="7"/>
  <c r="U5" i="7" s="1"/>
  <c r="U6" i="7" s="1"/>
  <c r="T13" i="7"/>
  <c r="S13" i="7"/>
  <c r="R13" i="7"/>
  <c r="Q13" i="7"/>
  <c r="Q5" i="7" s="1"/>
  <c r="Q6" i="7" s="1"/>
  <c r="P13" i="7"/>
  <c r="O13" i="7"/>
  <c r="N13" i="7"/>
  <c r="N5" i="7" s="1"/>
  <c r="N6" i="7" s="1"/>
  <c r="M13" i="7"/>
  <c r="M5" i="7" s="1"/>
  <c r="M6" i="7" s="1"/>
  <c r="L13" i="7"/>
  <c r="K13" i="7"/>
  <c r="J13" i="7"/>
  <c r="J5" i="7" s="1"/>
  <c r="J6" i="7" s="1"/>
  <c r="I13" i="7"/>
  <c r="I5" i="7" s="1"/>
  <c r="I6" i="7" s="1"/>
  <c r="H13" i="7"/>
  <c r="G13" i="7"/>
  <c r="F13" i="7"/>
  <c r="E13" i="7"/>
  <c r="E5" i="7" s="1"/>
  <c r="E6" i="7" s="1"/>
  <c r="D13" i="7"/>
  <c r="C13" i="7"/>
  <c r="AB12" i="7"/>
  <c r="AB4" i="7" s="1"/>
  <c r="AA12" i="7"/>
  <c r="AA3" i="7" s="1"/>
  <c r="Z12" i="7"/>
  <c r="Y12" i="7"/>
  <c r="X12" i="7"/>
  <c r="X4" i="7" s="1"/>
  <c r="W12" i="7"/>
  <c r="W4" i="7" s="1"/>
  <c r="V12" i="7"/>
  <c r="U12" i="7"/>
  <c r="T12" i="7"/>
  <c r="T4" i="7" s="1"/>
  <c r="S12" i="7"/>
  <c r="S3" i="7" s="1"/>
  <c r="R12" i="7"/>
  <c r="Q12" i="7"/>
  <c r="P12" i="7"/>
  <c r="P4" i="7" s="1"/>
  <c r="O12" i="7"/>
  <c r="O3" i="7" s="1"/>
  <c r="N12" i="7"/>
  <c r="M12" i="7"/>
  <c r="L12" i="7"/>
  <c r="L3" i="7" s="1"/>
  <c r="K12" i="7"/>
  <c r="K4" i="7" s="1"/>
  <c r="J12" i="7"/>
  <c r="I12" i="7"/>
  <c r="H12" i="7"/>
  <c r="H3" i="7" s="1"/>
  <c r="G12" i="7"/>
  <c r="G3" i="7" s="1"/>
  <c r="F12" i="7"/>
  <c r="E12" i="7"/>
  <c r="D12" i="7"/>
  <c r="D4" i="7" s="1"/>
  <c r="C12" i="7"/>
  <c r="C3" i="7" s="1"/>
  <c r="AB9" i="7"/>
  <c r="AA9" i="7"/>
  <c r="Y9" i="7"/>
  <c r="X9" i="7"/>
  <c r="W9" i="7"/>
  <c r="V9" i="7"/>
  <c r="U9" i="7"/>
  <c r="T9" i="7"/>
  <c r="S9" i="7"/>
  <c r="R9" i="7"/>
  <c r="P9" i="7"/>
  <c r="O9" i="7"/>
  <c r="M9" i="7"/>
  <c r="L9" i="7"/>
  <c r="K9" i="7"/>
  <c r="J9" i="7"/>
  <c r="I9" i="7"/>
  <c r="H9" i="7"/>
  <c r="G9" i="7"/>
  <c r="F9" i="7"/>
  <c r="D9" i="7"/>
  <c r="C9" i="7"/>
  <c r="U8" i="7"/>
  <c r="U10" i="7" s="1"/>
  <c r="R8" i="7"/>
  <c r="R10" i="7" s="1"/>
  <c r="I8" i="7"/>
  <c r="I10" i="7" s="1"/>
  <c r="F8" i="7"/>
  <c r="F10" i="7" s="1"/>
  <c r="AB7" i="7"/>
  <c r="AA7" i="7"/>
  <c r="X7" i="7"/>
  <c r="W7" i="7"/>
  <c r="T7" i="7"/>
  <c r="S7" i="7"/>
  <c r="R7" i="7"/>
  <c r="P7" i="7"/>
  <c r="O7" i="7"/>
  <c r="L7" i="7"/>
  <c r="K7" i="7"/>
  <c r="H7" i="7"/>
  <c r="G7" i="7"/>
  <c r="F7" i="7"/>
  <c r="D7" i="7"/>
  <c r="C7" i="7"/>
  <c r="AA5" i="7"/>
  <c r="AA6" i="7" s="1"/>
  <c r="X5" i="7"/>
  <c r="X6" i="7" s="1"/>
  <c r="O5" i="7"/>
  <c r="O6" i="7" s="1"/>
  <c r="L5" i="7"/>
  <c r="L6" i="7" s="1"/>
  <c r="C5" i="7"/>
  <c r="C6" i="7" s="1"/>
  <c r="AG4" i="7"/>
  <c r="V7" i="7" s="1"/>
  <c r="AA4" i="7"/>
  <c r="O4" i="7"/>
  <c r="C4" i="7"/>
  <c r="AG3" i="7"/>
  <c r="T8" i="7" s="1"/>
  <c r="T10" i="7" s="1"/>
  <c r="U3" i="7"/>
  <c r="R3" i="7"/>
  <c r="I3" i="7"/>
  <c r="F3" i="7"/>
  <c r="E3" i="7"/>
  <c r="K16" i="6"/>
  <c r="J16" i="6"/>
  <c r="I16" i="6"/>
  <c r="F16" i="6"/>
  <c r="E16" i="6"/>
  <c r="D16" i="6"/>
  <c r="N15" i="6"/>
  <c r="J15" i="6"/>
  <c r="I15" i="6"/>
  <c r="F15" i="6"/>
  <c r="E15" i="6"/>
  <c r="D15" i="6"/>
  <c r="N14" i="6"/>
  <c r="K14" i="6"/>
  <c r="J14" i="6"/>
  <c r="I14" i="6"/>
  <c r="F14" i="6"/>
  <c r="E14" i="6"/>
  <c r="D14" i="6"/>
  <c r="P13" i="6"/>
  <c r="O13" i="6"/>
  <c r="N13" i="6"/>
  <c r="K13" i="6"/>
  <c r="J13" i="6"/>
  <c r="I13" i="6"/>
  <c r="F13" i="6"/>
  <c r="E13" i="6"/>
  <c r="D13" i="6"/>
  <c r="P12" i="6"/>
  <c r="O12" i="6"/>
  <c r="N12" i="6"/>
  <c r="K12" i="6"/>
  <c r="K15" i="6" s="1"/>
  <c r="J12" i="6"/>
  <c r="I12" i="6"/>
  <c r="F12" i="6"/>
  <c r="E12" i="6"/>
  <c r="D12" i="6"/>
  <c r="P11" i="6"/>
  <c r="O11" i="6"/>
  <c r="N11" i="6"/>
  <c r="K11" i="6"/>
  <c r="J11" i="6"/>
  <c r="I11" i="6"/>
  <c r="F11" i="6"/>
  <c r="E11" i="6"/>
  <c r="D11" i="6"/>
  <c r="P10" i="6"/>
  <c r="O10" i="6"/>
  <c r="N10" i="6"/>
  <c r="I10" i="6"/>
  <c r="F10" i="6"/>
  <c r="E10" i="6"/>
  <c r="D10" i="6"/>
  <c r="P9" i="6"/>
  <c r="O9" i="6"/>
  <c r="N9" i="6"/>
  <c r="I9" i="6"/>
  <c r="F9" i="6"/>
  <c r="E9" i="6"/>
  <c r="D9" i="6"/>
  <c r="P8" i="6"/>
  <c r="O8" i="6"/>
  <c r="N8" i="6"/>
  <c r="I8" i="6"/>
  <c r="F8" i="6"/>
  <c r="E8" i="6"/>
  <c r="D8" i="6"/>
  <c r="P7" i="6"/>
  <c r="O7" i="6"/>
  <c r="N7" i="6"/>
  <c r="I7" i="6"/>
  <c r="F7" i="6"/>
  <c r="E7" i="6"/>
  <c r="D7" i="6"/>
  <c r="R4" i="7" l="1"/>
  <c r="K3" i="7"/>
  <c r="W3" i="7"/>
  <c r="H4" i="7"/>
  <c r="M7" i="7"/>
  <c r="Y7" i="7"/>
  <c r="K8" i="7"/>
  <c r="K10" i="7" s="1"/>
  <c r="W8" i="7"/>
  <c r="W10" i="7" s="1"/>
  <c r="G4" i="7"/>
  <c r="I4" i="7"/>
  <c r="J3" i="7"/>
  <c r="X3" i="7"/>
  <c r="U4" i="7"/>
  <c r="M3" i="7"/>
  <c r="Y3" i="7"/>
  <c r="J4" i="7"/>
  <c r="V4" i="7"/>
  <c r="S5" i="7"/>
  <c r="S6" i="7" s="1"/>
  <c r="M8" i="7"/>
  <c r="M10" i="7" s="1"/>
  <c r="Y8" i="7"/>
  <c r="Y10" i="7" s="1"/>
  <c r="L8" i="7"/>
  <c r="L10" i="7" s="1"/>
  <c r="X8" i="7"/>
  <c r="X10" i="7" s="1"/>
  <c r="N3" i="7"/>
  <c r="T5" i="7"/>
  <c r="T6" i="7" s="1"/>
  <c r="N8" i="7"/>
  <c r="N10" i="7" s="1"/>
  <c r="Z8" i="7"/>
  <c r="Z10" i="7" s="1"/>
  <c r="V8" i="7"/>
  <c r="V10" i="7" s="1"/>
  <c r="Z3" i="7"/>
  <c r="L4" i="7"/>
  <c r="E7" i="7"/>
  <c r="Q7" i="7"/>
  <c r="C8" i="7"/>
  <c r="C10" i="7" s="1"/>
  <c r="O8" i="7"/>
  <c r="O10" i="7" s="1"/>
  <c r="AA8" i="7"/>
  <c r="AA10" i="7" s="1"/>
  <c r="F4" i="7"/>
  <c r="V3" i="7"/>
  <c r="J8" i="7"/>
  <c r="J10" i="7" s="1"/>
  <c r="Z7" i="7"/>
  <c r="D3" i="7"/>
  <c r="P3" i="7"/>
  <c r="AB3" i="7"/>
  <c r="M4" i="7"/>
  <c r="Y4" i="7"/>
  <c r="D8" i="7"/>
  <c r="D10" i="7" s="1"/>
  <c r="P8" i="7"/>
  <c r="P10" i="7" s="1"/>
  <c r="AB8" i="7"/>
  <c r="AB10" i="7" s="1"/>
  <c r="Q3" i="7"/>
  <c r="E8" i="7"/>
  <c r="E10" i="7" s="1"/>
  <c r="Q8" i="7"/>
  <c r="Q10" i="7" s="1"/>
  <c r="I7" i="7"/>
  <c r="U7" i="7"/>
  <c r="G8" i="7"/>
  <c r="G10" i="7" s="1"/>
  <c r="S8" i="7"/>
  <c r="S10" i="7" s="1"/>
  <c r="J7" i="7"/>
  <c r="H8" i="7"/>
  <c r="H10" i="7" s="1"/>
</calcChain>
</file>

<file path=xl/sharedStrings.xml><?xml version="1.0" encoding="utf-8"?>
<sst xmlns="http://schemas.openxmlformats.org/spreadsheetml/2006/main" count="212" uniqueCount="149">
  <si>
    <t>Process / TO DO LIST</t>
  </si>
  <si>
    <t>TO DO LIST</t>
  </si>
  <si>
    <t>Comments</t>
  </si>
  <si>
    <t>Collect Data on one page</t>
  </si>
  <si>
    <t>Do for Macro Data</t>
  </si>
  <si>
    <t>Do the same for market conditions.</t>
  </si>
  <si>
    <t>COL0</t>
  </si>
  <si>
    <t>Last</t>
  </si>
  <si>
    <t>6m</t>
  </si>
  <si>
    <t>12m</t>
  </si>
  <si>
    <t>GDP qoq</t>
  </si>
  <si>
    <t>GDP yoy</t>
  </si>
  <si>
    <t>Core CPI</t>
  </si>
  <si>
    <t>Core PCE</t>
  </si>
  <si>
    <t>Retail Sales MoM</t>
  </si>
  <si>
    <t>Core Retail Sales</t>
  </si>
  <si>
    <t>Unemployment Rate</t>
  </si>
  <si>
    <t>Non-Farm Payroll</t>
  </si>
  <si>
    <t>Weekly Claims</t>
  </si>
  <si>
    <t>Industrial Production</t>
  </si>
  <si>
    <t>Fed Funds Target Rate</t>
  </si>
  <si>
    <t>4.25-4.50%</t>
  </si>
  <si>
    <t>Euro Futures 1m</t>
  </si>
  <si>
    <t>Euro Futures 6m</t>
  </si>
  <si>
    <t>Euro Futures 12m</t>
  </si>
  <si>
    <t>3M</t>
  </si>
  <si>
    <t>2Y</t>
  </si>
  <si>
    <t>10Y</t>
  </si>
  <si>
    <t>30Y</t>
  </si>
  <si>
    <t>DXY</t>
  </si>
  <si>
    <t>UMCSI Index</t>
  </si>
  <si>
    <t>UMCSI Exp</t>
  </si>
  <si>
    <t>Conference Board LEI</t>
  </si>
  <si>
    <t>Building Permits</t>
  </si>
  <si>
    <t>ISM Manufacturing</t>
  </si>
  <si>
    <t>ISM Manuf New orders</t>
  </si>
  <si>
    <t>ISM Services</t>
  </si>
  <si>
    <t>Money Supply M1</t>
  </si>
  <si>
    <t>Money Supply M2</t>
  </si>
  <si>
    <t>DATE</t>
  </si>
  <si>
    <t>Apparel, Leather &amp; Allied Products</t>
  </si>
  <si>
    <t>Chemical Products</t>
  </si>
  <si>
    <t>Computer &amp; Electronic Products</t>
  </si>
  <si>
    <t>Electrical Equipment, Appliances &amp; Components</t>
  </si>
  <si>
    <t>Fabricated Metal Products</t>
  </si>
  <si>
    <t>Food, Beverage &amp; Tobacco Products</t>
  </si>
  <si>
    <t>Furniture &amp; Related Products</t>
  </si>
  <si>
    <t>Machinery</t>
  </si>
  <si>
    <t>Miscellaneous Manufacturing</t>
  </si>
  <si>
    <t>Nonmetallic Mineral Products</t>
  </si>
  <si>
    <t>Paper Products</t>
  </si>
  <si>
    <t>Petroleum &amp; Coal Products</t>
  </si>
  <si>
    <t>Plastics &amp; Rubber Products</t>
  </si>
  <si>
    <t>Primary Metals</t>
  </si>
  <si>
    <t>Printing &amp; Related Support Activities</t>
  </si>
  <si>
    <t>Textile Mills</t>
  </si>
  <si>
    <t>Transportation Equipment</t>
  </si>
  <si>
    <t>Wood Products</t>
  </si>
  <si>
    <t>Arts, Entertainment &amp; Recreation</t>
  </si>
  <si>
    <t>Other Services</t>
  </si>
  <si>
    <t>Health Care &amp; Social Assistance</t>
  </si>
  <si>
    <t>Accommodation &amp; Food Services</t>
  </si>
  <si>
    <t>Finance &amp; Insurance</t>
  </si>
  <si>
    <t>Real Estate, Rental &amp; Leasing</t>
  </si>
  <si>
    <t>Transportation &amp; Warehousing</t>
  </si>
  <si>
    <t>Mining</t>
  </si>
  <si>
    <t>Construction</t>
  </si>
  <si>
    <t>Wholesale Trade</t>
  </si>
  <si>
    <t>Public Administration</t>
  </si>
  <si>
    <t>Professional, Scientific &amp; Technical Services</t>
  </si>
  <si>
    <t>Agriculture, Forestry, Fishing &amp; Hunting</t>
  </si>
  <si>
    <t>Information</t>
  </si>
  <si>
    <t>Educational Services</t>
  </si>
  <si>
    <t>Management of Companies &amp; Support Services</t>
  </si>
  <si>
    <t>Retail Trade</t>
  </si>
  <si>
    <t>Utilities</t>
  </si>
  <si>
    <t>Global</t>
  </si>
  <si>
    <t>ISM</t>
  </si>
  <si>
    <t>US</t>
  </si>
  <si>
    <t>CHN</t>
  </si>
  <si>
    <t>EU</t>
  </si>
  <si>
    <t>JPN</t>
  </si>
  <si>
    <t>DEU</t>
  </si>
  <si>
    <t>FRA</t>
  </si>
  <si>
    <t>UK</t>
  </si>
  <si>
    <t>ITA</t>
  </si>
  <si>
    <t>ESP</t>
  </si>
  <si>
    <t>BRA</t>
  </si>
  <si>
    <t>MEX</t>
  </si>
  <si>
    <t>RUS</t>
  </si>
  <si>
    <t>IND</t>
  </si>
  <si>
    <t>CAN</t>
  </si>
  <si>
    <t>AUS</t>
  </si>
  <si>
    <t>IDN</t>
  </si>
  <si>
    <t>KOR</t>
  </si>
  <si>
    <t>TAI</t>
  </si>
  <si>
    <t>GRE</t>
  </si>
  <si>
    <t>IRE</t>
  </si>
  <si>
    <t>TUR</t>
  </si>
  <si>
    <t>CZE</t>
  </si>
  <si>
    <t>POL</t>
  </si>
  <si>
    <t>DEN</t>
  </si>
  <si>
    <t>United - States</t>
  </si>
  <si>
    <t>Lagging - Coincident</t>
  </si>
  <si>
    <t>Rates - Currency</t>
  </si>
  <si>
    <t>Leading</t>
  </si>
  <si>
    <t>Fed Funds Target rate</t>
  </si>
  <si>
    <t>30y</t>
  </si>
  <si>
    <t>10y</t>
  </si>
  <si>
    <t>2y</t>
  </si>
  <si>
    <t>3m</t>
  </si>
  <si>
    <t>10y -2y</t>
  </si>
  <si>
    <t>ISM Manufacturing Sectors</t>
  </si>
  <si>
    <t>ISM Services Sectors</t>
  </si>
  <si>
    <t>*to update</t>
  </si>
  <si>
    <t>Last month</t>
  </si>
  <si>
    <t>US ISM</t>
  </si>
  <si>
    <t xml:space="preserve">China </t>
  </si>
  <si>
    <t>Eurozone</t>
  </si>
  <si>
    <t xml:space="preserve">Japan </t>
  </si>
  <si>
    <t>Germany</t>
  </si>
  <si>
    <t>France</t>
  </si>
  <si>
    <t xml:space="preserve">Italy </t>
  </si>
  <si>
    <t>Spain</t>
  </si>
  <si>
    <t>Brazil</t>
  </si>
  <si>
    <t>Mexico</t>
  </si>
  <si>
    <t>Russia</t>
  </si>
  <si>
    <t>India</t>
  </si>
  <si>
    <t>Canada</t>
  </si>
  <si>
    <t>Australia</t>
  </si>
  <si>
    <t>Indonesia</t>
  </si>
  <si>
    <t xml:space="preserve">S Korea </t>
  </si>
  <si>
    <t>Taiwan</t>
  </si>
  <si>
    <t>Greece</t>
  </si>
  <si>
    <t>Ireland</t>
  </si>
  <si>
    <t>Turkey</t>
  </si>
  <si>
    <t xml:space="preserve">Czech </t>
  </si>
  <si>
    <t>Poland</t>
  </si>
  <si>
    <t>Denmark</t>
  </si>
  <si>
    <t>max 12m</t>
  </si>
  <si>
    <t>Previous month</t>
  </si>
  <si>
    <t>min 12m</t>
  </si>
  <si>
    <t>12 months</t>
  </si>
  <si>
    <t>12m avg</t>
  </si>
  <si>
    <t>Last vs 12m avg</t>
  </si>
  <si>
    <t>Y/Y</t>
  </si>
  <si>
    <t>M/M</t>
  </si>
  <si>
    <t>Growth / Contraction</t>
  </si>
  <si>
    <t>Slower/Faster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</si>
</sst>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%"/>
    <numFmt numFmtId="165" formatCode="0.0"/>
    <numFmt numFmtId="166" formatCode="#,##0.0,\ &quot;K&quot;"/>
    <numFmt numFmtId="167" formatCode="dd\-mm\-yyyy"/>
  </numFmts>
  <fonts count="14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sz val="11"/>
      <color rgb="FF494444"/>
      <name val="Arial"/>
      <family val="2"/>
    </font>
    <font>
      <sz val="11"/>
      <color rgb="FF00B0F0"/>
      <name val="Calibri"/>
      <family val="2"/>
      <scheme val="minor"/>
    </font>
    <font>
      <b/>
      <sz val="11"/>
      <color rgb="FF00B0F0"/>
      <name val="Calibri"/>
      <family val="2"/>
      <scheme val="minor"/>
    </font>
    <font>
      <sz val="9"/>
      <color rgb="FF00B0F0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4" tint="0.79998168889431442"/>
        <bgColor indexed="64"/>
      </patternFill>
    </fill>
  </fills>
  <borders count="22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</borders>
  <cellStyleXfs count="3">
    <xf numFmtId="0" fontId="0" fillId="0" borderId="0"/>
    <xf numFmtId="0" fontId="2" fillId="0" borderId="0"/>
    <xf numFmtId="9" fontId="3" fillId="0" borderId="0"/>
  </cellStyleXfs>
  <cellXfs count="69">
    <xf numFmtId="0" fontId="0" fillId="0" borderId="0" xfId="0"/>
    <xf numFmtId="10" fontId="0" fillId="2" borderId="0" xfId="2" applyNumberFormat="1" applyFont="1" applyFill="1"/>
    <xf numFmtId="10" fontId="0" fillId="2" borderId="0" xfId="0" applyNumberFormat="1" applyFill="1"/>
    <xf numFmtId="0" fontId="0" fillId="2" borderId="5" xfId="0" applyFill="1" applyBorder="1"/>
    <xf numFmtId="0" fontId="1" fillId="2" borderId="4" xfId="0" applyFont="1" applyFill="1" applyBorder="1" applyAlignment="1">
      <alignment horizontal="center"/>
    </xf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/>
    <xf numFmtId="0" fontId="1" fillId="2" borderId="9" xfId="0" applyFont="1" applyFill="1" applyBorder="1"/>
    <xf numFmtId="10" fontId="0" fillId="2" borderId="8" xfId="2" applyNumberFormat="1" applyFont="1" applyFill="1" applyBorder="1" applyAlignment="1">
      <alignment horizontal="center"/>
    </xf>
    <xf numFmtId="10" fontId="0" fillId="2" borderId="8" xfId="0" applyNumberFormat="1" applyFill="1" applyBorder="1" applyAlignment="1">
      <alignment horizontal="center"/>
    </xf>
    <xf numFmtId="0" fontId="0" fillId="2" borderId="8" xfId="0" applyFill="1" applyBorder="1" applyAlignment="1">
      <alignment horizontal="center"/>
    </xf>
    <xf numFmtId="0" fontId="0" fillId="2" borderId="9" xfId="0" applyFill="1" applyBorder="1"/>
    <xf numFmtId="0" fontId="0" fillId="2" borderId="10" xfId="0" applyFill="1" applyBorder="1"/>
    <xf numFmtId="0" fontId="0" fillId="2" borderId="11" xfId="0" applyFill="1" applyBorder="1"/>
    <xf numFmtId="0" fontId="6" fillId="0" borderId="0" xfId="0" applyFont="1"/>
    <xf numFmtId="0" fontId="0" fillId="2" borderId="0" xfId="0" applyFill="1" applyAlignment="1">
      <alignment vertical="center"/>
    </xf>
    <xf numFmtId="0" fontId="7" fillId="2" borderId="0" xfId="0" applyFont="1" applyFill="1"/>
    <xf numFmtId="0" fontId="8" fillId="2" borderId="0" xfId="0" applyFont="1" applyFill="1"/>
    <xf numFmtId="0" fontId="10" fillId="4" borderId="15" xfId="0" applyFont="1" applyFill="1" applyBorder="1"/>
    <xf numFmtId="0" fontId="11" fillId="4" borderId="16" xfId="0" applyFont="1" applyFill="1" applyBorder="1" applyAlignment="1">
      <alignment horizontal="center" textRotation="90"/>
    </xf>
    <xf numFmtId="0" fontId="11" fillId="4" borderId="16" xfId="0" applyFont="1" applyFill="1" applyBorder="1" applyAlignment="1">
      <alignment horizontal="left" textRotation="90"/>
    </xf>
    <xf numFmtId="0" fontId="11" fillId="4" borderId="17" xfId="0" applyFont="1" applyFill="1" applyBorder="1" applyAlignment="1">
      <alignment horizontal="center" textRotation="90"/>
    </xf>
    <xf numFmtId="14" fontId="0" fillId="2" borderId="0" xfId="0" applyNumberFormat="1" applyFill="1"/>
    <xf numFmtId="0" fontId="10" fillId="0" borderId="18" xfId="0" applyFont="1" applyBorder="1"/>
    <xf numFmtId="0" fontId="1" fillId="4" borderId="21" xfId="0" applyFont="1" applyFill="1" applyBorder="1"/>
    <xf numFmtId="0" fontId="1" fillId="4" borderId="21" xfId="0" applyFont="1" applyFill="1" applyBorder="1" applyAlignment="1">
      <alignment vertical="center" wrapText="1"/>
    </xf>
    <xf numFmtId="0" fontId="1" fillId="3" borderId="18" xfId="0" applyFont="1" applyFill="1" applyBorder="1" applyAlignment="1">
      <alignment horizontal="center" vertical="center" textRotation="90"/>
    </xf>
    <xf numFmtId="0" fontId="1" fillId="4" borderId="9" xfId="0" applyFont="1" applyFill="1" applyBorder="1" applyAlignment="1">
      <alignment vertical="center" wrapText="1"/>
    </xf>
    <xf numFmtId="0" fontId="11" fillId="3" borderId="19" xfId="0" applyFont="1" applyFill="1" applyBorder="1" applyAlignment="1">
      <alignment horizontal="center" vertical="center"/>
    </xf>
    <xf numFmtId="17" fontId="13" fillId="3" borderId="3" xfId="0" applyNumberFormat="1" applyFont="1" applyFill="1" applyBorder="1" applyAlignment="1">
      <alignment horizontal="left" vertical="top" wrapText="1"/>
    </xf>
    <xf numFmtId="164" fontId="0" fillId="2" borderId="8" xfId="2" applyNumberFormat="1" applyFont="1" applyFill="1" applyBorder="1" applyAlignment="1">
      <alignment horizontal="center"/>
    </xf>
    <xf numFmtId="165" fontId="0" fillId="2" borderId="0" xfId="2" applyNumberFormat="1" applyFont="1" applyFill="1" applyAlignment="1">
      <alignment horizontal="center"/>
    </xf>
    <xf numFmtId="164" fontId="4" fillId="2" borderId="10" xfId="2" applyNumberFormat="1" applyFont="1" applyFill="1" applyBorder="1" applyAlignment="1">
      <alignment horizontal="center"/>
    </xf>
    <xf numFmtId="165" fontId="12" fillId="3" borderId="3" xfId="0" applyNumberFormat="1" applyFont="1" applyFill="1" applyBorder="1" applyAlignment="1">
      <alignment horizontal="center" vertical="center"/>
    </xf>
    <xf numFmtId="165" fontId="12" fillId="3" borderId="20" xfId="0" applyNumberFormat="1" applyFont="1" applyFill="1" applyBorder="1" applyAlignment="1">
      <alignment horizontal="center" vertical="center"/>
    </xf>
    <xf numFmtId="165" fontId="12" fillId="3" borderId="15" xfId="0" applyNumberFormat="1" applyFont="1" applyFill="1" applyBorder="1" applyAlignment="1">
      <alignment horizontal="center" vertical="center"/>
    </xf>
    <xf numFmtId="165" fontId="12" fillId="3" borderId="18" xfId="0" applyNumberFormat="1" applyFont="1" applyFill="1" applyBorder="1" applyAlignment="1">
      <alignment horizontal="center" vertical="center"/>
    </xf>
    <xf numFmtId="165" fontId="10" fillId="0" borderId="3" xfId="0" applyNumberFormat="1" applyFont="1" applyBorder="1" applyAlignment="1">
      <alignment horizontal="center" vertical="center"/>
    </xf>
    <xf numFmtId="17" fontId="9" fillId="2" borderId="0" xfId="0" applyNumberFormat="1" applyFont="1" applyFill="1" applyAlignment="1">
      <alignment horizontal="left" vertical="top" wrapText="1"/>
    </xf>
    <xf numFmtId="164" fontId="5" fillId="2" borderId="0" xfId="2" applyNumberFormat="1" applyFont="1" applyFill="1" applyAlignment="1">
      <alignment horizontal="center"/>
    </xf>
    <xf numFmtId="164" fontId="5" fillId="2" borderId="8" xfId="2" applyNumberFormat="1" applyFont="1" applyFill="1" applyBorder="1" applyAlignment="1">
      <alignment horizontal="center"/>
    </xf>
    <xf numFmtId="164" fontId="4" fillId="2" borderId="0" xfId="2" applyNumberFormat="1" applyFont="1" applyFill="1" applyAlignment="1">
      <alignment horizontal="center"/>
    </xf>
    <xf numFmtId="164" fontId="4" fillId="2" borderId="8" xfId="2" applyNumberFormat="1" applyFont="1" applyFill="1" applyBorder="1" applyAlignment="1">
      <alignment horizontal="center"/>
    </xf>
    <xf numFmtId="164" fontId="0" fillId="2" borderId="0" xfId="2" applyNumberFormat="1" applyFont="1" applyFill="1" applyAlignment="1">
      <alignment horizontal="center"/>
    </xf>
    <xf numFmtId="164" fontId="4" fillId="2" borderId="11" xfId="2" applyNumberFormat="1" applyFont="1" applyFill="1" applyBorder="1" applyAlignment="1">
      <alignment horizontal="center"/>
    </xf>
    <xf numFmtId="2" fontId="4" fillId="2" borderId="10" xfId="0" applyNumberFormat="1" applyFont="1" applyFill="1" applyBorder="1" applyAlignment="1">
      <alignment horizontal="center"/>
    </xf>
    <xf numFmtId="10" fontId="0" fillId="2" borderId="0" xfId="2" applyNumberFormat="1" applyFont="1" applyFill="1" applyAlignment="1">
      <alignment horizontal="center"/>
    </xf>
    <xf numFmtId="10" fontId="0" fillId="2" borderId="0" xfId="0" applyNumberFormat="1" applyFill="1" applyAlignment="1">
      <alignment horizontal="center"/>
    </xf>
    <xf numFmtId="2" fontId="4" fillId="2" borderId="11" xfId="0" applyNumberFormat="1" applyFont="1" applyFill="1" applyBorder="1" applyAlignment="1">
      <alignment horizontal="center"/>
    </xf>
    <xf numFmtId="0" fontId="4" fillId="2" borderId="0" xfId="0" applyFont="1" applyFill="1" applyAlignment="1">
      <alignment horizontal="center"/>
    </xf>
    <xf numFmtId="0" fontId="4" fillId="2" borderId="8" xfId="0" applyFont="1" applyFill="1" applyBorder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8" xfId="0" applyFont="1" applyFill="1" applyBorder="1" applyAlignment="1">
      <alignment horizontal="center"/>
    </xf>
    <xf numFmtId="0" fontId="0" fillId="2" borderId="0" xfId="0" applyFill="1" applyAlignment="1">
      <alignment horizontal="center"/>
    </xf>
    <xf numFmtId="166" fontId="4" fillId="2" borderId="0" xfId="2" applyNumberFormat="1" applyFont="1" applyFill="1" applyAlignment="1">
      <alignment horizontal="center"/>
    </xf>
    <xf numFmtId="166" fontId="4" fillId="2" borderId="8" xfId="2" applyNumberFormat="1" applyFont="1" applyFill="1" applyBorder="1" applyAlignment="1">
      <alignment horizontal="center"/>
    </xf>
    <xf numFmtId="0" fontId="0" fillId="2" borderId="0" xfId="0" applyFill="1"/>
    <xf numFmtId="0" fontId="1" fillId="2" borderId="0" xfId="0" applyFont="1" applyFill="1"/>
    <xf numFmtId="167" fontId="0" fillId="0" borderId="0" xfId="0" applyNumberFormat="1"/>
    <xf numFmtId="0" fontId="1" fillId="4" borderId="3" xfId="0" applyFont="1" applyFill="1" applyBorder="1" applyAlignment="1">
      <alignment horizontal="center"/>
    </xf>
    <xf numFmtId="0" fontId="0" fillId="0" borderId="1" xfId="0" applyBorder="1"/>
    <xf numFmtId="0" fontId="0" fillId="0" borderId="2" xfId="0" applyBorder="1"/>
    <xf numFmtId="0" fontId="0" fillId="2" borderId="0" xfId="0" applyFill="1"/>
    <xf numFmtId="0" fontId="0" fillId="2" borderId="0" xfId="0" applyFill="1" applyAlignment="1">
      <alignment wrapText="1"/>
    </xf>
    <xf numFmtId="0" fontId="1" fillId="2" borderId="0" xfId="0" applyFont="1" applyFill="1"/>
    <xf numFmtId="0" fontId="0" fillId="0" borderId="0" xfId="0" applyAlignment="1">
      <alignment vertical="center"/>
    </xf>
    <xf numFmtId="0" fontId="1" fillId="4" borderId="12" xfId="0" applyFont="1" applyFill="1" applyBorder="1" applyAlignment="1">
      <alignment horizontal="center"/>
    </xf>
    <xf numFmtId="0" fontId="0" fillId="0" borderId="13" xfId="0" applyBorder="1"/>
    <xf numFmtId="0" fontId="0" fillId="0" borderId="14" xfId="0" applyBorder="1"/>
  </cellXfs>
  <cellStyles count="3">
    <cellStyle name="Normal" xfId="0" builtinId="0"/>
    <cellStyle name="Normal 3" xfId="1" xr:uid="{00000000-0005-0000-0000-000001000000}"/>
    <cellStyle name="Percent" xfId="2" builtinId="5"/>
  </cellStyles>
  <dxfs count="8">
    <dxf>
      <font>
        <color rgb="FFFF0000"/>
      </font>
    </dxf>
    <dxf>
      <font>
        <color rgb="FF00B050"/>
      </font>
    </dxf>
    <dxf>
      <font>
        <color theme="0"/>
      </font>
      <fill>
        <patternFill>
          <bgColor rgb="FFFF0000"/>
        </patternFill>
      </fill>
    </dxf>
    <dxf>
      <font>
        <color theme="2"/>
      </font>
      <fill>
        <patternFill>
          <bgColor rgb="FF00B050"/>
        </patternFill>
      </fill>
    </dxf>
    <dxf>
      <fill>
        <patternFill>
          <bgColor rgb="FF92D050"/>
        </patternFill>
      </fill>
      <border>
        <vertical/>
        <horizontal/>
      </border>
    </dxf>
    <dxf>
      <font>
        <color theme="1"/>
      </font>
      <fill>
        <patternFill>
          <bgColor rgb="FFFF0000"/>
        </patternFill>
      </fill>
      <border>
        <vertical/>
        <horizontal/>
      </border>
    </dxf>
    <dxf>
      <fill>
        <patternFill>
          <bgColor rgb="FF92D050"/>
        </patternFill>
      </fill>
    </dxf>
    <dxf>
      <fill>
        <patternFill patternType="solid">
          <fgColor auto="1"/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Electrical Equipment, Appliances &amp; Components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Manufacturing Sectors'!$E$1</c:f>
              <c:strCache>
                <c:ptCount val="1"/>
                <c:pt idx="0">
                  <c:v>Electrical Equipment, Appliances &amp; Components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Sectors'!$E$2:$E$7</c:f>
              <c:numCache>
                <c:formatCode>General</c:formatCode>
                <c:ptCount val="6"/>
                <c:pt idx="0">
                  <c:v>1</c:v>
                </c:pt>
                <c:pt idx="1">
                  <c:v>-1</c:v>
                </c:pt>
                <c:pt idx="2">
                  <c:v>1</c:v>
                </c:pt>
                <c:pt idx="3">
                  <c:v>1</c:v>
                </c:pt>
                <c:pt idx="4">
                  <c:v>-1</c:v>
                </c:pt>
                <c:pt idx="5">
                  <c:v>-8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75A-4264-BB4B-EB3F5858B1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8240"/>
        <c:axId val="1762819888"/>
      </c:barChart>
      <c:dateAx>
        <c:axId val="17628182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9888"/>
        <c:crosses val="autoZero"/>
        <c:auto val="0"/>
        <c:lblOffset val="100"/>
        <c:baseTimeUnit val="months"/>
      </c:dateAx>
      <c:valAx>
        <c:axId val="1762819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82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Fabricated Metal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Manufacturing Sectors'!$F$1</c:f>
              <c:strCache>
                <c:ptCount val="1"/>
                <c:pt idx="0">
                  <c:v>Fabricated Metal Products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Sectors'!$F$2:$F$7</c:f>
              <c:numCache>
                <c:formatCode>General</c:formatCode>
                <c:ptCount val="6"/>
                <c:pt idx="0">
                  <c:v>-3</c:v>
                </c:pt>
                <c:pt idx="1">
                  <c:v>-2</c:v>
                </c:pt>
                <c:pt idx="2">
                  <c:v>-1</c:v>
                </c:pt>
                <c:pt idx="3">
                  <c:v>-5</c:v>
                </c:pt>
                <c:pt idx="4">
                  <c:v>-8</c:v>
                </c:pt>
                <c:pt idx="5">
                  <c:v>-12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E21-4C11-B1DC-974A4AC33B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24432"/>
        <c:axId val="981842800"/>
      </c:barChart>
      <c:dateAx>
        <c:axId val="9821244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842800"/>
        <c:crosses val="autoZero"/>
        <c:auto val="0"/>
        <c:lblOffset val="100"/>
        <c:baseTimeUnit val="months"/>
      </c:dateAx>
      <c:valAx>
        <c:axId val="9818428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244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Food, Beverage</a:t>
            </a:r>
            <a:r>
              <a:rPr lang="en-GB" baseline="0"/>
              <a:t> &amp; Tobacco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Manufacturing Sectors'!$G$1</c:f>
              <c:strCache>
                <c:ptCount val="1"/>
                <c:pt idx="0">
                  <c:v>Food, Beverage &amp; Tobacco Products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Sectors'!$G$2:$G$7</c:f>
              <c:numCache>
                <c:formatCode>General</c:formatCode>
                <c:ptCount val="6"/>
                <c:pt idx="0">
                  <c:v>-2</c:v>
                </c:pt>
                <c:pt idx="1">
                  <c:v>1</c:v>
                </c:pt>
                <c:pt idx="2">
                  <c:v>3</c:v>
                </c:pt>
                <c:pt idx="3">
                  <c:v>-1</c:v>
                </c:pt>
                <c:pt idx="4">
                  <c:v>-3</c:v>
                </c:pt>
                <c:pt idx="5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C4-4A10-87D3-080C8B6EC6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399184"/>
        <c:axId val="982400832"/>
      </c:barChart>
      <c:dateAx>
        <c:axId val="9823991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00832"/>
        <c:crosses val="autoZero"/>
        <c:auto val="0"/>
        <c:lblOffset val="100"/>
        <c:baseTimeUnit val="months"/>
      </c:dateAx>
      <c:valAx>
        <c:axId val="9824008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3991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Furniture &amp; Related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Manufacturing Sectors'!$H$1</c:f>
              <c:strCache>
                <c:ptCount val="1"/>
                <c:pt idx="0">
                  <c:v>Furniture &amp; Related Products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Sectors'!$H$2:$H$7</c:f>
              <c:numCache>
                <c:formatCode>General</c:formatCode>
                <c:ptCount val="6"/>
                <c:pt idx="0">
                  <c:v>-6</c:v>
                </c:pt>
                <c:pt idx="1">
                  <c:v>-5</c:v>
                </c:pt>
                <c:pt idx="2">
                  <c:v>-7</c:v>
                </c:pt>
                <c:pt idx="3">
                  <c:v>-10</c:v>
                </c:pt>
                <c:pt idx="4">
                  <c:v>-7</c:v>
                </c:pt>
                <c:pt idx="5">
                  <c:v>-7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9FD-4AD9-A5C7-3DE010764B1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21440"/>
        <c:axId val="982223088"/>
      </c:barChart>
      <c:dateAx>
        <c:axId val="98222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3088"/>
        <c:crosses val="autoZero"/>
        <c:auto val="0"/>
        <c:lblOffset val="100"/>
        <c:baseTimeUnit val="months"/>
      </c:dateAx>
      <c:valAx>
        <c:axId val="98222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2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Machinery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Manufacturing Sectors'!$I$1</c:f>
              <c:strCache>
                <c:ptCount val="1"/>
                <c:pt idx="0">
                  <c:v>Machinery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Sectors'!$I$2:$I$7</c:f>
              <c:numCache>
                <c:formatCode>General</c:formatCode>
                <c:ptCount val="6"/>
                <c:pt idx="0">
                  <c:v>5</c:v>
                </c:pt>
                <c:pt idx="1">
                  <c:v>3</c:v>
                </c:pt>
                <c:pt idx="2">
                  <c:v>8</c:v>
                </c:pt>
                <c:pt idx="3">
                  <c:v>6</c:v>
                </c:pt>
                <c:pt idx="4">
                  <c:v>-2</c:v>
                </c:pt>
                <c:pt idx="5">
                  <c:v>-4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5BF-4404-8502-EF1C5CF156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76416"/>
        <c:axId val="982178064"/>
      </c:barChart>
      <c:dateAx>
        <c:axId val="9821764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8064"/>
        <c:crosses val="autoZero"/>
        <c:auto val="0"/>
        <c:lblOffset val="100"/>
        <c:baseTimeUnit val="months"/>
      </c:dateAx>
      <c:valAx>
        <c:axId val="9821780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764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Miscellaneous Manufacturing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Manufacturing Sectors'!$J$1</c:f>
              <c:strCache>
                <c:ptCount val="1"/>
                <c:pt idx="0">
                  <c:v>Miscellaneous Manufacturing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Sectors'!$J$2:$J$7</c:f>
              <c:numCache>
                <c:formatCode>General</c:formatCode>
                <c:ptCount val="6"/>
                <c:pt idx="0">
                  <c:v>-4</c:v>
                </c:pt>
                <c:pt idx="1">
                  <c:v>2</c:v>
                </c:pt>
                <c:pt idx="2">
                  <c:v>6</c:v>
                </c:pt>
                <c:pt idx="3">
                  <c:v>3</c:v>
                </c:pt>
                <c:pt idx="4">
                  <c:v>3</c:v>
                </c:pt>
                <c:pt idx="5">
                  <c:v>-1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AB-46C3-9289-E39344565F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81440"/>
        <c:axId val="981983088"/>
      </c:barChart>
      <c:dateAx>
        <c:axId val="98198144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3088"/>
        <c:crosses val="autoZero"/>
        <c:auto val="0"/>
        <c:lblOffset val="100"/>
        <c:baseTimeUnit val="months"/>
      </c:dateAx>
      <c:valAx>
        <c:axId val="9819830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8144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Nonmetallic Mineral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Manufacturing Sectors'!$K$1</c:f>
              <c:strCache>
                <c:ptCount val="1"/>
                <c:pt idx="0">
                  <c:v>Nonmetallic Mineral Products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Sectors'!$K$2:$K$7</c:f>
              <c:numCache>
                <c:formatCode>General</c:formatCode>
                <c:ptCount val="6"/>
                <c:pt idx="0">
                  <c:v>10</c:v>
                </c:pt>
                <c:pt idx="1">
                  <c:v>10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1FE-4C39-BDDA-D703388B5DE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508448"/>
        <c:axId val="345024895"/>
      </c:barChart>
      <c:dateAx>
        <c:axId val="98150844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24895"/>
        <c:crosses val="autoZero"/>
        <c:auto val="0"/>
        <c:lblOffset val="100"/>
        <c:baseTimeUnit val="months"/>
      </c:dateAx>
      <c:valAx>
        <c:axId val="345024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50844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Paper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Manufacturing Sectors'!$L$1</c:f>
              <c:strCache>
                <c:ptCount val="1"/>
                <c:pt idx="0">
                  <c:v>Paper Products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Sectors'!$L$2:$L$7</c:f>
              <c:numCache>
                <c:formatCode>General</c:formatCode>
                <c:ptCount val="6"/>
                <c:pt idx="0">
                  <c:v>-5</c:v>
                </c:pt>
                <c:pt idx="1">
                  <c:v>-4</c:v>
                </c:pt>
                <c:pt idx="2">
                  <c:v>-3</c:v>
                </c:pt>
                <c:pt idx="3">
                  <c:v>-8</c:v>
                </c:pt>
                <c:pt idx="4">
                  <c:v>-10</c:v>
                </c:pt>
                <c:pt idx="5">
                  <c:v>-10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BB1-44C2-B48D-E997321BBC8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004303"/>
        <c:axId val="345005951"/>
      </c:barChart>
      <c:dateAx>
        <c:axId val="345004303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5951"/>
        <c:crosses val="autoZero"/>
        <c:auto val="0"/>
        <c:lblOffset val="100"/>
        <c:baseTimeUnit val="months"/>
      </c:dateAx>
      <c:valAx>
        <c:axId val="34500595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004303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Petroleum &amp; Coal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Manufacturing Sectors'!$M$1</c:f>
              <c:strCache>
                <c:ptCount val="1"/>
                <c:pt idx="0">
                  <c:v>Petroleum &amp; Coal Products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Sectors'!$M$2:$M$7</c:f>
              <c:numCache>
                <c:formatCode>General</c:formatCode>
                <c:ptCount val="6"/>
                <c:pt idx="0">
                  <c:v>9</c:v>
                </c:pt>
                <c:pt idx="1">
                  <c:v>9</c:v>
                </c:pt>
                <c:pt idx="2">
                  <c:v>0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54-4041-A60A-58CE8D04C6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6139392"/>
        <c:axId val="704330896"/>
      </c:barChart>
      <c:dateAx>
        <c:axId val="165613939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04330896"/>
        <c:crosses val="autoZero"/>
        <c:auto val="0"/>
        <c:lblOffset val="100"/>
        <c:baseTimeUnit val="months"/>
      </c:dateAx>
      <c:valAx>
        <c:axId val="704330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613939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Plastics &amp; Rubber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Manufacturing Sectors'!$N$1</c:f>
              <c:strCache>
                <c:ptCount val="1"/>
                <c:pt idx="0">
                  <c:v>Plastics &amp; Rubber Products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Sectors'!$N$2:$N$7</c:f>
              <c:numCache>
                <c:formatCode>General</c:formatCode>
                <c:ptCount val="6"/>
                <c:pt idx="0">
                  <c:v>2</c:v>
                </c:pt>
                <c:pt idx="1">
                  <c:v>5</c:v>
                </c:pt>
                <c:pt idx="2">
                  <c:v>7</c:v>
                </c:pt>
                <c:pt idx="3">
                  <c:v>2</c:v>
                </c:pt>
                <c:pt idx="4">
                  <c:v>-5</c:v>
                </c:pt>
                <c:pt idx="5">
                  <c:v>-9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91E-43B8-9DD7-DE8FF87FC5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719791"/>
        <c:axId val="1673721439"/>
      </c:barChart>
      <c:dateAx>
        <c:axId val="16737197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21439"/>
        <c:crosses val="autoZero"/>
        <c:auto val="0"/>
        <c:lblOffset val="100"/>
        <c:baseTimeUnit val="months"/>
      </c:dateAx>
      <c:valAx>
        <c:axId val="167372143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7197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Primary Metals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Manufacturing Sectors'!$O$1</c:f>
              <c:strCache>
                <c:ptCount val="1"/>
                <c:pt idx="0">
                  <c:v>Primary Metals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Sectors'!$O$2:$O$7</c:f>
              <c:numCache>
                <c:formatCode>General</c:formatCode>
                <c:ptCount val="6"/>
                <c:pt idx="0">
                  <c:v>3</c:v>
                </c:pt>
                <c:pt idx="1">
                  <c:v>4</c:v>
                </c:pt>
                <c:pt idx="2">
                  <c:v>0</c:v>
                </c:pt>
                <c:pt idx="3">
                  <c:v>-3</c:v>
                </c:pt>
                <c:pt idx="4">
                  <c:v>4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104-4246-B5AE-83803B9B0C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45122175"/>
        <c:axId val="345123855"/>
      </c:barChart>
      <c:dateAx>
        <c:axId val="3451221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3855"/>
        <c:crosses val="autoZero"/>
        <c:auto val="0"/>
        <c:lblOffset val="100"/>
        <c:baseTimeUnit val="months"/>
      </c:dateAx>
      <c:valAx>
        <c:axId val="3451238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451221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Printing &amp; Related Support Activities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Manufacturing Sectors'!$P$1</c:f>
              <c:strCache>
                <c:ptCount val="1"/>
                <c:pt idx="0">
                  <c:v>Printing &amp; Related Support Activities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Sectors'!$P$2:$P$7</c:f>
              <c:numCache>
                <c:formatCode>General</c:formatCode>
                <c:ptCount val="6"/>
                <c:pt idx="0">
                  <c:v>8</c:v>
                </c:pt>
                <c:pt idx="1">
                  <c:v>6</c:v>
                </c:pt>
                <c:pt idx="2">
                  <c:v>-4</c:v>
                </c:pt>
                <c:pt idx="3">
                  <c:v>-6</c:v>
                </c:pt>
                <c:pt idx="4">
                  <c:v>-12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81B-490A-8C38-79A30F86FBD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656976"/>
        <c:axId val="1657626272"/>
      </c:barChart>
      <c:dateAx>
        <c:axId val="165765697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26272"/>
        <c:crosses val="autoZero"/>
        <c:auto val="0"/>
        <c:lblOffset val="100"/>
        <c:baseTimeUnit val="months"/>
      </c:dateAx>
      <c:valAx>
        <c:axId val="1657626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65697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Textil</a:t>
            </a:r>
            <a:r>
              <a:rPr lang="en-GB" baseline="0"/>
              <a:t>e Mills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Manufacturing Sectors'!$Q$1</c:f>
              <c:strCache>
                <c:ptCount val="1"/>
                <c:pt idx="0">
                  <c:v>Textile Mills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Sectors'!$Q$2:$Q$7</c:f>
              <c:numCache>
                <c:formatCode>General</c:formatCode>
                <c:ptCount val="6"/>
                <c:pt idx="0">
                  <c:v>4</c:v>
                </c:pt>
                <c:pt idx="1">
                  <c:v>0</c:v>
                </c:pt>
                <c:pt idx="2">
                  <c:v>-6</c:v>
                </c:pt>
                <c:pt idx="3">
                  <c:v>-7</c:v>
                </c:pt>
                <c:pt idx="4">
                  <c:v>-9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DA-45D2-AE39-260F3C936D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23295"/>
        <c:axId val="482449247"/>
      </c:barChart>
      <c:dateAx>
        <c:axId val="4826232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49247"/>
        <c:crosses val="autoZero"/>
        <c:auto val="0"/>
        <c:lblOffset val="100"/>
        <c:baseTimeUnit val="months"/>
      </c:dateAx>
      <c:valAx>
        <c:axId val="4824492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232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Transportation Equipment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Manufacturing Sectors'!$R$1</c:f>
              <c:strCache>
                <c:ptCount val="1"/>
                <c:pt idx="0">
                  <c:v>Transportation Equipment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Sectors'!$R$2:$R$7</c:f>
              <c:numCache>
                <c:formatCode>General</c:formatCode>
                <c:ptCount val="6"/>
                <c:pt idx="0">
                  <c:v>6</c:v>
                </c:pt>
                <c:pt idx="1">
                  <c:v>8</c:v>
                </c:pt>
                <c:pt idx="2">
                  <c:v>4</c:v>
                </c:pt>
                <c:pt idx="3">
                  <c:v>4</c:v>
                </c:pt>
                <c:pt idx="4">
                  <c:v>1</c:v>
                </c:pt>
                <c:pt idx="5">
                  <c:v>-2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D8-40D4-8F7F-F013DCDB6E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583695"/>
        <c:axId val="1673585343"/>
      </c:barChart>
      <c:dateAx>
        <c:axId val="1673583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5343"/>
        <c:crosses val="autoZero"/>
        <c:auto val="0"/>
        <c:lblOffset val="100"/>
        <c:baseTimeUnit val="months"/>
      </c:dateAx>
      <c:valAx>
        <c:axId val="167358534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583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Wood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Manufacturing Sectors'!$S$1</c:f>
              <c:strCache>
                <c:ptCount val="1"/>
                <c:pt idx="0">
                  <c:v>Wood Products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Sectors'!$S$2:$S$7</c:f>
              <c:numCache>
                <c:formatCode>General</c:formatCode>
                <c:ptCount val="6"/>
                <c:pt idx="0">
                  <c:v>-7</c:v>
                </c:pt>
                <c:pt idx="1">
                  <c:v>-7</c:v>
                </c:pt>
                <c:pt idx="2">
                  <c:v>-5</c:v>
                </c:pt>
                <c:pt idx="3">
                  <c:v>-9</c:v>
                </c:pt>
                <c:pt idx="4">
                  <c:v>-11</c:v>
                </c:pt>
                <c:pt idx="5">
                  <c:v>-13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824-4E51-98F7-AB1E241EA8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464799"/>
        <c:axId val="482466447"/>
      </c:barChart>
      <c:dateAx>
        <c:axId val="48246479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6447"/>
        <c:crosses val="autoZero"/>
        <c:auto val="0"/>
        <c:lblOffset val="100"/>
        <c:baseTimeUnit val="months"/>
      </c:dateAx>
      <c:valAx>
        <c:axId val="48246644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46479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Apparel,</a:t>
            </a:r>
            <a:r>
              <a:rPr lang="en-US" baseline="0"/>
              <a:t> Leather &amp; Allied Products</a:t>
            </a:r>
            <a:endParaRPr lang="en-US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Manufacturing Sectors'!$B$1</c:f>
              <c:strCache>
                <c:ptCount val="1"/>
                <c:pt idx="0">
                  <c:v>Apparel, Leather &amp; Allied Products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Sectors'!$B$2:$B$7</c:f>
              <c:numCache>
                <c:formatCode>General</c:formatCode>
                <c:ptCount val="6"/>
                <c:pt idx="0">
                  <c:v>11</c:v>
                </c:pt>
                <c:pt idx="1">
                  <c:v>-6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-6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663-43D5-B058-90D18549DD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15391"/>
        <c:axId val="1673917071"/>
      </c:barChart>
      <c:dateAx>
        <c:axId val="167391539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7071"/>
        <c:crosses val="autoZero"/>
        <c:auto val="0"/>
        <c:lblOffset val="100"/>
        <c:baseTimeUnit val="months"/>
      </c:dateAx>
      <c:valAx>
        <c:axId val="1673917071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1539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Chemical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Products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Manufacturing Sectors'!$C$1</c:f>
              <c:strCache>
                <c:ptCount val="1"/>
                <c:pt idx="0">
                  <c:v>Chemical Products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Sectors'!$C$2:$C$7</c:f>
              <c:numCache>
                <c:formatCode>General</c:formatCode>
                <c:ptCount val="6"/>
                <c:pt idx="0">
                  <c:v>-1</c:v>
                </c:pt>
                <c:pt idx="1">
                  <c:v>-3</c:v>
                </c:pt>
                <c:pt idx="2">
                  <c:v>-2</c:v>
                </c:pt>
                <c:pt idx="3">
                  <c:v>-4</c:v>
                </c:pt>
                <c:pt idx="4">
                  <c:v>-6</c:v>
                </c:pt>
                <c:pt idx="5">
                  <c:v>-11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FF6-4E4C-BD43-5694EACFA3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94080"/>
        <c:axId val="1762827888"/>
      </c:barChart>
      <c:dateAx>
        <c:axId val="1762894080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27888"/>
        <c:crosses val="autoZero"/>
        <c:auto val="0"/>
        <c:lblOffset val="100"/>
        <c:baseTimeUnit val="months"/>
      </c:dateAx>
      <c:valAx>
        <c:axId val="17628278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94080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Computer &amp; Electronic Products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Manufacturing Sectors'!$D$1</c:f>
              <c:strCache>
                <c:ptCount val="1"/>
                <c:pt idx="0">
                  <c:v>Computer &amp; Electronic Products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Manufacturing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Manufacturing Sectors'!$D$2:$D$7</c:f>
              <c:numCache>
                <c:formatCode>General</c:formatCode>
                <c:ptCount val="6"/>
                <c:pt idx="0">
                  <c:v>7</c:v>
                </c:pt>
                <c:pt idx="1">
                  <c:v>7</c:v>
                </c:pt>
                <c:pt idx="2">
                  <c:v>2</c:v>
                </c:pt>
                <c:pt idx="3">
                  <c:v>-2</c:v>
                </c:pt>
                <c:pt idx="4">
                  <c:v>-4</c:v>
                </c:pt>
                <c:pt idx="5">
                  <c:v>-5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9-4AD7-9820-259BFFEE0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62810304"/>
        <c:axId val="1762811952"/>
      </c:barChart>
      <c:dateAx>
        <c:axId val="176281030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1952"/>
        <c:crosses val="autoZero"/>
        <c:auto val="0"/>
        <c:lblOffset val="100"/>
        <c:baseTimeUnit val="months"/>
      </c:dateAx>
      <c:valAx>
        <c:axId val="17628119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6281030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Arts, Entertainment &amp; Recreation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'DB ISM Services Sectors'!$B$1</c:f>
              <c:strCache>
                <c:ptCount val="1"/>
                <c:pt idx="0">
                  <c:v>Arts, Entertainment &amp; Recreation</c:v>
                </c:pt>
              </c:strCache>
            </c:strRef>
          </c:tx>
          <c:spPr>
            <a:solidFill>
              <a:schemeClr val="accent1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Sectors'!$B$2:$B$7</c:f>
              <c:numCache>
                <c:formatCode>General</c:formatCode>
                <c:ptCount val="6"/>
                <c:pt idx="0">
                  <c:v>0</c:v>
                </c:pt>
                <c:pt idx="1">
                  <c:v>15</c:v>
                </c:pt>
                <c:pt idx="2">
                  <c:v>18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2B-47D0-AEB7-CC623A4840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73923487"/>
        <c:axId val="1611289920"/>
      </c:barChart>
      <c:dateAx>
        <c:axId val="167392348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89920"/>
        <c:crosses val="autoZero"/>
        <c:auto val="0"/>
        <c:lblOffset val="100"/>
        <c:baseTimeUnit val="months"/>
      </c:dateAx>
      <c:valAx>
        <c:axId val="161128992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7392348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Other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"/>
          <c:order val="0"/>
          <c:tx>
            <c:strRef>
              <c:f>'DB ISM Services Sectors'!$C$1</c:f>
              <c:strCache>
                <c:ptCount val="1"/>
                <c:pt idx="0">
                  <c:v>Other Services</c:v>
                </c:pt>
              </c:strCache>
            </c:strRef>
          </c:tx>
          <c:spPr>
            <a:solidFill>
              <a:schemeClr val="accent2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Sectors'!$C$2:$C$7</c:f>
              <c:numCache>
                <c:formatCode>General</c:formatCode>
                <c:ptCount val="6"/>
                <c:pt idx="0">
                  <c:v>3</c:v>
                </c:pt>
                <c:pt idx="1">
                  <c:v>14</c:v>
                </c:pt>
                <c:pt idx="2">
                  <c:v>7</c:v>
                </c:pt>
                <c:pt idx="3">
                  <c:v>4</c:v>
                </c:pt>
                <c:pt idx="4">
                  <c:v>7</c:v>
                </c:pt>
                <c:pt idx="5">
                  <c:v>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6E9-4965-95A0-4E4BA146D3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234864"/>
        <c:axId val="982236512"/>
      </c:barChart>
      <c:dateAx>
        <c:axId val="98223486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6512"/>
        <c:crosses val="autoZero"/>
        <c:auto val="0"/>
        <c:lblOffset val="100"/>
        <c:baseTimeUnit val="months"/>
      </c:dateAx>
      <c:valAx>
        <c:axId val="9822365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486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Health Care &amp; Social Assistance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2"/>
          <c:order val="0"/>
          <c:tx>
            <c:strRef>
              <c:f>'DB ISM Services Sectors'!$D$1</c:f>
              <c:strCache>
                <c:ptCount val="1"/>
                <c:pt idx="0">
                  <c:v>Health Care &amp; Social Assistance</c:v>
                </c:pt>
              </c:strCache>
            </c:strRef>
          </c:tx>
          <c:spPr>
            <a:solidFill>
              <a:schemeClr val="accent3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Sectors'!$D$2:$D$7</c:f>
              <c:numCache>
                <c:formatCode>General</c:formatCode>
                <c:ptCount val="6"/>
                <c:pt idx="0">
                  <c:v>4</c:v>
                </c:pt>
                <c:pt idx="1">
                  <c:v>13</c:v>
                </c:pt>
                <c:pt idx="2">
                  <c:v>16</c:v>
                </c:pt>
                <c:pt idx="3">
                  <c:v>14</c:v>
                </c:pt>
                <c:pt idx="4">
                  <c:v>14</c:v>
                </c:pt>
                <c:pt idx="5">
                  <c:v>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ED6-4EA0-9316-7E4253E190D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1993216"/>
        <c:axId val="982215552"/>
      </c:barChart>
      <c:dateAx>
        <c:axId val="981993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15552"/>
        <c:crosses val="autoZero"/>
        <c:auto val="0"/>
        <c:lblOffset val="100"/>
        <c:baseTimeUnit val="months"/>
      </c:dateAx>
      <c:valAx>
        <c:axId val="982215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1993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Accommodation &amp; Food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3"/>
          <c:order val="0"/>
          <c:tx>
            <c:strRef>
              <c:f>'DB ISM Services Sectors'!$E$1</c:f>
              <c:strCache>
                <c:ptCount val="1"/>
                <c:pt idx="0">
                  <c:v>Accommodation &amp; Food Services</c:v>
                </c:pt>
              </c:strCache>
            </c:strRef>
          </c:tx>
          <c:spPr>
            <a:solidFill>
              <a:schemeClr val="accent4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Sectors'!$E$2:$E$7</c:f>
              <c:numCache>
                <c:formatCode>General</c:formatCode>
                <c:ptCount val="6"/>
                <c:pt idx="0">
                  <c:v>13</c:v>
                </c:pt>
                <c:pt idx="1">
                  <c:v>-1</c:v>
                </c:pt>
                <c:pt idx="2">
                  <c:v>3</c:v>
                </c:pt>
                <c:pt idx="3">
                  <c:v>2</c:v>
                </c:pt>
                <c:pt idx="4">
                  <c:v>16</c:v>
                </c:pt>
                <c:pt idx="5">
                  <c:v>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6EA-4323-A727-1AC58659D4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57006208"/>
        <c:axId val="1657007856"/>
      </c:barChart>
      <c:dateAx>
        <c:axId val="165700620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7856"/>
        <c:crosses val="autoZero"/>
        <c:auto val="0"/>
        <c:lblOffset val="100"/>
        <c:baseTimeUnit val="months"/>
      </c:dateAx>
      <c:valAx>
        <c:axId val="165700785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5700620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Finance &amp; Insurance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4"/>
          <c:order val="0"/>
          <c:tx>
            <c:strRef>
              <c:f>'DB ISM Services Sectors'!$F$1</c:f>
              <c:strCache>
                <c:ptCount val="1"/>
                <c:pt idx="0">
                  <c:v>Finance &amp; Insurance</c:v>
                </c:pt>
              </c:strCache>
            </c:strRef>
          </c:tx>
          <c:spPr>
            <a:solidFill>
              <a:schemeClr val="accent5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Sectors'!$F$2:$F$7</c:f>
              <c:numCache>
                <c:formatCode>General</c:formatCode>
                <c:ptCount val="6"/>
                <c:pt idx="0">
                  <c:v>10</c:v>
                </c:pt>
                <c:pt idx="1">
                  <c:v>7</c:v>
                </c:pt>
                <c:pt idx="2">
                  <c:v>11</c:v>
                </c:pt>
                <c:pt idx="3">
                  <c:v>15</c:v>
                </c:pt>
                <c:pt idx="4">
                  <c:v>1</c:v>
                </c:pt>
                <c:pt idx="5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2EA-4200-B9B0-E49E6B6067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02319"/>
        <c:axId val="482603967"/>
      </c:barChart>
      <c:dateAx>
        <c:axId val="482602319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3967"/>
        <c:crosses val="autoZero"/>
        <c:auto val="0"/>
        <c:lblOffset val="100"/>
        <c:baseTimeUnit val="months"/>
      </c:dateAx>
      <c:valAx>
        <c:axId val="482603967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02319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Real Estate, Rental &amp; Leasing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5"/>
          <c:order val="0"/>
          <c:tx>
            <c:strRef>
              <c:f>'DB ISM Services Sectors'!$G$1</c:f>
              <c:strCache>
                <c:ptCount val="1"/>
                <c:pt idx="0">
                  <c:v>Real Estate, Rental &amp; Leasing</c:v>
                </c:pt>
              </c:strCache>
            </c:strRef>
          </c:tx>
          <c:spPr>
            <a:solidFill>
              <a:schemeClr val="accent6"/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Sectors'!$G$2:$G$7</c:f>
              <c:numCache>
                <c:formatCode>General</c:formatCode>
                <c:ptCount val="6"/>
                <c:pt idx="0">
                  <c:v>7</c:v>
                </c:pt>
                <c:pt idx="1">
                  <c:v>16</c:v>
                </c:pt>
                <c:pt idx="2">
                  <c:v>12</c:v>
                </c:pt>
                <c:pt idx="3">
                  <c:v>17</c:v>
                </c:pt>
                <c:pt idx="4">
                  <c:v>15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14B-4896-828F-CFFDC9228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0313824"/>
        <c:axId val="1320315472"/>
      </c:barChart>
      <c:dateAx>
        <c:axId val="132031382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5472"/>
        <c:crosses val="autoZero"/>
        <c:auto val="0"/>
        <c:lblOffset val="100"/>
        <c:baseTimeUnit val="months"/>
      </c:dateAx>
      <c:valAx>
        <c:axId val="13203154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031382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Transportation &amp; Warehousing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6"/>
          <c:order val="0"/>
          <c:tx>
            <c:strRef>
              <c:f>'DB ISM Services Sectors'!$H$1</c:f>
              <c:strCache>
                <c:ptCount val="1"/>
                <c:pt idx="0">
                  <c:v>Transportation &amp; Warehousing</c:v>
                </c:pt>
              </c:strCache>
            </c:strRef>
          </c:tx>
          <c:spPr>
            <a:solidFill>
              <a:schemeClr val="accent1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Sectors'!$H$2:$H$7</c:f>
              <c:numCache>
                <c:formatCode>General</c:formatCode>
                <c:ptCount val="6"/>
                <c:pt idx="0">
                  <c:v>6</c:v>
                </c:pt>
                <c:pt idx="1">
                  <c:v>12</c:v>
                </c:pt>
                <c:pt idx="2">
                  <c:v>1</c:v>
                </c:pt>
                <c:pt idx="3">
                  <c:v>10</c:v>
                </c:pt>
                <c:pt idx="4">
                  <c:v>2</c:v>
                </c:pt>
                <c:pt idx="5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29A-4030-BFDD-595EDE358A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321133232"/>
        <c:axId val="1321134880"/>
      </c:barChart>
      <c:dateAx>
        <c:axId val="132113323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4880"/>
        <c:crosses val="autoZero"/>
        <c:auto val="0"/>
        <c:lblOffset val="100"/>
        <c:baseTimeUnit val="months"/>
      </c:dateAx>
      <c:valAx>
        <c:axId val="132113488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2113323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Mining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7"/>
          <c:order val="0"/>
          <c:tx>
            <c:strRef>
              <c:f>'DB ISM Services Sectors'!$I$1</c:f>
              <c:strCache>
                <c:ptCount val="1"/>
                <c:pt idx="0">
                  <c:v>Mining</c:v>
                </c:pt>
              </c:strCache>
            </c:strRef>
          </c:tx>
          <c:spPr>
            <a:solidFill>
              <a:schemeClr val="accent2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Sectors'!$I$2:$I$7</c:f>
              <c:numCache>
                <c:formatCode>General</c:formatCode>
                <c:ptCount val="6"/>
                <c:pt idx="0">
                  <c:v>16</c:v>
                </c:pt>
                <c:pt idx="1">
                  <c:v>17</c:v>
                </c:pt>
                <c:pt idx="2">
                  <c:v>6</c:v>
                </c:pt>
                <c:pt idx="3">
                  <c:v>13</c:v>
                </c:pt>
                <c:pt idx="4">
                  <c:v>4</c:v>
                </c:pt>
                <c:pt idx="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31-4F3B-8FFB-5C44761C5C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614127"/>
        <c:axId val="482615775"/>
      </c:barChart>
      <c:dateAx>
        <c:axId val="48261412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5775"/>
        <c:crosses val="autoZero"/>
        <c:auto val="0"/>
        <c:lblOffset val="100"/>
        <c:baseTimeUnit val="months"/>
      </c:dateAx>
      <c:valAx>
        <c:axId val="48261577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61412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Construction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8"/>
          <c:order val="0"/>
          <c:tx>
            <c:strRef>
              <c:f>'DB ISM Services Sectors'!$J$1</c:f>
              <c:strCache>
                <c:ptCount val="1"/>
                <c:pt idx="0">
                  <c:v>Construction</c:v>
                </c:pt>
              </c:strCache>
            </c:strRef>
          </c:tx>
          <c:spPr>
            <a:solidFill>
              <a:schemeClr val="accent3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Sectors'!$J$2:$J$7</c:f>
              <c:numCache>
                <c:formatCode>General</c:formatCode>
                <c:ptCount val="6"/>
                <c:pt idx="0">
                  <c:v>5</c:v>
                </c:pt>
                <c:pt idx="1">
                  <c:v>4</c:v>
                </c:pt>
                <c:pt idx="2">
                  <c:v>8</c:v>
                </c:pt>
                <c:pt idx="3">
                  <c:v>11</c:v>
                </c:pt>
                <c:pt idx="4">
                  <c:v>-1</c:v>
                </c:pt>
                <c:pt idx="5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880-45E6-9E0E-57C45A76F9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2033552784"/>
        <c:axId val="404616863"/>
      </c:barChart>
      <c:dateAx>
        <c:axId val="2033552784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04616863"/>
        <c:crosses val="autoZero"/>
        <c:auto val="0"/>
        <c:lblOffset val="100"/>
        <c:baseTimeUnit val="months"/>
      </c:dateAx>
      <c:valAx>
        <c:axId val="40461686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033552784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Wholesale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9"/>
          <c:order val="0"/>
          <c:tx>
            <c:strRef>
              <c:f>'DB ISM Services Sectors'!$K$1</c:f>
              <c:strCache>
                <c:ptCount val="1"/>
                <c:pt idx="0">
                  <c:v>Wholesale Trade</c:v>
                </c:pt>
              </c:strCache>
            </c:strRef>
          </c:tx>
          <c:spPr>
            <a:solidFill>
              <a:schemeClr val="accent4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Sectors'!$K$2:$K$7</c:f>
              <c:numCache>
                <c:formatCode>General</c:formatCode>
                <c:ptCount val="6"/>
                <c:pt idx="0">
                  <c:v>1</c:v>
                </c:pt>
                <c:pt idx="1">
                  <c:v>2</c:v>
                </c:pt>
                <c:pt idx="2">
                  <c:v>2</c:v>
                </c:pt>
                <c:pt idx="3">
                  <c:v>-1</c:v>
                </c:pt>
                <c:pt idx="4">
                  <c:v>-2</c:v>
                </c:pt>
                <c:pt idx="5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04C-477F-B1BC-FD98EA3B46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364491695"/>
        <c:axId val="1615687935"/>
      </c:barChart>
      <c:dateAx>
        <c:axId val="36449169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687935"/>
        <c:crosses val="autoZero"/>
        <c:auto val="0"/>
        <c:lblOffset val="100"/>
        <c:baseTimeUnit val="months"/>
      </c:dateAx>
      <c:valAx>
        <c:axId val="161568793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6449169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Public Administration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0"/>
          <c:order val="0"/>
          <c:tx>
            <c:strRef>
              <c:f>'DB ISM Services Sectors'!$L$1</c:f>
              <c:strCache>
                <c:ptCount val="1"/>
                <c:pt idx="0">
                  <c:v>Public Administration</c:v>
                </c:pt>
              </c:strCache>
            </c:strRef>
          </c:tx>
          <c:spPr>
            <a:solidFill>
              <a:schemeClr val="accent5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Sectors'!$L$2:$L$7</c:f>
              <c:numCache>
                <c:formatCode>General</c:formatCode>
                <c:ptCount val="6"/>
                <c:pt idx="0">
                  <c:v>15</c:v>
                </c:pt>
                <c:pt idx="1">
                  <c:v>11</c:v>
                </c:pt>
                <c:pt idx="2">
                  <c:v>17</c:v>
                </c:pt>
                <c:pt idx="3">
                  <c:v>7</c:v>
                </c:pt>
                <c:pt idx="4">
                  <c:v>12</c:v>
                </c:pt>
                <c:pt idx="5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F7-4ADF-90FE-4BC1E577BB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32421631"/>
        <c:axId val="1615471983"/>
      </c:barChart>
      <c:dateAx>
        <c:axId val="163242163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471983"/>
        <c:crosses val="autoZero"/>
        <c:auto val="0"/>
        <c:lblOffset val="100"/>
        <c:baseTimeUnit val="months"/>
      </c:dateAx>
      <c:valAx>
        <c:axId val="161547198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3242163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Professional, Scientific &amp; Technical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1"/>
          <c:order val="0"/>
          <c:tx>
            <c:strRef>
              <c:f>'DB ISM Services Sectors'!$M$1</c:f>
              <c:strCache>
                <c:ptCount val="1"/>
                <c:pt idx="0">
                  <c:v>Professional, Scientific &amp; Technical Services</c:v>
                </c:pt>
              </c:strCache>
            </c:strRef>
          </c:tx>
          <c:spPr>
            <a:solidFill>
              <a:schemeClr val="accent6">
                <a:lumMod val="6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Sectors'!$M$2:$M$7</c:f>
              <c:numCache>
                <c:formatCode>General</c:formatCode>
                <c:ptCount val="6"/>
                <c:pt idx="0">
                  <c:v>8</c:v>
                </c:pt>
                <c:pt idx="1">
                  <c:v>1</c:v>
                </c:pt>
                <c:pt idx="2">
                  <c:v>5</c:v>
                </c:pt>
                <c:pt idx="3">
                  <c:v>8</c:v>
                </c:pt>
                <c:pt idx="4">
                  <c:v>6</c:v>
                </c:pt>
                <c:pt idx="5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FC2-411C-9684-BA369B1AD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5760607"/>
        <c:axId val="1615349999"/>
      </c:barChart>
      <c:dateAx>
        <c:axId val="1615760607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349999"/>
        <c:crosses val="autoZero"/>
        <c:auto val="0"/>
        <c:lblOffset val="100"/>
        <c:baseTimeUnit val="months"/>
      </c:dateAx>
      <c:valAx>
        <c:axId val="1615349999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5760607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Agriculture, Forestry, Fishing &amp; Hunting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2"/>
          <c:order val="0"/>
          <c:tx>
            <c:strRef>
              <c:f>'DB ISM Services Sectors'!$N$1</c:f>
              <c:strCache>
                <c:ptCount val="1"/>
                <c:pt idx="0">
                  <c:v>Agriculture, Forestry, Fishing &amp; Hunting</c:v>
                </c:pt>
              </c:strCache>
            </c:strRef>
          </c:tx>
          <c:spPr>
            <a:solidFill>
              <a:schemeClr val="accent1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Sectors'!$N$2:$N$7</c:f>
              <c:numCache>
                <c:formatCode>General</c:formatCode>
                <c:ptCount val="6"/>
                <c:pt idx="0">
                  <c:v>12</c:v>
                </c:pt>
                <c:pt idx="1">
                  <c:v>9</c:v>
                </c:pt>
                <c:pt idx="2">
                  <c:v>15</c:v>
                </c:pt>
                <c:pt idx="3">
                  <c:v>3</c:v>
                </c:pt>
                <c:pt idx="4">
                  <c:v>8</c:v>
                </c:pt>
                <c:pt idx="5">
                  <c:v>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8EA-49C6-84AD-11EDE93C25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982189728"/>
        <c:axId val="982190960"/>
      </c:barChart>
      <c:dateAx>
        <c:axId val="982189728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90960"/>
        <c:crosses val="autoZero"/>
        <c:auto val="0"/>
        <c:lblOffset val="100"/>
        <c:baseTimeUnit val="months"/>
      </c:dateAx>
      <c:valAx>
        <c:axId val="9821909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189728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Information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3"/>
          <c:order val="0"/>
          <c:tx>
            <c:strRef>
              <c:f>'DB ISM Services Sectors'!$O$1</c:f>
              <c:strCache>
                <c:ptCount val="1"/>
                <c:pt idx="0">
                  <c:v>Information</c:v>
                </c:pt>
              </c:strCache>
            </c:strRef>
          </c:tx>
          <c:spPr>
            <a:solidFill>
              <a:schemeClr val="accent2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Sectors'!$O$2:$O$7</c:f>
              <c:numCache>
                <c:formatCode>General</c:formatCode>
                <c:ptCount val="6"/>
                <c:pt idx="0">
                  <c:v>14</c:v>
                </c:pt>
                <c:pt idx="1">
                  <c:v>5</c:v>
                </c:pt>
                <c:pt idx="2">
                  <c:v>10</c:v>
                </c:pt>
                <c:pt idx="3">
                  <c:v>16</c:v>
                </c:pt>
                <c:pt idx="4">
                  <c:v>9</c:v>
                </c:pt>
                <c:pt idx="5">
                  <c:v>14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3AE-448C-AFED-A3A94815C1F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061072"/>
        <c:axId val="1611225536"/>
      </c:barChart>
      <c:dateAx>
        <c:axId val="1611061072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225536"/>
        <c:crosses val="autoZero"/>
        <c:auto val="0"/>
        <c:lblOffset val="100"/>
        <c:baseTimeUnit val="months"/>
      </c:dateAx>
      <c:valAx>
        <c:axId val="16112255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061072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Educational Services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4"/>
          <c:order val="0"/>
          <c:tx>
            <c:strRef>
              <c:f>'DB ISM Services Sectors'!$P$1</c:f>
              <c:strCache>
                <c:ptCount val="1"/>
                <c:pt idx="0">
                  <c:v>Educational Services</c:v>
                </c:pt>
              </c:strCache>
            </c:strRef>
          </c:tx>
          <c:spPr>
            <a:solidFill>
              <a:schemeClr val="accent3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Sectors'!$P$2:$P$7</c:f>
              <c:numCache>
                <c:formatCode>General</c:formatCode>
                <c:ptCount val="6"/>
                <c:pt idx="0">
                  <c:v>11</c:v>
                </c:pt>
                <c:pt idx="1">
                  <c:v>8</c:v>
                </c:pt>
                <c:pt idx="2">
                  <c:v>4</c:v>
                </c:pt>
                <c:pt idx="3">
                  <c:v>9</c:v>
                </c:pt>
                <c:pt idx="4">
                  <c:v>11</c:v>
                </c:pt>
                <c:pt idx="5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5F4-4202-B5E3-58A5858961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761455"/>
        <c:axId val="482763103"/>
      </c:barChart>
      <c:dateAx>
        <c:axId val="48276145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3103"/>
        <c:crosses val="autoZero"/>
        <c:auto val="0"/>
        <c:lblOffset val="100"/>
        <c:baseTimeUnit val="months"/>
      </c:dateAx>
      <c:valAx>
        <c:axId val="48276310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76145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Management</a:t>
            </a:r>
            <a:r>
              <a:rPr lang="en-SG" sz="1400" baseline="0">
                <a:latin typeface="Calibri" panose="020F0502020204030204" pitchFamily="34" charset="0"/>
                <a:cs typeface="Calibri" panose="020F0502020204030204" pitchFamily="34" charset="0"/>
              </a:rPr>
              <a:t> of COmpanies &amp; Support Services</a:t>
            </a:r>
            <a:endParaRPr lang="en-SG" sz="1400">
              <a:latin typeface="Calibri" panose="020F0502020204030204" pitchFamily="34" charset="0"/>
              <a:cs typeface="Calibri" panose="020F0502020204030204" pitchFamily="34" charset="0"/>
            </a:endParaRP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5"/>
          <c:order val="0"/>
          <c:tx>
            <c:strRef>
              <c:f>'DB ISM Services Sectors'!$Q$1</c:f>
              <c:strCache>
                <c:ptCount val="1"/>
                <c:pt idx="0">
                  <c:v>Management of Companies &amp; Support Services</c:v>
                </c:pt>
              </c:strCache>
            </c:strRef>
          </c:tx>
          <c:spPr>
            <a:solidFill>
              <a:schemeClr val="accent4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Sectors'!$Q$2:$Q$7</c:f>
              <c:numCache>
                <c:formatCode>General</c:formatCode>
                <c:ptCount val="6"/>
                <c:pt idx="0">
                  <c:v>9</c:v>
                </c:pt>
                <c:pt idx="1">
                  <c:v>6</c:v>
                </c:pt>
                <c:pt idx="2">
                  <c:v>14</c:v>
                </c:pt>
                <c:pt idx="3">
                  <c:v>6</c:v>
                </c:pt>
                <c:pt idx="4">
                  <c:v>13</c:v>
                </c:pt>
                <c:pt idx="5">
                  <c:v>12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0F-4A8D-A3C7-34B3366562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611132016"/>
        <c:axId val="1611132416"/>
      </c:barChart>
      <c:dateAx>
        <c:axId val="16111320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416"/>
        <c:crosses val="autoZero"/>
        <c:auto val="0"/>
        <c:lblOffset val="100"/>
        <c:baseTimeUnit val="months"/>
      </c:dateAx>
      <c:valAx>
        <c:axId val="1611132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6111320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Retail Trade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6"/>
          <c:order val="0"/>
          <c:tx>
            <c:strRef>
              <c:f>'DB ISM Services Sectors'!$R$1</c:f>
              <c:strCache>
                <c:ptCount val="1"/>
                <c:pt idx="0">
                  <c:v>Retail Trade</c:v>
                </c:pt>
              </c:strCache>
            </c:strRef>
          </c:tx>
          <c:spPr>
            <a:solidFill>
              <a:schemeClr val="accent5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Sectors'!$R$2:$R$7</c:f>
              <c:numCache>
                <c:formatCode>General</c:formatCode>
                <c:ptCount val="6"/>
                <c:pt idx="0">
                  <c:v>0</c:v>
                </c:pt>
                <c:pt idx="1">
                  <c:v>3</c:v>
                </c:pt>
                <c:pt idx="2">
                  <c:v>9</c:v>
                </c:pt>
                <c:pt idx="3">
                  <c:v>1</c:v>
                </c:pt>
                <c:pt idx="4">
                  <c:v>3</c:v>
                </c:pt>
                <c:pt idx="5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85-492F-A21A-35D4AA3CDF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482808975"/>
        <c:axId val="482810623"/>
      </c:barChart>
      <c:dateAx>
        <c:axId val="482808975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10623"/>
        <c:crosses val="autoZero"/>
        <c:auto val="0"/>
        <c:lblOffset val="100"/>
        <c:baseTimeUnit val="months"/>
      </c:dateAx>
      <c:valAx>
        <c:axId val="482810623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808975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r>
              <a:rPr lang="en-SG" sz="1400">
                <a:latin typeface="Calibri" panose="020F0502020204030204" pitchFamily="34" charset="0"/>
                <a:cs typeface="Calibri" panose="020F0502020204030204" pitchFamily="34" charset="0"/>
              </a:rPr>
              <a:t>Utilities</a:t>
            </a:r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barChart>
        <c:barDir val="col"/>
        <c:grouping val="clustered"/>
        <c:varyColors val="0"/>
        <c:ser>
          <c:idx val="17"/>
          <c:order val="0"/>
          <c:tx>
            <c:strRef>
              <c:f>'DB ISM Services Sectors'!$S$1</c:f>
              <c:strCache>
                <c:ptCount val="1"/>
                <c:pt idx="0">
                  <c:v>Utilities</c:v>
                </c:pt>
              </c:strCache>
            </c:strRef>
          </c:tx>
          <c:spPr>
            <a:solidFill>
              <a:schemeClr val="accent6">
                <a:lumMod val="80000"/>
                <a:lumOff val="20000"/>
              </a:schemeClr>
            </a:solidFill>
            <a:ln>
              <a:noFill/>
              <a:prstDash val="solid"/>
            </a:ln>
          </c:spPr>
          <c:invertIfNegative val="0"/>
          <c:cat>
            <c:numRef>
              <c:f>'DB ISM Services Sectors'!$A$2:$A$7</c:f>
              <c:numCache>
                <c:formatCode>dd\-mm\-yyyy</c:formatCode>
                <c:ptCount val="6"/>
                <c:pt idx="0">
                  <c:v>44743</c:v>
                </c:pt>
                <c:pt idx="1">
                  <c:v>44774</c:v>
                </c:pt>
                <c:pt idx="2">
                  <c:v>44805</c:v>
                </c:pt>
                <c:pt idx="3">
                  <c:v>44835</c:v>
                </c:pt>
                <c:pt idx="4">
                  <c:v>44866</c:v>
                </c:pt>
                <c:pt idx="5">
                  <c:v>44896</c:v>
                </c:pt>
              </c:numCache>
            </c:numRef>
          </c:cat>
          <c:val>
            <c:numRef>
              <c:f>'DB ISM Services Sectors'!$S$2:$S$7</c:f>
              <c:numCache>
                <c:formatCode>General</c:formatCode>
                <c:ptCount val="6"/>
                <c:pt idx="0">
                  <c:v>2</c:v>
                </c:pt>
                <c:pt idx="1">
                  <c:v>10</c:v>
                </c:pt>
                <c:pt idx="2">
                  <c:v>13</c:v>
                </c:pt>
                <c:pt idx="3">
                  <c:v>12</c:v>
                </c:pt>
                <c:pt idx="4">
                  <c:v>10</c:v>
                </c:pt>
                <c:pt idx="5">
                  <c:v>10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551-40F3-A8C6-95AF5F47F4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11384911"/>
        <c:axId val="1712288095"/>
      </c:barChart>
      <c:dateAx>
        <c:axId val="1711384911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2288095"/>
        <c:crosses val="autoZero"/>
        <c:auto val="0"/>
        <c:lblOffset val="100"/>
        <c:baseTimeUnit val="months"/>
      </c:dateAx>
      <c:valAx>
        <c:axId val="17122880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711384911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GB"/>
              <a:t>US</a:t>
            </a:r>
            <a:r>
              <a:rPr lang="en-GB" baseline="0"/>
              <a:t> ISM vs Eurozone</a:t>
            </a:r>
            <a:endParaRPr lang="en-GB"/>
          </a:p>
        </c:rich>
      </c:tx>
      <c:overlay val="0"/>
      <c:spPr>
        <a:noFill/>
        <a:ln>
          <a:noFill/>
          <a:prstDash val="solid"/>
        </a:ln>
      </c:sp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strRef>
              <c:f>'DB PMI Manufacturing World'!$C$1</c:f>
              <c:strCache>
                <c:ptCount val="1"/>
                <c:pt idx="0">
                  <c:v>ISM</c:v>
                </c:pt>
              </c:strCache>
            </c:strRef>
          </c:tx>
          <c:spPr>
            <a:ln w="28575" cap="rnd">
              <a:solidFill>
                <a:schemeClr val="accent2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World'!$C$2:$C$144</c:f>
              <c:numCache>
                <c:formatCode>General</c:formatCode>
                <c:ptCount val="143"/>
                <c:pt idx="0">
                  <c:v>56.9</c:v>
                </c:pt>
                <c:pt idx="1">
                  <c:v>57.3</c:v>
                </c:pt>
                <c:pt idx="2">
                  <c:v>56.6</c:v>
                </c:pt>
                <c:pt idx="3">
                  <c:v>59.1</c:v>
                </c:pt>
                <c:pt idx="4">
                  <c:v>59.2</c:v>
                </c:pt>
                <c:pt idx="5">
                  <c:v>58.4</c:v>
                </c:pt>
                <c:pt idx="6">
                  <c:v>57.9</c:v>
                </c:pt>
                <c:pt idx="7">
                  <c:v>54.8</c:v>
                </c:pt>
                <c:pt idx="8">
                  <c:v>55.8</c:v>
                </c:pt>
                <c:pt idx="9">
                  <c:v>52.9</c:v>
                </c:pt>
                <c:pt idx="10">
                  <c:v>52.6</c:v>
                </c:pt>
                <c:pt idx="11">
                  <c:v>53.7</c:v>
                </c:pt>
                <c:pt idx="12">
                  <c:v>51.4</c:v>
                </c:pt>
                <c:pt idx="13">
                  <c:v>51.8</c:v>
                </c:pt>
                <c:pt idx="14">
                  <c:v>53</c:v>
                </c:pt>
                <c:pt idx="15">
                  <c:v>52.6</c:v>
                </c:pt>
                <c:pt idx="16">
                  <c:v>53.1</c:v>
                </c:pt>
                <c:pt idx="17">
                  <c:v>53.5</c:v>
                </c:pt>
                <c:pt idx="18">
                  <c:v>53.5</c:v>
                </c:pt>
                <c:pt idx="19">
                  <c:v>52.6</c:v>
                </c:pt>
                <c:pt idx="20">
                  <c:v>49.7</c:v>
                </c:pt>
                <c:pt idx="21">
                  <c:v>50</c:v>
                </c:pt>
                <c:pt idx="22">
                  <c:v>50.2</c:v>
                </c:pt>
                <c:pt idx="23">
                  <c:v>51.8</c:v>
                </c:pt>
                <c:pt idx="24">
                  <c:v>50.7</c:v>
                </c:pt>
                <c:pt idx="25">
                  <c:v>48.9</c:v>
                </c:pt>
                <c:pt idx="26">
                  <c:v>49.8</c:v>
                </c:pt>
                <c:pt idx="27">
                  <c:v>52</c:v>
                </c:pt>
                <c:pt idx="28">
                  <c:v>53.6</c:v>
                </c:pt>
                <c:pt idx="29">
                  <c:v>52</c:v>
                </c:pt>
                <c:pt idx="30">
                  <c:v>49.7</c:v>
                </c:pt>
                <c:pt idx="31">
                  <c:v>50.5</c:v>
                </c:pt>
                <c:pt idx="32">
                  <c:v>51.5</c:v>
                </c:pt>
                <c:pt idx="33">
                  <c:v>53.5</c:v>
                </c:pt>
                <c:pt idx="34">
                  <c:v>55.9</c:v>
                </c:pt>
                <c:pt idx="35">
                  <c:v>54.8</c:v>
                </c:pt>
                <c:pt idx="36">
                  <c:v>55.3</c:v>
                </c:pt>
                <c:pt idx="37">
                  <c:v>56.3</c:v>
                </c:pt>
                <c:pt idx="38">
                  <c:v>55.9</c:v>
                </c:pt>
                <c:pt idx="39">
                  <c:v>51.7</c:v>
                </c:pt>
                <c:pt idx="40">
                  <c:v>54.6</c:v>
                </c:pt>
                <c:pt idx="41">
                  <c:v>55.3</c:v>
                </c:pt>
                <c:pt idx="42">
                  <c:v>55.7</c:v>
                </c:pt>
                <c:pt idx="43">
                  <c:v>55.8</c:v>
                </c:pt>
                <c:pt idx="44">
                  <c:v>54.9</c:v>
                </c:pt>
                <c:pt idx="45">
                  <c:v>55.3</c:v>
                </c:pt>
                <c:pt idx="46">
                  <c:v>58.2</c:v>
                </c:pt>
                <c:pt idx="47">
                  <c:v>55.5</c:v>
                </c:pt>
                <c:pt idx="48">
                  <c:v>56.8</c:v>
                </c:pt>
                <c:pt idx="49">
                  <c:v>57</c:v>
                </c:pt>
                <c:pt idx="50">
                  <c:v>54.7</c:v>
                </c:pt>
                <c:pt idx="51">
                  <c:v>53.9</c:v>
                </c:pt>
                <c:pt idx="52">
                  <c:v>53</c:v>
                </c:pt>
                <c:pt idx="53">
                  <c:v>51.8</c:v>
                </c:pt>
                <c:pt idx="54">
                  <c:v>51.6</c:v>
                </c:pt>
                <c:pt idx="55">
                  <c:v>52.9</c:v>
                </c:pt>
                <c:pt idx="56">
                  <c:v>52.3</c:v>
                </c:pt>
                <c:pt idx="57">
                  <c:v>51.9</c:v>
                </c:pt>
                <c:pt idx="58">
                  <c:v>50.8</c:v>
                </c:pt>
                <c:pt idx="59">
                  <c:v>50.1</c:v>
                </c:pt>
                <c:pt idx="60">
                  <c:v>49.6</c:v>
                </c:pt>
                <c:pt idx="61">
                  <c:v>49.1</c:v>
                </c:pt>
                <c:pt idx="62">
                  <c:v>48.4</c:v>
                </c:pt>
                <c:pt idx="63">
                  <c:v>47.8</c:v>
                </c:pt>
                <c:pt idx="64">
                  <c:v>49.4</c:v>
                </c:pt>
                <c:pt idx="65">
                  <c:v>51.2</c:v>
                </c:pt>
                <c:pt idx="66">
                  <c:v>50.8</c:v>
                </c:pt>
                <c:pt idx="67">
                  <c:v>50.9</c:v>
                </c:pt>
                <c:pt idx="68">
                  <c:v>52.5</c:v>
                </c:pt>
                <c:pt idx="69">
                  <c:v>52.9</c:v>
                </c:pt>
                <c:pt idx="70">
                  <c:v>49.9</c:v>
                </c:pt>
                <c:pt idx="71">
                  <c:v>51.4</c:v>
                </c:pt>
                <c:pt idx="72">
                  <c:v>51.8</c:v>
                </c:pt>
                <c:pt idx="73">
                  <c:v>53.4</c:v>
                </c:pt>
                <c:pt idx="74">
                  <c:v>54.3</c:v>
                </c:pt>
                <c:pt idx="75">
                  <c:v>55.6</c:v>
                </c:pt>
                <c:pt idx="76">
                  <c:v>57.6</c:v>
                </c:pt>
                <c:pt idx="77">
                  <c:v>56.6</c:v>
                </c:pt>
                <c:pt idx="78">
                  <c:v>55.3</c:v>
                </c:pt>
                <c:pt idx="79">
                  <c:v>55.5</c:v>
                </c:pt>
                <c:pt idx="80">
                  <c:v>56.7</c:v>
                </c:pt>
                <c:pt idx="81">
                  <c:v>56.5</c:v>
                </c:pt>
                <c:pt idx="82">
                  <c:v>59.3</c:v>
                </c:pt>
                <c:pt idx="83">
                  <c:v>60.2</c:v>
                </c:pt>
                <c:pt idx="84">
                  <c:v>58.5</c:v>
                </c:pt>
                <c:pt idx="85">
                  <c:v>58.2</c:v>
                </c:pt>
                <c:pt idx="86">
                  <c:v>59.3</c:v>
                </c:pt>
                <c:pt idx="87">
                  <c:v>59.1</c:v>
                </c:pt>
                <c:pt idx="88">
                  <c:v>60.8</c:v>
                </c:pt>
                <c:pt idx="89">
                  <c:v>59.3</c:v>
                </c:pt>
                <c:pt idx="90">
                  <c:v>57.3</c:v>
                </c:pt>
                <c:pt idx="91">
                  <c:v>58.7</c:v>
                </c:pt>
                <c:pt idx="92">
                  <c:v>60.2</c:v>
                </c:pt>
                <c:pt idx="93">
                  <c:v>58.1</c:v>
                </c:pt>
                <c:pt idx="94">
                  <c:v>61.3</c:v>
                </c:pt>
                <c:pt idx="95">
                  <c:v>59.8</c:v>
                </c:pt>
                <c:pt idx="96">
                  <c:v>57.7</c:v>
                </c:pt>
                <c:pt idx="97">
                  <c:v>59.3</c:v>
                </c:pt>
                <c:pt idx="98">
                  <c:v>54.3</c:v>
                </c:pt>
                <c:pt idx="99">
                  <c:v>56.6</c:v>
                </c:pt>
                <c:pt idx="100">
                  <c:v>54.3</c:v>
                </c:pt>
                <c:pt idx="101">
                  <c:v>54.3</c:v>
                </c:pt>
                <c:pt idx="102">
                  <c:v>52.8</c:v>
                </c:pt>
                <c:pt idx="103">
                  <c:v>52.1</c:v>
                </c:pt>
                <c:pt idx="104">
                  <c:v>51.7</c:v>
                </c:pt>
                <c:pt idx="105">
                  <c:v>51.2</c:v>
                </c:pt>
                <c:pt idx="106">
                  <c:v>49.1</c:v>
                </c:pt>
                <c:pt idx="107">
                  <c:v>47.8</c:v>
                </c:pt>
                <c:pt idx="108">
                  <c:v>48.3</c:v>
                </c:pt>
                <c:pt idx="109">
                  <c:v>48.1</c:v>
                </c:pt>
                <c:pt idx="110">
                  <c:v>47.8</c:v>
                </c:pt>
                <c:pt idx="111">
                  <c:v>50.9</c:v>
                </c:pt>
                <c:pt idx="112">
                  <c:v>50.1</c:v>
                </c:pt>
                <c:pt idx="113">
                  <c:v>49.1</c:v>
                </c:pt>
                <c:pt idx="114">
                  <c:v>41.5</c:v>
                </c:pt>
                <c:pt idx="115">
                  <c:v>43.1</c:v>
                </c:pt>
                <c:pt idx="116">
                  <c:v>52.6</c:v>
                </c:pt>
                <c:pt idx="117">
                  <c:v>54.2</c:v>
                </c:pt>
                <c:pt idx="118">
                  <c:v>56</c:v>
                </c:pt>
                <c:pt idx="119">
                  <c:v>57.8</c:v>
                </c:pt>
                <c:pt idx="120">
                  <c:v>59.3</c:v>
                </c:pt>
                <c:pt idx="121">
                  <c:v>57.5</c:v>
                </c:pt>
                <c:pt idx="122">
                  <c:v>60.5</c:v>
                </c:pt>
                <c:pt idx="123">
                  <c:v>58.7</c:v>
                </c:pt>
                <c:pt idx="124">
                  <c:v>60.8</c:v>
                </c:pt>
                <c:pt idx="125">
                  <c:v>64.7</c:v>
                </c:pt>
                <c:pt idx="126">
                  <c:v>60.7</c:v>
                </c:pt>
                <c:pt idx="127">
                  <c:v>61.2</c:v>
                </c:pt>
                <c:pt idx="128">
                  <c:v>60.6</c:v>
                </c:pt>
                <c:pt idx="129">
                  <c:v>59.5</c:v>
                </c:pt>
                <c:pt idx="130">
                  <c:v>59.9</c:v>
                </c:pt>
                <c:pt idx="131">
                  <c:v>60.3</c:v>
                </c:pt>
                <c:pt idx="132">
                  <c:v>60.7</c:v>
                </c:pt>
                <c:pt idx="133">
                  <c:v>61.1</c:v>
                </c:pt>
                <c:pt idx="134">
                  <c:v>61.5</c:v>
                </c:pt>
                <c:pt idx="135">
                  <c:v>57.6</c:v>
                </c:pt>
                <c:pt idx="136">
                  <c:v>58.6</c:v>
                </c:pt>
                <c:pt idx="137">
                  <c:v>57.1</c:v>
                </c:pt>
                <c:pt idx="138">
                  <c:v>55.4</c:v>
                </c:pt>
                <c:pt idx="139">
                  <c:v>56.1</c:v>
                </c:pt>
                <c:pt idx="140">
                  <c:v>53</c:v>
                </c:pt>
                <c:pt idx="141">
                  <c:v>52.8</c:v>
                </c:pt>
                <c:pt idx="142">
                  <c:v>52.8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01-485A-8235-B2F3926525D9}"/>
            </c:ext>
          </c:extLst>
        </c:ser>
        <c:ser>
          <c:idx val="2"/>
          <c:order val="1"/>
          <c:tx>
            <c:strRef>
              <c:f>'DB PMI Manufacturing World'!$F$1</c:f>
              <c:strCache>
                <c:ptCount val="1"/>
                <c:pt idx="0">
                  <c:v>EU</c:v>
                </c:pt>
              </c:strCache>
            </c:strRef>
          </c:tx>
          <c:spPr>
            <a:ln w="28575" cap="rnd">
              <a:solidFill>
                <a:schemeClr val="accent5"/>
              </a:solidFill>
              <a:prstDash val="solid"/>
              <a:round/>
            </a:ln>
          </c:spPr>
          <c:marker>
            <c:symbol val="none"/>
          </c:marker>
          <c:cat>
            <c:numRef>
              <c:f>'DB PMI Manufacturing World'!$A$2:$A$144</c:f>
              <c:numCache>
                <c:formatCode>dd\-mm\-yyyy</c:formatCode>
                <c:ptCount val="143"/>
                <c:pt idx="0">
                  <c:v>40452</c:v>
                </c:pt>
                <c:pt idx="1">
                  <c:v>40483</c:v>
                </c:pt>
                <c:pt idx="2">
                  <c:v>40513</c:v>
                </c:pt>
                <c:pt idx="3">
                  <c:v>40544</c:v>
                </c:pt>
                <c:pt idx="4">
                  <c:v>40575</c:v>
                </c:pt>
                <c:pt idx="5">
                  <c:v>40603</c:v>
                </c:pt>
                <c:pt idx="6">
                  <c:v>40634</c:v>
                </c:pt>
                <c:pt idx="7">
                  <c:v>40664</c:v>
                </c:pt>
                <c:pt idx="8">
                  <c:v>40695</c:v>
                </c:pt>
                <c:pt idx="9">
                  <c:v>40725</c:v>
                </c:pt>
                <c:pt idx="10">
                  <c:v>40756</c:v>
                </c:pt>
                <c:pt idx="11">
                  <c:v>40787</c:v>
                </c:pt>
                <c:pt idx="12">
                  <c:v>40817</c:v>
                </c:pt>
                <c:pt idx="13">
                  <c:v>40848</c:v>
                </c:pt>
                <c:pt idx="14">
                  <c:v>40878</c:v>
                </c:pt>
                <c:pt idx="15">
                  <c:v>40909</c:v>
                </c:pt>
                <c:pt idx="16">
                  <c:v>40940</c:v>
                </c:pt>
                <c:pt idx="17">
                  <c:v>40969</c:v>
                </c:pt>
                <c:pt idx="18">
                  <c:v>41000</c:v>
                </c:pt>
                <c:pt idx="19">
                  <c:v>41030</c:v>
                </c:pt>
                <c:pt idx="20">
                  <c:v>41061</c:v>
                </c:pt>
                <c:pt idx="21">
                  <c:v>41091</c:v>
                </c:pt>
                <c:pt idx="22">
                  <c:v>41122</c:v>
                </c:pt>
                <c:pt idx="23">
                  <c:v>41153</c:v>
                </c:pt>
                <c:pt idx="24">
                  <c:v>41183</c:v>
                </c:pt>
                <c:pt idx="25">
                  <c:v>41214</c:v>
                </c:pt>
                <c:pt idx="26">
                  <c:v>41244</c:v>
                </c:pt>
                <c:pt idx="27">
                  <c:v>41275</c:v>
                </c:pt>
                <c:pt idx="28">
                  <c:v>41306</c:v>
                </c:pt>
                <c:pt idx="29">
                  <c:v>41334</c:v>
                </c:pt>
                <c:pt idx="30">
                  <c:v>41365</c:v>
                </c:pt>
                <c:pt idx="31">
                  <c:v>41395</c:v>
                </c:pt>
                <c:pt idx="32">
                  <c:v>41426</c:v>
                </c:pt>
                <c:pt idx="33">
                  <c:v>41456</c:v>
                </c:pt>
                <c:pt idx="34">
                  <c:v>41487</c:v>
                </c:pt>
                <c:pt idx="35">
                  <c:v>41518</c:v>
                </c:pt>
                <c:pt idx="36">
                  <c:v>41548</c:v>
                </c:pt>
                <c:pt idx="37">
                  <c:v>41579</c:v>
                </c:pt>
                <c:pt idx="38">
                  <c:v>41609</c:v>
                </c:pt>
                <c:pt idx="39">
                  <c:v>41640</c:v>
                </c:pt>
                <c:pt idx="40">
                  <c:v>41671</c:v>
                </c:pt>
                <c:pt idx="41">
                  <c:v>41699</c:v>
                </c:pt>
                <c:pt idx="42">
                  <c:v>41730</c:v>
                </c:pt>
                <c:pt idx="43">
                  <c:v>41760</c:v>
                </c:pt>
                <c:pt idx="44">
                  <c:v>41791</c:v>
                </c:pt>
                <c:pt idx="45">
                  <c:v>41821</c:v>
                </c:pt>
                <c:pt idx="46">
                  <c:v>41852</c:v>
                </c:pt>
                <c:pt idx="47">
                  <c:v>41883</c:v>
                </c:pt>
                <c:pt idx="48">
                  <c:v>41913</c:v>
                </c:pt>
                <c:pt idx="49">
                  <c:v>41944</c:v>
                </c:pt>
                <c:pt idx="50">
                  <c:v>41974</c:v>
                </c:pt>
                <c:pt idx="51">
                  <c:v>42005</c:v>
                </c:pt>
                <c:pt idx="52">
                  <c:v>42036</c:v>
                </c:pt>
                <c:pt idx="53">
                  <c:v>42064</c:v>
                </c:pt>
                <c:pt idx="54">
                  <c:v>42095</c:v>
                </c:pt>
                <c:pt idx="55">
                  <c:v>42125</c:v>
                </c:pt>
                <c:pt idx="56">
                  <c:v>42156</c:v>
                </c:pt>
                <c:pt idx="57">
                  <c:v>42186</c:v>
                </c:pt>
                <c:pt idx="58">
                  <c:v>42217</c:v>
                </c:pt>
                <c:pt idx="59">
                  <c:v>42248</c:v>
                </c:pt>
                <c:pt idx="60">
                  <c:v>42278</c:v>
                </c:pt>
                <c:pt idx="61">
                  <c:v>42309</c:v>
                </c:pt>
                <c:pt idx="62">
                  <c:v>42339</c:v>
                </c:pt>
                <c:pt idx="63">
                  <c:v>42370</c:v>
                </c:pt>
                <c:pt idx="64">
                  <c:v>42401</c:v>
                </c:pt>
                <c:pt idx="65">
                  <c:v>42430</c:v>
                </c:pt>
                <c:pt idx="66">
                  <c:v>42461</c:v>
                </c:pt>
                <c:pt idx="67">
                  <c:v>42491</c:v>
                </c:pt>
                <c:pt idx="68">
                  <c:v>42522</c:v>
                </c:pt>
                <c:pt idx="69">
                  <c:v>42552</c:v>
                </c:pt>
                <c:pt idx="70">
                  <c:v>42583</c:v>
                </c:pt>
                <c:pt idx="71">
                  <c:v>42614</c:v>
                </c:pt>
                <c:pt idx="72">
                  <c:v>42644</c:v>
                </c:pt>
                <c:pt idx="73">
                  <c:v>42675</c:v>
                </c:pt>
                <c:pt idx="74">
                  <c:v>42705</c:v>
                </c:pt>
                <c:pt idx="75">
                  <c:v>42736</c:v>
                </c:pt>
                <c:pt idx="76">
                  <c:v>42767</c:v>
                </c:pt>
                <c:pt idx="77">
                  <c:v>42795</c:v>
                </c:pt>
                <c:pt idx="78">
                  <c:v>42826</c:v>
                </c:pt>
                <c:pt idx="79">
                  <c:v>42856</c:v>
                </c:pt>
                <c:pt idx="80">
                  <c:v>42887</c:v>
                </c:pt>
                <c:pt idx="81">
                  <c:v>42917</c:v>
                </c:pt>
                <c:pt idx="82">
                  <c:v>42948</c:v>
                </c:pt>
                <c:pt idx="83">
                  <c:v>42979</c:v>
                </c:pt>
                <c:pt idx="84">
                  <c:v>43009</c:v>
                </c:pt>
                <c:pt idx="85">
                  <c:v>43040</c:v>
                </c:pt>
                <c:pt idx="86">
                  <c:v>43070</c:v>
                </c:pt>
                <c:pt idx="87">
                  <c:v>43101</c:v>
                </c:pt>
                <c:pt idx="88">
                  <c:v>43132</c:v>
                </c:pt>
                <c:pt idx="89">
                  <c:v>43160</c:v>
                </c:pt>
                <c:pt idx="90">
                  <c:v>43191</c:v>
                </c:pt>
                <c:pt idx="91">
                  <c:v>43221</c:v>
                </c:pt>
                <c:pt idx="92">
                  <c:v>43252</c:v>
                </c:pt>
                <c:pt idx="93">
                  <c:v>43282</c:v>
                </c:pt>
                <c:pt idx="94">
                  <c:v>43313</c:v>
                </c:pt>
                <c:pt idx="95">
                  <c:v>43344</c:v>
                </c:pt>
                <c:pt idx="96">
                  <c:v>43374</c:v>
                </c:pt>
                <c:pt idx="97">
                  <c:v>43405</c:v>
                </c:pt>
                <c:pt idx="98">
                  <c:v>43435</c:v>
                </c:pt>
                <c:pt idx="99">
                  <c:v>43466</c:v>
                </c:pt>
                <c:pt idx="100">
                  <c:v>43497</c:v>
                </c:pt>
                <c:pt idx="101">
                  <c:v>43525</c:v>
                </c:pt>
                <c:pt idx="102">
                  <c:v>43556</c:v>
                </c:pt>
                <c:pt idx="103">
                  <c:v>43586</c:v>
                </c:pt>
                <c:pt idx="104">
                  <c:v>43617</c:v>
                </c:pt>
                <c:pt idx="105">
                  <c:v>43647</c:v>
                </c:pt>
                <c:pt idx="106">
                  <c:v>43678</c:v>
                </c:pt>
                <c:pt idx="107">
                  <c:v>43709</c:v>
                </c:pt>
                <c:pt idx="108">
                  <c:v>43739</c:v>
                </c:pt>
                <c:pt idx="109">
                  <c:v>43770</c:v>
                </c:pt>
                <c:pt idx="110">
                  <c:v>43800</c:v>
                </c:pt>
                <c:pt idx="111">
                  <c:v>43831</c:v>
                </c:pt>
                <c:pt idx="112">
                  <c:v>43862</c:v>
                </c:pt>
                <c:pt idx="113">
                  <c:v>43891</c:v>
                </c:pt>
                <c:pt idx="114">
                  <c:v>43922</c:v>
                </c:pt>
                <c:pt idx="115">
                  <c:v>43952</c:v>
                </c:pt>
                <c:pt idx="116">
                  <c:v>43983</c:v>
                </c:pt>
                <c:pt idx="117">
                  <c:v>44013</c:v>
                </c:pt>
                <c:pt idx="118">
                  <c:v>44044</c:v>
                </c:pt>
                <c:pt idx="119">
                  <c:v>44075</c:v>
                </c:pt>
                <c:pt idx="120">
                  <c:v>44105</c:v>
                </c:pt>
                <c:pt idx="121">
                  <c:v>44136</c:v>
                </c:pt>
                <c:pt idx="122">
                  <c:v>44166</c:v>
                </c:pt>
                <c:pt idx="123">
                  <c:v>44197</c:v>
                </c:pt>
                <c:pt idx="124">
                  <c:v>44228</c:v>
                </c:pt>
                <c:pt idx="125">
                  <c:v>44256</c:v>
                </c:pt>
                <c:pt idx="126">
                  <c:v>44287</c:v>
                </c:pt>
                <c:pt idx="127">
                  <c:v>44317</c:v>
                </c:pt>
                <c:pt idx="128">
                  <c:v>44348</c:v>
                </c:pt>
                <c:pt idx="129">
                  <c:v>44378</c:v>
                </c:pt>
                <c:pt idx="130">
                  <c:v>44409</c:v>
                </c:pt>
                <c:pt idx="131">
                  <c:v>44440</c:v>
                </c:pt>
                <c:pt idx="132">
                  <c:v>44470</c:v>
                </c:pt>
                <c:pt idx="133">
                  <c:v>44501</c:v>
                </c:pt>
                <c:pt idx="134">
                  <c:v>44531</c:v>
                </c:pt>
                <c:pt idx="135">
                  <c:v>44562</c:v>
                </c:pt>
                <c:pt idx="136">
                  <c:v>44593</c:v>
                </c:pt>
                <c:pt idx="137">
                  <c:v>44621</c:v>
                </c:pt>
                <c:pt idx="138">
                  <c:v>44652</c:v>
                </c:pt>
                <c:pt idx="139">
                  <c:v>44682</c:v>
                </c:pt>
                <c:pt idx="140">
                  <c:v>44713</c:v>
                </c:pt>
                <c:pt idx="141">
                  <c:v>44743</c:v>
                </c:pt>
                <c:pt idx="142">
                  <c:v>44774</c:v>
                </c:pt>
              </c:numCache>
            </c:numRef>
          </c:cat>
          <c:val>
            <c:numRef>
              <c:f>'DB PMI Manufacturing World'!$F$2:$F$144</c:f>
              <c:numCache>
                <c:formatCode>General</c:formatCode>
                <c:ptCount val="143"/>
                <c:pt idx="6">
                  <c:v>58</c:v>
                </c:pt>
                <c:pt idx="7">
                  <c:v>54.6</c:v>
                </c:pt>
                <c:pt idx="8">
                  <c:v>52</c:v>
                </c:pt>
                <c:pt idx="9">
                  <c:v>50.4</c:v>
                </c:pt>
                <c:pt idx="10">
                  <c:v>49</c:v>
                </c:pt>
                <c:pt idx="11">
                  <c:v>48.5</c:v>
                </c:pt>
                <c:pt idx="12">
                  <c:v>47.1</c:v>
                </c:pt>
                <c:pt idx="13">
                  <c:v>46.4</c:v>
                </c:pt>
                <c:pt idx="14">
                  <c:v>46.9</c:v>
                </c:pt>
                <c:pt idx="15">
                  <c:v>48.8</c:v>
                </c:pt>
                <c:pt idx="16">
                  <c:v>49</c:v>
                </c:pt>
                <c:pt idx="17">
                  <c:v>47.7</c:v>
                </c:pt>
                <c:pt idx="18">
                  <c:v>45.9</c:v>
                </c:pt>
                <c:pt idx="19">
                  <c:v>45.1</c:v>
                </c:pt>
                <c:pt idx="20">
                  <c:v>45.1</c:v>
                </c:pt>
                <c:pt idx="21">
                  <c:v>44</c:v>
                </c:pt>
                <c:pt idx="22">
                  <c:v>45.1</c:v>
                </c:pt>
                <c:pt idx="23">
                  <c:v>46.1</c:v>
                </c:pt>
                <c:pt idx="24">
                  <c:v>45.4</c:v>
                </c:pt>
                <c:pt idx="25">
                  <c:v>46.2</c:v>
                </c:pt>
                <c:pt idx="26">
                  <c:v>46.1</c:v>
                </c:pt>
                <c:pt idx="27">
                  <c:v>47.9</c:v>
                </c:pt>
                <c:pt idx="28">
                  <c:v>47.9</c:v>
                </c:pt>
                <c:pt idx="29">
                  <c:v>46.8</c:v>
                </c:pt>
                <c:pt idx="30">
                  <c:v>46.7</c:v>
                </c:pt>
                <c:pt idx="31">
                  <c:v>48.3</c:v>
                </c:pt>
                <c:pt idx="32">
                  <c:v>48.8</c:v>
                </c:pt>
                <c:pt idx="33">
                  <c:v>50.3</c:v>
                </c:pt>
                <c:pt idx="34">
                  <c:v>51.4</c:v>
                </c:pt>
                <c:pt idx="35">
                  <c:v>51.1</c:v>
                </c:pt>
                <c:pt idx="36">
                  <c:v>51.3</c:v>
                </c:pt>
                <c:pt idx="37">
                  <c:v>51.6</c:v>
                </c:pt>
                <c:pt idx="38">
                  <c:v>52.7</c:v>
                </c:pt>
                <c:pt idx="39">
                  <c:v>54</c:v>
                </c:pt>
                <c:pt idx="40">
                  <c:v>53.2</c:v>
                </c:pt>
                <c:pt idx="41">
                  <c:v>53</c:v>
                </c:pt>
                <c:pt idx="42">
                  <c:v>54</c:v>
                </c:pt>
                <c:pt idx="43">
                  <c:v>52.2</c:v>
                </c:pt>
                <c:pt idx="44">
                  <c:v>51.8</c:v>
                </c:pt>
                <c:pt idx="45">
                  <c:v>51.8</c:v>
                </c:pt>
                <c:pt idx="46">
                  <c:v>50.7</c:v>
                </c:pt>
                <c:pt idx="47">
                  <c:v>50.3</c:v>
                </c:pt>
                <c:pt idx="48">
                  <c:v>50.6</c:v>
                </c:pt>
                <c:pt idx="49">
                  <c:v>50.1</c:v>
                </c:pt>
                <c:pt idx="50">
                  <c:v>50.6</c:v>
                </c:pt>
                <c:pt idx="51">
                  <c:v>51</c:v>
                </c:pt>
                <c:pt idx="52">
                  <c:v>51</c:v>
                </c:pt>
                <c:pt idx="53">
                  <c:v>52.2</c:v>
                </c:pt>
                <c:pt idx="54">
                  <c:v>52</c:v>
                </c:pt>
                <c:pt idx="55">
                  <c:v>52.2</c:v>
                </c:pt>
                <c:pt idx="56">
                  <c:v>52.5</c:v>
                </c:pt>
                <c:pt idx="57">
                  <c:v>52.4</c:v>
                </c:pt>
                <c:pt idx="58">
                  <c:v>52.3</c:v>
                </c:pt>
                <c:pt idx="59">
                  <c:v>52</c:v>
                </c:pt>
                <c:pt idx="60">
                  <c:v>52.3</c:v>
                </c:pt>
                <c:pt idx="61">
                  <c:v>52.8</c:v>
                </c:pt>
                <c:pt idx="62">
                  <c:v>53.2</c:v>
                </c:pt>
                <c:pt idx="63">
                  <c:v>52.3</c:v>
                </c:pt>
                <c:pt idx="64">
                  <c:v>51.2</c:v>
                </c:pt>
                <c:pt idx="65">
                  <c:v>51.6</c:v>
                </c:pt>
                <c:pt idx="66">
                  <c:v>51.7</c:v>
                </c:pt>
                <c:pt idx="67">
                  <c:v>51.5</c:v>
                </c:pt>
                <c:pt idx="68">
                  <c:v>52.8</c:v>
                </c:pt>
                <c:pt idx="69">
                  <c:v>52</c:v>
                </c:pt>
                <c:pt idx="70">
                  <c:v>51.7</c:v>
                </c:pt>
                <c:pt idx="71">
                  <c:v>52.6</c:v>
                </c:pt>
                <c:pt idx="72">
                  <c:v>53.5</c:v>
                </c:pt>
                <c:pt idx="73">
                  <c:v>53.7</c:v>
                </c:pt>
                <c:pt idx="74">
                  <c:v>54.9</c:v>
                </c:pt>
                <c:pt idx="75">
                  <c:v>55.2</c:v>
                </c:pt>
                <c:pt idx="76">
                  <c:v>55.4</c:v>
                </c:pt>
                <c:pt idx="77">
                  <c:v>56.2</c:v>
                </c:pt>
                <c:pt idx="78">
                  <c:v>56.7</c:v>
                </c:pt>
                <c:pt idx="79">
                  <c:v>57</c:v>
                </c:pt>
                <c:pt idx="80">
                  <c:v>57.4</c:v>
                </c:pt>
                <c:pt idx="81">
                  <c:v>56.6</c:v>
                </c:pt>
                <c:pt idx="82">
                  <c:v>57.4</c:v>
                </c:pt>
                <c:pt idx="83">
                  <c:v>58.1</c:v>
                </c:pt>
                <c:pt idx="84">
                  <c:v>58.5</c:v>
                </c:pt>
                <c:pt idx="85">
                  <c:v>60.1</c:v>
                </c:pt>
                <c:pt idx="86">
                  <c:v>60.6</c:v>
                </c:pt>
                <c:pt idx="87">
                  <c:v>59.6</c:v>
                </c:pt>
                <c:pt idx="88">
                  <c:v>58.6</c:v>
                </c:pt>
                <c:pt idx="89">
                  <c:v>56.6</c:v>
                </c:pt>
                <c:pt idx="90">
                  <c:v>56.2</c:v>
                </c:pt>
                <c:pt idx="91">
                  <c:v>55.5</c:v>
                </c:pt>
                <c:pt idx="92">
                  <c:v>54.9</c:v>
                </c:pt>
                <c:pt idx="93">
                  <c:v>55.1</c:v>
                </c:pt>
                <c:pt idx="94">
                  <c:v>54.6</c:v>
                </c:pt>
                <c:pt idx="95">
                  <c:v>53.2</c:v>
                </c:pt>
                <c:pt idx="96">
                  <c:v>52</c:v>
                </c:pt>
                <c:pt idx="97">
                  <c:v>51.8</c:v>
                </c:pt>
                <c:pt idx="98">
                  <c:v>51.4</c:v>
                </c:pt>
                <c:pt idx="99">
                  <c:v>50.5</c:v>
                </c:pt>
                <c:pt idx="100">
                  <c:v>49.3</c:v>
                </c:pt>
                <c:pt idx="101">
                  <c:v>47.5</c:v>
                </c:pt>
                <c:pt idx="102">
                  <c:v>47.9</c:v>
                </c:pt>
                <c:pt idx="103">
                  <c:v>47.7</c:v>
                </c:pt>
                <c:pt idx="104">
                  <c:v>47.6</c:v>
                </c:pt>
                <c:pt idx="105">
                  <c:v>46.5</c:v>
                </c:pt>
                <c:pt idx="106">
                  <c:v>47</c:v>
                </c:pt>
                <c:pt idx="107">
                  <c:v>45.7</c:v>
                </c:pt>
                <c:pt idx="108">
                  <c:v>45.9</c:v>
                </c:pt>
                <c:pt idx="109">
                  <c:v>46.9</c:v>
                </c:pt>
                <c:pt idx="110">
                  <c:v>46.3</c:v>
                </c:pt>
                <c:pt idx="111">
                  <c:v>47.9</c:v>
                </c:pt>
                <c:pt idx="112">
                  <c:v>49.2</c:v>
                </c:pt>
                <c:pt idx="113">
                  <c:v>44.5</c:v>
                </c:pt>
                <c:pt idx="114">
                  <c:v>33.4</c:v>
                </c:pt>
                <c:pt idx="115">
                  <c:v>39.4</c:v>
                </c:pt>
                <c:pt idx="116">
                  <c:v>47.4</c:v>
                </c:pt>
                <c:pt idx="117">
                  <c:v>51.8</c:v>
                </c:pt>
                <c:pt idx="118">
                  <c:v>51.7</c:v>
                </c:pt>
                <c:pt idx="119">
                  <c:v>53.7</c:v>
                </c:pt>
                <c:pt idx="120">
                  <c:v>54.8</c:v>
                </c:pt>
                <c:pt idx="121">
                  <c:v>53.8</c:v>
                </c:pt>
                <c:pt idx="122">
                  <c:v>55.2</c:v>
                </c:pt>
                <c:pt idx="123">
                  <c:v>54.8</c:v>
                </c:pt>
                <c:pt idx="124">
                  <c:v>57.9</c:v>
                </c:pt>
                <c:pt idx="125">
                  <c:v>62.5</c:v>
                </c:pt>
                <c:pt idx="126">
                  <c:v>62.9</c:v>
                </c:pt>
                <c:pt idx="127">
                  <c:v>63.1</c:v>
                </c:pt>
                <c:pt idx="128">
                  <c:v>63.4</c:v>
                </c:pt>
                <c:pt idx="129">
                  <c:v>62.8</c:v>
                </c:pt>
                <c:pt idx="130">
                  <c:v>61.4</c:v>
                </c:pt>
                <c:pt idx="131">
                  <c:v>58.6</c:v>
                </c:pt>
                <c:pt idx="132">
                  <c:v>58.3</c:v>
                </c:pt>
                <c:pt idx="133">
                  <c:v>58.4</c:v>
                </c:pt>
                <c:pt idx="134">
                  <c:v>58</c:v>
                </c:pt>
                <c:pt idx="135">
                  <c:v>59</c:v>
                </c:pt>
                <c:pt idx="136">
                  <c:v>58.4</c:v>
                </c:pt>
                <c:pt idx="137">
                  <c:v>57</c:v>
                </c:pt>
                <c:pt idx="138">
                  <c:v>55.5</c:v>
                </c:pt>
                <c:pt idx="139">
                  <c:v>54.4</c:v>
                </c:pt>
                <c:pt idx="140">
                  <c:v>52</c:v>
                </c:pt>
                <c:pt idx="141">
                  <c:v>49.8</c:v>
                </c:pt>
                <c:pt idx="142">
                  <c:v>49.6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601-485A-8235-B2F3926525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82239216"/>
        <c:axId val="982471776"/>
      </c:lineChart>
      <c:dateAx>
        <c:axId val="982239216"/>
        <c:scaling>
          <c:orientation val="minMax"/>
        </c:scaling>
        <c:delete val="0"/>
        <c:axPos val="b"/>
        <c:numFmt formatCode="dd\-mm\-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471776"/>
        <c:crosses val="autoZero"/>
        <c:auto val="0"/>
        <c:lblOffset val="100"/>
        <c:baseTimeUnit val="months"/>
      </c:dateAx>
      <c:valAx>
        <c:axId val="982471776"/>
        <c:scaling>
          <c:orientation val="minMax"/>
          <c:min val="3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  <a:prstDash val="solid"/>
          </a:ln>
        </c:spPr>
        <c:txPr>
          <a:bodyPr rot="-60000000" spcFirstLastPara="1" vertOverflow="ellipsis" vert="horz" wrap="square" anchor="ctr" anchorCtr="1"/>
          <a:lstStyle/>
          <a:p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82239216"/>
        <c:crosses val="autoZero"/>
        <c:crossBetween val="between"/>
      </c:valAx>
    </c:plotArea>
    <c:legend>
      <c:legendPos val="b"/>
      <c:overlay val="0"/>
      <c:spPr>
        <a:noFill/>
        <a:ln>
          <a:noFill/>
          <a:prstDash val="solid"/>
        </a:ln>
      </c:spPr>
      <c:txPr>
        <a:bodyPr rot="0" spcFirstLastPara="1" vertOverflow="ellipsis" vert="horz" wrap="square" anchor="ctr" anchorCtr="1"/>
        <a:lstStyle/>
        <a:p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13" Type="http://schemas.openxmlformats.org/officeDocument/2006/relationships/chart" Target="../charts/chart13.xml"/><Relationship Id="rId18" Type="http://schemas.openxmlformats.org/officeDocument/2006/relationships/chart" Target="../charts/chart18.xml"/><Relationship Id="rId26" Type="http://schemas.openxmlformats.org/officeDocument/2006/relationships/chart" Target="../charts/chart26.xml"/><Relationship Id="rId3" Type="http://schemas.openxmlformats.org/officeDocument/2006/relationships/chart" Target="../charts/chart3.xml"/><Relationship Id="rId21" Type="http://schemas.openxmlformats.org/officeDocument/2006/relationships/chart" Target="../charts/chart21.xml"/><Relationship Id="rId34" Type="http://schemas.openxmlformats.org/officeDocument/2006/relationships/chart" Target="../charts/chart34.xml"/><Relationship Id="rId7" Type="http://schemas.openxmlformats.org/officeDocument/2006/relationships/chart" Target="../charts/chart7.xml"/><Relationship Id="rId12" Type="http://schemas.openxmlformats.org/officeDocument/2006/relationships/chart" Target="../charts/chart12.xml"/><Relationship Id="rId17" Type="http://schemas.openxmlformats.org/officeDocument/2006/relationships/chart" Target="../charts/chart17.xml"/><Relationship Id="rId25" Type="http://schemas.openxmlformats.org/officeDocument/2006/relationships/chart" Target="../charts/chart25.xml"/><Relationship Id="rId33" Type="http://schemas.openxmlformats.org/officeDocument/2006/relationships/chart" Target="../charts/chart33.xml"/><Relationship Id="rId2" Type="http://schemas.openxmlformats.org/officeDocument/2006/relationships/chart" Target="../charts/chart2.xml"/><Relationship Id="rId16" Type="http://schemas.openxmlformats.org/officeDocument/2006/relationships/chart" Target="../charts/chart16.xml"/><Relationship Id="rId20" Type="http://schemas.openxmlformats.org/officeDocument/2006/relationships/chart" Target="../charts/chart20.xml"/><Relationship Id="rId29" Type="http://schemas.openxmlformats.org/officeDocument/2006/relationships/chart" Target="../charts/chart29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11" Type="http://schemas.openxmlformats.org/officeDocument/2006/relationships/chart" Target="../charts/chart11.xml"/><Relationship Id="rId24" Type="http://schemas.openxmlformats.org/officeDocument/2006/relationships/chart" Target="../charts/chart24.xml"/><Relationship Id="rId32" Type="http://schemas.openxmlformats.org/officeDocument/2006/relationships/chart" Target="../charts/chart32.xml"/><Relationship Id="rId5" Type="http://schemas.openxmlformats.org/officeDocument/2006/relationships/chart" Target="../charts/chart5.xml"/><Relationship Id="rId15" Type="http://schemas.openxmlformats.org/officeDocument/2006/relationships/chart" Target="../charts/chart15.xml"/><Relationship Id="rId23" Type="http://schemas.openxmlformats.org/officeDocument/2006/relationships/chart" Target="../charts/chart23.xml"/><Relationship Id="rId28" Type="http://schemas.openxmlformats.org/officeDocument/2006/relationships/chart" Target="../charts/chart28.xml"/><Relationship Id="rId36" Type="http://schemas.openxmlformats.org/officeDocument/2006/relationships/chart" Target="../charts/chart36.xml"/><Relationship Id="rId10" Type="http://schemas.openxmlformats.org/officeDocument/2006/relationships/chart" Target="../charts/chart10.xml"/><Relationship Id="rId19" Type="http://schemas.openxmlformats.org/officeDocument/2006/relationships/chart" Target="../charts/chart19.xml"/><Relationship Id="rId31" Type="http://schemas.openxmlformats.org/officeDocument/2006/relationships/chart" Target="../charts/chart31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Relationship Id="rId14" Type="http://schemas.openxmlformats.org/officeDocument/2006/relationships/chart" Target="../charts/chart14.xml"/><Relationship Id="rId22" Type="http://schemas.openxmlformats.org/officeDocument/2006/relationships/chart" Target="../charts/chart22.xml"/><Relationship Id="rId27" Type="http://schemas.openxmlformats.org/officeDocument/2006/relationships/chart" Target="../charts/chart27.xml"/><Relationship Id="rId30" Type="http://schemas.openxmlformats.org/officeDocument/2006/relationships/chart" Target="../charts/chart30.xml"/><Relationship Id="rId35" Type="http://schemas.openxmlformats.org/officeDocument/2006/relationships/chart" Target="../charts/chart35.xml"/><Relationship Id="rId8" Type="http://schemas.openxmlformats.org/officeDocument/2006/relationships/chart" Target="../charts/chart8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127000</xdr:colOff>
      <xdr:row>20</xdr:row>
      <xdr:rowOff>18144</xdr:rowOff>
    </xdr:from>
    <xdr:to>
      <xdr:col>24</xdr:col>
      <xdr:colOff>508000</xdr:colOff>
      <xdr:row>34</xdr:row>
      <xdr:rowOff>94344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</xdr:col>
      <xdr:colOff>0</xdr:colOff>
      <xdr:row>35</xdr:row>
      <xdr:rowOff>45357</xdr:rowOff>
    </xdr:from>
    <xdr:to>
      <xdr:col>6</xdr:col>
      <xdr:colOff>625929</xdr:colOff>
      <xdr:row>49</xdr:row>
      <xdr:rowOff>121557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7</xdr:col>
      <xdr:colOff>263072</xdr:colOff>
      <xdr:row>35</xdr:row>
      <xdr:rowOff>36285</xdr:rowOff>
    </xdr:from>
    <xdr:to>
      <xdr:col>12</xdr:col>
      <xdr:colOff>381000</xdr:colOff>
      <xdr:row>49</xdr:row>
      <xdr:rowOff>112485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12</xdr:col>
      <xdr:colOff>635000</xdr:colOff>
      <xdr:row>35</xdr:row>
      <xdr:rowOff>81643</xdr:rowOff>
    </xdr:from>
    <xdr:to>
      <xdr:col>17</xdr:col>
      <xdr:colOff>635000</xdr:colOff>
      <xdr:row>49</xdr:row>
      <xdr:rowOff>157843</xdr:rowOff>
    </xdr:to>
    <xdr:graphicFrame macro="">
      <xdr:nvGraphicFramePr>
        <xdr:cNvPr id="5" name="Chart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18</xdr:col>
      <xdr:colOff>108857</xdr:colOff>
      <xdr:row>35</xdr:row>
      <xdr:rowOff>108857</xdr:rowOff>
    </xdr:from>
    <xdr:to>
      <xdr:col>24</xdr:col>
      <xdr:colOff>489857</xdr:colOff>
      <xdr:row>49</xdr:row>
      <xdr:rowOff>185057</xdr:rowOff>
    </xdr:to>
    <xdr:graphicFrame macro="">
      <xdr:nvGraphicFramePr>
        <xdr:cNvPr id="6" name="Chart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9071</xdr:colOff>
      <xdr:row>50</xdr:row>
      <xdr:rowOff>63500</xdr:rowOff>
    </xdr:from>
    <xdr:to>
      <xdr:col>6</xdr:col>
      <xdr:colOff>635000</xdr:colOff>
      <xdr:row>64</xdr:row>
      <xdr:rowOff>139700</xdr:rowOff>
    </xdr:to>
    <xdr:graphicFrame macro="">
      <xdr:nvGraphicFramePr>
        <xdr:cNvPr id="7" name="Chart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244930</xdr:colOff>
      <xdr:row>50</xdr:row>
      <xdr:rowOff>54428</xdr:rowOff>
    </xdr:from>
    <xdr:to>
      <xdr:col>12</xdr:col>
      <xdr:colOff>362858</xdr:colOff>
      <xdr:row>64</xdr:row>
      <xdr:rowOff>130628</xdr:rowOff>
    </xdr:to>
    <xdr:graphicFrame macro="">
      <xdr:nvGraphicFramePr>
        <xdr:cNvPr id="8" name="Chart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12</xdr:col>
      <xdr:colOff>625928</xdr:colOff>
      <xdr:row>50</xdr:row>
      <xdr:rowOff>63500</xdr:rowOff>
    </xdr:from>
    <xdr:to>
      <xdr:col>17</xdr:col>
      <xdr:colOff>625928</xdr:colOff>
      <xdr:row>64</xdr:row>
      <xdr:rowOff>139700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18</xdr:col>
      <xdr:colOff>108856</xdr:colOff>
      <xdr:row>50</xdr:row>
      <xdr:rowOff>81645</xdr:rowOff>
    </xdr:from>
    <xdr:to>
      <xdr:col>24</xdr:col>
      <xdr:colOff>489856</xdr:colOff>
      <xdr:row>64</xdr:row>
      <xdr:rowOff>157845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2</xdr:col>
      <xdr:colOff>18143</xdr:colOff>
      <xdr:row>65</xdr:row>
      <xdr:rowOff>108857</xdr:rowOff>
    </xdr:from>
    <xdr:to>
      <xdr:col>6</xdr:col>
      <xdr:colOff>644072</xdr:colOff>
      <xdr:row>79</xdr:row>
      <xdr:rowOff>185057</xdr:rowOff>
    </xdr:to>
    <xdr:graphicFrame macro="">
      <xdr:nvGraphicFramePr>
        <xdr:cNvPr id="11" name="Chart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>
    <xdr:from>
      <xdr:col>7</xdr:col>
      <xdr:colOff>235858</xdr:colOff>
      <xdr:row>65</xdr:row>
      <xdr:rowOff>81642</xdr:rowOff>
    </xdr:from>
    <xdr:to>
      <xdr:col>12</xdr:col>
      <xdr:colOff>353786</xdr:colOff>
      <xdr:row>79</xdr:row>
      <xdr:rowOff>157842</xdr:rowOff>
    </xdr:to>
    <xdr:graphicFrame macro="">
      <xdr:nvGraphicFramePr>
        <xdr:cNvPr id="12" name="Chart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>
    <xdr:from>
      <xdr:col>12</xdr:col>
      <xdr:colOff>616857</xdr:colOff>
      <xdr:row>65</xdr:row>
      <xdr:rowOff>90714</xdr:rowOff>
    </xdr:from>
    <xdr:to>
      <xdr:col>17</xdr:col>
      <xdr:colOff>616857</xdr:colOff>
      <xdr:row>79</xdr:row>
      <xdr:rowOff>166914</xdr:rowOff>
    </xdr:to>
    <xdr:graphicFrame macro="">
      <xdr:nvGraphicFramePr>
        <xdr:cNvPr id="13" name="Chart 12">
          <a:extLst>
            <a:ext uri="{FF2B5EF4-FFF2-40B4-BE49-F238E27FC236}">
              <a16:creationId xmlns:a16="http://schemas.microsoft.com/office/drawing/2014/main" id="{00000000-0008-0000-05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>
    <xdr:from>
      <xdr:col>18</xdr:col>
      <xdr:colOff>127000</xdr:colOff>
      <xdr:row>65</xdr:row>
      <xdr:rowOff>81644</xdr:rowOff>
    </xdr:from>
    <xdr:to>
      <xdr:col>24</xdr:col>
      <xdr:colOff>508000</xdr:colOff>
      <xdr:row>79</xdr:row>
      <xdr:rowOff>157844</xdr:rowOff>
    </xdr:to>
    <xdr:graphicFrame macro="">
      <xdr:nvGraphicFramePr>
        <xdr:cNvPr id="14" name="Chart 13">
          <a:extLst>
            <a:ext uri="{FF2B5EF4-FFF2-40B4-BE49-F238E27FC236}">
              <a16:creationId xmlns:a16="http://schemas.microsoft.com/office/drawing/2014/main" id="{00000000-0008-0000-0500-00000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twoCellAnchor>
    <xdr:from>
      <xdr:col>2</xdr:col>
      <xdr:colOff>18142</xdr:colOff>
      <xdr:row>80</xdr:row>
      <xdr:rowOff>127002</xdr:rowOff>
    </xdr:from>
    <xdr:to>
      <xdr:col>6</xdr:col>
      <xdr:colOff>644071</xdr:colOff>
      <xdr:row>95</xdr:row>
      <xdr:rowOff>12702</xdr:rowOff>
    </xdr:to>
    <xdr:graphicFrame macro="">
      <xdr:nvGraphicFramePr>
        <xdr:cNvPr id="15" name="Chart 14">
          <a:extLst>
            <a:ext uri="{FF2B5EF4-FFF2-40B4-BE49-F238E27FC236}">
              <a16:creationId xmlns:a16="http://schemas.microsoft.com/office/drawing/2014/main" id="{00000000-0008-0000-0500-00000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  <xdr:twoCellAnchor>
    <xdr:from>
      <xdr:col>7</xdr:col>
      <xdr:colOff>226786</xdr:colOff>
      <xdr:row>80</xdr:row>
      <xdr:rowOff>136071</xdr:rowOff>
    </xdr:from>
    <xdr:to>
      <xdr:col>12</xdr:col>
      <xdr:colOff>344714</xdr:colOff>
      <xdr:row>95</xdr:row>
      <xdr:rowOff>21771</xdr:rowOff>
    </xdr:to>
    <xdr:graphicFrame macro="">
      <xdr:nvGraphicFramePr>
        <xdr:cNvPr id="16" name="Chart 15">
          <a:extLst>
            <a:ext uri="{FF2B5EF4-FFF2-40B4-BE49-F238E27FC236}">
              <a16:creationId xmlns:a16="http://schemas.microsoft.com/office/drawing/2014/main" id="{00000000-0008-0000-0500-00001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5"/>
        </a:graphicData>
      </a:graphic>
    </xdr:graphicFrame>
    <xdr:clientData/>
  </xdr:twoCellAnchor>
  <xdr:twoCellAnchor>
    <xdr:from>
      <xdr:col>2</xdr:col>
      <xdr:colOff>0</xdr:colOff>
      <xdr:row>20</xdr:row>
      <xdr:rowOff>18142</xdr:rowOff>
    </xdr:from>
    <xdr:to>
      <xdr:col>6</xdr:col>
      <xdr:colOff>625929</xdr:colOff>
      <xdr:row>34</xdr:row>
      <xdr:rowOff>94342</xdr:rowOff>
    </xdr:to>
    <xdr:graphicFrame macro="">
      <xdr:nvGraphicFramePr>
        <xdr:cNvPr id="17" name="Chart 16">
          <a:extLst>
            <a:ext uri="{FF2B5EF4-FFF2-40B4-BE49-F238E27FC236}">
              <a16:creationId xmlns:a16="http://schemas.microsoft.com/office/drawing/2014/main" id="{00000000-0008-0000-0500-00001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6"/>
        </a:graphicData>
      </a:graphic>
    </xdr:graphicFrame>
    <xdr:clientData/>
  </xdr:twoCellAnchor>
  <xdr:twoCellAnchor>
    <xdr:from>
      <xdr:col>7</xdr:col>
      <xdr:colOff>254000</xdr:colOff>
      <xdr:row>20</xdr:row>
      <xdr:rowOff>0</xdr:rowOff>
    </xdr:from>
    <xdr:to>
      <xdr:col>12</xdr:col>
      <xdr:colOff>371928</xdr:colOff>
      <xdr:row>34</xdr:row>
      <xdr:rowOff>76200</xdr:rowOff>
    </xdr:to>
    <xdr:graphicFrame macro="">
      <xdr:nvGraphicFramePr>
        <xdr:cNvPr id="18" name="Chart 17">
          <a:extLst>
            <a:ext uri="{FF2B5EF4-FFF2-40B4-BE49-F238E27FC236}">
              <a16:creationId xmlns:a16="http://schemas.microsoft.com/office/drawing/2014/main" id="{00000000-0008-0000-0500-00001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7"/>
        </a:graphicData>
      </a:graphic>
    </xdr:graphicFrame>
    <xdr:clientData/>
  </xdr:twoCellAnchor>
  <xdr:twoCellAnchor>
    <xdr:from>
      <xdr:col>12</xdr:col>
      <xdr:colOff>653143</xdr:colOff>
      <xdr:row>20</xdr:row>
      <xdr:rowOff>9071</xdr:rowOff>
    </xdr:from>
    <xdr:to>
      <xdr:col>17</xdr:col>
      <xdr:colOff>653143</xdr:colOff>
      <xdr:row>34</xdr:row>
      <xdr:rowOff>85271</xdr:rowOff>
    </xdr:to>
    <xdr:graphicFrame macro="">
      <xdr:nvGraphicFramePr>
        <xdr:cNvPr id="19" name="Chart 18">
          <a:extLst>
            <a:ext uri="{FF2B5EF4-FFF2-40B4-BE49-F238E27FC236}">
              <a16:creationId xmlns:a16="http://schemas.microsoft.com/office/drawing/2014/main" id="{00000000-0008-0000-0500-00001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8"/>
        </a:graphicData>
      </a:graphic>
    </xdr:graphicFrame>
    <xdr:clientData/>
  </xdr:twoCellAnchor>
  <xdr:twoCellAnchor>
    <xdr:from>
      <xdr:col>2</xdr:col>
      <xdr:colOff>0</xdr:colOff>
      <xdr:row>99</xdr:row>
      <xdr:rowOff>0</xdr:rowOff>
    </xdr:from>
    <xdr:to>
      <xdr:col>6</xdr:col>
      <xdr:colOff>625929</xdr:colOff>
      <xdr:row>113</xdr:row>
      <xdr:rowOff>76200</xdr:rowOff>
    </xdr:to>
    <xdr:graphicFrame macro="">
      <xdr:nvGraphicFramePr>
        <xdr:cNvPr id="20" name="Chart 19">
          <a:extLst>
            <a:ext uri="{FF2B5EF4-FFF2-40B4-BE49-F238E27FC236}">
              <a16:creationId xmlns:a16="http://schemas.microsoft.com/office/drawing/2014/main" id="{00000000-0008-0000-0500-00001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9"/>
        </a:graphicData>
      </a:graphic>
    </xdr:graphicFrame>
    <xdr:clientData/>
  </xdr:twoCellAnchor>
  <xdr:twoCellAnchor>
    <xdr:from>
      <xdr:col>7</xdr:col>
      <xdr:colOff>145142</xdr:colOff>
      <xdr:row>99</xdr:row>
      <xdr:rowOff>9072</xdr:rowOff>
    </xdr:from>
    <xdr:to>
      <xdr:col>12</xdr:col>
      <xdr:colOff>263070</xdr:colOff>
      <xdr:row>113</xdr:row>
      <xdr:rowOff>85272</xdr:rowOff>
    </xdr:to>
    <xdr:graphicFrame macro="">
      <xdr:nvGraphicFramePr>
        <xdr:cNvPr id="21" name="Chart 20">
          <a:extLst>
            <a:ext uri="{FF2B5EF4-FFF2-40B4-BE49-F238E27FC236}">
              <a16:creationId xmlns:a16="http://schemas.microsoft.com/office/drawing/2014/main" id="{00000000-0008-0000-0500-00001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0"/>
        </a:graphicData>
      </a:graphic>
    </xdr:graphicFrame>
    <xdr:clientData/>
  </xdr:twoCellAnchor>
  <xdr:twoCellAnchor>
    <xdr:from>
      <xdr:col>12</xdr:col>
      <xdr:colOff>480785</xdr:colOff>
      <xdr:row>99</xdr:row>
      <xdr:rowOff>27215</xdr:rowOff>
    </xdr:from>
    <xdr:to>
      <xdr:col>17</xdr:col>
      <xdr:colOff>480785</xdr:colOff>
      <xdr:row>113</xdr:row>
      <xdr:rowOff>103415</xdr:rowOff>
    </xdr:to>
    <xdr:graphicFrame macro="">
      <xdr:nvGraphicFramePr>
        <xdr:cNvPr id="22" name="Chart 21">
          <a:extLst>
            <a:ext uri="{FF2B5EF4-FFF2-40B4-BE49-F238E27FC236}">
              <a16:creationId xmlns:a16="http://schemas.microsoft.com/office/drawing/2014/main" id="{00000000-0008-0000-0500-00001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1"/>
        </a:graphicData>
      </a:graphic>
    </xdr:graphicFrame>
    <xdr:clientData/>
  </xdr:twoCellAnchor>
  <xdr:twoCellAnchor>
    <xdr:from>
      <xdr:col>18</xdr:col>
      <xdr:colOff>54428</xdr:colOff>
      <xdr:row>99</xdr:row>
      <xdr:rowOff>27215</xdr:rowOff>
    </xdr:from>
    <xdr:to>
      <xdr:col>24</xdr:col>
      <xdr:colOff>435428</xdr:colOff>
      <xdr:row>113</xdr:row>
      <xdr:rowOff>103415</xdr:rowOff>
    </xdr:to>
    <xdr:graphicFrame macro="">
      <xdr:nvGraphicFramePr>
        <xdr:cNvPr id="23" name="Chart 22">
          <a:extLst>
            <a:ext uri="{FF2B5EF4-FFF2-40B4-BE49-F238E27FC236}">
              <a16:creationId xmlns:a16="http://schemas.microsoft.com/office/drawing/2014/main" id="{00000000-0008-0000-0500-000017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2"/>
        </a:graphicData>
      </a:graphic>
    </xdr:graphicFrame>
    <xdr:clientData/>
  </xdr:twoCellAnchor>
  <xdr:twoCellAnchor>
    <xdr:from>
      <xdr:col>2</xdr:col>
      <xdr:colOff>9071</xdr:colOff>
      <xdr:row>114</xdr:row>
      <xdr:rowOff>81643</xdr:rowOff>
    </xdr:from>
    <xdr:to>
      <xdr:col>6</xdr:col>
      <xdr:colOff>635000</xdr:colOff>
      <xdr:row>128</xdr:row>
      <xdr:rowOff>157843</xdr:rowOff>
    </xdr:to>
    <xdr:graphicFrame macro="">
      <xdr:nvGraphicFramePr>
        <xdr:cNvPr id="24" name="Chart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3"/>
        </a:graphicData>
      </a:graphic>
    </xdr:graphicFrame>
    <xdr:clientData/>
  </xdr:twoCellAnchor>
  <xdr:twoCellAnchor>
    <xdr:from>
      <xdr:col>7</xdr:col>
      <xdr:colOff>136072</xdr:colOff>
      <xdr:row>114</xdr:row>
      <xdr:rowOff>81643</xdr:rowOff>
    </xdr:from>
    <xdr:to>
      <xdr:col>12</xdr:col>
      <xdr:colOff>254000</xdr:colOff>
      <xdr:row>128</xdr:row>
      <xdr:rowOff>157843</xdr:rowOff>
    </xdr:to>
    <xdr:graphicFrame macro="">
      <xdr:nvGraphicFramePr>
        <xdr:cNvPr id="25" name="Chart 24">
          <a:extLst>
            <a:ext uri="{FF2B5EF4-FFF2-40B4-BE49-F238E27FC236}">
              <a16:creationId xmlns:a16="http://schemas.microsoft.com/office/drawing/2014/main" id="{00000000-0008-0000-0500-00001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4"/>
        </a:graphicData>
      </a:graphic>
    </xdr:graphicFrame>
    <xdr:clientData/>
  </xdr:twoCellAnchor>
  <xdr:twoCellAnchor>
    <xdr:from>
      <xdr:col>12</xdr:col>
      <xdr:colOff>480784</xdr:colOff>
      <xdr:row>114</xdr:row>
      <xdr:rowOff>72572</xdr:rowOff>
    </xdr:from>
    <xdr:to>
      <xdr:col>17</xdr:col>
      <xdr:colOff>480784</xdr:colOff>
      <xdr:row>128</xdr:row>
      <xdr:rowOff>148772</xdr:rowOff>
    </xdr:to>
    <xdr:graphicFrame macro="">
      <xdr:nvGraphicFramePr>
        <xdr:cNvPr id="26" name="Chart 25">
          <a:extLst>
            <a:ext uri="{FF2B5EF4-FFF2-40B4-BE49-F238E27FC236}">
              <a16:creationId xmlns:a16="http://schemas.microsoft.com/office/drawing/2014/main" id="{00000000-0008-0000-0500-00001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5"/>
        </a:graphicData>
      </a:graphic>
    </xdr:graphicFrame>
    <xdr:clientData/>
  </xdr:twoCellAnchor>
  <xdr:twoCellAnchor>
    <xdr:from>
      <xdr:col>18</xdr:col>
      <xdr:colOff>45358</xdr:colOff>
      <xdr:row>114</xdr:row>
      <xdr:rowOff>90715</xdr:rowOff>
    </xdr:from>
    <xdr:to>
      <xdr:col>24</xdr:col>
      <xdr:colOff>426358</xdr:colOff>
      <xdr:row>128</xdr:row>
      <xdr:rowOff>166915</xdr:rowOff>
    </xdr:to>
    <xdr:graphicFrame macro="">
      <xdr:nvGraphicFramePr>
        <xdr:cNvPr id="27" name="Chart 26">
          <a:extLst>
            <a:ext uri="{FF2B5EF4-FFF2-40B4-BE49-F238E27FC236}">
              <a16:creationId xmlns:a16="http://schemas.microsoft.com/office/drawing/2014/main" id="{00000000-0008-0000-0500-00001B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6"/>
        </a:graphicData>
      </a:graphic>
    </xdr:graphicFrame>
    <xdr:clientData/>
  </xdr:twoCellAnchor>
  <xdr:twoCellAnchor>
    <xdr:from>
      <xdr:col>2</xdr:col>
      <xdr:colOff>18142</xdr:colOff>
      <xdr:row>129</xdr:row>
      <xdr:rowOff>99787</xdr:rowOff>
    </xdr:from>
    <xdr:to>
      <xdr:col>6</xdr:col>
      <xdr:colOff>644071</xdr:colOff>
      <xdr:row>143</xdr:row>
      <xdr:rowOff>175987</xdr:rowOff>
    </xdr:to>
    <xdr:graphicFrame macro="">
      <xdr:nvGraphicFramePr>
        <xdr:cNvPr id="28" name="Chart 27">
          <a:extLst>
            <a:ext uri="{FF2B5EF4-FFF2-40B4-BE49-F238E27FC236}">
              <a16:creationId xmlns:a16="http://schemas.microsoft.com/office/drawing/2014/main" id="{00000000-0008-0000-0500-00001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7"/>
        </a:graphicData>
      </a:graphic>
    </xdr:graphicFrame>
    <xdr:clientData/>
  </xdr:twoCellAnchor>
  <xdr:twoCellAnchor>
    <xdr:from>
      <xdr:col>7</xdr:col>
      <xdr:colOff>117929</xdr:colOff>
      <xdr:row>129</xdr:row>
      <xdr:rowOff>99787</xdr:rowOff>
    </xdr:from>
    <xdr:to>
      <xdr:col>12</xdr:col>
      <xdr:colOff>235857</xdr:colOff>
      <xdr:row>143</xdr:row>
      <xdr:rowOff>175987</xdr:rowOff>
    </xdr:to>
    <xdr:graphicFrame macro="">
      <xdr:nvGraphicFramePr>
        <xdr:cNvPr id="29" name="Chart 28">
          <a:extLst>
            <a:ext uri="{FF2B5EF4-FFF2-40B4-BE49-F238E27FC236}">
              <a16:creationId xmlns:a16="http://schemas.microsoft.com/office/drawing/2014/main" id="{00000000-0008-0000-0500-00001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8"/>
        </a:graphicData>
      </a:graphic>
    </xdr:graphicFrame>
    <xdr:clientData/>
  </xdr:twoCellAnchor>
  <xdr:twoCellAnchor>
    <xdr:from>
      <xdr:col>12</xdr:col>
      <xdr:colOff>471714</xdr:colOff>
      <xdr:row>129</xdr:row>
      <xdr:rowOff>99787</xdr:rowOff>
    </xdr:from>
    <xdr:to>
      <xdr:col>17</xdr:col>
      <xdr:colOff>471714</xdr:colOff>
      <xdr:row>143</xdr:row>
      <xdr:rowOff>175987</xdr:rowOff>
    </xdr:to>
    <xdr:graphicFrame macro="">
      <xdr:nvGraphicFramePr>
        <xdr:cNvPr id="30" name="Chart 29">
          <a:extLst>
            <a:ext uri="{FF2B5EF4-FFF2-40B4-BE49-F238E27FC236}">
              <a16:creationId xmlns:a16="http://schemas.microsoft.com/office/drawing/2014/main" id="{00000000-0008-0000-0500-00001E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9"/>
        </a:graphicData>
      </a:graphic>
    </xdr:graphicFrame>
    <xdr:clientData/>
  </xdr:twoCellAnchor>
  <xdr:twoCellAnchor>
    <xdr:from>
      <xdr:col>18</xdr:col>
      <xdr:colOff>63499</xdr:colOff>
      <xdr:row>129</xdr:row>
      <xdr:rowOff>99787</xdr:rowOff>
    </xdr:from>
    <xdr:to>
      <xdr:col>24</xdr:col>
      <xdr:colOff>444499</xdr:colOff>
      <xdr:row>143</xdr:row>
      <xdr:rowOff>175987</xdr:rowOff>
    </xdr:to>
    <xdr:graphicFrame macro="">
      <xdr:nvGraphicFramePr>
        <xdr:cNvPr id="31" name="Chart 30">
          <a:extLst>
            <a:ext uri="{FF2B5EF4-FFF2-40B4-BE49-F238E27FC236}">
              <a16:creationId xmlns:a16="http://schemas.microsoft.com/office/drawing/2014/main" id="{00000000-0008-0000-0500-00001F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0"/>
        </a:graphicData>
      </a:graphic>
    </xdr:graphicFrame>
    <xdr:clientData/>
  </xdr:twoCellAnchor>
  <xdr:twoCellAnchor>
    <xdr:from>
      <xdr:col>2</xdr:col>
      <xdr:colOff>18142</xdr:colOff>
      <xdr:row>145</xdr:row>
      <xdr:rowOff>0</xdr:rowOff>
    </xdr:from>
    <xdr:to>
      <xdr:col>6</xdr:col>
      <xdr:colOff>644071</xdr:colOff>
      <xdr:row>159</xdr:row>
      <xdr:rowOff>76200</xdr:rowOff>
    </xdr:to>
    <xdr:graphicFrame macro="">
      <xdr:nvGraphicFramePr>
        <xdr:cNvPr id="32" name="Chart 31">
          <a:extLst>
            <a:ext uri="{FF2B5EF4-FFF2-40B4-BE49-F238E27FC236}">
              <a16:creationId xmlns:a16="http://schemas.microsoft.com/office/drawing/2014/main" id="{00000000-0008-0000-0500-000020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1"/>
        </a:graphicData>
      </a:graphic>
    </xdr:graphicFrame>
    <xdr:clientData/>
  </xdr:twoCellAnchor>
  <xdr:twoCellAnchor>
    <xdr:from>
      <xdr:col>7</xdr:col>
      <xdr:colOff>190501</xdr:colOff>
      <xdr:row>145</xdr:row>
      <xdr:rowOff>18143</xdr:rowOff>
    </xdr:from>
    <xdr:to>
      <xdr:col>12</xdr:col>
      <xdr:colOff>308429</xdr:colOff>
      <xdr:row>159</xdr:row>
      <xdr:rowOff>94343</xdr:rowOff>
    </xdr:to>
    <xdr:graphicFrame macro="">
      <xdr:nvGraphicFramePr>
        <xdr:cNvPr id="33" name="Chart 32">
          <a:extLst>
            <a:ext uri="{FF2B5EF4-FFF2-40B4-BE49-F238E27FC236}">
              <a16:creationId xmlns:a16="http://schemas.microsoft.com/office/drawing/2014/main" id="{00000000-0008-0000-0500-000021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2"/>
        </a:graphicData>
      </a:graphic>
    </xdr:graphicFrame>
    <xdr:clientData/>
  </xdr:twoCellAnchor>
  <xdr:twoCellAnchor>
    <xdr:from>
      <xdr:col>12</xdr:col>
      <xdr:colOff>526143</xdr:colOff>
      <xdr:row>145</xdr:row>
      <xdr:rowOff>36286</xdr:rowOff>
    </xdr:from>
    <xdr:to>
      <xdr:col>17</xdr:col>
      <xdr:colOff>526143</xdr:colOff>
      <xdr:row>159</xdr:row>
      <xdr:rowOff>112486</xdr:rowOff>
    </xdr:to>
    <xdr:graphicFrame macro="">
      <xdr:nvGraphicFramePr>
        <xdr:cNvPr id="34" name="Chart 33">
          <a:extLst>
            <a:ext uri="{FF2B5EF4-FFF2-40B4-BE49-F238E27FC236}">
              <a16:creationId xmlns:a16="http://schemas.microsoft.com/office/drawing/2014/main" id="{00000000-0008-0000-0500-00002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3"/>
        </a:graphicData>
      </a:graphic>
    </xdr:graphicFrame>
    <xdr:clientData/>
  </xdr:twoCellAnchor>
  <xdr:twoCellAnchor>
    <xdr:from>
      <xdr:col>18</xdr:col>
      <xdr:colOff>18142</xdr:colOff>
      <xdr:row>145</xdr:row>
      <xdr:rowOff>36286</xdr:rowOff>
    </xdr:from>
    <xdr:to>
      <xdr:col>24</xdr:col>
      <xdr:colOff>399142</xdr:colOff>
      <xdr:row>159</xdr:row>
      <xdr:rowOff>112486</xdr:rowOff>
    </xdr:to>
    <xdr:graphicFrame macro="">
      <xdr:nvGraphicFramePr>
        <xdr:cNvPr id="35" name="Chart 34">
          <a:extLst>
            <a:ext uri="{FF2B5EF4-FFF2-40B4-BE49-F238E27FC236}">
              <a16:creationId xmlns:a16="http://schemas.microsoft.com/office/drawing/2014/main" id="{00000000-0008-0000-0500-00002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4"/>
        </a:graphicData>
      </a:graphic>
    </xdr:graphicFrame>
    <xdr:clientData/>
  </xdr:twoCellAnchor>
  <xdr:twoCellAnchor>
    <xdr:from>
      <xdr:col>2</xdr:col>
      <xdr:colOff>0</xdr:colOff>
      <xdr:row>160</xdr:row>
      <xdr:rowOff>18143</xdr:rowOff>
    </xdr:from>
    <xdr:to>
      <xdr:col>6</xdr:col>
      <xdr:colOff>625929</xdr:colOff>
      <xdr:row>174</xdr:row>
      <xdr:rowOff>94343</xdr:rowOff>
    </xdr:to>
    <xdr:graphicFrame macro="">
      <xdr:nvGraphicFramePr>
        <xdr:cNvPr id="36" name="Chart 35">
          <a:extLst>
            <a:ext uri="{FF2B5EF4-FFF2-40B4-BE49-F238E27FC236}">
              <a16:creationId xmlns:a16="http://schemas.microsoft.com/office/drawing/2014/main" id="{00000000-0008-0000-0500-00002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5"/>
        </a:graphicData>
      </a:graphic>
    </xdr:graphicFrame>
    <xdr:clientData/>
  </xdr:twoCellAnchor>
  <xdr:twoCellAnchor>
    <xdr:from>
      <xdr:col>7</xdr:col>
      <xdr:colOff>190500</xdr:colOff>
      <xdr:row>160</xdr:row>
      <xdr:rowOff>36286</xdr:rowOff>
    </xdr:from>
    <xdr:to>
      <xdr:col>12</xdr:col>
      <xdr:colOff>308428</xdr:colOff>
      <xdr:row>174</xdr:row>
      <xdr:rowOff>112486</xdr:rowOff>
    </xdr:to>
    <xdr:graphicFrame macro="">
      <xdr:nvGraphicFramePr>
        <xdr:cNvPr id="37" name="Chart 36">
          <a:extLst>
            <a:ext uri="{FF2B5EF4-FFF2-40B4-BE49-F238E27FC236}">
              <a16:creationId xmlns:a16="http://schemas.microsoft.com/office/drawing/2014/main" id="{00000000-0008-0000-0500-00002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6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28</xdr:col>
      <xdr:colOff>279398</xdr:colOff>
      <xdr:row>42</xdr:row>
      <xdr:rowOff>118532</xdr:rowOff>
    </xdr:from>
    <xdr:to>
      <xdr:col>41</xdr:col>
      <xdr:colOff>541867</xdr:colOff>
      <xdr:row>70</xdr:row>
      <xdr:rowOff>93133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FFFF00"/>
  </sheetPr>
  <dimension ref="B1:M11"/>
  <sheetViews>
    <sheetView zoomScale="160" zoomScaleNormal="160" workbookViewId="0">
      <selection activeCell="F16" sqref="F16"/>
    </sheetView>
  </sheetViews>
  <sheetFormatPr defaultColWidth="9.1796875" defaultRowHeight="14.5" x14ac:dyDescent="0.35"/>
  <cols>
    <col min="1" max="1" width="23.1796875" style="56" customWidth="1"/>
    <col min="2" max="5" width="12.81640625" style="56" customWidth="1"/>
    <col min="6" max="6" width="13.6328125" style="56" customWidth="1"/>
    <col min="7" max="10" width="12.81640625" style="56" customWidth="1"/>
    <col min="11" max="13" width="2" style="56" customWidth="1"/>
    <col min="14" max="49" width="9.1796875" style="56" customWidth="1"/>
    <col min="50" max="16384" width="9.1796875" style="56"/>
  </cols>
  <sheetData>
    <row r="1" spans="2:13" x14ac:dyDescent="0.35">
      <c r="B1" s="14"/>
      <c r="C1" s="15"/>
      <c r="D1" s="15"/>
      <c r="E1" s="15"/>
    </row>
    <row r="2" spans="2:13" x14ac:dyDescent="0.35">
      <c r="B2" s="59" t="s">
        <v>0</v>
      </c>
      <c r="C2" s="60"/>
      <c r="D2" s="60"/>
      <c r="E2" s="60"/>
      <c r="F2" s="60"/>
      <c r="G2" s="60"/>
      <c r="H2" s="60"/>
      <c r="I2" s="60"/>
      <c r="J2" s="61"/>
    </row>
    <row r="4" spans="2:13" x14ac:dyDescent="0.35">
      <c r="B4" s="59" t="s">
        <v>1</v>
      </c>
      <c r="C4" s="60"/>
      <c r="D4" s="60"/>
      <c r="E4" s="60"/>
      <c r="F4" s="61"/>
      <c r="G4" s="59" t="s">
        <v>2</v>
      </c>
      <c r="H4" s="60"/>
      <c r="I4" s="60"/>
      <c r="J4" s="61"/>
    </row>
    <row r="6" spans="2:13" x14ac:dyDescent="0.35">
      <c r="B6" s="62" t="s">
        <v>3</v>
      </c>
      <c r="C6" s="62"/>
      <c r="D6" s="62"/>
      <c r="E6" s="62"/>
      <c r="F6" s="62"/>
      <c r="G6" s="62" t="s">
        <v>4</v>
      </c>
      <c r="H6" s="62"/>
      <c r="I6" s="62"/>
      <c r="J6" s="62"/>
    </row>
    <row r="7" spans="2:13" ht="30.75" customHeight="1" x14ac:dyDescent="0.35">
      <c r="G7" s="63" t="s">
        <v>5</v>
      </c>
      <c r="H7" s="62"/>
      <c r="I7" s="62"/>
      <c r="J7" s="62"/>
    </row>
    <row r="8" spans="2:13" x14ac:dyDescent="0.35">
      <c r="B8" s="63"/>
      <c r="C8" s="62"/>
      <c r="D8" s="62"/>
      <c r="E8" s="62"/>
      <c r="F8" s="62"/>
      <c r="G8" s="62"/>
      <c r="H8" s="62"/>
      <c r="I8" s="62"/>
      <c r="J8" s="62"/>
    </row>
    <row r="9" spans="2:13" x14ac:dyDescent="0.35">
      <c r="B9" s="64"/>
      <c r="C9" s="62"/>
      <c r="D9" s="62"/>
      <c r="E9" s="62"/>
      <c r="F9" s="62"/>
      <c r="G9" s="62"/>
      <c r="H9" s="62"/>
      <c r="I9" s="62"/>
      <c r="J9" s="62"/>
      <c r="K9" s="62"/>
      <c r="L9" s="62"/>
      <c r="M9" s="62"/>
    </row>
    <row r="10" spans="2:13" x14ac:dyDescent="0.35">
      <c r="B10" s="63"/>
      <c r="C10" s="62"/>
      <c r="D10" s="62"/>
      <c r="E10" s="62"/>
      <c r="F10" s="62"/>
      <c r="G10" s="62"/>
      <c r="H10" s="62"/>
      <c r="I10" s="62"/>
      <c r="J10" s="62"/>
      <c r="K10" s="62"/>
      <c r="L10" s="62"/>
      <c r="M10" s="62"/>
    </row>
    <row r="11" spans="2:13" x14ac:dyDescent="0.35">
      <c r="B11" s="65"/>
      <c r="C11" s="62"/>
      <c r="D11" s="62"/>
      <c r="E11" s="62"/>
      <c r="F11" s="62"/>
      <c r="G11" s="62"/>
      <c r="H11" s="62"/>
      <c r="I11" s="62"/>
      <c r="J11" s="62"/>
      <c r="K11" s="62"/>
      <c r="L11" s="62"/>
      <c r="M11" s="62"/>
    </row>
  </sheetData>
  <mergeCells count="11">
    <mergeCell ref="G7:J7"/>
    <mergeCell ref="B9:M9"/>
    <mergeCell ref="B10:M10"/>
    <mergeCell ref="B11:M11"/>
    <mergeCell ref="B8:F8"/>
    <mergeCell ref="G8:J8"/>
    <mergeCell ref="B2:J2"/>
    <mergeCell ref="B4:F4"/>
    <mergeCell ref="G4:J4"/>
    <mergeCell ref="B6:F6"/>
    <mergeCell ref="G6:J6"/>
  </mergeCells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>
    <tabColor theme="6"/>
  </sheetPr>
  <dimension ref="A1:D29"/>
  <sheetViews>
    <sheetView topLeftCell="A16" zoomScale="190" zoomScaleNormal="190" workbookViewId="0">
      <selection activeCell="H21" sqref="H21"/>
    </sheetView>
  </sheetViews>
  <sheetFormatPr defaultColWidth="10.90625" defaultRowHeight="14.5" x14ac:dyDescent="0.35"/>
  <cols>
    <col min="1" max="1" width="34.1796875" customWidth="1"/>
  </cols>
  <sheetData>
    <row r="1" spans="1:4" x14ac:dyDescent="0.35">
      <c r="A1" t="s">
        <v>6</v>
      </c>
      <c r="B1" t="s">
        <v>7</v>
      </c>
      <c r="C1" t="s">
        <v>8</v>
      </c>
      <c r="D1" t="s">
        <v>9</v>
      </c>
    </row>
    <row r="2" spans="1:4" x14ac:dyDescent="0.35">
      <c r="A2" t="s">
        <v>10</v>
      </c>
      <c r="B2">
        <v>8.0115520919518922E-3</v>
      </c>
      <c r="C2">
        <v>-4.1033818498393453E-3</v>
      </c>
      <c r="D2">
        <v>6.5669449139205242E-3</v>
      </c>
    </row>
    <row r="3" spans="1:4" x14ac:dyDescent="0.35">
      <c r="A3" t="s">
        <v>11</v>
      </c>
      <c r="B3">
        <v>1.9421383880539569E-2</v>
      </c>
      <c r="C3">
        <v>3.683678957947209E-2</v>
      </c>
      <c r="D3">
        <v>4.9556544805406812E-2</v>
      </c>
    </row>
    <row r="4" spans="1:4" x14ac:dyDescent="0.35">
      <c r="A4" t="s">
        <v>12</v>
      </c>
      <c r="B4">
        <v>3.026000946458498E-3</v>
      </c>
      <c r="C4">
        <v>7.064925467602263E-3</v>
      </c>
      <c r="D4">
        <v>5.6183544683751563E-3</v>
      </c>
    </row>
    <row r="5" spans="1:4" x14ac:dyDescent="0.35">
      <c r="A5" t="s">
        <v>13</v>
      </c>
      <c r="B5">
        <v>1.680900962916073E-3</v>
      </c>
      <c r="C5">
        <v>3.753175448660153E-3</v>
      </c>
      <c r="D5">
        <v>5.1627441582793457E-3</v>
      </c>
    </row>
    <row r="6" spans="1:4" x14ac:dyDescent="0.35">
      <c r="A6" t="s">
        <v>14</v>
      </c>
      <c r="B6">
        <v>-1.146297453386045E-2</v>
      </c>
      <c r="C6">
        <v>1.029219556500742E-2</v>
      </c>
      <c r="D6">
        <v>-1.152241337683322E-2</v>
      </c>
    </row>
    <row r="7" spans="1:4" x14ac:dyDescent="0.35">
      <c r="A7" t="s">
        <v>15</v>
      </c>
      <c r="B7">
        <v>-6.9478288538297643E-3</v>
      </c>
      <c r="C7">
        <v>9.1744067540833144E-3</v>
      </c>
      <c r="D7">
        <v>-1.439818913351496E-2</v>
      </c>
    </row>
    <row r="8" spans="1:4" x14ac:dyDescent="0.35">
      <c r="A8" t="s">
        <v>16</v>
      </c>
      <c r="B8">
        <v>-2.7777777777777801E-2</v>
      </c>
      <c r="C8">
        <v>0</v>
      </c>
      <c r="D8">
        <v>-7.1428571428571494E-2</v>
      </c>
    </row>
    <row r="9" spans="1:4" x14ac:dyDescent="0.35">
      <c r="A9" t="s">
        <v>17</v>
      </c>
      <c r="B9">
        <v>153743</v>
      </c>
      <c r="C9">
        <v>151903</v>
      </c>
      <c r="D9">
        <v>149240</v>
      </c>
    </row>
    <row r="10" spans="1:4" x14ac:dyDescent="0.35">
      <c r="A10" t="s">
        <v>18</v>
      </c>
      <c r="B10">
        <v>190000</v>
      </c>
      <c r="C10">
        <v>248000</v>
      </c>
      <c r="D10">
        <v>214000</v>
      </c>
    </row>
    <row r="11" spans="1:4" x14ac:dyDescent="0.35">
      <c r="A11" t="s">
        <v>19</v>
      </c>
      <c r="B11">
        <v>-7.2283975916219642E-3</v>
      </c>
      <c r="C11">
        <v>-2.0947615600693131E-3</v>
      </c>
      <c r="D11">
        <v>-1.9840919567284941E-3</v>
      </c>
    </row>
    <row r="12" spans="1:4" x14ac:dyDescent="0.35">
      <c r="A12" t="s">
        <v>20</v>
      </c>
      <c r="B12" t="s">
        <v>21</v>
      </c>
    </row>
    <row r="13" spans="1:4" x14ac:dyDescent="0.35">
      <c r="A13" t="s">
        <v>22</v>
      </c>
      <c r="B13">
        <v>1.5250000000000339E-3</v>
      </c>
    </row>
    <row r="14" spans="1:4" x14ac:dyDescent="0.35">
      <c r="A14" t="s">
        <v>23</v>
      </c>
      <c r="B14">
        <v>5.2499999999994879E-4</v>
      </c>
    </row>
    <row r="15" spans="1:4" x14ac:dyDescent="0.35">
      <c r="A15" t="s">
        <v>24</v>
      </c>
      <c r="B15">
        <v>-1.8774999999999979E-2</v>
      </c>
    </row>
    <row r="16" spans="1:4" x14ac:dyDescent="0.35">
      <c r="A16" t="s">
        <v>25</v>
      </c>
      <c r="B16">
        <v>4.72</v>
      </c>
      <c r="C16">
        <v>2.41</v>
      </c>
    </row>
    <row r="17" spans="1:4" x14ac:dyDescent="0.35">
      <c r="A17" t="s">
        <v>26</v>
      </c>
      <c r="B17">
        <v>4.1399999999999997</v>
      </c>
      <c r="C17">
        <v>2.89</v>
      </c>
      <c r="D17">
        <v>1.1846000000000001</v>
      </c>
    </row>
    <row r="18" spans="1:4" x14ac:dyDescent="0.35">
      <c r="A18" t="s">
        <v>27</v>
      </c>
      <c r="B18">
        <v>3.48</v>
      </c>
      <c r="C18">
        <v>2.67</v>
      </c>
      <c r="D18">
        <v>1.784</v>
      </c>
    </row>
    <row r="19" spans="1:4" x14ac:dyDescent="0.35">
      <c r="A19" t="s">
        <v>28</v>
      </c>
      <c r="B19">
        <v>3.66</v>
      </c>
      <c r="C19">
        <v>3</v>
      </c>
    </row>
    <row r="20" spans="1:4" x14ac:dyDescent="0.35">
      <c r="A20" t="s">
        <v>29</v>
      </c>
      <c r="B20">
        <v>101.9919967651367</v>
      </c>
      <c r="C20">
        <v>105.90000152587891</v>
      </c>
      <c r="D20">
        <v>96.540000915527344</v>
      </c>
    </row>
    <row r="21" spans="1:4" x14ac:dyDescent="0.35">
      <c r="A21" t="s">
        <v>30</v>
      </c>
      <c r="B21">
        <v>59.7</v>
      </c>
      <c r="C21">
        <v>50</v>
      </c>
      <c r="D21">
        <v>70.599999999999994</v>
      </c>
    </row>
    <row r="22" spans="1:4" x14ac:dyDescent="0.35">
      <c r="A22" t="s">
        <v>31</v>
      </c>
      <c r="B22">
        <v>59.9</v>
      </c>
      <c r="C22">
        <v>47.5</v>
      </c>
      <c r="D22">
        <v>68.3</v>
      </c>
    </row>
    <row r="23" spans="1:4" x14ac:dyDescent="0.35">
      <c r="A23" t="s">
        <v>32</v>
      </c>
      <c r="B23">
        <v>113.5</v>
      </c>
      <c r="C23">
        <v>118.3</v>
      </c>
      <c r="D23">
        <v>119.9</v>
      </c>
    </row>
    <row r="24" spans="1:4" x14ac:dyDescent="0.35">
      <c r="A24" t="s">
        <v>33</v>
      </c>
      <c r="B24">
        <v>1330</v>
      </c>
      <c r="C24">
        <v>1696</v>
      </c>
      <c r="D24">
        <v>1896</v>
      </c>
    </row>
    <row r="25" spans="1:4" x14ac:dyDescent="0.35">
      <c r="A25" t="s">
        <v>34</v>
      </c>
      <c r="B25">
        <v>48.4</v>
      </c>
      <c r="C25">
        <v>53</v>
      </c>
      <c r="D25">
        <v>58.7</v>
      </c>
    </row>
    <row r="26" spans="1:4" x14ac:dyDescent="0.35">
      <c r="A26" t="s">
        <v>35</v>
      </c>
      <c r="B26">
        <v>45.2</v>
      </c>
      <c r="C26">
        <v>49.2</v>
      </c>
      <c r="D26">
        <v>60.4</v>
      </c>
    </row>
    <row r="27" spans="1:4" x14ac:dyDescent="0.35">
      <c r="A27" t="s">
        <v>36</v>
      </c>
      <c r="B27">
        <v>49.6</v>
      </c>
      <c r="C27">
        <v>55.3</v>
      </c>
      <c r="D27">
        <v>62</v>
      </c>
    </row>
    <row r="28" spans="1:4" x14ac:dyDescent="0.35">
      <c r="A28" t="s">
        <v>37</v>
      </c>
      <c r="B28">
        <v>-9.238525987988461E-3</v>
      </c>
      <c r="C28">
        <v>-9.1565860215053266E-3</v>
      </c>
      <c r="D28">
        <v>3.7497070541364962E-3</v>
      </c>
    </row>
    <row r="29" spans="1:4" x14ac:dyDescent="0.35">
      <c r="A29" t="s">
        <v>38</v>
      </c>
      <c r="B29">
        <v>-3.9110888415660296E-3</v>
      </c>
      <c r="C29">
        <v>-9.4157186487243919E-3</v>
      </c>
      <c r="D29">
        <v>2.6947478579371271E-3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>
    <tabColor theme="6"/>
  </sheetPr>
  <dimension ref="A1:S7"/>
  <sheetViews>
    <sheetView zoomScale="190" zoomScaleNormal="190" workbookViewId="0">
      <selection activeCell="W14" sqref="W14"/>
    </sheetView>
  </sheetViews>
  <sheetFormatPr defaultColWidth="10.81640625" defaultRowHeight="14.5" x14ac:dyDescent="0.35"/>
  <cols>
    <col min="1" max="1" width="23.1796875" customWidth="1"/>
    <col min="2" max="30" width="10.81640625" customWidth="1"/>
  </cols>
  <sheetData>
    <row r="1" spans="1:19" x14ac:dyDescent="0.35">
      <c r="A1" t="s">
        <v>39</v>
      </c>
      <c r="B1" t="s">
        <v>40</v>
      </c>
      <c r="C1" t="s">
        <v>41</v>
      </c>
      <c r="D1" t="s">
        <v>42</v>
      </c>
      <c r="E1" t="s">
        <v>43</v>
      </c>
      <c r="F1" t="s">
        <v>44</v>
      </c>
      <c r="G1" t="s">
        <v>45</v>
      </c>
      <c r="H1" t="s">
        <v>46</v>
      </c>
      <c r="I1" t="s">
        <v>47</v>
      </c>
      <c r="J1" t="s">
        <v>48</v>
      </c>
      <c r="K1" t="s">
        <v>49</v>
      </c>
      <c r="L1" t="s">
        <v>50</v>
      </c>
      <c r="M1" t="s">
        <v>51</v>
      </c>
      <c r="N1" t="s">
        <v>52</v>
      </c>
      <c r="O1" t="s">
        <v>53</v>
      </c>
      <c r="P1" t="s">
        <v>54</v>
      </c>
      <c r="Q1" t="s">
        <v>55</v>
      </c>
      <c r="R1" t="s">
        <v>56</v>
      </c>
      <c r="S1" t="s">
        <v>57</v>
      </c>
    </row>
    <row r="2" spans="1:19" x14ac:dyDescent="0.35">
      <c r="A2" s="58">
        <v>44743</v>
      </c>
      <c r="B2">
        <v>11</v>
      </c>
      <c r="C2">
        <v>-1</v>
      </c>
      <c r="D2">
        <v>7</v>
      </c>
      <c r="E2">
        <v>1</v>
      </c>
      <c r="F2">
        <v>-3</v>
      </c>
      <c r="G2">
        <v>-2</v>
      </c>
      <c r="H2">
        <v>-6</v>
      </c>
      <c r="I2">
        <v>5</v>
      </c>
      <c r="J2">
        <v>-4</v>
      </c>
      <c r="K2">
        <v>10</v>
      </c>
      <c r="L2">
        <v>-5</v>
      </c>
      <c r="M2">
        <v>9</v>
      </c>
      <c r="N2">
        <v>2</v>
      </c>
      <c r="O2">
        <v>3</v>
      </c>
      <c r="P2">
        <v>8</v>
      </c>
      <c r="Q2">
        <v>4</v>
      </c>
      <c r="R2">
        <v>6</v>
      </c>
      <c r="S2">
        <v>-7</v>
      </c>
    </row>
    <row r="3" spans="1:19" x14ac:dyDescent="0.35">
      <c r="A3" s="58">
        <v>44774</v>
      </c>
      <c r="B3">
        <v>-6</v>
      </c>
      <c r="C3">
        <v>-3</v>
      </c>
      <c r="D3">
        <v>7</v>
      </c>
      <c r="E3">
        <v>-1</v>
      </c>
      <c r="F3">
        <v>-2</v>
      </c>
      <c r="G3">
        <v>1</v>
      </c>
      <c r="H3">
        <v>-5</v>
      </c>
      <c r="I3">
        <v>3</v>
      </c>
      <c r="J3">
        <v>2</v>
      </c>
      <c r="K3">
        <v>10</v>
      </c>
      <c r="L3">
        <v>-4</v>
      </c>
      <c r="M3">
        <v>9</v>
      </c>
      <c r="N3">
        <v>5</v>
      </c>
      <c r="O3">
        <v>4</v>
      </c>
      <c r="P3">
        <v>6</v>
      </c>
      <c r="Q3">
        <v>0</v>
      </c>
      <c r="R3">
        <v>8</v>
      </c>
      <c r="S3">
        <v>-7</v>
      </c>
    </row>
    <row r="4" spans="1:19" x14ac:dyDescent="0.35">
      <c r="A4" s="58">
        <v>44805</v>
      </c>
      <c r="B4">
        <v>5</v>
      </c>
      <c r="C4">
        <v>-2</v>
      </c>
      <c r="D4">
        <v>2</v>
      </c>
      <c r="E4">
        <v>1</v>
      </c>
      <c r="F4">
        <v>-1</v>
      </c>
      <c r="G4">
        <v>3</v>
      </c>
      <c r="H4">
        <v>-7</v>
      </c>
      <c r="I4">
        <v>8</v>
      </c>
      <c r="J4">
        <v>6</v>
      </c>
      <c r="K4">
        <v>9</v>
      </c>
      <c r="L4">
        <v>-3</v>
      </c>
      <c r="M4">
        <v>0</v>
      </c>
      <c r="N4">
        <v>7</v>
      </c>
      <c r="O4">
        <v>0</v>
      </c>
      <c r="P4">
        <v>-4</v>
      </c>
      <c r="Q4">
        <v>-6</v>
      </c>
      <c r="R4">
        <v>4</v>
      </c>
      <c r="S4">
        <v>-5</v>
      </c>
    </row>
    <row r="5" spans="1:19" x14ac:dyDescent="0.35">
      <c r="A5" s="58">
        <v>44835</v>
      </c>
      <c r="B5">
        <v>8</v>
      </c>
      <c r="C5">
        <v>-4</v>
      </c>
      <c r="D5">
        <v>-2</v>
      </c>
      <c r="E5">
        <v>1</v>
      </c>
      <c r="F5">
        <v>-5</v>
      </c>
      <c r="G5">
        <v>-1</v>
      </c>
      <c r="H5">
        <v>-10</v>
      </c>
      <c r="I5">
        <v>6</v>
      </c>
      <c r="J5">
        <v>3</v>
      </c>
      <c r="K5">
        <v>7</v>
      </c>
      <c r="L5">
        <v>-8</v>
      </c>
      <c r="M5">
        <v>5</v>
      </c>
      <c r="N5">
        <v>2</v>
      </c>
      <c r="O5">
        <v>-3</v>
      </c>
      <c r="P5">
        <v>-6</v>
      </c>
      <c r="Q5">
        <v>-7</v>
      </c>
      <c r="R5">
        <v>4</v>
      </c>
      <c r="S5">
        <v>-9</v>
      </c>
    </row>
    <row r="6" spans="1:19" x14ac:dyDescent="0.35">
      <c r="A6" s="58">
        <v>44866</v>
      </c>
      <c r="B6">
        <v>6</v>
      </c>
      <c r="C6">
        <v>-6</v>
      </c>
      <c r="D6">
        <v>-4</v>
      </c>
      <c r="E6">
        <v>-1</v>
      </c>
      <c r="F6">
        <v>-8</v>
      </c>
      <c r="G6">
        <v>-3</v>
      </c>
      <c r="H6">
        <v>-7</v>
      </c>
      <c r="I6">
        <v>-2</v>
      </c>
      <c r="J6">
        <v>3</v>
      </c>
      <c r="K6">
        <v>5</v>
      </c>
      <c r="L6">
        <v>-10</v>
      </c>
      <c r="M6">
        <v>2</v>
      </c>
      <c r="N6">
        <v>-5</v>
      </c>
      <c r="O6">
        <v>4</v>
      </c>
      <c r="P6">
        <v>-12</v>
      </c>
      <c r="Q6">
        <v>-9</v>
      </c>
      <c r="R6">
        <v>1</v>
      </c>
      <c r="S6">
        <v>-11</v>
      </c>
    </row>
    <row r="7" spans="1:19" x14ac:dyDescent="0.35">
      <c r="A7" s="58">
        <v>44896</v>
      </c>
      <c r="B7">
        <v>-6</v>
      </c>
      <c r="C7">
        <v>-11</v>
      </c>
      <c r="D7">
        <v>-5</v>
      </c>
      <c r="E7">
        <v>-8</v>
      </c>
      <c r="F7">
        <v>-12</v>
      </c>
      <c r="G7">
        <v>-3</v>
      </c>
      <c r="H7">
        <v>-7</v>
      </c>
      <c r="I7">
        <v>-4</v>
      </c>
      <c r="J7">
        <v>-1</v>
      </c>
      <c r="K7">
        <v>0</v>
      </c>
      <c r="L7">
        <v>-10</v>
      </c>
      <c r="M7">
        <v>1</v>
      </c>
      <c r="N7">
        <v>-9</v>
      </c>
      <c r="O7">
        <v>2</v>
      </c>
      <c r="P7">
        <v>0</v>
      </c>
      <c r="Q7">
        <v>0</v>
      </c>
      <c r="R7">
        <v>-2</v>
      </c>
      <c r="S7">
        <v>-13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>
    <tabColor theme="6"/>
  </sheetPr>
  <dimension ref="A1:S7"/>
  <sheetViews>
    <sheetView zoomScale="190" zoomScaleNormal="190" workbookViewId="0">
      <selection activeCell="P35" sqref="P35"/>
    </sheetView>
  </sheetViews>
  <sheetFormatPr defaultColWidth="10.81640625" defaultRowHeight="14.5" x14ac:dyDescent="0.35"/>
  <cols>
    <col min="1" max="1" width="23.1796875" customWidth="1"/>
    <col min="2" max="21" width="10.81640625" customWidth="1"/>
  </cols>
  <sheetData>
    <row r="1" spans="1:19" x14ac:dyDescent="0.35">
      <c r="A1" t="s">
        <v>39</v>
      </c>
      <c r="B1" t="s">
        <v>58</v>
      </c>
      <c r="C1" t="s">
        <v>59</v>
      </c>
      <c r="D1" t="s">
        <v>60</v>
      </c>
      <c r="E1" t="s">
        <v>61</v>
      </c>
      <c r="F1" t="s">
        <v>62</v>
      </c>
      <c r="G1" t="s">
        <v>63</v>
      </c>
      <c r="H1" t="s">
        <v>64</v>
      </c>
      <c r="I1" t="s">
        <v>65</v>
      </c>
      <c r="J1" t="s">
        <v>66</v>
      </c>
      <c r="K1" t="s">
        <v>67</v>
      </c>
      <c r="L1" t="s">
        <v>68</v>
      </c>
      <c r="M1" t="s">
        <v>69</v>
      </c>
      <c r="N1" t="s">
        <v>70</v>
      </c>
      <c r="O1" t="s">
        <v>71</v>
      </c>
      <c r="P1" t="s">
        <v>72</v>
      </c>
      <c r="Q1" t="s">
        <v>73</v>
      </c>
      <c r="R1" t="s">
        <v>74</v>
      </c>
      <c r="S1" t="s">
        <v>75</v>
      </c>
    </row>
    <row r="2" spans="1:19" x14ac:dyDescent="0.35">
      <c r="A2" s="58">
        <v>44743</v>
      </c>
      <c r="B2">
        <v>0</v>
      </c>
      <c r="C2">
        <v>3</v>
      </c>
      <c r="D2">
        <v>4</v>
      </c>
      <c r="E2">
        <v>13</v>
      </c>
      <c r="F2">
        <v>10</v>
      </c>
      <c r="G2">
        <v>7</v>
      </c>
      <c r="H2">
        <v>6</v>
      </c>
      <c r="I2">
        <v>16</v>
      </c>
      <c r="J2">
        <v>5</v>
      </c>
      <c r="K2">
        <v>1</v>
      </c>
      <c r="L2">
        <v>15</v>
      </c>
      <c r="M2">
        <v>8</v>
      </c>
      <c r="N2">
        <v>12</v>
      </c>
      <c r="O2">
        <v>14</v>
      </c>
      <c r="P2">
        <v>11</v>
      </c>
      <c r="Q2">
        <v>9</v>
      </c>
      <c r="R2">
        <v>0</v>
      </c>
      <c r="S2">
        <v>2</v>
      </c>
    </row>
    <row r="3" spans="1:19" x14ac:dyDescent="0.35">
      <c r="A3" s="58">
        <v>44774</v>
      </c>
      <c r="B3">
        <v>15</v>
      </c>
      <c r="C3">
        <v>14</v>
      </c>
      <c r="D3">
        <v>13</v>
      </c>
      <c r="E3">
        <v>-1</v>
      </c>
      <c r="F3">
        <v>7</v>
      </c>
      <c r="G3">
        <v>16</v>
      </c>
      <c r="H3">
        <v>12</v>
      </c>
      <c r="I3">
        <v>17</v>
      </c>
      <c r="J3">
        <v>4</v>
      </c>
      <c r="K3">
        <v>2</v>
      </c>
      <c r="L3">
        <v>11</v>
      </c>
      <c r="M3">
        <v>1</v>
      </c>
      <c r="N3">
        <v>9</v>
      </c>
      <c r="O3">
        <v>5</v>
      </c>
      <c r="P3">
        <v>8</v>
      </c>
      <c r="Q3">
        <v>6</v>
      </c>
      <c r="R3">
        <v>3</v>
      </c>
      <c r="S3">
        <v>10</v>
      </c>
    </row>
    <row r="4" spans="1:19" x14ac:dyDescent="0.35">
      <c r="A4" s="58">
        <v>44805</v>
      </c>
      <c r="B4">
        <v>18</v>
      </c>
      <c r="C4">
        <v>7</v>
      </c>
      <c r="D4">
        <v>16</v>
      </c>
      <c r="E4">
        <v>3</v>
      </c>
      <c r="F4">
        <v>11</v>
      </c>
      <c r="G4">
        <v>12</v>
      </c>
      <c r="H4">
        <v>1</v>
      </c>
      <c r="I4">
        <v>6</v>
      </c>
      <c r="J4">
        <v>8</v>
      </c>
      <c r="K4">
        <v>2</v>
      </c>
      <c r="L4">
        <v>17</v>
      </c>
      <c r="M4">
        <v>5</v>
      </c>
      <c r="N4">
        <v>15</v>
      </c>
      <c r="O4">
        <v>10</v>
      </c>
      <c r="P4">
        <v>4</v>
      </c>
      <c r="Q4">
        <v>14</v>
      </c>
      <c r="R4">
        <v>9</v>
      </c>
      <c r="S4">
        <v>13</v>
      </c>
    </row>
    <row r="5" spans="1:19" x14ac:dyDescent="0.35">
      <c r="A5" s="58">
        <v>44835</v>
      </c>
      <c r="B5">
        <v>5</v>
      </c>
      <c r="C5">
        <v>4</v>
      </c>
      <c r="D5">
        <v>14</v>
      </c>
      <c r="E5">
        <v>2</v>
      </c>
      <c r="F5">
        <v>15</v>
      </c>
      <c r="G5">
        <v>17</v>
      </c>
      <c r="H5">
        <v>10</v>
      </c>
      <c r="I5">
        <v>13</v>
      </c>
      <c r="J5">
        <v>11</v>
      </c>
      <c r="K5">
        <v>-1</v>
      </c>
      <c r="L5">
        <v>7</v>
      </c>
      <c r="M5">
        <v>8</v>
      </c>
      <c r="N5">
        <v>3</v>
      </c>
      <c r="O5">
        <v>16</v>
      </c>
      <c r="P5">
        <v>9</v>
      </c>
      <c r="Q5">
        <v>6</v>
      </c>
      <c r="R5">
        <v>1</v>
      </c>
      <c r="S5">
        <v>12</v>
      </c>
    </row>
    <row r="6" spans="1:19" x14ac:dyDescent="0.35">
      <c r="A6" s="58">
        <v>44866</v>
      </c>
      <c r="B6">
        <v>5</v>
      </c>
      <c r="C6">
        <v>7</v>
      </c>
      <c r="D6">
        <v>14</v>
      </c>
      <c r="E6">
        <v>16</v>
      </c>
      <c r="F6">
        <v>1</v>
      </c>
      <c r="G6">
        <v>15</v>
      </c>
      <c r="H6">
        <v>2</v>
      </c>
      <c r="I6">
        <v>4</v>
      </c>
      <c r="J6">
        <v>-1</v>
      </c>
      <c r="K6">
        <v>-2</v>
      </c>
      <c r="L6">
        <v>12</v>
      </c>
      <c r="M6">
        <v>6</v>
      </c>
      <c r="N6">
        <v>8</v>
      </c>
      <c r="O6">
        <v>9</v>
      </c>
      <c r="P6">
        <v>11</v>
      </c>
      <c r="Q6">
        <v>13</v>
      </c>
      <c r="R6">
        <v>3</v>
      </c>
      <c r="S6">
        <v>10</v>
      </c>
    </row>
    <row r="7" spans="1:19" x14ac:dyDescent="0.35">
      <c r="A7" s="58">
        <v>44896</v>
      </c>
      <c r="B7">
        <v>0</v>
      </c>
      <c r="C7">
        <v>6</v>
      </c>
      <c r="D7">
        <v>13</v>
      </c>
      <c r="E7">
        <v>8</v>
      </c>
      <c r="F7">
        <v>4</v>
      </c>
      <c r="G7">
        <v>0</v>
      </c>
      <c r="H7">
        <v>3</v>
      </c>
      <c r="I7">
        <v>0</v>
      </c>
      <c r="J7">
        <v>2</v>
      </c>
      <c r="K7">
        <v>1</v>
      </c>
      <c r="L7">
        <v>15</v>
      </c>
      <c r="M7">
        <v>9</v>
      </c>
      <c r="N7">
        <v>7</v>
      </c>
      <c r="O7">
        <v>14</v>
      </c>
      <c r="P7">
        <v>5</v>
      </c>
      <c r="Q7">
        <v>12</v>
      </c>
      <c r="R7">
        <v>11</v>
      </c>
      <c r="S7">
        <v>10</v>
      </c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>
    <tabColor theme="6"/>
  </sheetPr>
  <dimension ref="A1:AA148"/>
  <sheetViews>
    <sheetView tabSelected="1" zoomScaleNormal="100" workbookViewId="0">
      <pane ySplit="1" topLeftCell="A134" activePane="bottomLeft" state="frozen"/>
      <selection activeCell="AB21" sqref="AB21"/>
      <selection pane="bottomLeft" activeCell="AB21" sqref="AB21"/>
    </sheetView>
  </sheetViews>
  <sheetFormatPr defaultColWidth="10.90625" defaultRowHeight="14.5" x14ac:dyDescent="0.35"/>
  <sheetData>
    <row r="1" spans="1:27" x14ac:dyDescent="0.35">
      <c r="A1" t="s">
        <v>39</v>
      </c>
      <c r="B1" t="s">
        <v>76</v>
      </c>
      <c r="C1" t="s">
        <v>77</v>
      </c>
      <c r="D1" t="s">
        <v>78</v>
      </c>
      <c r="E1" t="s">
        <v>79</v>
      </c>
      <c r="F1" t="s">
        <v>80</v>
      </c>
      <c r="G1" t="s">
        <v>81</v>
      </c>
      <c r="H1" t="s">
        <v>82</v>
      </c>
      <c r="I1" t="s">
        <v>83</v>
      </c>
      <c r="J1" t="s">
        <v>84</v>
      </c>
      <c r="K1" t="s">
        <v>85</v>
      </c>
      <c r="L1" t="s">
        <v>86</v>
      </c>
      <c r="M1" t="s">
        <v>87</v>
      </c>
      <c r="N1" t="s">
        <v>88</v>
      </c>
      <c r="O1" t="s">
        <v>89</v>
      </c>
      <c r="P1" t="s">
        <v>90</v>
      </c>
      <c r="Q1" t="s">
        <v>91</v>
      </c>
      <c r="R1" t="s">
        <v>92</v>
      </c>
      <c r="S1" t="s">
        <v>93</v>
      </c>
      <c r="T1" t="s">
        <v>94</v>
      </c>
      <c r="U1" t="s">
        <v>95</v>
      </c>
      <c r="V1" t="s">
        <v>96</v>
      </c>
      <c r="W1" t="s">
        <v>97</v>
      </c>
      <c r="X1" t="s">
        <v>98</v>
      </c>
      <c r="Y1" t="s">
        <v>99</v>
      </c>
      <c r="Z1" t="s">
        <v>100</v>
      </c>
      <c r="AA1" t="s">
        <v>101</v>
      </c>
    </row>
    <row r="2" spans="1:27" x14ac:dyDescent="0.35">
      <c r="A2" s="58">
        <v>40452</v>
      </c>
      <c r="B2">
        <v>53.7</v>
      </c>
      <c r="C2">
        <v>56.9</v>
      </c>
    </row>
    <row r="3" spans="1:27" x14ac:dyDescent="0.35">
      <c r="A3" s="58">
        <v>40483</v>
      </c>
      <c r="B3">
        <v>54</v>
      </c>
      <c r="C3">
        <v>57.3</v>
      </c>
    </row>
    <row r="4" spans="1:27" x14ac:dyDescent="0.35">
      <c r="A4" s="58">
        <v>40513</v>
      </c>
      <c r="B4">
        <v>54.9</v>
      </c>
      <c r="C4">
        <v>56.6</v>
      </c>
    </row>
    <row r="5" spans="1:27" x14ac:dyDescent="0.35">
      <c r="A5" s="58">
        <v>40544</v>
      </c>
      <c r="B5">
        <v>57.2</v>
      </c>
      <c r="C5">
        <v>59.1</v>
      </c>
    </row>
    <row r="6" spans="1:27" x14ac:dyDescent="0.35">
      <c r="A6" s="58">
        <v>40575</v>
      </c>
      <c r="B6">
        <v>58.2</v>
      </c>
      <c r="C6">
        <v>59.2</v>
      </c>
    </row>
    <row r="7" spans="1:27" x14ac:dyDescent="0.35">
      <c r="A7" s="58">
        <v>40603</v>
      </c>
      <c r="B7">
        <v>56</v>
      </c>
      <c r="C7">
        <v>58.4</v>
      </c>
    </row>
    <row r="8" spans="1:27" x14ac:dyDescent="0.35">
      <c r="A8" s="58">
        <v>40634</v>
      </c>
      <c r="B8">
        <v>55.5</v>
      </c>
      <c r="C8">
        <v>57.9</v>
      </c>
      <c r="D8">
        <v>60.4</v>
      </c>
      <c r="E8">
        <v>51.8</v>
      </c>
      <c r="F8">
        <v>58</v>
      </c>
      <c r="G8">
        <v>45.7</v>
      </c>
      <c r="H8">
        <v>62</v>
      </c>
      <c r="I8">
        <v>57.5</v>
      </c>
      <c r="J8">
        <v>54.6</v>
      </c>
      <c r="K8">
        <v>55.5</v>
      </c>
      <c r="L8">
        <v>50.6</v>
      </c>
      <c r="M8">
        <v>52.5</v>
      </c>
      <c r="N8">
        <v>56.1</v>
      </c>
      <c r="O8">
        <v>52.1</v>
      </c>
      <c r="P8">
        <v>58</v>
      </c>
      <c r="Q8">
        <v>56.3</v>
      </c>
      <c r="R8">
        <v>48.4</v>
      </c>
      <c r="S8">
        <v>48.1</v>
      </c>
      <c r="T8">
        <v>51.7</v>
      </c>
      <c r="U8">
        <v>58.2</v>
      </c>
      <c r="V8">
        <v>46.8</v>
      </c>
      <c r="W8">
        <v>56</v>
      </c>
      <c r="X8">
        <v>52.7</v>
      </c>
      <c r="Y8">
        <v>59</v>
      </c>
      <c r="Z8">
        <v>54.4</v>
      </c>
      <c r="AA8">
        <v>63.05</v>
      </c>
    </row>
    <row r="9" spans="1:27" x14ac:dyDescent="0.35">
      <c r="A9" s="58">
        <v>40664</v>
      </c>
      <c r="B9">
        <v>53.1</v>
      </c>
      <c r="C9">
        <v>54.8</v>
      </c>
      <c r="D9">
        <v>53.5</v>
      </c>
      <c r="E9">
        <v>51.6</v>
      </c>
      <c r="F9">
        <v>54.6</v>
      </c>
      <c r="G9">
        <v>51.3</v>
      </c>
      <c r="H9">
        <v>57.7</v>
      </c>
      <c r="I9">
        <v>54.9</v>
      </c>
      <c r="J9">
        <v>52.1</v>
      </c>
      <c r="K9">
        <v>52.8</v>
      </c>
      <c r="L9">
        <v>48.2</v>
      </c>
      <c r="M9">
        <v>53</v>
      </c>
      <c r="N9">
        <v>54.5</v>
      </c>
      <c r="O9">
        <v>50.9</v>
      </c>
      <c r="P9">
        <v>57.5</v>
      </c>
      <c r="Q9">
        <v>54.8</v>
      </c>
      <c r="R9">
        <v>47.7</v>
      </c>
      <c r="S9">
        <v>48</v>
      </c>
      <c r="T9">
        <v>51.2</v>
      </c>
      <c r="U9">
        <v>54.9</v>
      </c>
      <c r="V9">
        <v>44.5</v>
      </c>
      <c r="W9">
        <v>51.8</v>
      </c>
      <c r="X9">
        <v>50.6</v>
      </c>
      <c r="Y9">
        <v>55.9</v>
      </c>
      <c r="Z9">
        <v>52.6</v>
      </c>
      <c r="AA9">
        <v>58.59</v>
      </c>
    </row>
    <row r="10" spans="1:27" x14ac:dyDescent="0.35">
      <c r="A10" s="58">
        <v>40695</v>
      </c>
      <c r="B10">
        <v>52.8</v>
      </c>
      <c r="C10">
        <v>55.8</v>
      </c>
      <c r="D10">
        <v>55.3</v>
      </c>
      <c r="E10">
        <v>50.1</v>
      </c>
      <c r="F10">
        <v>52</v>
      </c>
      <c r="G10">
        <v>50.7</v>
      </c>
      <c r="H10">
        <v>54.9</v>
      </c>
      <c r="I10">
        <v>50.1</v>
      </c>
      <c r="J10">
        <v>51.3</v>
      </c>
      <c r="K10">
        <v>49.9</v>
      </c>
      <c r="L10">
        <v>47.3</v>
      </c>
      <c r="M10">
        <v>49</v>
      </c>
      <c r="N10">
        <v>55.1</v>
      </c>
      <c r="O10">
        <v>50.6</v>
      </c>
      <c r="P10">
        <v>55.3</v>
      </c>
      <c r="Q10">
        <v>52.8</v>
      </c>
      <c r="R10">
        <v>52.9</v>
      </c>
      <c r="S10">
        <v>50.5</v>
      </c>
      <c r="T10">
        <v>51.2</v>
      </c>
      <c r="U10">
        <v>49.9</v>
      </c>
      <c r="V10">
        <v>45.5</v>
      </c>
      <c r="W10">
        <v>49.8</v>
      </c>
      <c r="X10">
        <v>52.3</v>
      </c>
      <c r="Y10">
        <v>55.1</v>
      </c>
      <c r="Z10">
        <v>51.2</v>
      </c>
      <c r="AA10">
        <v>58.05</v>
      </c>
    </row>
    <row r="11" spans="1:27" x14ac:dyDescent="0.35">
      <c r="A11" s="58">
        <v>40725</v>
      </c>
      <c r="B11">
        <v>50.9</v>
      </c>
      <c r="C11">
        <v>52.9</v>
      </c>
      <c r="D11">
        <v>50.9</v>
      </c>
      <c r="E11">
        <v>49.3</v>
      </c>
      <c r="F11">
        <v>50.4</v>
      </c>
      <c r="G11">
        <v>52.1</v>
      </c>
      <c r="H11">
        <v>52</v>
      </c>
      <c r="I11">
        <v>50.5</v>
      </c>
      <c r="J11">
        <v>49.1</v>
      </c>
      <c r="K11">
        <v>50.1</v>
      </c>
      <c r="L11">
        <v>45.6</v>
      </c>
      <c r="M11">
        <v>47.8</v>
      </c>
      <c r="N11">
        <v>54.8</v>
      </c>
      <c r="O11">
        <v>49.8</v>
      </c>
      <c r="P11">
        <v>56.3</v>
      </c>
      <c r="Q11">
        <v>53.1</v>
      </c>
      <c r="R11">
        <v>43.4</v>
      </c>
      <c r="S11">
        <v>51</v>
      </c>
      <c r="T11">
        <v>51.1</v>
      </c>
      <c r="U11">
        <v>46.1</v>
      </c>
      <c r="V11">
        <v>45.2</v>
      </c>
      <c r="W11">
        <v>48.2</v>
      </c>
      <c r="X11">
        <v>52.3</v>
      </c>
      <c r="Y11">
        <v>53.4</v>
      </c>
      <c r="Z11">
        <v>52.9</v>
      </c>
      <c r="AA11">
        <v>58.37</v>
      </c>
    </row>
    <row r="12" spans="1:27" x14ac:dyDescent="0.35">
      <c r="A12" s="58">
        <v>40756</v>
      </c>
      <c r="B12">
        <v>50.4</v>
      </c>
      <c r="C12">
        <v>52.6</v>
      </c>
      <c r="D12">
        <v>50.6</v>
      </c>
      <c r="E12">
        <v>49.9</v>
      </c>
      <c r="F12">
        <v>49</v>
      </c>
      <c r="G12">
        <v>51.9</v>
      </c>
      <c r="H12">
        <v>50.9</v>
      </c>
      <c r="I12">
        <v>49.1</v>
      </c>
      <c r="J12">
        <v>49</v>
      </c>
      <c r="K12">
        <v>47</v>
      </c>
      <c r="L12">
        <v>45.3</v>
      </c>
      <c r="M12">
        <v>46</v>
      </c>
      <c r="N12">
        <v>51.7</v>
      </c>
      <c r="O12">
        <v>49.9</v>
      </c>
      <c r="P12">
        <v>52.6</v>
      </c>
      <c r="Q12">
        <v>54.9</v>
      </c>
      <c r="R12">
        <v>43.3</v>
      </c>
      <c r="S12">
        <v>50.9</v>
      </c>
      <c r="T12">
        <v>51.3</v>
      </c>
      <c r="U12">
        <v>45.2</v>
      </c>
      <c r="V12">
        <v>43.3</v>
      </c>
      <c r="W12">
        <v>49.7</v>
      </c>
      <c r="X12">
        <v>49.8</v>
      </c>
      <c r="Y12">
        <v>53.4</v>
      </c>
      <c r="Z12">
        <v>51.8</v>
      </c>
      <c r="AA12">
        <v>55.07</v>
      </c>
    </row>
    <row r="13" spans="1:27" x14ac:dyDescent="0.35">
      <c r="A13" s="58">
        <v>40787</v>
      </c>
      <c r="B13">
        <v>50.1</v>
      </c>
      <c r="C13">
        <v>53.7</v>
      </c>
      <c r="D13">
        <v>51.6</v>
      </c>
      <c r="E13">
        <v>49.9</v>
      </c>
      <c r="F13">
        <v>48.5</v>
      </c>
      <c r="G13">
        <v>49.3</v>
      </c>
      <c r="H13">
        <v>50.3</v>
      </c>
      <c r="I13">
        <v>48.2</v>
      </c>
      <c r="J13">
        <v>51.1</v>
      </c>
      <c r="K13">
        <v>48.3</v>
      </c>
      <c r="L13">
        <v>43.7</v>
      </c>
      <c r="M13">
        <v>45.5</v>
      </c>
      <c r="N13">
        <v>53.2</v>
      </c>
      <c r="O13">
        <v>50</v>
      </c>
      <c r="P13">
        <v>50.4</v>
      </c>
      <c r="Q13">
        <v>55</v>
      </c>
      <c r="R13">
        <v>42.3</v>
      </c>
      <c r="S13">
        <v>49.8</v>
      </c>
      <c r="T13">
        <v>49.7</v>
      </c>
      <c r="U13">
        <v>44.5</v>
      </c>
      <c r="V13">
        <v>43.2</v>
      </c>
      <c r="W13">
        <v>47.3</v>
      </c>
      <c r="X13">
        <v>51.5</v>
      </c>
      <c r="Y13">
        <v>52.3</v>
      </c>
      <c r="Z13">
        <v>50.2</v>
      </c>
      <c r="AA13">
        <v>64.400000000000006</v>
      </c>
    </row>
    <row r="14" spans="1:27" x14ac:dyDescent="0.35">
      <c r="A14" s="58">
        <v>40817</v>
      </c>
      <c r="B14">
        <v>49.5</v>
      </c>
      <c r="C14">
        <v>51.4</v>
      </c>
      <c r="D14">
        <v>50.8</v>
      </c>
      <c r="E14">
        <v>51</v>
      </c>
      <c r="F14">
        <v>47.1</v>
      </c>
      <c r="G14">
        <v>50.6</v>
      </c>
      <c r="H14">
        <v>49.1</v>
      </c>
      <c r="I14">
        <v>48.5</v>
      </c>
      <c r="J14">
        <v>47.4</v>
      </c>
      <c r="K14">
        <v>43.3</v>
      </c>
      <c r="L14">
        <v>43.9</v>
      </c>
      <c r="M14">
        <v>46.5</v>
      </c>
      <c r="N14">
        <v>54.8</v>
      </c>
      <c r="O14">
        <v>50.4</v>
      </c>
      <c r="P14">
        <v>51</v>
      </c>
      <c r="Q14">
        <v>53.7</v>
      </c>
      <c r="R14">
        <v>47.4</v>
      </c>
      <c r="S14">
        <v>51.3</v>
      </c>
      <c r="T14">
        <v>47.4</v>
      </c>
      <c r="U14">
        <v>48</v>
      </c>
      <c r="V14">
        <v>40.5</v>
      </c>
      <c r="W14">
        <v>50.1</v>
      </c>
      <c r="X14">
        <v>53.3</v>
      </c>
      <c r="Y14">
        <v>51.7</v>
      </c>
      <c r="Z14">
        <v>51.7</v>
      </c>
      <c r="AA14">
        <v>43.91</v>
      </c>
    </row>
    <row r="15" spans="1:27" x14ac:dyDescent="0.35">
      <c r="A15" s="58">
        <v>40848</v>
      </c>
      <c r="B15">
        <v>49.6</v>
      </c>
      <c r="C15">
        <v>51.8</v>
      </c>
      <c r="D15">
        <v>52.7</v>
      </c>
      <c r="E15">
        <v>47.7</v>
      </c>
      <c r="F15">
        <v>46.4</v>
      </c>
      <c r="G15">
        <v>49.1</v>
      </c>
      <c r="H15">
        <v>47.9</v>
      </c>
      <c r="I15">
        <v>47.3</v>
      </c>
      <c r="J15">
        <v>47.6</v>
      </c>
      <c r="K15">
        <v>44</v>
      </c>
      <c r="L15">
        <v>43.8</v>
      </c>
      <c r="M15">
        <v>48.7</v>
      </c>
      <c r="N15">
        <v>53.9</v>
      </c>
      <c r="O15">
        <v>52.6</v>
      </c>
      <c r="P15">
        <v>52</v>
      </c>
      <c r="Q15">
        <v>53.3</v>
      </c>
      <c r="R15">
        <v>47.8</v>
      </c>
      <c r="S15">
        <v>50.1</v>
      </c>
      <c r="T15">
        <v>48</v>
      </c>
      <c r="U15">
        <v>47.1</v>
      </c>
      <c r="V15">
        <v>40.9</v>
      </c>
      <c r="W15">
        <v>48.5</v>
      </c>
      <c r="X15">
        <v>52.3</v>
      </c>
      <c r="Y15">
        <v>48.6</v>
      </c>
      <c r="Z15">
        <v>49.5</v>
      </c>
      <c r="AA15">
        <v>47.79</v>
      </c>
    </row>
    <row r="16" spans="1:27" x14ac:dyDescent="0.35">
      <c r="A16" s="58">
        <v>40878</v>
      </c>
      <c r="B16">
        <v>50.4</v>
      </c>
      <c r="C16">
        <v>53</v>
      </c>
      <c r="D16">
        <v>53.2</v>
      </c>
      <c r="E16">
        <v>48.7</v>
      </c>
      <c r="F16">
        <v>46.9</v>
      </c>
      <c r="G16">
        <v>50.2</v>
      </c>
      <c r="H16">
        <v>48.4</v>
      </c>
      <c r="I16">
        <v>48.9</v>
      </c>
      <c r="J16">
        <v>49.6</v>
      </c>
      <c r="K16">
        <v>44.3</v>
      </c>
      <c r="L16">
        <v>43.7</v>
      </c>
      <c r="M16">
        <v>49.3</v>
      </c>
      <c r="N16">
        <v>53.1</v>
      </c>
      <c r="O16">
        <v>51.6</v>
      </c>
      <c r="P16">
        <v>57</v>
      </c>
      <c r="Q16">
        <v>54</v>
      </c>
      <c r="R16">
        <v>50.2</v>
      </c>
      <c r="S16">
        <v>48.1</v>
      </c>
      <c r="T16">
        <v>47.1</v>
      </c>
      <c r="U16">
        <v>47.1</v>
      </c>
      <c r="V16">
        <v>42</v>
      </c>
      <c r="W16">
        <v>49.8</v>
      </c>
      <c r="X16">
        <v>52</v>
      </c>
      <c r="Y16">
        <v>49.2</v>
      </c>
      <c r="Z16">
        <v>48.8</v>
      </c>
      <c r="AA16">
        <v>58.44</v>
      </c>
    </row>
    <row r="17" spans="1:27" x14ac:dyDescent="0.35">
      <c r="A17" s="58">
        <v>40909</v>
      </c>
      <c r="B17">
        <v>51</v>
      </c>
      <c r="C17">
        <v>52.6</v>
      </c>
      <c r="D17">
        <v>54.3</v>
      </c>
      <c r="E17">
        <v>48.8</v>
      </c>
      <c r="F17">
        <v>48.8</v>
      </c>
      <c r="G17">
        <v>50.7</v>
      </c>
      <c r="H17">
        <v>51</v>
      </c>
      <c r="I17">
        <v>48.5</v>
      </c>
      <c r="J17">
        <v>50.8</v>
      </c>
      <c r="K17">
        <v>46.8</v>
      </c>
      <c r="L17">
        <v>45.1</v>
      </c>
      <c r="M17">
        <v>50.6</v>
      </c>
      <c r="N17">
        <v>52.2</v>
      </c>
      <c r="O17">
        <v>50.8</v>
      </c>
      <c r="P17">
        <v>57.5</v>
      </c>
      <c r="Q17">
        <v>50.6</v>
      </c>
      <c r="R17">
        <v>51.6</v>
      </c>
      <c r="S17">
        <v>48.5</v>
      </c>
      <c r="T17">
        <v>49.2</v>
      </c>
      <c r="U17">
        <v>47.1</v>
      </c>
      <c r="V17">
        <v>41</v>
      </c>
      <c r="W17">
        <v>49.3</v>
      </c>
      <c r="X17">
        <v>51.7</v>
      </c>
      <c r="Y17">
        <v>48.8</v>
      </c>
      <c r="Z17">
        <v>52.2</v>
      </c>
      <c r="AA17">
        <v>52.12</v>
      </c>
    </row>
    <row r="18" spans="1:27" x14ac:dyDescent="0.35">
      <c r="A18" s="58">
        <v>40940</v>
      </c>
      <c r="B18">
        <v>51.2</v>
      </c>
      <c r="C18">
        <v>53.1</v>
      </c>
      <c r="D18">
        <v>53.6</v>
      </c>
      <c r="E18">
        <v>49.6</v>
      </c>
      <c r="F18">
        <v>49</v>
      </c>
      <c r="G18">
        <v>50.5</v>
      </c>
      <c r="H18">
        <v>50.2</v>
      </c>
      <c r="I18">
        <v>50</v>
      </c>
      <c r="J18">
        <v>51.1</v>
      </c>
      <c r="K18">
        <v>47.8</v>
      </c>
      <c r="L18">
        <v>45</v>
      </c>
      <c r="M18">
        <v>51.4</v>
      </c>
      <c r="N18">
        <v>53.7</v>
      </c>
      <c r="O18">
        <v>50.7</v>
      </c>
      <c r="P18">
        <v>56.6</v>
      </c>
      <c r="Q18">
        <v>51.8</v>
      </c>
      <c r="R18">
        <v>51.3</v>
      </c>
      <c r="S18">
        <v>50.6</v>
      </c>
      <c r="T18">
        <v>50.7</v>
      </c>
      <c r="U18">
        <v>48.9</v>
      </c>
      <c r="V18">
        <v>37.700000000000003</v>
      </c>
      <c r="W18">
        <v>49.7</v>
      </c>
      <c r="X18">
        <v>49.6</v>
      </c>
      <c r="Y18">
        <v>50.5</v>
      </c>
      <c r="Z18">
        <v>50</v>
      </c>
      <c r="AA18">
        <v>53.88</v>
      </c>
    </row>
    <row r="19" spans="1:27" x14ac:dyDescent="0.35">
      <c r="A19" s="58">
        <v>40969</v>
      </c>
      <c r="B19">
        <v>51.6</v>
      </c>
      <c r="C19">
        <v>53.5</v>
      </c>
      <c r="D19">
        <v>56</v>
      </c>
      <c r="E19">
        <v>48.3</v>
      </c>
      <c r="F19">
        <v>47.7</v>
      </c>
      <c r="G19">
        <v>51.1</v>
      </c>
      <c r="H19">
        <v>48.4</v>
      </c>
      <c r="I19">
        <v>46.7</v>
      </c>
      <c r="J19">
        <v>52</v>
      </c>
      <c r="K19">
        <v>47.9</v>
      </c>
      <c r="L19">
        <v>44.5</v>
      </c>
      <c r="M19">
        <v>51.1</v>
      </c>
      <c r="N19">
        <v>53.8</v>
      </c>
      <c r="O19">
        <v>50.8</v>
      </c>
      <c r="P19">
        <v>54.7</v>
      </c>
      <c r="Q19">
        <v>52.4</v>
      </c>
      <c r="R19">
        <v>49.5</v>
      </c>
      <c r="S19">
        <v>50.8</v>
      </c>
      <c r="T19">
        <v>52</v>
      </c>
      <c r="U19">
        <v>52.7</v>
      </c>
      <c r="V19">
        <v>41.3</v>
      </c>
      <c r="W19">
        <v>51.5</v>
      </c>
      <c r="X19">
        <v>49.6</v>
      </c>
      <c r="Y19">
        <v>52.1</v>
      </c>
      <c r="Z19">
        <v>50.1</v>
      </c>
      <c r="AA19">
        <v>50.34</v>
      </c>
    </row>
    <row r="20" spans="1:27" x14ac:dyDescent="0.35">
      <c r="A20" s="58">
        <v>41000</v>
      </c>
      <c r="B20">
        <v>51.3</v>
      </c>
      <c r="C20">
        <v>53.5</v>
      </c>
      <c r="D20">
        <v>56</v>
      </c>
      <c r="E20">
        <v>49.3</v>
      </c>
      <c r="F20">
        <v>45.9</v>
      </c>
      <c r="G20">
        <v>50.7</v>
      </c>
      <c r="H20">
        <v>46.2</v>
      </c>
      <c r="I20">
        <v>46.9</v>
      </c>
      <c r="J20">
        <v>50.2</v>
      </c>
      <c r="K20">
        <v>43.8</v>
      </c>
      <c r="L20">
        <v>43.5</v>
      </c>
      <c r="M20">
        <v>49.3</v>
      </c>
      <c r="N20">
        <v>56.3</v>
      </c>
      <c r="O20">
        <v>52.9</v>
      </c>
      <c r="P20">
        <v>54.9</v>
      </c>
      <c r="Q20">
        <v>53.3</v>
      </c>
      <c r="R20">
        <v>43.9</v>
      </c>
      <c r="S20">
        <v>50.5</v>
      </c>
      <c r="T20">
        <v>51.9</v>
      </c>
      <c r="U20">
        <v>54.1</v>
      </c>
      <c r="V20">
        <v>40.700000000000003</v>
      </c>
      <c r="W20">
        <v>50.1</v>
      </c>
      <c r="X20">
        <v>52.3</v>
      </c>
      <c r="Y20">
        <v>49.7</v>
      </c>
      <c r="Z20">
        <v>49.2</v>
      </c>
      <c r="AA20">
        <v>63.6</v>
      </c>
    </row>
    <row r="21" spans="1:27" x14ac:dyDescent="0.35">
      <c r="A21" s="58">
        <v>41030</v>
      </c>
      <c r="B21">
        <v>50.3</v>
      </c>
      <c r="C21">
        <v>52.6</v>
      </c>
      <c r="D21">
        <v>54</v>
      </c>
      <c r="E21">
        <v>48.4</v>
      </c>
      <c r="F21">
        <v>45.1</v>
      </c>
      <c r="G21">
        <v>50.7</v>
      </c>
      <c r="H21">
        <v>45.2</v>
      </c>
      <c r="I21">
        <v>44.7</v>
      </c>
      <c r="J21">
        <v>46.8</v>
      </c>
      <c r="K21">
        <v>44.8</v>
      </c>
      <c r="L21">
        <v>42</v>
      </c>
      <c r="M21">
        <v>49.3</v>
      </c>
      <c r="N21">
        <v>55.2</v>
      </c>
      <c r="O21">
        <v>53.2</v>
      </c>
      <c r="P21">
        <v>54.8</v>
      </c>
      <c r="Q21">
        <v>54.7</v>
      </c>
      <c r="R21">
        <v>42.4</v>
      </c>
      <c r="S21">
        <v>48.1</v>
      </c>
      <c r="T21">
        <v>51</v>
      </c>
      <c r="U21">
        <v>51.2</v>
      </c>
      <c r="V21">
        <v>43.1</v>
      </c>
      <c r="W21">
        <v>51.2</v>
      </c>
      <c r="X21">
        <v>50.2</v>
      </c>
      <c r="Y21">
        <v>47.6</v>
      </c>
      <c r="Z21">
        <v>48.9</v>
      </c>
      <c r="AA21">
        <v>51.42</v>
      </c>
    </row>
    <row r="22" spans="1:27" x14ac:dyDescent="0.35">
      <c r="A22" s="58">
        <v>41061</v>
      </c>
      <c r="B22">
        <v>49.7</v>
      </c>
      <c r="C22">
        <v>49.7</v>
      </c>
      <c r="D22">
        <v>52.5</v>
      </c>
      <c r="E22">
        <v>48.2</v>
      </c>
      <c r="F22">
        <v>45.1</v>
      </c>
      <c r="G22">
        <v>52.6</v>
      </c>
      <c r="H22">
        <v>45</v>
      </c>
      <c r="I22">
        <v>45.2</v>
      </c>
      <c r="J22">
        <v>48.8</v>
      </c>
      <c r="K22">
        <v>44.6</v>
      </c>
      <c r="L22">
        <v>41.1</v>
      </c>
      <c r="M22">
        <v>48.5</v>
      </c>
      <c r="N22">
        <v>55.9</v>
      </c>
      <c r="O22">
        <v>51</v>
      </c>
      <c r="P22">
        <v>55</v>
      </c>
      <c r="Q22">
        <v>54.8</v>
      </c>
      <c r="R22">
        <v>47.2</v>
      </c>
      <c r="S22">
        <v>50.2</v>
      </c>
      <c r="T22">
        <v>49.4</v>
      </c>
      <c r="U22">
        <v>50.5</v>
      </c>
      <c r="V22">
        <v>40.1</v>
      </c>
      <c r="W22">
        <v>53.1</v>
      </c>
      <c r="X22">
        <v>51.4</v>
      </c>
      <c r="Y22">
        <v>49.4</v>
      </c>
      <c r="Z22">
        <v>48</v>
      </c>
      <c r="AA22">
        <v>52.69</v>
      </c>
    </row>
    <row r="23" spans="1:27" x14ac:dyDescent="0.35">
      <c r="A23" s="58">
        <v>41091</v>
      </c>
      <c r="B23">
        <v>48.8</v>
      </c>
      <c r="C23">
        <v>50</v>
      </c>
      <c r="D23">
        <v>51.4</v>
      </c>
      <c r="E23">
        <v>49.3</v>
      </c>
      <c r="F23">
        <v>44</v>
      </c>
      <c r="G23">
        <v>52</v>
      </c>
      <c r="H23">
        <v>43</v>
      </c>
      <c r="I23">
        <v>43.4</v>
      </c>
      <c r="J23">
        <v>45.5</v>
      </c>
      <c r="K23">
        <v>44.3</v>
      </c>
      <c r="L23">
        <v>42.3</v>
      </c>
      <c r="M23">
        <v>48.7</v>
      </c>
      <c r="N23">
        <v>55.2</v>
      </c>
      <c r="O23">
        <v>52</v>
      </c>
      <c r="P23">
        <v>52.9</v>
      </c>
      <c r="Q23">
        <v>53</v>
      </c>
      <c r="R23">
        <v>40.299999999999997</v>
      </c>
      <c r="S23">
        <v>51.3</v>
      </c>
      <c r="T23">
        <v>47.2</v>
      </c>
      <c r="U23">
        <v>49.2</v>
      </c>
      <c r="V23">
        <v>41.9</v>
      </c>
      <c r="W23">
        <v>53.9</v>
      </c>
      <c r="X23">
        <v>49.4</v>
      </c>
      <c r="Y23">
        <v>49.5</v>
      </c>
      <c r="Z23">
        <v>49.7</v>
      </c>
      <c r="AA23">
        <v>47.21</v>
      </c>
    </row>
    <row r="24" spans="1:27" x14ac:dyDescent="0.35">
      <c r="A24" s="58">
        <v>41122</v>
      </c>
      <c r="B24">
        <v>48.7</v>
      </c>
      <c r="C24">
        <v>50.2</v>
      </c>
      <c r="D24">
        <v>51.5</v>
      </c>
      <c r="E24">
        <v>47.7</v>
      </c>
      <c r="F24">
        <v>45.1</v>
      </c>
      <c r="G24">
        <v>52.1</v>
      </c>
      <c r="H24">
        <v>44.7</v>
      </c>
      <c r="I24">
        <v>46</v>
      </c>
      <c r="J24">
        <v>49.1</v>
      </c>
      <c r="K24">
        <v>43.6</v>
      </c>
      <c r="L24">
        <v>44</v>
      </c>
      <c r="M24">
        <v>49.3</v>
      </c>
      <c r="N24">
        <v>55.1</v>
      </c>
      <c r="O24">
        <v>51</v>
      </c>
      <c r="P24">
        <v>52.8</v>
      </c>
      <c r="Q24">
        <v>53</v>
      </c>
      <c r="R24">
        <v>45.3</v>
      </c>
      <c r="S24">
        <v>51.4</v>
      </c>
      <c r="T24">
        <v>47.5</v>
      </c>
      <c r="U24">
        <v>47.5</v>
      </c>
      <c r="V24">
        <v>42.1</v>
      </c>
      <c r="W24">
        <v>50.9</v>
      </c>
      <c r="X24">
        <v>50</v>
      </c>
      <c r="Y24">
        <v>48.7</v>
      </c>
      <c r="Z24">
        <v>48.3</v>
      </c>
      <c r="AA24">
        <v>51.06</v>
      </c>
    </row>
    <row r="25" spans="1:27" x14ac:dyDescent="0.35">
      <c r="A25" s="58">
        <v>41153</v>
      </c>
      <c r="B25">
        <v>48.7</v>
      </c>
      <c r="C25">
        <v>51.8</v>
      </c>
      <c r="D25">
        <v>51.1</v>
      </c>
      <c r="E25">
        <v>47.9</v>
      </c>
      <c r="F25">
        <v>46.1</v>
      </c>
      <c r="G25">
        <v>48</v>
      </c>
      <c r="H25">
        <v>47.4</v>
      </c>
      <c r="I25">
        <v>42.7</v>
      </c>
      <c r="J25">
        <v>48.2</v>
      </c>
      <c r="K25">
        <v>45.7</v>
      </c>
      <c r="L25">
        <v>44.5</v>
      </c>
      <c r="M25">
        <v>49.8</v>
      </c>
      <c r="N25">
        <v>54.4</v>
      </c>
      <c r="O25">
        <v>52.4</v>
      </c>
      <c r="P25">
        <v>52.8</v>
      </c>
      <c r="Q25">
        <v>52.4</v>
      </c>
      <c r="R25">
        <v>44.1</v>
      </c>
      <c r="S25">
        <v>51.6</v>
      </c>
      <c r="T25">
        <v>45.7</v>
      </c>
      <c r="U25">
        <v>46.1</v>
      </c>
      <c r="V25">
        <v>42.2</v>
      </c>
      <c r="W25">
        <v>51.8</v>
      </c>
      <c r="X25">
        <v>52.2</v>
      </c>
      <c r="Y25">
        <v>48</v>
      </c>
      <c r="Z25">
        <v>47</v>
      </c>
      <c r="AA25">
        <v>52.09</v>
      </c>
    </row>
    <row r="26" spans="1:27" x14ac:dyDescent="0.35">
      <c r="A26" s="58">
        <v>41183</v>
      </c>
      <c r="B26">
        <v>48.9</v>
      </c>
      <c r="C26">
        <v>50.7</v>
      </c>
      <c r="D26">
        <v>51</v>
      </c>
      <c r="E26">
        <v>49.5</v>
      </c>
      <c r="F26">
        <v>45.4</v>
      </c>
      <c r="G26">
        <v>46.9</v>
      </c>
      <c r="H26">
        <v>46</v>
      </c>
      <c r="I26">
        <v>43.7</v>
      </c>
      <c r="J26">
        <v>48</v>
      </c>
      <c r="K26">
        <v>45.5</v>
      </c>
      <c r="L26">
        <v>43.5</v>
      </c>
      <c r="M26">
        <v>50.2</v>
      </c>
      <c r="N26">
        <v>55.5</v>
      </c>
      <c r="O26">
        <v>52.9</v>
      </c>
      <c r="P26">
        <v>52.9</v>
      </c>
      <c r="Q26">
        <v>51.4</v>
      </c>
      <c r="R26">
        <v>45.2</v>
      </c>
      <c r="S26">
        <v>50.5</v>
      </c>
      <c r="T26">
        <v>47.4</v>
      </c>
      <c r="U26">
        <v>45.6</v>
      </c>
      <c r="V26">
        <v>41</v>
      </c>
      <c r="W26">
        <v>52.1</v>
      </c>
      <c r="X26">
        <v>52.5</v>
      </c>
      <c r="Y26">
        <v>47.2</v>
      </c>
      <c r="Z26">
        <v>47.3</v>
      </c>
      <c r="AA26">
        <v>57.41</v>
      </c>
    </row>
    <row r="27" spans="1:27" x14ac:dyDescent="0.35">
      <c r="A27" s="58">
        <v>41214</v>
      </c>
      <c r="B27">
        <v>49.6</v>
      </c>
      <c r="C27">
        <v>48.9</v>
      </c>
      <c r="D27">
        <v>52.8</v>
      </c>
      <c r="E27">
        <v>50.5</v>
      </c>
      <c r="F27">
        <v>46.2</v>
      </c>
      <c r="G27">
        <v>46.5</v>
      </c>
      <c r="H27">
        <v>46.8</v>
      </c>
      <c r="I27">
        <v>44.5</v>
      </c>
      <c r="J27">
        <v>48.4</v>
      </c>
      <c r="K27">
        <v>45.1</v>
      </c>
      <c r="L27">
        <v>45.3</v>
      </c>
      <c r="M27">
        <v>52.2</v>
      </c>
      <c r="N27">
        <v>55.6</v>
      </c>
      <c r="O27">
        <v>52.2</v>
      </c>
      <c r="P27">
        <v>53.7</v>
      </c>
      <c r="Q27">
        <v>50.4</v>
      </c>
      <c r="R27">
        <v>43.6</v>
      </c>
      <c r="S27">
        <v>51.9</v>
      </c>
      <c r="T27">
        <v>48.2</v>
      </c>
      <c r="U27">
        <v>47.8</v>
      </c>
      <c r="V27">
        <v>41.8</v>
      </c>
      <c r="W27">
        <v>52.4</v>
      </c>
      <c r="X27">
        <v>51.6</v>
      </c>
      <c r="Y27">
        <v>48.2</v>
      </c>
      <c r="Z27">
        <v>48.2</v>
      </c>
      <c r="AA27">
        <v>56.29</v>
      </c>
    </row>
    <row r="28" spans="1:27" x14ac:dyDescent="0.35">
      <c r="A28" s="58">
        <v>41244</v>
      </c>
      <c r="B28">
        <v>50</v>
      </c>
      <c r="C28">
        <v>49.8</v>
      </c>
      <c r="D28">
        <v>54</v>
      </c>
      <c r="E28">
        <v>51.5</v>
      </c>
      <c r="F28">
        <v>46.1</v>
      </c>
      <c r="G28">
        <v>45</v>
      </c>
      <c r="H28">
        <v>46</v>
      </c>
      <c r="I28">
        <v>44.6</v>
      </c>
      <c r="J28">
        <v>50.7</v>
      </c>
      <c r="K28">
        <v>46.7</v>
      </c>
      <c r="L28">
        <v>44.6</v>
      </c>
      <c r="M28">
        <v>51.1</v>
      </c>
      <c r="N28">
        <v>57.1</v>
      </c>
      <c r="O28">
        <v>50</v>
      </c>
      <c r="P28">
        <v>54.7</v>
      </c>
      <c r="Q28">
        <v>50.4</v>
      </c>
      <c r="R28">
        <v>44.3</v>
      </c>
      <c r="S28">
        <v>51.5</v>
      </c>
      <c r="T28">
        <v>50.1</v>
      </c>
      <c r="U28">
        <v>47.4</v>
      </c>
      <c r="V28">
        <v>41.4</v>
      </c>
      <c r="W28">
        <v>51.4</v>
      </c>
      <c r="X28">
        <v>53.1</v>
      </c>
      <c r="Y28">
        <v>46</v>
      </c>
      <c r="Z28">
        <v>48.3</v>
      </c>
      <c r="AA28">
        <v>57.62</v>
      </c>
    </row>
    <row r="29" spans="1:27" x14ac:dyDescent="0.35">
      <c r="A29" s="58">
        <v>41275</v>
      </c>
      <c r="B29">
        <v>51.5</v>
      </c>
      <c r="C29">
        <v>52</v>
      </c>
      <c r="D29">
        <v>55.8</v>
      </c>
      <c r="E29">
        <v>52.3</v>
      </c>
      <c r="F29">
        <v>47.9</v>
      </c>
      <c r="G29">
        <v>47.7</v>
      </c>
      <c r="H29">
        <v>49.8</v>
      </c>
      <c r="I29">
        <v>42.9</v>
      </c>
      <c r="J29">
        <v>50.9</v>
      </c>
      <c r="K29">
        <v>47.8</v>
      </c>
      <c r="L29">
        <v>46.1</v>
      </c>
      <c r="M29">
        <v>53.2</v>
      </c>
      <c r="N29">
        <v>55</v>
      </c>
      <c r="O29">
        <v>52</v>
      </c>
      <c r="P29">
        <v>53.2</v>
      </c>
      <c r="Q29">
        <v>50.5</v>
      </c>
      <c r="R29">
        <v>40.200000000000003</v>
      </c>
      <c r="S29">
        <v>49.7</v>
      </c>
      <c r="T29">
        <v>49.9</v>
      </c>
      <c r="U29">
        <v>51.5</v>
      </c>
      <c r="V29">
        <v>41.7</v>
      </c>
      <c r="W29">
        <v>50.3</v>
      </c>
      <c r="X29">
        <v>54</v>
      </c>
      <c r="Y29">
        <v>48.3</v>
      </c>
      <c r="Z29">
        <v>48.6</v>
      </c>
      <c r="AA29">
        <v>55.27</v>
      </c>
    </row>
    <row r="30" spans="1:27" x14ac:dyDescent="0.35">
      <c r="A30" s="58">
        <v>41306</v>
      </c>
      <c r="B30">
        <v>50.9</v>
      </c>
      <c r="C30">
        <v>53.6</v>
      </c>
      <c r="D30">
        <v>54.3</v>
      </c>
      <c r="E30">
        <v>50.4</v>
      </c>
      <c r="F30">
        <v>47.9</v>
      </c>
      <c r="G30">
        <v>48.5</v>
      </c>
      <c r="H30">
        <v>50.3</v>
      </c>
      <c r="I30">
        <v>43.9</v>
      </c>
      <c r="J30">
        <v>48.2</v>
      </c>
      <c r="K30">
        <v>45.8</v>
      </c>
      <c r="L30">
        <v>46.8</v>
      </c>
      <c r="M30">
        <v>52.5</v>
      </c>
      <c r="N30">
        <v>53.4</v>
      </c>
      <c r="O30">
        <v>52</v>
      </c>
      <c r="P30">
        <v>54.2</v>
      </c>
      <c r="Q30">
        <v>51.7</v>
      </c>
      <c r="R30">
        <v>45.6</v>
      </c>
      <c r="S30">
        <v>50.5</v>
      </c>
      <c r="T30">
        <v>50.9</v>
      </c>
      <c r="U30">
        <v>51.5</v>
      </c>
      <c r="V30">
        <v>43</v>
      </c>
      <c r="W30">
        <v>51.5</v>
      </c>
      <c r="X30">
        <v>53.5</v>
      </c>
      <c r="Y30">
        <v>49.9</v>
      </c>
      <c r="Z30">
        <v>48.9</v>
      </c>
      <c r="AA30">
        <v>61.23</v>
      </c>
    </row>
    <row r="31" spans="1:27" x14ac:dyDescent="0.35">
      <c r="A31" s="58">
        <v>41334</v>
      </c>
      <c r="B31">
        <v>51.2</v>
      </c>
      <c r="C31">
        <v>52</v>
      </c>
      <c r="D31">
        <v>54.6</v>
      </c>
      <c r="E31">
        <v>51.6</v>
      </c>
      <c r="F31">
        <v>46.8</v>
      </c>
      <c r="G31">
        <v>50.4</v>
      </c>
      <c r="H31">
        <v>49</v>
      </c>
      <c r="I31">
        <v>44</v>
      </c>
      <c r="J31">
        <v>49.3</v>
      </c>
      <c r="K31">
        <v>44.5</v>
      </c>
      <c r="L31">
        <v>44.2</v>
      </c>
      <c r="M31">
        <v>51.8</v>
      </c>
      <c r="N31">
        <v>52.2</v>
      </c>
      <c r="O31">
        <v>50.8</v>
      </c>
      <c r="P31">
        <v>52</v>
      </c>
      <c r="Q31">
        <v>49.3</v>
      </c>
      <c r="R31">
        <v>44.4</v>
      </c>
      <c r="S31">
        <v>51.3</v>
      </c>
      <c r="T31">
        <v>52</v>
      </c>
      <c r="U31">
        <v>50.2</v>
      </c>
      <c r="V31">
        <v>42.1</v>
      </c>
      <c r="W31">
        <v>48.6</v>
      </c>
      <c r="X31">
        <v>52.3</v>
      </c>
      <c r="Y31">
        <v>49.1</v>
      </c>
      <c r="Z31">
        <v>48</v>
      </c>
      <c r="AA31">
        <v>49.81</v>
      </c>
    </row>
    <row r="32" spans="1:27" x14ac:dyDescent="0.35">
      <c r="A32" s="58">
        <v>41365</v>
      </c>
      <c r="B32">
        <v>50.4</v>
      </c>
      <c r="C32">
        <v>49.7</v>
      </c>
      <c r="D32">
        <v>52.1</v>
      </c>
      <c r="E32">
        <v>50.4</v>
      </c>
      <c r="F32">
        <v>46.7</v>
      </c>
      <c r="G32">
        <v>51.1</v>
      </c>
      <c r="H32">
        <v>48.1</v>
      </c>
      <c r="I32">
        <v>44.4</v>
      </c>
      <c r="J32">
        <v>50.6</v>
      </c>
      <c r="K32">
        <v>45.5</v>
      </c>
      <c r="L32">
        <v>44.7</v>
      </c>
      <c r="M32">
        <v>50.8</v>
      </c>
      <c r="N32">
        <v>51.7</v>
      </c>
      <c r="O32">
        <v>50.6</v>
      </c>
      <c r="P32">
        <v>51</v>
      </c>
      <c r="Q32">
        <v>50.1</v>
      </c>
      <c r="R32">
        <v>36.700000000000003</v>
      </c>
      <c r="S32">
        <v>51.7</v>
      </c>
      <c r="T32">
        <v>52.6</v>
      </c>
      <c r="U32">
        <v>51.2</v>
      </c>
      <c r="V32">
        <v>45</v>
      </c>
      <c r="W32">
        <v>48</v>
      </c>
      <c r="X32">
        <v>51.3</v>
      </c>
      <c r="Y32">
        <v>49.5</v>
      </c>
      <c r="Z32">
        <v>48</v>
      </c>
      <c r="AA32">
        <v>49.29</v>
      </c>
    </row>
    <row r="33" spans="1:27" x14ac:dyDescent="0.35">
      <c r="A33" s="58">
        <v>41395</v>
      </c>
      <c r="B33">
        <v>50.6</v>
      </c>
      <c r="C33">
        <v>50.5</v>
      </c>
      <c r="D33">
        <v>52.3</v>
      </c>
      <c r="E33">
        <v>49.2</v>
      </c>
      <c r="F33">
        <v>48.3</v>
      </c>
      <c r="G33">
        <v>51.5</v>
      </c>
      <c r="H33">
        <v>49.4</v>
      </c>
      <c r="I33">
        <v>46.4</v>
      </c>
      <c r="J33">
        <v>52.1</v>
      </c>
      <c r="K33">
        <v>47.3</v>
      </c>
      <c r="L33">
        <v>48.1</v>
      </c>
      <c r="M33">
        <v>50.4</v>
      </c>
      <c r="N33">
        <v>51.8</v>
      </c>
      <c r="O33">
        <v>50.4</v>
      </c>
      <c r="P33">
        <v>50.1</v>
      </c>
      <c r="Q33">
        <v>53.2</v>
      </c>
      <c r="R33">
        <v>43.8</v>
      </c>
      <c r="S33">
        <v>51.6</v>
      </c>
      <c r="T33">
        <v>51.1</v>
      </c>
      <c r="U33">
        <v>50.7</v>
      </c>
      <c r="V33">
        <v>45.3</v>
      </c>
      <c r="W33">
        <v>49.7</v>
      </c>
      <c r="X33">
        <v>51.1</v>
      </c>
      <c r="Y33">
        <v>50.1</v>
      </c>
      <c r="Z33">
        <v>46.9</v>
      </c>
      <c r="AA33">
        <v>54.75</v>
      </c>
    </row>
    <row r="34" spans="1:27" x14ac:dyDescent="0.35">
      <c r="A34" s="58">
        <v>41426</v>
      </c>
      <c r="B34">
        <v>50.6</v>
      </c>
      <c r="C34">
        <v>51.5</v>
      </c>
      <c r="D34">
        <v>51.9</v>
      </c>
      <c r="E34">
        <v>48.2</v>
      </c>
      <c r="F34">
        <v>48.8</v>
      </c>
      <c r="G34">
        <v>52.3</v>
      </c>
      <c r="H34">
        <v>48.6</v>
      </c>
      <c r="I34">
        <v>48.4</v>
      </c>
      <c r="J34">
        <v>53</v>
      </c>
      <c r="K34">
        <v>49.1</v>
      </c>
      <c r="L34">
        <v>50</v>
      </c>
      <c r="M34">
        <v>50.4</v>
      </c>
      <c r="N34">
        <v>51.3</v>
      </c>
      <c r="O34">
        <v>51.7</v>
      </c>
      <c r="P34">
        <v>50.3</v>
      </c>
      <c r="Q34">
        <v>52.4</v>
      </c>
      <c r="R34">
        <v>49.6</v>
      </c>
      <c r="S34">
        <v>51</v>
      </c>
      <c r="T34">
        <v>49.4</v>
      </c>
      <c r="U34">
        <v>47.1</v>
      </c>
      <c r="V34">
        <v>45.4</v>
      </c>
      <c r="W34">
        <v>50.3</v>
      </c>
      <c r="X34">
        <v>51.2</v>
      </c>
      <c r="Y34">
        <v>51</v>
      </c>
      <c r="Z34">
        <v>48</v>
      </c>
      <c r="AA34">
        <v>57.73</v>
      </c>
    </row>
    <row r="35" spans="1:27" x14ac:dyDescent="0.35">
      <c r="A35" s="58">
        <v>41456</v>
      </c>
      <c r="B35">
        <v>50.8</v>
      </c>
      <c r="C35">
        <v>53.5</v>
      </c>
      <c r="D35">
        <v>53.7</v>
      </c>
      <c r="E35">
        <v>47.7</v>
      </c>
      <c r="F35">
        <v>50.3</v>
      </c>
      <c r="G35">
        <v>50.7</v>
      </c>
      <c r="H35">
        <v>50.7</v>
      </c>
      <c r="I35">
        <v>49.7</v>
      </c>
      <c r="J35">
        <v>54.7</v>
      </c>
      <c r="K35">
        <v>50.4</v>
      </c>
      <c r="L35">
        <v>49.8</v>
      </c>
      <c r="M35">
        <v>48.5</v>
      </c>
      <c r="N35">
        <v>49.7</v>
      </c>
      <c r="O35">
        <v>49.2</v>
      </c>
      <c r="P35">
        <v>50.1</v>
      </c>
      <c r="Q35">
        <v>52</v>
      </c>
      <c r="R35">
        <v>42</v>
      </c>
      <c r="S35">
        <v>50.7</v>
      </c>
      <c r="T35">
        <v>47.2</v>
      </c>
      <c r="U35">
        <v>49.5</v>
      </c>
      <c r="V35">
        <v>47</v>
      </c>
      <c r="W35">
        <v>51</v>
      </c>
      <c r="X35">
        <v>49.8</v>
      </c>
      <c r="Y35">
        <v>52</v>
      </c>
      <c r="Z35">
        <v>49.3</v>
      </c>
      <c r="AA35">
        <v>59.18</v>
      </c>
    </row>
    <row r="36" spans="1:27" x14ac:dyDescent="0.35">
      <c r="A36" s="58">
        <v>41487</v>
      </c>
      <c r="B36">
        <v>51.6</v>
      </c>
      <c r="C36">
        <v>55.9</v>
      </c>
      <c r="D36">
        <v>53.7</v>
      </c>
      <c r="E36">
        <v>50.1</v>
      </c>
      <c r="F36">
        <v>51.4</v>
      </c>
      <c r="G36">
        <v>52.2</v>
      </c>
      <c r="H36">
        <v>51.8</v>
      </c>
      <c r="I36">
        <v>49.7</v>
      </c>
      <c r="J36">
        <v>57.3</v>
      </c>
      <c r="K36">
        <v>51.3</v>
      </c>
      <c r="L36">
        <v>51.1</v>
      </c>
      <c r="M36">
        <v>49.4</v>
      </c>
      <c r="N36">
        <v>50.8</v>
      </c>
      <c r="O36">
        <v>49.4</v>
      </c>
      <c r="P36">
        <v>48.5</v>
      </c>
      <c r="Q36">
        <v>52.1</v>
      </c>
      <c r="R36">
        <v>46.4</v>
      </c>
      <c r="S36">
        <v>48.5</v>
      </c>
      <c r="T36">
        <v>47.5</v>
      </c>
      <c r="U36">
        <v>48.6</v>
      </c>
      <c r="V36">
        <v>48.7</v>
      </c>
      <c r="W36">
        <v>52</v>
      </c>
      <c r="X36">
        <v>50.9</v>
      </c>
      <c r="Y36">
        <v>53.9</v>
      </c>
      <c r="Z36">
        <v>51.1</v>
      </c>
      <c r="AA36">
        <v>60.29</v>
      </c>
    </row>
    <row r="37" spans="1:27" x14ac:dyDescent="0.35">
      <c r="A37" s="58">
        <v>41518</v>
      </c>
      <c r="B37">
        <v>51.8</v>
      </c>
      <c r="C37">
        <v>54.8</v>
      </c>
      <c r="D37">
        <v>52.8</v>
      </c>
      <c r="E37">
        <v>50.2</v>
      </c>
      <c r="F37">
        <v>51.1</v>
      </c>
      <c r="G37">
        <v>52.5</v>
      </c>
      <c r="H37">
        <v>51.1</v>
      </c>
      <c r="I37">
        <v>49.8</v>
      </c>
      <c r="J37">
        <v>56.7</v>
      </c>
      <c r="K37">
        <v>50.8</v>
      </c>
      <c r="L37">
        <v>50.7</v>
      </c>
      <c r="M37">
        <v>49.9</v>
      </c>
      <c r="N37">
        <v>50</v>
      </c>
      <c r="O37">
        <v>49.4</v>
      </c>
      <c r="P37">
        <v>49.6</v>
      </c>
      <c r="Q37">
        <v>54.2</v>
      </c>
      <c r="R37">
        <v>51.7</v>
      </c>
      <c r="S37">
        <v>50.2</v>
      </c>
      <c r="T37">
        <v>49.7</v>
      </c>
      <c r="U37">
        <v>50</v>
      </c>
      <c r="V37">
        <v>47.5</v>
      </c>
      <c r="W37">
        <v>52.7</v>
      </c>
      <c r="X37">
        <v>54</v>
      </c>
      <c r="Y37">
        <v>53.4</v>
      </c>
      <c r="Z37">
        <v>52.6</v>
      </c>
      <c r="AA37">
        <v>55.74</v>
      </c>
    </row>
    <row r="38" spans="1:27" x14ac:dyDescent="0.35">
      <c r="A38" s="58">
        <v>41548</v>
      </c>
      <c r="B38">
        <v>52.1</v>
      </c>
      <c r="C38">
        <v>55.3</v>
      </c>
      <c r="D38">
        <v>51.8</v>
      </c>
      <c r="E38">
        <v>50.9</v>
      </c>
      <c r="F38">
        <v>51.3</v>
      </c>
      <c r="G38">
        <v>54.2</v>
      </c>
      <c r="H38">
        <v>51.7</v>
      </c>
      <c r="I38">
        <v>49.1</v>
      </c>
      <c r="J38">
        <v>56.5</v>
      </c>
      <c r="K38">
        <v>50.7</v>
      </c>
      <c r="L38">
        <v>50.9</v>
      </c>
      <c r="M38">
        <v>50.2</v>
      </c>
      <c r="N38">
        <v>50.2</v>
      </c>
      <c r="O38">
        <v>51.8</v>
      </c>
      <c r="P38">
        <v>49.6</v>
      </c>
      <c r="Q38">
        <v>55.6</v>
      </c>
      <c r="R38">
        <v>53.2</v>
      </c>
      <c r="S38">
        <v>50.9</v>
      </c>
      <c r="T38">
        <v>50.2</v>
      </c>
      <c r="U38">
        <v>52</v>
      </c>
      <c r="V38">
        <v>47.3</v>
      </c>
      <c r="W38">
        <v>54.9</v>
      </c>
      <c r="X38">
        <v>53.3</v>
      </c>
      <c r="Y38">
        <v>54.5</v>
      </c>
      <c r="Z38">
        <v>53.4</v>
      </c>
      <c r="AA38">
        <v>55.71</v>
      </c>
    </row>
    <row r="39" spans="1:27" x14ac:dyDescent="0.35">
      <c r="A39" s="58">
        <v>41579</v>
      </c>
      <c r="B39">
        <v>53.1</v>
      </c>
      <c r="C39">
        <v>56.3</v>
      </c>
      <c r="D39">
        <v>54.7</v>
      </c>
      <c r="E39">
        <v>50.8</v>
      </c>
      <c r="F39">
        <v>51.6</v>
      </c>
      <c r="G39">
        <v>55.1</v>
      </c>
      <c r="H39">
        <v>52.7</v>
      </c>
      <c r="I39">
        <v>48.4</v>
      </c>
      <c r="J39">
        <v>58.1</v>
      </c>
      <c r="K39">
        <v>51.4</v>
      </c>
      <c r="L39">
        <v>48.6</v>
      </c>
      <c r="M39">
        <v>49.7</v>
      </c>
      <c r="N39">
        <v>51.9</v>
      </c>
      <c r="O39">
        <v>49.4</v>
      </c>
      <c r="P39">
        <v>51.3</v>
      </c>
      <c r="Q39">
        <v>55.3</v>
      </c>
      <c r="R39">
        <v>47.7</v>
      </c>
      <c r="S39">
        <v>50.3</v>
      </c>
      <c r="T39">
        <v>50.4</v>
      </c>
      <c r="U39">
        <v>53</v>
      </c>
      <c r="V39">
        <v>49.2</v>
      </c>
      <c r="W39">
        <v>52.4</v>
      </c>
      <c r="X39">
        <v>55</v>
      </c>
      <c r="Y39">
        <v>55.4</v>
      </c>
      <c r="Z39">
        <v>54.4</v>
      </c>
      <c r="AA39">
        <v>57.85</v>
      </c>
    </row>
    <row r="40" spans="1:27" x14ac:dyDescent="0.35">
      <c r="A40" s="58">
        <v>41609</v>
      </c>
      <c r="B40">
        <v>53.3</v>
      </c>
      <c r="C40">
        <v>55.9</v>
      </c>
      <c r="D40">
        <v>55</v>
      </c>
      <c r="E40">
        <v>50.5</v>
      </c>
      <c r="F40">
        <v>52.7</v>
      </c>
      <c r="G40">
        <v>55.2</v>
      </c>
      <c r="H40">
        <v>54.3</v>
      </c>
      <c r="I40">
        <v>47</v>
      </c>
      <c r="J40">
        <v>57.3</v>
      </c>
      <c r="K40">
        <v>53.3</v>
      </c>
      <c r="L40">
        <v>50.8</v>
      </c>
      <c r="M40">
        <v>50.5</v>
      </c>
      <c r="N40">
        <v>52.6</v>
      </c>
      <c r="O40">
        <v>48.8</v>
      </c>
      <c r="P40">
        <v>50.7</v>
      </c>
      <c r="Q40">
        <v>53.5</v>
      </c>
      <c r="R40">
        <v>47.6</v>
      </c>
      <c r="S40">
        <v>50.9</v>
      </c>
      <c r="T40">
        <v>50.8</v>
      </c>
      <c r="U40">
        <v>53.4</v>
      </c>
      <c r="V40">
        <v>49.6</v>
      </c>
      <c r="W40">
        <v>53.5</v>
      </c>
      <c r="X40">
        <v>53.5</v>
      </c>
      <c r="Y40">
        <v>54.9</v>
      </c>
      <c r="Z40">
        <v>53.2</v>
      </c>
      <c r="AA40">
        <v>53.45</v>
      </c>
    </row>
    <row r="41" spans="1:27" x14ac:dyDescent="0.35">
      <c r="A41" s="58">
        <v>41640</v>
      </c>
      <c r="B41">
        <v>52.9</v>
      </c>
      <c r="C41">
        <v>51.7</v>
      </c>
      <c r="D41">
        <v>53.7</v>
      </c>
      <c r="E41">
        <v>49.5</v>
      </c>
      <c r="F41">
        <v>54</v>
      </c>
      <c r="G41">
        <v>56.6</v>
      </c>
      <c r="H41">
        <v>56.6</v>
      </c>
      <c r="I41">
        <v>49.3</v>
      </c>
      <c r="J41">
        <v>56.7</v>
      </c>
      <c r="K41">
        <v>53.1</v>
      </c>
      <c r="L41">
        <v>52.2</v>
      </c>
      <c r="M41">
        <v>51.7</v>
      </c>
      <c r="N41">
        <v>54</v>
      </c>
      <c r="O41">
        <v>48</v>
      </c>
      <c r="P41">
        <v>51.4</v>
      </c>
      <c r="Q41">
        <v>51.7</v>
      </c>
      <c r="R41">
        <v>46.7</v>
      </c>
      <c r="S41">
        <v>51</v>
      </c>
      <c r="T41">
        <v>50.9</v>
      </c>
      <c r="U41">
        <v>55.5</v>
      </c>
      <c r="V41">
        <v>51.2</v>
      </c>
      <c r="W41">
        <v>52.8</v>
      </c>
      <c r="X41">
        <v>52.7</v>
      </c>
      <c r="Y41">
        <v>55.9</v>
      </c>
      <c r="Z41">
        <v>55.4</v>
      </c>
      <c r="AA41">
        <v>55.6</v>
      </c>
    </row>
    <row r="42" spans="1:27" x14ac:dyDescent="0.35">
      <c r="A42" s="58">
        <v>41671</v>
      </c>
      <c r="B42">
        <v>53.3</v>
      </c>
      <c r="C42">
        <v>54.6</v>
      </c>
      <c r="D42">
        <v>57.1</v>
      </c>
      <c r="E42">
        <v>48.5</v>
      </c>
      <c r="F42">
        <v>53.2</v>
      </c>
      <c r="G42">
        <v>55.5</v>
      </c>
      <c r="H42">
        <v>54.8</v>
      </c>
      <c r="I42">
        <v>49.7</v>
      </c>
      <c r="J42">
        <v>56.9</v>
      </c>
      <c r="K42">
        <v>52.3</v>
      </c>
      <c r="L42">
        <v>52.5</v>
      </c>
      <c r="M42">
        <v>50.4</v>
      </c>
      <c r="N42">
        <v>52</v>
      </c>
      <c r="O42">
        <v>48.5</v>
      </c>
      <c r="P42">
        <v>52.5</v>
      </c>
      <c r="Q42">
        <v>52.9</v>
      </c>
      <c r="R42">
        <v>48.6</v>
      </c>
      <c r="S42">
        <v>50.5</v>
      </c>
      <c r="T42">
        <v>49.8</v>
      </c>
      <c r="U42">
        <v>54.7</v>
      </c>
      <c r="V42">
        <v>51.3</v>
      </c>
      <c r="W42">
        <v>52.9</v>
      </c>
      <c r="X42">
        <v>53.4</v>
      </c>
      <c r="Y42">
        <v>56.5</v>
      </c>
      <c r="Z42">
        <v>55.9</v>
      </c>
      <c r="AA42">
        <v>56.77</v>
      </c>
    </row>
    <row r="43" spans="1:27" x14ac:dyDescent="0.35">
      <c r="A43" s="58">
        <v>41699</v>
      </c>
      <c r="B43">
        <v>52.4</v>
      </c>
      <c r="C43">
        <v>55.3</v>
      </c>
      <c r="D43">
        <v>55.5</v>
      </c>
      <c r="E43">
        <v>48</v>
      </c>
      <c r="F43">
        <v>53</v>
      </c>
      <c r="G43">
        <v>53.9</v>
      </c>
      <c r="H43">
        <v>53.7</v>
      </c>
      <c r="I43">
        <v>52.1</v>
      </c>
      <c r="J43">
        <v>55.3</v>
      </c>
      <c r="K43">
        <v>52.4</v>
      </c>
      <c r="L43">
        <v>52.8</v>
      </c>
      <c r="M43">
        <v>50.6</v>
      </c>
      <c r="N43">
        <v>51.7</v>
      </c>
      <c r="O43">
        <v>48.3</v>
      </c>
      <c r="P43">
        <v>51.3</v>
      </c>
      <c r="Q43">
        <v>53.3</v>
      </c>
      <c r="R43">
        <v>49.7</v>
      </c>
      <c r="S43">
        <v>50.1</v>
      </c>
      <c r="T43">
        <v>50.4</v>
      </c>
      <c r="U43">
        <v>52.7</v>
      </c>
      <c r="V43">
        <v>49.7</v>
      </c>
      <c r="W43">
        <v>55.5</v>
      </c>
      <c r="X43">
        <v>51.7</v>
      </c>
      <c r="Y43">
        <v>55.5</v>
      </c>
      <c r="Z43">
        <v>54</v>
      </c>
      <c r="AA43">
        <v>60.3</v>
      </c>
    </row>
    <row r="44" spans="1:27" x14ac:dyDescent="0.35">
      <c r="A44" s="58">
        <v>41730</v>
      </c>
      <c r="B44">
        <v>51.9</v>
      </c>
      <c r="C44">
        <v>55.7</v>
      </c>
      <c r="D44">
        <v>55.4</v>
      </c>
      <c r="E44">
        <v>48.1</v>
      </c>
      <c r="F44">
        <v>54</v>
      </c>
      <c r="G44">
        <v>49.4</v>
      </c>
      <c r="H44">
        <v>54.1</v>
      </c>
      <c r="I44">
        <v>51.2</v>
      </c>
      <c r="J44">
        <v>57.3</v>
      </c>
      <c r="K44">
        <v>54</v>
      </c>
      <c r="L44">
        <v>52.7</v>
      </c>
      <c r="M44">
        <v>49.3</v>
      </c>
      <c r="N44">
        <v>51.8</v>
      </c>
      <c r="O44">
        <v>48.5</v>
      </c>
      <c r="P44">
        <v>51.3</v>
      </c>
      <c r="Q44">
        <v>52.9</v>
      </c>
      <c r="R44">
        <v>44.8</v>
      </c>
      <c r="S44">
        <v>51.1</v>
      </c>
      <c r="T44">
        <v>50.2</v>
      </c>
      <c r="U44">
        <v>52.3</v>
      </c>
      <c r="V44">
        <v>51.1</v>
      </c>
      <c r="W44">
        <v>56.1</v>
      </c>
      <c r="X44">
        <v>51.1</v>
      </c>
      <c r="Y44">
        <v>56.5</v>
      </c>
      <c r="Z44">
        <v>51.1</v>
      </c>
      <c r="AA44">
        <v>60.5</v>
      </c>
    </row>
    <row r="45" spans="1:27" x14ac:dyDescent="0.35">
      <c r="A45" s="58">
        <v>41760</v>
      </c>
      <c r="B45">
        <v>52.2</v>
      </c>
      <c r="C45">
        <v>55.8</v>
      </c>
      <c r="D45">
        <v>56.4</v>
      </c>
      <c r="E45">
        <v>49.4</v>
      </c>
      <c r="F45">
        <v>52.2</v>
      </c>
      <c r="G45">
        <v>49.9</v>
      </c>
      <c r="H45">
        <v>52.3</v>
      </c>
      <c r="I45">
        <v>49.6</v>
      </c>
      <c r="J45">
        <v>57</v>
      </c>
      <c r="K45">
        <v>53.2</v>
      </c>
      <c r="L45">
        <v>52.9</v>
      </c>
      <c r="M45">
        <v>48.8</v>
      </c>
      <c r="N45">
        <v>51.9</v>
      </c>
      <c r="O45">
        <v>48.9</v>
      </c>
      <c r="P45">
        <v>51.4</v>
      </c>
      <c r="Q45">
        <v>52.2</v>
      </c>
      <c r="R45">
        <v>49.2</v>
      </c>
      <c r="S45">
        <v>52.4</v>
      </c>
      <c r="T45">
        <v>49.5</v>
      </c>
      <c r="U45">
        <v>52.4</v>
      </c>
      <c r="V45">
        <v>51</v>
      </c>
      <c r="W45">
        <v>55</v>
      </c>
      <c r="X45">
        <v>50.1</v>
      </c>
      <c r="Y45">
        <v>57.3</v>
      </c>
      <c r="Z45">
        <v>50.8</v>
      </c>
      <c r="AA45">
        <v>58.71</v>
      </c>
    </row>
    <row r="46" spans="1:27" x14ac:dyDescent="0.35">
      <c r="A46" s="58">
        <v>41791</v>
      </c>
      <c r="B46">
        <v>52.6</v>
      </c>
      <c r="C46">
        <v>54.9</v>
      </c>
      <c r="D46">
        <v>57.3</v>
      </c>
      <c r="E46">
        <v>50.7</v>
      </c>
      <c r="F46">
        <v>51.8</v>
      </c>
      <c r="G46">
        <v>51.5</v>
      </c>
      <c r="H46">
        <v>52</v>
      </c>
      <c r="I46">
        <v>48.2</v>
      </c>
      <c r="J46">
        <v>57.5</v>
      </c>
      <c r="K46">
        <v>52.6</v>
      </c>
      <c r="L46">
        <v>54.6</v>
      </c>
      <c r="M46">
        <v>48.7</v>
      </c>
      <c r="N46">
        <v>51.8</v>
      </c>
      <c r="O46">
        <v>49.1</v>
      </c>
      <c r="P46">
        <v>51.5</v>
      </c>
      <c r="Q46">
        <v>53.5</v>
      </c>
      <c r="R46">
        <v>48.9</v>
      </c>
      <c r="S46">
        <v>52.7</v>
      </c>
      <c r="T46">
        <v>48.4</v>
      </c>
      <c r="U46">
        <v>54</v>
      </c>
      <c r="V46">
        <v>49.4</v>
      </c>
      <c r="W46">
        <v>55.3</v>
      </c>
      <c r="X46">
        <v>48.8</v>
      </c>
      <c r="Y46">
        <v>54.7</v>
      </c>
      <c r="Z46">
        <v>50.3</v>
      </c>
      <c r="AA46">
        <v>51.76</v>
      </c>
    </row>
    <row r="47" spans="1:27" x14ac:dyDescent="0.35">
      <c r="A47" s="58">
        <v>41821</v>
      </c>
      <c r="B47">
        <v>52.5</v>
      </c>
      <c r="C47">
        <v>55.3</v>
      </c>
      <c r="D47">
        <v>55.8</v>
      </c>
      <c r="E47">
        <v>51.7</v>
      </c>
      <c r="F47">
        <v>51.8</v>
      </c>
      <c r="G47">
        <v>50.5</v>
      </c>
      <c r="H47">
        <v>52.4</v>
      </c>
      <c r="I47">
        <v>47.8</v>
      </c>
      <c r="J47">
        <v>55.4</v>
      </c>
      <c r="K47">
        <v>51.9</v>
      </c>
      <c r="L47">
        <v>53.9</v>
      </c>
      <c r="M47">
        <v>49.1</v>
      </c>
      <c r="N47">
        <v>51.5</v>
      </c>
      <c r="O47">
        <v>51</v>
      </c>
      <c r="P47">
        <v>53</v>
      </c>
      <c r="Q47">
        <v>54.3</v>
      </c>
      <c r="R47">
        <v>50.7</v>
      </c>
      <c r="S47">
        <v>52.4</v>
      </c>
      <c r="T47">
        <v>48.506666666666703</v>
      </c>
      <c r="U47">
        <v>55.8</v>
      </c>
      <c r="V47">
        <v>48.7</v>
      </c>
      <c r="W47">
        <v>55.4</v>
      </c>
      <c r="X47">
        <v>48.5</v>
      </c>
      <c r="Y47">
        <v>56.463888888888903</v>
      </c>
      <c r="Z47">
        <v>49.4</v>
      </c>
      <c r="AA47">
        <v>49.75</v>
      </c>
    </row>
    <row r="48" spans="1:27" x14ac:dyDescent="0.35">
      <c r="A48" s="58">
        <v>41852</v>
      </c>
      <c r="B48">
        <v>52.6</v>
      </c>
      <c r="C48">
        <v>58.2</v>
      </c>
      <c r="D48">
        <v>57.9</v>
      </c>
      <c r="E48">
        <v>50.2</v>
      </c>
      <c r="F48">
        <v>50.7</v>
      </c>
      <c r="G48">
        <v>52.2</v>
      </c>
      <c r="H48">
        <v>51.4</v>
      </c>
      <c r="I48">
        <v>46.9</v>
      </c>
      <c r="J48">
        <v>52.5</v>
      </c>
      <c r="K48">
        <v>49.8</v>
      </c>
      <c r="L48">
        <v>52.8</v>
      </c>
      <c r="M48">
        <v>50.2</v>
      </c>
      <c r="N48">
        <v>52.1</v>
      </c>
      <c r="O48">
        <v>51</v>
      </c>
      <c r="P48">
        <v>52.4</v>
      </c>
      <c r="Q48">
        <v>54.8</v>
      </c>
      <c r="R48">
        <v>47.3</v>
      </c>
      <c r="S48">
        <v>49.5</v>
      </c>
      <c r="T48">
        <v>50.3</v>
      </c>
      <c r="U48">
        <v>56.1</v>
      </c>
      <c r="V48">
        <v>50.1</v>
      </c>
      <c r="W48">
        <v>57.3</v>
      </c>
      <c r="X48">
        <v>50</v>
      </c>
      <c r="Y48">
        <v>54.3</v>
      </c>
      <c r="Z48">
        <v>49</v>
      </c>
      <c r="AA48">
        <v>48.13</v>
      </c>
    </row>
    <row r="49" spans="1:27" x14ac:dyDescent="0.35">
      <c r="A49" s="58">
        <v>41883</v>
      </c>
      <c r="B49">
        <v>52.2</v>
      </c>
      <c r="C49">
        <v>55.5</v>
      </c>
      <c r="D49">
        <v>57.5</v>
      </c>
      <c r="E49">
        <v>51.1</v>
      </c>
      <c r="F49">
        <v>50.3</v>
      </c>
      <c r="G49">
        <v>51.7</v>
      </c>
      <c r="H49">
        <v>49.9</v>
      </c>
      <c r="I49">
        <v>48.8</v>
      </c>
      <c r="J49">
        <v>51.6</v>
      </c>
      <c r="K49">
        <v>50.7</v>
      </c>
      <c r="L49">
        <v>52.6</v>
      </c>
      <c r="M49">
        <v>49.3</v>
      </c>
      <c r="N49">
        <v>52.6</v>
      </c>
      <c r="O49">
        <v>50.4</v>
      </c>
      <c r="P49">
        <v>51</v>
      </c>
      <c r="Q49">
        <v>53.5</v>
      </c>
      <c r="R49">
        <v>46.5</v>
      </c>
      <c r="S49">
        <v>50.7</v>
      </c>
      <c r="T49">
        <v>48.8</v>
      </c>
      <c r="U49">
        <v>53.3</v>
      </c>
      <c r="V49">
        <v>48.4</v>
      </c>
      <c r="W49">
        <v>55.7</v>
      </c>
      <c r="X49">
        <v>50.4</v>
      </c>
      <c r="Y49">
        <v>55.6</v>
      </c>
      <c r="Z49">
        <v>49.5</v>
      </c>
      <c r="AA49">
        <v>51.33</v>
      </c>
    </row>
    <row r="50" spans="1:27" x14ac:dyDescent="0.35">
      <c r="A50" s="58">
        <v>41913</v>
      </c>
      <c r="B50">
        <v>52.2</v>
      </c>
      <c r="C50">
        <v>56.8</v>
      </c>
      <c r="D50">
        <v>55.9</v>
      </c>
      <c r="E50">
        <v>50.8</v>
      </c>
      <c r="F50">
        <v>50.6</v>
      </c>
      <c r="G50">
        <v>52.4</v>
      </c>
      <c r="H50">
        <v>51.4</v>
      </c>
      <c r="I50">
        <v>48.5</v>
      </c>
      <c r="J50">
        <v>53.2</v>
      </c>
      <c r="K50">
        <v>49</v>
      </c>
      <c r="L50">
        <v>52.6</v>
      </c>
      <c r="M50">
        <v>49.1</v>
      </c>
      <c r="N50">
        <v>53.3</v>
      </c>
      <c r="O50">
        <v>50.3</v>
      </c>
      <c r="P50">
        <v>51.6</v>
      </c>
      <c r="Q50">
        <v>55.3</v>
      </c>
      <c r="R50">
        <v>49.42</v>
      </c>
      <c r="S50">
        <v>49.2</v>
      </c>
      <c r="T50">
        <v>48.7</v>
      </c>
      <c r="U50">
        <v>52</v>
      </c>
      <c r="V50">
        <v>48.8</v>
      </c>
      <c r="W50">
        <v>56.6</v>
      </c>
      <c r="X50">
        <v>51.5</v>
      </c>
      <c r="Y50">
        <v>54.4</v>
      </c>
      <c r="Z50">
        <v>51.2</v>
      </c>
      <c r="AA50">
        <v>54.04</v>
      </c>
    </row>
    <row r="51" spans="1:27" x14ac:dyDescent="0.35">
      <c r="A51" s="58">
        <v>41944</v>
      </c>
      <c r="B51">
        <v>51.8</v>
      </c>
      <c r="C51">
        <v>57</v>
      </c>
      <c r="D51">
        <v>54.8</v>
      </c>
      <c r="E51">
        <v>50.3</v>
      </c>
      <c r="F51">
        <v>50.1</v>
      </c>
      <c r="G51">
        <v>52</v>
      </c>
      <c r="H51">
        <v>49.5</v>
      </c>
      <c r="I51">
        <v>48.4</v>
      </c>
      <c r="J51">
        <v>53.5</v>
      </c>
      <c r="K51">
        <v>49</v>
      </c>
      <c r="L51">
        <v>54.7</v>
      </c>
      <c r="M51">
        <v>48.7</v>
      </c>
      <c r="N51">
        <v>54.3</v>
      </c>
      <c r="O51">
        <v>51.7</v>
      </c>
      <c r="P51">
        <v>53.3</v>
      </c>
      <c r="Q51">
        <v>55.3</v>
      </c>
      <c r="R51">
        <v>50.1</v>
      </c>
      <c r="S51">
        <v>48</v>
      </c>
      <c r="T51">
        <v>49</v>
      </c>
      <c r="U51">
        <v>51.4</v>
      </c>
      <c r="V51">
        <v>49.1</v>
      </c>
      <c r="W51">
        <v>56.2</v>
      </c>
      <c r="X51">
        <v>52.2</v>
      </c>
      <c r="Y51">
        <v>55.6</v>
      </c>
      <c r="Z51">
        <v>53.2</v>
      </c>
      <c r="AA51">
        <v>51.5</v>
      </c>
    </row>
    <row r="52" spans="1:27" x14ac:dyDescent="0.35">
      <c r="A52" s="58">
        <v>41974</v>
      </c>
      <c r="B52">
        <v>51.6</v>
      </c>
      <c r="C52">
        <v>54.7</v>
      </c>
      <c r="D52">
        <v>53.9</v>
      </c>
      <c r="E52">
        <v>50.1</v>
      </c>
      <c r="F52">
        <v>50.6</v>
      </c>
      <c r="G52">
        <v>52</v>
      </c>
      <c r="H52">
        <v>51.2</v>
      </c>
      <c r="I52">
        <v>47.5</v>
      </c>
      <c r="J52">
        <v>52.5</v>
      </c>
      <c r="K52">
        <v>48.4</v>
      </c>
      <c r="L52">
        <v>53.8</v>
      </c>
      <c r="M52">
        <v>50.2</v>
      </c>
      <c r="N52">
        <v>55.3</v>
      </c>
      <c r="O52">
        <v>48.9</v>
      </c>
      <c r="P52">
        <v>54.5</v>
      </c>
      <c r="Q52">
        <v>53.9</v>
      </c>
      <c r="R52">
        <v>46.9</v>
      </c>
      <c r="S52">
        <v>47.6</v>
      </c>
      <c r="T52">
        <v>49.9</v>
      </c>
      <c r="U52">
        <v>50</v>
      </c>
      <c r="V52">
        <v>49.4</v>
      </c>
      <c r="W52">
        <v>56.9</v>
      </c>
      <c r="X52">
        <v>51.4</v>
      </c>
      <c r="Y52">
        <v>53.3</v>
      </c>
      <c r="Z52">
        <v>52.8</v>
      </c>
      <c r="AA52">
        <v>53.85</v>
      </c>
    </row>
    <row r="53" spans="1:27" x14ac:dyDescent="0.35">
      <c r="A53" s="58">
        <v>42005</v>
      </c>
      <c r="B53">
        <v>51.7</v>
      </c>
      <c r="C53">
        <v>53.9</v>
      </c>
      <c r="D53">
        <v>53.7</v>
      </c>
      <c r="E53">
        <v>49.8</v>
      </c>
      <c r="F53">
        <v>51</v>
      </c>
      <c r="G53">
        <v>52.2</v>
      </c>
      <c r="H53">
        <v>50.9</v>
      </c>
      <c r="I53">
        <v>49.2</v>
      </c>
      <c r="J53">
        <v>53</v>
      </c>
      <c r="K53">
        <v>49.9</v>
      </c>
      <c r="L53">
        <v>54.7</v>
      </c>
      <c r="M53">
        <v>50.7</v>
      </c>
      <c r="N53">
        <v>55.6</v>
      </c>
      <c r="O53">
        <v>47.6</v>
      </c>
      <c r="P53">
        <v>52.9</v>
      </c>
      <c r="Q53">
        <v>51</v>
      </c>
      <c r="R53">
        <v>49</v>
      </c>
      <c r="S53">
        <v>48.5</v>
      </c>
      <c r="T53">
        <v>51.1</v>
      </c>
      <c r="U53">
        <v>51.7</v>
      </c>
      <c r="V53">
        <v>48.3</v>
      </c>
      <c r="W53">
        <v>55.1</v>
      </c>
      <c r="X53">
        <v>49.8</v>
      </c>
      <c r="Y53">
        <v>56.1</v>
      </c>
      <c r="Z53">
        <v>55.2</v>
      </c>
      <c r="AA53">
        <v>55.25</v>
      </c>
    </row>
    <row r="54" spans="1:27" x14ac:dyDescent="0.35">
      <c r="A54" s="58">
        <v>42036</v>
      </c>
      <c r="B54">
        <v>52</v>
      </c>
      <c r="C54">
        <v>53</v>
      </c>
      <c r="D54">
        <v>54.3</v>
      </c>
      <c r="E54">
        <v>49.9</v>
      </c>
      <c r="F54">
        <v>51</v>
      </c>
      <c r="G54">
        <v>51.6</v>
      </c>
      <c r="H54">
        <v>51.1</v>
      </c>
      <c r="I54">
        <v>47.6</v>
      </c>
      <c r="J54">
        <v>54.1</v>
      </c>
      <c r="K54">
        <v>51.9</v>
      </c>
      <c r="L54">
        <v>54.2</v>
      </c>
      <c r="M54">
        <v>49.6</v>
      </c>
      <c r="N54">
        <v>54.4</v>
      </c>
      <c r="O54">
        <v>49.7</v>
      </c>
      <c r="P54">
        <v>51.2</v>
      </c>
      <c r="Q54">
        <v>48.7</v>
      </c>
      <c r="R54">
        <v>45.4</v>
      </c>
      <c r="S54">
        <v>47.5</v>
      </c>
      <c r="T54">
        <v>51.1</v>
      </c>
      <c r="U54">
        <v>52.1</v>
      </c>
      <c r="V54">
        <v>48.4</v>
      </c>
      <c r="W54">
        <v>57.5</v>
      </c>
      <c r="X54">
        <v>49.6</v>
      </c>
      <c r="Y54">
        <v>55.6</v>
      </c>
      <c r="Z54">
        <v>55.1</v>
      </c>
      <c r="AA54">
        <v>57.96</v>
      </c>
    </row>
    <row r="55" spans="1:27" x14ac:dyDescent="0.35">
      <c r="A55" s="58">
        <v>42064</v>
      </c>
      <c r="B55">
        <v>51.8</v>
      </c>
      <c r="C55">
        <v>51.8</v>
      </c>
      <c r="D55">
        <v>55.3</v>
      </c>
      <c r="E55">
        <v>50.1</v>
      </c>
      <c r="F55">
        <v>52.2</v>
      </c>
      <c r="G55">
        <v>50.3</v>
      </c>
      <c r="H55">
        <v>52.8</v>
      </c>
      <c r="I55">
        <v>48.8</v>
      </c>
      <c r="J55">
        <v>54.4</v>
      </c>
      <c r="K55">
        <v>53.3</v>
      </c>
      <c r="L55">
        <v>54.3</v>
      </c>
      <c r="M55">
        <v>46.2</v>
      </c>
      <c r="N55">
        <v>53.8</v>
      </c>
      <c r="O55">
        <v>48.1</v>
      </c>
      <c r="P55">
        <v>52.1</v>
      </c>
      <c r="Q55">
        <v>48.9</v>
      </c>
      <c r="R55">
        <v>46.3</v>
      </c>
      <c r="S55">
        <v>46.4</v>
      </c>
      <c r="T55">
        <v>49.2</v>
      </c>
      <c r="U55">
        <v>51</v>
      </c>
      <c r="V55">
        <v>48.9</v>
      </c>
      <c r="W55">
        <v>56.8</v>
      </c>
      <c r="X55">
        <v>48</v>
      </c>
      <c r="Y55">
        <v>56.1</v>
      </c>
      <c r="Z55">
        <v>54.8</v>
      </c>
      <c r="AA55">
        <v>58.54</v>
      </c>
    </row>
    <row r="56" spans="1:27" x14ac:dyDescent="0.35">
      <c r="A56" s="58">
        <v>42095</v>
      </c>
      <c r="B56">
        <v>51</v>
      </c>
      <c r="C56">
        <v>51.6</v>
      </c>
      <c r="D56">
        <v>54.1</v>
      </c>
      <c r="E56">
        <v>50.1</v>
      </c>
      <c r="F56">
        <v>52</v>
      </c>
      <c r="G56">
        <v>49.9</v>
      </c>
      <c r="H56">
        <v>52.1</v>
      </c>
      <c r="I56">
        <v>48</v>
      </c>
      <c r="J56">
        <v>51.9</v>
      </c>
      <c r="K56">
        <v>53.8</v>
      </c>
      <c r="L56">
        <v>54.2</v>
      </c>
      <c r="M56">
        <v>46</v>
      </c>
      <c r="N56">
        <v>53.8</v>
      </c>
      <c r="O56">
        <v>48.9</v>
      </c>
      <c r="P56">
        <v>51.3</v>
      </c>
      <c r="Q56">
        <v>49</v>
      </c>
      <c r="R56">
        <v>48</v>
      </c>
      <c r="S56">
        <v>46.7</v>
      </c>
      <c r="T56">
        <v>48.8</v>
      </c>
      <c r="U56">
        <v>49.2</v>
      </c>
      <c r="V56">
        <v>46.5</v>
      </c>
      <c r="W56">
        <v>55.8</v>
      </c>
      <c r="X56">
        <v>48.5</v>
      </c>
      <c r="Y56">
        <v>54.7</v>
      </c>
      <c r="Z56">
        <v>54</v>
      </c>
      <c r="AA56">
        <v>53.3</v>
      </c>
    </row>
    <row r="57" spans="1:27" x14ac:dyDescent="0.35">
      <c r="A57" s="58">
        <v>42125</v>
      </c>
      <c r="B57">
        <v>51.2</v>
      </c>
      <c r="C57">
        <v>52.9</v>
      </c>
      <c r="D57">
        <v>53.8</v>
      </c>
      <c r="E57">
        <v>50.2</v>
      </c>
      <c r="F57">
        <v>52.2</v>
      </c>
      <c r="G57">
        <v>50.9</v>
      </c>
      <c r="H57">
        <v>51.1</v>
      </c>
      <c r="I57">
        <v>49.4</v>
      </c>
      <c r="J57">
        <v>52.2</v>
      </c>
      <c r="K57">
        <v>54.8</v>
      </c>
      <c r="L57">
        <v>55.8</v>
      </c>
      <c r="M57">
        <v>45.9</v>
      </c>
      <c r="N57">
        <v>53.3</v>
      </c>
      <c r="O57">
        <v>47.6</v>
      </c>
      <c r="P57">
        <v>52.6</v>
      </c>
      <c r="Q57">
        <v>49.8</v>
      </c>
      <c r="R57">
        <v>52.29</v>
      </c>
      <c r="S57">
        <v>47.1</v>
      </c>
      <c r="T57">
        <v>47.8</v>
      </c>
      <c r="U57">
        <v>49.3</v>
      </c>
      <c r="V57">
        <v>48</v>
      </c>
      <c r="W57">
        <v>57.1</v>
      </c>
      <c r="X57">
        <v>50.2</v>
      </c>
      <c r="Y57">
        <v>55.5</v>
      </c>
      <c r="Z57">
        <v>52.4</v>
      </c>
      <c r="AA57">
        <v>52.73</v>
      </c>
    </row>
    <row r="58" spans="1:27" x14ac:dyDescent="0.35">
      <c r="A58" s="58">
        <v>42156</v>
      </c>
      <c r="B58">
        <v>51</v>
      </c>
      <c r="C58">
        <v>52.3</v>
      </c>
      <c r="D58">
        <v>53.6</v>
      </c>
      <c r="E58">
        <v>50.2</v>
      </c>
      <c r="F58">
        <v>52.5</v>
      </c>
      <c r="G58">
        <v>50.1</v>
      </c>
      <c r="H58">
        <v>51.9</v>
      </c>
      <c r="I58">
        <v>50.7</v>
      </c>
      <c r="J58">
        <v>51.9</v>
      </c>
      <c r="K58">
        <v>54.1</v>
      </c>
      <c r="L58">
        <v>54.5</v>
      </c>
      <c r="M58">
        <v>46.5</v>
      </c>
      <c r="N58">
        <v>52</v>
      </c>
      <c r="O58">
        <v>48.7</v>
      </c>
      <c r="P58">
        <v>51.3</v>
      </c>
      <c r="Q58">
        <v>51.3</v>
      </c>
      <c r="R58">
        <v>44.2</v>
      </c>
      <c r="S58">
        <v>47.8</v>
      </c>
      <c r="T58">
        <v>46.1</v>
      </c>
      <c r="U58">
        <v>46.3</v>
      </c>
      <c r="V58">
        <v>46.9</v>
      </c>
      <c r="W58">
        <v>54.6</v>
      </c>
      <c r="X58">
        <v>49</v>
      </c>
      <c r="Y58">
        <v>56.9</v>
      </c>
      <c r="Z58">
        <v>54.3</v>
      </c>
      <c r="AA58">
        <v>54.46</v>
      </c>
    </row>
    <row r="59" spans="1:27" x14ac:dyDescent="0.35">
      <c r="A59" s="58">
        <v>42186</v>
      </c>
      <c r="B59">
        <v>51</v>
      </c>
      <c r="C59">
        <v>51.9</v>
      </c>
      <c r="D59">
        <v>53.8</v>
      </c>
      <c r="E59">
        <v>50</v>
      </c>
      <c r="F59">
        <v>52.4</v>
      </c>
      <c r="G59">
        <v>51.2</v>
      </c>
      <c r="H59">
        <v>51.8</v>
      </c>
      <c r="I59">
        <v>49.6</v>
      </c>
      <c r="J59">
        <v>52.5</v>
      </c>
      <c r="K59">
        <v>55.3</v>
      </c>
      <c r="L59">
        <v>53.6</v>
      </c>
      <c r="M59">
        <v>47.2</v>
      </c>
      <c r="N59">
        <v>52.9</v>
      </c>
      <c r="O59">
        <v>48.3</v>
      </c>
      <c r="P59">
        <v>52.7</v>
      </c>
      <c r="Q59">
        <v>50.8</v>
      </c>
      <c r="R59">
        <v>50.4</v>
      </c>
      <c r="S59">
        <v>47.3</v>
      </c>
      <c r="T59">
        <v>47.6</v>
      </c>
      <c r="U59">
        <v>47.1</v>
      </c>
      <c r="V59">
        <v>30.2</v>
      </c>
      <c r="W59">
        <v>56.7</v>
      </c>
      <c r="X59">
        <v>50.1</v>
      </c>
      <c r="Y59">
        <v>57.5</v>
      </c>
      <c r="Z59">
        <v>54.5</v>
      </c>
      <c r="AA59">
        <v>52.31</v>
      </c>
    </row>
    <row r="60" spans="1:27" x14ac:dyDescent="0.35">
      <c r="A60" s="58">
        <v>42217</v>
      </c>
      <c r="B60">
        <v>50.7</v>
      </c>
      <c r="C60">
        <v>50.8</v>
      </c>
      <c r="D60">
        <v>53</v>
      </c>
      <c r="E60">
        <v>47.3</v>
      </c>
      <c r="F60">
        <v>52.3</v>
      </c>
      <c r="G60">
        <v>51.7</v>
      </c>
      <c r="H60">
        <v>53.3</v>
      </c>
      <c r="I60">
        <v>48.3</v>
      </c>
      <c r="J60">
        <v>51.6</v>
      </c>
      <c r="K60">
        <v>53.8</v>
      </c>
      <c r="L60">
        <v>53.2</v>
      </c>
      <c r="M60">
        <v>45.8</v>
      </c>
      <c r="N60">
        <v>52.4</v>
      </c>
      <c r="O60">
        <v>47.9</v>
      </c>
      <c r="P60">
        <v>52.3</v>
      </c>
      <c r="Q60">
        <v>49.4</v>
      </c>
      <c r="R60">
        <v>51.7</v>
      </c>
      <c r="S60">
        <v>48.4</v>
      </c>
      <c r="T60">
        <v>47.9</v>
      </c>
      <c r="U60">
        <v>46.1</v>
      </c>
      <c r="V60">
        <v>39.1</v>
      </c>
      <c r="W60">
        <v>53.6</v>
      </c>
      <c r="X60">
        <v>49.3</v>
      </c>
      <c r="Y60">
        <v>56.6</v>
      </c>
      <c r="Z60">
        <v>51.1</v>
      </c>
      <c r="AA60">
        <v>62.51</v>
      </c>
    </row>
    <row r="61" spans="1:27" x14ac:dyDescent="0.35">
      <c r="A61" s="58">
        <v>42248</v>
      </c>
      <c r="B61">
        <v>50.6</v>
      </c>
      <c r="C61">
        <v>50.1</v>
      </c>
      <c r="D61">
        <v>53.1</v>
      </c>
      <c r="E61">
        <v>47.2</v>
      </c>
      <c r="F61">
        <v>52</v>
      </c>
      <c r="G61">
        <v>51</v>
      </c>
      <c r="H61">
        <v>52.3</v>
      </c>
      <c r="I61">
        <v>50.6</v>
      </c>
      <c r="J61">
        <v>51.6</v>
      </c>
      <c r="K61">
        <v>52.7</v>
      </c>
      <c r="L61">
        <v>51.7</v>
      </c>
      <c r="M61">
        <v>47</v>
      </c>
      <c r="N61">
        <v>52.1</v>
      </c>
      <c r="O61">
        <v>49.1</v>
      </c>
      <c r="P61">
        <v>51.2</v>
      </c>
      <c r="Q61">
        <v>48.6</v>
      </c>
      <c r="R61">
        <v>52.1</v>
      </c>
      <c r="S61">
        <v>47.4</v>
      </c>
      <c r="T61">
        <v>49.2</v>
      </c>
      <c r="U61">
        <v>46.9</v>
      </c>
      <c r="V61">
        <v>43.3</v>
      </c>
      <c r="W61">
        <v>53.8</v>
      </c>
      <c r="X61">
        <v>48.8</v>
      </c>
      <c r="Y61">
        <v>55.5</v>
      </c>
      <c r="Z61">
        <v>50.9</v>
      </c>
      <c r="AA61">
        <v>69.37</v>
      </c>
    </row>
    <row r="62" spans="1:27" x14ac:dyDescent="0.35">
      <c r="A62" s="58">
        <v>42278</v>
      </c>
      <c r="B62">
        <v>51.4</v>
      </c>
      <c r="C62">
        <v>49.6</v>
      </c>
      <c r="D62">
        <v>54.1</v>
      </c>
      <c r="E62">
        <v>48.3</v>
      </c>
      <c r="F62">
        <v>52.3</v>
      </c>
      <c r="G62">
        <v>52.4</v>
      </c>
      <c r="H62">
        <v>52.1</v>
      </c>
      <c r="I62">
        <v>50.6</v>
      </c>
      <c r="J62">
        <v>54.3</v>
      </c>
      <c r="K62">
        <v>54.1</v>
      </c>
      <c r="L62">
        <v>51.3</v>
      </c>
      <c r="M62">
        <v>44.1</v>
      </c>
      <c r="N62">
        <v>53</v>
      </c>
      <c r="O62">
        <v>50.2</v>
      </c>
      <c r="P62">
        <v>50.7</v>
      </c>
      <c r="Q62">
        <v>48</v>
      </c>
      <c r="R62">
        <v>50.2</v>
      </c>
      <c r="S62">
        <v>47.8</v>
      </c>
      <c r="T62">
        <v>49.1</v>
      </c>
      <c r="U62">
        <v>47.8</v>
      </c>
      <c r="V62">
        <v>47.3</v>
      </c>
      <c r="W62">
        <v>53.6</v>
      </c>
      <c r="X62">
        <v>49.5</v>
      </c>
      <c r="Y62">
        <v>54</v>
      </c>
      <c r="Z62">
        <v>52.2</v>
      </c>
      <c r="AA62">
        <v>55.62</v>
      </c>
    </row>
    <row r="63" spans="1:27" x14ac:dyDescent="0.35">
      <c r="A63" s="58">
        <v>42309</v>
      </c>
      <c r="B63">
        <v>51.2</v>
      </c>
      <c r="C63">
        <v>49.1</v>
      </c>
      <c r="D63">
        <v>52.8</v>
      </c>
      <c r="E63">
        <v>48.6</v>
      </c>
      <c r="F63">
        <v>52.8</v>
      </c>
      <c r="G63">
        <v>52.6</v>
      </c>
      <c r="H63">
        <v>52.9</v>
      </c>
      <c r="I63">
        <v>50.6</v>
      </c>
      <c r="J63">
        <v>52.3</v>
      </c>
      <c r="K63">
        <v>54.9</v>
      </c>
      <c r="L63">
        <v>53.1</v>
      </c>
      <c r="M63">
        <v>43.8</v>
      </c>
      <c r="N63">
        <v>53</v>
      </c>
      <c r="O63">
        <v>50.1</v>
      </c>
      <c r="P63">
        <v>50.3</v>
      </c>
      <c r="Q63">
        <v>48.6</v>
      </c>
      <c r="R63">
        <v>52.5</v>
      </c>
      <c r="S63">
        <v>46.9</v>
      </c>
      <c r="T63">
        <v>49.1</v>
      </c>
      <c r="U63">
        <v>49.5</v>
      </c>
      <c r="V63">
        <v>48.1</v>
      </c>
      <c r="W63">
        <v>53.3</v>
      </c>
      <c r="X63">
        <v>50.9</v>
      </c>
      <c r="Y63">
        <v>54.2</v>
      </c>
      <c r="Z63">
        <v>52.1</v>
      </c>
      <c r="AA63">
        <v>61.47</v>
      </c>
    </row>
    <row r="64" spans="1:27" x14ac:dyDescent="0.35">
      <c r="A64" s="58">
        <v>42339</v>
      </c>
      <c r="B64">
        <v>50.9</v>
      </c>
      <c r="C64">
        <v>48.4</v>
      </c>
      <c r="D64">
        <v>51.2</v>
      </c>
      <c r="E64">
        <v>48.2</v>
      </c>
      <c r="F64">
        <v>53.2</v>
      </c>
      <c r="G64">
        <v>52.6</v>
      </c>
      <c r="H64">
        <v>53.2</v>
      </c>
      <c r="I64">
        <v>51.4</v>
      </c>
      <c r="J64">
        <v>51</v>
      </c>
      <c r="K64">
        <v>55.6</v>
      </c>
      <c r="L64">
        <v>53</v>
      </c>
      <c r="M64">
        <v>45.6</v>
      </c>
      <c r="N64">
        <v>52.4</v>
      </c>
      <c r="O64">
        <v>48.7</v>
      </c>
      <c r="P64">
        <v>49.1</v>
      </c>
      <c r="Q64">
        <v>47.5</v>
      </c>
      <c r="R64">
        <v>51.9</v>
      </c>
      <c r="S64">
        <v>47.8</v>
      </c>
      <c r="T64">
        <v>50.7</v>
      </c>
      <c r="U64">
        <v>51.7</v>
      </c>
      <c r="V64">
        <v>50.2</v>
      </c>
      <c r="W64">
        <v>54.2</v>
      </c>
      <c r="X64">
        <v>52.2</v>
      </c>
      <c r="Y64">
        <v>55.6</v>
      </c>
      <c r="Z64">
        <v>52.1</v>
      </c>
      <c r="AA64">
        <v>54.76</v>
      </c>
    </row>
    <row r="65" spans="1:27" x14ac:dyDescent="0.35">
      <c r="A65" s="58">
        <v>42370</v>
      </c>
      <c r="B65">
        <v>50.9</v>
      </c>
      <c r="C65">
        <v>47.8</v>
      </c>
      <c r="D65">
        <v>52.4</v>
      </c>
      <c r="E65">
        <v>48.4</v>
      </c>
      <c r="F65">
        <v>52.3</v>
      </c>
      <c r="G65">
        <v>52.3</v>
      </c>
      <c r="H65">
        <v>52.3</v>
      </c>
      <c r="I65">
        <v>50</v>
      </c>
      <c r="J65">
        <v>52.2</v>
      </c>
      <c r="K65">
        <v>53.2</v>
      </c>
      <c r="L65">
        <v>55.4</v>
      </c>
      <c r="M65">
        <v>47.4</v>
      </c>
      <c r="N65">
        <v>52.2</v>
      </c>
      <c r="O65">
        <v>49.8</v>
      </c>
      <c r="P65">
        <v>51.1</v>
      </c>
      <c r="Q65">
        <v>49.3</v>
      </c>
      <c r="R65">
        <v>51.5</v>
      </c>
      <c r="S65">
        <v>48.9</v>
      </c>
      <c r="T65">
        <v>49.5</v>
      </c>
      <c r="U65">
        <v>50.6</v>
      </c>
      <c r="V65">
        <v>50</v>
      </c>
      <c r="W65">
        <v>54.3</v>
      </c>
      <c r="X65">
        <v>50.9</v>
      </c>
      <c r="Y65">
        <v>56.9</v>
      </c>
      <c r="Z65">
        <v>50.9</v>
      </c>
      <c r="AA65">
        <v>54.46</v>
      </c>
    </row>
    <row r="66" spans="1:27" x14ac:dyDescent="0.35">
      <c r="A66" s="58">
        <v>42401</v>
      </c>
      <c r="B66">
        <v>50</v>
      </c>
      <c r="C66">
        <v>49.4</v>
      </c>
      <c r="D66">
        <v>51.3</v>
      </c>
      <c r="E66">
        <v>48</v>
      </c>
      <c r="F66">
        <v>51.2</v>
      </c>
      <c r="G66">
        <v>50.1</v>
      </c>
      <c r="H66">
        <v>50.5</v>
      </c>
      <c r="I66">
        <v>50.2</v>
      </c>
      <c r="J66">
        <v>50.8</v>
      </c>
      <c r="K66">
        <v>52.2</v>
      </c>
      <c r="L66">
        <v>54.1</v>
      </c>
      <c r="M66">
        <v>44.5</v>
      </c>
      <c r="N66">
        <v>53.1</v>
      </c>
      <c r="O66">
        <v>49.3</v>
      </c>
      <c r="P66">
        <v>51.1</v>
      </c>
      <c r="Q66">
        <v>49.4</v>
      </c>
      <c r="R66">
        <v>53.5</v>
      </c>
      <c r="S66">
        <v>48.7</v>
      </c>
      <c r="T66">
        <v>48.7</v>
      </c>
      <c r="U66">
        <v>49.4</v>
      </c>
      <c r="V66">
        <v>48.4</v>
      </c>
      <c r="W66">
        <v>52.9</v>
      </c>
      <c r="X66">
        <v>50.3</v>
      </c>
      <c r="Y66">
        <v>55.5</v>
      </c>
      <c r="Z66">
        <v>52.8</v>
      </c>
      <c r="AA66">
        <v>50.93</v>
      </c>
    </row>
    <row r="67" spans="1:27" x14ac:dyDescent="0.35">
      <c r="A67" s="58">
        <v>42430</v>
      </c>
      <c r="B67">
        <v>50.5</v>
      </c>
      <c r="C67">
        <v>51.2</v>
      </c>
      <c r="D67">
        <v>51.5</v>
      </c>
      <c r="E67">
        <v>49.7</v>
      </c>
      <c r="F67">
        <v>51.6</v>
      </c>
      <c r="G67">
        <v>49.1</v>
      </c>
      <c r="H67">
        <v>50.7</v>
      </c>
      <c r="I67">
        <v>49.6</v>
      </c>
      <c r="J67">
        <v>51.1</v>
      </c>
      <c r="K67">
        <v>53.5</v>
      </c>
      <c r="L67">
        <v>53.4</v>
      </c>
      <c r="M67">
        <v>46</v>
      </c>
      <c r="N67">
        <v>53.2</v>
      </c>
      <c r="O67">
        <v>48.3</v>
      </c>
      <c r="P67">
        <v>52.4</v>
      </c>
      <c r="Q67">
        <v>51.5</v>
      </c>
      <c r="R67">
        <v>58.1</v>
      </c>
      <c r="S67">
        <v>50.6</v>
      </c>
      <c r="T67">
        <v>49.5</v>
      </c>
      <c r="U67">
        <v>51.1</v>
      </c>
      <c r="V67">
        <v>49</v>
      </c>
      <c r="W67">
        <v>54.9</v>
      </c>
      <c r="X67">
        <v>49.2</v>
      </c>
      <c r="Y67">
        <v>54.3</v>
      </c>
      <c r="Z67">
        <v>53.8</v>
      </c>
      <c r="AA67">
        <v>55.11</v>
      </c>
    </row>
    <row r="68" spans="1:27" x14ac:dyDescent="0.35">
      <c r="A68" s="58">
        <v>42461</v>
      </c>
      <c r="B68">
        <v>50.1</v>
      </c>
      <c r="C68">
        <v>50.8</v>
      </c>
      <c r="D68">
        <v>50.8</v>
      </c>
      <c r="E68">
        <v>49.4</v>
      </c>
      <c r="F68">
        <v>51.7</v>
      </c>
      <c r="G68">
        <v>48.2</v>
      </c>
      <c r="H68">
        <v>51.8</v>
      </c>
      <c r="I68">
        <v>48</v>
      </c>
      <c r="J68">
        <v>50</v>
      </c>
      <c r="K68">
        <v>53.9</v>
      </c>
      <c r="L68">
        <v>53.5</v>
      </c>
      <c r="M68">
        <v>42.6</v>
      </c>
      <c r="N68">
        <v>52.4</v>
      </c>
      <c r="O68">
        <v>48</v>
      </c>
      <c r="P68">
        <v>50.5</v>
      </c>
      <c r="Q68">
        <v>52.2</v>
      </c>
      <c r="R68">
        <v>53.4</v>
      </c>
      <c r="S68">
        <v>50.9</v>
      </c>
      <c r="T68">
        <v>50</v>
      </c>
      <c r="U68">
        <v>49.7</v>
      </c>
      <c r="V68">
        <v>49.7</v>
      </c>
      <c r="W68">
        <v>52.6</v>
      </c>
      <c r="X68">
        <v>48.9</v>
      </c>
      <c r="Y68">
        <v>53.6</v>
      </c>
      <c r="Z68">
        <v>51</v>
      </c>
      <c r="AA68">
        <v>63.28</v>
      </c>
    </row>
    <row r="69" spans="1:27" x14ac:dyDescent="0.35">
      <c r="A69" s="58">
        <v>42491</v>
      </c>
      <c r="B69">
        <v>50</v>
      </c>
      <c r="C69">
        <v>50.9</v>
      </c>
      <c r="D69">
        <v>50.7</v>
      </c>
      <c r="E69">
        <v>49.2</v>
      </c>
      <c r="F69">
        <v>51.5</v>
      </c>
      <c r="G69">
        <v>47.7</v>
      </c>
      <c r="H69">
        <v>52.1</v>
      </c>
      <c r="I69">
        <v>48.4</v>
      </c>
      <c r="J69">
        <v>50.7</v>
      </c>
      <c r="K69">
        <v>52.4</v>
      </c>
      <c r="L69">
        <v>51.8</v>
      </c>
      <c r="M69">
        <v>41.6</v>
      </c>
      <c r="N69">
        <v>53.6</v>
      </c>
      <c r="O69">
        <v>49.6</v>
      </c>
      <c r="P69">
        <v>50.7</v>
      </c>
      <c r="Q69">
        <v>52.1</v>
      </c>
      <c r="R69">
        <v>51</v>
      </c>
      <c r="S69">
        <v>50.6</v>
      </c>
      <c r="T69">
        <v>50.1</v>
      </c>
      <c r="U69">
        <v>48.5</v>
      </c>
      <c r="V69">
        <v>48.4</v>
      </c>
      <c r="W69">
        <v>51.5</v>
      </c>
      <c r="X69">
        <v>49.4</v>
      </c>
      <c r="Y69">
        <v>53.3</v>
      </c>
      <c r="Z69">
        <v>52.1</v>
      </c>
      <c r="AA69">
        <v>61.65</v>
      </c>
    </row>
    <row r="70" spans="1:27" x14ac:dyDescent="0.35">
      <c r="A70" s="58">
        <v>42522</v>
      </c>
      <c r="B70">
        <v>50.9</v>
      </c>
      <c r="C70">
        <v>52.5</v>
      </c>
      <c r="D70">
        <v>51.3</v>
      </c>
      <c r="E70">
        <v>48.6</v>
      </c>
      <c r="F70">
        <v>52.8</v>
      </c>
      <c r="G70">
        <v>48.1</v>
      </c>
      <c r="H70">
        <v>54.5</v>
      </c>
      <c r="I70">
        <v>48.3</v>
      </c>
      <c r="J70">
        <v>53.2</v>
      </c>
      <c r="K70">
        <v>53.5</v>
      </c>
      <c r="L70">
        <v>52.2</v>
      </c>
      <c r="M70">
        <v>43.2</v>
      </c>
      <c r="N70">
        <v>51.1</v>
      </c>
      <c r="O70">
        <v>51.5</v>
      </c>
      <c r="P70">
        <v>51.7</v>
      </c>
      <c r="Q70">
        <v>51.8</v>
      </c>
      <c r="R70">
        <v>51.8</v>
      </c>
      <c r="S70">
        <v>51.9</v>
      </c>
      <c r="T70">
        <v>50.5</v>
      </c>
      <c r="U70">
        <v>50.5</v>
      </c>
      <c r="V70">
        <v>50.4</v>
      </c>
      <c r="W70">
        <v>53</v>
      </c>
      <c r="X70">
        <v>47.4</v>
      </c>
      <c r="Y70">
        <v>51.8</v>
      </c>
      <c r="Z70">
        <v>51.8</v>
      </c>
      <c r="AA70">
        <v>59.75</v>
      </c>
    </row>
    <row r="71" spans="1:27" x14ac:dyDescent="0.35">
      <c r="A71" s="58">
        <v>42552</v>
      </c>
      <c r="B71">
        <v>51</v>
      </c>
      <c r="C71">
        <v>52.9</v>
      </c>
      <c r="D71">
        <v>52.9</v>
      </c>
      <c r="E71">
        <v>50.6</v>
      </c>
      <c r="F71">
        <v>52</v>
      </c>
      <c r="G71">
        <v>49.3</v>
      </c>
      <c r="H71">
        <v>53.8</v>
      </c>
      <c r="I71">
        <v>48.6</v>
      </c>
      <c r="J71">
        <v>48.5</v>
      </c>
      <c r="K71">
        <v>51.2</v>
      </c>
      <c r="L71">
        <v>51</v>
      </c>
      <c r="M71">
        <v>46</v>
      </c>
      <c r="N71">
        <v>50.6</v>
      </c>
      <c r="O71">
        <v>49.5</v>
      </c>
      <c r="P71">
        <v>51.8</v>
      </c>
      <c r="Q71">
        <v>51.9</v>
      </c>
      <c r="R71">
        <v>56.4</v>
      </c>
      <c r="S71">
        <v>48.4</v>
      </c>
      <c r="T71">
        <v>50.1</v>
      </c>
      <c r="U71">
        <v>51</v>
      </c>
      <c r="V71">
        <v>48.7</v>
      </c>
      <c r="W71">
        <v>50.2</v>
      </c>
      <c r="X71">
        <v>47.6</v>
      </c>
      <c r="Y71">
        <v>49.3</v>
      </c>
      <c r="Z71">
        <v>50.3</v>
      </c>
      <c r="AA71">
        <v>59.53</v>
      </c>
    </row>
    <row r="72" spans="1:27" x14ac:dyDescent="0.35">
      <c r="A72" s="58">
        <v>42583</v>
      </c>
      <c r="B72">
        <v>50.9</v>
      </c>
      <c r="C72">
        <v>49.9</v>
      </c>
      <c r="D72">
        <v>52</v>
      </c>
      <c r="E72">
        <v>50</v>
      </c>
      <c r="F72">
        <v>51.7</v>
      </c>
      <c r="G72">
        <v>49.5</v>
      </c>
      <c r="H72">
        <v>53.6</v>
      </c>
      <c r="I72">
        <v>48.3</v>
      </c>
      <c r="J72">
        <v>53.2</v>
      </c>
      <c r="K72">
        <v>49.8</v>
      </c>
      <c r="L72">
        <v>51</v>
      </c>
      <c r="M72">
        <v>45.7</v>
      </c>
      <c r="N72">
        <v>50.9</v>
      </c>
      <c r="O72">
        <v>50.8</v>
      </c>
      <c r="P72">
        <v>52.6</v>
      </c>
      <c r="Q72">
        <v>51.1</v>
      </c>
      <c r="R72">
        <v>46.9</v>
      </c>
      <c r="S72">
        <v>50.4</v>
      </c>
      <c r="T72">
        <v>48.6</v>
      </c>
      <c r="U72">
        <v>51.8</v>
      </c>
      <c r="V72">
        <v>50.4</v>
      </c>
      <c r="W72">
        <v>51.7</v>
      </c>
      <c r="X72">
        <v>47</v>
      </c>
      <c r="Y72">
        <v>50.1</v>
      </c>
      <c r="Z72">
        <v>51.5</v>
      </c>
      <c r="AA72">
        <v>53.62</v>
      </c>
    </row>
    <row r="73" spans="1:27" x14ac:dyDescent="0.35">
      <c r="A73" s="58">
        <v>42614</v>
      </c>
      <c r="B73">
        <v>51</v>
      </c>
      <c r="C73">
        <v>51.4</v>
      </c>
      <c r="D73">
        <v>51.5</v>
      </c>
      <c r="E73">
        <v>50.1</v>
      </c>
      <c r="F73">
        <v>52.6</v>
      </c>
      <c r="G73">
        <v>50.4</v>
      </c>
      <c r="H73">
        <v>54.3</v>
      </c>
      <c r="I73">
        <v>49.7</v>
      </c>
      <c r="J73">
        <v>55.6</v>
      </c>
      <c r="K73">
        <v>51</v>
      </c>
      <c r="L73">
        <v>52.3</v>
      </c>
      <c r="M73">
        <v>46</v>
      </c>
      <c r="N73">
        <v>51.9</v>
      </c>
      <c r="O73">
        <v>51.1</v>
      </c>
      <c r="P73">
        <v>52.1</v>
      </c>
      <c r="Q73">
        <v>50.3</v>
      </c>
      <c r="R73">
        <v>49.8</v>
      </c>
      <c r="S73">
        <v>50.9</v>
      </c>
      <c r="T73">
        <v>47.6</v>
      </c>
      <c r="U73">
        <v>52.2</v>
      </c>
      <c r="V73">
        <v>49.2</v>
      </c>
      <c r="W73">
        <v>51.3</v>
      </c>
      <c r="X73">
        <v>48.3</v>
      </c>
      <c r="Y73">
        <v>52</v>
      </c>
      <c r="Z73">
        <v>52.2</v>
      </c>
      <c r="AA73">
        <v>58.98</v>
      </c>
    </row>
    <row r="74" spans="1:27" x14ac:dyDescent="0.35">
      <c r="A74" s="58">
        <v>42644</v>
      </c>
      <c r="B74">
        <v>52</v>
      </c>
      <c r="C74">
        <v>51.8</v>
      </c>
      <c r="D74">
        <v>53.4</v>
      </c>
      <c r="E74">
        <v>51.2</v>
      </c>
      <c r="F74">
        <v>53.5</v>
      </c>
      <c r="G74">
        <v>51.4</v>
      </c>
      <c r="H74">
        <v>55</v>
      </c>
      <c r="I74">
        <v>51.8</v>
      </c>
      <c r="J74">
        <v>53.8</v>
      </c>
      <c r="K74">
        <v>50.9</v>
      </c>
      <c r="L74">
        <v>53.3</v>
      </c>
      <c r="M74">
        <v>46.3</v>
      </c>
      <c r="N74">
        <v>51.8</v>
      </c>
      <c r="O74">
        <v>52.4</v>
      </c>
      <c r="P74">
        <v>54.4</v>
      </c>
      <c r="Q74">
        <v>51.1</v>
      </c>
      <c r="R74">
        <v>50.9</v>
      </c>
      <c r="S74">
        <v>48.7</v>
      </c>
      <c r="T74">
        <v>48</v>
      </c>
      <c r="U74">
        <v>52.7</v>
      </c>
      <c r="V74">
        <v>48.6</v>
      </c>
      <c r="W74">
        <v>52.1</v>
      </c>
      <c r="X74">
        <v>49.8</v>
      </c>
      <c r="Y74">
        <v>53.3</v>
      </c>
      <c r="Z74">
        <v>50.2</v>
      </c>
      <c r="AA74">
        <v>57.31</v>
      </c>
    </row>
    <row r="75" spans="1:27" x14ac:dyDescent="0.35">
      <c r="A75" s="58">
        <v>42675</v>
      </c>
      <c r="B75">
        <v>52.1</v>
      </c>
      <c r="C75">
        <v>53.4</v>
      </c>
      <c r="D75">
        <v>54.1</v>
      </c>
      <c r="E75">
        <v>50.9</v>
      </c>
      <c r="F75">
        <v>53.7</v>
      </c>
      <c r="G75">
        <v>51.3</v>
      </c>
      <c r="H75">
        <v>54.3</v>
      </c>
      <c r="I75">
        <v>51.7</v>
      </c>
      <c r="J75">
        <v>53.2</v>
      </c>
      <c r="K75">
        <v>52.2</v>
      </c>
      <c r="L75">
        <v>54.5</v>
      </c>
      <c r="M75">
        <v>46.2</v>
      </c>
      <c r="N75">
        <v>51.1</v>
      </c>
      <c r="O75">
        <v>53.6</v>
      </c>
      <c r="P75">
        <v>52.3</v>
      </c>
      <c r="Q75">
        <v>51.5</v>
      </c>
      <c r="R75">
        <v>54.2</v>
      </c>
      <c r="S75">
        <v>49.7</v>
      </c>
      <c r="T75">
        <v>48</v>
      </c>
      <c r="U75">
        <v>54.7</v>
      </c>
      <c r="V75">
        <v>48.3</v>
      </c>
      <c r="W75">
        <v>53.7</v>
      </c>
      <c r="X75">
        <v>48.8</v>
      </c>
      <c r="Y75">
        <v>52.2</v>
      </c>
      <c r="Z75">
        <v>51.9</v>
      </c>
      <c r="AA75">
        <v>57.22</v>
      </c>
    </row>
    <row r="76" spans="1:27" x14ac:dyDescent="0.35">
      <c r="A76" s="58">
        <v>42705</v>
      </c>
      <c r="B76">
        <v>52.7</v>
      </c>
      <c r="C76">
        <v>54.3</v>
      </c>
      <c r="D76">
        <v>54.3</v>
      </c>
      <c r="E76">
        <v>51.9</v>
      </c>
      <c r="F76">
        <v>54.9</v>
      </c>
      <c r="G76">
        <v>52.4</v>
      </c>
      <c r="H76">
        <v>55.6</v>
      </c>
      <c r="I76">
        <v>53.5</v>
      </c>
      <c r="J76">
        <v>55.6</v>
      </c>
      <c r="K76">
        <v>53.2</v>
      </c>
      <c r="L76">
        <v>55.3</v>
      </c>
      <c r="M76">
        <v>45.2</v>
      </c>
      <c r="N76">
        <v>50.2</v>
      </c>
      <c r="O76">
        <v>53.7</v>
      </c>
      <c r="P76">
        <v>49.6</v>
      </c>
      <c r="Q76">
        <v>51.8</v>
      </c>
      <c r="R76">
        <v>55.4</v>
      </c>
      <c r="S76">
        <v>49</v>
      </c>
      <c r="T76">
        <v>49.4</v>
      </c>
      <c r="U76">
        <v>56.2</v>
      </c>
      <c r="V76">
        <v>49.3</v>
      </c>
      <c r="W76">
        <v>55.7</v>
      </c>
      <c r="X76">
        <v>47.7</v>
      </c>
      <c r="Y76">
        <v>53.8</v>
      </c>
      <c r="Z76">
        <v>54.3</v>
      </c>
      <c r="AA76">
        <v>62.52</v>
      </c>
    </row>
    <row r="77" spans="1:27" x14ac:dyDescent="0.35">
      <c r="A77" s="58">
        <v>42736</v>
      </c>
      <c r="B77">
        <v>52.7</v>
      </c>
      <c r="C77">
        <v>55.6</v>
      </c>
      <c r="D77">
        <v>55</v>
      </c>
      <c r="E77">
        <v>51</v>
      </c>
      <c r="F77">
        <v>55.2</v>
      </c>
      <c r="G77">
        <v>52.7</v>
      </c>
      <c r="H77">
        <v>56.4</v>
      </c>
      <c r="I77">
        <v>53.6</v>
      </c>
      <c r="J77">
        <v>55.2</v>
      </c>
      <c r="K77">
        <v>53</v>
      </c>
      <c r="L77">
        <v>55.6</v>
      </c>
      <c r="M77">
        <v>44</v>
      </c>
      <c r="N77">
        <v>50.8</v>
      </c>
      <c r="O77">
        <v>54.7</v>
      </c>
      <c r="P77">
        <v>50.4</v>
      </c>
      <c r="Q77">
        <v>53.5</v>
      </c>
      <c r="R77">
        <v>51.2</v>
      </c>
      <c r="S77">
        <v>50.4</v>
      </c>
      <c r="T77">
        <v>49</v>
      </c>
      <c r="U77">
        <v>55.6</v>
      </c>
      <c r="V77">
        <v>46.6</v>
      </c>
      <c r="W77">
        <v>55.5</v>
      </c>
      <c r="X77">
        <v>48.7</v>
      </c>
      <c r="Y77">
        <v>55.7</v>
      </c>
      <c r="Z77">
        <v>54.8</v>
      </c>
      <c r="AA77">
        <v>57.57</v>
      </c>
    </row>
    <row r="78" spans="1:27" x14ac:dyDescent="0.35">
      <c r="A78" s="58">
        <v>42767</v>
      </c>
      <c r="B78">
        <v>53</v>
      </c>
      <c r="C78">
        <v>57.6</v>
      </c>
      <c r="D78">
        <v>54.2</v>
      </c>
      <c r="E78">
        <v>51.7</v>
      </c>
      <c r="F78">
        <v>55.4</v>
      </c>
      <c r="G78">
        <v>53.3</v>
      </c>
      <c r="H78">
        <v>56.8</v>
      </c>
      <c r="I78">
        <v>52.2</v>
      </c>
      <c r="J78">
        <v>54.5</v>
      </c>
      <c r="K78">
        <v>55</v>
      </c>
      <c r="L78">
        <v>54.8</v>
      </c>
      <c r="M78">
        <v>46.9</v>
      </c>
      <c r="N78">
        <v>50.6</v>
      </c>
      <c r="O78">
        <v>52.5</v>
      </c>
      <c r="P78">
        <v>50.7</v>
      </c>
      <c r="Q78">
        <v>54.7</v>
      </c>
      <c r="R78">
        <v>59.3</v>
      </c>
      <c r="S78">
        <v>49.3</v>
      </c>
      <c r="T78">
        <v>49.2</v>
      </c>
      <c r="U78">
        <v>54.5</v>
      </c>
      <c r="V78">
        <v>47.7</v>
      </c>
      <c r="W78">
        <v>53.8</v>
      </c>
      <c r="X78">
        <v>49.7</v>
      </c>
      <c r="Y78">
        <v>57.6</v>
      </c>
      <c r="Z78">
        <v>54.2</v>
      </c>
      <c r="AA78">
        <v>56.51</v>
      </c>
    </row>
    <row r="79" spans="1:27" x14ac:dyDescent="0.35">
      <c r="A79" s="58">
        <v>42795</v>
      </c>
      <c r="B79">
        <v>53</v>
      </c>
      <c r="C79">
        <v>56.6</v>
      </c>
      <c r="D79">
        <v>53.3</v>
      </c>
      <c r="E79">
        <v>51.2</v>
      </c>
      <c r="F79">
        <v>56.2</v>
      </c>
      <c r="G79">
        <v>52.4</v>
      </c>
      <c r="H79">
        <v>58.3</v>
      </c>
      <c r="I79">
        <v>53.3</v>
      </c>
      <c r="J79">
        <v>54.1</v>
      </c>
      <c r="K79">
        <v>55.7</v>
      </c>
      <c r="L79">
        <v>53.9</v>
      </c>
      <c r="M79">
        <v>49.6</v>
      </c>
      <c r="N79">
        <v>51.5</v>
      </c>
      <c r="O79">
        <v>52.4</v>
      </c>
      <c r="P79">
        <v>52.5</v>
      </c>
      <c r="Q79">
        <v>55.5</v>
      </c>
      <c r="R79">
        <v>57.5</v>
      </c>
      <c r="S79">
        <v>50.5</v>
      </c>
      <c r="T79">
        <v>48.4</v>
      </c>
      <c r="U79">
        <v>56.2</v>
      </c>
      <c r="V79">
        <v>46.7</v>
      </c>
      <c r="W79">
        <v>53.6</v>
      </c>
      <c r="X79">
        <v>52.3</v>
      </c>
      <c r="Y79">
        <v>57.5</v>
      </c>
      <c r="Z79">
        <v>53.5</v>
      </c>
      <c r="AA79">
        <v>56.62</v>
      </c>
    </row>
    <row r="80" spans="1:27" x14ac:dyDescent="0.35">
      <c r="A80" s="58">
        <v>42826</v>
      </c>
      <c r="B80">
        <v>52.7</v>
      </c>
      <c r="C80">
        <v>55.3</v>
      </c>
      <c r="D80">
        <v>52.8</v>
      </c>
      <c r="E80">
        <v>50.3</v>
      </c>
      <c r="F80">
        <v>56.7</v>
      </c>
      <c r="G80">
        <v>52.7</v>
      </c>
      <c r="H80">
        <v>58.2</v>
      </c>
      <c r="I80">
        <v>55.1</v>
      </c>
      <c r="J80">
        <v>57.8</v>
      </c>
      <c r="K80">
        <v>56.2</v>
      </c>
      <c r="L80">
        <v>54.5</v>
      </c>
      <c r="M80">
        <v>50.1</v>
      </c>
      <c r="N80">
        <v>50.7</v>
      </c>
      <c r="O80">
        <v>50.8</v>
      </c>
      <c r="P80">
        <v>52.5</v>
      </c>
      <c r="Q80">
        <v>55.9</v>
      </c>
      <c r="R80">
        <v>59.2</v>
      </c>
      <c r="S80">
        <v>51.2</v>
      </c>
      <c r="T80">
        <v>49.4</v>
      </c>
      <c r="U80">
        <v>54.4</v>
      </c>
      <c r="V80">
        <v>48.2</v>
      </c>
      <c r="W80">
        <v>55</v>
      </c>
      <c r="X80">
        <v>51.7</v>
      </c>
      <c r="Y80">
        <v>57.5</v>
      </c>
      <c r="Z80">
        <v>54.1</v>
      </c>
      <c r="AA80">
        <v>49.11</v>
      </c>
    </row>
    <row r="81" spans="1:27" x14ac:dyDescent="0.35">
      <c r="A81" s="58">
        <v>42856</v>
      </c>
      <c r="B81">
        <v>52.6</v>
      </c>
      <c r="C81">
        <v>55.5</v>
      </c>
      <c r="D81">
        <v>52.7</v>
      </c>
      <c r="E81">
        <v>49.6</v>
      </c>
      <c r="F81">
        <v>57</v>
      </c>
      <c r="G81">
        <v>53.1</v>
      </c>
      <c r="H81">
        <v>59.5</v>
      </c>
      <c r="I81">
        <v>53.8</v>
      </c>
      <c r="J81">
        <v>56.6</v>
      </c>
      <c r="K81">
        <v>55.1</v>
      </c>
      <c r="L81">
        <v>55.4</v>
      </c>
      <c r="M81">
        <v>52</v>
      </c>
      <c r="N81">
        <v>51.2</v>
      </c>
      <c r="O81">
        <v>52.4</v>
      </c>
      <c r="P81">
        <v>51.6</v>
      </c>
      <c r="Q81">
        <v>55.1</v>
      </c>
      <c r="R81">
        <v>54.8</v>
      </c>
      <c r="S81">
        <v>50.6</v>
      </c>
      <c r="T81">
        <v>49.2</v>
      </c>
      <c r="U81">
        <v>53.1</v>
      </c>
      <c r="V81">
        <v>49.6</v>
      </c>
      <c r="W81">
        <v>55.9</v>
      </c>
      <c r="X81">
        <v>53.5</v>
      </c>
      <c r="Y81">
        <v>56.4</v>
      </c>
      <c r="Z81">
        <v>52.7</v>
      </c>
      <c r="AA81">
        <v>57.99</v>
      </c>
    </row>
    <row r="82" spans="1:27" x14ac:dyDescent="0.35">
      <c r="A82" s="58">
        <v>42887</v>
      </c>
      <c r="B82">
        <v>52.6</v>
      </c>
      <c r="C82">
        <v>56.7</v>
      </c>
      <c r="D82">
        <v>52</v>
      </c>
      <c r="E82">
        <v>50.4</v>
      </c>
      <c r="F82">
        <v>57.4</v>
      </c>
      <c r="G82">
        <v>52.4</v>
      </c>
      <c r="H82">
        <v>59.6</v>
      </c>
      <c r="I82">
        <v>54.8</v>
      </c>
      <c r="J82">
        <v>54.4</v>
      </c>
      <c r="K82">
        <v>55.2</v>
      </c>
      <c r="L82">
        <v>54.7</v>
      </c>
      <c r="M82">
        <v>50.5</v>
      </c>
      <c r="N82">
        <v>52.3</v>
      </c>
      <c r="O82">
        <v>50.3</v>
      </c>
      <c r="P82">
        <v>50.9</v>
      </c>
      <c r="Q82">
        <v>54.7</v>
      </c>
      <c r="R82">
        <v>55</v>
      </c>
      <c r="S82">
        <v>49.5</v>
      </c>
      <c r="T82">
        <v>50.1</v>
      </c>
      <c r="U82">
        <v>53.3</v>
      </c>
      <c r="V82">
        <v>50.5</v>
      </c>
      <c r="W82">
        <v>56</v>
      </c>
      <c r="X82">
        <v>54.7</v>
      </c>
      <c r="Y82">
        <v>56.4</v>
      </c>
      <c r="Z82">
        <v>53.1</v>
      </c>
      <c r="AA82">
        <v>63.61</v>
      </c>
    </row>
    <row r="83" spans="1:27" x14ac:dyDescent="0.35">
      <c r="A83" s="58">
        <v>42917</v>
      </c>
      <c r="B83">
        <v>52.8</v>
      </c>
      <c r="C83">
        <v>56.5</v>
      </c>
      <c r="D83">
        <v>53.3</v>
      </c>
      <c r="E83">
        <v>51.1</v>
      </c>
      <c r="F83">
        <v>56.6</v>
      </c>
      <c r="G83">
        <v>52.1</v>
      </c>
      <c r="H83">
        <v>58.1</v>
      </c>
      <c r="I83">
        <v>54.9</v>
      </c>
      <c r="J83">
        <v>55.3</v>
      </c>
      <c r="K83">
        <v>55.1</v>
      </c>
      <c r="L83">
        <v>54</v>
      </c>
      <c r="M83">
        <v>50</v>
      </c>
      <c r="N83">
        <v>51.2</v>
      </c>
      <c r="O83">
        <v>52.7</v>
      </c>
      <c r="P83">
        <v>47.9</v>
      </c>
      <c r="Q83">
        <v>55.5</v>
      </c>
      <c r="R83">
        <v>56</v>
      </c>
      <c r="S83">
        <v>48.6</v>
      </c>
      <c r="T83">
        <v>49.1</v>
      </c>
      <c r="U83">
        <v>53.6</v>
      </c>
      <c r="V83">
        <v>50.5</v>
      </c>
      <c r="W83">
        <v>54.6</v>
      </c>
      <c r="X83">
        <v>53.6</v>
      </c>
      <c r="Y83">
        <v>55.3</v>
      </c>
      <c r="Z83">
        <v>52.3</v>
      </c>
      <c r="AA83">
        <v>63.72</v>
      </c>
    </row>
    <row r="84" spans="1:27" x14ac:dyDescent="0.35">
      <c r="A84" s="58">
        <v>42948</v>
      </c>
      <c r="B84">
        <v>53.2</v>
      </c>
      <c r="C84">
        <v>59.3</v>
      </c>
      <c r="D84">
        <v>52.8</v>
      </c>
      <c r="E84">
        <v>51.6</v>
      </c>
      <c r="F84">
        <v>57.4</v>
      </c>
      <c r="G84">
        <v>52.2</v>
      </c>
      <c r="H84">
        <v>59.3</v>
      </c>
      <c r="I84">
        <v>55.8</v>
      </c>
      <c r="J84">
        <v>56.8</v>
      </c>
      <c r="K84">
        <v>56.3</v>
      </c>
      <c r="L84">
        <v>52.4</v>
      </c>
      <c r="M84">
        <v>50.9</v>
      </c>
      <c r="N84">
        <v>52.2</v>
      </c>
      <c r="O84">
        <v>51.6</v>
      </c>
      <c r="P84">
        <v>51.2</v>
      </c>
      <c r="Q84">
        <v>54.6</v>
      </c>
      <c r="R84">
        <v>59.8</v>
      </c>
      <c r="S84">
        <v>50.7</v>
      </c>
      <c r="T84">
        <v>49.9</v>
      </c>
      <c r="U84">
        <v>54.3</v>
      </c>
      <c r="V84">
        <v>52.2</v>
      </c>
      <c r="W84">
        <v>56.1</v>
      </c>
      <c r="X84">
        <v>55.3</v>
      </c>
      <c r="Y84">
        <v>54.9</v>
      </c>
      <c r="Z84">
        <v>52.5</v>
      </c>
      <c r="AA84">
        <v>60.57</v>
      </c>
    </row>
    <row r="85" spans="1:27" x14ac:dyDescent="0.35">
      <c r="A85" s="58">
        <v>42979</v>
      </c>
      <c r="B85">
        <v>53.3</v>
      </c>
      <c r="C85">
        <v>60.2</v>
      </c>
      <c r="D85">
        <v>53.1</v>
      </c>
      <c r="E85">
        <v>51</v>
      </c>
      <c r="F85">
        <v>58.1</v>
      </c>
      <c r="G85">
        <v>52.9</v>
      </c>
      <c r="H85">
        <v>60.6</v>
      </c>
      <c r="I85">
        <v>56.1</v>
      </c>
      <c r="J85">
        <v>56</v>
      </c>
      <c r="K85">
        <v>56.3</v>
      </c>
      <c r="L85">
        <v>54.3</v>
      </c>
      <c r="M85">
        <v>50.9</v>
      </c>
      <c r="N85">
        <v>52.8</v>
      </c>
      <c r="O85">
        <v>51.9</v>
      </c>
      <c r="P85">
        <v>51.2</v>
      </c>
      <c r="Q85">
        <v>55</v>
      </c>
      <c r="R85">
        <v>54.2</v>
      </c>
      <c r="S85">
        <v>50.4</v>
      </c>
      <c r="T85">
        <v>50.6</v>
      </c>
      <c r="U85">
        <v>54.2</v>
      </c>
      <c r="V85">
        <v>52.8</v>
      </c>
      <c r="W85">
        <v>55.4</v>
      </c>
      <c r="X85">
        <v>53.5</v>
      </c>
      <c r="Y85">
        <v>56.6</v>
      </c>
      <c r="Z85">
        <v>53.7</v>
      </c>
      <c r="AA85">
        <v>61.78</v>
      </c>
    </row>
    <row r="86" spans="1:27" x14ac:dyDescent="0.35">
      <c r="A86" s="58">
        <v>43009</v>
      </c>
      <c r="B86">
        <v>53.5</v>
      </c>
      <c r="C86">
        <v>58.5</v>
      </c>
      <c r="D86">
        <v>54.6</v>
      </c>
      <c r="E86">
        <v>51</v>
      </c>
      <c r="F86">
        <v>58.5</v>
      </c>
      <c r="G86">
        <v>52.8</v>
      </c>
      <c r="H86">
        <v>60.6</v>
      </c>
      <c r="I86">
        <v>56.1</v>
      </c>
      <c r="J86">
        <v>56.2</v>
      </c>
      <c r="K86">
        <v>57.8</v>
      </c>
      <c r="L86">
        <v>55.8</v>
      </c>
      <c r="M86">
        <v>51.2</v>
      </c>
      <c r="N86">
        <v>49.2</v>
      </c>
      <c r="O86">
        <v>51.1</v>
      </c>
      <c r="P86">
        <v>50.3</v>
      </c>
      <c r="Q86">
        <v>54.3</v>
      </c>
      <c r="R86">
        <v>51.1</v>
      </c>
      <c r="S86">
        <v>50.1</v>
      </c>
      <c r="T86">
        <v>50.2</v>
      </c>
      <c r="U86">
        <v>53.6</v>
      </c>
      <c r="V86">
        <v>52.1</v>
      </c>
      <c r="W86">
        <v>54.4</v>
      </c>
      <c r="X86">
        <v>52.8</v>
      </c>
      <c r="Y86">
        <v>58.5</v>
      </c>
      <c r="Z86">
        <v>53.4</v>
      </c>
      <c r="AA86">
        <v>58.57</v>
      </c>
    </row>
    <row r="87" spans="1:27" x14ac:dyDescent="0.35">
      <c r="A87" s="58">
        <v>43040</v>
      </c>
      <c r="B87">
        <v>54.1</v>
      </c>
      <c r="C87">
        <v>58.2</v>
      </c>
      <c r="D87">
        <v>53.9</v>
      </c>
      <c r="E87">
        <v>50.8</v>
      </c>
      <c r="F87">
        <v>60.1</v>
      </c>
      <c r="G87">
        <v>53.6</v>
      </c>
      <c r="H87">
        <v>62.5</v>
      </c>
      <c r="I87">
        <v>57.7</v>
      </c>
      <c r="J87">
        <v>58.3</v>
      </c>
      <c r="K87">
        <v>58.3</v>
      </c>
      <c r="L87">
        <v>56.1</v>
      </c>
      <c r="M87">
        <v>53.5</v>
      </c>
      <c r="N87">
        <v>52.4</v>
      </c>
      <c r="O87">
        <v>51.5</v>
      </c>
      <c r="P87">
        <v>52.6</v>
      </c>
      <c r="Q87">
        <v>54.4</v>
      </c>
      <c r="R87">
        <v>57.3</v>
      </c>
      <c r="S87">
        <v>50.4</v>
      </c>
      <c r="T87">
        <v>51.2</v>
      </c>
      <c r="U87">
        <v>56.3</v>
      </c>
      <c r="V87">
        <v>52.2</v>
      </c>
      <c r="W87">
        <v>58.1</v>
      </c>
      <c r="X87">
        <v>52.9</v>
      </c>
      <c r="Y87">
        <v>58.7</v>
      </c>
      <c r="Z87">
        <v>54.2</v>
      </c>
      <c r="AA87">
        <v>58.31</v>
      </c>
    </row>
    <row r="88" spans="1:27" x14ac:dyDescent="0.35">
      <c r="A88" s="58">
        <v>43070</v>
      </c>
      <c r="B88">
        <v>54.5</v>
      </c>
      <c r="C88">
        <v>59.3</v>
      </c>
      <c r="D88">
        <v>55.1</v>
      </c>
      <c r="E88">
        <v>51.5</v>
      </c>
      <c r="F88">
        <v>60.6</v>
      </c>
      <c r="G88">
        <v>54</v>
      </c>
      <c r="H88">
        <v>63.3</v>
      </c>
      <c r="I88">
        <v>58.8</v>
      </c>
      <c r="J88">
        <v>56</v>
      </c>
      <c r="K88">
        <v>57.4</v>
      </c>
      <c r="L88">
        <v>55.8</v>
      </c>
      <c r="M88">
        <v>52.4</v>
      </c>
      <c r="N88">
        <v>51.7</v>
      </c>
      <c r="O88">
        <v>52</v>
      </c>
      <c r="P88">
        <v>54.7</v>
      </c>
      <c r="Q88">
        <v>54.7</v>
      </c>
      <c r="R88">
        <v>56.2</v>
      </c>
      <c r="S88">
        <v>49.3</v>
      </c>
      <c r="T88">
        <v>49.9</v>
      </c>
      <c r="U88">
        <v>56.6</v>
      </c>
      <c r="V88">
        <v>53.1</v>
      </c>
      <c r="W88">
        <v>59.1</v>
      </c>
      <c r="X88">
        <v>54.9</v>
      </c>
      <c r="Y88">
        <v>59.8</v>
      </c>
      <c r="Z88">
        <v>55</v>
      </c>
      <c r="AA88">
        <v>61.04</v>
      </c>
    </row>
    <row r="89" spans="1:27" x14ac:dyDescent="0.35">
      <c r="A89" s="58">
        <v>43101</v>
      </c>
      <c r="B89">
        <v>54.4</v>
      </c>
      <c r="C89">
        <v>59.1</v>
      </c>
      <c r="D89">
        <v>55.5</v>
      </c>
      <c r="E89">
        <v>51.6</v>
      </c>
      <c r="F89">
        <v>59.6</v>
      </c>
      <c r="G89">
        <v>54.8</v>
      </c>
      <c r="H89">
        <v>61.1</v>
      </c>
      <c r="I89">
        <v>58.4</v>
      </c>
      <c r="J89">
        <v>55</v>
      </c>
      <c r="K89">
        <v>59</v>
      </c>
      <c r="L89">
        <v>55.2</v>
      </c>
      <c r="M89">
        <v>51.2</v>
      </c>
      <c r="N89">
        <v>52.6</v>
      </c>
      <c r="O89">
        <v>52.1</v>
      </c>
      <c r="P89">
        <v>52.4</v>
      </c>
      <c r="Q89">
        <v>55.9</v>
      </c>
      <c r="R89">
        <v>58.7</v>
      </c>
      <c r="S89">
        <v>49.9</v>
      </c>
      <c r="T89">
        <v>50.7</v>
      </c>
      <c r="U89">
        <v>56.9</v>
      </c>
      <c r="V89">
        <v>55.2</v>
      </c>
      <c r="W89">
        <v>57.6</v>
      </c>
      <c r="X89">
        <v>55.7</v>
      </c>
      <c r="Y89">
        <v>59.8</v>
      </c>
      <c r="Z89">
        <v>54.6</v>
      </c>
      <c r="AA89">
        <v>66.650000000000006</v>
      </c>
    </row>
    <row r="90" spans="1:27" x14ac:dyDescent="0.35">
      <c r="A90" s="58">
        <v>43132</v>
      </c>
      <c r="B90">
        <v>54.1</v>
      </c>
      <c r="C90">
        <v>60.8</v>
      </c>
      <c r="D90">
        <v>55.3</v>
      </c>
      <c r="E90">
        <v>51.5</v>
      </c>
      <c r="F90">
        <v>58.6</v>
      </c>
      <c r="G90">
        <v>54.1</v>
      </c>
      <c r="H90">
        <v>60.6</v>
      </c>
      <c r="I90">
        <v>55.9</v>
      </c>
      <c r="J90">
        <v>54.9</v>
      </c>
      <c r="K90">
        <v>56.8</v>
      </c>
      <c r="L90">
        <v>56</v>
      </c>
      <c r="M90">
        <v>53.2</v>
      </c>
      <c r="N90">
        <v>51.6</v>
      </c>
      <c r="O90">
        <v>50.2</v>
      </c>
      <c r="P90">
        <v>52.1</v>
      </c>
      <c r="Q90">
        <v>55.6</v>
      </c>
      <c r="R90">
        <v>57.5</v>
      </c>
      <c r="S90">
        <v>51.4</v>
      </c>
      <c r="T90">
        <v>50.3</v>
      </c>
      <c r="U90">
        <v>56</v>
      </c>
      <c r="V90">
        <v>56.1</v>
      </c>
      <c r="W90">
        <v>56.2</v>
      </c>
      <c r="X90">
        <v>55.6</v>
      </c>
      <c r="Y90">
        <v>58.8</v>
      </c>
      <c r="Z90">
        <v>53.7</v>
      </c>
      <c r="AA90">
        <v>70.75</v>
      </c>
    </row>
    <row r="91" spans="1:27" x14ac:dyDescent="0.35">
      <c r="A91" s="58">
        <v>43160</v>
      </c>
      <c r="B91">
        <v>53.3</v>
      </c>
      <c r="C91">
        <v>59.3</v>
      </c>
      <c r="D91">
        <v>55.6</v>
      </c>
      <c r="E91">
        <v>51</v>
      </c>
      <c r="F91">
        <v>56.6</v>
      </c>
      <c r="G91">
        <v>53.2</v>
      </c>
      <c r="H91">
        <v>58.4</v>
      </c>
      <c r="I91">
        <v>53.7</v>
      </c>
      <c r="J91">
        <v>54.9</v>
      </c>
      <c r="K91">
        <v>55.1</v>
      </c>
      <c r="L91">
        <v>54.8</v>
      </c>
      <c r="M91">
        <v>53.4</v>
      </c>
      <c r="N91">
        <v>52.4</v>
      </c>
      <c r="O91">
        <v>50.6</v>
      </c>
      <c r="P91">
        <v>51</v>
      </c>
      <c r="Q91">
        <v>55.7</v>
      </c>
      <c r="R91">
        <v>63.1</v>
      </c>
      <c r="S91">
        <v>50.7</v>
      </c>
      <c r="T91">
        <v>49.1</v>
      </c>
      <c r="U91">
        <v>55.3</v>
      </c>
      <c r="V91">
        <v>55</v>
      </c>
      <c r="W91">
        <v>54.1</v>
      </c>
      <c r="X91">
        <v>51.8</v>
      </c>
      <c r="Y91">
        <v>57.3</v>
      </c>
      <c r="Z91">
        <v>53.7</v>
      </c>
      <c r="AA91">
        <v>61.05</v>
      </c>
    </row>
    <row r="92" spans="1:27" x14ac:dyDescent="0.35">
      <c r="A92" s="58">
        <v>43191</v>
      </c>
      <c r="B92">
        <v>53.5</v>
      </c>
      <c r="C92">
        <v>57.3</v>
      </c>
      <c r="D92">
        <v>56.5</v>
      </c>
      <c r="E92">
        <v>51.1</v>
      </c>
      <c r="F92">
        <v>56.2</v>
      </c>
      <c r="G92">
        <v>53.8</v>
      </c>
      <c r="H92">
        <v>58.1</v>
      </c>
      <c r="I92">
        <v>53.8</v>
      </c>
      <c r="J92">
        <v>53.9</v>
      </c>
      <c r="K92">
        <v>53.5</v>
      </c>
      <c r="L92">
        <v>54.4</v>
      </c>
      <c r="M92">
        <v>52.3</v>
      </c>
      <c r="N92">
        <v>51.6</v>
      </c>
      <c r="O92">
        <v>51.3</v>
      </c>
      <c r="P92">
        <v>51.6</v>
      </c>
      <c r="Q92">
        <v>55.5</v>
      </c>
      <c r="R92">
        <v>58.3</v>
      </c>
      <c r="S92">
        <v>51.6</v>
      </c>
      <c r="T92">
        <v>48.4</v>
      </c>
      <c r="U92">
        <v>54.8</v>
      </c>
      <c r="V92">
        <v>52.9</v>
      </c>
      <c r="W92">
        <v>55.3</v>
      </c>
      <c r="X92">
        <v>48.9</v>
      </c>
      <c r="Y92">
        <v>57.2</v>
      </c>
      <c r="Z92">
        <v>53.9</v>
      </c>
      <c r="AA92">
        <v>54.24</v>
      </c>
    </row>
    <row r="93" spans="1:27" x14ac:dyDescent="0.35">
      <c r="A93" s="58">
        <v>43221</v>
      </c>
      <c r="B93">
        <v>53.1</v>
      </c>
      <c r="C93">
        <v>58.7</v>
      </c>
      <c r="D93">
        <v>56.4</v>
      </c>
      <c r="E93">
        <v>51.1</v>
      </c>
      <c r="F93">
        <v>55.5</v>
      </c>
      <c r="G93">
        <v>52.8</v>
      </c>
      <c r="H93">
        <v>56.9</v>
      </c>
      <c r="I93">
        <v>55.1</v>
      </c>
      <c r="J93">
        <v>54.4</v>
      </c>
      <c r="K93">
        <v>52.7</v>
      </c>
      <c r="L93">
        <v>53.4</v>
      </c>
      <c r="M93">
        <v>50.7</v>
      </c>
      <c r="N93">
        <v>51</v>
      </c>
      <c r="O93">
        <v>49.8</v>
      </c>
      <c r="P93">
        <v>51.2</v>
      </c>
      <c r="Q93">
        <v>56.2</v>
      </c>
      <c r="R93">
        <v>57.5</v>
      </c>
      <c r="S93">
        <v>51.7</v>
      </c>
      <c r="T93">
        <v>48.9</v>
      </c>
      <c r="U93">
        <v>53.4</v>
      </c>
      <c r="V93">
        <v>54.2</v>
      </c>
      <c r="W93">
        <v>55.4</v>
      </c>
      <c r="X93">
        <v>46.4</v>
      </c>
      <c r="Y93">
        <v>56.5</v>
      </c>
      <c r="Z93">
        <v>53.3</v>
      </c>
      <c r="AA93">
        <v>47.78</v>
      </c>
    </row>
    <row r="94" spans="1:27" x14ac:dyDescent="0.35">
      <c r="A94" s="58">
        <v>43252</v>
      </c>
      <c r="B94">
        <v>53</v>
      </c>
      <c r="C94">
        <v>60.2</v>
      </c>
      <c r="D94">
        <v>55.4</v>
      </c>
      <c r="E94">
        <v>51</v>
      </c>
      <c r="F94">
        <v>54.9</v>
      </c>
      <c r="G94">
        <v>53</v>
      </c>
      <c r="H94">
        <v>55.9</v>
      </c>
      <c r="I94">
        <v>52.5</v>
      </c>
      <c r="J94">
        <v>54.4</v>
      </c>
      <c r="K94">
        <v>53.3</v>
      </c>
      <c r="L94">
        <v>53.4</v>
      </c>
      <c r="M94">
        <v>49.8</v>
      </c>
      <c r="N94">
        <v>52.1</v>
      </c>
      <c r="O94">
        <v>49.5</v>
      </c>
      <c r="P94">
        <v>53.1</v>
      </c>
      <c r="Q94">
        <v>57.1</v>
      </c>
      <c r="R94">
        <v>57.4</v>
      </c>
      <c r="S94">
        <v>50.3</v>
      </c>
      <c r="T94">
        <v>49.8</v>
      </c>
      <c r="U94">
        <v>54.5</v>
      </c>
      <c r="V94">
        <v>53.5</v>
      </c>
      <c r="W94">
        <v>56.6</v>
      </c>
      <c r="X94">
        <v>46.8</v>
      </c>
      <c r="Y94">
        <v>56.8</v>
      </c>
      <c r="Z94">
        <v>54.2</v>
      </c>
      <c r="AA94">
        <v>49.8</v>
      </c>
    </row>
    <row r="95" spans="1:27" x14ac:dyDescent="0.35">
      <c r="A95" s="58">
        <v>43282</v>
      </c>
      <c r="B95">
        <v>52.8</v>
      </c>
      <c r="C95">
        <v>58.1</v>
      </c>
      <c r="D95">
        <v>55.3</v>
      </c>
      <c r="E95">
        <v>50.8</v>
      </c>
      <c r="F95">
        <v>55.1</v>
      </c>
      <c r="G95">
        <v>52.3</v>
      </c>
      <c r="H95">
        <v>56.9</v>
      </c>
      <c r="I95">
        <v>53.3</v>
      </c>
      <c r="J95">
        <v>54</v>
      </c>
      <c r="K95">
        <v>51.5</v>
      </c>
      <c r="L95">
        <v>52.9</v>
      </c>
      <c r="M95">
        <v>50.5</v>
      </c>
      <c r="N95">
        <v>52.1</v>
      </c>
      <c r="O95">
        <v>48.1</v>
      </c>
      <c r="P95">
        <v>52.3</v>
      </c>
      <c r="Q95">
        <v>56.9</v>
      </c>
      <c r="R95">
        <v>52</v>
      </c>
      <c r="S95">
        <v>50.5</v>
      </c>
      <c r="T95">
        <v>48.3</v>
      </c>
      <c r="U95">
        <v>53.1</v>
      </c>
      <c r="V95">
        <v>53.5</v>
      </c>
      <c r="W95">
        <v>56.3</v>
      </c>
      <c r="X95">
        <v>49</v>
      </c>
      <c r="Y95">
        <v>55.4</v>
      </c>
      <c r="Z95">
        <v>52.9</v>
      </c>
      <c r="AA95">
        <v>55.7</v>
      </c>
    </row>
    <row r="96" spans="1:27" x14ac:dyDescent="0.35">
      <c r="A96" s="58">
        <v>43313</v>
      </c>
      <c r="B96">
        <v>52.6</v>
      </c>
      <c r="C96">
        <v>61.3</v>
      </c>
      <c r="D96">
        <v>54.5</v>
      </c>
      <c r="E96">
        <v>50.6</v>
      </c>
      <c r="F96">
        <v>54.6</v>
      </c>
      <c r="G96">
        <v>52.5</v>
      </c>
      <c r="H96">
        <v>55.9</v>
      </c>
      <c r="I96">
        <v>53.5</v>
      </c>
      <c r="J96">
        <v>52.8</v>
      </c>
      <c r="K96">
        <v>50.1</v>
      </c>
      <c r="L96">
        <v>53</v>
      </c>
      <c r="M96">
        <v>51.1</v>
      </c>
      <c r="N96">
        <v>50.7</v>
      </c>
      <c r="O96">
        <v>48.9</v>
      </c>
      <c r="P96">
        <v>51.7</v>
      </c>
      <c r="Q96">
        <v>56.8</v>
      </c>
      <c r="R96">
        <v>56.7</v>
      </c>
      <c r="S96">
        <v>51.9</v>
      </c>
      <c r="T96">
        <v>49.9</v>
      </c>
      <c r="U96">
        <v>53</v>
      </c>
      <c r="V96">
        <v>53.9</v>
      </c>
      <c r="W96">
        <v>57.5</v>
      </c>
      <c r="X96">
        <v>46.4</v>
      </c>
      <c r="Y96">
        <v>54.9</v>
      </c>
      <c r="Z96">
        <v>51.4</v>
      </c>
      <c r="AA96">
        <v>59.15</v>
      </c>
    </row>
    <row r="97" spans="1:27" x14ac:dyDescent="0.35">
      <c r="A97" s="58">
        <v>43344</v>
      </c>
      <c r="B97">
        <v>52.2</v>
      </c>
      <c r="C97">
        <v>59.8</v>
      </c>
      <c r="D97">
        <v>55.6</v>
      </c>
      <c r="E97">
        <v>50</v>
      </c>
      <c r="F97">
        <v>53.2</v>
      </c>
      <c r="G97">
        <v>52.5</v>
      </c>
      <c r="H97">
        <v>53.7</v>
      </c>
      <c r="I97">
        <v>52.5</v>
      </c>
      <c r="J97">
        <v>53.8</v>
      </c>
      <c r="K97">
        <v>50</v>
      </c>
      <c r="L97">
        <v>51.4</v>
      </c>
      <c r="M97">
        <v>50.9</v>
      </c>
      <c r="N97">
        <v>51.7</v>
      </c>
      <c r="O97">
        <v>50</v>
      </c>
      <c r="P97">
        <v>52.2</v>
      </c>
      <c r="Q97">
        <v>54.8</v>
      </c>
      <c r="R97">
        <v>59</v>
      </c>
      <c r="S97">
        <v>50.7</v>
      </c>
      <c r="T97">
        <v>51.3</v>
      </c>
      <c r="U97">
        <v>50.8</v>
      </c>
      <c r="V97">
        <v>53.6</v>
      </c>
      <c r="W97">
        <v>56.3</v>
      </c>
      <c r="X97">
        <v>42.7</v>
      </c>
      <c r="Y97">
        <v>53.4</v>
      </c>
      <c r="Z97">
        <v>50.5</v>
      </c>
      <c r="AA97">
        <v>53.7</v>
      </c>
    </row>
    <row r="98" spans="1:27" x14ac:dyDescent="0.35">
      <c r="A98" s="58">
        <v>43374</v>
      </c>
      <c r="B98">
        <v>52</v>
      </c>
      <c r="C98">
        <v>57.7</v>
      </c>
      <c r="D98">
        <v>55.7</v>
      </c>
      <c r="E98">
        <v>50.1</v>
      </c>
      <c r="F98">
        <v>52</v>
      </c>
      <c r="G98">
        <v>52.9</v>
      </c>
      <c r="H98">
        <v>52.2</v>
      </c>
      <c r="I98">
        <v>51.2</v>
      </c>
      <c r="J98">
        <v>51.1</v>
      </c>
      <c r="K98">
        <v>49.2</v>
      </c>
      <c r="L98">
        <v>51.8</v>
      </c>
      <c r="M98">
        <v>51.1</v>
      </c>
      <c r="N98">
        <v>50.7</v>
      </c>
      <c r="O98">
        <v>51.3</v>
      </c>
      <c r="P98">
        <v>53.1</v>
      </c>
      <c r="Q98">
        <v>53.9</v>
      </c>
      <c r="R98">
        <v>58.3</v>
      </c>
      <c r="S98">
        <v>50.5</v>
      </c>
      <c r="T98">
        <v>51</v>
      </c>
      <c r="U98">
        <v>48.7</v>
      </c>
      <c r="V98">
        <v>53.1</v>
      </c>
      <c r="W98">
        <v>54.9</v>
      </c>
      <c r="X98">
        <v>44.3</v>
      </c>
      <c r="Y98">
        <v>52.5</v>
      </c>
      <c r="Z98">
        <v>50.4</v>
      </c>
      <c r="AA98">
        <v>66.8</v>
      </c>
    </row>
    <row r="99" spans="1:27" x14ac:dyDescent="0.35">
      <c r="A99" s="58">
        <v>43405</v>
      </c>
      <c r="B99">
        <v>52</v>
      </c>
      <c r="C99">
        <v>59.3</v>
      </c>
      <c r="D99">
        <v>55.3</v>
      </c>
      <c r="E99">
        <v>50.2</v>
      </c>
      <c r="F99">
        <v>51.8</v>
      </c>
      <c r="G99">
        <v>52.2</v>
      </c>
      <c r="H99">
        <v>51.8</v>
      </c>
      <c r="I99">
        <v>50.8</v>
      </c>
      <c r="J99">
        <v>53.1</v>
      </c>
      <c r="K99">
        <v>48.6</v>
      </c>
      <c r="L99">
        <v>52.6</v>
      </c>
      <c r="M99">
        <v>52.7</v>
      </c>
      <c r="N99">
        <v>49.7</v>
      </c>
      <c r="O99">
        <v>52.6</v>
      </c>
      <c r="P99">
        <v>54</v>
      </c>
      <c r="Q99">
        <v>54.9</v>
      </c>
      <c r="R99">
        <v>51.3</v>
      </c>
      <c r="S99">
        <v>50.4</v>
      </c>
      <c r="T99">
        <v>48.6</v>
      </c>
      <c r="U99">
        <v>48.4</v>
      </c>
      <c r="V99">
        <v>54</v>
      </c>
      <c r="W99">
        <v>55.4</v>
      </c>
      <c r="X99">
        <v>44.7</v>
      </c>
      <c r="Y99">
        <v>51.8</v>
      </c>
      <c r="Z99">
        <v>49.5</v>
      </c>
      <c r="AA99">
        <v>58.2</v>
      </c>
    </row>
    <row r="100" spans="1:27" x14ac:dyDescent="0.35">
      <c r="A100" s="58">
        <v>43435</v>
      </c>
      <c r="B100">
        <v>51.5</v>
      </c>
      <c r="C100">
        <v>54.3</v>
      </c>
      <c r="D100">
        <v>53.8</v>
      </c>
      <c r="E100">
        <v>49.7</v>
      </c>
      <c r="F100">
        <v>51.4</v>
      </c>
      <c r="G100">
        <v>52.4</v>
      </c>
      <c r="H100">
        <v>51.5</v>
      </c>
      <c r="I100">
        <v>49.7</v>
      </c>
      <c r="J100">
        <v>54.2</v>
      </c>
      <c r="K100">
        <v>49.2</v>
      </c>
      <c r="L100">
        <v>51.1</v>
      </c>
      <c r="M100">
        <v>52.6</v>
      </c>
      <c r="N100">
        <v>49.7</v>
      </c>
      <c r="O100">
        <v>51.7</v>
      </c>
      <c r="P100">
        <v>53.2</v>
      </c>
      <c r="Q100">
        <v>53.6</v>
      </c>
      <c r="R100">
        <v>49.5</v>
      </c>
      <c r="S100">
        <v>51.2</v>
      </c>
      <c r="T100">
        <v>49.8</v>
      </c>
      <c r="U100">
        <v>47.7</v>
      </c>
      <c r="V100">
        <v>53.8</v>
      </c>
      <c r="W100">
        <v>54.5</v>
      </c>
      <c r="X100">
        <v>44.2</v>
      </c>
      <c r="Y100">
        <v>49.7</v>
      </c>
      <c r="Z100">
        <v>47.6</v>
      </c>
      <c r="AA100">
        <v>57.5</v>
      </c>
    </row>
    <row r="101" spans="1:27" x14ac:dyDescent="0.35">
      <c r="A101" s="58">
        <v>43466</v>
      </c>
      <c r="B101">
        <v>50.7</v>
      </c>
      <c r="C101">
        <v>56.6</v>
      </c>
      <c r="D101">
        <v>54.9</v>
      </c>
      <c r="E101">
        <v>48.3</v>
      </c>
      <c r="F101">
        <v>50.5</v>
      </c>
      <c r="G101">
        <v>50.3</v>
      </c>
      <c r="H101">
        <v>49.7</v>
      </c>
      <c r="I101">
        <v>51.2</v>
      </c>
      <c r="J101">
        <v>52.8</v>
      </c>
      <c r="K101">
        <v>47.8</v>
      </c>
      <c r="L101">
        <v>52.4</v>
      </c>
      <c r="M101">
        <v>52.7</v>
      </c>
      <c r="N101">
        <v>50.9</v>
      </c>
      <c r="O101">
        <v>50.9</v>
      </c>
      <c r="P101">
        <v>53.9</v>
      </c>
      <c r="Q101">
        <v>53</v>
      </c>
      <c r="R101">
        <v>52.5</v>
      </c>
      <c r="S101">
        <v>49.9</v>
      </c>
      <c r="T101">
        <v>48.3</v>
      </c>
      <c r="U101">
        <v>47.5</v>
      </c>
      <c r="V101">
        <v>53.7</v>
      </c>
      <c r="W101">
        <v>52.6</v>
      </c>
      <c r="X101">
        <v>44.2</v>
      </c>
      <c r="Y101">
        <v>49</v>
      </c>
      <c r="Z101">
        <v>48.2</v>
      </c>
      <c r="AA101">
        <v>51.1</v>
      </c>
    </row>
    <row r="102" spans="1:27" x14ac:dyDescent="0.35">
      <c r="A102" s="58">
        <v>43497</v>
      </c>
      <c r="B102">
        <v>50.6</v>
      </c>
      <c r="C102">
        <v>54.3</v>
      </c>
      <c r="D102">
        <v>53</v>
      </c>
      <c r="E102">
        <v>49.9</v>
      </c>
      <c r="F102">
        <v>49.3</v>
      </c>
      <c r="G102">
        <v>48.9</v>
      </c>
      <c r="H102">
        <v>47.6</v>
      </c>
      <c r="I102">
        <v>51.5</v>
      </c>
      <c r="J102">
        <v>52</v>
      </c>
      <c r="K102">
        <v>47.7</v>
      </c>
      <c r="L102">
        <v>49.9</v>
      </c>
      <c r="M102">
        <v>53.4</v>
      </c>
      <c r="N102">
        <v>52.6</v>
      </c>
      <c r="O102">
        <v>50.1</v>
      </c>
      <c r="P102">
        <v>54.3</v>
      </c>
      <c r="Q102">
        <v>52.6</v>
      </c>
      <c r="R102">
        <v>54</v>
      </c>
      <c r="S102">
        <v>50.1</v>
      </c>
      <c r="T102">
        <v>47.2</v>
      </c>
      <c r="U102">
        <v>46.3</v>
      </c>
      <c r="V102">
        <v>54.2</v>
      </c>
      <c r="W102">
        <v>54</v>
      </c>
      <c r="X102">
        <v>46.4</v>
      </c>
      <c r="Y102">
        <v>48.6</v>
      </c>
      <c r="Z102">
        <v>47.6</v>
      </c>
      <c r="AA102">
        <v>61.6</v>
      </c>
    </row>
    <row r="103" spans="1:27" x14ac:dyDescent="0.35">
      <c r="A103" s="58">
        <v>43525</v>
      </c>
      <c r="B103">
        <v>50.5</v>
      </c>
      <c r="C103">
        <v>54.3</v>
      </c>
      <c r="D103">
        <v>52.4</v>
      </c>
      <c r="E103">
        <v>50.8</v>
      </c>
      <c r="F103">
        <v>47.5</v>
      </c>
      <c r="G103">
        <v>49.2</v>
      </c>
      <c r="H103">
        <v>44.1</v>
      </c>
      <c r="I103">
        <v>49.7</v>
      </c>
      <c r="J103">
        <v>55.1</v>
      </c>
      <c r="K103">
        <v>47.4</v>
      </c>
      <c r="L103">
        <v>50.9</v>
      </c>
      <c r="M103">
        <v>52.8</v>
      </c>
      <c r="N103">
        <v>49.8</v>
      </c>
      <c r="O103">
        <v>52.8</v>
      </c>
      <c r="P103">
        <v>52.6</v>
      </c>
      <c r="Q103">
        <v>50.5</v>
      </c>
      <c r="R103">
        <v>51</v>
      </c>
      <c r="S103">
        <v>51.2</v>
      </c>
      <c r="T103">
        <v>48.8</v>
      </c>
      <c r="U103">
        <v>49</v>
      </c>
      <c r="V103">
        <v>54.7</v>
      </c>
      <c r="W103">
        <v>53.9</v>
      </c>
      <c r="X103">
        <v>47.2</v>
      </c>
      <c r="Y103">
        <v>47.3</v>
      </c>
      <c r="Z103">
        <v>48.7</v>
      </c>
      <c r="AA103">
        <v>56.6</v>
      </c>
    </row>
    <row r="104" spans="1:27" x14ac:dyDescent="0.35">
      <c r="A104" s="58">
        <v>43556</v>
      </c>
      <c r="B104">
        <v>50.4</v>
      </c>
      <c r="C104">
        <v>52.8</v>
      </c>
      <c r="D104">
        <v>52.6</v>
      </c>
      <c r="E104">
        <v>50.2</v>
      </c>
      <c r="F104">
        <v>47.9</v>
      </c>
      <c r="G104">
        <v>49.5</v>
      </c>
      <c r="H104">
        <v>44.4</v>
      </c>
      <c r="I104">
        <v>50</v>
      </c>
      <c r="J104">
        <v>53.1</v>
      </c>
      <c r="K104">
        <v>49.1</v>
      </c>
      <c r="L104">
        <v>51.8</v>
      </c>
      <c r="M104">
        <v>51.5</v>
      </c>
      <c r="N104">
        <v>50.1</v>
      </c>
      <c r="O104">
        <v>51.8</v>
      </c>
      <c r="P104">
        <v>51.8</v>
      </c>
      <c r="Q104">
        <v>49.7</v>
      </c>
      <c r="R104">
        <v>54.8</v>
      </c>
      <c r="S104">
        <v>50.4</v>
      </c>
      <c r="T104">
        <v>50.2</v>
      </c>
      <c r="U104">
        <v>48.2</v>
      </c>
      <c r="V104">
        <v>56.6</v>
      </c>
      <c r="W104">
        <v>52.5</v>
      </c>
      <c r="X104">
        <v>46.8</v>
      </c>
      <c r="Y104">
        <v>46.6</v>
      </c>
      <c r="Z104">
        <v>49</v>
      </c>
      <c r="AA104">
        <v>59.6</v>
      </c>
    </row>
    <row r="105" spans="1:27" x14ac:dyDescent="0.35">
      <c r="A105" s="58">
        <v>43586</v>
      </c>
      <c r="B105">
        <v>49.8</v>
      </c>
      <c r="C105">
        <v>52.1</v>
      </c>
      <c r="D105">
        <v>50.5</v>
      </c>
      <c r="E105">
        <v>50.2</v>
      </c>
      <c r="F105">
        <v>47.7</v>
      </c>
      <c r="G105">
        <v>49.8</v>
      </c>
      <c r="H105">
        <v>44.3</v>
      </c>
      <c r="I105">
        <v>50.6</v>
      </c>
      <c r="J105">
        <v>49.4</v>
      </c>
      <c r="K105">
        <v>49.7</v>
      </c>
      <c r="L105">
        <v>50.1</v>
      </c>
      <c r="M105">
        <v>50.2</v>
      </c>
      <c r="N105">
        <v>50</v>
      </c>
      <c r="O105">
        <v>49.8</v>
      </c>
      <c r="P105">
        <v>52.7</v>
      </c>
      <c r="Q105">
        <v>49.1</v>
      </c>
      <c r="R105">
        <v>52.7</v>
      </c>
      <c r="S105">
        <v>51.6</v>
      </c>
      <c r="T105">
        <v>48.4</v>
      </c>
      <c r="U105">
        <v>48.4</v>
      </c>
      <c r="V105">
        <v>54.2</v>
      </c>
      <c r="W105">
        <v>50.4</v>
      </c>
      <c r="X105">
        <v>45.3</v>
      </c>
      <c r="Y105">
        <v>46.6</v>
      </c>
      <c r="Z105">
        <v>48.8</v>
      </c>
      <c r="AA105">
        <v>47.6</v>
      </c>
    </row>
    <row r="106" spans="1:27" x14ac:dyDescent="0.35">
      <c r="A106" s="58">
        <v>43617</v>
      </c>
      <c r="B106">
        <v>49.4</v>
      </c>
      <c r="C106">
        <v>51.7</v>
      </c>
      <c r="D106">
        <v>50.6</v>
      </c>
      <c r="E106">
        <v>49.4</v>
      </c>
      <c r="F106">
        <v>47.6</v>
      </c>
      <c r="G106">
        <v>49.3</v>
      </c>
      <c r="H106">
        <v>45</v>
      </c>
      <c r="I106">
        <v>51.9</v>
      </c>
      <c r="J106">
        <v>48</v>
      </c>
      <c r="K106">
        <v>48.4</v>
      </c>
      <c r="L106">
        <v>47.9</v>
      </c>
      <c r="M106">
        <v>51</v>
      </c>
      <c r="N106">
        <v>49.2</v>
      </c>
      <c r="O106">
        <v>48.6</v>
      </c>
      <c r="P106">
        <v>52.1</v>
      </c>
      <c r="Q106">
        <v>49.2</v>
      </c>
      <c r="R106">
        <v>49.4</v>
      </c>
      <c r="S106">
        <v>50.6</v>
      </c>
      <c r="T106">
        <v>47.5</v>
      </c>
      <c r="U106">
        <v>45.5</v>
      </c>
      <c r="V106">
        <v>52.4</v>
      </c>
      <c r="W106">
        <v>49.8</v>
      </c>
      <c r="X106">
        <v>47.9</v>
      </c>
      <c r="Y106">
        <v>45.9</v>
      </c>
      <c r="Z106">
        <v>48.4</v>
      </c>
      <c r="AA106">
        <v>45</v>
      </c>
    </row>
    <row r="107" spans="1:27" x14ac:dyDescent="0.35">
      <c r="A107" s="58">
        <v>43647</v>
      </c>
      <c r="B107">
        <v>49.3</v>
      </c>
      <c r="C107">
        <v>51.2</v>
      </c>
      <c r="D107">
        <v>50</v>
      </c>
      <c r="E107">
        <v>49.9</v>
      </c>
      <c r="F107">
        <v>46.5</v>
      </c>
      <c r="G107">
        <v>49.4</v>
      </c>
      <c r="H107">
        <v>43.2</v>
      </c>
      <c r="I107">
        <v>49.7</v>
      </c>
      <c r="J107">
        <v>48</v>
      </c>
      <c r="K107">
        <v>48.5</v>
      </c>
      <c r="L107">
        <v>48.2</v>
      </c>
      <c r="M107">
        <v>49.9</v>
      </c>
      <c r="N107">
        <v>49.8</v>
      </c>
      <c r="O107">
        <v>49.3</v>
      </c>
      <c r="P107">
        <v>52.5</v>
      </c>
      <c r="Q107">
        <v>50.2</v>
      </c>
      <c r="R107">
        <v>51.3</v>
      </c>
      <c r="S107">
        <v>49.6</v>
      </c>
      <c r="T107">
        <v>47.3</v>
      </c>
      <c r="U107">
        <v>48.1</v>
      </c>
      <c r="V107">
        <v>54.6</v>
      </c>
      <c r="W107">
        <v>48.7</v>
      </c>
      <c r="X107">
        <v>46.7</v>
      </c>
      <c r="Y107">
        <v>43.1</v>
      </c>
      <c r="Z107">
        <v>47.4</v>
      </c>
      <c r="AA107">
        <v>49.5</v>
      </c>
    </row>
    <row r="108" spans="1:27" x14ac:dyDescent="0.35">
      <c r="A108" s="58">
        <v>43678</v>
      </c>
      <c r="B108">
        <v>49.5</v>
      </c>
      <c r="C108">
        <v>49.1</v>
      </c>
      <c r="D108">
        <v>50.3</v>
      </c>
      <c r="E108">
        <v>50.4</v>
      </c>
      <c r="F108">
        <v>47</v>
      </c>
      <c r="G108">
        <v>49.3</v>
      </c>
      <c r="H108">
        <v>43.5</v>
      </c>
      <c r="I108">
        <v>51.1</v>
      </c>
      <c r="J108">
        <v>47.4</v>
      </c>
      <c r="K108">
        <v>48.7</v>
      </c>
      <c r="L108">
        <v>48.8</v>
      </c>
      <c r="M108">
        <v>52.5</v>
      </c>
      <c r="N108">
        <v>49</v>
      </c>
      <c r="O108">
        <v>49.1</v>
      </c>
      <c r="P108">
        <v>51.4</v>
      </c>
      <c r="Q108">
        <v>49.1</v>
      </c>
      <c r="R108">
        <v>53.1</v>
      </c>
      <c r="S108">
        <v>49</v>
      </c>
      <c r="T108">
        <v>49</v>
      </c>
      <c r="U108">
        <v>47.9</v>
      </c>
      <c r="V108">
        <v>54.9</v>
      </c>
      <c r="W108">
        <v>48.6</v>
      </c>
      <c r="X108">
        <v>48</v>
      </c>
      <c r="Y108">
        <v>44.9</v>
      </c>
      <c r="Z108">
        <v>48.8</v>
      </c>
      <c r="AA108">
        <v>48.7</v>
      </c>
    </row>
    <row r="109" spans="1:27" x14ac:dyDescent="0.35">
      <c r="A109" s="58">
        <v>43709</v>
      </c>
      <c r="B109">
        <v>49.7</v>
      </c>
      <c r="C109">
        <v>47.8</v>
      </c>
      <c r="D109">
        <v>51.1</v>
      </c>
      <c r="E109">
        <v>51.4</v>
      </c>
      <c r="F109">
        <v>45.7</v>
      </c>
      <c r="G109">
        <v>48.9</v>
      </c>
      <c r="H109">
        <v>41.7</v>
      </c>
      <c r="I109">
        <v>50.1</v>
      </c>
      <c r="J109">
        <v>48.3</v>
      </c>
      <c r="K109">
        <v>47.8</v>
      </c>
      <c r="L109">
        <v>47.7</v>
      </c>
      <c r="M109">
        <v>53.4</v>
      </c>
      <c r="N109">
        <v>49.1</v>
      </c>
      <c r="O109">
        <v>46.3</v>
      </c>
      <c r="P109">
        <v>51.4</v>
      </c>
      <c r="Q109">
        <v>51</v>
      </c>
      <c r="R109">
        <v>54.7</v>
      </c>
      <c r="S109">
        <v>49.1</v>
      </c>
      <c r="T109">
        <v>48</v>
      </c>
      <c r="U109">
        <v>50</v>
      </c>
      <c r="V109">
        <v>53.6</v>
      </c>
      <c r="W109">
        <v>48.7</v>
      </c>
      <c r="X109">
        <v>50</v>
      </c>
      <c r="Y109">
        <v>44.9</v>
      </c>
      <c r="Z109">
        <v>47.8</v>
      </c>
      <c r="AA109">
        <v>50.2</v>
      </c>
    </row>
    <row r="110" spans="1:27" x14ac:dyDescent="0.35">
      <c r="A110" s="58">
        <v>43739</v>
      </c>
      <c r="B110">
        <v>49.8</v>
      </c>
      <c r="C110">
        <v>48.3</v>
      </c>
      <c r="D110">
        <v>51.3</v>
      </c>
      <c r="E110">
        <v>51.7</v>
      </c>
      <c r="F110">
        <v>45.9</v>
      </c>
      <c r="G110">
        <v>48.4</v>
      </c>
      <c r="H110">
        <v>42.1</v>
      </c>
      <c r="I110">
        <v>50.7</v>
      </c>
      <c r="J110">
        <v>49.6</v>
      </c>
      <c r="K110">
        <v>47.7</v>
      </c>
      <c r="L110">
        <v>46.8</v>
      </c>
      <c r="M110">
        <v>52.2</v>
      </c>
      <c r="N110">
        <v>50.4</v>
      </c>
      <c r="O110">
        <v>47.2</v>
      </c>
      <c r="P110">
        <v>50.6</v>
      </c>
      <c r="Q110">
        <v>51.2</v>
      </c>
      <c r="R110">
        <v>51.6</v>
      </c>
      <c r="S110">
        <v>47.7</v>
      </c>
      <c r="T110">
        <v>48.4</v>
      </c>
      <c r="U110">
        <v>49.8</v>
      </c>
      <c r="V110">
        <v>53.5</v>
      </c>
      <c r="W110">
        <v>50.7</v>
      </c>
      <c r="X110">
        <v>49</v>
      </c>
      <c r="Y110">
        <v>45</v>
      </c>
      <c r="Z110">
        <v>45.6</v>
      </c>
      <c r="AA110">
        <v>49.5</v>
      </c>
    </row>
    <row r="111" spans="1:27" x14ac:dyDescent="0.35">
      <c r="A111" s="58">
        <v>43770</v>
      </c>
      <c r="B111">
        <v>50.3</v>
      </c>
      <c r="C111">
        <v>48.1</v>
      </c>
      <c r="D111">
        <v>52.6</v>
      </c>
      <c r="E111">
        <v>51.8</v>
      </c>
      <c r="F111">
        <v>46.9</v>
      </c>
      <c r="G111">
        <v>48.9</v>
      </c>
      <c r="H111">
        <v>44.1</v>
      </c>
      <c r="I111">
        <v>51.7</v>
      </c>
      <c r="J111">
        <v>48.9</v>
      </c>
      <c r="K111">
        <v>47.6</v>
      </c>
      <c r="L111">
        <v>47.5</v>
      </c>
      <c r="M111">
        <v>52.9</v>
      </c>
      <c r="N111">
        <v>48</v>
      </c>
      <c r="O111">
        <v>45.6</v>
      </c>
      <c r="P111">
        <v>51.2</v>
      </c>
      <c r="Q111">
        <v>51.4</v>
      </c>
      <c r="R111">
        <v>48.1</v>
      </c>
      <c r="S111">
        <v>48.2</v>
      </c>
      <c r="T111">
        <v>49.4</v>
      </c>
      <c r="U111">
        <v>49.8</v>
      </c>
      <c r="V111">
        <v>54.1</v>
      </c>
      <c r="W111">
        <v>49.7</v>
      </c>
      <c r="X111">
        <v>49.5</v>
      </c>
      <c r="Y111">
        <v>43.5</v>
      </c>
      <c r="Z111">
        <v>46.7</v>
      </c>
      <c r="AA111">
        <v>53</v>
      </c>
    </row>
    <row r="112" spans="1:27" x14ac:dyDescent="0.35">
      <c r="A112" s="58">
        <v>43800</v>
      </c>
      <c r="B112">
        <v>50.1</v>
      </c>
      <c r="C112">
        <v>47.8</v>
      </c>
      <c r="D112">
        <v>52.4</v>
      </c>
      <c r="E112">
        <v>51.5</v>
      </c>
      <c r="F112">
        <v>46.3</v>
      </c>
      <c r="G112">
        <v>48.4</v>
      </c>
      <c r="H112">
        <v>43.7</v>
      </c>
      <c r="I112">
        <v>50.4</v>
      </c>
      <c r="J112">
        <v>47.5</v>
      </c>
      <c r="K112">
        <v>46.2</v>
      </c>
      <c r="L112">
        <v>47.4</v>
      </c>
      <c r="M112">
        <v>50.2</v>
      </c>
      <c r="N112">
        <v>47.1</v>
      </c>
      <c r="O112">
        <v>47.5</v>
      </c>
      <c r="P112">
        <v>52.7</v>
      </c>
      <c r="Q112">
        <v>50.4</v>
      </c>
      <c r="R112">
        <v>48.3</v>
      </c>
      <c r="S112">
        <v>49.5</v>
      </c>
      <c r="T112">
        <v>50.1</v>
      </c>
      <c r="U112">
        <v>50.8</v>
      </c>
      <c r="V112">
        <v>53.9</v>
      </c>
      <c r="W112">
        <v>49.5</v>
      </c>
      <c r="X112">
        <v>49.5</v>
      </c>
      <c r="Y112">
        <v>43.6</v>
      </c>
      <c r="Z112">
        <v>48</v>
      </c>
      <c r="AA112">
        <v>50.7</v>
      </c>
    </row>
    <row r="113" spans="1:27" x14ac:dyDescent="0.35">
      <c r="A113" s="58">
        <v>43831</v>
      </c>
      <c r="B113">
        <v>50.4</v>
      </c>
      <c r="C113">
        <v>50.9</v>
      </c>
      <c r="D113">
        <v>51.9</v>
      </c>
      <c r="E113">
        <v>51.1</v>
      </c>
      <c r="F113">
        <v>47.9</v>
      </c>
      <c r="G113">
        <v>48.8</v>
      </c>
      <c r="H113">
        <v>45.3</v>
      </c>
      <c r="I113">
        <v>51.1</v>
      </c>
      <c r="J113">
        <v>50</v>
      </c>
      <c r="K113">
        <v>48.9</v>
      </c>
      <c r="L113">
        <v>48.5</v>
      </c>
      <c r="M113">
        <v>51</v>
      </c>
      <c r="N113">
        <v>49</v>
      </c>
      <c r="O113">
        <v>47.9</v>
      </c>
      <c r="P113">
        <v>55.3</v>
      </c>
      <c r="Q113">
        <v>50.6</v>
      </c>
      <c r="R113">
        <v>45.4</v>
      </c>
      <c r="S113">
        <v>49.3</v>
      </c>
      <c r="T113">
        <v>49.8</v>
      </c>
      <c r="U113">
        <v>51.8</v>
      </c>
      <c r="V113">
        <v>54.4</v>
      </c>
      <c r="W113">
        <v>51.4</v>
      </c>
      <c r="X113">
        <v>51.3</v>
      </c>
      <c r="Y113">
        <v>45.2</v>
      </c>
      <c r="Z113">
        <v>47.4</v>
      </c>
      <c r="AA113">
        <v>53.2</v>
      </c>
    </row>
    <row r="114" spans="1:27" x14ac:dyDescent="0.35">
      <c r="A114" s="58">
        <v>43862</v>
      </c>
      <c r="B114">
        <v>47.1</v>
      </c>
      <c r="C114">
        <v>50.1</v>
      </c>
      <c r="D114">
        <v>50.7</v>
      </c>
      <c r="E114">
        <v>40.299999999999997</v>
      </c>
      <c r="F114">
        <v>49.2</v>
      </c>
      <c r="G114">
        <v>47.8</v>
      </c>
      <c r="H114">
        <v>48</v>
      </c>
      <c r="I114">
        <v>49.8</v>
      </c>
      <c r="J114">
        <v>51.7</v>
      </c>
      <c r="K114">
        <v>48.7</v>
      </c>
      <c r="L114">
        <v>50.4</v>
      </c>
      <c r="M114">
        <v>52.3</v>
      </c>
      <c r="N114">
        <v>50</v>
      </c>
      <c r="O114">
        <v>48.2</v>
      </c>
      <c r="P114">
        <v>54.5</v>
      </c>
      <c r="Q114">
        <v>51.8</v>
      </c>
      <c r="R114">
        <v>44.3</v>
      </c>
      <c r="S114">
        <v>51.9</v>
      </c>
      <c r="T114">
        <v>48.7</v>
      </c>
      <c r="U114">
        <v>49.9</v>
      </c>
      <c r="V114">
        <v>56.2</v>
      </c>
      <c r="W114">
        <v>51.2</v>
      </c>
      <c r="X114">
        <v>52.4</v>
      </c>
      <c r="Y114">
        <v>46.5</v>
      </c>
      <c r="Z114">
        <v>48.2</v>
      </c>
      <c r="AA114">
        <v>49.2</v>
      </c>
    </row>
    <row r="115" spans="1:27" x14ac:dyDescent="0.35">
      <c r="A115" s="58">
        <v>43891</v>
      </c>
      <c r="B115">
        <v>47.3</v>
      </c>
      <c r="C115">
        <v>49.1</v>
      </c>
      <c r="D115">
        <v>48.5</v>
      </c>
      <c r="E115">
        <v>50.1</v>
      </c>
      <c r="F115">
        <v>44.5</v>
      </c>
      <c r="G115">
        <v>44.2</v>
      </c>
      <c r="H115">
        <v>45.4</v>
      </c>
      <c r="I115">
        <v>43.2</v>
      </c>
      <c r="J115">
        <v>47.8</v>
      </c>
      <c r="K115">
        <v>40.299999999999997</v>
      </c>
      <c r="L115">
        <v>45.7</v>
      </c>
      <c r="M115">
        <v>48.4</v>
      </c>
      <c r="N115">
        <v>46.9</v>
      </c>
      <c r="O115">
        <v>47.5</v>
      </c>
      <c r="P115">
        <v>51.8</v>
      </c>
      <c r="Q115">
        <v>46.1</v>
      </c>
      <c r="R115">
        <v>53.7</v>
      </c>
      <c r="S115">
        <v>45.3</v>
      </c>
      <c r="T115">
        <v>44.2</v>
      </c>
      <c r="U115">
        <v>50.4</v>
      </c>
      <c r="V115">
        <v>42.5</v>
      </c>
      <c r="W115">
        <v>45.1</v>
      </c>
      <c r="X115">
        <v>48.1</v>
      </c>
      <c r="Y115">
        <v>41.3</v>
      </c>
      <c r="Z115">
        <v>42.4</v>
      </c>
      <c r="AA115">
        <v>46.8</v>
      </c>
    </row>
    <row r="116" spans="1:27" x14ac:dyDescent="0.35">
      <c r="A116" s="58">
        <v>43922</v>
      </c>
      <c r="B116">
        <v>39.6</v>
      </c>
      <c r="C116">
        <v>41.5</v>
      </c>
      <c r="D116">
        <v>36.1</v>
      </c>
      <c r="E116">
        <v>49.4</v>
      </c>
      <c r="F116">
        <v>33.4</v>
      </c>
      <c r="G116">
        <v>41.9</v>
      </c>
      <c r="H116">
        <v>34.5</v>
      </c>
      <c r="I116">
        <v>31.5</v>
      </c>
      <c r="J116">
        <v>32.6</v>
      </c>
      <c r="K116">
        <v>31.1</v>
      </c>
      <c r="L116">
        <v>30.8</v>
      </c>
      <c r="M116">
        <v>36</v>
      </c>
      <c r="N116">
        <v>35</v>
      </c>
      <c r="O116">
        <v>31.3</v>
      </c>
      <c r="P116">
        <v>27.4</v>
      </c>
      <c r="Q116">
        <v>33</v>
      </c>
      <c r="R116">
        <v>35.799999999999997</v>
      </c>
      <c r="S116">
        <v>27.5</v>
      </c>
      <c r="T116">
        <v>41.6</v>
      </c>
      <c r="U116">
        <v>42.2</v>
      </c>
      <c r="V116">
        <v>29.5</v>
      </c>
      <c r="W116">
        <v>36</v>
      </c>
      <c r="X116">
        <v>33.4</v>
      </c>
      <c r="Y116">
        <v>35.1</v>
      </c>
      <c r="Z116">
        <v>31.9</v>
      </c>
      <c r="AA116">
        <v>38.6</v>
      </c>
    </row>
    <row r="117" spans="1:27" x14ac:dyDescent="0.35">
      <c r="A117" s="58">
        <v>43952</v>
      </c>
      <c r="B117">
        <v>42.4</v>
      </c>
      <c r="C117">
        <v>43.1</v>
      </c>
      <c r="D117">
        <v>39.799999999999997</v>
      </c>
      <c r="E117">
        <v>50.7</v>
      </c>
      <c r="F117">
        <v>39.4</v>
      </c>
      <c r="G117">
        <v>38.4</v>
      </c>
      <c r="H117">
        <v>36.6</v>
      </c>
      <c r="I117">
        <v>40.6</v>
      </c>
      <c r="J117">
        <v>40.700000000000003</v>
      </c>
      <c r="K117">
        <v>45.4</v>
      </c>
      <c r="L117">
        <v>38.299999999999997</v>
      </c>
      <c r="M117">
        <v>38.299999999999997</v>
      </c>
      <c r="N117">
        <v>38.299999999999997</v>
      </c>
      <c r="O117">
        <v>36.200000000000003</v>
      </c>
      <c r="P117">
        <v>30.8</v>
      </c>
      <c r="Q117">
        <v>40.6</v>
      </c>
      <c r="R117">
        <v>41.6</v>
      </c>
      <c r="S117">
        <v>28.6</v>
      </c>
      <c r="T117">
        <v>41.3</v>
      </c>
      <c r="U117">
        <v>41.9</v>
      </c>
      <c r="V117">
        <v>41.1</v>
      </c>
      <c r="W117">
        <v>39.200000000000003</v>
      </c>
      <c r="X117">
        <v>40.9</v>
      </c>
      <c r="Y117">
        <v>39.6</v>
      </c>
      <c r="Z117">
        <v>40.6</v>
      </c>
      <c r="AA117">
        <v>54</v>
      </c>
    </row>
    <row r="118" spans="1:27" x14ac:dyDescent="0.35">
      <c r="A118" s="58">
        <v>43983</v>
      </c>
      <c r="B118">
        <v>47.8</v>
      </c>
      <c r="C118">
        <v>52.6</v>
      </c>
      <c r="D118">
        <v>49.8</v>
      </c>
      <c r="E118">
        <v>51.2</v>
      </c>
      <c r="F118">
        <v>47.4</v>
      </c>
      <c r="G118">
        <v>40.1</v>
      </c>
      <c r="H118">
        <v>45.2</v>
      </c>
      <c r="I118">
        <v>52.3</v>
      </c>
      <c r="J118">
        <v>50.1</v>
      </c>
      <c r="K118">
        <v>47.5</v>
      </c>
      <c r="L118">
        <v>49</v>
      </c>
      <c r="M118">
        <v>51.6</v>
      </c>
      <c r="N118">
        <v>38.6</v>
      </c>
      <c r="O118">
        <v>49.4</v>
      </c>
      <c r="P118">
        <v>47.2</v>
      </c>
      <c r="Q118">
        <v>47.8</v>
      </c>
      <c r="R118">
        <v>51.5</v>
      </c>
      <c r="S118">
        <v>39.1</v>
      </c>
      <c r="T118">
        <v>43.4</v>
      </c>
      <c r="U118">
        <v>46.2</v>
      </c>
      <c r="V118">
        <v>49.4</v>
      </c>
      <c r="W118">
        <v>51</v>
      </c>
      <c r="X118">
        <v>53.9</v>
      </c>
      <c r="Y118">
        <v>44.9</v>
      </c>
      <c r="Z118">
        <v>47.2</v>
      </c>
      <c r="AA118">
        <v>52.2</v>
      </c>
    </row>
    <row r="119" spans="1:27" x14ac:dyDescent="0.35">
      <c r="A119" s="58">
        <v>44013</v>
      </c>
      <c r="B119">
        <v>50.6</v>
      </c>
      <c r="C119">
        <v>54.2</v>
      </c>
      <c r="D119">
        <v>50.9</v>
      </c>
      <c r="E119">
        <v>52.8</v>
      </c>
      <c r="F119">
        <v>51.8</v>
      </c>
      <c r="G119">
        <v>45.2</v>
      </c>
      <c r="H119">
        <v>51</v>
      </c>
      <c r="I119">
        <v>52.4</v>
      </c>
      <c r="J119">
        <v>53.3</v>
      </c>
      <c r="K119">
        <v>51.9</v>
      </c>
      <c r="L119">
        <v>53.5</v>
      </c>
      <c r="M119">
        <v>58.2</v>
      </c>
      <c r="N119">
        <v>40.4</v>
      </c>
      <c r="O119">
        <v>48.4</v>
      </c>
      <c r="P119">
        <v>46</v>
      </c>
      <c r="Q119">
        <v>52.9</v>
      </c>
      <c r="R119">
        <v>53.5</v>
      </c>
      <c r="S119">
        <v>46.9</v>
      </c>
      <c r="T119">
        <v>46.9</v>
      </c>
      <c r="U119">
        <v>50.6</v>
      </c>
      <c r="V119">
        <v>48.6</v>
      </c>
      <c r="W119">
        <v>57.3</v>
      </c>
      <c r="X119">
        <v>56.9</v>
      </c>
      <c r="Y119">
        <v>47</v>
      </c>
      <c r="Z119">
        <v>52.8</v>
      </c>
      <c r="AA119">
        <v>57.4</v>
      </c>
    </row>
    <row r="120" spans="1:27" x14ac:dyDescent="0.35">
      <c r="A120" s="58">
        <v>44044</v>
      </c>
      <c r="B120">
        <v>51.8</v>
      </c>
      <c r="C120">
        <v>56</v>
      </c>
      <c r="D120">
        <v>53.1</v>
      </c>
      <c r="E120">
        <v>53.1</v>
      </c>
      <c r="F120">
        <v>51.7</v>
      </c>
      <c r="G120">
        <v>47.2</v>
      </c>
      <c r="H120">
        <v>52.2</v>
      </c>
      <c r="I120">
        <v>49.8</v>
      </c>
      <c r="J120">
        <v>55.2</v>
      </c>
      <c r="K120">
        <v>53.1</v>
      </c>
      <c r="L120">
        <v>49.9</v>
      </c>
      <c r="M120">
        <v>64.7</v>
      </c>
      <c r="N120">
        <v>41.3</v>
      </c>
      <c r="O120">
        <v>51.1</v>
      </c>
      <c r="P120">
        <v>52</v>
      </c>
      <c r="Q120">
        <v>55.1</v>
      </c>
      <c r="R120">
        <v>49.3</v>
      </c>
      <c r="S120">
        <v>50.8</v>
      </c>
      <c r="T120">
        <v>48.5</v>
      </c>
      <c r="U120">
        <v>52.2</v>
      </c>
      <c r="V120">
        <v>49.4</v>
      </c>
      <c r="W120">
        <v>52.3</v>
      </c>
      <c r="X120">
        <v>54.3</v>
      </c>
      <c r="Y120">
        <v>49.1</v>
      </c>
      <c r="Z120">
        <v>50.6</v>
      </c>
      <c r="AA120">
        <v>52.3</v>
      </c>
    </row>
    <row r="121" spans="1:27" x14ac:dyDescent="0.35">
      <c r="A121" s="58">
        <v>44075</v>
      </c>
      <c r="B121">
        <v>52.4</v>
      </c>
      <c r="C121">
        <v>57.8</v>
      </c>
      <c r="D121">
        <v>53.2</v>
      </c>
      <c r="E121">
        <v>53</v>
      </c>
      <c r="F121">
        <v>53.7</v>
      </c>
      <c r="G121">
        <v>47.7</v>
      </c>
      <c r="H121">
        <v>56.4</v>
      </c>
      <c r="I121">
        <v>51.2</v>
      </c>
      <c r="J121">
        <v>54.1</v>
      </c>
      <c r="K121">
        <v>53.2</v>
      </c>
      <c r="L121">
        <v>50.8</v>
      </c>
      <c r="M121">
        <v>64.900000000000006</v>
      </c>
      <c r="N121">
        <v>42.1</v>
      </c>
      <c r="O121">
        <v>48.9</v>
      </c>
      <c r="P121">
        <v>56.8</v>
      </c>
      <c r="Q121">
        <v>56</v>
      </c>
      <c r="R121">
        <v>46.7</v>
      </c>
      <c r="S121">
        <v>47.2</v>
      </c>
      <c r="T121">
        <v>49.8</v>
      </c>
      <c r="U121">
        <v>55.2</v>
      </c>
      <c r="V121">
        <v>50</v>
      </c>
      <c r="W121">
        <v>50</v>
      </c>
      <c r="X121">
        <v>52.8</v>
      </c>
      <c r="Y121">
        <v>50.7</v>
      </c>
      <c r="Z121">
        <v>50.8</v>
      </c>
      <c r="AA121">
        <v>54.4</v>
      </c>
    </row>
    <row r="122" spans="1:27" x14ac:dyDescent="0.35">
      <c r="A122" s="58">
        <v>44105</v>
      </c>
      <c r="B122">
        <v>53</v>
      </c>
      <c r="C122">
        <v>59.3</v>
      </c>
      <c r="D122">
        <v>53.4</v>
      </c>
      <c r="E122">
        <v>53.6</v>
      </c>
      <c r="F122">
        <v>54.8</v>
      </c>
      <c r="G122">
        <v>48.7</v>
      </c>
      <c r="H122">
        <v>58.2</v>
      </c>
      <c r="I122">
        <v>51.3</v>
      </c>
      <c r="J122">
        <v>53.7</v>
      </c>
      <c r="K122">
        <v>53.8</v>
      </c>
      <c r="L122">
        <v>52.5</v>
      </c>
      <c r="M122">
        <v>66.7</v>
      </c>
      <c r="N122">
        <v>43.6</v>
      </c>
      <c r="O122">
        <v>46.9</v>
      </c>
      <c r="P122">
        <v>58.9</v>
      </c>
      <c r="Q122">
        <v>55.5</v>
      </c>
      <c r="R122">
        <v>56.3</v>
      </c>
      <c r="S122">
        <v>47.8</v>
      </c>
      <c r="T122">
        <v>51.2</v>
      </c>
      <c r="U122">
        <v>55.1</v>
      </c>
      <c r="V122">
        <v>48.7</v>
      </c>
      <c r="W122">
        <v>50.3</v>
      </c>
      <c r="X122">
        <v>53.9</v>
      </c>
      <c r="Y122">
        <v>51.9</v>
      </c>
      <c r="Z122">
        <v>50.8</v>
      </c>
      <c r="AA122">
        <v>61.8</v>
      </c>
    </row>
    <row r="123" spans="1:27" x14ac:dyDescent="0.35">
      <c r="A123" s="58">
        <v>44136</v>
      </c>
      <c r="B123">
        <v>53.8</v>
      </c>
      <c r="C123">
        <v>57.5</v>
      </c>
      <c r="D123">
        <v>56.7</v>
      </c>
      <c r="E123">
        <v>54.9</v>
      </c>
      <c r="F123">
        <v>53.8</v>
      </c>
      <c r="G123">
        <v>49</v>
      </c>
      <c r="H123">
        <v>57.8</v>
      </c>
      <c r="I123">
        <v>49.6</v>
      </c>
      <c r="J123">
        <v>55.6</v>
      </c>
      <c r="K123">
        <v>51.5</v>
      </c>
      <c r="L123">
        <v>49.8</v>
      </c>
      <c r="M123">
        <v>64</v>
      </c>
      <c r="N123">
        <v>43.7</v>
      </c>
      <c r="O123">
        <v>46.3</v>
      </c>
      <c r="P123">
        <v>56.3</v>
      </c>
      <c r="Q123">
        <v>55.8</v>
      </c>
      <c r="R123">
        <v>52.1</v>
      </c>
      <c r="S123">
        <v>50.6</v>
      </c>
      <c r="T123">
        <v>52.9</v>
      </c>
      <c r="U123">
        <v>56.9</v>
      </c>
      <c r="V123">
        <v>42.3</v>
      </c>
      <c r="W123">
        <v>52.2</v>
      </c>
      <c r="X123">
        <v>51.4</v>
      </c>
      <c r="Y123">
        <v>53.9</v>
      </c>
      <c r="Z123">
        <v>50.8</v>
      </c>
      <c r="AA123">
        <v>47.7</v>
      </c>
    </row>
    <row r="124" spans="1:27" x14ac:dyDescent="0.35">
      <c r="A124" s="58">
        <v>44166</v>
      </c>
      <c r="B124">
        <v>53.8</v>
      </c>
      <c r="C124">
        <v>60.5</v>
      </c>
      <c r="D124">
        <v>57.1</v>
      </c>
      <c r="E124">
        <v>53</v>
      </c>
      <c r="F124">
        <v>55.2</v>
      </c>
      <c r="G124">
        <v>50</v>
      </c>
      <c r="H124">
        <v>58.3</v>
      </c>
      <c r="I124">
        <v>51.1</v>
      </c>
      <c r="J124">
        <v>57.5</v>
      </c>
      <c r="K124">
        <v>52.8</v>
      </c>
      <c r="L124">
        <v>51</v>
      </c>
      <c r="M124">
        <v>61.5</v>
      </c>
      <c r="N124">
        <v>42.4</v>
      </c>
      <c r="O124">
        <v>49.7</v>
      </c>
      <c r="P124">
        <v>56.4</v>
      </c>
      <c r="Q124">
        <v>57.9</v>
      </c>
      <c r="R124">
        <v>55.3</v>
      </c>
      <c r="S124">
        <v>51.3</v>
      </c>
      <c r="T124">
        <v>52.9</v>
      </c>
      <c r="U124">
        <v>59.4</v>
      </c>
      <c r="V124">
        <v>46.9</v>
      </c>
      <c r="W124">
        <v>57.2</v>
      </c>
      <c r="X124">
        <v>50.8</v>
      </c>
      <c r="Y124">
        <v>57</v>
      </c>
      <c r="Z124">
        <v>51.7</v>
      </c>
      <c r="AA124">
        <v>41.9</v>
      </c>
    </row>
    <row r="125" spans="1:27" x14ac:dyDescent="0.35">
      <c r="A125" s="58">
        <v>44197</v>
      </c>
      <c r="B125">
        <v>53.6</v>
      </c>
      <c r="C125">
        <v>58.7</v>
      </c>
      <c r="D125">
        <v>59.2</v>
      </c>
      <c r="E125">
        <v>51.5</v>
      </c>
      <c r="F125">
        <v>54.8</v>
      </c>
      <c r="G125">
        <v>49.8</v>
      </c>
      <c r="H125">
        <v>57.1</v>
      </c>
      <c r="I125">
        <v>51.6</v>
      </c>
      <c r="J125">
        <v>54.1</v>
      </c>
      <c r="K125">
        <v>55.1</v>
      </c>
      <c r="L125">
        <v>49.3</v>
      </c>
      <c r="M125">
        <v>56.5</v>
      </c>
      <c r="N125">
        <v>43</v>
      </c>
      <c r="O125">
        <v>50.9</v>
      </c>
      <c r="P125">
        <v>57.7</v>
      </c>
      <c r="Q125">
        <v>54.4</v>
      </c>
      <c r="R125">
        <v>55.3</v>
      </c>
      <c r="S125">
        <v>52.2</v>
      </c>
      <c r="T125">
        <v>53.2</v>
      </c>
      <c r="U125">
        <v>60.2</v>
      </c>
      <c r="V125">
        <v>50</v>
      </c>
      <c r="W125">
        <v>51.8</v>
      </c>
      <c r="X125">
        <v>54.4</v>
      </c>
      <c r="Y125">
        <v>57</v>
      </c>
      <c r="Z125">
        <v>51.9</v>
      </c>
      <c r="AA125">
        <v>42.1</v>
      </c>
    </row>
    <row r="126" spans="1:27" x14ac:dyDescent="0.35">
      <c r="A126" s="58">
        <v>44228</v>
      </c>
      <c r="B126">
        <v>53.9</v>
      </c>
      <c r="C126">
        <v>60.8</v>
      </c>
      <c r="D126">
        <v>58.6</v>
      </c>
      <c r="E126">
        <v>50.9</v>
      </c>
      <c r="F126">
        <v>57.9</v>
      </c>
      <c r="G126">
        <v>51.4</v>
      </c>
      <c r="H126">
        <v>60.7</v>
      </c>
      <c r="I126">
        <v>56.1</v>
      </c>
      <c r="J126">
        <v>55.1</v>
      </c>
      <c r="K126">
        <v>56.9</v>
      </c>
      <c r="L126">
        <v>52.9</v>
      </c>
      <c r="M126">
        <v>58.4</v>
      </c>
      <c r="N126">
        <v>44.2</v>
      </c>
      <c r="O126">
        <v>51.5</v>
      </c>
      <c r="P126">
        <v>57.5</v>
      </c>
      <c r="Q126">
        <v>54.8</v>
      </c>
      <c r="R126">
        <v>58.8</v>
      </c>
      <c r="S126">
        <v>50.9</v>
      </c>
      <c r="T126">
        <v>55.3</v>
      </c>
      <c r="U126">
        <v>60.4</v>
      </c>
      <c r="V126">
        <v>49.4</v>
      </c>
      <c r="W126">
        <v>52</v>
      </c>
      <c r="X126">
        <v>51.7</v>
      </c>
      <c r="Y126">
        <v>56.5</v>
      </c>
      <c r="Z126">
        <v>53.4</v>
      </c>
      <c r="AA126">
        <v>40.799999999999997</v>
      </c>
    </row>
    <row r="127" spans="1:27" x14ac:dyDescent="0.35">
      <c r="A127" s="58">
        <v>44256</v>
      </c>
      <c r="B127">
        <v>55</v>
      </c>
      <c r="C127">
        <v>64.7</v>
      </c>
      <c r="D127">
        <v>59.1</v>
      </c>
      <c r="E127">
        <v>50.6</v>
      </c>
      <c r="F127">
        <v>62.5</v>
      </c>
      <c r="G127">
        <v>52.7</v>
      </c>
      <c r="H127">
        <v>66.599999999999994</v>
      </c>
      <c r="I127">
        <v>59.3</v>
      </c>
      <c r="J127">
        <v>58.9</v>
      </c>
      <c r="K127">
        <v>59.8</v>
      </c>
      <c r="L127">
        <v>56.9</v>
      </c>
      <c r="M127">
        <v>52.8</v>
      </c>
      <c r="N127">
        <v>45.6</v>
      </c>
      <c r="O127">
        <v>51.1</v>
      </c>
      <c r="P127">
        <v>55.4</v>
      </c>
      <c r="Q127">
        <v>58.5</v>
      </c>
      <c r="R127">
        <v>59.9</v>
      </c>
      <c r="S127">
        <v>53.2</v>
      </c>
      <c r="T127">
        <v>55.3</v>
      </c>
      <c r="U127">
        <v>60.8</v>
      </c>
      <c r="V127">
        <v>51.8</v>
      </c>
      <c r="W127">
        <v>57.1</v>
      </c>
      <c r="X127">
        <v>52.6</v>
      </c>
      <c r="Y127">
        <v>58</v>
      </c>
      <c r="Z127">
        <v>54.3</v>
      </c>
      <c r="AA127">
        <v>67.599999999999994</v>
      </c>
    </row>
    <row r="128" spans="1:27" x14ac:dyDescent="0.35">
      <c r="A128" s="58">
        <v>44287</v>
      </c>
      <c r="B128">
        <v>55.9</v>
      </c>
      <c r="C128">
        <v>60.7</v>
      </c>
      <c r="D128">
        <v>60.5</v>
      </c>
      <c r="E128">
        <v>51.9</v>
      </c>
      <c r="F128">
        <v>62.9</v>
      </c>
      <c r="G128">
        <v>53.6</v>
      </c>
      <c r="H128">
        <v>66.2</v>
      </c>
      <c r="I128">
        <v>58.9</v>
      </c>
      <c r="J128">
        <v>60.9</v>
      </c>
      <c r="K128">
        <v>60.7</v>
      </c>
      <c r="L128">
        <v>57.7</v>
      </c>
      <c r="M128">
        <v>52.3</v>
      </c>
      <c r="N128">
        <v>48.4</v>
      </c>
      <c r="O128">
        <v>50.4</v>
      </c>
      <c r="P128">
        <v>55.5</v>
      </c>
      <c r="Q128">
        <v>57.2</v>
      </c>
      <c r="R128">
        <v>61.7</v>
      </c>
      <c r="S128">
        <v>54.6</v>
      </c>
      <c r="T128">
        <v>54.6</v>
      </c>
      <c r="U128">
        <v>62.4</v>
      </c>
      <c r="V128">
        <v>54.4</v>
      </c>
      <c r="W128">
        <v>60.8</v>
      </c>
      <c r="X128">
        <v>50.4</v>
      </c>
      <c r="Y128">
        <v>58.9</v>
      </c>
      <c r="Z128">
        <v>53.7</v>
      </c>
      <c r="AA128">
        <v>72</v>
      </c>
    </row>
    <row r="129" spans="1:27" x14ac:dyDescent="0.35">
      <c r="A129" s="58">
        <v>44317</v>
      </c>
      <c r="B129">
        <v>56</v>
      </c>
      <c r="C129">
        <v>61.2</v>
      </c>
      <c r="D129">
        <v>62.6</v>
      </c>
      <c r="E129">
        <v>52</v>
      </c>
      <c r="F129">
        <v>63.1</v>
      </c>
      <c r="G129">
        <v>53</v>
      </c>
      <c r="H129">
        <v>64.400000000000006</v>
      </c>
      <c r="I129">
        <v>59.4</v>
      </c>
      <c r="J129">
        <v>65.599999999999994</v>
      </c>
      <c r="K129">
        <v>62.3</v>
      </c>
      <c r="L129">
        <v>59.4</v>
      </c>
      <c r="M129">
        <v>53.7</v>
      </c>
      <c r="N129">
        <v>47.6</v>
      </c>
      <c r="O129">
        <v>51.9</v>
      </c>
      <c r="P129">
        <v>50.8</v>
      </c>
      <c r="Q129">
        <v>57</v>
      </c>
      <c r="R129">
        <v>61.8</v>
      </c>
      <c r="S129">
        <v>55.3</v>
      </c>
      <c r="T129">
        <v>53.7</v>
      </c>
      <c r="U129">
        <v>62</v>
      </c>
      <c r="V129">
        <v>58</v>
      </c>
      <c r="W129">
        <v>64.099999999999994</v>
      </c>
      <c r="X129">
        <v>49.3</v>
      </c>
      <c r="Y129">
        <v>61.8</v>
      </c>
      <c r="Z129">
        <v>57.2</v>
      </c>
      <c r="AA129">
        <v>67.7</v>
      </c>
    </row>
    <row r="130" spans="1:27" x14ac:dyDescent="0.35">
      <c r="A130" s="58">
        <v>44348</v>
      </c>
      <c r="B130">
        <v>55.5</v>
      </c>
      <c r="C130">
        <v>60.6</v>
      </c>
      <c r="D130">
        <v>62.1</v>
      </c>
      <c r="E130">
        <v>51.3</v>
      </c>
      <c r="F130">
        <v>63.4</v>
      </c>
      <c r="G130">
        <v>52.4</v>
      </c>
      <c r="H130">
        <v>65.099999999999994</v>
      </c>
      <c r="I130">
        <v>59</v>
      </c>
      <c r="J130">
        <v>63.9</v>
      </c>
      <c r="K130">
        <v>62.2</v>
      </c>
      <c r="L130">
        <v>60.4</v>
      </c>
      <c r="M130">
        <v>56.4</v>
      </c>
      <c r="N130">
        <v>48.8</v>
      </c>
      <c r="O130">
        <v>49.2</v>
      </c>
      <c r="P130">
        <v>48.1</v>
      </c>
      <c r="Q130">
        <v>56.5</v>
      </c>
      <c r="R130">
        <v>63.2</v>
      </c>
      <c r="S130">
        <v>53.5</v>
      </c>
      <c r="T130">
        <v>53.9</v>
      </c>
      <c r="U130">
        <v>57.6</v>
      </c>
      <c r="V130">
        <v>58.6</v>
      </c>
      <c r="W130">
        <v>64</v>
      </c>
      <c r="X130">
        <v>51.3</v>
      </c>
      <c r="Y130">
        <v>62.7</v>
      </c>
      <c r="Z130">
        <v>59.4</v>
      </c>
      <c r="AA130">
        <v>62.1</v>
      </c>
    </row>
    <row r="131" spans="1:27" x14ac:dyDescent="0.35">
      <c r="A131" s="58">
        <v>44378</v>
      </c>
      <c r="B131">
        <v>55.4</v>
      </c>
      <c r="C131">
        <v>59.5</v>
      </c>
      <c r="D131">
        <v>63.4</v>
      </c>
      <c r="E131">
        <v>50.3</v>
      </c>
      <c r="F131">
        <v>62.8</v>
      </c>
      <c r="G131">
        <v>53</v>
      </c>
      <c r="H131">
        <v>65.900000000000006</v>
      </c>
      <c r="I131">
        <v>58</v>
      </c>
      <c r="J131">
        <v>60.4</v>
      </c>
      <c r="K131">
        <v>60.3</v>
      </c>
      <c r="L131">
        <v>59</v>
      </c>
      <c r="M131">
        <v>56.7</v>
      </c>
      <c r="N131">
        <v>49.6</v>
      </c>
      <c r="O131">
        <v>47.5</v>
      </c>
      <c r="P131">
        <v>55.3</v>
      </c>
      <c r="Q131">
        <v>56.2</v>
      </c>
      <c r="R131">
        <v>60.8</v>
      </c>
      <c r="S131">
        <v>40.1</v>
      </c>
      <c r="T131">
        <v>53</v>
      </c>
      <c r="U131">
        <v>59.7</v>
      </c>
      <c r="V131">
        <v>57.4</v>
      </c>
      <c r="W131">
        <v>63.3</v>
      </c>
      <c r="X131">
        <v>54</v>
      </c>
      <c r="Y131">
        <v>62</v>
      </c>
      <c r="Z131">
        <v>57.6</v>
      </c>
      <c r="AA131">
        <v>69.8</v>
      </c>
    </row>
    <row r="132" spans="1:27" x14ac:dyDescent="0.35">
      <c r="A132" s="58">
        <v>44409</v>
      </c>
      <c r="B132">
        <v>54.1</v>
      </c>
      <c r="C132">
        <v>59.9</v>
      </c>
      <c r="D132">
        <v>61.1</v>
      </c>
      <c r="E132">
        <v>49.2</v>
      </c>
      <c r="F132">
        <v>61.4</v>
      </c>
      <c r="G132">
        <v>52.7</v>
      </c>
      <c r="H132">
        <v>62.6</v>
      </c>
      <c r="I132">
        <v>57.5</v>
      </c>
      <c r="J132">
        <v>60.3</v>
      </c>
      <c r="K132">
        <v>60.9</v>
      </c>
      <c r="L132">
        <v>59.5</v>
      </c>
      <c r="M132">
        <v>53.6</v>
      </c>
      <c r="N132">
        <v>47.1</v>
      </c>
      <c r="O132">
        <v>46.5</v>
      </c>
      <c r="P132">
        <v>52.3</v>
      </c>
      <c r="Q132">
        <v>57.2</v>
      </c>
      <c r="R132">
        <v>51.6</v>
      </c>
      <c r="S132">
        <v>43.7</v>
      </c>
      <c r="T132">
        <v>51.2</v>
      </c>
      <c r="U132">
        <v>58.5</v>
      </c>
      <c r="V132">
        <v>59.3</v>
      </c>
      <c r="W132">
        <v>62.8</v>
      </c>
      <c r="X132">
        <v>54.1</v>
      </c>
      <c r="Y132">
        <v>61</v>
      </c>
      <c r="Z132">
        <v>56</v>
      </c>
      <c r="AA132">
        <v>67.3</v>
      </c>
    </row>
    <row r="133" spans="1:27" x14ac:dyDescent="0.35">
      <c r="A133" s="58">
        <v>44440</v>
      </c>
      <c r="B133">
        <v>54.1</v>
      </c>
      <c r="C133">
        <v>60.3</v>
      </c>
      <c r="D133">
        <v>60.7</v>
      </c>
      <c r="E133">
        <v>50</v>
      </c>
      <c r="F133">
        <v>58.6</v>
      </c>
      <c r="G133">
        <v>51.5</v>
      </c>
      <c r="H133">
        <v>58.4</v>
      </c>
      <c r="I133">
        <v>55</v>
      </c>
      <c r="J133">
        <v>57.1</v>
      </c>
      <c r="K133">
        <v>59.7</v>
      </c>
      <c r="L133">
        <v>58.1</v>
      </c>
      <c r="M133">
        <v>54.4</v>
      </c>
      <c r="N133">
        <v>48.6</v>
      </c>
      <c r="O133">
        <v>49.8</v>
      </c>
      <c r="P133">
        <v>53.7</v>
      </c>
      <c r="Q133">
        <v>57</v>
      </c>
      <c r="R133">
        <v>51.2</v>
      </c>
      <c r="S133">
        <v>52.2</v>
      </c>
      <c r="T133">
        <v>52.4</v>
      </c>
      <c r="U133">
        <v>54.7</v>
      </c>
      <c r="V133">
        <v>58.4</v>
      </c>
      <c r="W133">
        <v>60.3</v>
      </c>
      <c r="X133">
        <v>52.5</v>
      </c>
      <c r="Y133">
        <v>58</v>
      </c>
      <c r="Z133">
        <v>53.4</v>
      </c>
      <c r="AA133">
        <v>65.2</v>
      </c>
    </row>
    <row r="134" spans="1:27" x14ac:dyDescent="0.35">
      <c r="A134" s="58">
        <v>44470</v>
      </c>
      <c r="B134">
        <v>54.2</v>
      </c>
      <c r="C134">
        <v>60.7</v>
      </c>
      <c r="D134">
        <v>58.4</v>
      </c>
      <c r="E134">
        <v>50.6</v>
      </c>
      <c r="F134">
        <v>58.3</v>
      </c>
      <c r="G134">
        <v>53.2</v>
      </c>
      <c r="H134">
        <v>57.8</v>
      </c>
      <c r="I134">
        <v>53.6</v>
      </c>
      <c r="J134">
        <v>57.8</v>
      </c>
      <c r="K134">
        <v>61.1</v>
      </c>
      <c r="L134">
        <v>57.4</v>
      </c>
      <c r="M134">
        <v>51.7</v>
      </c>
      <c r="N134">
        <v>49.3</v>
      </c>
      <c r="O134">
        <v>51.6</v>
      </c>
      <c r="P134">
        <v>55.9</v>
      </c>
      <c r="Q134">
        <v>57.7</v>
      </c>
      <c r="R134">
        <v>50.4</v>
      </c>
      <c r="S134">
        <v>57.2</v>
      </c>
      <c r="T134">
        <v>50.2</v>
      </c>
      <c r="U134">
        <v>55.2</v>
      </c>
      <c r="V134">
        <v>58.9</v>
      </c>
      <c r="W134">
        <v>62.1</v>
      </c>
      <c r="X134">
        <v>51.2</v>
      </c>
      <c r="Y134">
        <v>55.1</v>
      </c>
      <c r="Z134">
        <v>53.8</v>
      </c>
      <c r="AA134">
        <v>71.900000000000006</v>
      </c>
    </row>
    <row r="135" spans="1:27" x14ac:dyDescent="0.35">
      <c r="A135" s="58">
        <v>44501</v>
      </c>
      <c r="B135">
        <v>54.2</v>
      </c>
      <c r="C135">
        <v>61.1</v>
      </c>
      <c r="D135">
        <v>58.3</v>
      </c>
      <c r="E135">
        <v>49.9</v>
      </c>
      <c r="F135">
        <v>58.4</v>
      </c>
      <c r="G135">
        <v>54.5</v>
      </c>
      <c r="H135">
        <v>57.4</v>
      </c>
      <c r="I135">
        <v>55.9</v>
      </c>
      <c r="J135">
        <v>58.1</v>
      </c>
      <c r="K135">
        <v>62.8</v>
      </c>
      <c r="L135">
        <v>57.1</v>
      </c>
      <c r="M135">
        <v>49.8</v>
      </c>
      <c r="N135">
        <v>49.4</v>
      </c>
      <c r="O135">
        <v>51.7</v>
      </c>
      <c r="P135">
        <v>57.6</v>
      </c>
      <c r="Q135">
        <v>57.2</v>
      </c>
      <c r="R135">
        <v>54.8</v>
      </c>
      <c r="S135">
        <v>53.9</v>
      </c>
      <c r="T135">
        <v>50.9</v>
      </c>
      <c r="U135">
        <v>54.9</v>
      </c>
      <c r="V135">
        <v>58.8</v>
      </c>
      <c r="W135">
        <v>59.9</v>
      </c>
      <c r="X135">
        <v>52</v>
      </c>
      <c r="Y135">
        <v>57.1</v>
      </c>
      <c r="Z135">
        <v>54.4</v>
      </c>
      <c r="AA135">
        <v>68.2</v>
      </c>
    </row>
    <row r="136" spans="1:27" x14ac:dyDescent="0.35">
      <c r="A136" s="58">
        <v>44531</v>
      </c>
      <c r="B136">
        <v>54.3</v>
      </c>
      <c r="C136">
        <v>61.5</v>
      </c>
      <c r="D136">
        <v>57.7</v>
      </c>
      <c r="E136">
        <v>50.9</v>
      </c>
      <c r="F136">
        <v>58</v>
      </c>
      <c r="G136">
        <v>54.3</v>
      </c>
      <c r="H136">
        <v>57.4</v>
      </c>
      <c r="I136">
        <v>55.6</v>
      </c>
      <c r="J136">
        <v>57.9</v>
      </c>
      <c r="K136">
        <v>62</v>
      </c>
      <c r="L136">
        <v>56.2</v>
      </c>
      <c r="M136">
        <v>49.8</v>
      </c>
      <c r="N136">
        <v>49.4</v>
      </c>
      <c r="O136">
        <v>51.6</v>
      </c>
      <c r="P136">
        <v>55.5</v>
      </c>
      <c r="Q136">
        <v>55.5</v>
      </c>
      <c r="R136">
        <v>48.4</v>
      </c>
      <c r="S136">
        <v>53.5</v>
      </c>
      <c r="T136">
        <v>51.9</v>
      </c>
      <c r="U136">
        <v>55.5</v>
      </c>
      <c r="V136">
        <v>59</v>
      </c>
      <c r="W136">
        <v>58.3</v>
      </c>
      <c r="X136">
        <v>52.1</v>
      </c>
      <c r="Y136">
        <v>59.1</v>
      </c>
      <c r="Z136">
        <v>56.1</v>
      </c>
      <c r="AA136">
        <v>64.400000000000006</v>
      </c>
    </row>
    <row r="137" spans="1:27" x14ac:dyDescent="0.35">
      <c r="A137" s="58">
        <v>44562</v>
      </c>
      <c r="B137">
        <v>53.2</v>
      </c>
      <c r="C137">
        <v>57.6</v>
      </c>
      <c r="D137">
        <v>55</v>
      </c>
      <c r="E137">
        <v>49.1</v>
      </c>
      <c r="F137">
        <v>59</v>
      </c>
      <c r="G137">
        <v>55.4</v>
      </c>
      <c r="H137">
        <v>60.5</v>
      </c>
      <c r="I137">
        <v>55.5</v>
      </c>
      <c r="J137">
        <v>56.9</v>
      </c>
      <c r="K137">
        <v>58.3</v>
      </c>
      <c r="L137">
        <v>56.2</v>
      </c>
      <c r="M137">
        <v>47.8</v>
      </c>
      <c r="N137">
        <v>46.1</v>
      </c>
      <c r="O137">
        <v>51.8</v>
      </c>
      <c r="P137">
        <v>54</v>
      </c>
      <c r="Q137">
        <v>56.2</v>
      </c>
      <c r="R137">
        <v>48.4</v>
      </c>
      <c r="S137">
        <v>53.7</v>
      </c>
      <c r="T137">
        <v>52.8</v>
      </c>
      <c r="U137">
        <v>55.1</v>
      </c>
      <c r="V137">
        <v>57.9</v>
      </c>
      <c r="W137">
        <v>59.4</v>
      </c>
      <c r="X137">
        <v>50.5</v>
      </c>
      <c r="Y137">
        <v>59</v>
      </c>
      <c r="Z137">
        <v>54.5</v>
      </c>
      <c r="AA137">
        <v>60.9</v>
      </c>
    </row>
    <row r="138" spans="1:27" x14ac:dyDescent="0.35">
      <c r="A138" s="58">
        <v>44593</v>
      </c>
      <c r="B138">
        <v>53.6</v>
      </c>
      <c r="C138">
        <v>58.6</v>
      </c>
      <c r="D138">
        <v>57.5</v>
      </c>
      <c r="E138">
        <v>50.4</v>
      </c>
      <c r="F138">
        <v>58.4</v>
      </c>
      <c r="G138">
        <v>52.9</v>
      </c>
      <c r="H138">
        <v>58.5</v>
      </c>
      <c r="I138">
        <v>57.6</v>
      </c>
      <c r="J138">
        <v>57.3</v>
      </c>
      <c r="K138">
        <v>58.3</v>
      </c>
      <c r="L138">
        <v>56.9</v>
      </c>
      <c r="M138">
        <v>49.6</v>
      </c>
      <c r="N138">
        <v>48</v>
      </c>
      <c r="O138">
        <v>48.6</v>
      </c>
      <c r="P138">
        <v>54.9</v>
      </c>
      <c r="Q138">
        <v>56.6</v>
      </c>
      <c r="R138">
        <v>53.2</v>
      </c>
      <c r="S138">
        <v>51.2</v>
      </c>
      <c r="T138">
        <v>53.8</v>
      </c>
      <c r="U138">
        <v>54.3</v>
      </c>
      <c r="V138">
        <v>57.8</v>
      </c>
      <c r="W138">
        <v>57.8</v>
      </c>
      <c r="X138">
        <v>50.4</v>
      </c>
      <c r="Y138">
        <v>56.5</v>
      </c>
      <c r="Z138">
        <v>54.7</v>
      </c>
      <c r="AA138">
        <v>50.66</v>
      </c>
    </row>
    <row r="139" spans="1:27" x14ac:dyDescent="0.35">
      <c r="A139" s="58">
        <v>44621</v>
      </c>
      <c r="B139">
        <v>52.9</v>
      </c>
      <c r="C139">
        <v>57.1</v>
      </c>
      <c r="D139">
        <v>58.5</v>
      </c>
      <c r="E139">
        <v>48.1</v>
      </c>
      <c r="F139">
        <v>57</v>
      </c>
      <c r="G139">
        <v>53.2</v>
      </c>
      <c r="H139">
        <v>57.6</v>
      </c>
      <c r="I139">
        <v>54.8</v>
      </c>
      <c r="J139">
        <v>55.5</v>
      </c>
      <c r="K139">
        <v>55.8</v>
      </c>
      <c r="L139">
        <v>54.2</v>
      </c>
      <c r="M139">
        <v>52.3</v>
      </c>
      <c r="N139">
        <v>49.2</v>
      </c>
      <c r="O139">
        <v>44.1</v>
      </c>
      <c r="P139">
        <v>54</v>
      </c>
      <c r="Q139">
        <v>58.9</v>
      </c>
      <c r="R139">
        <v>55.7</v>
      </c>
      <c r="S139">
        <v>51.3</v>
      </c>
      <c r="T139">
        <v>51.2</v>
      </c>
      <c r="U139">
        <v>54.1</v>
      </c>
      <c r="V139">
        <v>54.6</v>
      </c>
      <c r="W139">
        <v>59.4</v>
      </c>
      <c r="X139">
        <v>49.4</v>
      </c>
      <c r="Y139">
        <v>54.7</v>
      </c>
      <c r="Z139">
        <v>52.7</v>
      </c>
      <c r="AA139">
        <v>62.1</v>
      </c>
    </row>
    <row r="140" spans="1:27" x14ac:dyDescent="0.35">
      <c r="A140" s="58">
        <v>44652</v>
      </c>
      <c r="B140">
        <v>52.2</v>
      </c>
      <c r="C140">
        <v>55.4</v>
      </c>
      <c r="D140">
        <v>59.2</v>
      </c>
      <c r="E140">
        <v>46</v>
      </c>
      <c r="F140">
        <v>55.5</v>
      </c>
      <c r="G140">
        <v>53.5</v>
      </c>
      <c r="H140">
        <v>54.6</v>
      </c>
      <c r="I140">
        <v>55.7</v>
      </c>
      <c r="J140">
        <v>55.3</v>
      </c>
      <c r="K140">
        <v>54.5</v>
      </c>
      <c r="L140">
        <v>53.3</v>
      </c>
      <c r="M140">
        <v>51.8</v>
      </c>
      <c r="N140">
        <v>49.3</v>
      </c>
      <c r="O140">
        <v>48.2</v>
      </c>
      <c r="P140">
        <v>54.7</v>
      </c>
      <c r="Q140">
        <v>56.2</v>
      </c>
      <c r="R140">
        <v>58.5</v>
      </c>
      <c r="S140">
        <v>51.9</v>
      </c>
      <c r="T140">
        <v>52.1</v>
      </c>
      <c r="U140">
        <v>51.7</v>
      </c>
      <c r="V140">
        <v>54.8</v>
      </c>
      <c r="W140">
        <v>59.1</v>
      </c>
      <c r="X140">
        <v>49.2</v>
      </c>
      <c r="Y140">
        <v>54.4</v>
      </c>
      <c r="Z140">
        <v>52.4</v>
      </c>
      <c r="AA140">
        <v>63</v>
      </c>
    </row>
    <row r="141" spans="1:27" x14ac:dyDescent="0.35">
      <c r="A141" s="58">
        <v>44682</v>
      </c>
      <c r="B141">
        <v>52.3</v>
      </c>
      <c r="C141">
        <v>56.1</v>
      </c>
      <c r="D141">
        <v>57.5</v>
      </c>
      <c r="E141">
        <v>48.1</v>
      </c>
      <c r="F141">
        <v>54.4</v>
      </c>
      <c r="G141">
        <v>53.2</v>
      </c>
      <c r="H141">
        <v>54.7</v>
      </c>
      <c r="I141">
        <v>54.5</v>
      </c>
      <c r="J141">
        <v>54.6</v>
      </c>
      <c r="K141">
        <v>51.9</v>
      </c>
      <c r="L141">
        <v>53.8</v>
      </c>
      <c r="M141">
        <v>54.2</v>
      </c>
      <c r="N141">
        <v>50.6</v>
      </c>
      <c r="O141">
        <v>50.8</v>
      </c>
      <c r="P141">
        <v>54.6</v>
      </c>
      <c r="Q141">
        <v>56.8</v>
      </c>
      <c r="R141">
        <v>52.4</v>
      </c>
      <c r="S141">
        <v>50.8</v>
      </c>
      <c r="T141">
        <v>51.8</v>
      </c>
      <c r="U141">
        <v>50</v>
      </c>
      <c r="V141">
        <v>53.8</v>
      </c>
      <c r="W141">
        <v>56.4</v>
      </c>
      <c r="X141">
        <v>49.2</v>
      </c>
      <c r="Y141">
        <v>52.3</v>
      </c>
      <c r="Z141">
        <v>48.5</v>
      </c>
      <c r="AA141">
        <v>60.7</v>
      </c>
    </row>
    <row r="142" spans="1:27" x14ac:dyDescent="0.35">
      <c r="A142" s="58">
        <v>44713</v>
      </c>
      <c r="B142">
        <v>52.2</v>
      </c>
      <c r="C142">
        <v>53</v>
      </c>
      <c r="D142">
        <v>52.4</v>
      </c>
      <c r="E142">
        <v>51.7</v>
      </c>
      <c r="F142">
        <v>52</v>
      </c>
      <c r="G142">
        <v>52.7</v>
      </c>
      <c r="H142">
        <v>52</v>
      </c>
      <c r="I142">
        <v>51</v>
      </c>
      <c r="J142">
        <v>53.4</v>
      </c>
      <c r="K142">
        <v>50.9</v>
      </c>
      <c r="L142">
        <v>52.6</v>
      </c>
      <c r="M142">
        <v>54.1</v>
      </c>
      <c r="N142">
        <v>52.2</v>
      </c>
      <c r="O142">
        <v>50.9</v>
      </c>
      <c r="P142">
        <v>53.9</v>
      </c>
      <c r="Q142">
        <v>54.6</v>
      </c>
      <c r="R142">
        <v>54</v>
      </c>
      <c r="S142">
        <v>50.2</v>
      </c>
      <c r="T142">
        <v>51.3</v>
      </c>
      <c r="U142">
        <v>49.8</v>
      </c>
      <c r="V142">
        <v>51.1</v>
      </c>
      <c r="W142">
        <v>53.1</v>
      </c>
      <c r="X142">
        <v>48.1</v>
      </c>
      <c r="Y142">
        <v>49</v>
      </c>
      <c r="Z142">
        <v>44.4</v>
      </c>
      <c r="AA142">
        <v>71.3</v>
      </c>
    </row>
    <row r="143" spans="1:27" x14ac:dyDescent="0.35">
      <c r="A143" s="58">
        <v>44743</v>
      </c>
      <c r="C143">
        <v>52.8</v>
      </c>
      <c r="D143">
        <v>52.2</v>
      </c>
      <c r="E143">
        <v>50.4</v>
      </c>
      <c r="F143">
        <v>49.8</v>
      </c>
      <c r="G143">
        <v>52.1</v>
      </c>
      <c r="H143">
        <v>49.3</v>
      </c>
      <c r="I143">
        <v>49.5</v>
      </c>
      <c r="J143">
        <v>52.1</v>
      </c>
      <c r="K143">
        <v>48.5</v>
      </c>
      <c r="L143">
        <v>48.7</v>
      </c>
      <c r="M143">
        <v>54</v>
      </c>
      <c r="N143">
        <v>48.5</v>
      </c>
      <c r="O143">
        <v>50.3</v>
      </c>
      <c r="P143">
        <v>56.4</v>
      </c>
      <c r="Q143">
        <v>52.5</v>
      </c>
      <c r="R143">
        <v>52.5</v>
      </c>
      <c r="S143">
        <v>51.3</v>
      </c>
      <c r="T143">
        <v>49.8</v>
      </c>
      <c r="U143">
        <v>44.6</v>
      </c>
      <c r="V143">
        <v>49.1</v>
      </c>
      <c r="W143">
        <v>51.8</v>
      </c>
      <c r="X143">
        <v>46.9</v>
      </c>
      <c r="Y143">
        <v>46.8</v>
      </c>
      <c r="Z143">
        <v>42.1</v>
      </c>
      <c r="AA143">
        <v>38</v>
      </c>
    </row>
    <row r="144" spans="1:27" x14ac:dyDescent="0.35">
      <c r="A144" s="58">
        <v>44774</v>
      </c>
      <c r="C144">
        <v>52.8</v>
      </c>
      <c r="D144">
        <v>51.5</v>
      </c>
      <c r="E144">
        <v>49.5</v>
      </c>
      <c r="F144">
        <v>49.6</v>
      </c>
      <c r="G144">
        <v>51.5</v>
      </c>
      <c r="H144">
        <v>49.1</v>
      </c>
      <c r="I144">
        <v>50.6</v>
      </c>
      <c r="J144">
        <v>47.3</v>
      </c>
      <c r="K144">
        <v>48</v>
      </c>
      <c r="L144">
        <v>49.9</v>
      </c>
      <c r="M144">
        <v>51.9</v>
      </c>
      <c r="N144">
        <v>48.5</v>
      </c>
      <c r="O144">
        <v>51.7</v>
      </c>
      <c r="P144">
        <v>56.2</v>
      </c>
      <c r="Q144">
        <v>48.7</v>
      </c>
      <c r="R144">
        <v>49.3</v>
      </c>
      <c r="S144">
        <v>51.7</v>
      </c>
      <c r="T144">
        <v>47.6</v>
      </c>
      <c r="U144">
        <v>42.7</v>
      </c>
      <c r="V144">
        <v>48.8</v>
      </c>
      <c r="W144">
        <v>51.1</v>
      </c>
      <c r="X144">
        <v>47.4</v>
      </c>
      <c r="Y144">
        <v>46.8</v>
      </c>
      <c r="Z144">
        <v>40.9</v>
      </c>
      <c r="AA144">
        <v>48</v>
      </c>
    </row>
    <row r="145" spans="1:27" x14ac:dyDescent="0.35">
      <c r="A145" s="58">
        <v>44805</v>
      </c>
      <c r="C145">
        <v>50.9</v>
      </c>
      <c r="D145">
        <v>52</v>
      </c>
      <c r="E145">
        <v>48.1</v>
      </c>
      <c r="F145">
        <v>48.4</v>
      </c>
      <c r="G145">
        <v>50.8</v>
      </c>
      <c r="H145">
        <v>47.8</v>
      </c>
      <c r="I145">
        <v>47.7</v>
      </c>
      <c r="J145">
        <v>48.4</v>
      </c>
      <c r="K145">
        <v>48.3</v>
      </c>
      <c r="L145">
        <v>49</v>
      </c>
      <c r="M145">
        <v>51.1</v>
      </c>
      <c r="N145">
        <v>50.3</v>
      </c>
      <c r="O145">
        <v>52</v>
      </c>
      <c r="P145">
        <v>55.1</v>
      </c>
      <c r="Q145">
        <v>49.8</v>
      </c>
      <c r="R145">
        <v>50.2</v>
      </c>
      <c r="S145">
        <v>53.7</v>
      </c>
      <c r="T145">
        <v>47.3</v>
      </c>
      <c r="U145">
        <v>42.2</v>
      </c>
      <c r="V145">
        <v>49.7</v>
      </c>
      <c r="W145">
        <v>51.5</v>
      </c>
      <c r="X145">
        <v>46.9</v>
      </c>
      <c r="Y145">
        <v>44.7</v>
      </c>
      <c r="Z145">
        <v>43</v>
      </c>
      <c r="AA145">
        <v>49.8</v>
      </c>
    </row>
    <row r="146" spans="1:27" x14ac:dyDescent="0.35">
      <c r="A146" s="58">
        <v>44835</v>
      </c>
      <c r="C146">
        <v>50.2</v>
      </c>
      <c r="D146">
        <v>50.4</v>
      </c>
      <c r="E146">
        <v>49.2</v>
      </c>
      <c r="F146">
        <v>46.4</v>
      </c>
      <c r="G146">
        <v>50.7</v>
      </c>
      <c r="H146">
        <v>45.1</v>
      </c>
      <c r="I146">
        <v>47.2</v>
      </c>
      <c r="J146">
        <v>46.2</v>
      </c>
      <c r="K146">
        <v>46.5</v>
      </c>
      <c r="L146">
        <v>44.7</v>
      </c>
      <c r="M146">
        <v>50.8</v>
      </c>
      <c r="N146">
        <v>50.3</v>
      </c>
      <c r="O146">
        <v>50.7</v>
      </c>
      <c r="P146">
        <v>55.3</v>
      </c>
      <c r="Q146">
        <v>48.8</v>
      </c>
      <c r="R146">
        <v>49.6</v>
      </c>
      <c r="S146">
        <v>51.8</v>
      </c>
      <c r="T146">
        <v>48.2</v>
      </c>
      <c r="U146">
        <v>41.5</v>
      </c>
      <c r="V146">
        <v>48.1</v>
      </c>
      <c r="W146">
        <v>51.4</v>
      </c>
      <c r="X146">
        <v>46.4</v>
      </c>
      <c r="Y146">
        <v>41.7</v>
      </c>
      <c r="Z146">
        <v>42</v>
      </c>
      <c r="AA146">
        <v>52.09</v>
      </c>
    </row>
    <row r="147" spans="1:27" x14ac:dyDescent="0.35">
      <c r="A147" s="58">
        <v>44866</v>
      </c>
      <c r="C147">
        <v>49</v>
      </c>
      <c r="D147">
        <v>47.7</v>
      </c>
      <c r="E147">
        <v>49.4</v>
      </c>
      <c r="F147">
        <v>47.1</v>
      </c>
      <c r="G147">
        <v>49</v>
      </c>
      <c r="H147">
        <v>46.2</v>
      </c>
      <c r="I147">
        <v>48.3</v>
      </c>
      <c r="J147">
        <v>46.5</v>
      </c>
      <c r="K147">
        <v>48.4</v>
      </c>
      <c r="L147">
        <v>45.7</v>
      </c>
      <c r="M147">
        <v>44.3</v>
      </c>
      <c r="N147">
        <v>50.6</v>
      </c>
      <c r="O147">
        <v>53.2</v>
      </c>
      <c r="P147">
        <v>55.7</v>
      </c>
      <c r="Q147">
        <v>49.6</v>
      </c>
      <c r="R147">
        <v>44.7</v>
      </c>
      <c r="S147">
        <v>50.3</v>
      </c>
      <c r="T147">
        <v>49</v>
      </c>
      <c r="U147">
        <v>41.6</v>
      </c>
      <c r="V147">
        <v>48.4</v>
      </c>
      <c r="W147">
        <v>48.7</v>
      </c>
      <c r="X147">
        <v>45.7</v>
      </c>
      <c r="Y147">
        <v>41.6</v>
      </c>
      <c r="Z147">
        <v>43.4</v>
      </c>
      <c r="AA147">
        <v>45.48</v>
      </c>
    </row>
    <row r="148" spans="1:27" x14ac:dyDescent="0.35">
      <c r="A148" s="58">
        <v>44896</v>
      </c>
      <c r="C148">
        <v>48.4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8"/>
  <dimension ref="C1:P98"/>
  <sheetViews>
    <sheetView tabSelected="1" zoomScaleNormal="100" workbookViewId="0">
      <selection activeCell="AB21" sqref="AB21"/>
    </sheetView>
  </sheetViews>
  <sheetFormatPr defaultColWidth="9.1796875" defaultRowHeight="14.5" x14ac:dyDescent="0.35"/>
  <cols>
    <col min="1" max="2" width="9.1796875" style="56" customWidth="1"/>
    <col min="3" max="3" width="24.36328125" style="56" customWidth="1"/>
    <col min="4" max="7" width="9.1796875" style="56" customWidth="1"/>
    <col min="8" max="8" width="21.36328125" style="56" customWidth="1"/>
    <col min="9" max="12" width="9.36328125" style="56" customWidth="1"/>
    <col min="13" max="13" width="23.36328125" style="56" customWidth="1"/>
    <col min="14" max="49" width="9.1796875" style="56" customWidth="1"/>
    <col min="50" max="16384" width="9.1796875" style="56"/>
  </cols>
  <sheetData>
    <row r="1" spans="3:16" ht="16" customHeight="1" thickBot="1" x14ac:dyDescent="0.4"/>
    <row r="2" spans="3:16" ht="16" customHeight="1" thickBot="1" x14ac:dyDescent="0.4">
      <c r="C2" s="66" t="s">
        <v>102</v>
      </c>
      <c r="D2" s="67"/>
      <c r="E2" s="67"/>
      <c r="F2" s="67"/>
      <c r="G2" s="67"/>
      <c r="H2" s="67"/>
      <c r="I2" s="67"/>
      <c r="J2" s="67"/>
      <c r="K2" s="67"/>
      <c r="L2" s="67"/>
      <c r="M2" s="67"/>
      <c r="N2" s="67"/>
      <c r="O2" s="67"/>
      <c r="P2" s="68"/>
    </row>
    <row r="3" spans="3:16" ht="16" customHeight="1" thickBot="1" x14ac:dyDescent="0.4"/>
    <row r="4" spans="3:16" ht="16" customHeight="1" thickBot="1" x14ac:dyDescent="0.4">
      <c r="C4" s="66" t="s">
        <v>103</v>
      </c>
      <c r="D4" s="67"/>
      <c r="E4" s="67"/>
      <c r="F4" s="68"/>
      <c r="H4" s="66" t="s">
        <v>104</v>
      </c>
      <c r="I4" s="67"/>
      <c r="J4" s="67"/>
      <c r="K4" s="68"/>
      <c r="M4" s="66" t="s">
        <v>105</v>
      </c>
      <c r="N4" s="67"/>
      <c r="O4" s="67"/>
      <c r="P4" s="68"/>
    </row>
    <row r="5" spans="3:16" ht="16" customHeight="1" thickBot="1" x14ac:dyDescent="0.4"/>
    <row r="6" spans="3:16" x14ac:dyDescent="0.35">
      <c r="C6" s="3"/>
      <c r="D6" s="4" t="s">
        <v>7</v>
      </c>
      <c r="E6" s="4" t="s">
        <v>8</v>
      </c>
      <c r="F6" s="5" t="s">
        <v>9</v>
      </c>
      <c r="H6" s="3"/>
      <c r="I6" s="4" t="s">
        <v>7</v>
      </c>
      <c r="J6" s="4" t="s">
        <v>8</v>
      </c>
      <c r="K6" s="5" t="s">
        <v>9</v>
      </c>
      <c r="M6" s="3"/>
      <c r="N6" s="4" t="s">
        <v>7</v>
      </c>
      <c r="O6" s="4" t="s">
        <v>8</v>
      </c>
      <c r="P6" s="5" t="s">
        <v>9</v>
      </c>
    </row>
    <row r="7" spans="3:16" x14ac:dyDescent="0.35">
      <c r="C7" s="6" t="s">
        <v>10</v>
      </c>
      <c r="D7" s="39">
        <f>VLOOKUP($C$7,'DB US Indicators'!$A:$D,MATCH(D$6,'DB US Indicators'!$A$1:$S$1,0),0)</f>
        <v>8.0115520919518922E-3</v>
      </c>
      <c r="E7" s="39">
        <f>VLOOKUP($C$7,'DB US Indicators'!$A:$D,MATCH(E$6,'DB US Indicators'!$A$1:$S$1,0),0)</f>
        <v>-4.1033818498393453E-3</v>
      </c>
      <c r="F7" s="40">
        <f>VLOOKUP($C$7,'DB US Indicators'!$A:$D,MATCH(F$6,'DB US Indicators'!$A$1:$S$1,0),0)</f>
        <v>6.5669449139205242E-3</v>
      </c>
      <c r="G7" s="43"/>
      <c r="H7" s="6" t="s">
        <v>106</v>
      </c>
      <c r="I7" s="46" t="str">
        <f>VLOOKUP($H$7,'DB US Indicators'!$A:$D,MATCH(I$6,'DB US Indicators'!$A$1:$S$1,0),0)</f>
        <v>4.25-4.50%</v>
      </c>
      <c r="J7" s="46"/>
      <c r="K7" s="8"/>
      <c r="L7" s="1"/>
      <c r="M7" s="6" t="s">
        <v>30</v>
      </c>
      <c r="N7" s="49">
        <f>IF(VLOOKUP($M$7,'DB US Indicators'!$A:$D,MATCH(N$6,'DB US Indicators'!$A$1:$S$1,0),0)="","",VLOOKUP($M$7,'DB US Indicators'!$A:$D,MATCH(N$6,'DB US Indicators'!$A$1:$S$1,0),0))</f>
        <v>59.7</v>
      </c>
      <c r="O7" s="49">
        <f>IF(VLOOKUP($M$7,'DB US Indicators'!$A:$D,MATCH(O$6,'DB US Indicators'!$A$1:$S$1,0),0)="","",VLOOKUP($M$7,'DB US Indicators'!$A:$D,MATCH(O$6,'DB US Indicators'!$A$1:$S$1,0),0))</f>
        <v>50</v>
      </c>
      <c r="P7" s="50">
        <f>IF(VLOOKUP($M$7,'DB US Indicators'!$A:$D,MATCH(P$6,'DB US Indicators'!$A$1:$S$1,0),0)="","",VLOOKUP($M$7,'DB US Indicators'!$A:$D,MATCH(P$6,'DB US Indicators'!$A$1:$S$1,0),0))</f>
        <v>70.599999999999994</v>
      </c>
    </row>
    <row r="8" spans="3:16" x14ac:dyDescent="0.35">
      <c r="C8" s="6" t="s">
        <v>11</v>
      </c>
      <c r="D8" s="41">
        <f>VLOOKUP($C$8,'DB US Indicators'!$A:$D,MATCH(D$6,'DB US Indicators'!$A$1:$S$1,0),0)</f>
        <v>1.9421383880539569E-2</v>
      </c>
      <c r="E8" s="41">
        <f>VLOOKUP($C$8,'DB US Indicators'!$A:$D,MATCH(E$6,'DB US Indicators'!$A$1:$S$1,0),0)</f>
        <v>3.683678957947209E-2</v>
      </c>
      <c r="F8" s="42">
        <f>VLOOKUP($C$8,'DB US Indicators'!$A:$D,MATCH(F$6,'DB US Indicators'!$A$1:$S$1,0),0)</f>
        <v>4.9556544805406812E-2</v>
      </c>
      <c r="G8" s="43"/>
      <c r="H8" s="6" t="s">
        <v>22</v>
      </c>
      <c r="I8" s="47">
        <f>VLOOKUP($H$8,'DB US Indicators'!$A:$D,MATCH(I$6,'DB US Indicators'!$A$1:$S$1,0),0)</f>
        <v>1.5250000000000339E-3</v>
      </c>
      <c r="J8" s="47"/>
      <c r="K8" s="9"/>
      <c r="L8" s="2"/>
      <c r="M8" s="6" t="s">
        <v>31</v>
      </c>
      <c r="N8" s="49">
        <f>IF(VLOOKUP($M$8,'DB US Indicators'!$A:$D,MATCH(N$6,'DB US Indicators'!$A$1:$S$1,0),0)="","",VLOOKUP($M$8,'DB US Indicators'!$A:$D,MATCH(N$6,'DB US Indicators'!$A$1:$S$1,0),0))</f>
        <v>59.9</v>
      </c>
      <c r="O8" s="49">
        <f>IF(VLOOKUP($M$8,'DB US Indicators'!$A:$D,MATCH(O$6,'DB US Indicators'!$A$1:$S$1,0),0)="","",VLOOKUP($M$8,'DB US Indicators'!$A:$D,MATCH(O$6,'DB US Indicators'!$A$1:$S$1,0),0))</f>
        <v>47.5</v>
      </c>
      <c r="P8" s="50">
        <f>IF(VLOOKUP($M$8,'DB US Indicators'!$A:$D,MATCH(P$6,'DB US Indicators'!$A$1:$S$1,0),0)="","",VLOOKUP($M$8,'DB US Indicators'!$A:$D,MATCH(P$6,'DB US Indicators'!$A$1:$S$1,0),0))</f>
        <v>68.3</v>
      </c>
    </row>
    <row r="9" spans="3:16" x14ac:dyDescent="0.35">
      <c r="C9" s="6" t="s">
        <v>12</v>
      </c>
      <c r="D9" s="43">
        <f>VLOOKUP($C$9,'DB US Indicators'!$A:$D,MATCH(D$6,'DB US Indicators'!$A$1:$S$1,0),0)</f>
        <v>3.026000946458498E-3</v>
      </c>
      <c r="E9" s="43">
        <f>VLOOKUP($C$9,'DB US Indicators'!$A:$D,MATCH(E$6,'DB US Indicators'!$A$1:$S$1,0),0)</f>
        <v>7.064925467602263E-3</v>
      </c>
      <c r="F9" s="30">
        <f>VLOOKUP($C$9,'DB US Indicators'!$A:$D,MATCH(F$6,'DB US Indicators'!$A$1:$S$1,0),0)</f>
        <v>5.6183544683751563E-3</v>
      </c>
      <c r="G9" s="43"/>
      <c r="H9" s="6" t="s">
        <v>23</v>
      </c>
      <c r="I9" s="47">
        <f>VLOOKUP($H$9,'DB US Indicators'!$A:$D,MATCH(I$6,'DB US Indicators'!$A$1:$S$1,0),0)</f>
        <v>5.2499999999994879E-4</v>
      </c>
      <c r="J9" s="47"/>
      <c r="K9" s="9"/>
      <c r="L9" s="2"/>
      <c r="M9" s="6" t="s">
        <v>32</v>
      </c>
      <c r="N9" s="51">
        <f>IF(VLOOKUP($M$9,'DB US Indicators'!$A:$D,MATCH(N$6,'DB US Indicators'!$A$1:$S$1,0),0)="","",VLOOKUP($M$9,'DB US Indicators'!$A:$D,MATCH(N$6,'DB US Indicators'!$A$1:$S$1,0),0))</f>
        <v>113.5</v>
      </c>
      <c r="O9" s="51">
        <f>IF(VLOOKUP($M$9,'DB US Indicators'!$A:$D,MATCH(O$6,'DB US Indicators'!$A$1:$S$1,0),0)="","",VLOOKUP($M$9,'DB US Indicators'!$A:$D,MATCH(O$6,'DB US Indicators'!$A$1:$S$1,0),0))</f>
        <v>118.3</v>
      </c>
      <c r="P9" s="52">
        <f>IF(VLOOKUP($M$9,'DB US Indicators'!$A:$D,MATCH(P$6,'DB US Indicators'!$A$1:$S$1,0),0)="","",VLOOKUP($M$9,'DB US Indicators'!$A:$D,MATCH(P$6,'DB US Indicators'!$A$1:$S$1,0),0))</f>
        <v>119.9</v>
      </c>
    </row>
    <row r="10" spans="3:16" x14ac:dyDescent="0.35">
      <c r="C10" s="6" t="s">
        <v>13</v>
      </c>
      <c r="D10" s="41">
        <f>VLOOKUP($C$10,'DB US Indicators'!$A:$D,MATCH(D$6,'DB US Indicators'!$A$1:$S$1,0),0)</f>
        <v>1.680900962916073E-3</v>
      </c>
      <c r="E10" s="41">
        <f>VLOOKUP($C$10,'DB US Indicators'!$A:$D,MATCH(E$6,'DB US Indicators'!$A$1:$S$1,0),0)</f>
        <v>3.753175448660153E-3</v>
      </c>
      <c r="F10" s="42">
        <f>VLOOKUP($C$10,'DB US Indicators'!$A:$D,MATCH(F$6,'DB US Indicators'!$A$1:$S$1,0),0)</f>
        <v>5.1627441582793457E-3</v>
      </c>
      <c r="G10" s="43"/>
      <c r="H10" s="6" t="s">
        <v>24</v>
      </c>
      <c r="I10" s="47">
        <f>VLOOKUP($H$10,'DB US Indicators'!$A:$D,MATCH(I$6,'DB US Indicators'!$A$1:$S$1,0),0)</f>
        <v>-1.8774999999999979E-2</v>
      </c>
      <c r="J10" s="47"/>
      <c r="K10" s="9"/>
      <c r="L10" s="2"/>
      <c r="M10" s="6" t="s">
        <v>33</v>
      </c>
      <c r="N10" s="51">
        <f>IF(VLOOKUP($M$10,'DB US Indicators'!$A:$D,MATCH(N$6,'DB US Indicators'!$A$1:$S$1,0),0)="","",VLOOKUP($M$10,'DB US Indicators'!$A:$D,MATCH(N$6,'DB US Indicators'!$A$1:$S$1,0),0))</f>
        <v>1330</v>
      </c>
      <c r="O10" s="51">
        <f>IF(VLOOKUP($M$10,'DB US Indicators'!$A:$D,MATCH(O$6,'DB US Indicators'!$A$1:$S$1,0),0)="","",VLOOKUP($M$10,'DB US Indicators'!$A:$D,MATCH(O$6,'DB US Indicators'!$A$1:$S$1,0),0))</f>
        <v>1696</v>
      </c>
      <c r="P10" s="52">
        <f>IF(VLOOKUP($M$10,'DB US Indicators'!$A:$D,MATCH(P$6,'DB US Indicators'!$A$1:$S$1,0),0)="","",VLOOKUP($M$10,'DB US Indicators'!$A:$D,MATCH(P$6,'DB US Indicators'!$A$1:$S$1,0),0))</f>
        <v>1896</v>
      </c>
    </row>
    <row r="11" spans="3:16" x14ac:dyDescent="0.35">
      <c r="C11" s="6" t="s">
        <v>15</v>
      </c>
      <c r="D11" s="39">
        <f>VLOOKUP($C$11,'DB US Indicators'!$A:$D,MATCH(D$6,'DB US Indicators'!$A$1:$S$1,0),0)</f>
        <v>-6.9478288538297643E-3</v>
      </c>
      <c r="E11" s="39">
        <f>VLOOKUP($C$11,'DB US Indicators'!$A:$D,MATCH(E$6,'DB US Indicators'!$A$1:$S$1,0),0)</f>
        <v>9.1744067540833144E-3</v>
      </c>
      <c r="F11" s="40">
        <f>VLOOKUP($C$11,'DB US Indicators'!$A:$D,MATCH(F$6,'DB US Indicators'!$A$1:$S$1,0),0)</f>
        <v>-1.439818913351496E-2</v>
      </c>
      <c r="G11" s="43"/>
      <c r="H11" s="6" t="s">
        <v>107</v>
      </c>
      <c r="I11" s="46">
        <f>IF(VLOOKUP($H$11,'DB US Indicators'!$A:$D,MATCH(I$6,'DB US Indicators'!$A$1:$S$1,0),0)="","",VLOOKUP($H$11,'DB US Indicators'!$A:$D,MATCH(I$6,'DB US Indicators'!$A$1:$S$1,0),0)/100)</f>
        <v>3.6600000000000001E-2</v>
      </c>
      <c r="J11" s="46">
        <f>IF(VLOOKUP($H$11,'DB US Indicators'!$A:$D,MATCH(J$6,'DB US Indicators'!$A$1:$S$1,0),0)="","",VLOOKUP($H$11,'DB US Indicators'!$A:$D,MATCH(J$6,'DB US Indicators'!$A$1:$S$1,0),0)/100)</f>
        <v>0.03</v>
      </c>
      <c r="K11" s="30" t="str">
        <f>IF(VLOOKUP($H$11,'DB US Indicators'!$A:$D,MATCH(K$6,'DB US Indicators'!$A$1:$S$1,0),0)="","",VLOOKUP($H$11,'DB US Indicators'!$A:$D,MATCH(K$6,'DB US Indicators'!$A$1:$S$1,0),0))</f>
        <v/>
      </c>
      <c r="M11" s="6" t="s">
        <v>34</v>
      </c>
      <c r="N11" s="51">
        <f>IF(VLOOKUP($M$11,'DB US Indicators'!$A:$D,MATCH(N$6,'DB US Indicators'!$A$1:$S$1,0),0)="","",VLOOKUP($M$11,'DB US Indicators'!$A:$D,MATCH(N$6,'DB US Indicators'!$A$1:$S$1,0),0))</f>
        <v>48.4</v>
      </c>
      <c r="O11" s="51">
        <f>IF(VLOOKUP($M$11,'DB US Indicators'!$A:$D,MATCH(O$6,'DB US Indicators'!$A$1:$S$1,0),0)="","",VLOOKUP($M$11,'DB US Indicators'!$A:$D,MATCH(O$6,'DB US Indicators'!$A$1:$S$1,0),0))</f>
        <v>53</v>
      </c>
      <c r="P11" s="52">
        <f>IF(VLOOKUP($M$11,'DB US Indicators'!$A:$D,MATCH(P$6,'DB US Indicators'!$A$1:$S$1,0),0)="","",VLOOKUP($M$11,'DB US Indicators'!$A:$D,MATCH(P$6,'DB US Indicators'!$A$1:$S$1,0),0))</f>
        <v>58.7</v>
      </c>
    </row>
    <row r="12" spans="3:16" x14ac:dyDescent="0.35">
      <c r="C12" s="6" t="s">
        <v>14</v>
      </c>
      <c r="D12" s="41">
        <f>VLOOKUP($C$12,'DB US Indicators'!$A:$D,MATCH(D$6,'DB US Indicators'!$A$1:$S$1,0),0)</f>
        <v>-1.146297453386045E-2</v>
      </c>
      <c r="E12" s="41">
        <f>VLOOKUP($C$12,'DB US Indicators'!$A:$D,MATCH(E$6,'DB US Indicators'!$A$1:$S$1,0),0)</f>
        <v>1.029219556500742E-2</v>
      </c>
      <c r="F12" s="42">
        <f>VLOOKUP($C$12,'DB US Indicators'!$A:$D,MATCH(F$6,'DB US Indicators'!$A$1:$S$1,0),0)</f>
        <v>-1.152241337683322E-2</v>
      </c>
      <c r="G12" s="43"/>
      <c r="H12" s="6" t="s">
        <v>108</v>
      </c>
      <c r="I12" s="46">
        <f>IF(VLOOKUP($H$12,'DB US Indicators'!$A:$D,MATCH(I$6,'DB US Indicators'!$A$1:$S$1,0),0)="","",VLOOKUP($H$12,'DB US Indicators'!$A:$D,MATCH(I$6,'DB US Indicators'!$A$1:$S$1,0),0)/100)</f>
        <v>3.4799999999999998E-2</v>
      </c>
      <c r="J12" s="46">
        <f>IF(VLOOKUP($H$12,'DB US Indicators'!$A:$D,MATCH(J$6,'DB US Indicators'!$A$1:$S$1,0),0)="","",VLOOKUP($H$12,'DB US Indicators'!$A:$D,MATCH(J$6,'DB US Indicators'!$A$1:$S$1,0),0)/100)</f>
        <v>2.6699999999999998E-2</v>
      </c>
      <c r="K12" s="8">
        <f>IF(VLOOKUP($H$12,'DB US Indicators'!$A:$D,MATCH(K$6,'DB US Indicators'!$A$1:$S$1,0),0)="","",VLOOKUP($H$12,'DB US Indicators'!$A:$D,MATCH(K$6,'DB US Indicators'!$A$1:$S$1,0),0)/100)</f>
        <v>1.7840000000000002E-2</v>
      </c>
      <c r="L12" s="1"/>
      <c r="M12" s="6" t="s">
        <v>35</v>
      </c>
      <c r="N12" s="51">
        <f>IF(VLOOKUP($M$12,'DB US Indicators'!$A:$D,MATCH(N$6,'DB US Indicators'!$A$1:$S$1,0),0)="","",VLOOKUP($M$12,'DB US Indicators'!$A:$D,MATCH(N$6,'DB US Indicators'!$A$1:$S$1,0),0))</f>
        <v>45.2</v>
      </c>
      <c r="O12" s="51">
        <f>IF(VLOOKUP($M$12,'DB US Indicators'!$A:$D,MATCH(O$6,'DB US Indicators'!$A$1:$S$1,0),0)="","",VLOOKUP($M$12,'DB US Indicators'!$A:$D,MATCH(O$6,'DB US Indicators'!$A$1:$S$1,0),0))</f>
        <v>49.2</v>
      </c>
      <c r="P12" s="52">
        <f>IF(VLOOKUP($M$12,'DB US Indicators'!$A:$D,MATCH(P$6,'DB US Indicators'!$A$1:$S$1,0),0)="","",VLOOKUP($M$12,'DB US Indicators'!$A:$D,MATCH(P$6,'DB US Indicators'!$A$1:$S$1,0),0))</f>
        <v>60.4</v>
      </c>
    </row>
    <row r="13" spans="3:16" x14ac:dyDescent="0.35">
      <c r="C13" s="6" t="s">
        <v>16</v>
      </c>
      <c r="D13" s="41">
        <f>VLOOKUP($C$13,'DB US Indicators'!$A:$D,MATCH(D$6,'DB US Indicators'!$A$1:$S$1,0),0)</f>
        <v>-2.7777777777777801E-2</v>
      </c>
      <c r="E13" s="41">
        <f>VLOOKUP($C$13,'DB US Indicators'!$A:$D,MATCH(E$6,'DB US Indicators'!$A$1:$S$1,0),0)</f>
        <v>0</v>
      </c>
      <c r="F13" s="42">
        <f>VLOOKUP($C$13,'DB US Indicators'!$A:$D,MATCH(F$6,'DB US Indicators'!$A$1:$S$1,0),0)</f>
        <v>-7.1428571428571494E-2</v>
      </c>
      <c r="G13" s="43"/>
      <c r="H13" s="6" t="s">
        <v>109</v>
      </c>
      <c r="I13" s="46">
        <f>IF(VLOOKUP($H$13,'DB US Indicators'!$A:$D,MATCH(I$6,'DB US Indicators'!$A$1:$S$1,0),0)="","",VLOOKUP($H$13,'DB US Indicators'!$A:$D,MATCH(I$6,'DB US Indicators'!$A$1:$S$1,0),0)/100)</f>
        <v>4.1399999999999999E-2</v>
      </c>
      <c r="J13" s="46">
        <f>IF(VLOOKUP($H$13,'DB US Indicators'!$A:$D,MATCH(J$6,'DB US Indicators'!$A$1:$S$1,0),0)="","",VLOOKUP($H$13,'DB US Indicators'!$A:$D,MATCH(J$6,'DB US Indicators'!$A$1:$S$1,0),0)/100)</f>
        <v>2.8900000000000002E-2</v>
      </c>
      <c r="K13" s="8">
        <f>IF(VLOOKUP($H$13,'DB US Indicators'!$A:$D,MATCH(K$6,'DB US Indicators'!$A$1:$S$1,0),0)="","",VLOOKUP($H$13,'DB US Indicators'!$A:$D,MATCH(K$6,'DB US Indicators'!$A$1:$S$1,0),0)/100)</f>
        <v>1.1846000000000001E-2</v>
      </c>
      <c r="L13" s="1"/>
      <c r="M13" s="6" t="s">
        <v>36</v>
      </c>
      <c r="N13" s="51">
        <f>IF(VLOOKUP($M$13,'DB US Indicators'!$A:$D,MATCH(N$6,'DB US Indicators'!$A$1:$S$1,0),0)="","",VLOOKUP($M$13,'DB US Indicators'!$A:$D,MATCH(N$6,'DB US Indicators'!$A$1:$S$1,0),0))</f>
        <v>49.6</v>
      </c>
      <c r="O13" s="51">
        <f>IF(VLOOKUP($M$13,'DB US Indicators'!$A:$D,MATCH(O$6,'DB US Indicators'!$A$1:$S$1,0),0)="","",VLOOKUP($M$13,'DB US Indicators'!$A:$D,MATCH(O$6,'DB US Indicators'!$A$1:$S$1,0),0))</f>
        <v>55.3</v>
      </c>
      <c r="P13" s="52">
        <f>IF(VLOOKUP($M$13,'DB US Indicators'!$A:$D,MATCH(P$6,'DB US Indicators'!$A$1:$S$1,0),0)="","",VLOOKUP($M$13,'DB US Indicators'!$A:$D,MATCH(P$6,'DB US Indicators'!$A$1:$S$1,0),0))</f>
        <v>62</v>
      </c>
    </row>
    <row r="14" spans="3:16" x14ac:dyDescent="0.35">
      <c r="C14" s="6" t="s">
        <v>17</v>
      </c>
      <c r="D14" s="54">
        <f>VLOOKUP($C$14,'DB US Indicators'!$A:$D,MATCH(D$6,'DB US Indicators'!$A$1:$S$1,0),0)</f>
        <v>153743</v>
      </c>
      <c r="E14" s="54">
        <f>VLOOKUP($C$14,'DB US Indicators'!$A:$D,MATCH(E$6,'DB US Indicators'!$A$1:$S$1,0),0)</f>
        <v>151903</v>
      </c>
      <c r="F14" s="55">
        <f>VLOOKUP($C$14,'DB US Indicators'!$A:$D,MATCH(F$6,'DB US Indicators'!$A$1:$S$1,0),0)</f>
        <v>149240</v>
      </c>
      <c r="G14" s="31"/>
      <c r="H14" s="6" t="s">
        <v>110</v>
      </c>
      <c r="I14" s="46">
        <f>IF(VLOOKUP($H$14,'DB US Indicators'!$A:$D,MATCH(I$6,'DB US Indicators'!$A$1:$S$1,0),0)="","",VLOOKUP($H$14,'DB US Indicators'!$A:$D,MATCH(I$6,'DB US Indicators'!$A$1:$S$1,0),0)/100)</f>
        <v>4.7199999999999999E-2</v>
      </c>
      <c r="J14" s="46">
        <f>IF(VLOOKUP($H$14,'DB US Indicators'!$A:$D,MATCH(J$6,'DB US Indicators'!$A$1:$S$1,0),0)="","",VLOOKUP($H$14,'DB US Indicators'!$A:$D,MATCH(J$6,'DB US Indicators'!$A$1:$S$1,0),0)/100)</f>
        <v>2.41E-2</v>
      </c>
      <c r="K14" s="8" t="str">
        <f>IF(VLOOKUP($H$14,'DB US Indicators'!$A:$D,MATCH(K$6,'DB US Indicators'!$A$1:$S$1,0),0)="","",VLOOKUP($H$14,'DB US Indicators'!$A:$D,MATCH(K$6,'DB US Indicators'!$A$1:$S$1,0),0))</f>
        <v/>
      </c>
      <c r="L14" s="1"/>
      <c r="M14" s="6" t="s">
        <v>37</v>
      </c>
      <c r="N14" s="47">
        <f>IF(VLOOKUP($M$14,'DB US Indicators'!$A:$D,MATCH(N$6,'DB US Indicators'!$A$1:$S$1,0),0)="","",VLOOKUP($M$14,'DB US Indicators'!$A:$D,MATCH(N$6,'DB US Indicators'!$A$1:$S$1,0),0))</f>
        <v>-9.238525987988461E-3</v>
      </c>
      <c r="O14" s="53"/>
      <c r="P14" s="10"/>
    </row>
    <row r="15" spans="3:16" x14ac:dyDescent="0.35">
      <c r="C15" s="6" t="s">
        <v>18</v>
      </c>
      <c r="D15" s="54">
        <f>VLOOKUP($C$15,'DB US Indicators'!$A:$D,MATCH(D$6,'DB US Indicators'!$A$1:$S$1,0),0)</f>
        <v>190000</v>
      </c>
      <c r="E15" s="54">
        <f>VLOOKUP($C$15,'DB US Indicators'!$A:$D,MATCH(E$6,'DB US Indicators'!$A$1:$S$1,0),0)</f>
        <v>248000</v>
      </c>
      <c r="F15" s="55">
        <f>VLOOKUP($C$15,'DB US Indicators'!$A:$D,MATCH(F$6,'DB US Indicators'!$A$1:$S$1,0),0)</f>
        <v>214000</v>
      </c>
      <c r="G15" s="31"/>
      <c r="H15" s="6" t="s">
        <v>111</v>
      </c>
      <c r="I15" s="46">
        <f>I12-I13</f>
        <v>-6.6000000000000017E-3</v>
      </c>
      <c r="J15" s="46">
        <f>J12-J13</f>
        <v>-2.200000000000004E-3</v>
      </c>
      <c r="K15" s="8">
        <f>K12-K13</f>
        <v>5.9940000000000011E-3</v>
      </c>
      <c r="L15" s="1"/>
      <c r="M15" s="6" t="s">
        <v>38</v>
      </c>
      <c r="N15" s="47">
        <f>IF(VLOOKUP($M$15,'DB US Indicators'!$A:$D,MATCH(N$6,'DB US Indicators'!$A$1:$S$1,0),0)="","",VLOOKUP($M$15,'DB US Indicators'!$A:$D,MATCH(N$6,'DB US Indicators'!$A$1:$S$1,0),0))</f>
        <v>-3.9110888415660296E-3</v>
      </c>
      <c r="O15" s="53"/>
      <c r="P15" s="10"/>
    </row>
    <row r="16" spans="3:16" ht="16" customHeight="1" thickBot="1" x14ac:dyDescent="0.4">
      <c r="C16" s="7" t="s">
        <v>19</v>
      </c>
      <c r="D16" s="32">
        <f>VLOOKUP($C$16,'DB US Indicators'!$A:$D,MATCH(D$6,'DB US Indicators'!$A$1:$S$1,0),0)</f>
        <v>-7.2283975916219642E-3</v>
      </c>
      <c r="E16" s="32">
        <f>VLOOKUP($C$16,'DB US Indicators'!$A:$D,MATCH(E$6,'DB US Indicators'!$A$1:$S$1,0),0)</f>
        <v>-2.0947615600693131E-3</v>
      </c>
      <c r="F16" s="44">
        <f>VLOOKUP($C$16,'DB US Indicators'!$A:$D,MATCH(F$6,'DB US Indicators'!$A$1:$S$1,0),0)</f>
        <v>-1.9840919567284941E-3</v>
      </c>
      <c r="G16" s="43"/>
      <c r="H16" s="7" t="s">
        <v>29</v>
      </c>
      <c r="I16" s="45">
        <f>IF(VLOOKUP($H$16,'DB US Indicators'!$A:$D,MATCH(I$6,'DB US Indicators'!$A$1:$S$1,0),0)="","",VLOOKUP($H$16,'DB US Indicators'!$A:$D,MATCH(I$6,'DB US Indicators'!$A$1:$S$1,0),0))</f>
        <v>101.9919967651367</v>
      </c>
      <c r="J16" s="45">
        <f>IF(VLOOKUP($H$16,'DB US Indicators'!$A:$D,MATCH(J$6,'DB US Indicators'!$A$1:$S$1,0),0)="","",VLOOKUP($H$16,'DB US Indicators'!$A:$D,MATCH(J$6,'DB US Indicators'!$A$1:$S$1,0),0))</f>
        <v>105.90000152587891</v>
      </c>
      <c r="K16" s="48">
        <f>IF(VLOOKUP($H$16,'DB US Indicators'!$A:$D,MATCH(K$6,'DB US Indicators'!$A$1:$S$1,0),0)="","",VLOOKUP($H$16,'DB US Indicators'!$A:$D,MATCH(K$6,'DB US Indicators'!$A$1:$S$1,0),0))</f>
        <v>96.540000915527344</v>
      </c>
      <c r="L16" s="1"/>
      <c r="M16" s="11"/>
      <c r="N16" s="12"/>
      <c r="O16" s="12"/>
      <c r="P16" s="13"/>
    </row>
    <row r="19" spans="3:3" x14ac:dyDescent="0.35">
      <c r="C19" s="57" t="s">
        <v>112</v>
      </c>
    </row>
    <row r="98" spans="3:3" x14ac:dyDescent="0.35">
      <c r="C98" s="57" t="s">
        <v>113</v>
      </c>
    </row>
  </sheetData>
  <mergeCells count="4">
    <mergeCell ref="C4:F4"/>
    <mergeCell ref="M4:P4"/>
    <mergeCell ref="H4:K4"/>
    <mergeCell ref="C2:P2"/>
  </mergeCells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dimension ref="A1:BV320"/>
  <sheetViews>
    <sheetView zoomScale="110" zoomScaleNormal="110" workbookViewId="0">
      <pane xSplit="2" ySplit="10" topLeftCell="C55" activePane="bottomRight" state="frozen"/>
      <selection activeCell="F16" sqref="F16"/>
      <selection pane="topRight" activeCell="F16" sqref="F16"/>
      <selection pane="bottomLeft" activeCell="F16" sqref="F16"/>
      <selection pane="bottomRight" activeCell="AG2" sqref="AG2"/>
    </sheetView>
  </sheetViews>
  <sheetFormatPr defaultColWidth="9.1796875" defaultRowHeight="14.5" x14ac:dyDescent="0.35"/>
  <cols>
    <col min="1" max="1" width="9.1796875" style="56" customWidth="1"/>
    <col min="2" max="2" width="17.81640625" customWidth="1"/>
    <col min="3" max="27" width="6.1796875" customWidth="1"/>
    <col min="28" max="28" width="7.36328125" customWidth="1"/>
    <col min="29" max="29" width="9.1796875" style="56" customWidth="1"/>
    <col min="30" max="30" width="12.36328125" style="56" customWidth="1"/>
    <col min="31" max="31" width="9.1796875" style="56" customWidth="1"/>
    <col min="32" max="32" width="10.6328125" style="56" customWidth="1"/>
    <col min="33" max="33" width="10.6328125" style="56" bestFit="1" customWidth="1"/>
    <col min="34" max="74" width="9.1796875" style="56" customWidth="1"/>
  </cols>
  <sheetData>
    <row r="1" spans="2:36" s="56" customFormat="1" ht="16" customHeight="1" thickBot="1" x14ac:dyDescent="0.4">
      <c r="C1" s="56" t="s">
        <v>76</v>
      </c>
      <c r="D1" s="56" t="s">
        <v>77</v>
      </c>
      <c r="E1" s="56" t="s">
        <v>78</v>
      </c>
      <c r="F1" s="56" t="s">
        <v>79</v>
      </c>
      <c r="G1" s="56" t="s">
        <v>80</v>
      </c>
      <c r="H1" s="56" t="s">
        <v>81</v>
      </c>
      <c r="I1" s="56" t="s">
        <v>82</v>
      </c>
      <c r="J1" s="56" t="s">
        <v>83</v>
      </c>
      <c r="K1" s="56" t="s">
        <v>84</v>
      </c>
      <c r="L1" s="56" t="s">
        <v>85</v>
      </c>
      <c r="M1" s="56" t="s">
        <v>86</v>
      </c>
      <c r="N1" s="56" t="s">
        <v>87</v>
      </c>
      <c r="O1" s="56" t="s">
        <v>88</v>
      </c>
      <c r="P1" s="56" t="s">
        <v>89</v>
      </c>
      <c r="Q1" s="56" t="s">
        <v>90</v>
      </c>
      <c r="R1" s="56" t="s">
        <v>91</v>
      </c>
      <c r="S1" s="56" t="s">
        <v>92</v>
      </c>
      <c r="T1" s="56" t="s">
        <v>93</v>
      </c>
      <c r="U1" s="56" t="s">
        <v>94</v>
      </c>
      <c r="V1" s="56" t="s">
        <v>95</v>
      </c>
      <c r="W1" s="56" t="s">
        <v>96</v>
      </c>
      <c r="X1" s="56" t="s">
        <v>97</v>
      </c>
      <c r="Y1" s="56" t="s">
        <v>98</v>
      </c>
      <c r="Z1" s="56" t="s">
        <v>99</v>
      </c>
      <c r="AA1" s="56" t="s">
        <v>100</v>
      </c>
      <c r="AB1" s="56" t="s">
        <v>101</v>
      </c>
      <c r="AD1" s="17" t="s">
        <v>114</v>
      </c>
      <c r="AE1" s="56" t="s">
        <v>115</v>
      </c>
      <c r="AG1" s="38">
        <v>44866</v>
      </c>
      <c r="AJ1" s="16"/>
    </row>
    <row r="2" spans="2:36" ht="72.75" customHeight="1" thickBot="1" x14ac:dyDescent="0.4">
      <c r="B2" s="18"/>
      <c r="C2" s="19" t="s">
        <v>76</v>
      </c>
      <c r="D2" s="19" t="s">
        <v>116</v>
      </c>
      <c r="E2" s="19" t="s">
        <v>78</v>
      </c>
      <c r="F2" s="19" t="s">
        <v>117</v>
      </c>
      <c r="G2" s="19" t="s">
        <v>118</v>
      </c>
      <c r="H2" s="19" t="s">
        <v>119</v>
      </c>
      <c r="I2" s="19" t="s">
        <v>120</v>
      </c>
      <c r="J2" s="19" t="s">
        <v>121</v>
      </c>
      <c r="K2" s="19" t="s">
        <v>84</v>
      </c>
      <c r="L2" s="19" t="s">
        <v>122</v>
      </c>
      <c r="M2" s="19" t="s">
        <v>123</v>
      </c>
      <c r="N2" s="19" t="s">
        <v>124</v>
      </c>
      <c r="O2" s="19" t="s">
        <v>125</v>
      </c>
      <c r="P2" s="19" t="s">
        <v>126</v>
      </c>
      <c r="Q2" s="19" t="s">
        <v>127</v>
      </c>
      <c r="R2" s="19" t="s">
        <v>128</v>
      </c>
      <c r="S2" s="19" t="s">
        <v>129</v>
      </c>
      <c r="T2" s="20" t="s">
        <v>130</v>
      </c>
      <c r="U2" s="19" t="s">
        <v>131</v>
      </c>
      <c r="V2" s="19" t="s">
        <v>132</v>
      </c>
      <c r="W2" s="19" t="s">
        <v>133</v>
      </c>
      <c r="X2" s="19" t="s">
        <v>134</v>
      </c>
      <c r="Y2" s="19" t="s">
        <v>135</v>
      </c>
      <c r="Z2" s="19" t="s">
        <v>136</v>
      </c>
      <c r="AA2" s="19" t="s">
        <v>137</v>
      </c>
      <c r="AB2" s="21" t="s">
        <v>138</v>
      </c>
      <c r="AG2" s="22"/>
    </row>
    <row r="3" spans="2:36" hidden="1" x14ac:dyDescent="0.35">
      <c r="B3" s="23" t="s">
        <v>139</v>
      </c>
      <c r="C3" s="33" t="e">
        <f t="shared" ref="C3:AB3" ca="1" si="0">MAX(OFFSET(C$12,COUNT(C$12:C$105),0,-13,1))</f>
        <v>#N/A</v>
      </c>
      <c r="D3" s="33">
        <f t="shared" ca="1" si="0"/>
        <v>61.5</v>
      </c>
      <c r="E3" s="33">
        <f t="shared" ca="1" si="0"/>
        <v>59.2</v>
      </c>
      <c r="F3" s="33">
        <f t="shared" ca="1" si="0"/>
        <v>51.7</v>
      </c>
      <c r="G3" s="33">
        <f t="shared" ca="1" si="0"/>
        <v>59</v>
      </c>
      <c r="H3" s="33">
        <f t="shared" ca="1" si="0"/>
        <v>55.4</v>
      </c>
      <c r="I3" s="33">
        <f t="shared" ca="1" si="0"/>
        <v>60.5</v>
      </c>
      <c r="J3" s="33">
        <f t="shared" ca="1" si="0"/>
        <v>57.6</v>
      </c>
      <c r="K3" s="33">
        <f t="shared" ca="1" si="0"/>
        <v>57.9</v>
      </c>
      <c r="L3" s="33">
        <f t="shared" ca="1" si="0"/>
        <v>62</v>
      </c>
      <c r="M3" s="33">
        <f t="shared" ca="1" si="0"/>
        <v>56.9</v>
      </c>
      <c r="N3" s="33">
        <f t="shared" ca="1" si="0"/>
        <v>54.2</v>
      </c>
      <c r="O3" s="33">
        <f t="shared" ca="1" si="0"/>
        <v>52.2</v>
      </c>
      <c r="P3" s="33">
        <f t="shared" ca="1" si="0"/>
        <v>53.2</v>
      </c>
      <c r="Q3" s="33">
        <f t="shared" ca="1" si="0"/>
        <v>56.4</v>
      </c>
      <c r="R3" s="33">
        <f t="shared" ca="1" si="0"/>
        <v>58.9</v>
      </c>
      <c r="S3" s="33">
        <f t="shared" ca="1" si="0"/>
        <v>58.5</v>
      </c>
      <c r="T3" s="33">
        <f t="shared" ca="1" si="0"/>
        <v>53.7</v>
      </c>
      <c r="U3" s="33">
        <f t="shared" ca="1" si="0"/>
        <v>53.8</v>
      </c>
      <c r="V3" s="33">
        <f t="shared" ca="1" si="0"/>
        <v>55.5</v>
      </c>
      <c r="W3" s="33">
        <f t="shared" ca="1" si="0"/>
        <v>59</v>
      </c>
      <c r="X3" s="33">
        <f t="shared" ca="1" si="0"/>
        <v>59.4</v>
      </c>
      <c r="Y3" s="33">
        <f t="shared" ca="1" si="0"/>
        <v>52.1</v>
      </c>
      <c r="Z3" s="33">
        <f t="shared" ca="1" si="0"/>
        <v>59.1</v>
      </c>
      <c r="AA3" s="33">
        <f t="shared" ca="1" si="0"/>
        <v>56.1</v>
      </c>
      <c r="AB3" s="33">
        <f t="shared" ca="1" si="0"/>
        <v>71.3</v>
      </c>
      <c r="AE3" s="56" t="s">
        <v>140</v>
      </c>
      <c r="AG3" s="22">
        <f>DATE(YEAR(AG1),MONTH(AG1)-1,DAY(AG1))</f>
        <v>44835</v>
      </c>
    </row>
    <row r="4" spans="2:36" hidden="1" x14ac:dyDescent="0.35">
      <c r="B4" s="23" t="s">
        <v>141</v>
      </c>
      <c r="C4" s="33" t="e">
        <f t="shared" ref="C4:AB4" ca="1" si="1">MIN(OFFSET(C$12,COUNT(C$12:C$105),0,-13,1))</f>
        <v>#N/A</v>
      </c>
      <c r="D4" s="33">
        <f t="shared" ca="1" si="1"/>
        <v>49</v>
      </c>
      <c r="E4" s="33">
        <f t="shared" ca="1" si="1"/>
        <v>47.7</v>
      </c>
      <c r="F4" s="33">
        <f t="shared" ca="1" si="1"/>
        <v>46</v>
      </c>
      <c r="G4" s="33">
        <f t="shared" ca="1" si="1"/>
        <v>46.4</v>
      </c>
      <c r="H4" s="33">
        <f t="shared" ca="1" si="1"/>
        <v>49</v>
      </c>
      <c r="I4" s="33">
        <f t="shared" ca="1" si="1"/>
        <v>45.1</v>
      </c>
      <c r="J4" s="33">
        <f t="shared" ca="1" si="1"/>
        <v>47.2</v>
      </c>
      <c r="K4" s="33">
        <f t="shared" ca="1" si="1"/>
        <v>46.2</v>
      </c>
      <c r="L4" s="33">
        <f t="shared" ca="1" si="1"/>
        <v>46.5</v>
      </c>
      <c r="M4" s="33">
        <f t="shared" ca="1" si="1"/>
        <v>44.7</v>
      </c>
      <c r="N4" s="33">
        <f t="shared" ca="1" si="1"/>
        <v>44.3</v>
      </c>
      <c r="O4" s="33">
        <f t="shared" ca="1" si="1"/>
        <v>46.1</v>
      </c>
      <c r="P4" s="33">
        <f t="shared" ca="1" si="1"/>
        <v>44.1</v>
      </c>
      <c r="Q4" s="33">
        <f t="shared" ca="1" si="1"/>
        <v>53.9</v>
      </c>
      <c r="R4" s="33">
        <f t="shared" ca="1" si="1"/>
        <v>48.7</v>
      </c>
      <c r="S4" s="33">
        <f t="shared" ca="1" si="1"/>
        <v>44.7</v>
      </c>
      <c r="T4" s="33">
        <f t="shared" ca="1" si="1"/>
        <v>50.2</v>
      </c>
      <c r="U4" s="33">
        <f t="shared" ca="1" si="1"/>
        <v>47.3</v>
      </c>
      <c r="V4" s="33">
        <f t="shared" ca="1" si="1"/>
        <v>41.5</v>
      </c>
      <c r="W4" s="33">
        <f t="shared" ca="1" si="1"/>
        <v>48.1</v>
      </c>
      <c r="X4" s="33">
        <f t="shared" ca="1" si="1"/>
        <v>48.7</v>
      </c>
      <c r="Y4" s="33">
        <f t="shared" ca="1" si="1"/>
        <v>45.7</v>
      </c>
      <c r="Z4" s="33">
        <f t="shared" ca="1" si="1"/>
        <v>41.6</v>
      </c>
      <c r="AA4" s="33">
        <f t="shared" ca="1" si="1"/>
        <v>40.9</v>
      </c>
      <c r="AB4" s="33">
        <f t="shared" ca="1" si="1"/>
        <v>38</v>
      </c>
      <c r="AE4" s="56" t="s">
        <v>142</v>
      </c>
      <c r="AG4" s="22">
        <f>DATE(YEAR(AG1),MONTH(AG1)-12,DAY(AG1))</f>
        <v>44501</v>
      </c>
    </row>
    <row r="5" spans="2:36" ht="16" hidden="1" customHeight="1" thickBot="1" x14ac:dyDescent="0.4">
      <c r="B5" s="23" t="s">
        <v>143</v>
      </c>
      <c r="C5" s="34" t="e">
        <f t="shared" ref="C5:AB5" ca="1" si="2">AVERAGE(OFFSET(C$12,COUNT(C$12:C$105),0,-13,1))</f>
        <v>#N/A</v>
      </c>
      <c r="D5" s="34">
        <f t="shared" ca="1" si="2"/>
        <v>54.583333333333343</v>
      </c>
      <c r="E5" s="34">
        <f t="shared" ca="1" si="2"/>
        <v>54.300000000000004</v>
      </c>
      <c r="F5" s="34">
        <f t="shared" ca="1" si="2"/>
        <v>49.241666666666667</v>
      </c>
      <c r="G5" s="34">
        <f t="shared" ca="1" si="2"/>
        <v>52.966666666666669</v>
      </c>
      <c r="H5" s="34">
        <f t="shared" ca="1" si="2"/>
        <v>52.44166666666667</v>
      </c>
      <c r="I5" s="34">
        <f t="shared" ca="1" si="2"/>
        <v>52.733333333333341</v>
      </c>
      <c r="J5" s="34">
        <f t="shared" ca="1" si="2"/>
        <v>52.333333333333336</v>
      </c>
      <c r="K5" s="34">
        <f t="shared" ca="1" si="2"/>
        <v>52.616666666666674</v>
      </c>
      <c r="L5" s="34">
        <f t="shared" ca="1" si="2"/>
        <v>52.616666666666653</v>
      </c>
      <c r="M5" s="34">
        <f t="shared" ca="1" si="2"/>
        <v>51.766666666666673</v>
      </c>
      <c r="N5" s="34">
        <f t="shared" ca="1" si="2"/>
        <v>50.974999999999994</v>
      </c>
      <c r="O5" s="34">
        <f t="shared" ca="1" si="2"/>
        <v>49.416666666666664</v>
      </c>
      <c r="P5" s="34">
        <f t="shared" ca="1" si="2"/>
        <v>50.32500000000001</v>
      </c>
      <c r="Q5" s="34">
        <f t="shared" ca="1" si="2"/>
        <v>55.024999999999999</v>
      </c>
      <c r="R5" s="34">
        <f t="shared" ca="1" si="2"/>
        <v>53.683333333333337</v>
      </c>
      <c r="S5" s="34">
        <f t="shared" ca="1" si="2"/>
        <v>51.408333333333339</v>
      </c>
      <c r="T5" s="34">
        <f t="shared" ca="1" si="2"/>
        <v>51.783333333333324</v>
      </c>
      <c r="U5" s="34">
        <f t="shared" ca="1" si="2"/>
        <v>50.56666666666667</v>
      </c>
      <c r="V5" s="34">
        <f t="shared" ca="1" si="2"/>
        <v>48.591666666666669</v>
      </c>
      <c r="W5" s="34">
        <f t="shared" ca="1" si="2"/>
        <v>52.758333333333333</v>
      </c>
      <c r="X5" s="34">
        <f t="shared" ca="1" si="2"/>
        <v>54.833333333333343</v>
      </c>
      <c r="Y5" s="34">
        <f t="shared" ca="1" si="2"/>
        <v>48.516666666666673</v>
      </c>
      <c r="Z5" s="34">
        <f t="shared" ca="1" si="2"/>
        <v>50.550000000000011</v>
      </c>
      <c r="AA5" s="34">
        <f t="shared" ca="1" si="2"/>
        <v>47.891666666666659</v>
      </c>
      <c r="AB5" s="34">
        <f t="shared" ca="1" si="2"/>
        <v>55.535833333333329</v>
      </c>
    </row>
    <row r="6" spans="2:36" x14ac:dyDescent="0.35">
      <c r="B6" s="24" t="s">
        <v>144</v>
      </c>
      <c r="C6" s="35" t="e">
        <f t="shared" ref="C6:AB6" ca="1" si="3">IF((VLOOKUP($AG$1,$B:$AB,MATCH(C2,$B$2:$AB$2,),))&gt;C5,"above","below")</f>
        <v>#N/A</v>
      </c>
      <c r="D6" s="35" t="str">
        <f t="shared" ca="1" si="3"/>
        <v>below</v>
      </c>
      <c r="E6" s="35" t="str">
        <f t="shared" ca="1" si="3"/>
        <v>below</v>
      </c>
      <c r="F6" s="35" t="str">
        <f t="shared" ca="1" si="3"/>
        <v>above</v>
      </c>
      <c r="G6" s="35" t="str">
        <f t="shared" ca="1" si="3"/>
        <v>below</v>
      </c>
      <c r="H6" s="35" t="str">
        <f t="shared" ca="1" si="3"/>
        <v>below</v>
      </c>
      <c r="I6" s="35" t="str">
        <f t="shared" ca="1" si="3"/>
        <v>below</v>
      </c>
      <c r="J6" s="35" t="str">
        <f t="shared" ca="1" si="3"/>
        <v>below</v>
      </c>
      <c r="K6" s="35" t="str">
        <f t="shared" ca="1" si="3"/>
        <v>below</v>
      </c>
      <c r="L6" s="35" t="str">
        <f t="shared" ca="1" si="3"/>
        <v>below</v>
      </c>
      <c r="M6" s="35" t="str">
        <f t="shared" ca="1" si="3"/>
        <v>below</v>
      </c>
      <c r="N6" s="35" t="str">
        <f t="shared" ca="1" si="3"/>
        <v>below</v>
      </c>
      <c r="O6" s="35" t="str">
        <f t="shared" ca="1" si="3"/>
        <v>above</v>
      </c>
      <c r="P6" s="35" t="str">
        <f t="shared" ca="1" si="3"/>
        <v>above</v>
      </c>
      <c r="Q6" s="35" t="str">
        <f t="shared" ca="1" si="3"/>
        <v>above</v>
      </c>
      <c r="R6" s="35" t="str">
        <f t="shared" ca="1" si="3"/>
        <v>below</v>
      </c>
      <c r="S6" s="35" t="str">
        <f t="shared" ca="1" si="3"/>
        <v>below</v>
      </c>
      <c r="T6" s="35" t="str">
        <f t="shared" ca="1" si="3"/>
        <v>below</v>
      </c>
      <c r="U6" s="35" t="str">
        <f t="shared" ca="1" si="3"/>
        <v>below</v>
      </c>
      <c r="V6" s="35" t="str">
        <f t="shared" ca="1" si="3"/>
        <v>below</v>
      </c>
      <c r="W6" s="35" t="str">
        <f t="shared" ca="1" si="3"/>
        <v>below</v>
      </c>
      <c r="X6" s="35" t="str">
        <f t="shared" ca="1" si="3"/>
        <v>below</v>
      </c>
      <c r="Y6" s="35" t="str">
        <f t="shared" ca="1" si="3"/>
        <v>below</v>
      </c>
      <c r="Z6" s="35" t="str">
        <f t="shared" ca="1" si="3"/>
        <v>below</v>
      </c>
      <c r="AA6" s="35" t="str">
        <f t="shared" ca="1" si="3"/>
        <v>below</v>
      </c>
      <c r="AB6" s="35" t="str">
        <f t="shared" ca="1" si="3"/>
        <v>below</v>
      </c>
    </row>
    <row r="7" spans="2:36" x14ac:dyDescent="0.35">
      <c r="B7" s="24" t="s">
        <v>145</v>
      </c>
      <c r="C7" s="36" t="e">
        <f t="shared" ref="C7:AB7" si="4">VLOOKUP($AG$1,$B:$AB,MATCH(C2,$B$2:$AB$2,),)-VLOOKUP($AG$4,$B:$AB,MATCH(C2,$B$2:$AB$2,),)</f>
        <v>#N/A</v>
      </c>
      <c r="D7" s="36">
        <f t="shared" si="4"/>
        <v>-12.100000000000001</v>
      </c>
      <c r="E7" s="36">
        <f t="shared" si="4"/>
        <v>-10.599999999999994</v>
      </c>
      <c r="F7" s="36">
        <f t="shared" si="4"/>
        <v>-0.5</v>
      </c>
      <c r="G7" s="36">
        <f t="shared" si="4"/>
        <v>-11.299999999999997</v>
      </c>
      <c r="H7" s="36">
        <f t="shared" si="4"/>
        <v>-5.5</v>
      </c>
      <c r="I7" s="36">
        <f t="shared" si="4"/>
        <v>-11.199999999999996</v>
      </c>
      <c r="J7" s="36">
        <f t="shared" si="4"/>
        <v>-7.6000000000000014</v>
      </c>
      <c r="K7" s="36">
        <f t="shared" si="4"/>
        <v>-11.600000000000001</v>
      </c>
      <c r="L7" s="36">
        <f t="shared" si="4"/>
        <v>-14.399999999999999</v>
      </c>
      <c r="M7" s="36">
        <f t="shared" si="4"/>
        <v>-11.399999999999999</v>
      </c>
      <c r="N7" s="36">
        <f t="shared" si="4"/>
        <v>-5.5</v>
      </c>
      <c r="O7" s="36">
        <f t="shared" si="4"/>
        <v>1.2000000000000028</v>
      </c>
      <c r="P7" s="36">
        <f t="shared" si="4"/>
        <v>1.5</v>
      </c>
      <c r="Q7" s="36">
        <f t="shared" si="4"/>
        <v>-1.8999999999999986</v>
      </c>
      <c r="R7" s="36">
        <f t="shared" si="4"/>
        <v>-7.6000000000000014</v>
      </c>
      <c r="S7" s="36">
        <f t="shared" si="4"/>
        <v>-10.099999999999994</v>
      </c>
      <c r="T7" s="36">
        <f t="shared" si="4"/>
        <v>-3.6000000000000014</v>
      </c>
      <c r="U7" s="36">
        <f t="shared" si="4"/>
        <v>-1.8999999999999986</v>
      </c>
      <c r="V7" s="36">
        <f t="shared" si="4"/>
        <v>-13.299999999999997</v>
      </c>
      <c r="W7" s="36">
        <f t="shared" si="4"/>
        <v>-10.399999999999999</v>
      </c>
      <c r="X7" s="36">
        <f t="shared" si="4"/>
        <v>-11.199999999999996</v>
      </c>
      <c r="Y7" s="36">
        <f t="shared" si="4"/>
        <v>-6.2999999999999972</v>
      </c>
      <c r="Z7" s="36">
        <f t="shared" si="4"/>
        <v>-15.5</v>
      </c>
      <c r="AA7" s="36">
        <f t="shared" si="4"/>
        <v>-11</v>
      </c>
      <c r="AB7" s="36">
        <f t="shared" si="4"/>
        <v>-22.720000000000006</v>
      </c>
    </row>
    <row r="8" spans="2:36" x14ac:dyDescent="0.35">
      <c r="B8" s="24" t="s">
        <v>146</v>
      </c>
      <c r="C8" s="36" t="e">
        <f t="shared" ref="C8:AB8" si="5">VLOOKUP($AG$1,$B:$AB,MATCH(C2,$B$2:$AB$2,),)-VLOOKUP($AG$3,$B:$AB,MATCH(C2,$B$2:$AB$2,),)</f>
        <v>#N/A</v>
      </c>
      <c r="D8" s="36">
        <f t="shared" si="5"/>
        <v>-1.2000000000000028</v>
      </c>
      <c r="E8" s="36">
        <f t="shared" si="5"/>
        <v>-2.6999999999999957</v>
      </c>
      <c r="F8" s="36">
        <f t="shared" si="5"/>
        <v>0.19999999999999574</v>
      </c>
      <c r="G8" s="36">
        <f t="shared" si="5"/>
        <v>0.70000000000000284</v>
      </c>
      <c r="H8" s="36">
        <f t="shared" si="5"/>
        <v>-1.7000000000000028</v>
      </c>
      <c r="I8" s="36">
        <f t="shared" si="5"/>
        <v>1.1000000000000014</v>
      </c>
      <c r="J8" s="36">
        <f t="shared" si="5"/>
        <v>1.0999999999999943</v>
      </c>
      <c r="K8" s="36">
        <f t="shared" si="5"/>
        <v>0.29999999999999716</v>
      </c>
      <c r="L8" s="36">
        <f t="shared" si="5"/>
        <v>1.8999999999999986</v>
      </c>
      <c r="M8" s="36">
        <f t="shared" si="5"/>
        <v>1</v>
      </c>
      <c r="N8" s="36">
        <f t="shared" si="5"/>
        <v>-6.5</v>
      </c>
      <c r="O8" s="36">
        <f t="shared" si="5"/>
        <v>0.30000000000000426</v>
      </c>
      <c r="P8" s="36">
        <f t="shared" si="5"/>
        <v>2.5</v>
      </c>
      <c r="Q8" s="36">
        <f t="shared" si="5"/>
        <v>0.40000000000000568</v>
      </c>
      <c r="R8" s="36">
        <f t="shared" si="5"/>
        <v>0.80000000000000426</v>
      </c>
      <c r="S8" s="36">
        <f t="shared" si="5"/>
        <v>-4.8999999999999986</v>
      </c>
      <c r="T8" s="36">
        <f t="shared" si="5"/>
        <v>-1.5</v>
      </c>
      <c r="U8" s="36">
        <f t="shared" si="5"/>
        <v>0.79999999999999716</v>
      </c>
      <c r="V8" s="36">
        <f t="shared" si="5"/>
        <v>0.10000000000000142</v>
      </c>
      <c r="W8" s="36">
        <f t="shared" si="5"/>
        <v>0.29999999999999716</v>
      </c>
      <c r="X8" s="36">
        <f t="shared" si="5"/>
        <v>-2.6999999999999957</v>
      </c>
      <c r="Y8" s="36">
        <f t="shared" si="5"/>
        <v>-0.69999999999999574</v>
      </c>
      <c r="Z8" s="36">
        <f t="shared" si="5"/>
        <v>-0.10000000000000142</v>
      </c>
      <c r="AA8" s="36">
        <f t="shared" si="5"/>
        <v>1.3999999999999986</v>
      </c>
      <c r="AB8" s="36">
        <f t="shared" si="5"/>
        <v>-6.6100000000000065</v>
      </c>
    </row>
    <row r="9" spans="2:36" ht="66.75" customHeight="1" x14ac:dyDescent="0.35">
      <c r="B9" s="25" t="s">
        <v>147</v>
      </c>
      <c r="C9" s="26" t="e">
        <f t="shared" ref="C9:AB9" si="6">IF(VLOOKUP($AG$1,$B:$AB,MATCH(C2,$B$2:$AB$2,),)&gt;50,"Growth","Contraction")</f>
        <v>#N/A</v>
      </c>
      <c r="D9" s="26" t="str">
        <f t="shared" si="6"/>
        <v>Contraction</v>
      </c>
      <c r="E9" s="26" t="str">
        <f t="shared" si="6"/>
        <v>Contraction</v>
      </c>
      <c r="F9" s="26" t="str">
        <f t="shared" si="6"/>
        <v>Contraction</v>
      </c>
      <c r="G9" s="26" t="str">
        <f t="shared" si="6"/>
        <v>Contraction</v>
      </c>
      <c r="H9" s="26" t="str">
        <f t="shared" si="6"/>
        <v>Contraction</v>
      </c>
      <c r="I9" s="26" t="str">
        <f t="shared" si="6"/>
        <v>Contraction</v>
      </c>
      <c r="J9" s="26" t="str">
        <f t="shared" si="6"/>
        <v>Contraction</v>
      </c>
      <c r="K9" s="26" t="str">
        <f t="shared" si="6"/>
        <v>Contraction</v>
      </c>
      <c r="L9" s="26" t="str">
        <f t="shared" si="6"/>
        <v>Contraction</v>
      </c>
      <c r="M9" s="26" t="str">
        <f t="shared" si="6"/>
        <v>Contraction</v>
      </c>
      <c r="N9" s="26" t="str">
        <f t="shared" si="6"/>
        <v>Contraction</v>
      </c>
      <c r="O9" s="26" t="str">
        <f t="shared" si="6"/>
        <v>Growth</v>
      </c>
      <c r="P9" s="26" t="str">
        <f t="shared" si="6"/>
        <v>Growth</v>
      </c>
      <c r="Q9" s="26" t="str">
        <f t="shared" si="6"/>
        <v>Growth</v>
      </c>
      <c r="R9" s="26" t="str">
        <f t="shared" si="6"/>
        <v>Contraction</v>
      </c>
      <c r="S9" s="26" t="str">
        <f t="shared" si="6"/>
        <v>Contraction</v>
      </c>
      <c r="T9" s="26" t="str">
        <f t="shared" si="6"/>
        <v>Growth</v>
      </c>
      <c r="U9" s="26" t="str">
        <f t="shared" si="6"/>
        <v>Contraction</v>
      </c>
      <c r="V9" s="26" t="str">
        <f t="shared" si="6"/>
        <v>Contraction</v>
      </c>
      <c r="W9" s="26" t="str">
        <f t="shared" si="6"/>
        <v>Contraction</v>
      </c>
      <c r="X9" s="26" t="str">
        <f t="shared" si="6"/>
        <v>Contraction</v>
      </c>
      <c r="Y9" s="26" t="str">
        <f t="shared" si="6"/>
        <v>Contraction</v>
      </c>
      <c r="Z9" s="26" t="str">
        <f t="shared" si="6"/>
        <v>Contraction</v>
      </c>
      <c r="AA9" s="26" t="str">
        <f t="shared" si="6"/>
        <v>Contraction</v>
      </c>
      <c r="AB9" s="26" t="str">
        <f t="shared" si="6"/>
        <v>Contraction</v>
      </c>
    </row>
    <row r="10" spans="2:36" ht="26.25" customHeight="1" thickBot="1" x14ac:dyDescent="0.4">
      <c r="B10" s="27" t="s">
        <v>148</v>
      </c>
      <c r="C10" s="28" t="e">
        <f t="shared" ref="C10:AB10" si="7">IF(C8&gt;0,"+","-")</f>
        <v>#N/A</v>
      </c>
      <c r="D10" s="28" t="str">
        <f t="shared" si="7"/>
        <v>-</v>
      </c>
      <c r="E10" s="28" t="str">
        <f t="shared" si="7"/>
        <v>-</v>
      </c>
      <c r="F10" s="28" t="str">
        <f t="shared" si="7"/>
        <v>+</v>
      </c>
      <c r="G10" s="28" t="str">
        <f t="shared" si="7"/>
        <v>+</v>
      </c>
      <c r="H10" s="28" t="str">
        <f t="shared" si="7"/>
        <v>-</v>
      </c>
      <c r="I10" s="28" t="str">
        <f t="shared" si="7"/>
        <v>+</v>
      </c>
      <c r="J10" s="28" t="str">
        <f t="shared" si="7"/>
        <v>+</v>
      </c>
      <c r="K10" s="28" t="str">
        <f t="shared" si="7"/>
        <v>+</v>
      </c>
      <c r="L10" s="28" t="str">
        <f t="shared" si="7"/>
        <v>+</v>
      </c>
      <c r="M10" s="28" t="str">
        <f t="shared" si="7"/>
        <v>+</v>
      </c>
      <c r="N10" s="28" t="str">
        <f t="shared" si="7"/>
        <v>-</v>
      </c>
      <c r="O10" s="28" t="str">
        <f t="shared" si="7"/>
        <v>+</v>
      </c>
      <c r="P10" s="28" t="str">
        <f t="shared" si="7"/>
        <v>+</v>
      </c>
      <c r="Q10" s="28" t="str">
        <f t="shared" si="7"/>
        <v>+</v>
      </c>
      <c r="R10" s="28" t="str">
        <f t="shared" si="7"/>
        <v>+</v>
      </c>
      <c r="S10" s="28" t="str">
        <f t="shared" si="7"/>
        <v>-</v>
      </c>
      <c r="T10" s="28" t="str">
        <f t="shared" si="7"/>
        <v>-</v>
      </c>
      <c r="U10" s="28" t="str">
        <f t="shared" si="7"/>
        <v>+</v>
      </c>
      <c r="V10" s="28" t="str">
        <f t="shared" si="7"/>
        <v>+</v>
      </c>
      <c r="W10" s="28" t="str">
        <f t="shared" si="7"/>
        <v>+</v>
      </c>
      <c r="X10" s="28" t="str">
        <f t="shared" si="7"/>
        <v>-</v>
      </c>
      <c r="Y10" s="28" t="str">
        <f t="shared" si="7"/>
        <v>-</v>
      </c>
      <c r="Z10" s="28" t="str">
        <f t="shared" si="7"/>
        <v>-</v>
      </c>
      <c r="AA10" s="28" t="str">
        <f t="shared" si="7"/>
        <v>+</v>
      </c>
      <c r="AB10" s="28" t="str">
        <f t="shared" si="7"/>
        <v>-</v>
      </c>
    </row>
    <row r="11" spans="2:36" ht="26.25" customHeight="1" x14ac:dyDescent="0.35">
      <c r="B11" s="56"/>
      <c r="C11" s="56"/>
      <c r="D11" s="56"/>
      <c r="E11" s="56"/>
      <c r="F11" s="56"/>
      <c r="G11" s="56"/>
      <c r="H11" s="56"/>
      <c r="I11" s="56"/>
      <c r="J11" s="56"/>
      <c r="K11" s="56"/>
      <c r="L11" s="56"/>
      <c r="M11" s="56"/>
      <c r="N11" s="56"/>
      <c r="O11" s="56"/>
      <c r="P11" s="56"/>
      <c r="Q11" s="56"/>
      <c r="R11" s="56"/>
      <c r="S11" s="56"/>
      <c r="T11" s="56"/>
      <c r="U11" s="56"/>
      <c r="V11" s="56"/>
      <c r="W11" s="56"/>
      <c r="X11" s="56"/>
      <c r="Y11" s="56"/>
      <c r="Z11" s="56"/>
      <c r="AA11" s="56"/>
      <c r="AB11" s="56"/>
    </row>
    <row r="12" spans="2:36" x14ac:dyDescent="0.35">
      <c r="B12" s="29">
        <v>42887</v>
      </c>
      <c r="C12" s="37">
        <f>IF((VLOOKUP(B12,'DB PMI Manufacturing World'!$A:$AA,MATCH($C$1,'DB PMI Manufacturing World'!$A$1:$AA$1,),))=0,#N/A, (VLOOKUP(B12,'DB PMI Manufacturing World'!$A:$AA,MATCH($C$1,'DB PMI Manufacturing World'!$A$1:$AA$1,),)))</f>
        <v>52.6</v>
      </c>
      <c r="D12" s="37">
        <f>IF((VLOOKUP(B12,'DB PMI Manufacturing World'!$A:$AA,MATCH($D$1,'DB PMI Manufacturing World'!$A$1:$AA$1,),))=0,#N/A, (VLOOKUP(B12,'DB PMI Manufacturing World'!$A:$AA,MATCH($D$1,'DB PMI Manufacturing World'!$A$1:$AA$1,),)))</f>
        <v>56.7</v>
      </c>
      <c r="E12" s="37">
        <f>IF((VLOOKUP(B12,'DB PMI Manufacturing World'!$A:$AA,MATCH($E$1,'DB PMI Manufacturing World'!$A$1:$AA$1,),))=0,#N/A, (VLOOKUP(B12,'DB PMI Manufacturing World'!$A:$AA,MATCH($E$1,'DB PMI Manufacturing World'!$A$1:$AA$1,),)))</f>
        <v>52</v>
      </c>
      <c r="F12" s="37">
        <f>IF((VLOOKUP(B12,'DB PMI Manufacturing World'!$A:$AA,MATCH($F$1,'DB PMI Manufacturing World'!$A$1:$AA$1,),))=0,#N/A, (VLOOKUP(B12,'DB PMI Manufacturing World'!$A:$AA,MATCH($F$1,'DB PMI Manufacturing World'!$A$1:$AA$1,),)))</f>
        <v>50.4</v>
      </c>
      <c r="G12" s="37">
        <f>IF((VLOOKUP(B12,'DB PMI Manufacturing World'!$A:$AA,MATCH($G$1,'DB PMI Manufacturing World'!$A$1:$AA$1,),))=0,#N/A, (VLOOKUP(B12,'DB PMI Manufacturing World'!$A:$AA,MATCH($G$1,'DB PMI Manufacturing World'!$A$1:$AA$1,),)))</f>
        <v>57.4</v>
      </c>
      <c r="H12" s="37">
        <f>IF((VLOOKUP(B12,'DB PMI Manufacturing World'!$A:$AA,MATCH($H$1,'DB PMI Manufacturing World'!$A$1:$AA$1,),))=0,#N/A, (VLOOKUP(B12,'DB PMI Manufacturing World'!$A:$AA,MATCH($H$1,'DB PMI Manufacturing World'!$A$1:$AA$1,),)))</f>
        <v>52.4</v>
      </c>
      <c r="I12" s="37">
        <f>IF((VLOOKUP(B12,'DB PMI Manufacturing World'!$A:$AA,MATCH($I$1,'DB PMI Manufacturing World'!$A$1:$AA$1,),))=0,#N/A, (VLOOKUP(B12,'DB PMI Manufacturing World'!$A:$AA,MATCH($I$1,'DB PMI Manufacturing World'!$A$1:$AA$1,),)))</f>
        <v>59.6</v>
      </c>
      <c r="J12" s="37">
        <f>IF((VLOOKUP(B12,'DB PMI Manufacturing World'!$A:$AA,MATCH($J$1,'DB PMI Manufacturing World'!$A$1:$AA$1,),))=0,#N/A, (VLOOKUP(B12,'DB PMI Manufacturing World'!$A:$AA,MATCH($J$1,'DB PMI Manufacturing World'!$A$1:$AA$1,),)))</f>
        <v>54.8</v>
      </c>
      <c r="K12" s="37">
        <f>IF((VLOOKUP(B12,'DB PMI Manufacturing World'!$A:$AA,MATCH($K$1,'DB PMI Manufacturing World'!$A$1:$AA$1,),))=0,#N/A, (VLOOKUP(B12,'DB PMI Manufacturing World'!$A:$AA,MATCH($K$1,'DB PMI Manufacturing World'!$A$1:$AA$1,),)))</f>
        <v>54.4</v>
      </c>
      <c r="L12" s="37">
        <f>IF((VLOOKUP(B12,'DB PMI Manufacturing World'!$A:$AA,MATCH($L$1,'DB PMI Manufacturing World'!$A$1:$AA$1,),))=0,#N/A, (VLOOKUP(B12,'DB PMI Manufacturing World'!$A:$AA,MATCH($L$1,'DB PMI Manufacturing World'!$A$1:$AA$1,),)))</f>
        <v>55.2</v>
      </c>
      <c r="M12" s="37">
        <f>IF((VLOOKUP(B12,'DB PMI Manufacturing World'!$A:$AA,MATCH($M$1,'DB PMI Manufacturing World'!$A$1:$AA$1,),))=0,#N/A, (VLOOKUP(B12,'DB PMI Manufacturing World'!$A:$AA,MATCH($M$1,'DB PMI Manufacturing World'!$A$1:$AA$1,),)))</f>
        <v>54.7</v>
      </c>
      <c r="N12" s="37">
        <f>IF((VLOOKUP(B12,'DB PMI Manufacturing World'!$A:$AA,MATCH($N$1,'DB PMI Manufacturing World'!$A$1:$AA$1,),))=0,#N/A, (VLOOKUP(B12,'DB PMI Manufacturing World'!$A:$AA,MATCH($N$1,'DB PMI Manufacturing World'!$A$1:$AA$1,),)))</f>
        <v>50.5</v>
      </c>
      <c r="O12" s="37">
        <f>IF((VLOOKUP(B12,'DB PMI Manufacturing World'!$A:$AA,MATCH($O$1,'DB PMI Manufacturing World'!$A$1:$AA$1,),))=0,#N/A, (VLOOKUP(B12,'DB PMI Manufacturing World'!$A:$AA,MATCH($O$1,'DB PMI Manufacturing World'!$A$1:$AA$1,),)))</f>
        <v>52.3</v>
      </c>
      <c r="P12" s="37">
        <f>IF((VLOOKUP(B12,'DB PMI Manufacturing World'!$A:$AA,MATCH($P$1,'DB PMI Manufacturing World'!$A$1:$AA$1,),))=0,#N/A, (VLOOKUP(B12,'DB PMI Manufacturing World'!$A:$AA,MATCH($P$1,'DB PMI Manufacturing World'!$A$1:$AA$1,),)))</f>
        <v>50.3</v>
      </c>
      <c r="Q12" s="37">
        <f>IF((VLOOKUP(B12,'DB PMI Manufacturing World'!$A:$AA,MATCH($Q$1,'DB PMI Manufacturing World'!$A$1:$AA$1,),))=0,#N/A, (VLOOKUP(B12,'DB PMI Manufacturing World'!$A:$AA,MATCH($Q$1,'DB PMI Manufacturing World'!$A$1:$AA$1,),)))</f>
        <v>50.9</v>
      </c>
      <c r="R12" s="37">
        <f>IF((VLOOKUP(B12,'DB PMI Manufacturing World'!$A:$AA,MATCH($R$1,'DB PMI Manufacturing World'!$A$1:$AA$1,),))=0,#N/A, (VLOOKUP(B12,'DB PMI Manufacturing World'!$A:$AA,MATCH($R$1,'DB PMI Manufacturing World'!$A$1:$AA$1,),)))</f>
        <v>54.7</v>
      </c>
      <c r="S12" s="37">
        <f>IF((VLOOKUP(B12,'DB PMI Manufacturing World'!$A:$AA,MATCH($S$1,'DB PMI Manufacturing World'!$A$1:$AA$1,),))=0,#N/A, (VLOOKUP(B12,'DB PMI Manufacturing World'!$A:$AA,MATCH($S$1,'DB PMI Manufacturing World'!$A$1:$AA$1,),)))</f>
        <v>55</v>
      </c>
      <c r="T12" s="37">
        <f>IF((VLOOKUP(B12,'DB PMI Manufacturing World'!$A:$AA,MATCH($T$1,'DB PMI Manufacturing World'!$A$1:$AA$1,),))=0,#N/A, (VLOOKUP(B12,'DB PMI Manufacturing World'!$A:$AA,MATCH($T$1,'DB PMI Manufacturing World'!$A$1:$AA$1,),)))</f>
        <v>49.5</v>
      </c>
      <c r="U12" s="37">
        <f>IF((VLOOKUP(B12,'DB PMI Manufacturing World'!$A:$AA,MATCH($U$1,'DB PMI Manufacturing World'!$A$1:$AA$1,),))=0,#N/A, (VLOOKUP(B12,'DB PMI Manufacturing World'!$A:$AA,MATCH($U$1,'DB PMI Manufacturing World'!$A$1:$AA$1,),)))</f>
        <v>50.1</v>
      </c>
      <c r="V12" s="37">
        <f>IF((VLOOKUP(B12,'DB PMI Manufacturing World'!$A:$AA,MATCH($V$1,'DB PMI Manufacturing World'!$A$1:$AA$1,),))=0,#N/A, (VLOOKUP(B12,'DB PMI Manufacturing World'!$A:$AA,MATCH($V$1,'DB PMI Manufacturing World'!$A$1:$AA$1,),)))</f>
        <v>53.3</v>
      </c>
      <c r="W12" s="37">
        <f>IF((VLOOKUP(B12,'DB PMI Manufacturing World'!$A:$AA,MATCH($W$1,'DB PMI Manufacturing World'!$A$1:$AA$1,),))=0,#N/A, (VLOOKUP(B12,'DB PMI Manufacturing World'!$A:$AA,MATCH($W$1,'DB PMI Manufacturing World'!$A$1:$AA$1,),)))</f>
        <v>50.5</v>
      </c>
      <c r="X12" s="37">
        <f>IF((VLOOKUP(B12,'DB PMI Manufacturing World'!$A:$AA,MATCH($X$1,'DB PMI Manufacturing World'!$A$1:$AA$1,),))=0,#N/A, (VLOOKUP(B12,'DB PMI Manufacturing World'!$A:$AA,MATCH($X$1,'DB PMI Manufacturing World'!$A$1:$AA$1,),)))</f>
        <v>56</v>
      </c>
      <c r="Y12" s="37">
        <f>IF((VLOOKUP(B12,'DB PMI Manufacturing World'!$A:$AA,MATCH($Y$1,'DB PMI Manufacturing World'!$A$1:$AA$1,),))=0,#N/A, (VLOOKUP(B12,'DB PMI Manufacturing World'!$A:$AA,MATCH($Y$1,'DB PMI Manufacturing World'!$A$1:$AA$1,),)))</f>
        <v>54.7</v>
      </c>
      <c r="Z12" s="37">
        <f>IF((VLOOKUP(B12,'DB PMI Manufacturing World'!$A:$AA,MATCH($Z$1,'DB PMI Manufacturing World'!$A$1:$AA$1,),))=0,#N/A, (VLOOKUP(B12,'DB PMI Manufacturing World'!$A:$AA,MATCH($Z$1,'DB PMI Manufacturing World'!$A$1:$AA$1,),)))</f>
        <v>56.4</v>
      </c>
      <c r="AA12" s="37">
        <f>IF((VLOOKUP(B12,'DB PMI Manufacturing World'!$A:$AA,MATCH($AA$1,'DB PMI Manufacturing World'!$A$1:$AA$1,),))=0,#N/A, (VLOOKUP(B12,'DB PMI Manufacturing World'!$A:$AA,MATCH($AA$1,'DB PMI Manufacturing World'!$A$1:$AA$1,),)))</f>
        <v>53.1</v>
      </c>
      <c r="AB12" s="37">
        <f>IF((VLOOKUP(B12,'DB PMI Manufacturing World'!$A:$AA,MATCH($AB$1,'DB PMI Manufacturing World'!$A$1:$AA$1,),))=0,#N/A, (VLOOKUP(B12,'DB PMI Manufacturing World'!$A:$AA,MATCH($AB$1,'DB PMI Manufacturing World'!$A$1:$AA$1,),)))</f>
        <v>63.61</v>
      </c>
    </row>
    <row r="13" spans="2:36" x14ac:dyDescent="0.35">
      <c r="B13" s="29">
        <v>42917</v>
      </c>
      <c r="C13" s="37">
        <f>IF((VLOOKUP(B13,'DB PMI Manufacturing World'!$A:$AA,MATCH($C$1,'DB PMI Manufacturing World'!$A$1:$AA$1,),))=0,#N/A, (VLOOKUP(B13,'DB PMI Manufacturing World'!$A:$AA,MATCH($C$1,'DB PMI Manufacturing World'!$A$1:$AA$1,),)))</f>
        <v>52.8</v>
      </c>
      <c r="D13" s="37">
        <f>IF((VLOOKUP(B13,'DB PMI Manufacturing World'!$A:$AA,MATCH($D$1,'DB PMI Manufacturing World'!$A$1:$AA$1,),))=0,#N/A, (VLOOKUP(B13,'DB PMI Manufacturing World'!$A:$AA,MATCH($D$1,'DB PMI Manufacturing World'!$A$1:$AA$1,),)))</f>
        <v>56.5</v>
      </c>
      <c r="E13" s="37">
        <f>IF((VLOOKUP(B13,'DB PMI Manufacturing World'!$A:$AA,MATCH($E$1,'DB PMI Manufacturing World'!$A$1:$AA$1,),))=0,#N/A, (VLOOKUP(B13,'DB PMI Manufacturing World'!$A:$AA,MATCH($E$1,'DB PMI Manufacturing World'!$A$1:$AA$1,),)))</f>
        <v>53.3</v>
      </c>
      <c r="F13" s="37">
        <f>IF((VLOOKUP(B13,'DB PMI Manufacturing World'!$A:$AA,MATCH($F$1,'DB PMI Manufacturing World'!$A$1:$AA$1,),))=0,#N/A, (VLOOKUP(B13,'DB PMI Manufacturing World'!$A:$AA,MATCH($F$1,'DB PMI Manufacturing World'!$A$1:$AA$1,),)))</f>
        <v>51.1</v>
      </c>
      <c r="G13" s="37">
        <f>IF((VLOOKUP(B13,'DB PMI Manufacturing World'!$A:$AA,MATCH($G$1,'DB PMI Manufacturing World'!$A$1:$AA$1,),))=0,#N/A, (VLOOKUP(B13,'DB PMI Manufacturing World'!$A:$AA,MATCH($G$1,'DB PMI Manufacturing World'!$A$1:$AA$1,),)))</f>
        <v>56.6</v>
      </c>
      <c r="H13" s="37">
        <f>IF((VLOOKUP(B13,'DB PMI Manufacturing World'!$A:$AA,MATCH($H$1,'DB PMI Manufacturing World'!$A$1:$AA$1,),))=0,#N/A, (VLOOKUP(B13,'DB PMI Manufacturing World'!$A:$AA,MATCH($H$1,'DB PMI Manufacturing World'!$A$1:$AA$1,),)))</f>
        <v>52.1</v>
      </c>
      <c r="I13" s="37">
        <f>IF((VLOOKUP(B13,'DB PMI Manufacturing World'!$A:$AA,MATCH($I$1,'DB PMI Manufacturing World'!$A$1:$AA$1,),))=0,#N/A, (VLOOKUP(B13,'DB PMI Manufacturing World'!$A:$AA,MATCH($I$1,'DB PMI Manufacturing World'!$A$1:$AA$1,),)))</f>
        <v>58.1</v>
      </c>
      <c r="J13" s="37">
        <f>IF((VLOOKUP(B13,'DB PMI Manufacturing World'!$A:$AA,MATCH($J$1,'DB PMI Manufacturing World'!$A$1:$AA$1,),))=0,#N/A, (VLOOKUP(B13,'DB PMI Manufacturing World'!$A:$AA,MATCH($J$1,'DB PMI Manufacturing World'!$A$1:$AA$1,),)))</f>
        <v>54.9</v>
      </c>
      <c r="K13" s="37">
        <f>IF((VLOOKUP(B13,'DB PMI Manufacturing World'!$A:$AA,MATCH($K$1,'DB PMI Manufacturing World'!$A$1:$AA$1,),))=0,#N/A, (VLOOKUP(B13,'DB PMI Manufacturing World'!$A:$AA,MATCH($K$1,'DB PMI Manufacturing World'!$A$1:$AA$1,),)))</f>
        <v>55.3</v>
      </c>
      <c r="L13" s="37">
        <f>IF((VLOOKUP(B13,'DB PMI Manufacturing World'!$A:$AA,MATCH($L$1,'DB PMI Manufacturing World'!$A$1:$AA$1,),))=0,#N/A, (VLOOKUP(B13,'DB PMI Manufacturing World'!$A:$AA,MATCH($L$1,'DB PMI Manufacturing World'!$A$1:$AA$1,),)))</f>
        <v>55.1</v>
      </c>
      <c r="M13" s="37">
        <f>IF((VLOOKUP(B13,'DB PMI Manufacturing World'!$A:$AA,MATCH($M$1,'DB PMI Manufacturing World'!$A$1:$AA$1,),))=0,#N/A, (VLOOKUP(B13,'DB PMI Manufacturing World'!$A:$AA,MATCH($M$1,'DB PMI Manufacturing World'!$A$1:$AA$1,),)))</f>
        <v>54</v>
      </c>
      <c r="N13" s="37">
        <f>IF((VLOOKUP(B13,'DB PMI Manufacturing World'!$A:$AA,MATCH($N$1,'DB PMI Manufacturing World'!$A$1:$AA$1,),))=0,#N/A, (VLOOKUP(B13,'DB PMI Manufacturing World'!$A:$AA,MATCH($N$1,'DB PMI Manufacturing World'!$A$1:$AA$1,),)))</f>
        <v>50</v>
      </c>
      <c r="O13" s="37">
        <f>IF((VLOOKUP(B13,'DB PMI Manufacturing World'!$A:$AA,MATCH($O$1,'DB PMI Manufacturing World'!$A$1:$AA$1,),))=0,#N/A, (VLOOKUP(B13,'DB PMI Manufacturing World'!$A:$AA,MATCH($O$1,'DB PMI Manufacturing World'!$A$1:$AA$1,),)))</f>
        <v>51.2</v>
      </c>
      <c r="P13" s="37">
        <f>IF((VLOOKUP(B13,'DB PMI Manufacturing World'!$A:$AA,MATCH($P$1,'DB PMI Manufacturing World'!$A$1:$AA$1,),))=0,#N/A, (VLOOKUP(B13,'DB PMI Manufacturing World'!$A:$AA,MATCH($P$1,'DB PMI Manufacturing World'!$A$1:$AA$1,),)))</f>
        <v>52.7</v>
      </c>
      <c r="Q13" s="37">
        <f>IF((VLOOKUP(B13,'DB PMI Manufacturing World'!$A:$AA,MATCH($Q$1,'DB PMI Manufacturing World'!$A$1:$AA$1,),))=0,#N/A, (VLOOKUP(B13,'DB PMI Manufacturing World'!$A:$AA,MATCH($Q$1,'DB PMI Manufacturing World'!$A$1:$AA$1,),)))</f>
        <v>47.9</v>
      </c>
      <c r="R13" s="37">
        <f>IF((VLOOKUP(B13,'DB PMI Manufacturing World'!$A:$AA,MATCH($R$1,'DB PMI Manufacturing World'!$A$1:$AA$1,),))=0,#N/A, (VLOOKUP(B13,'DB PMI Manufacturing World'!$A:$AA,MATCH($R$1,'DB PMI Manufacturing World'!$A$1:$AA$1,),)))</f>
        <v>55.5</v>
      </c>
      <c r="S13" s="37">
        <f>IF((VLOOKUP(B13,'DB PMI Manufacturing World'!$A:$AA,MATCH($S$1,'DB PMI Manufacturing World'!$A$1:$AA$1,),))=0,#N/A, (VLOOKUP(B13,'DB PMI Manufacturing World'!$A:$AA,MATCH($S$1,'DB PMI Manufacturing World'!$A$1:$AA$1,),)))</f>
        <v>56</v>
      </c>
      <c r="T13" s="37">
        <f>IF((VLOOKUP(B13,'DB PMI Manufacturing World'!$A:$AA,MATCH($T$1,'DB PMI Manufacturing World'!$A$1:$AA$1,),))=0,#N/A, (VLOOKUP(B13,'DB PMI Manufacturing World'!$A:$AA,MATCH($T$1,'DB PMI Manufacturing World'!$A$1:$AA$1,),)))</f>
        <v>48.6</v>
      </c>
      <c r="U13" s="37">
        <f>IF((VLOOKUP(B13,'DB PMI Manufacturing World'!$A:$AA,MATCH($U$1,'DB PMI Manufacturing World'!$A$1:$AA$1,),))=0,#N/A, (VLOOKUP(B13,'DB PMI Manufacturing World'!$A:$AA,MATCH($U$1,'DB PMI Manufacturing World'!$A$1:$AA$1,),)))</f>
        <v>49.1</v>
      </c>
      <c r="V13" s="37">
        <f>IF((VLOOKUP(B13,'DB PMI Manufacturing World'!$A:$AA,MATCH($V$1,'DB PMI Manufacturing World'!$A$1:$AA$1,),))=0,#N/A, (VLOOKUP(B13,'DB PMI Manufacturing World'!$A:$AA,MATCH($V$1,'DB PMI Manufacturing World'!$A$1:$AA$1,),)))</f>
        <v>53.6</v>
      </c>
      <c r="W13" s="37">
        <f>IF((VLOOKUP(B13,'DB PMI Manufacturing World'!$A:$AA,MATCH($W$1,'DB PMI Manufacturing World'!$A$1:$AA$1,),))=0,#N/A, (VLOOKUP(B13,'DB PMI Manufacturing World'!$A:$AA,MATCH($W$1,'DB PMI Manufacturing World'!$A$1:$AA$1,),)))</f>
        <v>50.5</v>
      </c>
      <c r="X13" s="37">
        <f>IF((VLOOKUP(B13,'DB PMI Manufacturing World'!$A:$AA,MATCH($X$1,'DB PMI Manufacturing World'!$A$1:$AA$1,),))=0,#N/A, (VLOOKUP(B13,'DB PMI Manufacturing World'!$A:$AA,MATCH($X$1,'DB PMI Manufacturing World'!$A$1:$AA$1,),)))</f>
        <v>54.6</v>
      </c>
      <c r="Y13" s="37">
        <f>IF((VLOOKUP(B13,'DB PMI Manufacturing World'!$A:$AA,MATCH($Y$1,'DB PMI Manufacturing World'!$A$1:$AA$1,),))=0,#N/A, (VLOOKUP(B13,'DB PMI Manufacturing World'!$A:$AA,MATCH($Y$1,'DB PMI Manufacturing World'!$A$1:$AA$1,),)))</f>
        <v>53.6</v>
      </c>
      <c r="Z13" s="37">
        <f>IF((VLOOKUP(B13,'DB PMI Manufacturing World'!$A:$AA,MATCH($Z$1,'DB PMI Manufacturing World'!$A$1:$AA$1,),))=0,#N/A, (VLOOKUP(B13,'DB PMI Manufacturing World'!$A:$AA,MATCH($Z$1,'DB PMI Manufacturing World'!$A$1:$AA$1,),)))</f>
        <v>55.3</v>
      </c>
      <c r="AA13" s="37">
        <f>IF((VLOOKUP(B13,'DB PMI Manufacturing World'!$A:$AA,MATCH($AA$1,'DB PMI Manufacturing World'!$A$1:$AA$1,),))=0,#N/A, (VLOOKUP(B13,'DB PMI Manufacturing World'!$A:$AA,MATCH($AA$1,'DB PMI Manufacturing World'!$A$1:$AA$1,),)))</f>
        <v>52.3</v>
      </c>
      <c r="AB13" s="37">
        <f>IF((VLOOKUP(B13,'DB PMI Manufacturing World'!$A:$AA,MATCH($AB$1,'DB PMI Manufacturing World'!$A$1:$AA$1,),))=0,#N/A, (VLOOKUP(B13,'DB PMI Manufacturing World'!$A:$AA,MATCH($AB$1,'DB PMI Manufacturing World'!$A$1:$AA$1,),)))</f>
        <v>63.72</v>
      </c>
    </row>
    <row r="14" spans="2:36" x14ac:dyDescent="0.35">
      <c r="B14" s="29">
        <v>42948</v>
      </c>
      <c r="C14" s="37">
        <f>IF((VLOOKUP(B14,'DB PMI Manufacturing World'!$A:$AA,MATCH($C$1,'DB PMI Manufacturing World'!$A$1:$AA$1,),))=0,#N/A, (VLOOKUP(B14,'DB PMI Manufacturing World'!$A:$AA,MATCH($C$1,'DB PMI Manufacturing World'!$A$1:$AA$1,),)))</f>
        <v>53.2</v>
      </c>
      <c r="D14" s="37">
        <f>IF((VLOOKUP(B14,'DB PMI Manufacturing World'!$A:$AA,MATCH($D$1,'DB PMI Manufacturing World'!$A$1:$AA$1,),))=0,#N/A, (VLOOKUP(B14,'DB PMI Manufacturing World'!$A:$AA,MATCH($D$1,'DB PMI Manufacturing World'!$A$1:$AA$1,),)))</f>
        <v>59.3</v>
      </c>
      <c r="E14" s="37">
        <f>IF((VLOOKUP(B14,'DB PMI Manufacturing World'!$A:$AA,MATCH($E$1,'DB PMI Manufacturing World'!$A$1:$AA$1,),))=0,#N/A, (VLOOKUP(B14,'DB PMI Manufacturing World'!$A:$AA,MATCH($E$1,'DB PMI Manufacturing World'!$A$1:$AA$1,),)))</f>
        <v>52.8</v>
      </c>
      <c r="F14" s="37">
        <f>IF((VLOOKUP(B14,'DB PMI Manufacturing World'!$A:$AA,MATCH($F$1,'DB PMI Manufacturing World'!$A$1:$AA$1,),))=0,#N/A, (VLOOKUP(B14,'DB PMI Manufacturing World'!$A:$AA,MATCH($F$1,'DB PMI Manufacturing World'!$A$1:$AA$1,),)))</f>
        <v>51.6</v>
      </c>
      <c r="G14" s="37">
        <f>IF((VLOOKUP(B14,'DB PMI Manufacturing World'!$A:$AA,MATCH($G$1,'DB PMI Manufacturing World'!$A$1:$AA$1,),))=0,#N/A, (VLOOKUP(B14,'DB PMI Manufacturing World'!$A:$AA,MATCH($G$1,'DB PMI Manufacturing World'!$A$1:$AA$1,),)))</f>
        <v>57.4</v>
      </c>
      <c r="H14" s="37">
        <f>IF((VLOOKUP(B14,'DB PMI Manufacturing World'!$A:$AA,MATCH($H$1,'DB PMI Manufacturing World'!$A$1:$AA$1,),))=0,#N/A, (VLOOKUP(B14,'DB PMI Manufacturing World'!$A:$AA,MATCH($H$1,'DB PMI Manufacturing World'!$A$1:$AA$1,),)))</f>
        <v>52.2</v>
      </c>
      <c r="I14" s="37">
        <f>IF((VLOOKUP(B14,'DB PMI Manufacturing World'!$A:$AA,MATCH($I$1,'DB PMI Manufacturing World'!$A$1:$AA$1,),))=0,#N/A, (VLOOKUP(B14,'DB PMI Manufacturing World'!$A:$AA,MATCH($I$1,'DB PMI Manufacturing World'!$A$1:$AA$1,),)))</f>
        <v>59.3</v>
      </c>
      <c r="J14" s="37">
        <f>IF((VLOOKUP(B14,'DB PMI Manufacturing World'!$A:$AA,MATCH($J$1,'DB PMI Manufacturing World'!$A$1:$AA$1,),))=0,#N/A, (VLOOKUP(B14,'DB PMI Manufacturing World'!$A:$AA,MATCH($J$1,'DB PMI Manufacturing World'!$A$1:$AA$1,),)))</f>
        <v>55.8</v>
      </c>
      <c r="K14" s="37">
        <f>IF((VLOOKUP(B14,'DB PMI Manufacturing World'!$A:$AA,MATCH($K$1,'DB PMI Manufacturing World'!$A$1:$AA$1,),))=0,#N/A, (VLOOKUP(B14,'DB PMI Manufacturing World'!$A:$AA,MATCH($K$1,'DB PMI Manufacturing World'!$A$1:$AA$1,),)))</f>
        <v>56.8</v>
      </c>
      <c r="L14" s="37">
        <f>IF((VLOOKUP(B14,'DB PMI Manufacturing World'!$A:$AA,MATCH($L$1,'DB PMI Manufacturing World'!$A$1:$AA$1,),))=0,#N/A, (VLOOKUP(B14,'DB PMI Manufacturing World'!$A:$AA,MATCH($L$1,'DB PMI Manufacturing World'!$A$1:$AA$1,),)))</f>
        <v>56.3</v>
      </c>
      <c r="M14" s="37">
        <f>IF((VLOOKUP(B14,'DB PMI Manufacturing World'!$A:$AA,MATCH($M$1,'DB PMI Manufacturing World'!$A$1:$AA$1,),))=0,#N/A, (VLOOKUP(B14,'DB PMI Manufacturing World'!$A:$AA,MATCH($M$1,'DB PMI Manufacturing World'!$A$1:$AA$1,),)))</f>
        <v>52.4</v>
      </c>
      <c r="N14" s="37">
        <f>IF((VLOOKUP(B14,'DB PMI Manufacturing World'!$A:$AA,MATCH($N$1,'DB PMI Manufacturing World'!$A$1:$AA$1,),))=0,#N/A, (VLOOKUP(B14,'DB PMI Manufacturing World'!$A:$AA,MATCH($N$1,'DB PMI Manufacturing World'!$A$1:$AA$1,),)))</f>
        <v>50.9</v>
      </c>
      <c r="O14" s="37">
        <f>IF((VLOOKUP(B14,'DB PMI Manufacturing World'!$A:$AA,MATCH($O$1,'DB PMI Manufacturing World'!$A$1:$AA$1,),))=0,#N/A, (VLOOKUP(B14,'DB PMI Manufacturing World'!$A:$AA,MATCH($O$1,'DB PMI Manufacturing World'!$A$1:$AA$1,),)))</f>
        <v>52.2</v>
      </c>
      <c r="P14" s="37">
        <f>IF((VLOOKUP(B14,'DB PMI Manufacturing World'!$A:$AA,MATCH($P$1,'DB PMI Manufacturing World'!$A$1:$AA$1,),))=0,#N/A, (VLOOKUP(B14,'DB PMI Manufacturing World'!$A:$AA,MATCH($P$1,'DB PMI Manufacturing World'!$A$1:$AA$1,),)))</f>
        <v>51.6</v>
      </c>
      <c r="Q14" s="37">
        <f>IF((VLOOKUP(B14,'DB PMI Manufacturing World'!$A:$AA,MATCH($Q$1,'DB PMI Manufacturing World'!$A$1:$AA$1,),))=0,#N/A, (VLOOKUP(B14,'DB PMI Manufacturing World'!$A:$AA,MATCH($Q$1,'DB PMI Manufacturing World'!$A$1:$AA$1,),)))</f>
        <v>51.2</v>
      </c>
      <c r="R14" s="37">
        <f>IF((VLOOKUP(B14,'DB PMI Manufacturing World'!$A:$AA,MATCH($R$1,'DB PMI Manufacturing World'!$A$1:$AA$1,),))=0,#N/A, (VLOOKUP(B14,'DB PMI Manufacturing World'!$A:$AA,MATCH($R$1,'DB PMI Manufacturing World'!$A$1:$AA$1,),)))</f>
        <v>54.6</v>
      </c>
      <c r="S14" s="37">
        <f>IF((VLOOKUP(B14,'DB PMI Manufacturing World'!$A:$AA,MATCH($S$1,'DB PMI Manufacturing World'!$A$1:$AA$1,),))=0,#N/A, (VLOOKUP(B14,'DB PMI Manufacturing World'!$A:$AA,MATCH($S$1,'DB PMI Manufacturing World'!$A$1:$AA$1,),)))</f>
        <v>59.8</v>
      </c>
      <c r="T14" s="37">
        <f>IF((VLOOKUP(B14,'DB PMI Manufacturing World'!$A:$AA,MATCH($T$1,'DB PMI Manufacturing World'!$A$1:$AA$1,),))=0,#N/A, (VLOOKUP(B14,'DB PMI Manufacturing World'!$A:$AA,MATCH($T$1,'DB PMI Manufacturing World'!$A$1:$AA$1,),)))</f>
        <v>50.7</v>
      </c>
      <c r="U14" s="37">
        <f>IF((VLOOKUP(B14,'DB PMI Manufacturing World'!$A:$AA,MATCH($U$1,'DB PMI Manufacturing World'!$A$1:$AA$1,),))=0,#N/A, (VLOOKUP(B14,'DB PMI Manufacturing World'!$A:$AA,MATCH($U$1,'DB PMI Manufacturing World'!$A$1:$AA$1,),)))</f>
        <v>49.9</v>
      </c>
      <c r="V14" s="37">
        <f>IF((VLOOKUP(B14,'DB PMI Manufacturing World'!$A:$AA,MATCH($V$1,'DB PMI Manufacturing World'!$A$1:$AA$1,),))=0,#N/A, (VLOOKUP(B14,'DB PMI Manufacturing World'!$A:$AA,MATCH($V$1,'DB PMI Manufacturing World'!$A$1:$AA$1,),)))</f>
        <v>54.3</v>
      </c>
      <c r="W14" s="37">
        <f>IF((VLOOKUP(B14,'DB PMI Manufacturing World'!$A:$AA,MATCH($W$1,'DB PMI Manufacturing World'!$A$1:$AA$1,),))=0,#N/A, (VLOOKUP(B14,'DB PMI Manufacturing World'!$A:$AA,MATCH($W$1,'DB PMI Manufacturing World'!$A$1:$AA$1,),)))</f>
        <v>52.2</v>
      </c>
      <c r="X14" s="37">
        <f>IF((VLOOKUP(B14,'DB PMI Manufacturing World'!$A:$AA,MATCH($X$1,'DB PMI Manufacturing World'!$A$1:$AA$1,),))=0,#N/A, (VLOOKUP(B14,'DB PMI Manufacturing World'!$A:$AA,MATCH($X$1,'DB PMI Manufacturing World'!$A$1:$AA$1,),)))</f>
        <v>56.1</v>
      </c>
      <c r="Y14" s="37">
        <f>IF((VLOOKUP(B14,'DB PMI Manufacturing World'!$A:$AA,MATCH($Y$1,'DB PMI Manufacturing World'!$A$1:$AA$1,),))=0,#N/A, (VLOOKUP(B14,'DB PMI Manufacturing World'!$A:$AA,MATCH($Y$1,'DB PMI Manufacturing World'!$A$1:$AA$1,),)))</f>
        <v>55.3</v>
      </c>
      <c r="Z14" s="37">
        <f>IF((VLOOKUP(B14,'DB PMI Manufacturing World'!$A:$AA,MATCH($Z$1,'DB PMI Manufacturing World'!$A$1:$AA$1,),))=0,#N/A, (VLOOKUP(B14,'DB PMI Manufacturing World'!$A:$AA,MATCH($Z$1,'DB PMI Manufacturing World'!$A$1:$AA$1,),)))</f>
        <v>54.9</v>
      </c>
      <c r="AA14" s="37">
        <f>IF((VLOOKUP(B14,'DB PMI Manufacturing World'!$A:$AA,MATCH($AA$1,'DB PMI Manufacturing World'!$A$1:$AA$1,),))=0,#N/A, (VLOOKUP(B14,'DB PMI Manufacturing World'!$A:$AA,MATCH($AA$1,'DB PMI Manufacturing World'!$A$1:$AA$1,),)))</f>
        <v>52.5</v>
      </c>
      <c r="AB14" s="37">
        <f>IF((VLOOKUP(B14,'DB PMI Manufacturing World'!$A:$AA,MATCH($AB$1,'DB PMI Manufacturing World'!$A$1:$AA$1,),))=0,#N/A, (VLOOKUP(B14,'DB PMI Manufacturing World'!$A:$AA,MATCH($AB$1,'DB PMI Manufacturing World'!$A$1:$AA$1,),)))</f>
        <v>60.57</v>
      </c>
    </row>
    <row r="15" spans="2:36" x14ac:dyDescent="0.35">
      <c r="B15" s="29">
        <v>42979</v>
      </c>
      <c r="C15" s="37">
        <f>IF((VLOOKUP(B15,'DB PMI Manufacturing World'!$A:$AA,MATCH($C$1,'DB PMI Manufacturing World'!$A$1:$AA$1,),))=0,#N/A, (VLOOKUP(B15,'DB PMI Manufacturing World'!$A:$AA,MATCH($C$1,'DB PMI Manufacturing World'!$A$1:$AA$1,),)))</f>
        <v>53.3</v>
      </c>
      <c r="D15" s="37">
        <f>IF((VLOOKUP(B15,'DB PMI Manufacturing World'!$A:$AA,MATCH($D$1,'DB PMI Manufacturing World'!$A$1:$AA$1,),))=0,#N/A, (VLOOKUP(B15,'DB PMI Manufacturing World'!$A:$AA,MATCH($D$1,'DB PMI Manufacturing World'!$A$1:$AA$1,),)))</f>
        <v>60.2</v>
      </c>
      <c r="E15" s="37">
        <f>IF((VLOOKUP(B15,'DB PMI Manufacturing World'!$A:$AA,MATCH($E$1,'DB PMI Manufacturing World'!$A$1:$AA$1,),))=0,#N/A, (VLOOKUP(B15,'DB PMI Manufacturing World'!$A:$AA,MATCH($E$1,'DB PMI Manufacturing World'!$A$1:$AA$1,),)))</f>
        <v>53.1</v>
      </c>
      <c r="F15" s="37">
        <f>IF((VLOOKUP(B15,'DB PMI Manufacturing World'!$A:$AA,MATCH($F$1,'DB PMI Manufacturing World'!$A$1:$AA$1,),))=0,#N/A, (VLOOKUP(B15,'DB PMI Manufacturing World'!$A:$AA,MATCH($F$1,'DB PMI Manufacturing World'!$A$1:$AA$1,),)))</f>
        <v>51</v>
      </c>
      <c r="G15" s="37">
        <f>IF((VLOOKUP(B15,'DB PMI Manufacturing World'!$A:$AA,MATCH($G$1,'DB PMI Manufacturing World'!$A$1:$AA$1,),))=0,#N/A, (VLOOKUP(B15,'DB PMI Manufacturing World'!$A:$AA,MATCH($G$1,'DB PMI Manufacturing World'!$A$1:$AA$1,),)))</f>
        <v>58.1</v>
      </c>
      <c r="H15" s="37">
        <f>IF((VLOOKUP(B15,'DB PMI Manufacturing World'!$A:$AA,MATCH($H$1,'DB PMI Manufacturing World'!$A$1:$AA$1,),))=0,#N/A, (VLOOKUP(B15,'DB PMI Manufacturing World'!$A:$AA,MATCH($H$1,'DB PMI Manufacturing World'!$A$1:$AA$1,),)))</f>
        <v>52.9</v>
      </c>
      <c r="I15" s="37">
        <f>IF((VLOOKUP(B15,'DB PMI Manufacturing World'!$A:$AA,MATCH($I$1,'DB PMI Manufacturing World'!$A$1:$AA$1,),))=0,#N/A, (VLOOKUP(B15,'DB PMI Manufacturing World'!$A:$AA,MATCH($I$1,'DB PMI Manufacturing World'!$A$1:$AA$1,),)))</f>
        <v>60.6</v>
      </c>
      <c r="J15" s="37">
        <f>IF((VLOOKUP(B15,'DB PMI Manufacturing World'!$A:$AA,MATCH($J$1,'DB PMI Manufacturing World'!$A$1:$AA$1,),))=0,#N/A, (VLOOKUP(B15,'DB PMI Manufacturing World'!$A:$AA,MATCH($J$1,'DB PMI Manufacturing World'!$A$1:$AA$1,),)))</f>
        <v>56.1</v>
      </c>
      <c r="K15" s="37">
        <f>IF((VLOOKUP(B15,'DB PMI Manufacturing World'!$A:$AA,MATCH($K$1,'DB PMI Manufacturing World'!$A$1:$AA$1,),))=0,#N/A, (VLOOKUP(B15,'DB PMI Manufacturing World'!$A:$AA,MATCH($K$1,'DB PMI Manufacturing World'!$A$1:$AA$1,),)))</f>
        <v>56</v>
      </c>
      <c r="L15" s="37">
        <f>IF((VLOOKUP(B15,'DB PMI Manufacturing World'!$A:$AA,MATCH($L$1,'DB PMI Manufacturing World'!$A$1:$AA$1,),))=0,#N/A, (VLOOKUP(B15,'DB PMI Manufacturing World'!$A:$AA,MATCH($L$1,'DB PMI Manufacturing World'!$A$1:$AA$1,),)))</f>
        <v>56.3</v>
      </c>
      <c r="M15" s="37">
        <f>IF((VLOOKUP(B15,'DB PMI Manufacturing World'!$A:$AA,MATCH($M$1,'DB PMI Manufacturing World'!$A$1:$AA$1,),))=0,#N/A, (VLOOKUP(B15,'DB PMI Manufacturing World'!$A:$AA,MATCH($M$1,'DB PMI Manufacturing World'!$A$1:$AA$1,),)))</f>
        <v>54.3</v>
      </c>
      <c r="N15" s="37">
        <f>IF((VLOOKUP(B15,'DB PMI Manufacturing World'!$A:$AA,MATCH($N$1,'DB PMI Manufacturing World'!$A$1:$AA$1,),))=0,#N/A, (VLOOKUP(B15,'DB PMI Manufacturing World'!$A:$AA,MATCH($N$1,'DB PMI Manufacturing World'!$A$1:$AA$1,),)))</f>
        <v>50.9</v>
      </c>
      <c r="O15" s="37">
        <f>IF((VLOOKUP(B15,'DB PMI Manufacturing World'!$A:$AA,MATCH($O$1,'DB PMI Manufacturing World'!$A$1:$AA$1,),))=0,#N/A, (VLOOKUP(B15,'DB PMI Manufacturing World'!$A:$AA,MATCH($O$1,'DB PMI Manufacturing World'!$A$1:$AA$1,),)))</f>
        <v>52.8</v>
      </c>
      <c r="P15" s="37">
        <f>IF((VLOOKUP(B15,'DB PMI Manufacturing World'!$A:$AA,MATCH($P$1,'DB PMI Manufacturing World'!$A$1:$AA$1,),))=0,#N/A, (VLOOKUP(B15,'DB PMI Manufacturing World'!$A:$AA,MATCH($P$1,'DB PMI Manufacturing World'!$A$1:$AA$1,),)))</f>
        <v>51.9</v>
      </c>
      <c r="Q15" s="37">
        <f>IF((VLOOKUP(B15,'DB PMI Manufacturing World'!$A:$AA,MATCH($Q$1,'DB PMI Manufacturing World'!$A$1:$AA$1,),))=0,#N/A, (VLOOKUP(B15,'DB PMI Manufacturing World'!$A:$AA,MATCH($Q$1,'DB PMI Manufacturing World'!$A$1:$AA$1,),)))</f>
        <v>51.2</v>
      </c>
      <c r="R15" s="37">
        <f>IF((VLOOKUP(B15,'DB PMI Manufacturing World'!$A:$AA,MATCH($R$1,'DB PMI Manufacturing World'!$A$1:$AA$1,),))=0,#N/A, (VLOOKUP(B15,'DB PMI Manufacturing World'!$A:$AA,MATCH($R$1,'DB PMI Manufacturing World'!$A$1:$AA$1,),)))</f>
        <v>55</v>
      </c>
      <c r="S15" s="37">
        <f>IF((VLOOKUP(B15,'DB PMI Manufacturing World'!$A:$AA,MATCH($S$1,'DB PMI Manufacturing World'!$A$1:$AA$1,),))=0,#N/A, (VLOOKUP(B15,'DB PMI Manufacturing World'!$A:$AA,MATCH($S$1,'DB PMI Manufacturing World'!$A$1:$AA$1,),)))</f>
        <v>54.2</v>
      </c>
      <c r="T15" s="37">
        <f>IF((VLOOKUP(B15,'DB PMI Manufacturing World'!$A:$AA,MATCH($T$1,'DB PMI Manufacturing World'!$A$1:$AA$1,),))=0,#N/A, (VLOOKUP(B15,'DB PMI Manufacturing World'!$A:$AA,MATCH($T$1,'DB PMI Manufacturing World'!$A$1:$AA$1,),)))</f>
        <v>50.4</v>
      </c>
      <c r="U15" s="37">
        <f>IF((VLOOKUP(B15,'DB PMI Manufacturing World'!$A:$AA,MATCH($U$1,'DB PMI Manufacturing World'!$A$1:$AA$1,),))=0,#N/A, (VLOOKUP(B15,'DB PMI Manufacturing World'!$A:$AA,MATCH($U$1,'DB PMI Manufacturing World'!$A$1:$AA$1,),)))</f>
        <v>50.6</v>
      </c>
      <c r="V15" s="37">
        <f>IF((VLOOKUP(B15,'DB PMI Manufacturing World'!$A:$AA,MATCH($V$1,'DB PMI Manufacturing World'!$A$1:$AA$1,),))=0,#N/A, (VLOOKUP(B15,'DB PMI Manufacturing World'!$A:$AA,MATCH($V$1,'DB PMI Manufacturing World'!$A$1:$AA$1,),)))</f>
        <v>54.2</v>
      </c>
      <c r="W15" s="37">
        <f>IF((VLOOKUP(B15,'DB PMI Manufacturing World'!$A:$AA,MATCH($W$1,'DB PMI Manufacturing World'!$A$1:$AA$1,),))=0,#N/A, (VLOOKUP(B15,'DB PMI Manufacturing World'!$A:$AA,MATCH($W$1,'DB PMI Manufacturing World'!$A$1:$AA$1,),)))</f>
        <v>52.8</v>
      </c>
      <c r="X15" s="37">
        <f>IF((VLOOKUP(B15,'DB PMI Manufacturing World'!$A:$AA,MATCH($X$1,'DB PMI Manufacturing World'!$A$1:$AA$1,),))=0,#N/A, (VLOOKUP(B15,'DB PMI Manufacturing World'!$A:$AA,MATCH($X$1,'DB PMI Manufacturing World'!$A$1:$AA$1,),)))</f>
        <v>55.4</v>
      </c>
      <c r="Y15" s="37">
        <f>IF((VLOOKUP(B15,'DB PMI Manufacturing World'!$A:$AA,MATCH($Y$1,'DB PMI Manufacturing World'!$A$1:$AA$1,),))=0,#N/A, (VLOOKUP(B15,'DB PMI Manufacturing World'!$A:$AA,MATCH($Y$1,'DB PMI Manufacturing World'!$A$1:$AA$1,),)))</f>
        <v>53.5</v>
      </c>
      <c r="Z15" s="37">
        <f>IF((VLOOKUP(B15,'DB PMI Manufacturing World'!$A:$AA,MATCH($Z$1,'DB PMI Manufacturing World'!$A$1:$AA$1,),))=0,#N/A, (VLOOKUP(B15,'DB PMI Manufacturing World'!$A:$AA,MATCH($Z$1,'DB PMI Manufacturing World'!$A$1:$AA$1,),)))</f>
        <v>56.6</v>
      </c>
      <c r="AA15" s="37">
        <f>IF((VLOOKUP(B15,'DB PMI Manufacturing World'!$A:$AA,MATCH($AA$1,'DB PMI Manufacturing World'!$A$1:$AA$1,),))=0,#N/A, (VLOOKUP(B15,'DB PMI Manufacturing World'!$A:$AA,MATCH($AA$1,'DB PMI Manufacturing World'!$A$1:$AA$1,),)))</f>
        <v>53.7</v>
      </c>
      <c r="AB15" s="37">
        <f>IF((VLOOKUP(B15,'DB PMI Manufacturing World'!$A:$AA,MATCH($AB$1,'DB PMI Manufacturing World'!$A$1:$AA$1,),))=0,#N/A, (VLOOKUP(B15,'DB PMI Manufacturing World'!$A:$AA,MATCH($AB$1,'DB PMI Manufacturing World'!$A$1:$AA$1,),)))</f>
        <v>61.78</v>
      </c>
    </row>
    <row r="16" spans="2:36" x14ac:dyDescent="0.35">
      <c r="B16" s="29">
        <v>43009</v>
      </c>
      <c r="C16" s="37">
        <f>IF((VLOOKUP(B16,'DB PMI Manufacturing World'!$A:$AA,MATCH($C$1,'DB PMI Manufacturing World'!$A$1:$AA$1,),))=0,#N/A, (VLOOKUP(B16,'DB PMI Manufacturing World'!$A:$AA,MATCH($C$1,'DB PMI Manufacturing World'!$A$1:$AA$1,),)))</f>
        <v>53.5</v>
      </c>
      <c r="D16" s="37">
        <f>IF((VLOOKUP(B16,'DB PMI Manufacturing World'!$A:$AA,MATCH($D$1,'DB PMI Manufacturing World'!$A$1:$AA$1,),))=0,#N/A, (VLOOKUP(B16,'DB PMI Manufacturing World'!$A:$AA,MATCH($D$1,'DB PMI Manufacturing World'!$A$1:$AA$1,),)))</f>
        <v>58.5</v>
      </c>
      <c r="E16" s="37">
        <f>IF((VLOOKUP(B16,'DB PMI Manufacturing World'!$A:$AA,MATCH($E$1,'DB PMI Manufacturing World'!$A$1:$AA$1,),))=0,#N/A, (VLOOKUP(B16,'DB PMI Manufacturing World'!$A:$AA,MATCH($E$1,'DB PMI Manufacturing World'!$A$1:$AA$1,),)))</f>
        <v>54.6</v>
      </c>
      <c r="F16" s="37">
        <f>IF((VLOOKUP(B16,'DB PMI Manufacturing World'!$A:$AA,MATCH($F$1,'DB PMI Manufacturing World'!$A$1:$AA$1,),))=0,#N/A, (VLOOKUP(B16,'DB PMI Manufacturing World'!$A:$AA,MATCH($F$1,'DB PMI Manufacturing World'!$A$1:$AA$1,),)))</f>
        <v>51</v>
      </c>
      <c r="G16" s="37">
        <f>IF((VLOOKUP(B16,'DB PMI Manufacturing World'!$A:$AA,MATCH($G$1,'DB PMI Manufacturing World'!$A$1:$AA$1,),))=0,#N/A, (VLOOKUP(B16,'DB PMI Manufacturing World'!$A:$AA,MATCH($G$1,'DB PMI Manufacturing World'!$A$1:$AA$1,),)))</f>
        <v>58.5</v>
      </c>
      <c r="H16" s="37">
        <f>IF((VLOOKUP(B16,'DB PMI Manufacturing World'!$A:$AA,MATCH($H$1,'DB PMI Manufacturing World'!$A$1:$AA$1,),))=0,#N/A, (VLOOKUP(B16,'DB PMI Manufacturing World'!$A:$AA,MATCH($H$1,'DB PMI Manufacturing World'!$A$1:$AA$1,),)))</f>
        <v>52.8</v>
      </c>
      <c r="I16" s="37">
        <f>IF((VLOOKUP(B16,'DB PMI Manufacturing World'!$A:$AA,MATCH($I$1,'DB PMI Manufacturing World'!$A$1:$AA$1,),))=0,#N/A, (VLOOKUP(B16,'DB PMI Manufacturing World'!$A:$AA,MATCH($I$1,'DB PMI Manufacturing World'!$A$1:$AA$1,),)))</f>
        <v>60.6</v>
      </c>
      <c r="J16" s="37">
        <f>IF((VLOOKUP(B16,'DB PMI Manufacturing World'!$A:$AA,MATCH($J$1,'DB PMI Manufacturing World'!$A$1:$AA$1,),))=0,#N/A, (VLOOKUP(B16,'DB PMI Manufacturing World'!$A:$AA,MATCH($J$1,'DB PMI Manufacturing World'!$A$1:$AA$1,),)))</f>
        <v>56.1</v>
      </c>
      <c r="K16" s="37">
        <f>IF((VLOOKUP(B16,'DB PMI Manufacturing World'!$A:$AA,MATCH($K$1,'DB PMI Manufacturing World'!$A$1:$AA$1,),))=0,#N/A, (VLOOKUP(B16,'DB PMI Manufacturing World'!$A:$AA,MATCH($K$1,'DB PMI Manufacturing World'!$A$1:$AA$1,),)))</f>
        <v>56.2</v>
      </c>
      <c r="L16" s="37">
        <f>IF((VLOOKUP(B16,'DB PMI Manufacturing World'!$A:$AA,MATCH($L$1,'DB PMI Manufacturing World'!$A$1:$AA$1,),))=0,#N/A, (VLOOKUP(B16,'DB PMI Manufacturing World'!$A:$AA,MATCH($L$1,'DB PMI Manufacturing World'!$A$1:$AA$1,),)))</f>
        <v>57.8</v>
      </c>
      <c r="M16" s="37">
        <f>IF((VLOOKUP(B16,'DB PMI Manufacturing World'!$A:$AA,MATCH($M$1,'DB PMI Manufacturing World'!$A$1:$AA$1,),))=0,#N/A, (VLOOKUP(B16,'DB PMI Manufacturing World'!$A:$AA,MATCH($M$1,'DB PMI Manufacturing World'!$A$1:$AA$1,),)))</f>
        <v>55.8</v>
      </c>
      <c r="N16" s="37">
        <f>IF((VLOOKUP(B16,'DB PMI Manufacturing World'!$A:$AA,MATCH($N$1,'DB PMI Manufacturing World'!$A$1:$AA$1,),))=0,#N/A, (VLOOKUP(B16,'DB PMI Manufacturing World'!$A:$AA,MATCH($N$1,'DB PMI Manufacturing World'!$A$1:$AA$1,),)))</f>
        <v>51.2</v>
      </c>
      <c r="O16" s="37">
        <f>IF((VLOOKUP(B16,'DB PMI Manufacturing World'!$A:$AA,MATCH($O$1,'DB PMI Manufacturing World'!$A$1:$AA$1,),))=0,#N/A, (VLOOKUP(B16,'DB PMI Manufacturing World'!$A:$AA,MATCH($O$1,'DB PMI Manufacturing World'!$A$1:$AA$1,),)))</f>
        <v>49.2</v>
      </c>
      <c r="P16" s="37">
        <f>IF((VLOOKUP(B16,'DB PMI Manufacturing World'!$A:$AA,MATCH($P$1,'DB PMI Manufacturing World'!$A$1:$AA$1,),))=0,#N/A, (VLOOKUP(B16,'DB PMI Manufacturing World'!$A:$AA,MATCH($P$1,'DB PMI Manufacturing World'!$A$1:$AA$1,),)))</f>
        <v>51.1</v>
      </c>
      <c r="Q16" s="37">
        <f>IF((VLOOKUP(B16,'DB PMI Manufacturing World'!$A:$AA,MATCH($Q$1,'DB PMI Manufacturing World'!$A$1:$AA$1,),))=0,#N/A, (VLOOKUP(B16,'DB PMI Manufacturing World'!$A:$AA,MATCH($Q$1,'DB PMI Manufacturing World'!$A$1:$AA$1,),)))</f>
        <v>50.3</v>
      </c>
      <c r="R16" s="37">
        <f>IF((VLOOKUP(B16,'DB PMI Manufacturing World'!$A:$AA,MATCH($R$1,'DB PMI Manufacturing World'!$A$1:$AA$1,),))=0,#N/A, (VLOOKUP(B16,'DB PMI Manufacturing World'!$A:$AA,MATCH($R$1,'DB PMI Manufacturing World'!$A$1:$AA$1,),)))</f>
        <v>54.3</v>
      </c>
      <c r="S16" s="37">
        <f>IF((VLOOKUP(B16,'DB PMI Manufacturing World'!$A:$AA,MATCH($S$1,'DB PMI Manufacturing World'!$A$1:$AA$1,),))=0,#N/A, (VLOOKUP(B16,'DB PMI Manufacturing World'!$A:$AA,MATCH($S$1,'DB PMI Manufacturing World'!$A$1:$AA$1,),)))</f>
        <v>51.1</v>
      </c>
      <c r="T16" s="37">
        <f>IF((VLOOKUP(B16,'DB PMI Manufacturing World'!$A:$AA,MATCH($T$1,'DB PMI Manufacturing World'!$A$1:$AA$1,),))=0,#N/A, (VLOOKUP(B16,'DB PMI Manufacturing World'!$A:$AA,MATCH($T$1,'DB PMI Manufacturing World'!$A$1:$AA$1,),)))</f>
        <v>50.1</v>
      </c>
      <c r="U16" s="37">
        <f>IF((VLOOKUP(B16,'DB PMI Manufacturing World'!$A:$AA,MATCH($U$1,'DB PMI Manufacturing World'!$A$1:$AA$1,),))=0,#N/A, (VLOOKUP(B16,'DB PMI Manufacturing World'!$A:$AA,MATCH($U$1,'DB PMI Manufacturing World'!$A$1:$AA$1,),)))</f>
        <v>50.2</v>
      </c>
      <c r="V16" s="37">
        <f>IF((VLOOKUP(B16,'DB PMI Manufacturing World'!$A:$AA,MATCH($V$1,'DB PMI Manufacturing World'!$A$1:$AA$1,),))=0,#N/A, (VLOOKUP(B16,'DB PMI Manufacturing World'!$A:$AA,MATCH($V$1,'DB PMI Manufacturing World'!$A$1:$AA$1,),)))</f>
        <v>53.6</v>
      </c>
      <c r="W16" s="37">
        <f>IF((VLOOKUP(B16,'DB PMI Manufacturing World'!$A:$AA,MATCH($W$1,'DB PMI Manufacturing World'!$A$1:$AA$1,),))=0,#N/A, (VLOOKUP(B16,'DB PMI Manufacturing World'!$A:$AA,MATCH($W$1,'DB PMI Manufacturing World'!$A$1:$AA$1,),)))</f>
        <v>52.1</v>
      </c>
      <c r="X16" s="37">
        <f>IF((VLOOKUP(B16,'DB PMI Manufacturing World'!$A:$AA,MATCH($X$1,'DB PMI Manufacturing World'!$A$1:$AA$1,),))=0,#N/A, (VLOOKUP(B16,'DB PMI Manufacturing World'!$A:$AA,MATCH($X$1,'DB PMI Manufacturing World'!$A$1:$AA$1,),)))</f>
        <v>54.4</v>
      </c>
      <c r="Y16" s="37">
        <f>IF((VLOOKUP(B16,'DB PMI Manufacturing World'!$A:$AA,MATCH($Y$1,'DB PMI Manufacturing World'!$A$1:$AA$1,),))=0,#N/A, (VLOOKUP(B16,'DB PMI Manufacturing World'!$A:$AA,MATCH($Y$1,'DB PMI Manufacturing World'!$A$1:$AA$1,),)))</f>
        <v>52.8</v>
      </c>
      <c r="Z16" s="37">
        <f>IF((VLOOKUP(B16,'DB PMI Manufacturing World'!$A:$AA,MATCH($Z$1,'DB PMI Manufacturing World'!$A$1:$AA$1,),))=0,#N/A, (VLOOKUP(B16,'DB PMI Manufacturing World'!$A:$AA,MATCH($Z$1,'DB PMI Manufacturing World'!$A$1:$AA$1,),)))</f>
        <v>58.5</v>
      </c>
      <c r="AA16" s="37">
        <f>IF((VLOOKUP(B16,'DB PMI Manufacturing World'!$A:$AA,MATCH($AA$1,'DB PMI Manufacturing World'!$A$1:$AA$1,),))=0,#N/A, (VLOOKUP(B16,'DB PMI Manufacturing World'!$A:$AA,MATCH($AA$1,'DB PMI Manufacturing World'!$A$1:$AA$1,),)))</f>
        <v>53.4</v>
      </c>
      <c r="AB16" s="37">
        <f>IF((VLOOKUP(B16,'DB PMI Manufacturing World'!$A:$AA,MATCH($AB$1,'DB PMI Manufacturing World'!$A$1:$AA$1,),))=0,#N/A, (VLOOKUP(B16,'DB PMI Manufacturing World'!$A:$AA,MATCH($AB$1,'DB PMI Manufacturing World'!$A$1:$AA$1,),)))</f>
        <v>58.57</v>
      </c>
    </row>
    <row r="17" spans="2:28" x14ac:dyDescent="0.35">
      <c r="B17" s="29">
        <v>43040</v>
      </c>
      <c r="C17" s="37">
        <f>IF((VLOOKUP(B17,'DB PMI Manufacturing World'!$A:$AA,MATCH($C$1,'DB PMI Manufacturing World'!$A$1:$AA$1,),))=0,#N/A, (VLOOKUP(B17,'DB PMI Manufacturing World'!$A:$AA,MATCH($C$1,'DB PMI Manufacturing World'!$A$1:$AA$1,),)))</f>
        <v>54.1</v>
      </c>
      <c r="D17" s="37">
        <f>IF((VLOOKUP(B17,'DB PMI Manufacturing World'!$A:$AA,MATCH($D$1,'DB PMI Manufacturing World'!$A$1:$AA$1,),))=0,#N/A, (VLOOKUP(B17,'DB PMI Manufacturing World'!$A:$AA,MATCH($D$1,'DB PMI Manufacturing World'!$A$1:$AA$1,),)))</f>
        <v>58.2</v>
      </c>
      <c r="E17" s="37">
        <f>IF((VLOOKUP(B17,'DB PMI Manufacturing World'!$A:$AA,MATCH($E$1,'DB PMI Manufacturing World'!$A$1:$AA$1,),))=0,#N/A, (VLOOKUP(B17,'DB PMI Manufacturing World'!$A:$AA,MATCH($E$1,'DB PMI Manufacturing World'!$A$1:$AA$1,),)))</f>
        <v>53.9</v>
      </c>
      <c r="F17" s="37">
        <f>IF((VLOOKUP(B17,'DB PMI Manufacturing World'!$A:$AA,MATCH($F$1,'DB PMI Manufacturing World'!$A$1:$AA$1,),))=0,#N/A, (VLOOKUP(B17,'DB PMI Manufacturing World'!$A:$AA,MATCH($F$1,'DB PMI Manufacturing World'!$A$1:$AA$1,),)))</f>
        <v>50.8</v>
      </c>
      <c r="G17" s="37">
        <f>IF((VLOOKUP(B17,'DB PMI Manufacturing World'!$A:$AA,MATCH($G$1,'DB PMI Manufacturing World'!$A$1:$AA$1,),))=0,#N/A, (VLOOKUP(B17,'DB PMI Manufacturing World'!$A:$AA,MATCH($G$1,'DB PMI Manufacturing World'!$A$1:$AA$1,),)))</f>
        <v>60.1</v>
      </c>
      <c r="H17" s="37">
        <f>IF((VLOOKUP(B17,'DB PMI Manufacturing World'!$A:$AA,MATCH($H$1,'DB PMI Manufacturing World'!$A$1:$AA$1,),))=0,#N/A, (VLOOKUP(B17,'DB PMI Manufacturing World'!$A:$AA,MATCH($H$1,'DB PMI Manufacturing World'!$A$1:$AA$1,),)))</f>
        <v>53.6</v>
      </c>
      <c r="I17" s="37">
        <f>IF((VLOOKUP(B17,'DB PMI Manufacturing World'!$A:$AA,MATCH($I$1,'DB PMI Manufacturing World'!$A$1:$AA$1,),))=0,#N/A, (VLOOKUP(B17,'DB PMI Manufacturing World'!$A:$AA,MATCH($I$1,'DB PMI Manufacturing World'!$A$1:$AA$1,),)))</f>
        <v>62.5</v>
      </c>
      <c r="J17" s="37">
        <f>IF((VLOOKUP(B17,'DB PMI Manufacturing World'!$A:$AA,MATCH($J$1,'DB PMI Manufacturing World'!$A$1:$AA$1,),))=0,#N/A, (VLOOKUP(B17,'DB PMI Manufacturing World'!$A:$AA,MATCH($J$1,'DB PMI Manufacturing World'!$A$1:$AA$1,),)))</f>
        <v>57.7</v>
      </c>
      <c r="K17" s="37">
        <f>IF((VLOOKUP(B17,'DB PMI Manufacturing World'!$A:$AA,MATCH($K$1,'DB PMI Manufacturing World'!$A$1:$AA$1,),))=0,#N/A, (VLOOKUP(B17,'DB PMI Manufacturing World'!$A:$AA,MATCH($K$1,'DB PMI Manufacturing World'!$A$1:$AA$1,),)))</f>
        <v>58.3</v>
      </c>
      <c r="L17" s="37">
        <f>IF((VLOOKUP(B17,'DB PMI Manufacturing World'!$A:$AA,MATCH($L$1,'DB PMI Manufacturing World'!$A$1:$AA$1,),))=0,#N/A, (VLOOKUP(B17,'DB PMI Manufacturing World'!$A:$AA,MATCH($L$1,'DB PMI Manufacturing World'!$A$1:$AA$1,),)))</f>
        <v>58.3</v>
      </c>
      <c r="M17" s="37">
        <f>IF((VLOOKUP(B17,'DB PMI Manufacturing World'!$A:$AA,MATCH($M$1,'DB PMI Manufacturing World'!$A$1:$AA$1,),))=0,#N/A, (VLOOKUP(B17,'DB PMI Manufacturing World'!$A:$AA,MATCH($M$1,'DB PMI Manufacturing World'!$A$1:$AA$1,),)))</f>
        <v>56.1</v>
      </c>
      <c r="N17" s="37">
        <f>IF((VLOOKUP(B17,'DB PMI Manufacturing World'!$A:$AA,MATCH($N$1,'DB PMI Manufacturing World'!$A$1:$AA$1,),))=0,#N/A, (VLOOKUP(B17,'DB PMI Manufacturing World'!$A:$AA,MATCH($N$1,'DB PMI Manufacturing World'!$A$1:$AA$1,),)))</f>
        <v>53.5</v>
      </c>
      <c r="O17" s="37">
        <f>IF((VLOOKUP(B17,'DB PMI Manufacturing World'!$A:$AA,MATCH($O$1,'DB PMI Manufacturing World'!$A$1:$AA$1,),))=0,#N/A, (VLOOKUP(B17,'DB PMI Manufacturing World'!$A:$AA,MATCH($O$1,'DB PMI Manufacturing World'!$A$1:$AA$1,),)))</f>
        <v>52.4</v>
      </c>
      <c r="P17" s="37">
        <f>IF((VLOOKUP(B17,'DB PMI Manufacturing World'!$A:$AA,MATCH($P$1,'DB PMI Manufacturing World'!$A$1:$AA$1,),))=0,#N/A, (VLOOKUP(B17,'DB PMI Manufacturing World'!$A:$AA,MATCH($P$1,'DB PMI Manufacturing World'!$A$1:$AA$1,),)))</f>
        <v>51.5</v>
      </c>
      <c r="Q17" s="37">
        <f>IF((VLOOKUP(B17,'DB PMI Manufacturing World'!$A:$AA,MATCH($Q$1,'DB PMI Manufacturing World'!$A$1:$AA$1,),))=0,#N/A, (VLOOKUP(B17,'DB PMI Manufacturing World'!$A:$AA,MATCH($Q$1,'DB PMI Manufacturing World'!$A$1:$AA$1,),)))</f>
        <v>52.6</v>
      </c>
      <c r="R17" s="37">
        <f>IF((VLOOKUP(B17,'DB PMI Manufacturing World'!$A:$AA,MATCH($R$1,'DB PMI Manufacturing World'!$A$1:$AA$1,),))=0,#N/A, (VLOOKUP(B17,'DB PMI Manufacturing World'!$A:$AA,MATCH($R$1,'DB PMI Manufacturing World'!$A$1:$AA$1,),)))</f>
        <v>54.4</v>
      </c>
      <c r="S17" s="37">
        <f>IF((VLOOKUP(B17,'DB PMI Manufacturing World'!$A:$AA,MATCH($S$1,'DB PMI Manufacturing World'!$A$1:$AA$1,),))=0,#N/A, (VLOOKUP(B17,'DB PMI Manufacturing World'!$A:$AA,MATCH($S$1,'DB PMI Manufacturing World'!$A$1:$AA$1,),)))</f>
        <v>57.3</v>
      </c>
      <c r="T17" s="37">
        <f>IF((VLOOKUP(B17,'DB PMI Manufacturing World'!$A:$AA,MATCH($T$1,'DB PMI Manufacturing World'!$A$1:$AA$1,),))=0,#N/A, (VLOOKUP(B17,'DB PMI Manufacturing World'!$A:$AA,MATCH($T$1,'DB PMI Manufacturing World'!$A$1:$AA$1,),)))</f>
        <v>50.4</v>
      </c>
      <c r="U17" s="37">
        <f>IF((VLOOKUP(B17,'DB PMI Manufacturing World'!$A:$AA,MATCH($U$1,'DB PMI Manufacturing World'!$A$1:$AA$1,),))=0,#N/A, (VLOOKUP(B17,'DB PMI Manufacturing World'!$A:$AA,MATCH($U$1,'DB PMI Manufacturing World'!$A$1:$AA$1,),)))</f>
        <v>51.2</v>
      </c>
      <c r="V17" s="37">
        <f>IF((VLOOKUP(B17,'DB PMI Manufacturing World'!$A:$AA,MATCH($V$1,'DB PMI Manufacturing World'!$A$1:$AA$1,),))=0,#N/A, (VLOOKUP(B17,'DB PMI Manufacturing World'!$A:$AA,MATCH($V$1,'DB PMI Manufacturing World'!$A$1:$AA$1,),)))</f>
        <v>56.3</v>
      </c>
      <c r="W17" s="37">
        <f>IF((VLOOKUP(B17,'DB PMI Manufacturing World'!$A:$AA,MATCH($W$1,'DB PMI Manufacturing World'!$A$1:$AA$1,),))=0,#N/A, (VLOOKUP(B17,'DB PMI Manufacturing World'!$A:$AA,MATCH($W$1,'DB PMI Manufacturing World'!$A$1:$AA$1,),)))</f>
        <v>52.2</v>
      </c>
      <c r="X17" s="37">
        <f>IF((VLOOKUP(B17,'DB PMI Manufacturing World'!$A:$AA,MATCH($X$1,'DB PMI Manufacturing World'!$A$1:$AA$1,),))=0,#N/A, (VLOOKUP(B17,'DB PMI Manufacturing World'!$A:$AA,MATCH($X$1,'DB PMI Manufacturing World'!$A$1:$AA$1,),)))</f>
        <v>58.1</v>
      </c>
      <c r="Y17" s="37">
        <f>IF((VLOOKUP(B17,'DB PMI Manufacturing World'!$A:$AA,MATCH($Y$1,'DB PMI Manufacturing World'!$A$1:$AA$1,),))=0,#N/A, (VLOOKUP(B17,'DB PMI Manufacturing World'!$A:$AA,MATCH($Y$1,'DB PMI Manufacturing World'!$A$1:$AA$1,),)))</f>
        <v>52.9</v>
      </c>
      <c r="Z17" s="37">
        <f>IF((VLOOKUP(B17,'DB PMI Manufacturing World'!$A:$AA,MATCH($Z$1,'DB PMI Manufacturing World'!$A$1:$AA$1,),))=0,#N/A, (VLOOKUP(B17,'DB PMI Manufacturing World'!$A:$AA,MATCH($Z$1,'DB PMI Manufacturing World'!$A$1:$AA$1,),)))</f>
        <v>58.7</v>
      </c>
      <c r="AA17" s="37">
        <f>IF((VLOOKUP(B17,'DB PMI Manufacturing World'!$A:$AA,MATCH($AA$1,'DB PMI Manufacturing World'!$A$1:$AA$1,),))=0,#N/A, (VLOOKUP(B17,'DB PMI Manufacturing World'!$A:$AA,MATCH($AA$1,'DB PMI Manufacturing World'!$A$1:$AA$1,),)))</f>
        <v>54.2</v>
      </c>
      <c r="AB17" s="37">
        <f>IF((VLOOKUP(B17,'DB PMI Manufacturing World'!$A:$AA,MATCH($AB$1,'DB PMI Manufacturing World'!$A$1:$AA$1,),))=0,#N/A, (VLOOKUP(B17,'DB PMI Manufacturing World'!$A:$AA,MATCH($AB$1,'DB PMI Manufacturing World'!$A$1:$AA$1,),)))</f>
        <v>58.31</v>
      </c>
    </row>
    <row r="18" spans="2:28" x14ac:dyDescent="0.35">
      <c r="B18" s="29">
        <v>43070</v>
      </c>
      <c r="C18" s="37">
        <f>IF((VLOOKUP(B18,'DB PMI Manufacturing World'!$A:$AA,MATCH($C$1,'DB PMI Manufacturing World'!$A$1:$AA$1,),))=0,#N/A, (VLOOKUP(B18,'DB PMI Manufacturing World'!$A:$AA,MATCH($C$1,'DB PMI Manufacturing World'!$A$1:$AA$1,),)))</f>
        <v>54.5</v>
      </c>
      <c r="D18" s="37">
        <f>IF((VLOOKUP(B18,'DB PMI Manufacturing World'!$A:$AA,MATCH($D$1,'DB PMI Manufacturing World'!$A$1:$AA$1,),))=0,#N/A, (VLOOKUP(B18,'DB PMI Manufacturing World'!$A:$AA,MATCH($D$1,'DB PMI Manufacturing World'!$A$1:$AA$1,),)))</f>
        <v>59.3</v>
      </c>
      <c r="E18" s="37">
        <f>IF((VLOOKUP(B18,'DB PMI Manufacturing World'!$A:$AA,MATCH($E$1,'DB PMI Manufacturing World'!$A$1:$AA$1,),))=0,#N/A, (VLOOKUP(B18,'DB PMI Manufacturing World'!$A:$AA,MATCH($E$1,'DB PMI Manufacturing World'!$A$1:$AA$1,),)))</f>
        <v>55.1</v>
      </c>
      <c r="F18" s="37">
        <f>IF((VLOOKUP(B18,'DB PMI Manufacturing World'!$A:$AA,MATCH($F$1,'DB PMI Manufacturing World'!$A$1:$AA$1,),))=0,#N/A, (VLOOKUP(B18,'DB PMI Manufacturing World'!$A:$AA,MATCH($F$1,'DB PMI Manufacturing World'!$A$1:$AA$1,),)))</f>
        <v>51.5</v>
      </c>
      <c r="G18" s="37">
        <f>IF((VLOOKUP(B18,'DB PMI Manufacturing World'!$A:$AA,MATCH($G$1,'DB PMI Manufacturing World'!$A$1:$AA$1,),))=0,#N/A, (VLOOKUP(B18,'DB PMI Manufacturing World'!$A:$AA,MATCH($G$1,'DB PMI Manufacturing World'!$A$1:$AA$1,),)))</f>
        <v>60.6</v>
      </c>
      <c r="H18" s="37">
        <f>IF((VLOOKUP(B18,'DB PMI Manufacturing World'!$A:$AA,MATCH($H$1,'DB PMI Manufacturing World'!$A$1:$AA$1,),))=0,#N/A, (VLOOKUP(B18,'DB PMI Manufacturing World'!$A:$AA,MATCH($H$1,'DB PMI Manufacturing World'!$A$1:$AA$1,),)))</f>
        <v>54</v>
      </c>
      <c r="I18" s="37">
        <f>IF((VLOOKUP(B18,'DB PMI Manufacturing World'!$A:$AA,MATCH($I$1,'DB PMI Manufacturing World'!$A$1:$AA$1,),))=0,#N/A, (VLOOKUP(B18,'DB PMI Manufacturing World'!$A:$AA,MATCH($I$1,'DB PMI Manufacturing World'!$A$1:$AA$1,),)))</f>
        <v>63.3</v>
      </c>
      <c r="J18" s="37">
        <f>IF((VLOOKUP(B18,'DB PMI Manufacturing World'!$A:$AA,MATCH($J$1,'DB PMI Manufacturing World'!$A$1:$AA$1,),))=0,#N/A, (VLOOKUP(B18,'DB PMI Manufacturing World'!$A:$AA,MATCH($J$1,'DB PMI Manufacturing World'!$A$1:$AA$1,),)))</f>
        <v>58.8</v>
      </c>
      <c r="K18" s="37">
        <f>IF((VLOOKUP(B18,'DB PMI Manufacturing World'!$A:$AA,MATCH($K$1,'DB PMI Manufacturing World'!$A$1:$AA$1,),))=0,#N/A, (VLOOKUP(B18,'DB PMI Manufacturing World'!$A:$AA,MATCH($K$1,'DB PMI Manufacturing World'!$A$1:$AA$1,),)))</f>
        <v>56</v>
      </c>
      <c r="L18" s="37">
        <f>IF((VLOOKUP(B18,'DB PMI Manufacturing World'!$A:$AA,MATCH($L$1,'DB PMI Manufacturing World'!$A$1:$AA$1,),))=0,#N/A, (VLOOKUP(B18,'DB PMI Manufacturing World'!$A:$AA,MATCH($L$1,'DB PMI Manufacturing World'!$A$1:$AA$1,),)))</f>
        <v>57.4</v>
      </c>
      <c r="M18" s="37">
        <f>IF((VLOOKUP(B18,'DB PMI Manufacturing World'!$A:$AA,MATCH($M$1,'DB PMI Manufacturing World'!$A$1:$AA$1,),))=0,#N/A, (VLOOKUP(B18,'DB PMI Manufacturing World'!$A:$AA,MATCH($M$1,'DB PMI Manufacturing World'!$A$1:$AA$1,),)))</f>
        <v>55.8</v>
      </c>
      <c r="N18" s="37">
        <f>IF((VLOOKUP(B18,'DB PMI Manufacturing World'!$A:$AA,MATCH($N$1,'DB PMI Manufacturing World'!$A$1:$AA$1,),))=0,#N/A, (VLOOKUP(B18,'DB PMI Manufacturing World'!$A:$AA,MATCH($N$1,'DB PMI Manufacturing World'!$A$1:$AA$1,),)))</f>
        <v>52.4</v>
      </c>
      <c r="O18" s="37">
        <f>IF((VLOOKUP(B18,'DB PMI Manufacturing World'!$A:$AA,MATCH($O$1,'DB PMI Manufacturing World'!$A$1:$AA$1,),))=0,#N/A, (VLOOKUP(B18,'DB PMI Manufacturing World'!$A:$AA,MATCH($O$1,'DB PMI Manufacturing World'!$A$1:$AA$1,),)))</f>
        <v>51.7</v>
      </c>
      <c r="P18" s="37">
        <f>IF((VLOOKUP(B18,'DB PMI Manufacturing World'!$A:$AA,MATCH($P$1,'DB PMI Manufacturing World'!$A$1:$AA$1,),))=0,#N/A, (VLOOKUP(B18,'DB PMI Manufacturing World'!$A:$AA,MATCH($P$1,'DB PMI Manufacturing World'!$A$1:$AA$1,),)))</f>
        <v>52</v>
      </c>
      <c r="Q18" s="37">
        <f>IF((VLOOKUP(B18,'DB PMI Manufacturing World'!$A:$AA,MATCH($Q$1,'DB PMI Manufacturing World'!$A$1:$AA$1,),))=0,#N/A, (VLOOKUP(B18,'DB PMI Manufacturing World'!$A:$AA,MATCH($Q$1,'DB PMI Manufacturing World'!$A$1:$AA$1,),)))</f>
        <v>54.7</v>
      </c>
      <c r="R18" s="37">
        <f>IF((VLOOKUP(B18,'DB PMI Manufacturing World'!$A:$AA,MATCH($R$1,'DB PMI Manufacturing World'!$A$1:$AA$1,),))=0,#N/A, (VLOOKUP(B18,'DB PMI Manufacturing World'!$A:$AA,MATCH($R$1,'DB PMI Manufacturing World'!$A$1:$AA$1,),)))</f>
        <v>54.7</v>
      </c>
      <c r="S18" s="37">
        <f>IF((VLOOKUP(B18,'DB PMI Manufacturing World'!$A:$AA,MATCH($S$1,'DB PMI Manufacturing World'!$A$1:$AA$1,),))=0,#N/A, (VLOOKUP(B18,'DB PMI Manufacturing World'!$A:$AA,MATCH($S$1,'DB PMI Manufacturing World'!$A$1:$AA$1,),)))</f>
        <v>56.2</v>
      </c>
      <c r="T18" s="37">
        <f>IF((VLOOKUP(B18,'DB PMI Manufacturing World'!$A:$AA,MATCH($T$1,'DB PMI Manufacturing World'!$A$1:$AA$1,),))=0,#N/A, (VLOOKUP(B18,'DB PMI Manufacturing World'!$A:$AA,MATCH($T$1,'DB PMI Manufacturing World'!$A$1:$AA$1,),)))</f>
        <v>49.3</v>
      </c>
      <c r="U18" s="37">
        <f>IF((VLOOKUP(B18,'DB PMI Manufacturing World'!$A:$AA,MATCH($U$1,'DB PMI Manufacturing World'!$A$1:$AA$1,),))=0,#N/A, (VLOOKUP(B18,'DB PMI Manufacturing World'!$A:$AA,MATCH($U$1,'DB PMI Manufacturing World'!$A$1:$AA$1,),)))</f>
        <v>49.9</v>
      </c>
      <c r="V18" s="37">
        <f>IF((VLOOKUP(B18,'DB PMI Manufacturing World'!$A:$AA,MATCH($V$1,'DB PMI Manufacturing World'!$A$1:$AA$1,),))=0,#N/A, (VLOOKUP(B18,'DB PMI Manufacturing World'!$A:$AA,MATCH($V$1,'DB PMI Manufacturing World'!$A$1:$AA$1,),)))</f>
        <v>56.6</v>
      </c>
      <c r="W18" s="37">
        <f>IF((VLOOKUP(B18,'DB PMI Manufacturing World'!$A:$AA,MATCH($W$1,'DB PMI Manufacturing World'!$A$1:$AA$1,),))=0,#N/A, (VLOOKUP(B18,'DB PMI Manufacturing World'!$A:$AA,MATCH($W$1,'DB PMI Manufacturing World'!$A$1:$AA$1,),)))</f>
        <v>53.1</v>
      </c>
      <c r="X18" s="37">
        <f>IF((VLOOKUP(B18,'DB PMI Manufacturing World'!$A:$AA,MATCH($X$1,'DB PMI Manufacturing World'!$A$1:$AA$1,),))=0,#N/A, (VLOOKUP(B18,'DB PMI Manufacturing World'!$A:$AA,MATCH($X$1,'DB PMI Manufacturing World'!$A$1:$AA$1,),)))</f>
        <v>59.1</v>
      </c>
      <c r="Y18" s="37">
        <f>IF((VLOOKUP(B18,'DB PMI Manufacturing World'!$A:$AA,MATCH($Y$1,'DB PMI Manufacturing World'!$A$1:$AA$1,),))=0,#N/A, (VLOOKUP(B18,'DB PMI Manufacturing World'!$A:$AA,MATCH($Y$1,'DB PMI Manufacturing World'!$A$1:$AA$1,),)))</f>
        <v>54.9</v>
      </c>
      <c r="Z18" s="37">
        <f>IF((VLOOKUP(B18,'DB PMI Manufacturing World'!$A:$AA,MATCH($Z$1,'DB PMI Manufacturing World'!$A$1:$AA$1,),))=0,#N/A, (VLOOKUP(B18,'DB PMI Manufacturing World'!$A:$AA,MATCH($Z$1,'DB PMI Manufacturing World'!$A$1:$AA$1,),)))</f>
        <v>59.8</v>
      </c>
      <c r="AA18" s="37">
        <f>IF((VLOOKUP(B18,'DB PMI Manufacturing World'!$A:$AA,MATCH($AA$1,'DB PMI Manufacturing World'!$A$1:$AA$1,),))=0,#N/A, (VLOOKUP(B18,'DB PMI Manufacturing World'!$A:$AA,MATCH($AA$1,'DB PMI Manufacturing World'!$A$1:$AA$1,),)))</f>
        <v>55</v>
      </c>
      <c r="AB18" s="37">
        <f>IF((VLOOKUP(B18,'DB PMI Manufacturing World'!$A:$AA,MATCH($AB$1,'DB PMI Manufacturing World'!$A$1:$AA$1,),))=0,#N/A, (VLOOKUP(B18,'DB PMI Manufacturing World'!$A:$AA,MATCH($AB$1,'DB PMI Manufacturing World'!$A$1:$AA$1,),)))</f>
        <v>61.04</v>
      </c>
    </row>
    <row r="19" spans="2:28" x14ac:dyDescent="0.35">
      <c r="B19" s="29">
        <v>43101</v>
      </c>
      <c r="C19" s="37">
        <f>IF((VLOOKUP(B19,'DB PMI Manufacturing World'!$A:$AA,MATCH($C$1,'DB PMI Manufacturing World'!$A$1:$AA$1,),))=0,#N/A, (VLOOKUP(B19,'DB PMI Manufacturing World'!$A:$AA,MATCH($C$1,'DB PMI Manufacturing World'!$A$1:$AA$1,),)))</f>
        <v>54.4</v>
      </c>
      <c r="D19" s="37">
        <f>IF((VLOOKUP(B19,'DB PMI Manufacturing World'!$A:$AA,MATCH($D$1,'DB PMI Manufacturing World'!$A$1:$AA$1,),))=0,#N/A, (VLOOKUP(B19,'DB PMI Manufacturing World'!$A:$AA,MATCH($D$1,'DB PMI Manufacturing World'!$A$1:$AA$1,),)))</f>
        <v>59.1</v>
      </c>
      <c r="E19" s="37">
        <f>IF((VLOOKUP(B19,'DB PMI Manufacturing World'!$A:$AA,MATCH($E$1,'DB PMI Manufacturing World'!$A$1:$AA$1,),))=0,#N/A, (VLOOKUP(B19,'DB PMI Manufacturing World'!$A:$AA,MATCH($E$1,'DB PMI Manufacturing World'!$A$1:$AA$1,),)))</f>
        <v>55.5</v>
      </c>
      <c r="F19" s="37">
        <f>IF((VLOOKUP(B19,'DB PMI Manufacturing World'!$A:$AA,MATCH($F$1,'DB PMI Manufacturing World'!$A$1:$AA$1,),))=0,#N/A, (VLOOKUP(B19,'DB PMI Manufacturing World'!$A:$AA,MATCH($F$1,'DB PMI Manufacturing World'!$A$1:$AA$1,),)))</f>
        <v>51.6</v>
      </c>
      <c r="G19" s="37">
        <f>IF((VLOOKUP(B19,'DB PMI Manufacturing World'!$A:$AA,MATCH($G$1,'DB PMI Manufacturing World'!$A$1:$AA$1,),))=0,#N/A, (VLOOKUP(B19,'DB PMI Manufacturing World'!$A:$AA,MATCH($G$1,'DB PMI Manufacturing World'!$A$1:$AA$1,),)))</f>
        <v>59.6</v>
      </c>
      <c r="H19" s="37">
        <f>IF((VLOOKUP(B19,'DB PMI Manufacturing World'!$A:$AA,MATCH($H$1,'DB PMI Manufacturing World'!$A$1:$AA$1,),))=0,#N/A, (VLOOKUP(B19,'DB PMI Manufacturing World'!$A:$AA,MATCH($H$1,'DB PMI Manufacturing World'!$A$1:$AA$1,),)))</f>
        <v>54.8</v>
      </c>
      <c r="I19" s="37">
        <f>IF((VLOOKUP(B19,'DB PMI Manufacturing World'!$A:$AA,MATCH($I$1,'DB PMI Manufacturing World'!$A$1:$AA$1,),))=0,#N/A, (VLOOKUP(B19,'DB PMI Manufacturing World'!$A:$AA,MATCH($I$1,'DB PMI Manufacturing World'!$A$1:$AA$1,),)))</f>
        <v>61.1</v>
      </c>
      <c r="J19" s="37">
        <f>IF((VLOOKUP(B19,'DB PMI Manufacturing World'!$A:$AA,MATCH($J$1,'DB PMI Manufacturing World'!$A$1:$AA$1,),))=0,#N/A, (VLOOKUP(B19,'DB PMI Manufacturing World'!$A:$AA,MATCH($J$1,'DB PMI Manufacturing World'!$A$1:$AA$1,),)))</f>
        <v>58.4</v>
      </c>
      <c r="K19" s="37">
        <f>IF((VLOOKUP(B19,'DB PMI Manufacturing World'!$A:$AA,MATCH($K$1,'DB PMI Manufacturing World'!$A$1:$AA$1,),))=0,#N/A, (VLOOKUP(B19,'DB PMI Manufacturing World'!$A:$AA,MATCH($K$1,'DB PMI Manufacturing World'!$A$1:$AA$1,),)))</f>
        <v>55</v>
      </c>
      <c r="L19" s="37">
        <f>IF((VLOOKUP(B19,'DB PMI Manufacturing World'!$A:$AA,MATCH($L$1,'DB PMI Manufacturing World'!$A$1:$AA$1,),))=0,#N/A, (VLOOKUP(B19,'DB PMI Manufacturing World'!$A:$AA,MATCH($L$1,'DB PMI Manufacturing World'!$A$1:$AA$1,),)))</f>
        <v>59</v>
      </c>
      <c r="M19" s="37">
        <f>IF((VLOOKUP(B19,'DB PMI Manufacturing World'!$A:$AA,MATCH($M$1,'DB PMI Manufacturing World'!$A$1:$AA$1,),))=0,#N/A, (VLOOKUP(B19,'DB PMI Manufacturing World'!$A:$AA,MATCH($M$1,'DB PMI Manufacturing World'!$A$1:$AA$1,),)))</f>
        <v>55.2</v>
      </c>
      <c r="N19" s="37">
        <f>IF((VLOOKUP(B19,'DB PMI Manufacturing World'!$A:$AA,MATCH($N$1,'DB PMI Manufacturing World'!$A$1:$AA$1,),))=0,#N/A, (VLOOKUP(B19,'DB PMI Manufacturing World'!$A:$AA,MATCH($N$1,'DB PMI Manufacturing World'!$A$1:$AA$1,),)))</f>
        <v>51.2</v>
      </c>
      <c r="O19" s="37">
        <f>IF((VLOOKUP(B19,'DB PMI Manufacturing World'!$A:$AA,MATCH($O$1,'DB PMI Manufacturing World'!$A$1:$AA$1,),))=0,#N/A, (VLOOKUP(B19,'DB PMI Manufacturing World'!$A:$AA,MATCH($O$1,'DB PMI Manufacturing World'!$A$1:$AA$1,),)))</f>
        <v>52.6</v>
      </c>
      <c r="P19" s="37">
        <f>IF((VLOOKUP(B19,'DB PMI Manufacturing World'!$A:$AA,MATCH($P$1,'DB PMI Manufacturing World'!$A$1:$AA$1,),))=0,#N/A, (VLOOKUP(B19,'DB PMI Manufacturing World'!$A:$AA,MATCH($P$1,'DB PMI Manufacturing World'!$A$1:$AA$1,),)))</f>
        <v>52.1</v>
      </c>
      <c r="Q19" s="37">
        <f>IF((VLOOKUP(B19,'DB PMI Manufacturing World'!$A:$AA,MATCH($Q$1,'DB PMI Manufacturing World'!$A$1:$AA$1,),))=0,#N/A, (VLOOKUP(B19,'DB PMI Manufacturing World'!$A:$AA,MATCH($Q$1,'DB PMI Manufacturing World'!$A$1:$AA$1,),)))</f>
        <v>52.4</v>
      </c>
      <c r="R19" s="37">
        <f>IF((VLOOKUP(B19,'DB PMI Manufacturing World'!$A:$AA,MATCH($R$1,'DB PMI Manufacturing World'!$A$1:$AA$1,),))=0,#N/A, (VLOOKUP(B19,'DB PMI Manufacturing World'!$A:$AA,MATCH($R$1,'DB PMI Manufacturing World'!$A$1:$AA$1,),)))</f>
        <v>55.9</v>
      </c>
      <c r="S19" s="37">
        <f>IF((VLOOKUP(B19,'DB PMI Manufacturing World'!$A:$AA,MATCH($S$1,'DB PMI Manufacturing World'!$A$1:$AA$1,),))=0,#N/A, (VLOOKUP(B19,'DB PMI Manufacturing World'!$A:$AA,MATCH($S$1,'DB PMI Manufacturing World'!$A$1:$AA$1,),)))</f>
        <v>58.7</v>
      </c>
      <c r="T19" s="37">
        <f>IF((VLOOKUP(B19,'DB PMI Manufacturing World'!$A:$AA,MATCH($T$1,'DB PMI Manufacturing World'!$A$1:$AA$1,),))=0,#N/A, (VLOOKUP(B19,'DB PMI Manufacturing World'!$A:$AA,MATCH($T$1,'DB PMI Manufacturing World'!$A$1:$AA$1,),)))</f>
        <v>49.9</v>
      </c>
      <c r="U19" s="37">
        <f>IF((VLOOKUP(B19,'DB PMI Manufacturing World'!$A:$AA,MATCH($U$1,'DB PMI Manufacturing World'!$A$1:$AA$1,),))=0,#N/A, (VLOOKUP(B19,'DB PMI Manufacturing World'!$A:$AA,MATCH($U$1,'DB PMI Manufacturing World'!$A$1:$AA$1,),)))</f>
        <v>50.7</v>
      </c>
      <c r="V19" s="37">
        <f>IF((VLOOKUP(B19,'DB PMI Manufacturing World'!$A:$AA,MATCH($V$1,'DB PMI Manufacturing World'!$A$1:$AA$1,),))=0,#N/A, (VLOOKUP(B19,'DB PMI Manufacturing World'!$A:$AA,MATCH($V$1,'DB PMI Manufacturing World'!$A$1:$AA$1,),)))</f>
        <v>56.9</v>
      </c>
      <c r="W19" s="37">
        <f>IF((VLOOKUP(B19,'DB PMI Manufacturing World'!$A:$AA,MATCH($W$1,'DB PMI Manufacturing World'!$A$1:$AA$1,),))=0,#N/A, (VLOOKUP(B19,'DB PMI Manufacturing World'!$A:$AA,MATCH($W$1,'DB PMI Manufacturing World'!$A$1:$AA$1,),)))</f>
        <v>55.2</v>
      </c>
      <c r="X19" s="37">
        <f>IF((VLOOKUP(B19,'DB PMI Manufacturing World'!$A:$AA,MATCH($X$1,'DB PMI Manufacturing World'!$A$1:$AA$1,),))=0,#N/A, (VLOOKUP(B19,'DB PMI Manufacturing World'!$A:$AA,MATCH($X$1,'DB PMI Manufacturing World'!$A$1:$AA$1,),)))</f>
        <v>57.6</v>
      </c>
      <c r="Y19" s="37">
        <f>IF((VLOOKUP(B19,'DB PMI Manufacturing World'!$A:$AA,MATCH($Y$1,'DB PMI Manufacturing World'!$A$1:$AA$1,),))=0,#N/A, (VLOOKUP(B19,'DB PMI Manufacturing World'!$A:$AA,MATCH($Y$1,'DB PMI Manufacturing World'!$A$1:$AA$1,),)))</f>
        <v>55.7</v>
      </c>
      <c r="Z19" s="37">
        <f>IF((VLOOKUP(B19,'DB PMI Manufacturing World'!$A:$AA,MATCH($Z$1,'DB PMI Manufacturing World'!$A$1:$AA$1,),))=0,#N/A, (VLOOKUP(B19,'DB PMI Manufacturing World'!$A:$AA,MATCH($Z$1,'DB PMI Manufacturing World'!$A$1:$AA$1,),)))</f>
        <v>59.8</v>
      </c>
      <c r="AA19" s="37">
        <f>IF((VLOOKUP(B19,'DB PMI Manufacturing World'!$A:$AA,MATCH($AA$1,'DB PMI Manufacturing World'!$A$1:$AA$1,),))=0,#N/A, (VLOOKUP(B19,'DB PMI Manufacturing World'!$A:$AA,MATCH($AA$1,'DB PMI Manufacturing World'!$A$1:$AA$1,),)))</f>
        <v>54.6</v>
      </c>
      <c r="AB19" s="37">
        <f>IF((VLOOKUP(B19,'DB PMI Manufacturing World'!$A:$AA,MATCH($AB$1,'DB PMI Manufacturing World'!$A$1:$AA$1,),))=0,#N/A, (VLOOKUP(B19,'DB PMI Manufacturing World'!$A:$AA,MATCH($AB$1,'DB PMI Manufacturing World'!$A$1:$AA$1,),)))</f>
        <v>66.650000000000006</v>
      </c>
    </row>
    <row r="20" spans="2:28" x14ac:dyDescent="0.35">
      <c r="B20" s="29">
        <v>43132</v>
      </c>
      <c r="C20" s="37">
        <f>IF((VLOOKUP(B20,'DB PMI Manufacturing World'!$A:$AA,MATCH($C$1,'DB PMI Manufacturing World'!$A$1:$AA$1,),))=0,#N/A, (VLOOKUP(B20,'DB PMI Manufacturing World'!$A:$AA,MATCH($C$1,'DB PMI Manufacturing World'!$A$1:$AA$1,),)))</f>
        <v>54.1</v>
      </c>
      <c r="D20" s="37">
        <f>IF((VLOOKUP(B20,'DB PMI Manufacturing World'!$A:$AA,MATCH($D$1,'DB PMI Manufacturing World'!$A$1:$AA$1,),))=0,#N/A, (VLOOKUP(B20,'DB PMI Manufacturing World'!$A:$AA,MATCH($D$1,'DB PMI Manufacturing World'!$A$1:$AA$1,),)))</f>
        <v>60.8</v>
      </c>
      <c r="E20" s="37">
        <f>IF((VLOOKUP(B20,'DB PMI Manufacturing World'!$A:$AA,MATCH($E$1,'DB PMI Manufacturing World'!$A$1:$AA$1,),))=0,#N/A, (VLOOKUP(B20,'DB PMI Manufacturing World'!$A:$AA,MATCH($E$1,'DB PMI Manufacturing World'!$A$1:$AA$1,),)))</f>
        <v>55.3</v>
      </c>
      <c r="F20" s="37">
        <f>IF((VLOOKUP(B20,'DB PMI Manufacturing World'!$A:$AA,MATCH($F$1,'DB PMI Manufacturing World'!$A$1:$AA$1,),))=0,#N/A, (VLOOKUP(B20,'DB PMI Manufacturing World'!$A:$AA,MATCH($F$1,'DB PMI Manufacturing World'!$A$1:$AA$1,),)))</f>
        <v>51.5</v>
      </c>
      <c r="G20" s="37">
        <f>IF((VLOOKUP(B20,'DB PMI Manufacturing World'!$A:$AA,MATCH($G$1,'DB PMI Manufacturing World'!$A$1:$AA$1,),))=0,#N/A, (VLOOKUP(B20,'DB PMI Manufacturing World'!$A:$AA,MATCH($G$1,'DB PMI Manufacturing World'!$A$1:$AA$1,),)))</f>
        <v>58.6</v>
      </c>
      <c r="H20" s="37">
        <f>IF((VLOOKUP(B20,'DB PMI Manufacturing World'!$A:$AA,MATCH($H$1,'DB PMI Manufacturing World'!$A$1:$AA$1,),))=0,#N/A, (VLOOKUP(B20,'DB PMI Manufacturing World'!$A:$AA,MATCH($H$1,'DB PMI Manufacturing World'!$A$1:$AA$1,),)))</f>
        <v>54.1</v>
      </c>
      <c r="I20" s="37">
        <f>IF((VLOOKUP(B20,'DB PMI Manufacturing World'!$A:$AA,MATCH($I$1,'DB PMI Manufacturing World'!$A$1:$AA$1,),))=0,#N/A, (VLOOKUP(B20,'DB PMI Manufacturing World'!$A:$AA,MATCH($I$1,'DB PMI Manufacturing World'!$A$1:$AA$1,),)))</f>
        <v>60.6</v>
      </c>
      <c r="J20" s="37">
        <f>IF((VLOOKUP(B20,'DB PMI Manufacturing World'!$A:$AA,MATCH($J$1,'DB PMI Manufacturing World'!$A$1:$AA$1,),))=0,#N/A, (VLOOKUP(B20,'DB PMI Manufacturing World'!$A:$AA,MATCH($J$1,'DB PMI Manufacturing World'!$A$1:$AA$1,),)))</f>
        <v>55.9</v>
      </c>
      <c r="K20" s="37">
        <f>IF((VLOOKUP(B20,'DB PMI Manufacturing World'!$A:$AA,MATCH($K$1,'DB PMI Manufacturing World'!$A$1:$AA$1,),))=0,#N/A, (VLOOKUP(B20,'DB PMI Manufacturing World'!$A:$AA,MATCH($K$1,'DB PMI Manufacturing World'!$A$1:$AA$1,),)))</f>
        <v>54.9</v>
      </c>
      <c r="L20" s="37">
        <f>IF((VLOOKUP(B20,'DB PMI Manufacturing World'!$A:$AA,MATCH($L$1,'DB PMI Manufacturing World'!$A$1:$AA$1,),))=0,#N/A, (VLOOKUP(B20,'DB PMI Manufacturing World'!$A:$AA,MATCH($L$1,'DB PMI Manufacturing World'!$A$1:$AA$1,),)))</f>
        <v>56.8</v>
      </c>
      <c r="M20" s="37">
        <f>IF((VLOOKUP(B20,'DB PMI Manufacturing World'!$A:$AA,MATCH($M$1,'DB PMI Manufacturing World'!$A$1:$AA$1,),))=0,#N/A, (VLOOKUP(B20,'DB PMI Manufacturing World'!$A:$AA,MATCH($M$1,'DB PMI Manufacturing World'!$A$1:$AA$1,),)))</f>
        <v>56</v>
      </c>
      <c r="N20" s="37">
        <f>IF((VLOOKUP(B20,'DB PMI Manufacturing World'!$A:$AA,MATCH($N$1,'DB PMI Manufacturing World'!$A$1:$AA$1,),))=0,#N/A, (VLOOKUP(B20,'DB PMI Manufacturing World'!$A:$AA,MATCH($N$1,'DB PMI Manufacturing World'!$A$1:$AA$1,),)))</f>
        <v>53.2</v>
      </c>
      <c r="O20" s="37">
        <f>IF((VLOOKUP(B20,'DB PMI Manufacturing World'!$A:$AA,MATCH($O$1,'DB PMI Manufacturing World'!$A$1:$AA$1,),))=0,#N/A, (VLOOKUP(B20,'DB PMI Manufacturing World'!$A:$AA,MATCH($O$1,'DB PMI Manufacturing World'!$A$1:$AA$1,),)))</f>
        <v>51.6</v>
      </c>
      <c r="P20" s="37">
        <f>IF((VLOOKUP(B20,'DB PMI Manufacturing World'!$A:$AA,MATCH($P$1,'DB PMI Manufacturing World'!$A$1:$AA$1,),))=0,#N/A, (VLOOKUP(B20,'DB PMI Manufacturing World'!$A:$AA,MATCH($P$1,'DB PMI Manufacturing World'!$A$1:$AA$1,),)))</f>
        <v>50.2</v>
      </c>
      <c r="Q20" s="37">
        <f>IF((VLOOKUP(B20,'DB PMI Manufacturing World'!$A:$AA,MATCH($Q$1,'DB PMI Manufacturing World'!$A$1:$AA$1,),))=0,#N/A, (VLOOKUP(B20,'DB PMI Manufacturing World'!$A:$AA,MATCH($Q$1,'DB PMI Manufacturing World'!$A$1:$AA$1,),)))</f>
        <v>52.1</v>
      </c>
      <c r="R20" s="37">
        <f>IF((VLOOKUP(B20,'DB PMI Manufacturing World'!$A:$AA,MATCH($R$1,'DB PMI Manufacturing World'!$A$1:$AA$1,),))=0,#N/A, (VLOOKUP(B20,'DB PMI Manufacturing World'!$A:$AA,MATCH($R$1,'DB PMI Manufacturing World'!$A$1:$AA$1,),)))</f>
        <v>55.6</v>
      </c>
      <c r="S20" s="37">
        <f>IF((VLOOKUP(B20,'DB PMI Manufacturing World'!$A:$AA,MATCH($S$1,'DB PMI Manufacturing World'!$A$1:$AA$1,),))=0,#N/A, (VLOOKUP(B20,'DB PMI Manufacturing World'!$A:$AA,MATCH($S$1,'DB PMI Manufacturing World'!$A$1:$AA$1,),)))</f>
        <v>57.5</v>
      </c>
      <c r="T20" s="37">
        <f>IF((VLOOKUP(B20,'DB PMI Manufacturing World'!$A:$AA,MATCH($T$1,'DB PMI Manufacturing World'!$A$1:$AA$1,),))=0,#N/A, (VLOOKUP(B20,'DB PMI Manufacturing World'!$A:$AA,MATCH($T$1,'DB PMI Manufacturing World'!$A$1:$AA$1,),)))</f>
        <v>51.4</v>
      </c>
      <c r="U20" s="37">
        <f>IF((VLOOKUP(B20,'DB PMI Manufacturing World'!$A:$AA,MATCH($U$1,'DB PMI Manufacturing World'!$A$1:$AA$1,),))=0,#N/A, (VLOOKUP(B20,'DB PMI Manufacturing World'!$A:$AA,MATCH($U$1,'DB PMI Manufacturing World'!$A$1:$AA$1,),)))</f>
        <v>50.3</v>
      </c>
      <c r="V20" s="37">
        <f>IF((VLOOKUP(B20,'DB PMI Manufacturing World'!$A:$AA,MATCH($V$1,'DB PMI Manufacturing World'!$A$1:$AA$1,),))=0,#N/A, (VLOOKUP(B20,'DB PMI Manufacturing World'!$A:$AA,MATCH($V$1,'DB PMI Manufacturing World'!$A$1:$AA$1,),)))</f>
        <v>56</v>
      </c>
      <c r="W20" s="37">
        <f>IF((VLOOKUP(B20,'DB PMI Manufacturing World'!$A:$AA,MATCH($W$1,'DB PMI Manufacturing World'!$A$1:$AA$1,),))=0,#N/A, (VLOOKUP(B20,'DB PMI Manufacturing World'!$A:$AA,MATCH($W$1,'DB PMI Manufacturing World'!$A$1:$AA$1,),)))</f>
        <v>56.1</v>
      </c>
      <c r="X20" s="37">
        <f>IF((VLOOKUP(B20,'DB PMI Manufacturing World'!$A:$AA,MATCH($X$1,'DB PMI Manufacturing World'!$A$1:$AA$1,),))=0,#N/A, (VLOOKUP(B20,'DB PMI Manufacturing World'!$A:$AA,MATCH($X$1,'DB PMI Manufacturing World'!$A$1:$AA$1,),)))</f>
        <v>56.2</v>
      </c>
      <c r="Y20" s="37">
        <f>IF((VLOOKUP(B20,'DB PMI Manufacturing World'!$A:$AA,MATCH($Y$1,'DB PMI Manufacturing World'!$A$1:$AA$1,),))=0,#N/A, (VLOOKUP(B20,'DB PMI Manufacturing World'!$A:$AA,MATCH($Y$1,'DB PMI Manufacturing World'!$A$1:$AA$1,),)))</f>
        <v>55.6</v>
      </c>
      <c r="Z20" s="37">
        <f>IF((VLOOKUP(B20,'DB PMI Manufacturing World'!$A:$AA,MATCH($Z$1,'DB PMI Manufacturing World'!$A$1:$AA$1,),))=0,#N/A, (VLOOKUP(B20,'DB PMI Manufacturing World'!$A:$AA,MATCH($Z$1,'DB PMI Manufacturing World'!$A$1:$AA$1,),)))</f>
        <v>58.8</v>
      </c>
      <c r="AA20" s="37">
        <f>IF((VLOOKUP(B20,'DB PMI Manufacturing World'!$A:$AA,MATCH($AA$1,'DB PMI Manufacturing World'!$A$1:$AA$1,),))=0,#N/A, (VLOOKUP(B20,'DB PMI Manufacturing World'!$A:$AA,MATCH($AA$1,'DB PMI Manufacturing World'!$A$1:$AA$1,),)))</f>
        <v>53.7</v>
      </c>
      <c r="AB20" s="37">
        <f>IF((VLOOKUP(B20,'DB PMI Manufacturing World'!$A:$AA,MATCH($AB$1,'DB PMI Manufacturing World'!$A$1:$AA$1,),))=0,#N/A, (VLOOKUP(B20,'DB PMI Manufacturing World'!$A:$AA,MATCH($AB$1,'DB PMI Manufacturing World'!$A$1:$AA$1,),)))</f>
        <v>70.75</v>
      </c>
    </row>
    <row r="21" spans="2:28" x14ac:dyDescent="0.35">
      <c r="B21" s="29">
        <v>43160</v>
      </c>
      <c r="C21" s="37">
        <f>IF((VLOOKUP(B21,'DB PMI Manufacturing World'!$A:$AA,MATCH($C$1,'DB PMI Manufacturing World'!$A$1:$AA$1,),))=0,#N/A, (VLOOKUP(B21,'DB PMI Manufacturing World'!$A:$AA,MATCH($C$1,'DB PMI Manufacturing World'!$A$1:$AA$1,),)))</f>
        <v>53.3</v>
      </c>
      <c r="D21" s="37">
        <f>IF((VLOOKUP(B21,'DB PMI Manufacturing World'!$A:$AA,MATCH($D$1,'DB PMI Manufacturing World'!$A$1:$AA$1,),))=0,#N/A, (VLOOKUP(B21,'DB PMI Manufacturing World'!$A:$AA,MATCH($D$1,'DB PMI Manufacturing World'!$A$1:$AA$1,),)))</f>
        <v>59.3</v>
      </c>
      <c r="E21" s="37">
        <f>IF((VLOOKUP(B21,'DB PMI Manufacturing World'!$A:$AA,MATCH($E$1,'DB PMI Manufacturing World'!$A$1:$AA$1,),))=0,#N/A, (VLOOKUP(B21,'DB PMI Manufacturing World'!$A:$AA,MATCH($E$1,'DB PMI Manufacturing World'!$A$1:$AA$1,),)))</f>
        <v>55.6</v>
      </c>
      <c r="F21" s="37">
        <f>IF((VLOOKUP(B21,'DB PMI Manufacturing World'!$A:$AA,MATCH($F$1,'DB PMI Manufacturing World'!$A$1:$AA$1,),))=0,#N/A, (VLOOKUP(B21,'DB PMI Manufacturing World'!$A:$AA,MATCH($F$1,'DB PMI Manufacturing World'!$A$1:$AA$1,),)))</f>
        <v>51</v>
      </c>
      <c r="G21" s="37">
        <f>IF((VLOOKUP(B21,'DB PMI Manufacturing World'!$A:$AA,MATCH($G$1,'DB PMI Manufacturing World'!$A$1:$AA$1,),))=0,#N/A, (VLOOKUP(B21,'DB PMI Manufacturing World'!$A:$AA,MATCH($G$1,'DB PMI Manufacturing World'!$A$1:$AA$1,),)))</f>
        <v>56.6</v>
      </c>
      <c r="H21" s="37">
        <f>IF((VLOOKUP(B21,'DB PMI Manufacturing World'!$A:$AA,MATCH($H$1,'DB PMI Manufacturing World'!$A$1:$AA$1,),))=0,#N/A, (VLOOKUP(B21,'DB PMI Manufacturing World'!$A:$AA,MATCH($H$1,'DB PMI Manufacturing World'!$A$1:$AA$1,),)))</f>
        <v>53.2</v>
      </c>
      <c r="I21" s="37">
        <f>IF((VLOOKUP(B21,'DB PMI Manufacturing World'!$A:$AA,MATCH($I$1,'DB PMI Manufacturing World'!$A$1:$AA$1,),))=0,#N/A, (VLOOKUP(B21,'DB PMI Manufacturing World'!$A:$AA,MATCH($I$1,'DB PMI Manufacturing World'!$A$1:$AA$1,),)))</f>
        <v>58.4</v>
      </c>
      <c r="J21" s="37">
        <f>IF((VLOOKUP(B21,'DB PMI Manufacturing World'!$A:$AA,MATCH($J$1,'DB PMI Manufacturing World'!$A$1:$AA$1,),))=0,#N/A, (VLOOKUP(B21,'DB PMI Manufacturing World'!$A:$AA,MATCH($J$1,'DB PMI Manufacturing World'!$A$1:$AA$1,),)))</f>
        <v>53.7</v>
      </c>
      <c r="K21" s="37">
        <f>IF((VLOOKUP(B21,'DB PMI Manufacturing World'!$A:$AA,MATCH($K$1,'DB PMI Manufacturing World'!$A$1:$AA$1,),))=0,#N/A, (VLOOKUP(B21,'DB PMI Manufacturing World'!$A:$AA,MATCH($K$1,'DB PMI Manufacturing World'!$A$1:$AA$1,),)))</f>
        <v>54.9</v>
      </c>
      <c r="L21" s="37">
        <f>IF((VLOOKUP(B21,'DB PMI Manufacturing World'!$A:$AA,MATCH($L$1,'DB PMI Manufacturing World'!$A$1:$AA$1,),))=0,#N/A, (VLOOKUP(B21,'DB PMI Manufacturing World'!$A:$AA,MATCH($L$1,'DB PMI Manufacturing World'!$A$1:$AA$1,),)))</f>
        <v>55.1</v>
      </c>
      <c r="M21" s="37">
        <f>IF((VLOOKUP(B21,'DB PMI Manufacturing World'!$A:$AA,MATCH($M$1,'DB PMI Manufacturing World'!$A$1:$AA$1,),))=0,#N/A, (VLOOKUP(B21,'DB PMI Manufacturing World'!$A:$AA,MATCH($M$1,'DB PMI Manufacturing World'!$A$1:$AA$1,),)))</f>
        <v>54.8</v>
      </c>
      <c r="N21" s="37">
        <f>IF((VLOOKUP(B21,'DB PMI Manufacturing World'!$A:$AA,MATCH($N$1,'DB PMI Manufacturing World'!$A$1:$AA$1,),))=0,#N/A, (VLOOKUP(B21,'DB PMI Manufacturing World'!$A:$AA,MATCH($N$1,'DB PMI Manufacturing World'!$A$1:$AA$1,),)))</f>
        <v>53.4</v>
      </c>
      <c r="O21" s="37">
        <f>IF((VLOOKUP(B21,'DB PMI Manufacturing World'!$A:$AA,MATCH($O$1,'DB PMI Manufacturing World'!$A$1:$AA$1,),))=0,#N/A, (VLOOKUP(B21,'DB PMI Manufacturing World'!$A:$AA,MATCH($O$1,'DB PMI Manufacturing World'!$A$1:$AA$1,),)))</f>
        <v>52.4</v>
      </c>
      <c r="P21" s="37">
        <f>IF((VLOOKUP(B21,'DB PMI Manufacturing World'!$A:$AA,MATCH($P$1,'DB PMI Manufacturing World'!$A$1:$AA$1,),))=0,#N/A, (VLOOKUP(B21,'DB PMI Manufacturing World'!$A:$AA,MATCH($P$1,'DB PMI Manufacturing World'!$A$1:$AA$1,),)))</f>
        <v>50.6</v>
      </c>
      <c r="Q21" s="37">
        <f>IF((VLOOKUP(B21,'DB PMI Manufacturing World'!$A:$AA,MATCH($Q$1,'DB PMI Manufacturing World'!$A$1:$AA$1,),))=0,#N/A, (VLOOKUP(B21,'DB PMI Manufacturing World'!$A:$AA,MATCH($Q$1,'DB PMI Manufacturing World'!$A$1:$AA$1,),)))</f>
        <v>51</v>
      </c>
      <c r="R21" s="37">
        <f>IF((VLOOKUP(B21,'DB PMI Manufacturing World'!$A:$AA,MATCH($R$1,'DB PMI Manufacturing World'!$A$1:$AA$1,),))=0,#N/A, (VLOOKUP(B21,'DB PMI Manufacturing World'!$A:$AA,MATCH($R$1,'DB PMI Manufacturing World'!$A$1:$AA$1,),)))</f>
        <v>55.7</v>
      </c>
      <c r="S21" s="37">
        <f>IF((VLOOKUP(B21,'DB PMI Manufacturing World'!$A:$AA,MATCH($S$1,'DB PMI Manufacturing World'!$A$1:$AA$1,),))=0,#N/A, (VLOOKUP(B21,'DB PMI Manufacturing World'!$A:$AA,MATCH($S$1,'DB PMI Manufacturing World'!$A$1:$AA$1,),)))</f>
        <v>63.1</v>
      </c>
      <c r="T21" s="37">
        <f>IF((VLOOKUP(B21,'DB PMI Manufacturing World'!$A:$AA,MATCH($T$1,'DB PMI Manufacturing World'!$A$1:$AA$1,),))=0,#N/A, (VLOOKUP(B21,'DB PMI Manufacturing World'!$A:$AA,MATCH($T$1,'DB PMI Manufacturing World'!$A$1:$AA$1,),)))</f>
        <v>50.7</v>
      </c>
      <c r="U21" s="37">
        <f>IF((VLOOKUP(B21,'DB PMI Manufacturing World'!$A:$AA,MATCH($U$1,'DB PMI Manufacturing World'!$A$1:$AA$1,),))=0,#N/A, (VLOOKUP(B21,'DB PMI Manufacturing World'!$A:$AA,MATCH($U$1,'DB PMI Manufacturing World'!$A$1:$AA$1,),)))</f>
        <v>49.1</v>
      </c>
      <c r="V21" s="37">
        <f>IF((VLOOKUP(B21,'DB PMI Manufacturing World'!$A:$AA,MATCH($V$1,'DB PMI Manufacturing World'!$A$1:$AA$1,),))=0,#N/A, (VLOOKUP(B21,'DB PMI Manufacturing World'!$A:$AA,MATCH($V$1,'DB PMI Manufacturing World'!$A$1:$AA$1,),)))</f>
        <v>55.3</v>
      </c>
      <c r="W21" s="37">
        <f>IF((VLOOKUP(B21,'DB PMI Manufacturing World'!$A:$AA,MATCH($W$1,'DB PMI Manufacturing World'!$A$1:$AA$1,),))=0,#N/A, (VLOOKUP(B21,'DB PMI Manufacturing World'!$A:$AA,MATCH($W$1,'DB PMI Manufacturing World'!$A$1:$AA$1,),)))</f>
        <v>55</v>
      </c>
      <c r="X21" s="37">
        <f>IF((VLOOKUP(B21,'DB PMI Manufacturing World'!$A:$AA,MATCH($X$1,'DB PMI Manufacturing World'!$A$1:$AA$1,),))=0,#N/A, (VLOOKUP(B21,'DB PMI Manufacturing World'!$A:$AA,MATCH($X$1,'DB PMI Manufacturing World'!$A$1:$AA$1,),)))</f>
        <v>54.1</v>
      </c>
      <c r="Y21" s="37">
        <f>IF((VLOOKUP(B21,'DB PMI Manufacturing World'!$A:$AA,MATCH($Y$1,'DB PMI Manufacturing World'!$A$1:$AA$1,),))=0,#N/A, (VLOOKUP(B21,'DB PMI Manufacturing World'!$A:$AA,MATCH($Y$1,'DB PMI Manufacturing World'!$A$1:$AA$1,),)))</f>
        <v>51.8</v>
      </c>
      <c r="Z21" s="37">
        <f>IF((VLOOKUP(B21,'DB PMI Manufacturing World'!$A:$AA,MATCH($Z$1,'DB PMI Manufacturing World'!$A$1:$AA$1,),))=0,#N/A, (VLOOKUP(B21,'DB PMI Manufacturing World'!$A:$AA,MATCH($Z$1,'DB PMI Manufacturing World'!$A$1:$AA$1,),)))</f>
        <v>57.3</v>
      </c>
      <c r="AA21" s="37">
        <f>IF((VLOOKUP(B21,'DB PMI Manufacturing World'!$A:$AA,MATCH($AA$1,'DB PMI Manufacturing World'!$A$1:$AA$1,),))=0,#N/A, (VLOOKUP(B21,'DB PMI Manufacturing World'!$A:$AA,MATCH($AA$1,'DB PMI Manufacturing World'!$A$1:$AA$1,),)))</f>
        <v>53.7</v>
      </c>
      <c r="AB21" s="37">
        <f>IF((VLOOKUP(B21,'DB PMI Manufacturing World'!$A:$AA,MATCH($AB$1,'DB PMI Manufacturing World'!$A$1:$AA$1,),))=0,#N/A, (VLOOKUP(B21,'DB PMI Manufacturing World'!$A:$AA,MATCH($AB$1,'DB PMI Manufacturing World'!$A$1:$AA$1,),)))</f>
        <v>61.05</v>
      </c>
    </row>
    <row r="22" spans="2:28" x14ac:dyDescent="0.35">
      <c r="B22" s="29">
        <v>43191</v>
      </c>
      <c r="C22" s="37">
        <f>IF((VLOOKUP(B22,'DB PMI Manufacturing World'!$A:$AA,MATCH($C$1,'DB PMI Manufacturing World'!$A$1:$AA$1,),))=0,#N/A, (VLOOKUP(B22,'DB PMI Manufacturing World'!$A:$AA,MATCH($C$1,'DB PMI Manufacturing World'!$A$1:$AA$1,),)))</f>
        <v>53.5</v>
      </c>
      <c r="D22" s="37">
        <f>IF((VLOOKUP(B22,'DB PMI Manufacturing World'!$A:$AA,MATCH($D$1,'DB PMI Manufacturing World'!$A$1:$AA$1,),))=0,#N/A, (VLOOKUP(B22,'DB PMI Manufacturing World'!$A:$AA,MATCH($D$1,'DB PMI Manufacturing World'!$A$1:$AA$1,),)))</f>
        <v>57.3</v>
      </c>
      <c r="E22" s="37">
        <f>IF((VLOOKUP(B22,'DB PMI Manufacturing World'!$A:$AA,MATCH($E$1,'DB PMI Manufacturing World'!$A$1:$AA$1,),))=0,#N/A, (VLOOKUP(B22,'DB PMI Manufacturing World'!$A:$AA,MATCH($E$1,'DB PMI Manufacturing World'!$A$1:$AA$1,),)))</f>
        <v>56.5</v>
      </c>
      <c r="F22" s="37">
        <f>IF((VLOOKUP(B22,'DB PMI Manufacturing World'!$A:$AA,MATCH($F$1,'DB PMI Manufacturing World'!$A$1:$AA$1,),))=0,#N/A, (VLOOKUP(B22,'DB PMI Manufacturing World'!$A:$AA,MATCH($F$1,'DB PMI Manufacturing World'!$A$1:$AA$1,),)))</f>
        <v>51.1</v>
      </c>
      <c r="G22" s="37">
        <f>IF((VLOOKUP(B22,'DB PMI Manufacturing World'!$A:$AA,MATCH($G$1,'DB PMI Manufacturing World'!$A$1:$AA$1,),))=0,#N/A, (VLOOKUP(B22,'DB PMI Manufacturing World'!$A:$AA,MATCH($G$1,'DB PMI Manufacturing World'!$A$1:$AA$1,),)))</f>
        <v>56.2</v>
      </c>
      <c r="H22" s="37">
        <f>IF((VLOOKUP(B22,'DB PMI Manufacturing World'!$A:$AA,MATCH($H$1,'DB PMI Manufacturing World'!$A$1:$AA$1,),))=0,#N/A, (VLOOKUP(B22,'DB PMI Manufacturing World'!$A:$AA,MATCH($H$1,'DB PMI Manufacturing World'!$A$1:$AA$1,),)))</f>
        <v>53.8</v>
      </c>
      <c r="I22" s="37">
        <f>IF((VLOOKUP(B22,'DB PMI Manufacturing World'!$A:$AA,MATCH($I$1,'DB PMI Manufacturing World'!$A$1:$AA$1,),))=0,#N/A, (VLOOKUP(B22,'DB PMI Manufacturing World'!$A:$AA,MATCH($I$1,'DB PMI Manufacturing World'!$A$1:$AA$1,),)))</f>
        <v>58.1</v>
      </c>
      <c r="J22" s="37">
        <f>IF((VLOOKUP(B22,'DB PMI Manufacturing World'!$A:$AA,MATCH($J$1,'DB PMI Manufacturing World'!$A$1:$AA$1,),))=0,#N/A, (VLOOKUP(B22,'DB PMI Manufacturing World'!$A:$AA,MATCH($J$1,'DB PMI Manufacturing World'!$A$1:$AA$1,),)))</f>
        <v>53.8</v>
      </c>
      <c r="K22" s="37">
        <f>IF((VLOOKUP(B22,'DB PMI Manufacturing World'!$A:$AA,MATCH($K$1,'DB PMI Manufacturing World'!$A$1:$AA$1,),))=0,#N/A, (VLOOKUP(B22,'DB PMI Manufacturing World'!$A:$AA,MATCH($K$1,'DB PMI Manufacturing World'!$A$1:$AA$1,),)))</f>
        <v>53.9</v>
      </c>
      <c r="L22" s="37">
        <f>IF((VLOOKUP(B22,'DB PMI Manufacturing World'!$A:$AA,MATCH($L$1,'DB PMI Manufacturing World'!$A$1:$AA$1,),))=0,#N/A, (VLOOKUP(B22,'DB PMI Manufacturing World'!$A:$AA,MATCH($L$1,'DB PMI Manufacturing World'!$A$1:$AA$1,),)))</f>
        <v>53.5</v>
      </c>
      <c r="M22" s="37">
        <f>IF((VLOOKUP(B22,'DB PMI Manufacturing World'!$A:$AA,MATCH($M$1,'DB PMI Manufacturing World'!$A$1:$AA$1,),))=0,#N/A, (VLOOKUP(B22,'DB PMI Manufacturing World'!$A:$AA,MATCH($M$1,'DB PMI Manufacturing World'!$A$1:$AA$1,),)))</f>
        <v>54.4</v>
      </c>
      <c r="N22" s="37">
        <f>IF((VLOOKUP(B22,'DB PMI Manufacturing World'!$A:$AA,MATCH($N$1,'DB PMI Manufacturing World'!$A$1:$AA$1,),))=0,#N/A, (VLOOKUP(B22,'DB PMI Manufacturing World'!$A:$AA,MATCH($N$1,'DB PMI Manufacturing World'!$A$1:$AA$1,),)))</f>
        <v>52.3</v>
      </c>
      <c r="O22" s="37">
        <f>IF((VLOOKUP(B22,'DB PMI Manufacturing World'!$A:$AA,MATCH($O$1,'DB PMI Manufacturing World'!$A$1:$AA$1,),))=0,#N/A, (VLOOKUP(B22,'DB PMI Manufacturing World'!$A:$AA,MATCH($O$1,'DB PMI Manufacturing World'!$A$1:$AA$1,),)))</f>
        <v>51.6</v>
      </c>
      <c r="P22" s="37">
        <f>IF((VLOOKUP(B22,'DB PMI Manufacturing World'!$A:$AA,MATCH($P$1,'DB PMI Manufacturing World'!$A$1:$AA$1,),))=0,#N/A, (VLOOKUP(B22,'DB PMI Manufacturing World'!$A:$AA,MATCH($P$1,'DB PMI Manufacturing World'!$A$1:$AA$1,),)))</f>
        <v>51.3</v>
      </c>
      <c r="Q22" s="37">
        <f>IF((VLOOKUP(B22,'DB PMI Manufacturing World'!$A:$AA,MATCH($Q$1,'DB PMI Manufacturing World'!$A$1:$AA$1,),))=0,#N/A, (VLOOKUP(B22,'DB PMI Manufacturing World'!$A:$AA,MATCH($Q$1,'DB PMI Manufacturing World'!$A$1:$AA$1,),)))</f>
        <v>51.6</v>
      </c>
      <c r="R22" s="37">
        <f>IF((VLOOKUP(B22,'DB PMI Manufacturing World'!$A:$AA,MATCH($R$1,'DB PMI Manufacturing World'!$A$1:$AA$1,),))=0,#N/A, (VLOOKUP(B22,'DB PMI Manufacturing World'!$A:$AA,MATCH($R$1,'DB PMI Manufacturing World'!$A$1:$AA$1,),)))</f>
        <v>55.5</v>
      </c>
      <c r="S22" s="37">
        <f>IF((VLOOKUP(B22,'DB PMI Manufacturing World'!$A:$AA,MATCH($S$1,'DB PMI Manufacturing World'!$A$1:$AA$1,),))=0,#N/A, (VLOOKUP(B22,'DB PMI Manufacturing World'!$A:$AA,MATCH($S$1,'DB PMI Manufacturing World'!$A$1:$AA$1,),)))</f>
        <v>58.3</v>
      </c>
      <c r="T22" s="37">
        <f>IF((VLOOKUP(B22,'DB PMI Manufacturing World'!$A:$AA,MATCH($T$1,'DB PMI Manufacturing World'!$A$1:$AA$1,),))=0,#N/A, (VLOOKUP(B22,'DB PMI Manufacturing World'!$A:$AA,MATCH($T$1,'DB PMI Manufacturing World'!$A$1:$AA$1,),)))</f>
        <v>51.6</v>
      </c>
      <c r="U22" s="37">
        <f>IF((VLOOKUP(B22,'DB PMI Manufacturing World'!$A:$AA,MATCH($U$1,'DB PMI Manufacturing World'!$A$1:$AA$1,),))=0,#N/A, (VLOOKUP(B22,'DB PMI Manufacturing World'!$A:$AA,MATCH($U$1,'DB PMI Manufacturing World'!$A$1:$AA$1,),)))</f>
        <v>48.4</v>
      </c>
      <c r="V22" s="37">
        <f>IF((VLOOKUP(B22,'DB PMI Manufacturing World'!$A:$AA,MATCH($V$1,'DB PMI Manufacturing World'!$A$1:$AA$1,),))=0,#N/A, (VLOOKUP(B22,'DB PMI Manufacturing World'!$A:$AA,MATCH($V$1,'DB PMI Manufacturing World'!$A$1:$AA$1,),)))</f>
        <v>54.8</v>
      </c>
      <c r="W22" s="37">
        <f>IF((VLOOKUP(B22,'DB PMI Manufacturing World'!$A:$AA,MATCH($W$1,'DB PMI Manufacturing World'!$A$1:$AA$1,),))=0,#N/A, (VLOOKUP(B22,'DB PMI Manufacturing World'!$A:$AA,MATCH($W$1,'DB PMI Manufacturing World'!$A$1:$AA$1,),)))</f>
        <v>52.9</v>
      </c>
      <c r="X22" s="37">
        <f>IF((VLOOKUP(B22,'DB PMI Manufacturing World'!$A:$AA,MATCH($X$1,'DB PMI Manufacturing World'!$A$1:$AA$1,),))=0,#N/A, (VLOOKUP(B22,'DB PMI Manufacturing World'!$A:$AA,MATCH($X$1,'DB PMI Manufacturing World'!$A$1:$AA$1,),)))</f>
        <v>55.3</v>
      </c>
      <c r="Y22" s="37">
        <f>IF((VLOOKUP(B22,'DB PMI Manufacturing World'!$A:$AA,MATCH($Y$1,'DB PMI Manufacturing World'!$A$1:$AA$1,),))=0,#N/A, (VLOOKUP(B22,'DB PMI Manufacturing World'!$A:$AA,MATCH($Y$1,'DB PMI Manufacturing World'!$A$1:$AA$1,),)))</f>
        <v>48.9</v>
      </c>
      <c r="Z22" s="37">
        <f>IF((VLOOKUP(B22,'DB PMI Manufacturing World'!$A:$AA,MATCH($Z$1,'DB PMI Manufacturing World'!$A$1:$AA$1,),))=0,#N/A, (VLOOKUP(B22,'DB PMI Manufacturing World'!$A:$AA,MATCH($Z$1,'DB PMI Manufacturing World'!$A$1:$AA$1,),)))</f>
        <v>57.2</v>
      </c>
      <c r="AA22" s="37">
        <f>IF((VLOOKUP(B22,'DB PMI Manufacturing World'!$A:$AA,MATCH($AA$1,'DB PMI Manufacturing World'!$A$1:$AA$1,),))=0,#N/A, (VLOOKUP(B22,'DB PMI Manufacturing World'!$A:$AA,MATCH($AA$1,'DB PMI Manufacturing World'!$A$1:$AA$1,),)))</f>
        <v>53.9</v>
      </c>
      <c r="AB22" s="37">
        <f>IF((VLOOKUP(B22,'DB PMI Manufacturing World'!$A:$AA,MATCH($AB$1,'DB PMI Manufacturing World'!$A$1:$AA$1,),))=0,#N/A, (VLOOKUP(B22,'DB PMI Manufacturing World'!$A:$AA,MATCH($AB$1,'DB PMI Manufacturing World'!$A$1:$AA$1,),)))</f>
        <v>54.24</v>
      </c>
    </row>
    <row r="23" spans="2:28" x14ac:dyDescent="0.35">
      <c r="B23" s="29">
        <v>43221</v>
      </c>
      <c r="C23" s="37">
        <f>IF((VLOOKUP(B23,'DB PMI Manufacturing World'!$A:$AA,MATCH($C$1,'DB PMI Manufacturing World'!$A$1:$AA$1,),))=0,#N/A, (VLOOKUP(B23,'DB PMI Manufacturing World'!$A:$AA,MATCH($C$1,'DB PMI Manufacturing World'!$A$1:$AA$1,),)))</f>
        <v>53.1</v>
      </c>
      <c r="D23" s="37">
        <f>IF((VLOOKUP(B23,'DB PMI Manufacturing World'!$A:$AA,MATCH($D$1,'DB PMI Manufacturing World'!$A$1:$AA$1,),))=0,#N/A, (VLOOKUP(B23,'DB PMI Manufacturing World'!$A:$AA,MATCH($D$1,'DB PMI Manufacturing World'!$A$1:$AA$1,),)))</f>
        <v>58.7</v>
      </c>
      <c r="E23" s="37">
        <f>IF((VLOOKUP(B23,'DB PMI Manufacturing World'!$A:$AA,MATCH($E$1,'DB PMI Manufacturing World'!$A$1:$AA$1,),))=0,#N/A, (VLOOKUP(B23,'DB PMI Manufacturing World'!$A:$AA,MATCH($E$1,'DB PMI Manufacturing World'!$A$1:$AA$1,),)))</f>
        <v>56.4</v>
      </c>
      <c r="F23" s="37">
        <f>IF((VLOOKUP(B23,'DB PMI Manufacturing World'!$A:$AA,MATCH($F$1,'DB PMI Manufacturing World'!$A$1:$AA$1,),))=0,#N/A, (VLOOKUP(B23,'DB PMI Manufacturing World'!$A:$AA,MATCH($F$1,'DB PMI Manufacturing World'!$A$1:$AA$1,),)))</f>
        <v>51.1</v>
      </c>
      <c r="G23" s="37">
        <f>IF((VLOOKUP(B23,'DB PMI Manufacturing World'!$A:$AA,MATCH($G$1,'DB PMI Manufacturing World'!$A$1:$AA$1,),))=0,#N/A, (VLOOKUP(B23,'DB PMI Manufacturing World'!$A:$AA,MATCH($G$1,'DB PMI Manufacturing World'!$A$1:$AA$1,),)))</f>
        <v>55.5</v>
      </c>
      <c r="H23" s="37">
        <f>IF((VLOOKUP(B23,'DB PMI Manufacturing World'!$A:$AA,MATCH($H$1,'DB PMI Manufacturing World'!$A$1:$AA$1,),))=0,#N/A, (VLOOKUP(B23,'DB PMI Manufacturing World'!$A:$AA,MATCH($H$1,'DB PMI Manufacturing World'!$A$1:$AA$1,),)))</f>
        <v>52.8</v>
      </c>
      <c r="I23" s="37">
        <f>IF((VLOOKUP(B23,'DB PMI Manufacturing World'!$A:$AA,MATCH($I$1,'DB PMI Manufacturing World'!$A$1:$AA$1,),))=0,#N/A, (VLOOKUP(B23,'DB PMI Manufacturing World'!$A:$AA,MATCH($I$1,'DB PMI Manufacturing World'!$A$1:$AA$1,),)))</f>
        <v>56.9</v>
      </c>
      <c r="J23" s="37">
        <f>IF((VLOOKUP(B23,'DB PMI Manufacturing World'!$A:$AA,MATCH($J$1,'DB PMI Manufacturing World'!$A$1:$AA$1,),))=0,#N/A, (VLOOKUP(B23,'DB PMI Manufacturing World'!$A:$AA,MATCH($J$1,'DB PMI Manufacturing World'!$A$1:$AA$1,),)))</f>
        <v>55.1</v>
      </c>
      <c r="K23" s="37">
        <f>IF((VLOOKUP(B23,'DB PMI Manufacturing World'!$A:$AA,MATCH($K$1,'DB PMI Manufacturing World'!$A$1:$AA$1,),))=0,#N/A, (VLOOKUP(B23,'DB PMI Manufacturing World'!$A:$AA,MATCH($K$1,'DB PMI Manufacturing World'!$A$1:$AA$1,),)))</f>
        <v>54.4</v>
      </c>
      <c r="L23" s="37">
        <f>IF((VLOOKUP(B23,'DB PMI Manufacturing World'!$A:$AA,MATCH($L$1,'DB PMI Manufacturing World'!$A$1:$AA$1,),))=0,#N/A, (VLOOKUP(B23,'DB PMI Manufacturing World'!$A:$AA,MATCH($L$1,'DB PMI Manufacturing World'!$A$1:$AA$1,),)))</f>
        <v>52.7</v>
      </c>
      <c r="M23" s="37">
        <f>IF((VLOOKUP(B23,'DB PMI Manufacturing World'!$A:$AA,MATCH($M$1,'DB PMI Manufacturing World'!$A$1:$AA$1,),))=0,#N/A, (VLOOKUP(B23,'DB PMI Manufacturing World'!$A:$AA,MATCH($M$1,'DB PMI Manufacturing World'!$A$1:$AA$1,),)))</f>
        <v>53.4</v>
      </c>
      <c r="N23" s="37">
        <f>IF((VLOOKUP(B23,'DB PMI Manufacturing World'!$A:$AA,MATCH($N$1,'DB PMI Manufacturing World'!$A$1:$AA$1,),))=0,#N/A, (VLOOKUP(B23,'DB PMI Manufacturing World'!$A:$AA,MATCH($N$1,'DB PMI Manufacturing World'!$A$1:$AA$1,),)))</f>
        <v>50.7</v>
      </c>
      <c r="O23" s="37">
        <f>IF((VLOOKUP(B23,'DB PMI Manufacturing World'!$A:$AA,MATCH($O$1,'DB PMI Manufacturing World'!$A$1:$AA$1,),))=0,#N/A, (VLOOKUP(B23,'DB PMI Manufacturing World'!$A:$AA,MATCH($O$1,'DB PMI Manufacturing World'!$A$1:$AA$1,),)))</f>
        <v>51</v>
      </c>
      <c r="P23" s="37">
        <f>IF((VLOOKUP(B23,'DB PMI Manufacturing World'!$A:$AA,MATCH($P$1,'DB PMI Manufacturing World'!$A$1:$AA$1,),))=0,#N/A, (VLOOKUP(B23,'DB PMI Manufacturing World'!$A:$AA,MATCH($P$1,'DB PMI Manufacturing World'!$A$1:$AA$1,),)))</f>
        <v>49.8</v>
      </c>
      <c r="Q23" s="37">
        <f>IF((VLOOKUP(B23,'DB PMI Manufacturing World'!$A:$AA,MATCH($Q$1,'DB PMI Manufacturing World'!$A$1:$AA$1,),))=0,#N/A, (VLOOKUP(B23,'DB PMI Manufacturing World'!$A:$AA,MATCH($Q$1,'DB PMI Manufacturing World'!$A$1:$AA$1,),)))</f>
        <v>51.2</v>
      </c>
      <c r="R23" s="37">
        <f>IF((VLOOKUP(B23,'DB PMI Manufacturing World'!$A:$AA,MATCH($R$1,'DB PMI Manufacturing World'!$A$1:$AA$1,),))=0,#N/A, (VLOOKUP(B23,'DB PMI Manufacturing World'!$A:$AA,MATCH($R$1,'DB PMI Manufacturing World'!$A$1:$AA$1,),)))</f>
        <v>56.2</v>
      </c>
      <c r="S23" s="37">
        <f>IF((VLOOKUP(B23,'DB PMI Manufacturing World'!$A:$AA,MATCH($S$1,'DB PMI Manufacturing World'!$A$1:$AA$1,),))=0,#N/A, (VLOOKUP(B23,'DB PMI Manufacturing World'!$A:$AA,MATCH($S$1,'DB PMI Manufacturing World'!$A$1:$AA$1,),)))</f>
        <v>57.5</v>
      </c>
      <c r="T23" s="37">
        <f>IF((VLOOKUP(B23,'DB PMI Manufacturing World'!$A:$AA,MATCH($T$1,'DB PMI Manufacturing World'!$A$1:$AA$1,),))=0,#N/A, (VLOOKUP(B23,'DB PMI Manufacturing World'!$A:$AA,MATCH($T$1,'DB PMI Manufacturing World'!$A$1:$AA$1,),)))</f>
        <v>51.7</v>
      </c>
      <c r="U23" s="37">
        <f>IF((VLOOKUP(B23,'DB PMI Manufacturing World'!$A:$AA,MATCH($U$1,'DB PMI Manufacturing World'!$A$1:$AA$1,),))=0,#N/A, (VLOOKUP(B23,'DB PMI Manufacturing World'!$A:$AA,MATCH($U$1,'DB PMI Manufacturing World'!$A$1:$AA$1,),)))</f>
        <v>48.9</v>
      </c>
      <c r="V23" s="37">
        <f>IF((VLOOKUP(B23,'DB PMI Manufacturing World'!$A:$AA,MATCH($V$1,'DB PMI Manufacturing World'!$A$1:$AA$1,),))=0,#N/A, (VLOOKUP(B23,'DB PMI Manufacturing World'!$A:$AA,MATCH($V$1,'DB PMI Manufacturing World'!$A$1:$AA$1,),)))</f>
        <v>53.4</v>
      </c>
      <c r="W23" s="37">
        <f>IF((VLOOKUP(B23,'DB PMI Manufacturing World'!$A:$AA,MATCH($W$1,'DB PMI Manufacturing World'!$A$1:$AA$1,),))=0,#N/A, (VLOOKUP(B23,'DB PMI Manufacturing World'!$A:$AA,MATCH($W$1,'DB PMI Manufacturing World'!$A$1:$AA$1,),)))</f>
        <v>54.2</v>
      </c>
      <c r="X23" s="37">
        <f>IF((VLOOKUP(B23,'DB PMI Manufacturing World'!$A:$AA,MATCH($X$1,'DB PMI Manufacturing World'!$A$1:$AA$1,),))=0,#N/A, (VLOOKUP(B23,'DB PMI Manufacturing World'!$A:$AA,MATCH($X$1,'DB PMI Manufacturing World'!$A$1:$AA$1,),)))</f>
        <v>55.4</v>
      </c>
      <c r="Y23" s="37">
        <f>IF((VLOOKUP(B23,'DB PMI Manufacturing World'!$A:$AA,MATCH($Y$1,'DB PMI Manufacturing World'!$A$1:$AA$1,),))=0,#N/A, (VLOOKUP(B23,'DB PMI Manufacturing World'!$A:$AA,MATCH($Y$1,'DB PMI Manufacturing World'!$A$1:$AA$1,),)))</f>
        <v>46.4</v>
      </c>
      <c r="Z23" s="37">
        <f>IF((VLOOKUP(B23,'DB PMI Manufacturing World'!$A:$AA,MATCH($Z$1,'DB PMI Manufacturing World'!$A$1:$AA$1,),))=0,#N/A, (VLOOKUP(B23,'DB PMI Manufacturing World'!$A:$AA,MATCH($Z$1,'DB PMI Manufacturing World'!$A$1:$AA$1,),)))</f>
        <v>56.5</v>
      </c>
      <c r="AA23" s="37">
        <f>IF((VLOOKUP(B23,'DB PMI Manufacturing World'!$A:$AA,MATCH($AA$1,'DB PMI Manufacturing World'!$A$1:$AA$1,),))=0,#N/A, (VLOOKUP(B23,'DB PMI Manufacturing World'!$A:$AA,MATCH($AA$1,'DB PMI Manufacturing World'!$A$1:$AA$1,),)))</f>
        <v>53.3</v>
      </c>
      <c r="AB23" s="37">
        <f>IF((VLOOKUP(B23,'DB PMI Manufacturing World'!$A:$AA,MATCH($AB$1,'DB PMI Manufacturing World'!$A$1:$AA$1,),))=0,#N/A, (VLOOKUP(B23,'DB PMI Manufacturing World'!$A:$AA,MATCH($AB$1,'DB PMI Manufacturing World'!$A$1:$AA$1,),)))</f>
        <v>47.78</v>
      </c>
    </row>
    <row r="24" spans="2:28" x14ac:dyDescent="0.35">
      <c r="B24" s="29">
        <v>43252</v>
      </c>
      <c r="C24" s="37">
        <f>IF((VLOOKUP(B24,'DB PMI Manufacturing World'!$A:$AA,MATCH($C$1,'DB PMI Manufacturing World'!$A$1:$AA$1,),))=0,#N/A, (VLOOKUP(B24,'DB PMI Manufacturing World'!$A:$AA,MATCH($C$1,'DB PMI Manufacturing World'!$A$1:$AA$1,),)))</f>
        <v>53</v>
      </c>
      <c r="D24" s="37">
        <f>IF((VLOOKUP(B24,'DB PMI Manufacturing World'!$A:$AA,MATCH($D$1,'DB PMI Manufacturing World'!$A$1:$AA$1,),))=0,#N/A, (VLOOKUP(B24,'DB PMI Manufacturing World'!$A:$AA,MATCH($D$1,'DB PMI Manufacturing World'!$A$1:$AA$1,),)))</f>
        <v>60.2</v>
      </c>
      <c r="E24" s="37">
        <f>IF((VLOOKUP(B24,'DB PMI Manufacturing World'!$A:$AA,MATCH($E$1,'DB PMI Manufacturing World'!$A$1:$AA$1,),))=0,#N/A, (VLOOKUP(B24,'DB PMI Manufacturing World'!$A:$AA,MATCH($E$1,'DB PMI Manufacturing World'!$A$1:$AA$1,),)))</f>
        <v>55.4</v>
      </c>
      <c r="F24" s="37">
        <f>IF((VLOOKUP(B24,'DB PMI Manufacturing World'!$A:$AA,MATCH($F$1,'DB PMI Manufacturing World'!$A$1:$AA$1,),))=0,#N/A, (VLOOKUP(B24,'DB PMI Manufacturing World'!$A:$AA,MATCH($F$1,'DB PMI Manufacturing World'!$A$1:$AA$1,),)))</f>
        <v>51</v>
      </c>
      <c r="G24" s="37">
        <f>IF((VLOOKUP(B24,'DB PMI Manufacturing World'!$A:$AA,MATCH($G$1,'DB PMI Manufacturing World'!$A$1:$AA$1,),))=0,#N/A, (VLOOKUP(B24,'DB PMI Manufacturing World'!$A:$AA,MATCH($G$1,'DB PMI Manufacturing World'!$A$1:$AA$1,),)))</f>
        <v>54.9</v>
      </c>
      <c r="H24" s="37">
        <f>IF((VLOOKUP(B24,'DB PMI Manufacturing World'!$A:$AA,MATCH($H$1,'DB PMI Manufacturing World'!$A$1:$AA$1,),))=0,#N/A, (VLOOKUP(B24,'DB PMI Manufacturing World'!$A:$AA,MATCH($H$1,'DB PMI Manufacturing World'!$A$1:$AA$1,),)))</f>
        <v>53</v>
      </c>
      <c r="I24" s="37">
        <f>IF((VLOOKUP(B24,'DB PMI Manufacturing World'!$A:$AA,MATCH($I$1,'DB PMI Manufacturing World'!$A$1:$AA$1,),))=0,#N/A, (VLOOKUP(B24,'DB PMI Manufacturing World'!$A:$AA,MATCH($I$1,'DB PMI Manufacturing World'!$A$1:$AA$1,),)))</f>
        <v>55.9</v>
      </c>
      <c r="J24" s="37">
        <f>IF((VLOOKUP(B24,'DB PMI Manufacturing World'!$A:$AA,MATCH($J$1,'DB PMI Manufacturing World'!$A$1:$AA$1,),))=0,#N/A, (VLOOKUP(B24,'DB PMI Manufacturing World'!$A:$AA,MATCH($J$1,'DB PMI Manufacturing World'!$A$1:$AA$1,),)))</f>
        <v>52.5</v>
      </c>
      <c r="K24" s="37">
        <f>IF((VLOOKUP(B24,'DB PMI Manufacturing World'!$A:$AA,MATCH($K$1,'DB PMI Manufacturing World'!$A$1:$AA$1,),))=0,#N/A, (VLOOKUP(B24,'DB PMI Manufacturing World'!$A:$AA,MATCH($K$1,'DB PMI Manufacturing World'!$A$1:$AA$1,),)))</f>
        <v>54.4</v>
      </c>
      <c r="L24" s="37">
        <f>IF((VLOOKUP(B24,'DB PMI Manufacturing World'!$A:$AA,MATCH($L$1,'DB PMI Manufacturing World'!$A$1:$AA$1,),))=0,#N/A, (VLOOKUP(B24,'DB PMI Manufacturing World'!$A:$AA,MATCH($L$1,'DB PMI Manufacturing World'!$A$1:$AA$1,),)))</f>
        <v>53.3</v>
      </c>
      <c r="M24" s="37">
        <f>IF((VLOOKUP(B24,'DB PMI Manufacturing World'!$A:$AA,MATCH($M$1,'DB PMI Manufacturing World'!$A$1:$AA$1,),))=0,#N/A, (VLOOKUP(B24,'DB PMI Manufacturing World'!$A:$AA,MATCH($M$1,'DB PMI Manufacturing World'!$A$1:$AA$1,),)))</f>
        <v>53.4</v>
      </c>
      <c r="N24" s="37">
        <f>IF((VLOOKUP(B24,'DB PMI Manufacturing World'!$A:$AA,MATCH($N$1,'DB PMI Manufacturing World'!$A$1:$AA$1,),))=0,#N/A, (VLOOKUP(B24,'DB PMI Manufacturing World'!$A:$AA,MATCH($N$1,'DB PMI Manufacturing World'!$A$1:$AA$1,),)))</f>
        <v>49.8</v>
      </c>
      <c r="O24" s="37">
        <f>IF((VLOOKUP(B24,'DB PMI Manufacturing World'!$A:$AA,MATCH($O$1,'DB PMI Manufacturing World'!$A$1:$AA$1,),))=0,#N/A, (VLOOKUP(B24,'DB PMI Manufacturing World'!$A:$AA,MATCH($O$1,'DB PMI Manufacturing World'!$A$1:$AA$1,),)))</f>
        <v>52.1</v>
      </c>
      <c r="P24" s="37">
        <f>IF((VLOOKUP(B24,'DB PMI Manufacturing World'!$A:$AA,MATCH($P$1,'DB PMI Manufacturing World'!$A$1:$AA$1,),))=0,#N/A, (VLOOKUP(B24,'DB PMI Manufacturing World'!$A:$AA,MATCH($P$1,'DB PMI Manufacturing World'!$A$1:$AA$1,),)))</f>
        <v>49.5</v>
      </c>
      <c r="Q24" s="37">
        <f>IF((VLOOKUP(B24,'DB PMI Manufacturing World'!$A:$AA,MATCH($Q$1,'DB PMI Manufacturing World'!$A$1:$AA$1,),))=0,#N/A, (VLOOKUP(B24,'DB PMI Manufacturing World'!$A:$AA,MATCH($Q$1,'DB PMI Manufacturing World'!$A$1:$AA$1,),)))</f>
        <v>53.1</v>
      </c>
      <c r="R24" s="37">
        <f>IF((VLOOKUP(B24,'DB PMI Manufacturing World'!$A:$AA,MATCH($R$1,'DB PMI Manufacturing World'!$A$1:$AA$1,),))=0,#N/A, (VLOOKUP(B24,'DB PMI Manufacturing World'!$A:$AA,MATCH($R$1,'DB PMI Manufacturing World'!$A$1:$AA$1,),)))</f>
        <v>57.1</v>
      </c>
      <c r="S24" s="37">
        <f>IF((VLOOKUP(B24,'DB PMI Manufacturing World'!$A:$AA,MATCH($S$1,'DB PMI Manufacturing World'!$A$1:$AA$1,),))=0,#N/A, (VLOOKUP(B24,'DB PMI Manufacturing World'!$A:$AA,MATCH($S$1,'DB PMI Manufacturing World'!$A$1:$AA$1,),)))</f>
        <v>57.4</v>
      </c>
      <c r="T24" s="37">
        <f>IF((VLOOKUP(B24,'DB PMI Manufacturing World'!$A:$AA,MATCH($T$1,'DB PMI Manufacturing World'!$A$1:$AA$1,),))=0,#N/A, (VLOOKUP(B24,'DB PMI Manufacturing World'!$A:$AA,MATCH($T$1,'DB PMI Manufacturing World'!$A$1:$AA$1,),)))</f>
        <v>50.3</v>
      </c>
      <c r="U24" s="37">
        <f>IF((VLOOKUP(B24,'DB PMI Manufacturing World'!$A:$AA,MATCH($U$1,'DB PMI Manufacturing World'!$A$1:$AA$1,),))=0,#N/A, (VLOOKUP(B24,'DB PMI Manufacturing World'!$A:$AA,MATCH($U$1,'DB PMI Manufacturing World'!$A$1:$AA$1,),)))</f>
        <v>49.8</v>
      </c>
      <c r="V24" s="37">
        <f>IF((VLOOKUP(B24,'DB PMI Manufacturing World'!$A:$AA,MATCH($V$1,'DB PMI Manufacturing World'!$A$1:$AA$1,),))=0,#N/A, (VLOOKUP(B24,'DB PMI Manufacturing World'!$A:$AA,MATCH($V$1,'DB PMI Manufacturing World'!$A$1:$AA$1,),)))</f>
        <v>54.5</v>
      </c>
      <c r="W24" s="37">
        <f>IF((VLOOKUP(B24,'DB PMI Manufacturing World'!$A:$AA,MATCH($W$1,'DB PMI Manufacturing World'!$A$1:$AA$1,),))=0,#N/A, (VLOOKUP(B24,'DB PMI Manufacturing World'!$A:$AA,MATCH($W$1,'DB PMI Manufacturing World'!$A$1:$AA$1,),)))</f>
        <v>53.5</v>
      </c>
      <c r="X24" s="37">
        <f>IF((VLOOKUP(B24,'DB PMI Manufacturing World'!$A:$AA,MATCH($X$1,'DB PMI Manufacturing World'!$A$1:$AA$1,),))=0,#N/A, (VLOOKUP(B24,'DB PMI Manufacturing World'!$A:$AA,MATCH($X$1,'DB PMI Manufacturing World'!$A$1:$AA$1,),)))</f>
        <v>56.6</v>
      </c>
      <c r="Y24" s="37">
        <f>IF((VLOOKUP(B24,'DB PMI Manufacturing World'!$A:$AA,MATCH($Y$1,'DB PMI Manufacturing World'!$A$1:$AA$1,),))=0,#N/A, (VLOOKUP(B24,'DB PMI Manufacturing World'!$A:$AA,MATCH($Y$1,'DB PMI Manufacturing World'!$A$1:$AA$1,),)))</f>
        <v>46.8</v>
      </c>
      <c r="Z24" s="37">
        <f>IF((VLOOKUP(B24,'DB PMI Manufacturing World'!$A:$AA,MATCH($Z$1,'DB PMI Manufacturing World'!$A$1:$AA$1,),))=0,#N/A, (VLOOKUP(B24,'DB PMI Manufacturing World'!$A:$AA,MATCH($Z$1,'DB PMI Manufacturing World'!$A$1:$AA$1,),)))</f>
        <v>56.8</v>
      </c>
      <c r="AA24" s="37">
        <f>IF((VLOOKUP(B24,'DB PMI Manufacturing World'!$A:$AA,MATCH($AA$1,'DB PMI Manufacturing World'!$A$1:$AA$1,),))=0,#N/A, (VLOOKUP(B24,'DB PMI Manufacturing World'!$A:$AA,MATCH($AA$1,'DB PMI Manufacturing World'!$A$1:$AA$1,),)))</f>
        <v>54.2</v>
      </c>
      <c r="AB24" s="37">
        <f>IF((VLOOKUP(B24,'DB PMI Manufacturing World'!$A:$AA,MATCH($AB$1,'DB PMI Manufacturing World'!$A$1:$AA$1,),))=0,#N/A, (VLOOKUP(B24,'DB PMI Manufacturing World'!$A:$AA,MATCH($AB$1,'DB PMI Manufacturing World'!$A$1:$AA$1,),)))</f>
        <v>49.8</v>
      </c>
    </row>
    <row r="25" spans="2:28" x14ac:dyDescent="0.35">
      <c r="B25" s="29">
        <v>43282</v>
      </c>
      <c r="C25" s="37">
        <f>IF((VLOOKUP(B25,'DB PMI Manufacturing World'!$A:$AA,MATCH($C$1,'DB PMI Manufacturing World'!$A$1:$AA$1,),))=0,#N/A, (VLOOKUP(B25,'DB PMI Manufacturing World'!$A:$AA,MATCH($C$1,'DB PMI Manufacturing World'!$A$1:$AA$1,),)))</f>
        <v>52.8</v>
      </c>
      <c r="D25" s="37">
        <f>IF((VLOOKUP(B25,'DB PMI Manufacturing World'!$A:$AA,MATCH($D$1,'DB PMI Manufacturing World'!$A$1:$AA$1,),))=0,#N/A, (VLOOKUP(B25,'DB PMI Manufacturing World'!$A:$AA,MATCH($D$1,'DB PMI Manufacturing World'!$A$1:$AA$1,),)))</f>
        <v>58.1</v>
      </c>
      <c r="E25" s="37">
        <f>IF((VLOOKUP(B25,'DB PMI Manufacturing World'!$A:$AA,MATCH($E$1,'DB PMI Manufacturing World'!$A$1:$AA$1,),))=0,#N/A, (VLOOKUP(B25,'DB PMI Manufacturing World'!$A:$AA,MATCH($E$1,'DB PMI Manufacturing World'!$A$1:$AA$1,),)))</f>
        <v>55.3</v>
      </c>
      <c r="F25" s="37">
        <f>IF((VLOOKUP(B25,'DB PMI Manufacturing World'!$A:$AA,MATCH($F$1,'DB PMI Manufacturing World'!$A$1:$AA$1,),))=0,#N/A, (VLOOKUP(B25,'DB PMI Manufacturing World'!$A:$AA,MATCH($F$1,'DB PMI Manufacturing World'!$A$1:$AA$1,),)))</f>
        <v>50.8</v>
      </c>
      <c r="G25" s="37">
        <f>IF((VLOOKUP(B25,'DB PMI Manufacturing World'!$A:$AA,MATCH($G$1,'DB PMI Manufacturing World'!$A$1:$AA$1,),))=0,#N/A, (VLOOKUP(B25,'DB PMI Manufacturing World'!$A:$AA,MATCH($G$1,'DB PMI Manufacturing World'!$A$1:$AA$1,),)))</f>
        <v>55.1</v>
      </c>
      <c r="H25" s="37">
        <f>IF((VLOOKUP(B25,'DB PMI Manufacturing World'!$A:$AA,MATCH($H$1,'DB PMI Manufacturing World'!$A$1:$AA$1,),))=0,#N/A, (VLOOKUP(B25,'DB PMI Manufacturing World'!$A:$AA,MATCH($H$1,'DB PMI Manufacturing World'!$A$1:$AA$1,),)))</f>
        <v>52.3</v>
      </c>
      <c r="I25" s="37">
        <f>IF((VLOOKUP(B25,'DB PMI Manufacturing World'!$A:$AA,MATCH($I$1,'DB PMI Manufacturing World'!$A$1:$AA$1,),))=0,#N/A, (VLOOKUP(B25,'DB PMI Manufacturing World'!$A:$AA,MATCH($I$1,'DB PMI Manufacturing World'!$A$1:$AA$1,),)))</f>
        <v>56.9</v>
      </c>
      <c r="J25" s="37">
        <f>IF((VLOOKUP(B25,'DB PMI Manufacturing World'!$A:$AA,MATCH($J$1,'DB PMI Manufacturing World'!$A$1:$AA$1,),))=0,#N/A, (VLOOKUP(B25,'DB PMI Manufacturing World'!$A:$AA,MATCH($J$1,'DB PMI Manufacturing World'!$A$1:$AA$1,),)))</f>
        <v>53.3</v>
      </c>
      <c r="K25" s="37">
        <f>IF((VLOOKUP(B25,'DB PMI Manufacturing World'!$A:$AA,MATCH($K$1,'DB PMI Manufacturing World'!$A$1:$AA$1,),))=0,#N/A, (VLOOKUP(B25,'DB PMI Manufacturing World'!$A:$AA,MATCH($K$1,'DB PMI Manufacturing World'!$A$1:$AA$1,),)))</f>
        <v>54</v>
      </c>
      <c r="L25" s="37">
        <f>IF((VLOOKUP(B25,'DB PMI Manufacturing World'!$A:$AA,MATCH($L$1,'DB PMI Manufacturing World'!$A$1:$AA$1,),))=0,#N/A, (VLOOKUP(B25,'DB PMI Manufacturing World'!$A:$AA,MATCH($L$1,'DB PMI Manufacturing World'!$A$1:$AA$1,),)))</f>
        <v>51.5</v>
      </c>
      <c r="M25" s="37">
        <f>IF((VLOOKUP(B25,'DB PMI Manufacturing World'!$A:$AA,MATCH($M$1,'DB PMI Manufacturing World'!$A$1:$AA$1,),))=0,#N/A, (VLOOKUP(B25,'DB PMI Manufacturing World'!$A:$AA,MATCH($M$1,'DB PMI Manufacturing World'!$A$1:$AA$1,),)))</f>
        <v>52.9</v>
      </c>
      <c r="N25" s="37">
        <f>IF((VLOOKUP(B25,'DB PMI Manufacturing World'!$A:$AA,MATCH($N$1,'DB PMI Manufacturing World'!$A$1:$AA$1,),))=0,#N/A, (VLOOKUP(B25,'DB PMI Manufacturing World'!$A:$AA,MATCH($N$1,'DB PMI Manufacturing World'!$A$1:$AA$1,),)))</f>
        <v>50.5</v>
      </c>
      <c r="O25" s="37">
        <f>IF((VLOOKUP(B25,'DB PMI Manufacturing World'!$A:$AA,MATCH($O$1,'DB PMI Manufacturing World'!$A$1:$AA$1,),))=0,#N/A, (VLOOKUP(B25,'DB PMI Manufacturing World'!$A:$AA,MATCH($O$1,'DB PMI Manufacturing World'!$A$1:$AA$1,),)))</f>
        <v>52.1</v>
      </c>
      <c r="P25" s="37">
        <f>IF((VLOOKUP(B25,'DB PMI Manufacturing World'!$A:$AA,MATCH($P$1,'DB PMI Manufacturing World'!$A$1:$AA$1,),))=0,#N/A, (VLOOKUP(B25,'DB PMI Manufacturing World'!$A:$AA,MATCH($P$1,'DB PMI Manufacturing World'!$A$1:$AA$1,),)))</f>
        <v>48.1</v>
      </c>
      <c r="Q25" s="37">
        <f>IF((VLOOKUP(B25,'DB PMI Manufacturing World'!$A:$AA,MATCH($Q$1,'DB PMI Manufacturing World'!$A$1:$AA$1,),))=0,#N/A, (VLOOKUP(B25,'DB PMI Manufacturing World'!$A:$AA,MATCH($Q$1,'DB PMI Manufacturing World'!$A$1:$AA$1,),)))</f>
        <v>52.3</v>
      </c>
      <c r="R25" s="37">
        <f>IF((VLOOKUP(B25,'DB PMI Manufacturing World'!$A:$AA,MATCH($R$1,'DB PMI Manufacturing World'!$A$1:$AA$1,),))=0,#N/A, (VLOOKUP(B25,'DB PMI Manufacturing World'!$A:$AA,MATCH($R$1,'DB PMI Manufacturing World'!$A$1:$AA$1,),)))</f>
        <v>56.9</v>
      </c>
      <c r="S25" s="37">
        <f>IF((VLOOKUP(B25,'DB PMI Manufacturing World'!$A:$AA,MATCH($S$1,'DB PMI Manufacturing World'!$A$1:$AA$1,),))=0,#N/A, (VLOOKUP(B25,'DB PMI Manufacturing World'!$A:$AA,MATCH($S$1,'DB PMI Manufacturing World'!$A$1:$AA$1,),)))</f>
        <v>52</v>
      </c>
      <c r="T25" s="37">
        <f>IF((VLOOKUP(B25,'DB PMI Manufacturing World'!$A:$AA,MATCH($T$1,'DB PMI Manufacturing World'!$A$1:$AA$1,),))=0,#N/A, (VLOOKUP(B25,'DB PMI Manufacturing World'!$A:$AA,MATCH($T$1,'DB PMI Manufacturing World'!$A$1:$AA$1,),)))</f>
        <v>50.5</v>
      </c>
      <c r="U25" s="37">
        <f>IF((VLOOKUP(B25,'DB PMI Manufacturing World'!$A:$AA,MATCH($U$1,'DB PMI Manufacturing World'!$A$1:$AA$1,),))=0,#N/A, (VLOOKUP(B25,'DB PMI Manufacturing World'!$A:$AA,MATCH($U$1,'DB PMI Manufacturing World'!$A$1:$AA$1,),)))</f>
        <v>48.3</v>
      </c>
      <c r="V25" s="37">
        <f>IF((VLOOKUP(B25,'DB PMI Manufacturing World'!$A:$AA,MATCH($V$1,'DB PMI Manufacturing World'!$A$1:$AA$1,),))=0,#N/A, (VLOOKUP(B25,'DB PMI Manufacturing World'!$A:$AA,MATCH($V$1,'DB PMI Manufacturing World'!$A$1:$AA$1,),)))</f>
        <v>53.1</v>
      </c>
      <c r="W25" s="37">
        <f>IF((VLOOKUP(B25,'DB PMI Manufacturing World'!$A:$AA,MATCH($W$1,'DB PMI Manufacturing World'!$A$1:$AA$1,),))=0,#N/A, (VLOOKUP(B25,'DB PMI Manufacturing World'!$A:$AA,MATCH($W$1,'DB PMI Manufacturing World'!$A$1:$AA$1,),)))</f>
        <v>53.5</v>
      </c>
      <c r="X25" s="37">
        <f>IF((VLOOKUP(B25,'DB PMI Manufacturing World'!$A:$AA,MATCH($X$1,'DB PMI Manufacturing World'!$A$1:$AA$1,),))=0,#N/A, (VLOOKUP(B25,'DB PMI Manufacturing World'!$A:$AA,MATCH($X$1,'DB PMI Manufacturing World'!$A$1:$AA$1,),)))</f>
        <v>56.3</v>
      </c>
      <c r="Y25" s="37">
        <f>IF((VLOOKUP(B25,'DB PMI Manufacturing World'!$A:$AA,MATCH($Y$1,'DB PMI Manufacturing World'!$A$1:$AA$1,),))=0,#N/A, (VLOOKUP(B25,'DB PMI Manufacturing World'!$A:$AA,MATCH($Y$1,'DB PMI Manufacturing World'!$A$1:$AA$1,),)))</f>
        <v>49</v>
      </c>
      <c r="Z25" s="37">
        <f>IF((VLOOKUP(B25,'DB PMI Manufacturing World'!$A:$AA,MATCH($Z$1,'DB PMI Manufacturing World'!$A$1:$AA$1,),))=0,#N/A, (VLOOKUP(B25,'DB PMI Manufacturing World'!$A:$AA,MATCH($Z$1,'DB PMI Manufacturing World'!$A$1:$AA$1,),)))</f>
        <v>55.4</v>
      </c>
      <c r="AA25" s="37">
        <f>IF((VLOOKUP(B25,'DB PMI Manufacturing World'!$A:$AA,MATCH($AA$1,'DB PMI Manufacturing World'!$A$1:$AA$1,),))=0,#N/A, (VLOOKUP(B25,'DB PMI Manufacturing World'!$A:$AA,MATCH($AA$1,'DB PMI Manufacturing World'!$A$1:$AA$1,),)))</f>
        <v>52.9</v>
      </c>
      <c r="AB25" s="37">
        <f>IF((VLOOKUP(B25,'DB PMI Manufacturing World'!$A:$AA,MATCH($AB$1,'DB PMI Manufacturing World'!$A$1:$AA$1,),))=0,#N/A, (VLOOKUP(B25,'DB PMI Manufacturing World'!$A:$AA,MATCH($AB$1,'DB PMI Manufacturing World'!$A$1:$AA$1,),)))</f>
        <v>55.7</v>
      </c>
    </row>
    <row r="26" spans="2:28" x14ac:dyDescent="0.35">
      <c r="B26" s="29">
        <v>43313</v>
      </c>
      <c r="C26" s="37">
        <f>IF((VLOOKUP(B26,'DB PMI Manufacturing World'!$A:$AA,MATCH($C$1,'DB PMI Manufacturing World'!$A$1:$AA$1,),))=0,#N/A, (VLOOKUP(B26,'DB PMI Manufacturing World'!$A:$AA,MATCH($C$1,'DB PMI Manufacturing World'!$A$1:$AA$1,),)))</f>
        <v>52.6</v>
      </c>
      <c r="D26" s="37">
        <f>IF((VLOOKUP(B26,'DB PMI Manufacturing World'!$A:$AA,MATCH($D$1,'DB PMI Manufacturing World'!$A$1:$AA$1,),))=0,#N/A, (VLOOKUP(B26,'DB PMI Manufacturing World'!$A:$AA,MATCH($D$1,'DB PMI Manufacturing World'!$A$1:$AA$1,),)))</f>
        <v>61.3</v>
      </c>
      <c r="E26" s="37">
        <f>IF((VLOOKUP(B26,'DB PMI Manufacturing World'!$A:$AA,MATCH($E$1,'DB PMI Manufacturing World'!$A$1:$AA$1,),))=0,#N/A, (VLOOKUP(B26,'DB PMI Manufacturing World'!$A:$AA,MATCH($E$1,'DB PMI Manufacturing World'!$A$1:$AA$1,),)))</f>
        <v>54.5</v>
      </c>
      <c r="F26" s="37">
        <f>IF((VLOOKUP(B26,'DB PMI Manufacturing World'!$A:$AA,MATCH($F$1,'DB PMI Manufacturing World'!$A$1:$AA$1,),))=0,#N/A, (VLOOKUP(B26,'DB PMI Manufacturing World'!$A:$AA,MATCH($F$1,'DB PMI Manufacturing World'!$A$1:$AA$1,),)))</f>
        <v>50.6</v>
      </c>
      <c r="G26" s="37">
        <f>IF((VLOOKUP(B26,'DB PMI Manufacturing World'!$A:$AA,MATCH($G$1,'DB PMI Manufacturing World'!$A$1:$AA$1,),))=0,#N/A, (VLOOKUP(B26,'DB PMI Manufacturing World'!$A:$AA,MATCH($G$1,'DB PMI Manufacturing World'!$A$1:$AA$1,),)))</f>
        <v>54.6</v>
      </c>
      <c r="H26" s="37">
        <f>IF((VLOOKUP(B26,'DB PMI Manufacturing World'!$A:$AA,MATCH($H$1,'DB PMI Manufacturing World'!$A$1:$AA$1,),))=0,#N/A, (VLOOKUP(B26,'DB PMI Manufacturing World'!$A:$AA,MATCH($H$1,'DB PMI Manufacturing World'!$A$1:$AA$1,),)))</f>
        <v>52.5</v>
      </c>
      <c r="I26" s="37">
        <f>IF((VLOOKUP(B26,'DB PMI Manufacturing World'!$A:$AA,MATCH($I$1,'DB PMI Manufacturing World'!$A$1:$AA$1,),))=0,#N/A, (VLOOKUP(B26,'DB PMI Manufacturing World'!$A:$AA,MATCH($I$1,'DB PMI Manufacturing World'!$A$1:$AA$1,),)))</f>
        <v>55.9</v>
      </c>
      <c r="J26" s="37">
        <f>IF((VLOOKUP(B26,'DB PMI Manufacturing World'!$A:$AA,MATCH($J$1,'DB PMI Manufacturing World'!$A$1:$AA$1,),))=0,#N/A, (VLOOKUP(B26,'DB PMI Manufacturing World'!$A:$AA,MATCH($J$1,'DB PMI Manufacturing World'!$A$1:$AA$1,),)))</f>
        <v>53.5</v>
      </c>
      <c r="K26" s="37">
        <f>IF((VLOOKUP(B26,'DB PMI Manufacturing World'!$A:$AA,MATCH($K$1,'DB PMI Manufacturing World'!$A$1:$AA$1,),))=0,#N/A, (VLOOKUP(B26,'DB PMI Manufacturing World'!$A:$AA,MATCH($K$1,'DB PMI Manufacturing World'!$A$1:$AA$1,),)))</f>
        <v>52.8</v>
      </c>
      <c r="L26" s="37">
        <f>IF((VLOOKUP(B26,'DB PMI Manufacturing World'!$A:$AA,MATCH($L$1,'DB PMI Manufacturing World'!$A$1:$AA$1,),))=0,#N/A, (VLOOKUP(B26,'DB PMI Manufacturing World'!$A:$AA,MATCH($L$1,'DB PMI Manufacturing World'!$A$1:$AA$1,),)))</f>
        <v>50.1</v>
      </c>
      <c r="M26" s="37">
        <f>IF((VLOOKUP(B26,'DB PMI Manufacturing World'!$A:$AA,MATCH($M$1,'DB PMI Manufacturing World'!$A$1:$AA$1,),))=0,#N/A, (VLOOKUP(B26,'DB PMI Manufacturing World'!$A:$AA,MATCH($M$1,'DB PMI Manufacturing World'!$A$1:$AA$1,),)))</f>
        <v>53</v>
      </c>
      <c r="N26" s="37">
        <f>IF((VLOOKUP(B26,'DB PMI Manufacturing World'!$A:$AA,MATCH($N$1,'DB PMI Manufacturing World'!$A$1:$AA$1,),))=0,#N/A, (VLOOKUP(B26,'DB PMI Manufacturing World'!$A:$AA,MATCH($N$1,'DB PMI Manufacturing World'!$A$1:$AA$1,),)))</f>
        <v>51.1</v>
      </c>
      <c r="O26" s="37">
        <f>IF((VLOOKUP(B26,'DB PMI Manufacturing World'!$A:$AA,MATCH($O$1,'DB PMI Manufacturing World'!$A$1:$AA$1,),))=0,#N/A, (VLOOKUP(B26,'DB PMI Manufacturing World'!$A:$AA,MATCH($O$1,'DB PMI Manufacturing World'!$A$1:$AA$1,),)))</f>
        <v>50.7</v>
      </c>
      <c r="P26" s="37">
        <f>IF((VLOOKUP(B26,'DB PMI Manufacturing World'!$A:$AA,MATCH($P$1,'DB PMI Manufacturing World'!$A$1:$AA$1,),))=0,#N/A, (VLOOKUP(B26,'DB PMI Manufacturing World'!$A:$AA,MATCH($P$1,'DB PMI Manufacturing World'!$A$1:$AA$1,),)))</f>
        <v>48.9</v>
      </c>
      <c r="Q26" s="37">
        <f>IF((VLOOKUP(B26,'DB PMI Manufacturing World'!$A:$AA,MATCH($Q$1,'DB PMI Manufacturing World'!$A$1:$AA$1,),))=0,#N/A, (VLOOKUP(B26,'DB PMI Manufacturing World'!$A:$AA,MATCH($Q$1,'DB PMI Manufacturing World'!$A$1:$AA$1,),)))</f>
        <v>51.7</v>
      </c>
      <c r="R26" s="37">
        <f>IF((VLOOKUP(B26,'DB PMI Manufacturing World'!$A:$AA,MATCH($R$1,'DB PMI Manufacturing World'!$A$1:$AA$1,),))=0,#N/A, (VLOOKUP(B26,'DB PMI Manufacturing World'!$A:$AA,MATCH($R$1,'DB PMI Manufacturing World'!$A$1:$AA$1,),)))</f>
        <v>56.8</v>
      </c>
      <c r="S26" s="37">
        <f>IF((VLOOKUP(B26,'DB PMI Manufacturing World'!$A:$AA,MATCH($S$1,'DB PMI Manufacturing World'!$A$1:$AA$1,),))=0,#N/A, (VLOOKUP(B26,'DB PMI Manufacturing World'!$A:$AA,MATCH($S$1,'DB PMI Manufacturing World'!$A$1:$AA$1,),)))</f>
        <v>56.7</v>
      </c>
      <c r="T26" s="37">
        <f>IF((VLOOKUP(B26,'DB PMI Manufacturing World'!$A:$AA,MATCH($T$1,'DB PMI Manufacturing World'!$A$1:$AA$1,),))=0,#N/A, (VLOOKUP(B26,'DB PMI Manufacturing World'!$A:$AA,MATCH($T$1,'DB PMI Manufacturing World'!$A$1:$AA$1,),)))</f>
        <v>51.9</v>
      </c>
      <c r="U26" s="37">
        <f>IF((VLOOKUP(B26,'DB PMI Manufacturing World'!$A:$AA,MATCH($U$1,'DB PMI Manufacturing World'!$A$1:$AA$1,),))=0,#N/A, (VLOOKUP(B26,'DB PMI Manufacturing World'!$A:$AA,MATCH($U$1,'DB PMI Manufacturing World'!$A$1:$AA$1,),)))</f>
        <v>49.9</v>
      </c>
      <c r="V26" s="37">
        <f>IF((VLOOKUP(B26,'DB PMI Manufacturing World'!$A:$AA,MATCH($V$1,'DB PMI Manufacturing World'!$A$1:$AA$1,),))=0,#N/A, (VLOOKUP(B26,'DB PMI Manufacturing World'!$A:$AA,MATCH($V$1,'DB PMI Manufacturing World'!$A$1:$AA$1,),)))</f>
        <v>53</v>
      </c>
      <c r="W26" s="37">
        <f>IF((VLOOKUP(B26,'DB PMI Manufacturing World'!$A:$AA,MATCH($W$1,'DB PMI Manufacturing World'!$A$1:$AA$1,),))=0,#N/A, (VLOOKUP(B26,'DB PMI Manufacturing World'!$A:$AA,MATCH($W$1,'DB PMI Manufacturing World'!$A$1:$AA$1,),)))</f>
        <v>53.9</v>
      </c>
      <c r="X26" s="37">
        <f>IF((VLOOKUP(B26,'DB PMI Manufacturing World'!$A:$AA,MATCH($X$1,'DB PMI Manufacturing World'!$A$1:$AA$1,),))=0,#N/A, (VLOOKUP(B26,'DB PMI Manufacturing World'!$A:$AA,MATCH($X$1,'DB PMI Manufacturing World'!$A$1:$AA$1,),)))</f>
        <v>57.5</v>
      </c>
      <c r="Y26" s="37">
        <f>IF((VLOOKUP(B26,'DB PMI Manufacturing World'!$A:$AA,MATCH($Y$1,'DB PMI Manufacturing World'!$A$1:$AA$1,),))=0,#N/A, (VLOOKUP(B26,'DB PMI Manufacturing World'!$A:$AA,MATCH($Y$1,'DB PMI Manufacturing World'!$A$1:$AA$1,),)))</f>
        <v>46.4</v>
      </c>
      <c r="Z26" s="37">
        <f>IF((VLOOKUP(B26,'DB PMI Manufacturing World'!$A:$AA,MATCH($Z$1,'DB PMI Manufacturing World'!$A$1:$AA$1,),))=0,#N/A, (VLOOKUP(B26,'DB PMI Manufacturing World'!$A:$AA,MATCH($Z$1,'DB PMI Manufacturing World'!$A$1:$AA$1,),)))</f>
        <v>54.9</v>
      </c>
      <c r="AA26" s="37">
        <f>IF((VLOOKUP(B26,'DB PMI Manufacturing World'!$A:$AA,MATCH($AA$1,'DB PMI Manufacturing World'!$A$1:$AA$1,),))=0,#N/A, (VLOOKUP(B26,'DB PMI Manufacturing World'!$A:$AA,MATCH($AA$1,'DB PMI Manufacturing World'!$A$1:$AA$1,),)))</f>
        <v>51.4</v>
      </c>
      <c r="AB26" s="37">
        <f>IF((VLOOKUP(B26,'DB PMI Manufacturing World'!$A:$AA,MATCH($AB$1,'DB PMI Manufacturing World'!$A$1:$AA$1,),))=0,#N/A, (VLOOKUP(B26,'DB PMI Manufacturing World'!$A:$AA,MATCH($AB$1,'DB PMI Manufacturing World'!$A$1:$AA$1,),)))</f>
        <v>59.15</v>
      </c>
    </row>
    <row r="27" spans="2:28" x14ac:dyDescent="0.35">
      <c r="B27" s="29">
        <v>43344</v>
      </c>
      <c r="C27" s="37">
        <f>IF((VLOOKUP(B27,'DB PMI Manufacturing World'!$A:$AA,MATCH($C$1,'DB PMI Manufacturing World'!$A$1:$AA$1,),))=0,#N/A, (VLOOKUP(B27,'DB PMI Manufacturing World'!$A:$AA,MATCH($C$1,'DB PMI Manufacturing World'!$A$1:$AA$1,),)))</f>
        <v>52.2</v>
      </c>
      <c r="D27" s="37">
        <f>IF((VLOOKUP(B27,'DB PMI Manufacturing World'!$A:$AA,MATCH($D$1,'DB PMI Manufacturing World'!$A$1:$AA$1,),))=0,#N/A, (VLOOKUP(B27,'DB PMI Manufacturing World'!$A:$AA,MATCH($D$1,'DB PMI Manufacturing World'!$A$1:$AA$1,),)))</f>
        <v>59.8</v>
      </c>
      <c r="E27" s="37">
        <f>IF((VLOOKUP(B27,'DB PMI Manufacturing World'!$A:$AA,MATCH($E$1,'DB PMI Manufacturing World'!$A$1:$AA$1,),))=0,#N/A, (VLOOKUP(B27,'DB PMI Manufacturing World'!$A:$AA,MATCH($E$1,'DB PMI Manufacturing World'!$A$1:$AA$1,),)))</f>
        <v>55.6</v>
      </c>
      <c r="F27" s="37">
        <f>IF((VLOOKUP(B27,'DB PMI Manufacturing World'!$A:$AA,MATCH($F$1,'DB PMI Manufacturing World'!$A$1:$AA$1,),))=0,#N/A, (VLOOKUP(B27,'DB PMI Manufacturing World'!$A:$AA,MATCH($F$1,'DB PMI Manufacturing World'!$A$1:$AA$1,),)))</f>
        <v>50</v>
      </c>
      <c r="G27" s="37">
        <f>IF((VLOOKUP(B27,'DB PMI Manufacturing World'!$A:$AA,MATCH($G$1,'DB PMI Manufacturing World'!$A$1:$AA$1,),))=0,#N/A, (VLOOKUP(B27,'DB PMI Manufacturing World'!$A:$AA,MATCH($G$1,'DB PMI Manufacturing World'!$A$1:$AA$1,),)))</f>
        <v>53.2</v>
      </c>
      <c r="H27" s="37">
        <f>IF((VLOOKUP(B27,'DB PMI Manufacturing World'!$A:$AA,MATCH($H$1,'DB PMI Manufacturing World'!$A$1:$AA$1,),))=0,#N/A, (VLOOKUP(B27,'DB PMI Manufacturing World'!$A:$AA,MATCH($H$1,'DB PMI Manufacturing World'!$A$1:$AA$1,),)))</f>
        <v>52.5</v>
      </c>
      <c r="I27" s="37">
        <f>IF((VLOOKUP(B27,'DB PMI Manufacturing World'!$A:$AA,MATCH($I$1,'DB PMI Manufacturing World'!$A$1:$AA$1,),))=0,#N/A, (VLOOKUP(B27,'DB PMI Manufacturing World'!$A:$AA,MATCH($I$1,'DB PMI Manufacturing World'!$A$1:$AA$1,),)))</f>
        <v>53.7</v>
      </c>
      <c r="J27" s="37">
        <f>IF((VLOOKUP(B27,'DB PMI Manufacturing World'!$A:$AA,MATCH($J$1,'DB PMI Manufacturing World'!$A$1:$AA$1,),))=0,#N/A, (VLOOKUP(B27,'DB PMI Manufacturing World'!$A:$AA,MATCH($J$1,'DB PMI Manufacturing World'!$A$1:$AA$1,),)))</f>
        <v>52.5</v>
      </c>
      <c r="K27" s="37">
        <f>IF((VLOOKUP(B27,'DB PMI Manufacturing World'!$A:$AA,MATCH($K$1,'DB PMI Manufacturing World'!$A$1:$AA$1,),))=0,#N/A, (VLOOKUP(B27,'DB PMI Manufacturing World'!$A:$AA,MATCH($K$1,'DB PMI Manufacturing World'!$A$1:$AA$1,),)))</f>
        <v>53.8</v>
      </c>
      <c r="L27" s="37">
        <f>IF((VLOOKUP(B27,'DB PMI Manufacturing World'!$A:$AA,MATCH($L$1,'DB PMI Manufacturing World'!$A$1:$AA$1,),))=0,#N/A, (VLOOKUP(B27,'DB PMI Manufacturing World'!$A:$AA,MATCH($L$1,'DB PMI Manufacturing World'!$A$1:$AA$1,),)))</f>
        <v>50</v>
      </c>
      <c r="M27" s="37">
        <f>IF((VLOOKUP(B27,'DB PMI Manufacturing World'!$A:$AA,MATCH($M$1,'DB PMI Manufacturing World'!$A$1:$AA$1,),))=0,#N/A, (VLOOKUP(B27,'DB PMI Manufacturing World'!$A:$AA,MATCH($M$1,'DB PMI Manufacturing World'!$A$1:$AA$1,),)))</f>
        <v>51.4</v>
      </c>
      <c r="N27" s="37">
        <f>IF((VLOOKUP(B27,'DB PMI Manufacturing World'!$A:$AA,MATCH($N$1,'DB PMI Manufacturing World'!$A$1:$AA$1,),))=0,#N/A, (VLOOKUP(B27,'DB PMI Manufacturing World'!$A:$AA,MATCH($N$1,'DB PMI Manufacturing World'!$A$1:$AA$1,),)))</f>
        <v>50.9</v>
      </c>
      <c r="O27" s="37">
        <f>IF((VLOOKUP(B27,'DB PMI Manufacturing World'!$A:$AA,MATCH($O$1,'DB PMI Manufacturing World'!$A$1:$AA$1,),))=0,#N/A, (VLOOKUP(B27,'DB PMI Manufacturing World'!$A:$AA,MATCH($O$1,'DB PMI Manufacturing World'!$A$1:$AA$1,),)))</f>
        <v>51.7</v>
      </c>
      <c r="P27" s="37">
        <f>IF((VLOOKUP(B27,'DB PMI Manufacturing World'!$A:$AA,MATCH($P$1,'DB PMI Manufacturing World'!$A$1:$AA$1,),))=0,#N/A, (VLOOKUP(B27,'DB PMI Manufacturing World'!$A:$AA,MATCH($P$1,'DB PMI Manufacturing World'!$A$1:$AA$1,),)))</f>
        <v>50</v>
      </c>
      <c r="Q27" s="37">
        <f>IF((VLOOKUP(B27,'DB PMI Manufacturing World'!$A:$AA,MATCH($Q$1,'DB PMI Manufacturing World'!$A$1:$AA$1,),))=0,#N/A, (VLOOKUP(B27,'DB PMI Manufacturing World'!$A:$AA,MATCH($Q$1,'DB PMI Manufacturing World'!$A$1:$AA$1,),)))</f>
        <v>52.2</v>
      </c>
      <c r="R27" s="37">
        <f>IF((VLOOKUP(B27,'DB PMI Manufacturing World'!$A:$AA,MATCH($R$1,'DB PMI Manufacturing World'!$A$1:$AA$1,),))=0,#N/A, (VLOOKUP(B27,'DB PMI Manufacturing World'!$A:$AA,MATCH($R$1,'DB PMI Manufacturing World'!$A$1:$AA$1,),)))</f>
        <v>54.8</v>
      </c>
      <c r="S27" s="37">
        <f>IF((VLOOKUP(B27,'DB PMI Manufacturing World'!$A:$AA,MATCH($S$1,'DB PMI Manufacturing World'!$A$1:$AA$1,),))=0,#N/A, (VLOOKUP(B27,'DB PMI Manufacturing World'!$A:$AA,MATCH($S$1,'DB PMI Manufacturing World'!$A$1:$AA$1,),)))</f>
        <v>59</v>
      </c>
      <c r="T27" s="37">
        <f>IF((VLOOKUP(B27,'DB PMI Manufacturing World'!$A:$AA,MATCH($T$1,'DB PMI Manufacturing World'!$A$1:$AA$1,),))=0,#N/A, (VLOOKUP(B27,'DB PMI Manufacturing World'!$A:$AA,MATCH($T$1,'DB PMI Manufacturing World'!$A$1:$AA$1,),)))</f>
        <v>50.7</v>
      </c>
      <c r="U27" s="37">
        <f>IF((VLOOKUP(B27,'DB PMI Manufacturing World'!$A:$AA,MATCH($U$1,'DB PMI Manufacturing World'!$A$1:$AA$1,),))=0,#N/A, (VLOOKUP(B27,'DB PMI Manufacturing World'!$A:$AA,MATCH($U$1,'DB PMI Manufacturing World'!$A$1:$AA$1,),)))</f>
        <v>51.3</v>
      </c>
      <c r="V27" s="37">
        <f>IF((VLOOKUP(B27,'DB PMI Manufacturing World'!$A:$AA,MATCH($V$1,'DB PMI Manufacturing World'!$A$1:$AA$1,),))=0,#N/A, (VLOOKUP(B27,'DB PMI Manufacturing World'!$A:$AA,MATCH($V$1,'DB PMI Manufacturing World'!$A$1:$AA$1,),)))</f>
        <v>50.8</v>
      </c>
      <c r="W27" s="37">
        <f>IF((VLOOKUP(B27,'DB PMI Manufacturing World'!$A:$AA,MATCH($W$1,'DB PMI Manufacturing World'!$A$1:$AA$1,),))=0,#N/A, (VLOOKUP(B27,'DB PMI Manufacturing World'!$A:$AA,MATCH($W$1,'DB PMI Manufacturing World'!$A$1:$AA$1,),)))</f>
        <v>53.6</v>
      </c>
      <c r="X27" s="37">
        <f>IF((VLOOKUP(B27,'DB PMI Manufacturing World'!$A:$AA,MATCH($X$1,'DB PMI Manufacturing World'!$A$1:$AA$1,),))=0,#N/A, (VLOOKUP(B27,'DB PMI Manufacturing World'!$A:$AA,MATCH($X$1,'DB PMI Manufacturing World'!$A$1:$AA$1,),)))</f>
        <v>56.3</v>
      </c>
      <c r="Y27" s="37">
        <f>IF((VLOOKUP(B27,'DB PMI Manufacturing World'!$A:$AA,MATCH($Y$1,'DB PMI Manufacturing World'!$A$1:$AA$1,),))=0,#N/A, (VLOOKUP(B27,'DB PMI Manufacturing World'!$A:$AA,MATCH($Y$1,'DB PMI Manufacturing World'!$A$1:$AA$1,),)))</f>
        <v>42.7</v>
      </c>
      <c r="Z27" s="37">
        <f>IF((VLOOKUP(B27,'DB PMI Manufacturing World'!$A:$AA,MATCH($Z$1,'DB PMI Manufacturing World'!$A$1:$AA$1,),))=0,#N/A, (VLOOKUP(B27,'DB PMI Manufacturing World'!$A:$AA,MATCH($Z$1,'DB PMI Manufacturing World'!$A$1:$AA$1,),)))</f>
        <v>53.4</v>
      </c>
      <c r="AA27" s="37">
        <f>IF((VLOOKUP(B27,'DB PMI Manufacturing World'!$A:$AA,MATCH($AA$1,'DB PMI Manufacturing World'!$A$1:$AA$1,),))=0,#N/A, (VLOOKUP(B27,'DB PMI Manufacturing World'!$A:$AA,MATCH($AA$1,'DB PMI Manufacturing World'!$A$1:$AA$1,),)))</f>
        <v>50.5</v>
      </c>
      <c r="AB27" s="37">
        <f>IF((VLOOKUP(B27,'DB PMI Manufacturing World'!$A:$AA,MATCH($AB$1,'DB PMI Manufacturing World'!$A$1:$AA$1,),))=0,#N/A, (VLOOKUP(B27,'DB PMI Manufacturing World'!$A:$AA,MATCH($AB$1,'DB PMI Manufacturing World'!$A$1:$AA$1,),)))</f>
        <v>53.7</v>
      </c>
    </row>
    <row r="28" spans="2:28" x14ac:dyDescent="0.35">
      <c r="B28" s="29">
        <v>43374</v>
      </c>
      <c r="C28" s="37">
        <f>IF((VLOOKUP(B28,'DB PMI Manufacturing World'!$A:$AA,MATCH($C$1,'DB PMI Manufacturing World'!$A$1:$AA$1,),))=0,#N/A, (VLOOKUP(B28,'DB PMI Manufacturing World'!$A:$AA,MATCH($C$1,'DB PMI Manufacturing World'!$A$1:$AA$1,),)))</f>
        <v>52</v>
      </c>
      <c r="D28" s="37">
        <f>IF((VLOOKUP(B28,'DB PMI Manufacturing World'!$A:$AA,MATCH($D$1,'DB PMI Manufacturing World'!$A$1:$AA$1,),))=0,#N/A, (VLOOKUP(B28,'DB PMI Manufacturing World'!$A:$AA,MATCH($D$1,'DB PMI Manufacturing World'!$A$1:$AA$1,),)))</f>
        <v>57.7</v>
      </c>
      <c r="E28" s="37">
        <f>IF((VLOOKUP(B28,'DB PMI Manufacturing World'!$A:$AA,MATCH($E$1,'DB PMI Manufacturing World'!$A$1:$AA$1,),))=0,#N/A, (VLOOKUP(B28,'DB PMI Manufacturing World'!$A:$AA,MATCH($E$1,'DB PMI Manufacturing World'!$A$1:$AA$1,),)))</f>
        <v>55.7</v>
      </c>
      <c r="F28" s="37">
        <f>IF((VLOOKUP(B28,'DB PMI Manufacturing World'!$A:$AA,MATCH($F$1,'DB PMI Manufacturing World'!$A$1:$AA$1,),))=0,#N/A, (VLOOKUP(B28,'DB PMI Manufacturing World'!$A:$AA,MATCH($F$1,'DB PMI Manufacturing World'!$A$1:$AA$1,),)))</f>
        <v>50.1</v>
      </c>
      <c r="G28" s="37">
        <f>IF((VLOOKUP(B28,'DB PMI Manufacturing World'!$A:$AA,MATCH($G$1,'DB PMI Manufacturing World'!$A$1:$AA$1,),))=0,#N/A, (VLOOKUP(B28,'DB PMI Manufacturing World'!$A:$AA,MATCH($G$1,'DB PMI Manufacturing World'!$A$1:$AA$1,),)))</f>
        <v>52</v>
      </c>
      <c r="H28" s="37">
        <f>IF((VLOOKUP(B28,'DB PMI Manufacturing World'!$A:$AA,MATCH($H$1,'DB PMI Manufacturing World'!$A$1:$AA$1,),))=0,#N/A, (VLOOKUP(B28,'DB PMI Manufacturing World'!$A:$AA,MATCH($H$1,'DB PMI Manufacturing World'!$A$1:$AA$1,),)))</f>
        <v>52.9</v>
      </c>
      <c r="I28" s="37">
        <f>IF((VLOOKUP(B28,'DB PMI Manufacturing World'!$A:$AA,MATCH($I$1,'DB PMI Manufacturing World'!$A$1:$AA$1,),))=0,#N/A, (VLOOKUP(B28,'DB PMI Manufacturing World'!$A:$AA,MATCH($I$1,'DB PMI Manufacturing World'!$A$1:$AA$1,),)))</f>
        <v>52.2</v>
      </c>
      <c r="J28" s="37">
        <f>IF((VLOOKUP(B28,'DB PMI Manufacturing World'!$A:$AA,MATCH($J$1,'DB PMI Manufacturing World'!$A$1:$AA$1,),))=0,#N/A, (VLOOKUP(B28,'DB PMI Manufacturing World'!$A:$AA,MATCH($J$1,'DB PMI Manufacturing World'!$A$1:$AA$1,),)))</f>
        <v>51.2</v>
      </c>
      <c r="K28" s="37">
        <f>IF((VLOOKUP(B28,'DB PMI Manufacturing World'!$A:$AA,MATCH($K$1,'DB PMI Manufacturing World'!$A$1:$AA$1,),))=0,#N/A, (VLOOKUP(B28,'DB PMI Manufacturing World'!$A:$AA,MATCH($K$1,'DB PMI Manufacturing World'!$A$1:$AA$1,),)))</f>
        <v>51.1</v>
      </c>
      <c r="L28" s="37">
        <f>IF((VLOOKUP(B28,'DB PMI Manufacturing World'!$A:$AA,MATCH($L$1,'DB PMI Manufacturing World'!$A$1:$AA$1,),))=0,#N/A, (VLOOKUP(B28,'DB PMI Manufacturing World'!$A:$AA,MATCH($L$1,'DB PMI Manufacturing World'!$A$1:$AA$1,),)))</f>
        <v>49.2</v>
      </c>
      <c r="M28" s="37">
        <f>IF((VLOOKUP(B28,'DB PMI Manufacturing World'!$A:$AA,MATCH($M$1,'DB PMI Manufacturing World'!$A$1:$AA$1,),))=0,#N/A, (VLOOKUP(B28,'DB PMI Manufacturing World'!$A:$AA,MATCH($M$1,'DB PMI Manufacturing World'!$A$1:$AA$1,),)))</f>
        <v>51.8</v>
      </c>
      <c r="N28" s="37">
        <f>IF((VLOOKUP(B28,'DB PMI Manufacturing World'!$A:$AA,MATCH($N$1,'DB PMI Manufacturing World'!$A$1:$AA$1,),))=0,#N/A, (VLOOKUP(B28,'DB PMI Manufacturing World'!$A:$AA,MATCH($N$1,'DB PMI Manufacturing World'!$A$1:$AA$1,),)))</f>
        <v>51.1</v>
      </c>
      <c r="O28" s="37">
        <f>IF((VLOOKUP(B28,'DB PMI Manufacturing World'!$A:$AA,MATCH($O$1,'DB PMI Manufacturing World'!$A$1:$AA$1,),))=0,#N/A, (VLOOKUP(B28,'DB PMI Manufacturing World'!$A:$AA,MATCH($O$1,'DB PMI Manufacturing World'!$A$1:$AA$1,),)))</f>
        <v>50.7</v>
      </c>
      <c r="P28" s="37">
        <f>IF((VLOOKUP(B28,'DB PMI Manufacturing World'!$A:$AA,MATCH($P$1,'DB PMI Manufacturing World'!$A$1:$AA$1,),))=0,#N/A, (VLOOKUP(B28,'DB PMI Manufacturing World'!$A:$AA,MATCH($P$1,'DB PMI Manufacturing World'!$A$1:$AA$1,),)))</f>
        <v>51.3</v>
      </c>
      <c r="Q28" s="37">
        <f>IF((VLOOKUP(B28,'DB PMI Manufacturing World'!$A:$AA,MATCH($Q$1,'DB PMI Manufacturing World'!$A$1:$AA$1,),))=0,#N/A, (VLOOKUP(B28,'DB PMI Manufacturing World'!$A:$AA,MATCH($Q$1,'DB PMI Manufacturing World'!$A$1:$AA$1,),)))</f>
        <v>53.1</v>
      </c>
      <c r="R28" s="37">
        <f>IF((VLOOKUP(B28,'DB PMI Manufacturing World'!$A:$AA,MATCH($R$1,'DB PMI Manufacturing World'!$A$1:$AA$1,),))=0,#N/A, (VLOOKUP(B28,'DB PMI Manufacturing World'!$A:$AA,MATCH($R$1,'DB PMI Manufacturing World'!$A$1:$AA$1,),)))</f>
        <v>53.9</v>
      </c>
      <c r="S28" s="37">
        <f>IF((VLOOKUP(B28,'DB PMI Manufacturing World'!$A:$AA,MATCH($S$1,'DB PMI Manufacturing World'!$A$1:$AA$1,),))=0,#N/A, (VLOOKUP(B28,'DB PMI Manufacturing World'!$A:$AA,MATCH($S$1,'DB PMI Manufacturing World'!$A$1:$AA$1,),)))</f>
        <v>58.3</v>
      </c>
      <c r="T28" s="37">
        <f>IF((VLOOKUP(B28,'DB PMI Manufacturing World'!$A:$AA,MATCH($T$1,'DB PMI Manufacturing World'!$A$1:$AA$1,),))=0,#N/A, (VLOOKUP(B28,'DB PMI Manufacturing World'!$A:$AA,MATCH($T$1,'DB PMI Manufacturing World'!$A$1:$AA$1,),)))</f>
        <v>50.5</v>
      </c>
      <c r="U28" s="37">
        <f>IF((VLOOKUP(B28,'DB PMI Manufacturing World'!$A:$AA,MATCH($U$1,'DB PMI Manufacturing World'!$A$1:$AA$1,),))=0,#N/A, (VLOOKUP(B28,'DB PMI Manufacturing World'!$A:$AA,MATCH($U$1,'DB PMI Manufacturing World'!$A$1:$AA$1,),)))</f>
        <v>51</v>
      </c>
      <c r="V28" s="37">
        <f>IF((VLOOKUP(B28,'DB PMI Manufacturing World'!$A:$AA,MATCH($V$1,'DB PMI Manufacturing World'!$A$1:$AA$1,),))=0,#N/A, (VLOOKUP(B28,'DB PMI Manufacturing World'!$A:$AA,MATCH($V$1,'DB PMI Manufacturing World'!$A$1:$AA$1,),)))</f>
        <v>48.7</v>
      </c>
      <c r="W28" s="37">
        <f>IF((VLOOKUP(B28,'DB PMI Manufacturing World'!$A:$AA,MATCH($W$1,'DB PMI Manufacturing World'!$A$1:$AA$1,),))=0,#N/A, (VLOOKUP(B28,'DB PMI Manufacturing World'!$A:$AA,MATCH($W$1,'DB PMI Manufacturing World'!$A$1:$AA$1,),)))</f>
        <v>53.1</v>
      </c>
      <c r="X28" s="37">
        <f>IF((VLOOKUP(B28,'DB PMI Manufacturing World'!$A:$AA,MATCH($X$1,'DB PMI Manufacturing World'!$A$1:$AA$1,),))=0,#N/A, (VLOOKUP(B28,'DB PMI Manufacturing World'!$A:$AA,MATCH($X$1,'DB PMI Manufacturing World'!$A$1:$AA$1,),)))</f>
        <v>54.9</v>
      </c>
      <c r="Y28" s="37">
        <f>IF((VLOOKUP(B28,'DB PMI Manufacturing World'!$A:$AA,MATCH($Y$1,'DB PMI Manufacturing World'!$A$1:$AA$1,),))=0,#N/A, (VLOOKUP(B28,'DB PMI Manufacturing World'!$A:$AA,MATCH($Y$1,'DB PMI Manufacturing World'!$A$1:$AA$1,),)))</f>
        <v>44.3</v>
      </c>
      <c r="Z28" s="37">
        <f>IF((VLOOKUP(B28,'DB PMI Manufacturing World'!$A:$AA,MATCH($Z$1,'DB PMI Manufacturing World'!$A$1:$AA$1,),))=0,#N/A, (VLOOKUP(B28,'DB PMI Manufacturing World'!$A:$AA,MATCH($Z$1,'DB PMI Manufacturing World'!$A$1:$AA$1,),)))</f>
        <v>52.5</v>
      </c>
      <c r="AA28" s="37">
        <f>IF((VLOOKUP(B28,'DB PMI Manufacturing World'!$A:$AA,MATCH($AA$1,'DB PMI Manufacturing World'!$A$1:$AA$1,),))=0,#N/A, (VLOOKUP(B28,'DB PMI Manufacturing World'!$A:$AA,MATCH($AA$1,'DB PMI Manufacturing World'!$A$1:$AA$1,),)))</f>
        <v>50.4</v>
      </c>
      <c r="AB28" s="37">
        <f>IF((VLOOKUP(B28,'DB PMI Manufacturing World'!$A:$AA,MATCH($AB$1,'DB PMI Manufacturing World'!$A$1:$AA$1,),))=0,#N/A, (VLOOKUP(B28,'DB PMI Manufacturing World'!$A:$AA,MATCH($AB$1,'DB PMI Manufacturing World'!$A$1:$AA$1,),)))</f>
        <v>66.8</v>
      </c>
    </row>
    <row r="29" spans="2:28" x14ac:dyDescent="0.35">
      <c r="B29" s="29">
        <v>43405</v>
      </c>
      <c r="C29" s="37">
        <f>IF((VLOOKUP(B29,'DB PMI Manufacturing World'!$A:$AA,MATCH($C$1,'DB PMI Manufacturing World'!$A$1:$AA$1,),))=0,#N/A, (VLOOKUP(B29,'DB PMI Manufacturing World'!$A:$AA,MATCH($C$1,'DB PMI Manufacturing World'!$A$1:$AA$1,),)))</f>
        <v>52</v>
      </c>
      <c r="D29" s="37">
        <f>IF((VLOOKUP(B29,'DB PMI Manufacturing World'!$A:$AA,MATCH($D$1,'DB PMI Manufacturing World'!$A$1:$AA$1,),))=0,#N/A, (VLOOKUP(B29,'DB PMI Manufacturing World'!$A:$AA,MATCH($D$1,'DB PMI Manufacturing World'!$A$1:$AA$1,),)))</f>
        <v>59.3</v>
      </c>
      <c r="E29" s="37">
        <f>IF((VLOOKUP(B29,'DB PMI Manufacturing World'!$A:$AA,MATCH($E$1,'DB PMI Manufacturing World'!$A$1:$AA$1,),))=0,#N/A, (VLOOKUP(B29,'DB PMI Manufacturing World'!$A:$AA,MATCH($E$1,'DB PMI Manufacturing World'!$A$1:$AA$1,),)))</f>
        <v>55.3</v>
      </c>
      <c r="F29" s="37">
        <f>IF((VLOOKUP(B29,'DB PMI Manufacturing World'!$A:$AA,MATCH($F$1,'DB PMI Manufacturing World'!$A$1:$AA$1,),))=0,#N/A, (VLOOKUP(B29,'DB PMI Manufacturing World'!$A:$AA,MATCH($F$1,'DB PMI Manufacturing World'!$A$1:$AA$1,),)))</f>
        <v>50.2</v>
      </c>
      <c r="G29" s="37">
        <f>IF((VLOOKUP(B29,'DB PMI Manufacturing World'!$A:$AA,MATCH($G$1,'DB PMI Manufacturing World'!$A$1:$AA$1,),))=0,#N/A, (VLOOKUP(B29,'DB PMI Manufacturing World'!$A:$AA,MATCH($G$1,'DB PMI Manufacturing World'!$A$1:$AA$1,),)))</f>
        <v>51.8</v>
      </c>
      <c r="H29" s="37">
        <f>IF((VLOOKUP(B29,'DB PMI Manufacturing World'!$A:$AA,MATCH($H$1,'DB PMI Manufacturing World'!$A$1:$AA$1,),))=0,#N/A, (VLOOKUP(B29,'DB PMI Manufacturing World'!$A:$AA,MATCH($H$1,'DB PMI Manufacturing World'!$A$1:$AA$1,),)))</f>
        <v>52.2</v>
      </c>
      <c r="I29" s="37">
        <f>IF((VLOOKUP(B29,'DB PMI Manufacturing World'!$A:$AA,MATCH($I$1,'DB PMI Manufacturing World'!$A$1:$AA$1,),))=0,#N/A, (VLOOKUP(B29,'DB PMI Manufacturing World'!$A:$AA,MATCH($I$1,'DB PMI Manufacturing World'!$A$1:$AA$1,),)))</f>
        <v>51.8</v>
      </c>
      <c r="J29" s="37">
        <f>IF((VLOOKUP(B29,'DB PMI Manufacturing World'!$A:$AA,MATCH($J$1,'DB PMI Manufacturing World'!$A$1:$AA$1,),))=0,#N/A, (VLOOKUP(B29,'DB PMI Manufacturing World'!$A:$AA,MATCH($J$1,'DB PMI Manufacturing World'!$A$1:$AA$1,),)))</f>
        <v>50.8</v>
      </c>
      <c r="K29" s="37">
        <f>IF((VLOOKUP(B29,'DB PMI Manufacturing World'!$A:$AA,MATCH($K$1,'DB PMI Manufacturing World'!$A$1:$AA$1,),))=0,#N/A, (VLOOKUP(B29,'DB PMI Manufacturing World'!$A:$AA,MATCH($K$1,'DB PMI Manufacturing World'!$A$1:$AA$1,),)))</f>
        <v>53.1</v>
      </c>
      <c r="L29" s="37">
        <f>IF((VLOOKUP(B29,'DB PMI Manufacturing World'!$A:$AA,MATCH($L$1,'DB PMI Manufacturing World'!$A$1:$AA$1,),))=0,#N/A, (VLOOKUP(B29,'DB PMI Manufacturing World'!$A:$AA,MATCH($L$1,'DB PMI Manufacturing World'!$A$1:$AA$1,),)))</f>
        <v>48.6</v>
      </c>
      <c r="M29" s="37">
        <f>IF((VLOOKUP(B29,'DB PMI Manufacturing World'!$A:$AA,MATCH($M$1,'DB PMI Manufacturing World'!$A$1:$AA$1,),))=0,#N/A, (VLOOKUP(B29,'DB PMI Manufacturing World'!$A:$AA,MATCH($M$1,'DB PMI Manufacturing World'!$A$1:$AA$1,),)))</f>
        <v>52.6</v>
      </c>
      <c r="N29" s="37">
        <f>IF((VLOOKUP(B29,'DB PMI Manufacturing World'!$A:$AA,MATCH($N$1,'DB PMI Manufacturing World'!$A$1:$AA$1,),))=0,#N/A, (VLOOKUP(B29,'DB PMI Manufacturing World'!$A:$AA,MATCH($N$1,'DB PMI Manufacturing World'!$A$1:$AA$1,),)))</f>
        <v>52.7</v>
      </c>
      <c r="O29" s="37">
        <f>IF((VLOOKUP(B29,'DB PMI Manufacturing World'!$A:$AA,MATCH($O$1,'DB PMI Manufacturing World'!$A$1:$AA$1,),))=0,#N/A, (VLOOKUP(B29,'DB PMI Manufacturing World'!$A:$AA,MATCH($O$1,'DB PMI Manufacturing World'!$A$1:$AA$1,),)))</f>
        <v>49.7</v>
      </c>
      <c r="P29" s="37">
        <f>IF((VLOOKUP(B29,'DB PMI Manufacturing World'!$A:$AA,MATCH($P$1,'DB PMI Manufacturing World'!$A$1:$AA$1,),))=0,#N/A, (VLOOKUP(B29,'DB PMI Manufacturing World'!$A:$AA,MATCH($P$1,'DB PMI Manufacturing World'!$A$1:$AA$1,),)))</f>
        <v>52.6</v>
      </c>
      <c r="Q29" s="37">
        <f>IF((VLOOKUP(B29,'DB PMI Manufacturing World'!$A:$AA,MATCH($Q$1,'DB PMI Manufacturing World'!$A$1:$AA$1,),))=0,#N/A, (VLOOKUP(B29,'DB PMI Manufacturing World'!$A:$AA,MATCH($Q$1,'DB PMI Manufacturing World'!$A$1:$AA$1,),)))</f>
        <v>54</v>
      </c>
      <c r="R29" s="37">
        <f>IF((VLOOKUP(B29,'DB PMI Manufacturing World'!$A:$AA,MATCH($R$1,'DB PMI Manufacturing World'!$A$1:$AA$1,),))=0,#N/A, (VLOOKUP(B29,'DB PMI Manufacturing World'!$A:$AA,MATCH($R$1,'DB PMI Manufacturing World'!$A$1:$AA$1,),)))</f>
        <v>54.9</v>
      </c>
      <c r="S29" s="37">
        <f>IF((VLOOKUP(B29,'DB PMI Manufacturing World'!$A:$AA,MATCH($S$1,'DB PMI Manufacturing World'!$A$1:$AA$1,),))=0,#N/A, (VLOOKUP(B29,'DB PMI Manufacturing World'!$A:$AA,MATCH($S$1,'DB PMI Manufacturing World'!$A$1:$AA$1,),)))</f>
        <v>51.3</v>
      </c>
      <c r="T29" s="37">
        <f>IF((VLOOKUP(B29,'DB PMI Manufacturing World'!$A:$AA,MATCH($T$1,'DB PMI Manufacturing World'!$A$1:$AA$1,),))=0,#N/A, (VLOOKUP(B29,'DB PMI Manufacturing World'!$A:$AA,MATCH($T$1,'DB PMI Manufacturing World'!$A$1:$AA$1,),)))</f>
        <v>50.4</v>
      </c>
      <c r="U29" s="37">
        <f>IF((VLOOKUP(B29,'DB PMI Manufacturing World'!$A:$AA,MATCH($U$1,'DB PMI Manufacturing World'!$A$1:$AA$1,),))=0,#N/A, (VLOOKUP(B29,'DB PMI Manufacturing World'!$A:$AA,MATCH($U$1,'DB PMI Manufacturing World'!$A$1:$AA$1,),)))</f>
        <v>48.6</v>
      </c>
      <c r="V29" s="37">
        <f>IF((VLOOKUP(B29,'DB PMI Manufacturing World'!$A:$AA,MATCH($V$1,'DB PMI Manufacturing World'!$A$1:$AA$1,),))=0,#N/A, (VLOOKUP(B29,'DB PMI Manufacturing World'!$A:$AA,MATCH($V$1,'DB PMI Manufacturing World'!$A$1:$AA$1,),)))</f>
        <v>48.4</v>
      </c>
      <c r="W29" s="37">
        <f>IF((VLOOKUP(B29,'DB PMI Manufacturing World'!$A:$AA,MATCH($W$1,'DB PMI Manufacturing World'!$A$1:$AA$1,),))=0,#N/A, (VLOOKUP(B29,'DB PMI Manufacturing World'!$A:$AA,MATCH($W$1,'DB PMI Manufacturing World'!$A$1:$AA$1,),)))</f>
        <v>54</v>
      </c>
      <c r="X29" s="37">
        <f>IF((VLOOKUP(B29,'DB PMI Manufacturing World'!$A:$AA,MATCH($X$1,'DB PMI Manufacturing World'!$A$1:$AA$1,),))=0,#N/A, (VLOOKUP(B29,'DB PMI Manufacturing World'!$A:$AA,MATCH($X$1,'DB PMI Manufacturing World'!$A$1:$AA$1,),)))</f>
        <v>55.4</v>
      </c>
      <c r="Y29" s="37">
        <f>IF((VLOOKUP(B29,'DB PMI Manufacturing World'!$A:$AA,MATCH($Y$1,'DB PMI Manufacturing World'!$A$1:$AA$1,),))=0,#N/A, (VLOOKUP(B29,'DB PMI Manufacturing World'!$A:$AA,MATCH($Y$1,'DB PMI Manufacturing World'!$A$1:$AA$1,),)))</f>
        <v>44.7</v>
      </c>
      <c r="Z29" s="37">
        <f>IF((VLOOKUP(B29,'DB PMI Manufacturing World'!$A:$AA,MATCH($Z$1,'DB PMI Manufacturing World'!$A$1:$AA$1,),))=0,#N/A, (VLOOKUP(B29,'DB PMI Manufacturing World'!$A:$AA,MATCH($Z$1,'DB PMI Manufacturing World'!$A$1:$AA$1,),)))</f>
        <v>51.8</v>
      </c>
      <c r="AA29" s="37">
        <f>IF((VLOOKUP(B29,'DB PMI Manufacturing World'!$A:$AA,MATCH($AA$1,'DB PMI Manufacturing World'!$A$1:$AA$1,),))=0,#N/A, (VLOOKUP(B29,'DB PMI Manufacturing World'!$A:$AA,MATCH($AA$1,'DB PMI Manufacturing World'!$A$1:$AA$1,),)))</f>
        <v>49.5</v>
      </c>
      <c r="AB29" s="37">
        <f>IF((VLOOKUP(B29,'DB PMI Manufacturing World'!$A:$AA,MATCH($AB$1,'DB PMI Manufacturing World'!$A$1:$AA$1,),))=0,#N/A, (VLOOKUP(B29,'DB PMI Manufacturing World'!$A:$AA,MATCH($AB$1,'DB PMI Manufacturing World'!$A$1:$AA$1,),)))</f>
        <v>58.2</v>
      </c>
    </row>
    <row r="30" spans="2:28" x14ac:dyDescent="0.35">
      <c r="B30" s="29">
        <v>43435</v>
      </c>
      <c r="C30" s="37">
        <f>IF((VLOOKUP(B30,'DB PMI Manufacturing World'!$A:$AA,MATCH($C$1,'DB PMI Manufacturing World'!$A$1:$AA$1,),))=0,#N/A, (VLOOKUP(B30,'DB PMI Manufacturing World'!$A:$AA,MATCH($C$1,'DB PMI Manufacturing World'!$A$1:$AA$1,),)))</f>
        <v>51.5</v>
      </c>
      <c r="D30" s="37">
        <f>IF((VLOOKUP(B30,'DB PMI Manufacturing World'!$A:$AA,MATCH($D$1,'DB PMI Manufacturing World'!$A$1:$AA$1,),))=0,#N/A, (VLOOKUP(B30,'DB PMI Manufacturing World'!$A:$AA,MATCH($D$1,'DB PMI Manufacturing World'!$A$1:$AA$1,),)))</f>
        <v>54.3</v>
      </c>
      <c r="E30" s="37">
        <f>IF((VLOOKUP(B30,'DB PMI Manufacturing World'!$A:$AA,MATCH($E$1,'DB PMI Manufacturing World'!$A$1:$AA$1,),))=0,#N/A, (VLOOKUP(B30,'DB PMI Manufacturing World'!$A:$AA,MATCH($E$1,'DB PMI Manufacturing World'!$A$1:$AA$1,),)))</f>
        <v>53.8</v>
      </c>
      <c r="F30" s="37">
        <f>IF((VLOOKUP(B30,'DB PMI Manufacturing World'!$A:$AA,MATCH($F$1,'DB PMI Manufacturing World'!$A$1:$AA$1,),))=0,#N/A, (VLOOKUP(B30,'DB PMI Manufacturing World'!$A:$AA,MATCH($F$1,'DB PMI Manufacturing World'!$A$1:$AA$1,),)))</f>
        <v>49.7</v>
      </c>
      <c r="G30" s="37">
        <f>IF((VLOOKUP(B30,'DB PMI Manufacturing World'!$A:$AA,MATCH($G$1,'DB PMI Manufacturing World'!$A$1:$AA$1,),))=0,#N/A, (VLOOKUP(B30,'DB PMI Manufacturing World'!$A:$AA,MATCH($G$1,'DB PMI Manufacturing World'!$A$1:$AA$1,),)))</f>
        <v>51.4</v>
      </c>
      <c r="H30" s="37">
        <f>IF((VLOOKUP(B30,'DB PMI Manufacturing World'!$A:$AA,MATCH($H$1,'DB PMI Manufacturing World'!$A$1:$AA$1,),))=0,#N/A, (VLOOKUP(B30,'DB PMI Manufacturing World'!$A:$AA,MATCH($H$1,'DB PMI Manufacturing World'!$A$1:$AA$1,),)))</f>
        <v>52.4</v>
      </c>
      <c r="I30" s="37">
        <f>IF((VLOOKUP(B30,'DB PMI Manufacturing World'!$A:$AA,MATCH($I$1,'DB PMI Manufacturing World'!$A$1:$AA$1,),))=0,#N/A, (VLOOKUP(B30,'DB PMI Manufacturing World'!$A:$AA,MATCH($I$1,'DB PMI Manufacturing World'!$A$1:$AA$1,),)))</f>
        <v>51.5</v>
      </c>
      <c r="J30" s="37">
        <f>IF((VLOOKUP(B30,'DB PMI Manufacturing World'!$A:$AA,MATCH($J$1,'DB PMI Manufacturing World'!$A$1:$AA$1,),))=0,#N/A, (VLOOKUP(B30,'DB PMI Manufacturing World'!$A:$AA,MATCH($J$1,'DB PMI Manufacturing World'!$A$1:$AA$1,),)))</f>
        <v>49.7</v>
      </c>
      <c r="K30" s="37">
        <f>IF((VLOOKUP(B30,'DB PMI Manufacturing World'!$A:$AA,MATCH($K$1,'DB PMI Manufacturing World'!$A$1:$AA$1,),))=0,#N/A, (VLOOKUP(B30,'DB PMI Manufacturing World'!$A:$AA,MATCH($K$1,'DB PMI Manufacturing World'!$A$1:$AA$1,),)))</f>
        <v>54.2</v>
      </c>
      <c r="L30" s="37">
        <f>IF((VLOOKUP(B30,'DB PMI Manufacturing World'!$A:$AA,MATCH($L$1,'DB PMI Manufacturing World'!$A$1:$AA$1,),))=0,#N/A, (VLOOKUP(B30,'DB PMI Manufacturing World'!$A:$AA,MATCH($L$1,'DB PMI Manufacturing World'!$A$1:$AA$1,),)))</f>
        <v>49.2</v>
      </c>
      <c r="M30" s="37">
        <f>IF((VLOOKUP(B30,'DB PMI Manufacturing World'!$A:$AA,MATCH($M$1,'DB PMI Manufacturing World'!$A$1:$AA$1,),))=0,#N/A, (VLOOKUP(B30,'DB PMI Manufacturing World'!$A:$AA,MATCH($M$1,'DB PMI Manufacturing World'!$A$1:$AA$1,),)))</f>
        <v>51.1</v>
      </c>
      <c r="N30" s="37">
        <f>IF((VLOOKUP(B30,'DB PMI Manufacturing World'!$A:$AA,MATCH($N$1,'DB PMI Manufacturing World'!$A$1:$AA$1,),))=0,#N/A, (VLOOKUP(B30,'DB PMI Manufacturing World'!$A:$AA,MATCH($N$1,'DB PMI Manufacturing World'!$A$1:$AA$1,),)))</f>
        <v>52.6</v>
      </c>
      <c r="O30" s="37">
        <f>IF((VLOOKUP(B30,'DB PMI Manufacturing World'!$A:$AA,MATCH($O$1,'DB PMI Manufacturing World'!$A$1:$AA$1,),))=0,#N/A, (VLOOKUP(B30,'DB PMI Manufacturing World'!$A:$AA,MATCH($O$1,'DB PMI Manufacturing World'!$A$1:$AA$1,),)))</f>
        <v>49.7</v>
      </c>
      <c r="P30" s="37">
        <f>IF((VLOOKUP(B30,'DB PMI Manufacturing World'!$A:$AA,MATCH($P$1,'DB PMI Manufacturing World'!$A$1:$AA$1,),))=0,#N/A, (VLOOKUP(B30,'DB PMI Manufacturing World'!$A:$AA,MATCH($P$1,'DB PMI Manufacturing World'!$A$1:$AA$1,),)))</f>
        <v>51.7</v>
      </c>
      <c r="Q30" s="37">
        <f>IF((VLOOKUP(B30,'DB PMI Manufacturing World'!$A:$AA,MATCH($Q$1,'DB PMI Manufacturing World'!$A$1:$AA$1,),))=0,#N/A, (VLOOKUP(B30,'DB PMI Manufacturing World'!$A:$AA,MATCH($Q$1,'DB PMI Manufacturing World'!$A$1:$AA$1,),)))</f>
        <v>53.2</v>
      </c>
      <c r="R30" s="37">
        <f>IF((VLOOKUP(B30,'DB PMI Manufacturing World'!$A:$AA,MATCH($R$1,'DB PMI Manufacturing World'!$A$1:$AA$1,),))=0,#N/A, (VLOOKUP(B30,'DB PMI Manufacturing World'!$A:$AA,MATCH($R$1,'DB PMI Manufacturing World'!$A$1:$AA$1,),)))</f>
        <v>53.6</v>
      </c>
      <c r="S30" s="37">
        <f>IF((VLOOKUP(B30,'DB PMI Manufacturing World'!$A:$AA,MATCH($S$1,'DB PMI Manufacturing World'!$A$1:$AA$1,),))=0,#N/A, (VLOOKUP(B30,'DB PMI Manufacturing World'!$A:$AA,MATCH($S$1,'DB PMI Manufacturing World'!$A$1:$AA$1,),)))</f>
        <v>49.5</v>
      </c>
      <c r="T30" s="37">
        <f>IF((VLOOKUP(B30,'DB PMI Manufacturing World'!$A:$AA,MATCH($T$1,'DB PMI Manufacturing World'!$A$1:$AA$1,),))=0,#N/A, (VLOOKUP(B30,'DB PMI Manufacturing World'!$A:$AA,MATCH($T$1,'DB PMI Manufacturing World'!$A$1:$AA$1,),)))</f>
        <v>51.2</v>
      </c>
      <c r="U30" s="37">
        <f>IF((VLOOKUP(B30,'DB PMI Manufacturing World'!$A:$AA,MATCH($U$1,'DB PMI Manufacturing World'!$A$1:$AA$1,),))=0,#N/A, (VLOOKUP(B30,'DB PMI Manufacturing World'!$A:$AA,MATCH($U$1,'DB PMI Manufacturing World'!$A$1:$AA$1,),)))</f>
        <v>49.8</v>
      </c>
      <c r="V30" s="37">
        <f>IF((VLOOKUP(B30,'DB PMI Manufacturing World'!$A:$AA,MATCH($V$1,'DB PMI Manufacturing World'!$A$1:$AA$1,),))=0,#N/A, (VLOOKUP(B30,'DB PMI Manufacturing World'!$A:$AA,MATCH($V$1,'DB PMI Manufacturing World'!$A$1:$AA$1,),)))</f>
        <v>47.7</v>
      </c>
      <c r="W30" s="37">
        <f>IF((VLOOKUP(B30,'DB PMI Manufacturing World'!$A:$AA,MATCH($W$1,'DB PMI Manufacturing World'!$A$1:$AA$1,),))=0,#N/A, (VLOOKUP(B30,'DB PMI Manufacturing World'!$A:$AA,MATCH($W$1,'DB PMI Manufacturing World'!$A$1:$AA$1,),)))</f>
        <v>53.8</v>
      </c>
      <c r="X30" s="37">
        <f>IF((VLOOKUP(B30,'DB PMI Manufacturing World'!$A:$AA,MATCH($X$1,'DB PMI Manufacturing World'!$A$1:$AA$1,),))=0,#N/A, (VLOOKUP(B30,'DB PMI Manufacturing World'!$A:$AA,MATCH($X$1,'DB PMI Manufacturing World'!$A$1:$AA$1,),)))</f>
        <v>54.5</v>
      </c>
      <c r="Y30" s="37">
        <f>IF((VLOOKUP(B30,'DB PMI Manufacturing World'!$A:$AA,MATCH($Y$1,'DB PMI Manufacturing World'!$A$1:$AA$1,),))=0,#N/A, (VLOOKUP(B30,'DB PMI Manufacturing World'!$A:$AA,MATCH($Y$1,'DB PMI Manufacturing World'!$A$1:$AA$1,),)))</f>
        <v>44.2</v>
      </c>
      <c r="Z30" s="37">
        <f>IF((VLOOKUP(B30,'DB PMI Manufacturing World'!$A:$AA,MATCH($Z$1,'DB PMI Manufacturing World'!$A$1:$AA$1,),))=0,#N/A, (VLOOKUP(B30,'DB PMI Manufacturing World'!$A:$AA,MATCH($Z$1,'DB PMI Manufacturing World'!$A$1:$AA$1,),)))</f>
        <v>49.7</v>
      </c>
      <c r="AA30" s="37">
        <f>IF((VLOOKUP(B30,'DB PMI Manufacturing World'!$A:$AA,MATCH($AA$1,'DB PMI Manufacturing World'!$A$1:$AA$1,),))=0,#N/A, (VLOOKUP(B30,'DB PMI Manufacturing World'!$A:$AA,MATCH($AA$1,'DB PMI Manufacturing World'!$A$1:$AA$1,),)))</f>
        <v>47.6</v>
      </c>
      <c r="AB30" s="37">
        <f>IF((VLOOKUP(B30,'DB PMI Manufacturing World'!$A:$AA,MATCH($AB$1,'DB PMI Manufacturing World'!$A$1:$AA$1,),))=0,#N/A, (VLOOKUP(B30,'DB PMI Manufacturing World'!$A:$AA,MATCH($AB$1,'DB PMI Manufacturing World'!$A$1:$AA$1,),)))</f>
        <v>57.5</v>
      </c>
    </row>
    <row r="31" spans="2:28" x14ac:dyDescent="0.35">
      <c r="B31" s="29">
        <v>43466</v>
      </c>
      <c r="C31" s="37">
        <f>IF((VLOOKUP(B31,'DB PMI Manufacturing World'!$A:$AA,MATCH($C$1,'DB PMI Manufacturing World'!$A$1:$AA$1,),))=0,#N/A, (VLOOKUP(B31,'DB PMI Manufacturing World'!$A:$AA,MATCH($C$1,'DB PMI Manufacturing World'!$A$1:$AA$1,),)))</f>
        <v>50.7</v>
      </c>
      <c r="D31" s="37">
        <f>IF((VLOOKUP(B31,'DB PMI Manufacturing World'!$A:$AA,MATCH($D$1,'DB PMI Manufacturing World'!$A$1:$AA$1,),))=0,#N/A, (VLOOKUP(B31,'DB PMI Manufacturing World'!$A:$AA,MATCH($D$1,'DB PMI Manufacturing World'!$A$1:$AA$1,),)))</f>
        <v>56.6</v>
      </c>
      <c r="E31" s="37">
        <f>IF((VLOOKUP(B31,'DB PMI Manufacturing World'!$A:$AA,MATCH($E$1,'DB PMI Manufacturing World'!$A$1:$AA$1,),))=0,#N/A, (VLOOKUP(B31,'DB PMI Manufacturing World'!$A:$AA,MATCH($E$1,'DB PMI Manufacturing World'!$A$1:$AA$1,),)))</f>
        <v>54.9</v>
      </c>
      <c r="F31" s="37">
        <f>IF((VLOOKUP(B31,'DB PMI Manufacturing World'!$A:$AA,MATCH($F$1,'DB PMI Manufacturing World'!$A$1:$AA$1,),))=0,#N/A, (VLOOKUP(B31,'DB PMI Manufacturing World'!$A:$AA,MATCH($F$1,'DB PMI Manufacturing World'!$A$1:$AA$1,),)))</f>
        <v>48.3</v>
      </c>
      <c r="G31" s="37">
        <f>IF((VLOOKUP(B31,'DB PMI Manufacturing World'!$A:$AA,MATCH($G$1,'DB PMI Manufacturing World'!$A$1:$AA$1,),))=0,#N/A, (VLOOKUP(B31,'DB PMI Manufacturing World'!$A:$AA,MATCH($G$1,'DB PMI Manufacturing World'!$A$1:$AA$1,),)))</f>
        <v>50.5</v>
      </c>
      <c r="H31" s="37">
        <f>IF((VLOOKUP(B31,'DB PMI Manufacturing World'!$A:$AA,MATCH($H$1,'DB PMI Manufacturing World'!$A$1:$AA$1,),))=0,#N/A, (VLOOKUP(B31,'DB PMI Manufacturing World'!$A:$AA,MATCH($H$1,'DB PMI Manufacturing World'!$A$1:$AA$1,),)))</f>
        <v>50.3</v>
      </c>
      <c r="I31" s="37">
        <f>IF((VLOOKUP(B31,'DB PMI Manufacturing World'!$A:$AA,MATCH($I$1,'DB PMI Manufacturing World'!$A$1:$AA$1,),))=0,#N/A, (VLOOKUP(B31,'DB PMI Manufacturing World'!$A:$AA,MATCH($I$1,'DB PMI Manufacturing World'!$A$1:$AA$1,),)))</f>
        <v>49.7</v>
      </c>
      <c r="J31" s="37">
        <f>IF((VLOOKUP(B31,'DB PMI Manufacturing World'!$A:$AA,MATCH($J$1,'DB PMI Manufacturing World'!$A$1:$AA$1,),))=0,#N/A, (VLOOKUP(B31,'DB PMI Manufacturing World'!$A:$AA,MATCH($J$1,'DB PMI Manufacturing World'!$A$1:$AA$1,),)))</f>
        <v>51.2</v>
      </c>
      <c r="K31" s="37">
        <f>IF((VLOOKUP(B31,'DB PMI Manufacturing World'!$A:$AA,MATCH($K$1,'DB PMI Manufacturing World'!$A$1:$AA$1,),))=0,#N/A, (VLOOKUP(B31,'DB PMI Manufacturing World'!$A:$AA,MATCH($K$1,'DB PMI Manufacturing World'!$A$1:$AA$1,),)))</f>
        <v>52.8</v>
      </c>
      <c r="L31" s="37">
        <f>IF((VLOOKUP(B31,'DB PMI Manufacturing World'!$A:$AA,MATCH($L$1,'DB PMI Manufacturing World'!$A$1:$AA$1,),))=0,#N/A, (VLOOKUP(B31,'DB PMI Manufacturing World'!$A:$AA,MATCH($L$1,'DB PMI Manufacturing World'!$A$1:$AA$1,),)))</f>
        <v>47.8</v>
      </c>
      <c r="M31" s="37">
        <f>IF((VLOOKUP(B31,'DB PMI Manufacturing World'!$A:$AA,MATCH($M$1,'DB PMI Manufacturing World'!$A$1:$AA$1,),))=0,#N/A, (VLOOKUP(B31,'DB PMI Manufacturing World'!$A:$AA,MATCH($M$1,'DB PMI Manufacturing World'!$A$1:$AA$1,),)))</f>
        <v>52.4</v>
      </c>
      <c r="N31" s="37">
        <f>IF((VLOOKUP(B31,'DB PMI Manufacturing World'!$A:$AA,MATCH($N$1,'DB PMI Manufacturing World'!$A$1:$AA$1,),))=0,#N/A, (VLOOKUP(B31,'DB PMI Manufacturing World'!$A:$AA,MATCH($N$1,'DB PMI Manufacturing World'!$A$1:$AA$1,),)))</f>
        <v>52.7</v>
      </c>
      <c r="O31" s="37">
        <f>IF((VLOOKUP(B31,'DB PMI Manufacturing World'!$A:$AA,MATCH($O$1,'DB PMI Manufacturing World'!$A$1:$AA$1,),))=0,#N/A, (VLOOKUP(B31,'DB PMI Manufacturing World'!$A:$AA,MATCH($O$1,'DB PMI Manufacturing World'!$A$1:$AA$1,),)))</f>
        <v>50.9</v>
      </c>
      <c r="P31" s="37">
        <f>IF((VLOOKUP(B31,'DB PMI Manufacturing World'!$A:$AA,MATCH($P$1,'DB PMI Manufacturing World'!$A$1:$AA$1,),))=0,#N/A, (VLOOKUP(B31,'DB PMI Manufacturing World'!$A:$AA,MATCH($P$1,'DB PMI Manufacturing World'!$A$1:$AA$1,),)))</f>
        <v>50.9</v>
      </c>
      <c r="Q31" s="37">
        <f>IF((VLOOKUP(B31,'DB PMI Manufacturing World'!$A:$AA,MATCH($Q$1,'DB PMI Manufacturing World'!$A$1:$AA$1,),))=0,#N/A, (VLOOKUP(B31,'DB PMI Manufacturing World'!$A:$AA,MATCH($Q$1,'DB PMI Manufacturing World'!$A$1:$AA$1,),)))</f>
        <v>53.9</v>
      </c>
      <c r="R31" s="37">
        <f>IF((VLOOKUP(B31,'DB PMI Manufacturing World'!$A:$AA,MATCH($R$1,'DB PMI Manufacturing World'!$A$1:$AA$1,),))=0,#N/A, (VLOOKUP(B31,'DB PMI Manufacturing World'!$A:$AA,MATCH($R$1,'DB PMI Manufacturing World'!$A$1:$AA$1,),)))</f>
        <v>53</v>
      </c>
      <c r="S31" s="37">
        <f>IF((VLOOKUP(B31,'DB PMI Manufacturing World'!$A:$AA,MATCH($S$1,'DB PMI Manufacturing World'!$A$1:$AA$1,),))=0,#N/A, (VLOOKUP(B31,'DB PMI Manufacturing World'!$A:$AA,MATCH($S$1,'DB PMI Manufacturing World'!$A$1:$AA$1,),)))</f>
        <v>52.5</v>
      </c>
      <c r="T31" s="37">
        <f>IF((VLOOKUP(B31,'DB PMI Manufacturing World'!$A:$AA,MATCH($T$1,'DB PMI Manufacturing World'!$A$1:$AA$1,),))=0,#N/A, (VLOOKUP(B31,'DB PMI Manufacturing World'!$A:$AA,MATCH($T$1,'DB PMI Manufacturing World'!$A$1:$AA$1,),)))</f>
        <v>49.9</v>
      </c>
      <c r="U31" s="37">
        <f>IF((VLOOKUP(B31,'DB PMI Manufacturing World'!$A:$AA,MATCH($U$1,'DB PMI Manufacturing World'!$A$1:$AA$1,),))=0,#N/A, (VLOOKUP(B31,'DB PMI Manufacturing World'!$A:$AA,MATCH($U$1,'DB PMI Manufacturing World'!$A$1:$AA$1,),)))</f>
        <v>48.3</v>
      </c>
      <c r="V31" s="37">
        <f>IF((VLOOKUP(B31,'DB PMI Manufacturing World'!$A:$AA,MATCH($V$1,'DB PMI Manufacturing World'!$A$1:$AA$1,),))=0,#N/A, (VLOOKUP(B31,'DB PMI Manufacturing World'!$A:$AA,MATCH($V$1,'DB PMI Manufacturing World'!$A$1:$AA$1,),)))</f>
        <v>47.5</v>
      </c>
      <c r="W31" s="37">
        <f>IF((VLOOKUP(B31,'DB PMI Manufacturing World'!$A:$AA,MATCH($W$1,'DB PMI Manufacturing World'!$A$1:$AA$1,),))=0,#N/A, (VLOOKUP(B31,'DB PMI Manufacturing World'!$A:$AA,MATCH($W$1,'DB PMI Manufacturing World'!$A$1:$AA$1,),)))</f>
        <v>53.7</v>
      </c>
      <c r="X31" s="37">
        <f>IF((VLOOKUP(B31,'DB PMI Manufacturing World'!$A:$AA,MATCH($X$1,'DB PMI Manufacturing World'!$A$1:$AA$1,),))=0,#N/A, (VLOOKUP(B31,'DB PMI Manufacturing World'!$A:$AA,MATCH($X$1,'DB PMI Manufacturing World'!$A$1:$AA$1,),)))</f>
        <v>52.6</v>
      </c>
      <c r="Y31" s="37">
        <f>IF((VLOOKUP(B31,'DB PMI Manufacturing World'!$A:$AA,MATCH($Y$1,'DB PMI Manufacturing World'!$A$1:$AA$1,),))=0,#N/A, (VLOOKUP(B31,'DB PMI Manufacturing World'!$A:$AA,MATCH($Y$1,'DB PMI Manufacturing World'!$A$1:$AA$1,),)))</f>
        <v>44.2</v>
      </c>
      <c r="Z31" s="37">
        <f>IF((VLOOKUP(B31,'DB PMI Manufacturing World'!$A:$AA,MATCH($Z$1,'DB PMI Manufacturing World'!$A$1:$AA$1,),))=0,#N/A, (VLOOKUP(B31,'DB PMI Manufacturing World'!$A:$AA,MATCH($Z$1,'DB PMI Manufacturing World'!$A$1:$AA$1,),)))</f>
        <v>49</v>
      </c>
      <c r="AA31" s="37">
        <f>IF((VLOOKUP(B31,'DB PMI Manufacturing World'!$A:$AA,MATCH($AA$1,'DB PMI Manufacturing World'!$A$1:$AA$1,),))=0,#N/A, (VLOOKUP(B31,'DB PMI Manufacturing World'!$A:$AA,MATCH($AA$1,'DB PMI Manufacturing World'!$A$1:$AA$1,),)))</f>
        <v>48.2</v>
      </c>
      <c r="AB31" s="37">
        <f>IF((VLOOKUP(B31,'DB PMI Manufacturing World'!$A:$AA,MATCH($AB$1,'DB PMI Manufacturing World'!$A$1:$AA$1,),))=0,#N/A, (VLOOKUP(B31,'DB PMI Manufacturing World'!$A:$AA,MATCH($AB$1,'DB PMI Manufacturing World'!$A$1:$AA$1,),)))</f>
        <v>51.1</v>
      </c>
    </row>
    <row r="32" spans="2:28" x14ac:dyDescent="0.35">
      <c r="B32" s="29">
        <v>43497</v>
      </c>
      <c r="C32" s="37">
        <f>IF((VLOOKUP(B32,'DB PMI Manufacturing World'!$A:$AA,MATCH($C$1,'DB PMI Manufacturing World'!$A$1:$AA$1,),))=0,#N/A, (VLOOKUP(B32,'DB PMI Manufacturing World'!$A:$AA,MATCH($C$1,'DB PMI Manufacturing World'!$A$1:$AA$1,),)))</f>
        <v>50.6</v>
      </c>
      <c r="D32" s="37">
        <f>IF((VLOOKUP(B32,'DB PMI Manufacturing World'!$A:$AA,MATCH($D$1,'DB PMI Manufacturing World'!$A$1:$AA$1,),))=0,#N/A, (VLOOKUP(B32,'DB PMI Manufacturing World'!$A:$AA,MATCH($D$1,'DB PMI Manufacturing World'!$A$1:$AA$1,),)))</f>
        <v>54.3</v>
      </c>
      <c r="E32" s="37">
        <f>IF((VLOOKUP(B32,'DB PMI Manufacturing World'!$A:$AA,MATCH($E$1,'DB PMI Manufacturing World'!$A$1:$AA$1,),))=0,#N/A, (VLOOKUP(B32,'DB PMI Manufacturing World'!$A:$AA,MATCH($E$1,'DB PMI Manufacturing World'!$A$1:$AA$1,),)))</f>
        <v>53</v>
      </c>
      <c r="F32" s="37">
        <f>IF((VLOOKUP(B32,'DB PMI Manufacturing World'!$A:$AA,MATCH($F$1,'DB PMI Manufacturing World'!$A$1:$AA$1,),))=0,#N/A, (VLOOKUP(B32,'DB PMI Manufacturing World'!$A:$AA,MATCH($F$1,'DB PMI Manufacturing World'!$A$1:$AA$1,),)))</f>
        <v>49.9</v>
      </c>
      <c r="G32" s="37">
        <f>IF((VLOOKUP(B32,'DB PMI Manufacturing World'!$A:$AA,MATCH($G$1,'DB PMI Manufacturing World'!$A$1:$AA$1,),))=0,#N/A, (VLOOKUP(B32,'DB PMI Manufacturing World'!$A:$AA,MATCH($G$1,'DB PMI Manufacturing World'!$A$1:$AA$1,),)))</f>
        <v>49.3</v>
      </c>
      <c r="H32" s="37">
        <f>IF((VLOOKUP(B32,'DB PMI Manufacturing World'!$A:$AA,MATCH($H$1,'DB PMI Manufacturing World'!$A$1:$AA$1,),))=0,#N/A, (VLOOKUP(B32,'DB PMI Manufacturing World'!$A:$AA,MATCH($H$1,'DB PMI Manufacturing World'!$A$1:$AA$1,),)))</f>
        <v>48.9</v>
      </c>
      <c r="I32" s="37">
        <f>IF((VLOOKUP(B32,'DB PMI Manufacturing World'!$A:$AA,MATCH($I$1,'DB PMI Manufacturing World'!$A$1:$AA$1,),))=0,#N/A, (VLOOKUP(B32,'DB PMI Manufacturing World'!$A:$AA,MATCH($I$1,'DB PMI Manufacturing World'!$A$1:$AA$1,),)))</f>
        <v>47.6</v>
      </c>
      <c r="J32" s="37">
        <f>IF((VLOOKUP(B32,'DB PMI Manufacturing World'!$A:$AA,MATCH($J$1,'DB PMI Manufacturing World'!$A$1:$AA$1,),))=0,#N/A, (VLOOKUP(B32,'DB PMI Manufacturing World'!$A:$AA,MATCH($J$1,'DB PMI Manufacturing World'!$A$1:$AA$1,),)))</f>
        <v>51.5</v>
      </c>
      <c r="K32" s="37">
        <f>IF((VLOOKUP(B32,'DB PMI Manufacturing World'!$A:$AA,MATCH($K$1,'DB PMI Manufacturing World'!$A$1:$AA$1,),))=0,#N/A, (VLOOKUP(B32,'DB PMI Manufacturing World'!$A:$AA,MATCH($K$1,'DB PMI Manufacturing World'!$A$1:$AA$1,),)))</f>
        <v>52</v>
      </c>
      <c r="L32" s="37">
        <f>IF((VLOOKUP(B32,'DB PMI Manufacturing World'!$A:$AA,MATCH($L$1,'DB PMI Manufacturing World'!$A$1:$AA$1,),))=0,#N/A, (VLOOKUP(B32,'DB PMI Manufacturing World'!$A:$AA,MATCH($L$1,'DB PMI Manufacturing World'!$A$1:$AA$1,),)))</f>
        <v>47.7</v>
      </c>
      <c r="M32" s="37">
        <f>IF((VLOOKUP(B32,'DB PMI Manufacturing World'!$A:$AA,MATCH($M$1,'DB PMI Manufacturing World'!$A$1:$AA$1,),))=0,#N/A, (VLOOKUP(B32,'DB PMI Manufacturing World'!$A:$AA,MATCH($M$1,'DB PMI Manufacturing World'!$A$1:$AA$1,),)))</f>
        <v>49.9</v>
      </c>
      <c r="N32" s="37">
        <f>IF((VLOOKUP(B32,'DB PMI Manufacturing World'!$A:$AA,MATCH($N$1,'DB PMI Manufacturing World'!$A$1:$AA$1,),))=0,#N/A, (VLOOKUP(B32,'DB PMI Manufacturing World'!$A:$AA,MATCH($N$1,'DB PMI Manufacturing World'!$A$1:$AA$1,),)))</f>
        <v>53.4</v>
      </c>
      <c r="O32" s="37">
        <f>IF((VLOOKUP(B32,'DB PMI Manufacturing World'!$A:$AA,MATCH($O$1,'DB PMI Manufacturing World'!$A$1:$AA$1,),))=0,#N/A, (VLOOKUP(B32,'DB PMI Manufacturing World'!$A:$AA,MATCH($O$1,'DB PMI Manufacturing World'!$A$1:$AA$1,),)))</f>
        <v>52.6</v>
      </c>
      <c r="P32" s="37">
        <f>IF((VLOOKUP(B32,'DB PMI Manufacturing World'!$A:$AA,MATCH($P$1,'DB PMI Manufacturing World'!$A$1:$AA$1,),))=0,#N/A, (VLOOKUP(B32,'DB PMI Manufacturing World'!$A:$AA,MATCH($P$1,'DB PMI Manufacturing World'!$A$1:$AA$1,),)))</f>
        <v>50.1</v>
      </c>
      <c r="Q32" s="37">
        <f>IF((VLOOKUP(B32,'DB PMI Manufacturing World'!$A:$AA,MATCH($Q$1,'DB PMI Manufacturing World'!$A$1:$AA$1,),))=0,#N/A, (VLOOKUP(B32,'DB PMI Manufacturing World'!$A:$AA,MATCH($Q$1,'DB PMI Manufacturing World'!$A$1:$AA$1,),)))</f>
        <v>54.3</v>
      </c>
      <c r="R32" s="37">
        <f>IF((VLOOKUP(B32,'DB PMI Manufacturing World'!$A:$AA,MATCH($R$1,'DB PMI Manufacturing World'!$A$1:$AA$1,),))=0,#N/A, (VLOOKUP(B32,'DB PMI Manufacturing World'!$A:$AA,MATCH($R$1,'DB PMI Manufacturing World'!$A$1:$AA$1,),)))</f>
        <v>52.6</v>
      </c>
      <c r="S32" s="37">
        <f>IF((VLOOKUP(B32,'DB PMI Manufacturing World'!$A:$AA,MATCH($S$1,'DB PMI Manufacturing World'!$A$1:$AA$1,),))=0,#N/A, (VLOOKUP(B32,'DB PMI Manufacturing World'!$A:$AA,MATCH($S$1,'DB PMI Manufacturing World'!$A$1:$AA$1,),)))</f>
        <v>54</v>
      </c>
      <c r="T32" s="37">
        <f>IF((VLOOKUP(B32,'DB PMI Manufacturing World'!$A:$AA,MATCH($T$1,'DB PMI Manufacturing World'!$A$1:$AA$1,),))=0,#N/A, (VLOOKUP(B32,'DB PMI Manufacturing World'!$A:$AA,MATCH($T$1,'DB PMI Manufacturing World'!$A$1:$AA$1,),)))</f>
        <v>50.1</v>
      </c>
      <c r="U32" s="37">
        <f>IF((VLOOKUP(B32,'DB PMI Manufacturing World'!$A:$AA,MATCH($U$1,'DB PMI Manufacturing World'!$A$1:$AA$1,),))=0,#N/A, (VLOOKUP(B32,'DB PMI Manufacturing World'!$A:$AA,MATCH($U$1,'DB PMI Manufacturing World'!$A$1:$AA$1,),)))</f>
        <v>47.2</v>
      </c>
      <c r="V32" s="37">
        <f>IF((VLOOKUP(B32,'DB PMI Manufacturing World'!$A:$AA,MATCH($V$1,'DB PMI Manufacturing World'!$A$1:$AA$1,),))=0,#N/A, (VLOOKUP(B32,'DB PMI Manufacturing World'!$A:$AA,MATCH($V$1,'DB PMI Manufacturing World'!$A$1:$AA$1,),)))</f>
        <v>46.3</v>
      </c>
      <c r="W32" s="37">
        <f>IF((VLOOKUP(B32,'DB PMI Manufacturing World'!$A:$AA,MATCH($W$1,'DB PMI Manufacturing World'!$A$1:$AA$1,),))=0,#N/A, (VLOOKUP(B32,'DB PMI Manufacturing World'!$A:$AA,MATCH($W$1,'DB PMI Manufacturing World'!$A$1:$AA$1,),)))</f>
        <v>54.2</v>
      </c>
      <c r="X32" s="37">
        <f>IF((VLOOKUP(B32,'DB PMI Manufacturing World'!$A:$AA,MATCH($X$1,'DB PMI Manufacturing World'!$A$1:$AA$1,),))=0,#N/A, (VLOOKUP(B32,'DB PMI Manufacturing World'!$A:$AA,MATCH($X$1,'DB PMI Manufacturing World'!$A$1:$AA$1,),)))</f>
        <v>54</v>
      </c>
      <c r="Y32" s="37">
        <f>IF((VLOOKUP(B32,'DB PMI Manufacturing World'!$A:$AA,MATCH($Y$1,'DB PMI Manufacturing World'!$A$1:$AA$1,),))=0,#N/A, (VLOOKUP(B32,'DB PMI Manufacturing World'!$A:$AA,MATCH($Y$1,'DB PMI Manufacturing World'!$A$1:$AA$1,),)))</f>
        <v>46.4</v>
      </c>
      <c r="Z32" s="37">
        <f>IF((VLOOKUP(B32,'DB PMI Manufacturing World'!$A:$AA,MATCH($Z$1,'DB PMI Manufacturing World'!$A$1:$AA$1,),))=0,#N/A, (VLOOKUP(B32,'DB PMI Manufacturing World'!$A:$AA,MATCH($Z$1,'DB PMI Manufacturing World'!$A$1:$AA$1,),)))</f>
        <v>48.6</v>
      </c>
      <c r="AA32" s="37">
        <f>IF((VLOOKUP(B32,'DB PMI Manufacturing World'!$A:$AA,MATCH($AA$1,'DB PMI Manufacturing World'!$A$1:$AA$1,),))=0,#N/A, (VLOOKUP(B32,'DB PMI Manufacturing World'!$A:$AA,MATCH($AA$1,'DB PMI Manufacturing World'!$A$1:$AA$1,),)))</f>
        <v>47.6</v>
      </c>
      <c r="AB32" s="37">
        <f>IF((VLOOKUP(B32,'DB PMI Manufacturing World'!$A:$AA,MATCH($AB$1,'DB PMI Manufacturing World'!$A$1:$AA$1,),))=0,#N/A, (VLOOKUP(B32,'DB PMI Manufacturing World'!$A:$AA,MATCH($AB$1,'DB PMI Manufacturing World'!$A$1:$AA$1,),)))</f>
        <v>61.6</v>
      </c>
    </row>
    <row r="33" spans="2:28" x14ac:dyDescent="0.35">
      <c r="B33" s="29">
        <v>43525</v>
      </c>
      <c r="C33" s="37">
        <f>IF((VLOOKUP(B33,'DB PMI Manufacturing World'!$A:$AA,MATCH($C$1,'DB PMI Manufacturing World'!$A$1:$AA$1,),))=0,#N/A, (VLOOKUP(B33,'DB PMI Manufacturing World'!$A:$AA,MATCH($C$1,'DB PMI Manufacturing World'!$A$1:$AA$1,),)))</f>
        <v>50.5</v>
      </c>
      <c r="D33" s="37">
        <f>IF((VLOOKUP(B33,'DB PMI Manufacturing World'!$A:$AA,MATCH($D$1,'DB PMI Manufacturing World'!$A$1:$AA$1,),))=0,#N/A, (VLOOKUP(B33,'DB PMI Manufacturing World'!$A:$AA,MATCH($D$1,'DB PMI Manufacturing World'!$A$1:$AA$1,),)))</f>
        <v>54.3</v>
      </c>
      <c r="E33" s="37">
        <f>IF((VLOOKUP(B33,'DB PMI Manufacturing World'!$A:$AA,MATCH($E$1,'DB PMI Manufacturing World'!$A$1:$AA$1,),))=0,#N/A, (VLOOKUP(B33,'DB PMI Manufacturing World'!$A:$AA,MATCH($E$1,'DB PMI Manufacturing World'!$A$1:$AA$1,),)))</f>
        <v>52.4</v>
      </c>
      <c r="F33" s="37">
        <f>IF((VLOOKUP(B33,'DB PMI Manufacturing World'!$A:$AA,MATCH($F$1,'DB PMI Manufacturing World'!$A$1:$AA$1,),))=0,#N/A, (VLOOKUP(B33,'DB PMI Manufacturing World'!$A:$AA,MATCH($F$1,'DB PMI Manufacturing World'!$A$1:$AA$1,),)))</f>
        <v>50.8</v>
      </c>
      <c r="G33" s="37">
        <f>IF((VLOOKUP(B33,'DB PMI Manufacturing World'!$A:$AA,MATCH($G$1,'DB PMI Manufacturing World'!$A$1:$AA$1,),))=0,#N/A, (VLOOKUP(B33,'DB PMI Manufacturing World'!$A:$AA,MATCH($G$1,'DB PMI Manufacturing World'!$A$1:$AA$1,),)))</f>
        <v>47.5</v>
      </c>
      <c r="H33" s="37">
        <f>IF((VLOOKUP(B33,'DB PMI Manufacturing World'!$A:$AA,MATCH($H$1,'DB PMI Manufacturing World'!$A$1:$AA$1,),))=0,#N/A, (VLOOKUP(B33,'DB PMI Manufacturing World'!$A:$AA,MATCH($H$1,'DB PMI Manufacturing World'!$A$1:$AA$1,),)))</f>
        <v>49.2</v>
      </c>
      <c r="I33" s="37">
        <f>IF((VLOOKUP(B33,'DB PMI Manufacturing World'!$A:$AA,MATCH($I$1,'DB PMI Manufacturing World'!$A$1:$AA$1,),))=0,#N/A, (VLOOKUP(B33,'DB PMI Manufacturing World'!$A:$AA,MATCH($I$1,'DB PMI Manufacturing World'!$A$1:$AA$1,),)))</f>
        <v>44.1</v>
      </c>
      <c r="J33" s="37">
        <f>IF((VLOOKUP(B33,'DB PMI Manufacturing World'!$A:$AA,MATCH($J$1,'DB PMI Manufacturing World'!$A$1:$AA$1,),))=0,#N/A, (VLOOKUP(B33,'DB PMI Manufacturing World'!$A:$AA,MATCH($J$1,'DB PMI Manufacturing World'!$A$1:$AA$1,),)))</f>
        <v>49.7</v>
      </c>
      <c r="K33" s="37">
        <f>IF((VLOOKUP(B33,'DB PMI Manufacturing World'!$A:$AA,MATCH($K$1,'DB PMI Manufacturing World'!$A$1:$AA$1,),))=0,#N/A, (VLOOKUP(B33,'DB PMI Manufacturing World'!$A:$AA,MATCH($K$1,'DB PMI Manufacturing World'!$A$1:$AA$1,),)))</f>
        <v>55.1</v>
      </c>
      <c r="L33" s="37">
        <f>IF((VLOOKUP(B33,'DB PMI Manufacturing World'!$A:$AA,MATCH($L$1,'DB PMI Manufacturing World'!$A$1:$AA$1,),))=0,#N/A, (VLOOKUP(B33,'DB PMI Manufacturing World'!$A:$AA,MATCH($L$1,'DB PMI Manufacturing World'!$A$1:$AA$1,),)))</f>
        <v>47.4</v>
      </c>
      <c r="M33" s="37">
        <f>IF((VLOOKUP(B33,'DB PMI Manufacturing World'!$A:$AA,MATCH($M$1,'DB PMI Manufacturing World'!$A$1:$AA$1,),))=0,#N/A, (VLOOKUP(B33,'DB PMI Manufacturing World'!$A:$AA,MATCH($M$1,'DB PMI Manufacturing World'!$A$1:$AA$1,),)))</f>
        <v>50.9</v>
      </c>
      <c r="N33" s="37">
        <f>IF((VLOOKUP(B33,'DB PMI Manufacturing World'!$A:$AA,MATCH($N$1,'DB PMI Manufacturing World'!$A$1:$AA$1,),))=0,#N/A, (VLOOKUP(B33,'DB PMI Manufacturing World'!$A:$AA,MATCH($N$1,'DB PMI Manufacturing World'!$A$1:$AA$1,),)))</f>
        <v>52.8</v>
      </c>
      <c r="O33" s="37">
        <f>IF((VLOOKUP(B33,'DB PMI Manufacturing World'!$A:$AA,MATCH($O$1,'DB PMI Manufacturing World'!$A$1:$AA$1,),))=0,#N/A, (VLOOKUP(B33,'DB PMI Manufacturing World'!$A:$AA,MATCH($O$1,'DB PMI Manufacturing World'!$A$1:$AA$1,),)))</f>
        <v>49.8</v>
      </c>
      <c r="P33" s="37">
        <f>IF((VLOOKUP(B33,'DB PMI Manufacturing World'!$A:$AA,MATCH($P$1,'DB PMI Manufacturing World'!$A$1:$AA$1,),))=0,#N/A, (VLOOKUP(B33,'DB PMI Manufacturing World'!$A:$AA,MATCH($P$1,'DB PMI Manufacturing World'!$A$1:$AA$1,),)))</f>
        <v>52.8</v>
      </c>
      <c r="Q33" s="37">
        <f>IF((VLOOKUP(B33,'DB PMI Manufacturing World'!$A:$AA,MATCH($Q$1,'DB PMI Manufacturing World'!$A$1:$AA$1,),))=0,#N/A, (VLOOKUP(B33,'DB PMI Manufacturing World'!$A:$AA,MATCH($Q$1,'DB PMI Manufacturing World'!$A$1:$AA$1,),)))</f>
        <v>52.6</v>
      </c>
      <c r="R33" s="37">
        <f>IF((VLOOKUP(B33,'DB PMI Manufacturing World'!$A:$AA,MATCH($R$1,'DB PMI Manufacturing World'!$A$1:$AA$1,),))=0,#N/A, (VLOOKUP(B33,'DB PMI Manufacturing World'!$A:$AA,MATCH($R$1,'DB PMI Manufacturing World'!$A$1:$AA$1,),)))</f>
        <v>50.5</v>
      </c>
      <c r="S33" s="37">
        <f>IF((VLOOKUP(B33,'DB PMI Manufacturing World'!$A:$AA,MATCH($S$1,'DB PMI Manufacturing World'!$A$1:$AA$1,),))=0,#N/A, (VLOOKUP(B33,'DB PMI Manufacturing World'!$A:$AA,MATCH($S$1,'DB PMI Manufacturing World'!$A$1:$AA$1,),)))</f>
        <v>51</v>
      </c>
      <c r="T33" s="37">
        <f>IF((VLOOKUP(B33,'DB PMI Manufacturing World'!$A:$AA,MATCH($T$1,'DB PMI Manufacturing World'!$A$1:$AA$1,),))=0,#N/A, (VLOOKUP(B33,'DB PMI Manufacturing World'!$A:$AA,MATCH($T$1,'DB PMI Manufacturing World'!$A$1:$AA$1,),)))</f>
        <v>51.2</v>
      </c>
      <c r="U33" s="37">
        <f>IF((VLOOKUP(B33,'DB PMI Manufacturing World'!$A:$AA,MATCH($U$1,'DB PMI Manufacturing World'!$A$1:$AA$1,),))=0,#N/A, (VLOOKUP(B33,'DB PMI Manufacturing World'!$A:$AA,MATCH($U$1,'DB PMI Manufacturing World'!$A$1:$AA$1,),)))</f>
        <v>48.8</v>
      </c>
      <c r="V33" s="37">
        <f>IF((VLOOKUP(B33,'DB PMI Manufacturing World'!$A:$AA,MATCH($V$1,'DB PMI Manufacturing World'!$A$1:$AA$1,),))=0,#N/A, (VLOOKUP(B33,'DB PMI Manufacturing World'!$A:$AA,MATCH($V$1,'DB PMI Manufacturing World'!$A$1:$AA$1,),)))</f>
        <v>49</v>
      </c>
      <c r="W33" s="37">
        <f>IF((VLOOKUP(B33,'DB PMI Manufacturing World'!$A:$AA,MATCH($W$1,'DB PMI Manufacturing World'!$A$1:$AA$1,),))=0,#N/A, (VLOOKUP(B33,'DB PMI Manufacturing World'!$A:$AA,MATCH($W$1,'DB PMI Manufacturing World'!$A$1:$AA$1,),)))</f>
        <v>54.7</v>
      </c>
      <c r="X33" s="37">
        <f>IF((VLOOKUP(B33,'DB PMI Manufacturing World'!$A:$AA,MATCH($X$1,'DB PMI Manufacturing World'!$A$1:$AA$1,),))=0,#N/A, (VLOOKUP(B33,'DB PMI Manufacturing World'!$A:$AA,MATCH($X$1,'DB PMI Manufacturing World'!$A$1:$AA$1,),)))</f>
        <v>53.9</v>
      </c>
      <c r="Y33" s="37">
        <f>IF((VLOOKUP(B33,'DB PMI Manufacturing World'!$A:$AA,MATCH($Y$1,'DB PMI Manufacturing World'!$A$1:$AA$1,),))=0,#N/A, (VLOOKUP(B33,'DB PMI Manufacturing World'!$A:$AA,MATCH($Y$1,'DB PMI Manufacturing World'!$A$1:$AA$1,),)))</f>
        <v>47.2</v>
      </c>
      <c r="Z33" s="37">
        <f>IF((VLOOKUP(B33,'DB PMI Manufacturing World'!$A:$AA,MATCH($Z$1,'DB PMI Manufacturing World'!$A$1:$AA$1,),))=0,#N/A, (VLOOKUP(B33,'DB PMI Manufacturing World'!$A:$AA,MATCH($Z$1,'DB PMI Manufacturing World'!$A$1:$AA$1,),)))</f>
        <v>47.3</v>
      </c>
      <c r="AA33" s="37">
        <f>IF((VLOOKUP(B33,'DB PMI Manufacturing World'!$A:$AA,MATCH($AA$1,'DB PMI Manufacturing World'!$A$1:$AA$1,),))=0,#N/A, (VLOOKUP(B33,'DB PMI Manufacturing World'!$A:$AA,MATCH($AA$1,'DB PMI Manufacturing World'!$A$1:$AA$1,),)))</f>
        <v>48.7</v>
      </c>
      <c r="AB33" s="37">
        <f>IF((VLOOKUP(B33,'DB PMI Manufacturing World'!$A:$AA,MATCH($AB$1,'DB PMI Manufacturing World'!$A$1:$AA$1,),))=0,#N/A, (VLOOKUP(B33,'DB PMI Manufacturing World'!$A:$AA,MATCH($AB$1,'DB PMI Manufacturing World'!$A$1:$AA$1,),)))</f>
        <v>56.6</v>
      </c>
    </row>
    <row r="34" spans="2:28" x14ac:dyDescent="0.35">
      <c r="B34" s="29">
        <v>43556</v>
      </c>
      <c r="C34" s="37">
        <f>IF((VLOOKUP(B34,'DB PMI Manufacturing World'!$A:$AA,MATCH($C$1,'DB PMI Manufacturing World'!$A$1:$AA$1,),))=0,#N/A, (VLOOKUP(B34,'DB PMI Manufacturing World'!$A:$AA,MATCH($C$1,'DB PMI Manufacturing World'!$A$1:$AA$1,),)))</f>
        <v>50.4</v>
      </c>
      <c r="D34" s="37">
        <f>IF((VLOOKUP(B34,'DB PMI Manufacturing World'!$A:$AA,MATCH($D$1,'DB PMI Manufacturing World'!$A$1:$AA$1,),))=0,#N/A, (VLOOKUP(B34,'DB PMI Manufacturing World'!$A:$AA,MATCH($D$1,'DB PMI Manufacturing World'!$A$1:$AA$1,),)))</f>
        <v>52.8</v>
      </c>
      <c r="E34" s="37">
        <f>IF((VLOOKUP(B34,'DB PMI Manufacturing World'!$A:$AA,MATCH($E$1,'DB PMI Manufacturing World'!$A$1:$AA$1,),))=0,#N/A, (VLOOKUP(B34,'DB PMI Manufacturing World'!$A:$AA,MATCH($E$1,'DB PMI Manufacturing World'!$A$1:$AA$1,),)))</f>
        <v>52.6</v>
      </c>
      <c r="F34" s="37">
        <f>IF((VLOOKUP(B34,'DB PMI Manufacturing World'!$A:$AA,MATCH($F$1,'DB PMI Manufacturing World'!$A$1:$AA$1,),))=0,#N/A, (VLOOKUP(B34,'DB PMI Manufacturing World'!$A:$AA,MATCH($F$1,'DB PMI Manufacturing World'!$A$1:$AA$1,),)))</f>
        <v>50.2</v>
      </c>
      <c r="G34" s="37">
        <f>IF((VLOOKUP(B34,'DB PMI Manufacturing World'!$A:$AA,MATCH($G$1,'DB PMI Manufacturing World'!$A$1:$AA$1,),))=0,#N/A, (VLOOKUP(B34,'DB PMI Manufacturing World'!$A:$AA,MATCH($G$1,'DB PMI Manufacturing World'!$A$1:$AA$1,),)))</f>
        <v>47.9</v>
      </c>
      <c r="H34" s="37">
        <f>IF((VLOOKUP(B34,'DB PMI Manufacturing World'!$A:$AA,MATCH($H$1,'DB PMI Manufacturing World'!$A$1:$AA$1,),))=0,#N/A, (VLOOKUP(B34,'DB PMI Manufacturing World'!$A:$AA,MATCH($H$1,'DB PMI Manufacturing World'!$A$1:$AA$1,),)))</f>
        <v>49.5</v>
      </c>
      <c r="I34" s="37">
        <f>IF((VLOOKUP(B34,'DB PMI Manufacturing World'!$A:$AA,MATCH($I$1,'DB PMI Manufacturing World'!$A$1:$AA$1,),))=0,#N/A, (VLOOKUP(B34,'DB PMI Manufacturing World'!$A:$AA,MATCH($I$1,'DB PMI Manufacturing World'!$A$1:$AA$1,),)))</f>
        <v>44.4</v>
      </c>
      <c r="J34" s="37">
        <f>IF((VLOOKUP(B34,'DB PMI Manufacturing World'!$A:$AA,MATCH($J$1,'DB PMI Manufacturing World'!$A$1:$AA$1,),))=0,#N/A, (VLOOKUP(B34,'DB PMI Manufacturing World'!$A:$AA,MATCH($J$1,'DB PMI Manufacturing World'!$A$1:$AA$1,),)))</f>
        <v>50</v>
      </c>
      <c r="K34" s="37">
        <f>IF((VLOOKUP(B34,'DB PMI Manufacturing World'!$A:$AA,MATCH($K$1,'DB PMI Manufacturing World'!$A$1:$AA$1,),))=0,#N/A, (VLOOKUP(B34,'DB PMI Manufacturing World'!$A:$AA,MATCH($K$1,'DB PMI Manufacturing World'!$A$1:$AA$1,),)))</f>
        <v>53.1</v>
      </c>
      <c r="L34" s="37">
        <f>IF((VLOOKUP(B34,'DB PMI Manufacturing World'!$A:$AA,MATCH($L$1,'DB PMI Manufacturing World'!$A$1:$AA$1,),))=0,#N/A, (VLOOKUP(B34,'DB PMI Manufacturing World'!$A:$AA,MATCH($L$1,'DB PMI Manufacturing World'!$A$1:$AA$1,),)))</f>
        <v>49.1</v>
      </c>
      <c r="M34" s="37">
        <f>IF((VLOOKUP(B34,'DB PMI Manufacturing World'!$A:$AA,MATCH($M$1,'DB PMI Manufacturing World'!$A$1:$AA$1,),))=0,#N/A, (VLOOKUP(B34,'DB PMI Manufacturing World'!$A:$AA,MATCH($M$1,'DB PMI Manufacturing World'!$A$1:$AA$1,),)))</f>
        <v>51.8</v>
      </c>
      <c r="N34" s="37">
        <f>IF((VLOOKUP(B34,'DB PMI Manufacturing World'!$A:$AA,MATCH($N$1,'DB PMI Manufacturing World'!$A$1:$AA$1,),))=0,#N/A, (VLOOKUP(B34,'DB PMI Manufacturing World'!$A:$AA,MATCH($N$1,'DB PMI Manufacturing World'!$A$1:$AA$1,),)))</f>
        <v>51.5</v>
      </c>
      <c r="O34" s="37">
        <f>IF((VLOOKUP(B34,'DB PMI Manufacturing World'!$A:$AA,MATCH($O$1,'DB PMI Manufacturing World'!$A$1:$AA$1,),))=0,#N/A, (VLOOKUP(B34,'DB PMI Manufacturing World'!$A:$AA,MATCH($O$1,'DB PMI Manufacturing World'!$A$1:$AA$1,),)))</f>
        <v>50.1</v>
      </c>
      <c r="P34" s="37">
        <f>IF((VLOOKUP(B34,'DB PMI Manufacturing World'!$A:$AA,MATCH($P$1,'DB PMI Manufacturing World'!$A$1:$AA$1,),))=0,#N/A, (VLOOKUP(B34,'DB PMI Manufacturing World'!$A:$AA,MATCH($P$1,'DB PMI Manufacturing World'!$A$1:$AA$1,),)))</f>
        <v>51.8</v>
      </c>
      <c r="Q34" s="37">
        <f>IF((VLOOKUP(B34,'DB PMI Manufacturing World'!$A:$AA,MATCH($Q$1,'DB PMI Manufacturing World'!$A$1:$AA$1,),))=0,#N/A, (VLOOKUP(B34,'DB PMI Manufacturing World'!$A:$AA,MATCH($Q$1,'DB PMI Manufacturing World'!$A$1:$AA$1,),)))</f>
        <v>51.8</v>
      </c>
      <c r="R34" s="37">
        <f>IF((VLOOKUP(B34,'DB PMI Manufacturing World'!$A:$AA,MATCH($R$1,'DB PMI Manufacturing World'!$A$1:$AA$1,),))=0,#N/A, (VLOOKUP(B34,'DB PMI Manufacturing World'!$A:$AA,MATCH($R$1,'DB PMI Manufacturing World'!$A$1:$AA$1,),)))</f>
        <v>49.7</v>
      </c>
      <c r="S34" s="37">
        <f>IF((VLOOKUP(B34,'DB PMI Manufacturing World'!$A:$AA,MATCH($S$1,'DB PMI Manufacturing World'!$A$1:$AA$1,),))=0,#N/A, (VLOOKUP(B34,'DB PMI Manufacturing World'!$A:$AA,MATCH($S$1,'DB PMI Manufacturing World'!$A$1:$AA$1,),)))</f>
        <v>54.8</v>
      </c>
      <c r="T34" s="37">
        <f>IF((VLOOKUP(B34,'DB PMI Manufacturing World'!$A:$AA,MATCH($T$1,'DB PMI Manufacturing World'!$A$1:$AA$1,),))=0,#N/A, (VLOOKUP(B34,'DB PMI Manufacturing World'!$A:$AA,MATCH($T$1,'DB PMI Manufacturing World'!$A$1:$AA$1,),)))</f>
        <v>50.4</v>
      </c>
      <c r="U34" s="37">
        <f>IF((VLOOKUP(B34,'DB PMI Manufacturing World'!$A:$AA,MATCH($U$1,'DB PMI Manufacturing World'!$A$1:$AA$1,),))=0,#N/A, (VLOOKUP(B34,'DB PMI Manufacturing World'!$A:$AA,MATCH($U$1,'DB PMI Manufacturing World'!$A$1:$AA$1,),)))</f>
        <v>50.2</v>
      </c>
      <c r="V34" s="37">
        <f>IF((VLOOKUP(B34,'DB PMI Manufacturing World'!$A:$AA,MATCH($V$1,'DB PMI Manufacturing World'!$A$1:$AA$1,),))=0,#N/A, (VLOOKUP(B34,'DB PMI Manufacturing World'!$A:$AA,MATCH($V$1,'DB PMI Manufacturing World'!$A$1:$AA$1,),)))</f>
        <v>48.2</v>
      </c>
      <c r="W34" s="37">
        <f>IF((VLOOKUP(B34,'DB PMI Manufacturing World'!$A:$AA,MATCH($W$1,'DB PMI Manufacturing World'!$A$1:$AA$1,),))=0,#N/A, (VLOOKUP(B34,'DB PMI Manufacturing World'!$A:$AA,MATCH($W$1,'DB PMI Manufacturing World'!$A$1:$AA$1,),)))</f>
        <v>56.6</v>
      </c>
      <c r="X34" s="37">
        <f>IF((VLOOKUP(B34,'DB PMI Manufacturing World'!$A:$AA,MATCH($X$1,'DB PMI Manufacturing World'!$A$1:$AA$1,),))=0,#N/A, (VLOOKUP(B34,'DB PMI Manufacturing World'!$A:$AA,MATCH($X$1,'DB PMI Manufacturing World'!$A$1:$AA$1,),)))</f>
        <v>52.5</v>
      </c>
      <c r="Y34" s="37">
        <f>IF((VLOOKUP(B34,'DB PMI Manufacturing World'!$A:$AA,MATCH($Y$1,'DB PMI Manufacturing World'!$A$1:$AA$1,),))=0,#N/A, (VLOOKUP(B34,'DB PMI Manufacturing World'!$A:$AA,MATCH($Y$1,'DB PMI Manufacturing World'!$A$1:$AA$1,),)))</f>
        <v>46.8</v>
      </c>
      <c r="Z34" s="37">
        <f>IF((VLOOKUP(B34,'DB PMI Manufacturing World'!$A:$AA,MATCH($Z$1,'DB PMI Manufacturing World'!$A$1:$AA$1,),))=0,#N/A, (VLOOKUP(B34,'DB PMI Manufacturing World'!$A:$AA,MATCH($Z$1,'DB PMI Manufacturing World'!$A$1:$AA$1,),)))</f>
        <v>46.6</v>
      </c>
      <c r="AA34" s="37">
        <f>IF((VLOOKUP(B34,'DB PMI Manufacturing World'!$A:$AA,MATCH($AA$1,'DB PMI Manufacturing World'!$A$1:$AA$1,),))=0,#N/A, (VLOOKUP(B34,'DB PMI Manufacturing World'!$A:$AA,MATCH($AA$1,'DB PMI Manufacturing World'!$A$1:$AA$1,),)))</f>
        <v>49</v>
      </c>
      <c r="AB34" s="37">
        <f>IF((VLOOKUP(B34,'DB PMI Manufacturing World'!$A:$AA,MATCH($AB$1,'DB PMI Manufacturing World'!$A$1:$AA$1,),))=0,#N/A, (VLOOKUP(B34,'DB PMI Manufacturing World'!$A:$AA,MATCH($AB$1,'DB PMI Manufacturing World'!$A$1:$AA$1,),)))</f>
        <v>59.6</v>
      </c>
    </row>
    <row r="35" spans="2:28" x14ac:dyDescent="0.35">
      <c r="B35" s="29">
        <v>43586</v>
      </c>
      <c r="C35" s="37">
        <f>IF((VLOOKUP(B35,'DB PMI Manufacturing World'!$A:$AA,MATCH($C$1,'DB PMI Manufacturing World'!$A$1:$AA$1,),))=0,#N/A, (VLOOKUP(B35,'DB PMI Manufacturing World'!$A:$AA,MATCH($C$1,'DB PMI Manufacturing World'!$A$1:$AA$1,),)))</f>
        <v>49.8</v>
      </c>
      <c r="D35" s="37">
        <f>IF((VLOOKUP(B35,'DB PMI Manufacturing World'!$A:$AA,MATCH($D$1,'DB PMI Manufacturing World'!$A$1:$AA$1,),))=0,#N/A, (VLOOKUP(B35,'DB PMI Manufacturing World'!$A:$AA,MATCH($D$1,'DB PMI Manufacturing World'!$A$1:$AA$1,),)))</f>
        <v>52.1</v>
      </c>
      <c r="E35" s="37">
        <f>IF((VLOOKUP(B35,'DB PMI Manufacturing World'!$A:$AA,MATCH($E$1,'DB PMI Manufacturing World'!$A$1:$AA$1,),))=0,#N/A, (VLOOKUP(B35,'DB PMI Manufacturing World'!$A:$AA,MATCH($E$1,'DB PMI Manufacturing World'!$A$1:$AA$1,),)))</f>
        <v>50.5</v>
      </c>
      <c r="F35" s="37">
        <f>IF((VLOOKUP(B35,'DB PMI Manufacturing World'!$A:$AA,MATCH($F$1,'DB PMI Manufacturing World'!$A$1:$AA$1,),))=0,#N/A, (VLOOKUP(B35,'DB PMI Manufacturing World'!$A:$AA,MATCH($F$1,'DB PMI Manufacturing World'!$A$1:$AA$1,),)))</f>
        <v>50.2</v>
      </c>
      <c r="G35" s="37">
        <f>IF((VLOOKUP(B35,'DB PMI Manufacturing World'!$A:$AA,MATCH($G$1,'DB PMI Manufacturing World'!$A$1:$AA$1,),))=0,#N/A, (VLOOKUP(B35,'DB PMI Manufacturing World'!$A:$AA,MATCH($G$1,'DB PMI Manufacturing World'!$A$1:$AA$1,),)))</f>
        <v>47.7</v>
      </c>
      <c r="H35" s="37">
        <f>IF((VLOOKUP(B35,'DB PMI Manufacturing World'!$A:$AA,MATCH($H$1,'DB PMI Manufacturing World'!$A$1:$AA$1,),))=0,#N/A, (VLOOKUP(B35,'DB PMI Manufacturing World'!$A:$AA,MATCH($H$1,'DB PMI Manufacturing World'!$A$1:$AA$1,),)))</f>
        <v>49.8</v>
      </c>
      <c r="I35" s="37">
        <f>IF((VLOOKUP(B35,'DB PMI Manufacturing World'!$A:$AA,MATCH($I$1,'DB PMI Manufacturing World'!$A$1:$AA$1,),))=0,#N/A, (VLOOKUP(B35,'DB PMI Manufacturing World'!$A:$AA,MATCH($I$1,'DB PMI Manufacturing World'!$A$1:$AA$1,),)))</f>
        <v>44.3</v>
      </c>
      <c r="J35" s="37">
        <f>IF((VLOOKUP(B35,'DB PMI Manufacturing World'!$A:$AA,MATCH($J$1,'DB PMI Manufacturing World'!$A$1:$AA$1,),))=0,#N/A, (VLOOKUP(B35,'DB PMI Manufacturing World'!$A:$AA,MATCH($J$1,'DB PMI Manufacturing World'!$A$1:$AA$1,),)))</f>
        <v>50.6</v>
      </c>
      <c r="K35" s="37">
        <f>IF((VLOOKUP(B35,'DB PMI Manufacturing World'!$A:$AA,MATCH($K$1,'DB PMI Manufacturing World'!$A$1:$AA$1,),))=0,#N/A, (VLOOKUP(B35,'DB PMI Manufacturing World'!$A:$AA,MATCH($K$1,'DB PMI Manufacturing World'!$A$1:$AA$1,),)))</f>
        <v>49.4</v>
      </c>
      <c r="L35" s="37">
        <f>IF((VLOOKUP(B35,'DB PMI Manufacturing World'!$A:$AA,MATCH($L$1,'DB PMI Manufacturing World'!$A$1:$AA$1,),))=0,#N/A, (VLOOKUP(B35,'DB PMI Manufacturing World'!$A:$AA,MATCH($L$1,'DB PMI Manufacturing World'!$A$1:$AA$1,),)))</f>
        <v>49.7</v>
      </c>
      <c r="M35" s="37">
        <f>IF((VLOOKUP(B35,'DB PMI Manufacturing World'!$A:$AA,MATCH($M$1,'DB PMI Manufacturing World'!$A$1:$AA$1,),))=0,#N/A, (VLOOKUP(B35,'DB PMI Manufacturing World'!$A:$AA,MATCH($M$1,'DB PMI Manufacturing World'!$A$1:$AA$1,),)))</f>
        <v>50.1</v>
      </c>
      <c r="N35" s="37">
        <f>IF((VLOOKUP(B35,'DB PMI Manufacturing World'!$A:$AA,MATCH($N$1,'DB PMI Manufacturing World'!$A$1:$AA$1,),))=0,#N/A, (VLOOKUP(B35,'DB PMI Manufacturing World'!$A:$AA,MATCH($N$1,'DB PMI Manufacturing World'!$A$1:$AA$1,),)))</f>
        <v>50.2</v>
      </c>
      <c r="O35" s="37">
        <f>IF((VLOOKUP(B35,'DB PMI Manufacturing World'!$A:$AA,MATCH($O$1,'DB PMI Manufacturing World'!$A$1:$AA$1,),))=0,#N/A, (VLOOKUP(B35,'DB PMI Manufacturing World'!$A:$AA,MATCH($O$1,'DB PMI Manufacturing World'!$A$1:$AA$1,),)))</f>
        <v>50</v>
      </c>
      <c r="P35" s="37">
        <f>IF((VLOOKUP(B35,'DB PMI Manufacturing World'!$A:$AA,MATCH($P$1,'DB PMI Manufacturing World'!$A$1:$AA$1,),))=0,#N/A, (VLOOKUP(B35,'DB PMI Manufacturing World'!$A:$AA,MATCH($P$1,'DB PMI Manufacturing World'!$A$1:$AA$1,),)))</f>
        <v>49.8</v>
      </c>
      <c r="Q35" s="37">
        <f>IF((VLOOKUP(B35,'DB PMI Manufacturing World'!$A:$AA,MATCH($Q$1,'DB PMI Manufacturing World'!$A$1:$AA$1,),))=0,#N/A, (VLOOKUP(B35,'DB PMI Manufacturing World'!$A:$AA,MATCH($Q$1,'DB PMI Manufacturing World'!$A$1:$AA$1,),)))</f>
        <v>52.7</v>
      </c>
      <c r="R35" s="37">
        <f>IF((VLOOKUP(B35,'DB PMI Manufacturing World'!$A:$AA,MATCH($R$1,'DB PMI Manufacturing World'!$A$1:$AA$1,),))=0,#N/A, (VLOOKUP(B35,'DB PMI Manufacturing World'!$A:$AA,MATCH($R$1,'DB PMI Manufacturing World'!$A$1:$AA$1,),)))</f>
        <v>49.1</v>
      </c>
      <c r="S35" s="37">
        <f>IF((VLOOKUP(B35,'DB PMI Manufacturing World'!$A:$AA,MATCH($S$1,'DB PMI Manufacturing World'!$A$1:$AA$1,),))=0,#N/A, (VLOOKUP(B35,'DB PMI Manufacturing World'!$A:$AA,MATCH($S$1,'DB PMI Manufacturing World'!$A$1:$AA$1,),)))</f>
        <v>52.7</v>
      </c>
      <c r="T35" s="37">
        <f>IF((VLOOKUP(B35,'DB PMI Manufacturing World'!$A:$AA,MATCH($T$1,'DB PMI Manufacturing World'!$A$1:$AA$1,),))=0,#N/A, (VLOOKUP(B35,'DB PMI Manufacturing World'!$A:$AA,MATCH($T$1,'DB PMI Manufacturing World'!$A$1:$AA$1,),)))</f>
        <v>51.6</v>
      </c>
      <c r="U35" s="37">
        <f>IF((VLOOKUP(B35,'DB PMI Manufacturing World'!$A:$AA,MATCH($U$1,'DB PMI Manufacturing World'!$A$1:$AA$1,),))=0,#N/A, (VLOOKUP(B35,'DB PMI Manufacturing World'!$A:$AA,MATCH($U$1,'DB PMI Manufacturing World'!$A$1:$AA$1,),)))</f>
        <v>48.4</v>
      </c>
      <c r="V35" s="37">
        <f>IF((VLOOKUP(B35,'DB PMI Manufacturing World'!$A:$AA,MATCH($V$1,'DB PMI Manufacturing World'!$A$1:$AA$1,),))=0,#N/A, (VLOOKUP(B35,'DB PMI Manufacturing World'!$A:$AA,MATCH($V$1,'DB PMI Manufacturing World'!$A$1:$AA$1,),)))</f>
        <v>48.4</v>
      </c>
      <c r="W35" s="37">
        <f>IF((VLOOKUP(B35,'DB PMI Manufacturing World'!$A:$AA,MATCH($W$1,'DB PMI Manufacturing World'!$A$1:$AA$1,),))=0,#N/A, (VLOOKUP(B35,'DB PMI Manufacturing World'!$A:$AA,MATCH($W$1,'DB PMI Manufacturing World'!$A$1:$AA$1,),)))</f>
        <v>54.2</v>
      </c>
      <c r="X35" s="37">
        <f>IF((VLOOKUP(B35,'DB PMI Manufacturing World'!$A:$AA,MATCH($X$1,'DB PMI Manufacturing World'!$A$1:$AA$1,),))=0,#N/A, (VLOOKUP(B35,'DB PMI Manufacturing World'!$A:$AA,MATCH($X$1,'DB PMI Manufacturing World'!$A$1:$AA$1,),)))</f>
        <v>50.4</v>
      </c>
      <c r="Y35" s="37">
        <f>IF((VLOOKUP(B35,'DB PMI Manufacturing World'!$A:$AA,MATCH($Y$1,'DB PMI Manufacturing World'!$A$1:$AA$1,),))=0,#N/A, (VLOOKUP(B35,'DB PMI Manufacturing World'!$A:$AA,MATCH($Y$1,'DB PMI Manufacturing World'!$A$1:$AA$1,),)))</f>
        <v>45.3</v>
      </c>
      <c r="Z35" s="37">
        <f>IF((VLOOKUP(B35,'DB PMI Manufacturing World'!$A:$AA,MATCH($Z$1,'DB PMI Manufacturing World'!$A$1:$AA$1,),))=0,#N/A, (VLOOKUP(B35,'DB PMI Manufacturing World'!$A:$AA,MATCH($Z$1,'DB PMI Manufacturing World'!$A$1:$AA$1,),)))</f>
        <v>46.6</v>
      </c>
      <c r="AA35" s="37">
        <f>IF((VLOOKUP(B35,'DB PMI Manufacturing World'!$A:$AA,MATCH($AA$1,'DB PMI Manufacturing World'!$A$1:$AA$1,),))=0,#N/A, (VLOOKUP(B35,'DB PMI Manufacturing World'!$A:$AA,MATCH($AA$1,'DB PMI Manufacturing World'!$A$1:$AA$1,),)))</f>
        <v>48.8</v>
      </c>
      <c r="AB35" s="37">
        <f>IF((VLOOKUP(B35,'DB PMI Manufacturing World'!$A:$AA,MATCH($AB$1,'DB PMI Manufacturing World'!$A$1:$AA$1,),))=0,#N/A, (VLOOKUP(B35,'DB PMI Manufacturing World'!$A:$AA,MATCH($AB$1,'DB PMI Manufacturing World'!$A$1:$AA$1,),)))</f>
        <v>47.6</v>
      </c>
    </row>
    <row r="36" spans="2:28" x14ac:dyDescent="0.35">
      <c r="B36" s="29">
        <v>43617</v>
      </c>
      <c r="C36" s="37">
        <f>IF((VLOOKUP(B36,'DB PMI Manufacturing World'!$A:$AA,MATCH($C$1,'DB PMI Manufacturing World'!$A$1:$AA$1,),))=0,#N/A, (VLOOKUP(B36,'DB PMI Manufacturing World'!$A:$AA,MATCH($C$1,'DB PMI Manufacturing World'!$A$1:$AA$1,),)))</f>
        <v>49.4</v>
      </c>
      <c r="D36" s="37">
        <f>IF((VLOOKUP(B36,'DB PMI Manufacturing World'!$A:$AA,MATCH($D$1,'DB PMI Manufacturing World'!$A$1:$AA$1,),))=0,#N/A, (VLOOKUP(B36,'DB PMI Manufacturing World'!$A:$AA,MATCH($D$1,'DB PMI Manufacturing World'!$A$1:$AA$1,),)))</f>
        <v>51.7</v>
      </c>
      <c r="E36" s="37">
        <f>IF((VLOOKUP(B36,'DB PMI Manufacturing World'!$A:$AA,MATCH($E$1,'DB PMI Manufacturing World'!$A$1:$AA$1,),))=0,#N/A, (VLOOKUP(B36,'DB PMI Manufacturing World'!$A:$AA,MATCH($E$1,'DB PMI Manufacturing World'!$A$1:$AA$1,),)))</f>
        <v>50.6</v>
      </c>
      <c r="F36" s="37">
        <f>IF((VLOOKUP(B36,'DB PMI Manufacturing World'!$A:$AA,MATCH($F$1,'DB PMI Manufacturing World'!$A$1:$AA$1,),))=0,#N/A, (VLOOKUP(B36,'DB PMI Manufacturing World'!$A:$AA,MATCH($F$1,'DB PMI Manufacturing World'!$A$1:$AA$1,),)))</f>
        <v>49.4</v>
      </c>
      <c r="G36" s="37">
        <f>IF((VLOOKUP(B36,'DB PMI Manufacturing World'!$A:$AA,MATCH($G$1,'DB PMI Manufacturing World'!$A$1:$AA$1,),))=0,#N/A, (VLOOKUP(B36,'DB PMI Manufacturing World'!$A:$AA,MATCH($G$1,'DB PMI Manufacturing World'!$A$1:$AA$1,),)))</f>
        <v>47.6</v>
      </c>
      <c r="H36" s="37">
        <f>IF((VLOOKUP(B36,'DB PMI Manufacturing World'!$A:$AA,MATCH($H$1,'DB PMI Manufacturing World'!$A$1:$AA$1,),))=0,#N/A, (VLOOKUP(B36,'DB PMI Manufacturing World'!$A:$AA,MATCH($H$1,'DB PMI Manufacturing World'!$A$1:$AA$1,),)))</f>
        <v>49.3</v>
      </c>
      <c r="I36" s="37">
        <f>IF((VLOOKUP(B36,'DB PMI Manufacturing World'!$A:$AA,MATCH($I$1,'DB PMI Manufacturing World'!$A$1:$AA$1,),))=0,#N/A, (VLOOKUP(B36,'DB PMI Manufacturing World'!$A:$AA,MATCH($I$1,'DB PMI Manufacturing World'!$A$1:$AA$1,),)))</f>
        <v>45</v>
      </c>
      <c r="J36" s="37">
        <f>IF((VLOOKUP(B36,'DB PMI Manufacturing World'!$A:$AA,MATCH($J$1,'DB PMI Manufacturing World'!$A$1:$AA$1,),))=0,#N/A, (VLOOKUP(B36,'DB PMI Manufacturing World'!$A:$AA,MATCH($J$1,'DB PMI Manufacturing World'!$A$1:$AA$1,),)))</f>
        <v>51.9</v>
      </c>
      <c r="K36" s="37">
        <f>IF((VLOOKUP(B36,'DB PMI Manufacturing World'!$A:$AA,MATCH($K$1,'DB PMI Manufacturing World'!$A$1:$AA$1,),))=0,#N/A, (VLOOKUP(B36,'DB PMI Manufacturing World'!$A:$AA,MATCH($K$1,'DB PMI Manufacturing World'!$A$1:$AA$1,),)))</f>
        <v>48</v>
      </c>
      <c r="L36" s="37">
        <f>IF((VLOOKUP(B36,'DB PMI Manufacturing World'!$A:$AA,MATCH($L$1,'DB PMI Manufacturing World'!$A$1:$AA$1,),))=0,#N/A, (VLOOKUP(B36,'DB PMI Manufacturing World'!$A:$AA,MATCH($L$1,'DB PMI Manufacturing World'!$A$1:$AA$1,),)))</f>
        <v>48.4</v>
      </c>
      <c r="M36" s="37">
        <f>IF((VLOOKUP(B36,'DB PMI Manufacturing World'!$A:$AA,MATCH($M$1,'DB PMI Manufacturing World'!$A$1:$AA$1,),))=0,#N/A, (VLOOKUP(B36,'DB PMI Manufacturing World'!$A:$AA,MATCH($M$1,'DB PMI Manufacturing World'!$A$1:$AA$1,),)))</f>
        <v>47.9</v>
      </c>
      <c r="N36" s="37">
        <f>IF((VLOOKUP(B36,'DB PMI Manufacturing World'!$A:$AA,MATCH($N$1,'DB PMI Manufacturing World'!$A$1:$AA$1,),))=0,#N/A, (VLOOKUP(B36,'DB PMI Manufacturing World'!$A:$AA,MATCH($N$1,'DB PMI Manufacturing World'!$A$1:$AA$1,),)))</f>
        <v>51</v>
      </c>
      <c r="O36" s="37">
        <f>IF((VLOOKUP(B36,'DB PMI Manufacturing World'!$A:$AA,MATCH($O$1,'DB PMI Manufacturing World'!$A$1:$AA$1,),))=0,#N/A, (VLOOKUP(B36,'DB PMI Manufacturing World'!$A:$AA,MATCH($O$1,'DB PMI Manufacturing World'!$A$1:$AA$1,),)))</f>
        <v>49.2</v>
      </c>
      <c r="P36" s="37">
        <f>IF((VLOOKUP(B36,'DB PMI Manufacturing World'!$A:$AA,MATCH($P$1,'DB PMI Manufacturing World'!$A$1:$AA$1,),))=0,#N/A, (VLOOKUP(B36,'DB PMI Manufacturing World'!$A:$AA,MATCH($P$1,'DB PMI Manufacturing World'!$A$1:$AA$1,),)))</f>
        <v>48.6</v>
      </c>
      <c r="Q36" s="37">
        <f>IF((VLOOKUP(B36,'DB PMI Manufacturing World'!$A:$AA,MATCH($Q$1,'DB PMI Manufacturing World'!$A$1:$AA$1,),))=0,#N/A, (VLOOKUP(B36,'DB PMI Manufacturing World'!$A:$AA,MATCH($Q$1,'DB PMI Manufacturing World'!$A$1:$AA$1,),)))</f>
        <v>52.1</v>
      </c>
      <c r="R36" s="37">
        <f>IF((VLOOKUP(B36,'DB PMI Manufacturing World'!$A:$AA,MATCH($R$1,'DB PMI Manufacturing World'!$A$1:$AA$1,),))=0,#N/A, (VLOOKUP(B36,'DB PMI Manufacturing World'!$A:$AA,MATCH($R$1,'DB PMI Manufacturing World'!$A$1:$AA$1,),)))</f>
        <v>49.2</v>
      </c>
      <c r="S36" s="37">
        <f>IF((VLOOKUP(B36,'DB PMI Manufacturing World'!$A:$AA,MATCH($S$1,'DB PMI Manufacturing World'!$A$1:$AA$1,),))=0,#N/A, (VLOOKUP(B36,'DB PMI Manufacturing World'!$A:$AA,MATCH($S$1,'DB PMI Manufacturing World'!$A$1:$AA$1,),)))</f>
        <v>49.4</v>
      </c>
      <c r="T36" s="37">
        <f>IF((VLOOKUP(B36,'DB PMI Manufacturing World'!$A:$AA,MATCH($T$1,'DB PMI Manufacturing World'!$A$1:$AA$1,),))=0,#N/A, (VLOOKUP(B36,'DB PMI Manufacturing World'!$A:$AA,MATCH($T$1,'DB PMI Manufacturing World'!$A$1:$AA$1,),)))</f>
        <v>50.6</v>
      </c>
      <c r="U36" s="37">
        <f>IF((VLOOKUP(B36,'DB PMI Manufacturing World'!$A:$AA,MATCH($U$1,'DB PMI Manufacturing World'!$A$1:$AA$1,),))=0,#N/A, (VLOOKUP(B36,'DB PMI Manufacturing World'!$A:$AA,MATCH($U$1,'DB PMI Manufacturing World'!$A$1:$AA$1,),)))</f>
        <v>47.5</v>
      </c>
      <c r="V36" s="37">
        <f>IF((VLOOKUP(B36,'DB PMI Manufacturing World'!$A:$AA,MATCH($V$1,'DB PMI Manufacturing World'!$A$1:$AA$1,),))=0,#N/A, (VLOOKUP(B36,'DB PMI Manufacturing World'!$A:$AA,MATCH($V$1,'DB PMI Manufacturing World'!$A$1:$AA$1,),)))</f>
        <v>45.5</v>
      </c>
      <c r="W36" s="37">
        <f>IF((VLOOKUP(B36,'DB PMI Manufacturing World'!$A:$AA,MATCH($W$1,'DB PMI Manufacturing World'!$A$1:$AA$1,),))=0,#N/A, (VLOOKUP(B36,'DB PMI Manufacturing World'!$A:$AA,MATCH($W$1,'DB PMI Manufacturing World'!$A$1:$AA$1,),)))</f>
        <v>52.4</v>
      </c>
      <c r="X36" s="37">
        <f>IF((VLOOKUP(B36,'DB PMI Manufacturing World'!$A:$AA,MATCH($X$1,'DB PMI Manufacturing World'!$A$1:$AA$1,),))=0,#N/A, (VLOOKUP(B36,'DB PMI Manufacturing World'!$A:$AA,MATCH($X$1,'DB PMI Manufacturing World'!$A$1:$AA$1,),)))</f>
        <v>49.8</v>
      </c>
      <c r="Y36" s="37">
        <f>IF((VLOOKUP(B36,'DB PMI Manufacturing World'!$A:$AA,MATCH($Y$1,'DB PMI Manufacturing World'!$A$1:$AA$1,),))=0,#N/A, (VLOOKUP(B36,'DB PMI Manufacturing World'!$A:$AA,MATCH($Y$1,'DB PMI Manufacturing World'!$A$1:$AA$1,),)))</f>
        <v>47.9</v>
      </c>
      <c r="Z36" s="37">
        <f>IF((VLOOKUP(B36,'DB PMI Manufacturing World'!$A:$AA,MATCH($Z$1,'DB PMI Manufacturing World'!$A$1:$AA$1,),))=0,#N/A, (VLOOKUP(B36,'DB PMI Manufacturing World'!$A:$AA,MATCH($Z$1,'DB PMI Manufacturing World'!$A$1:$AA$1,),)))</f>
        <v>45.9</v>
      </c>
      <c r="AA36" s="37">
        <f>IF((VLOOKUP(B36,'DB PMI Manufacturing World'!$A:$AA,MATCH($AA$1,'DB PMI Manufacturing World'!$A$1:$AA$1,),))=0,#N/A, (VLOOKUP(B36,'DB PMI Manufacturing World'!$A:$AA,MATCH($AA$1,'DB PMI Manufacturing World'!$A$1:$AA$1,),)))</f>
        <v>48.4</v>
      </c>
      <c r="AB36" s="37">
        <f>IF((VLOOKUP(B36,'DB PMI Manufacturing World'!$A:$AA,MATCH($AB$1,'DB PMI Manufacturing World'!$A$1:$AA$1,),))=0,#N/A, (VLOOKUP(B36,'DB PMI Manufacturing World'!$A:$AA,MATCH($AB$1,'DB PMI Manufacturing World'!$A$1:$AA$1,),)))</f>
        <v>45</v>
      </c>
    </row>
    <row r="37" spans="2:28" x14ac:dyDescent="0.35">
      <c r="B37" s="29">
        <v>43647</v>
      </c>
      <c r="C37" s="37">
        <f>IF((VLOOKUP(B37,'DB PMI Manufacturing World'!$A:$AA,MATCH($C$1,'DB PMI Manufacturing World'!$A$1:$AA$1,),))=0,#N/A, (VLOOKUP(B37,'DB PMI Manufacturing World'!$A:$AA,MATCH($C$1,'DB PMI Manufacturing World'!$A$1:$AA$1,),)))</f>
        <v>49.3</v>
      </c>
      <c r="D37" s="37">
        <f>IF((VLOOKUP(B37,'DB PMI Manufacturing World'!$A:$AA,MATCH($D$1,'DB PMI Manufacturing World'!$A$1:$AA$1,),))=0,#N/A, (VLOOKUP(B37,'DB PMI Manufacturing World'!$A:$AA,MATCH($D$1,'DB PMI Manufacturing World'!$A$1:$AA$1,),)))</f>
        <v>51.2</v>
      </c>
      <c r="E37" s="37">
        <f>IF((VLOOKUP(B37,'DB PMI Manufacturing World'!$A:$AA,MATCH($E$1,'DB PMI Manufacturing World'!$A$1:$AA$1,),))=0,#N/A, (VLOOKUP(B37,'DB PMI Manufacturing World'!$A:$AA,MATCH($E$1,'DB PMI Manufacturing World'!$A$1:$AA$1,),)))</f>
        <v>50</v>
      </c>
      <c r="F37" s="37">
        <f>IF((VLOOKUP(B37,'DB PMI Manufacturing World'!$A:$AA,MATCH($F$1,'DB PMI Manufacturing World'!$A$1:$AA$1,),))=0,#N/A, (VLOOKUP(B37,'DB PMI Manufacturing World'!$A:$AA,MATCH($F$1,'DB PMI Manufacturing World'!$A$1:$AA$1,),)))</f>
        <v>49.9</v>
      </c>
      <c r="G37" s="37">
        <f>IF((VLOOKUP(B37,'DB PMI Manufacturing World'!$A:$AA,MATCH($G$1,'DB PMI Manufacturing World'!$A$1:$AA$1,),))=0,#N/A, (VLOOKUP(B37,'DB PMI Manufacturing World'!$A:$AA,MATCH($G$1,'DB PMI Manufacturing World'!$A$1:$AA$1,),)))</f>
        <v>46.5</v>
      </c>
      <c r="H37" s="37">
        <f>IF((VLOOKUP(B37,'DB PMI Manufacturing World'!$A:$AA,MATCH($H$1,'DB PMI Manufacturing World'!$A$1:$AA$1,),))=0,#N/A, (VLOOKUP(B37,'DB PMI Manufacturing World'!$A:$AA,MATCH($H$1,'DB PMI Manufacturing World'!$A$1:$AA$1,),)))</f>
        <v>49.4</v>
      </c>
      <c r="I37" s="37">
        <f>IF((VLOOKUP(B37,'DB PMI Manufacturing World'!$A:$AA,MATCH($I$1,'DB PMI Manufacturing World'!$A$1:$AA$1,),))=0,#N/A, (VLOOKUP(B37,'DB PMI Manufacturing World'!$A:$AA,MATCH($I$1,'DB PMI Manufacturing World'!$A$1:$AA$1,),)))</f>
        <v>43.2</v>
      </c>
      <c r="J37" s="37">
        <f>IF((VLOOKUP(B37,'DB PMI Manufacturing World'!$A:$AA,MATCH($J$1,'DB PMI Manufacturing World'!$A$1:$AA$1,),))=0,#N/A, (VLOOKUP(B37,'DB PMI Manufacturing World'!$A:$AA,MATCH($J$1,'DB PMI Manufacturing World'!$A$1:$AA$1,),)))</f>
        <v>49.7</v>
      </c>
      <c r="K37" s="37">
        <f>IF((VLOOKUP(B37,'DB PMI Manufacturing World'!$A:$AA,MATCH($K$1,'DB PMI Manufacturing World'!$A$1:$AA$1,),))=0,#N/A, (VLOOKUP(B37,'DB PMI Manufacturing World'!$A:$AA,MATCH($K$1,'DB PMI Manufacturing World'!$A$1:$AA$1,),)))</f>
        <v>48</v>
      </c>
      <c r="L37" s="37">
        <f>IF((VLOOKUP(B37,'DB PMI Manufacturing World'!$A:$AA,MATCH($L$1,'DB PMI Manufacturing World'!$A$1:$AA$1,),))=0,#N/A, (VLOOKUP(B37,'DB PMI Manufacturing World'!$A:$AA,MATCH($L$1,'DB PMI Manufacturing World'!$A$1:$AA$1,),)))</f>
        <v>48.5</v>
      </c>
      <c r="M37" s="37">
        <f>IF((VLOOKUP(B37,'DB PMI Manufacturing World'!$A:$AA,MATCH($M$1,'DB PMI Manufacturing World'!$A$1:$AA$1,),))=0,#N/A, (VLOOKUP(B37,'DB PMI Manufacturing World'!$A:$AA,MATCH($M$1,'DB PMI Manufacturing World'!$A$1:$AA$1,),)))</f>
        <v>48.2</v>
      </c>
      <c r="N37" s="37">
        <f>IF((VLOOKUP(B37,'DB PMI Manufacturing World'!$A:$AA,MATCH($N$1,'DB PMI Manufacturing World'!$A$1:$AA$1,),))=0,#N/A, (VLOOKUP(B37,'DB PMI Manufacturing World'!$A:$AA,MATCH($N$1,'DB PMI Manufacturing World'!$A$1:$AA$1,),)))</f>
        <v>49.9</v>
      </c>
      <c r="O37" s="37">
        <f>IF((VLOOKUP(B37,'DB PMI Manufacturing World'!$A:$AA,MATCH($O$1,'DB PMI Manufacturing World'!$A$1:$AA$1,),))=0,#N/A, (VLOOKUP(B37,'DB PMI Manufacturing World'!$A:$AA,MATCH($O$1,'DB PMI Manufacturing World'!$A$1:$AA$1,),)))</f>
        <v>49.8</v>
      </c>
      <c r="P37" s="37">
        <f>IF((VLOOKUP(B37,'DB PMI Manufacturing World'!$A:$AA,MATCH($P$1,'DB PMI Manufacturing World'!$A$1:$AA$1,),))=0,#N/A, (VLOOKUP(B37,'DB PMI Manufacturing World'!$A:$AA,MATCH($P$1,'DB PMI Manufacturing World'!$A$1:$AA$1,),)))</f>
        <v>49.3</v>
      </c>
      <c r="Q37" s="37">
        <f>IF((VLOOKUP(B37,'DB PMI Manufacturing World'!$A:$AA,MATCH($Q$1,'DB PMI Manufacturing World'!$A$1:$AA$1,),))=0,#N/A, (VLOOKUP(B37,'DB PMI Manufacturing World'!$A:$AA,MATCH($Q$1,'DB PMI Manufacturing World'!$A$1:$AA$1,),)))</f>
        <v>52.5</v>
      </c>
      <c r="R37" s="37">
        <f>IF((VLOOKUP(B37,'DB PMI Manufacturing World'!$A:$AA,MATCH($R$1,'DB PMI Manufacturing World'!$A$1:$AA$1,),))=0,#N/A, (VLOOKUP(B37,'DB PMI Manufacturing World'!$A:$AA,MATCH($R$1,'DB PMI Manufacturing World'!$A$1:$AA$1,),)))</f>
        <v>50.2</v>
      </c>
      <c r="S37" s="37">
        <f>IF((VLOOKUP(B37,'DB PMI Manufacturing World'!$A:$AA,MATCH($S$1,'DB PMI Manufacturing World'!$A$1:$AA$1,),))=0,#N/A, (VLOOKUP(B37,'DB PMI Manufacturing World'!$A:$AA,MATCH($S$1,'DB PMI Manufacturing World'!$A$1:$AA$1,),)))</f>
        <v>51.3</v>
      </c>
      <c r="T37" s="37">
        <f>IF((VLOOKUP(B37,'DB PMI Manufacturing World'!$A:$AA,MATCH($T$1,'DB PMI Manufacturing World'!$A$1:$AA$1,),))=0,#N/A, (VLOOKUP(B37,'DB PMI Manufacturing World'!$A:$AA,MATCH($T$1,'DB PMI Manufacturing World'!$A$1:$AA$1,),)))</f>
        <v>49.6</v>
      </c>
      <c r="U37" s="37">
        <f>IF((VLOOKUP(B37,'DB PMI Manufacturing World'!$A:$AA,MATCH($U$1,'DB PMI Manufacturing World'!$A$1:$AA$1,),))=0,#N/A, (VLOOKUP(B37,'DB PMI Manufacturing World'!$A:$AA,MATCH($U$1,'DB PMI Manufacturing World'!$A$1:$AA$1,),)))</f>
        <v>47.3</v>
      </c>
      <c r="V37" s="37">
        <f>IF((VLOOKUP(B37,'DB PMI Manufacturing World'!$A:$AA,MATCH($V$1,'DB PMI Manufacturing World'!$A$1:$AA$1,),))=0,#N/A, (VLOOKUP(B37,'DB PMI Manufacturing World'!$A:$AA,MATCH($V$1,'DB PMI Manufacturing World'!$A$1:$AA$1,),)))</f>
        <v>48.1</v>
      </c>
      <c r="W37" s="37">
        <f>IF((VLOOKUP(B37,'DB PMI Manufacturing World'!$A:$AA,MATCH($W$1,'DB PMI Manufacturing World'!$A$1:$AA$1,),))=0,#N/A, (VLOOKUP(B37,'DB PMI Manufacturing World'!$A:$AA,MATCH($W$1,'DB PMI Manufacturing World'!$A$1:$AA$1,),)))</f>
        <v>54.6</v>
      </c>
      <c r="X37" s="37">
        <f>IF((VLOOKUP(B37,'DB PMI Manufacturing World'!$A:$AA,MATCH($X$1,'DB PMI Manufacturing World'!$A$1:$AA$1,),))=0,#N/A, (VLOOKUP(B37,'DB PMI Manufacturing World'!$A:$AA,MATCH($X$1,'DB PMI Manufacturing World'!$A$1:$AA$1,),)))</f>
        <v>48.7</v>
      </c>
      <c r="Y37" s="37">
        <f>IF((VLOOKUP(B37,'DB PMI Manufacturing World'!$A:$AA,MATCH($Y$1,'DB PMI Manufacturing World'!$A$1:$AA$1,),))=0,#N/A, (VLOOKUP(B37,'DB PMI Manufacturing World'!$A:$AA,MATCH($Y$1,'DB PMI Manufacturing World'!$A$1:$AA$1,),)))</f>
        <v>46.7</v>
      </c>
      <c r="Z37" s="37">
        <f>IF((VLOOKUP(B37,'DB PMI Manufacturing World'!$A:$AA,MATCH($Z$1,'DB PMI Manufacturing World'!$A$1:$AA$1,),))=0,#N/A, (VLOOKUP(B37,'DB PMI Manufacturing World'!$A:$AA,MATCH($Z$1,'DB PMI Manufacturing World'!$A$1:$AA$1,),)))</f>
        <v>43.1</v>
      </c>
      <c r="AA37" s="37">
        <f>IF((VLOOKUP(B37,'DB PMI Manufacturing World'!$A:$AA,MATCH($AA$1,'DB PMI Manufacturing World'!$A$1:$AA$1,),))=0,#N/A, (VLOOKUP(B37,'DB PMI Manufacturing World'!$A:$AA,MATCH($AA$1,'DB PMI Manufacturing World'!$A$1:$AA$1,),)))</f>
        <v>47.4</v>
      </c>
      <c r="AB37" s="37">
        <f>IF((VLOOKUP(B37,'DB PMI Manufacturing World'!$A:$AA,MATCH($AB$1,'DB PMI Manufacturing World'!$A$1:$AA$1,),))=0,#N/A, (VLOOKUP(B37,'DB PMI Manufacturing World'!$A:$AA,MATCH($AB$1,'DB PMI Manufacturing World'!$A$1:$AA$1,),)))</f>
        <v>49.5</v>
      </c>
    </row>
    <row r="38" spans="2:28" x14ac:dyDescent="0.35">
      <c r="B38" s="29">
        <v>43678</v>
      </c>
      <c r="C38" s="37">
        <f>IF((VLOOKUP(B38,'DB PMI Manufacturing World'!$A:$AA,MATCH($C$1,'DB PMI Manufacturing World'!$A$1:$AA$1,),))=0,#N/A, (VLOOKUP(B38,'DB PMI Manufacturing World'!$A:$AA,MATCH($C$1,'DB PMI Manufacturing World'!$A$1:$AA$1,),)))</f>
        <v>49.5</v>
      </c>
      <c r="D38" s="37">
        <f>IF((VLOOKUP(B38,'DB PMI Manufacturing World'!$A:$AA,MATCH($D$1,'DB PMI Manufacturing World'!$A$1:$AA$1,),))=0,#N/A, (VLOOKUP(B38,'DB PMI Manufacturing World'!$A:$AA,MATCH($D$1,'DB PMI Manufacturing World'!$A$1:$AA$1,),)))</f>
        <v>49.1</v>
      </c>
      <c r="E38" s="37">
        <f>IF((VLOOKUP(B38,'DB PMI Manufacturing World'!$A:$AA,MATCH($E$1,'DB PMI Manufacturing World'!$A$1:$AA$1,),))=0,#N/A, (VLOOKUP(B38,'DB PMI Manufacturing World'!$A:$AA,MATCH($E$1,'DB PMI Manufacturing World'!$A$1:$AA$1,),)))</f>
        <v>50.3</v>
      </c>
      <c r="F38" s="37">
        <f>IF((VLOOKUP(B38,'DB PMI Manufacturing World'!$A:$AA,MATCH($F$1,'DB PMI Manufacturing World'!$A$1:$AA$1,),))=0,#N/A, (VLOOKUP(B38,'DB PMI Manufacturing World'!$A:$AA,MATCH($F$1,'DB PMI Manufacturing World'!$A$1:$AA$1,),)))</f>
        <v>50.4</v>
      </c>
      <c r="G38" s="37">
        <f>IF((VLOOKUP(B38,'DB PMI Manufacturing World'!$A:$AA,MATCH($G$1,'DB PMI Manufacturing World'!$A$1:$AA$1,),))=0,#N/A, (VLOOKUP(B38,'DB PMI Manufacturing World'!$A:$AA,MATCH($G$1,'DB PMI Manufacturing World'!$A$1:$AA$1,),)))</f>
        <v>47</v>
      </c>
      <c r="H38" s="37">
        <f>IF((VLOOKUP(B38,'DB PMI Manufacturing World'!$A:$AA,MATCH($H$1,'DB PMI Manufacturing World'!$A$1:$AA$1,),))=0,#N/A, (VLOOKUP(B38,'DB PMI Manufacturing World'!$A:$AA,MATCH($H$1,'DB PMI Manufacturing World'!$A$1:$AA$1,),)))</f>
        <v>49.3</v>
      </c>
      <c r="I38" s="37">
        <f>IF((VLOOKUP(B38,'DB PMI Manufacturing World'!$A:$AA,MATCH($I$1,'DB PMI Manufacturing World'!$A$1:$AA$1,),))=0,#N/A, (VLOOKUP(B38,'DB PMI Manufacturing World'!$A:$AA,MATCH($I$1,'DB PMI Manufacturing World'!$A$1:$AA$1,),)))</f>
        <v>43.5</v>
      </c>
      <c r="J38" s="37">
        <f>IF((VLOOKUP(B38,'DB PMI Manufacturing World'!$A:$AA,MATCH($J$1,'DB PMI Manufacturing World'!$A$1:$AA$1,),))=0,#N/A, (VLOOKUP(B38,'DB PMI Manufacturing World'!$A:$AA,MATCH($J$1,'DB PMI Manufacturing World'!$A$1:$AA$1,),)))</f>
        <v>51.1</v>
      </c>
      <c r="K38" s="37">
        <f>IF((VLOOKUP(B38,'DB PMI Manufacturing World'!$A:$AA,MATCH($K$1,'DB PMI Manufacturing World'!$A$1:$AA$1,),))=0,#N/A, (VLOOKUP(B38,'DB PMI Manufacturing World'!$A:$AA,MATCH($K$1,'DB PMI Manufacturing World'!$A$1:$AA$1,),)))</f>
        <v>47.4</v>
      </c>
      <c r="L38" s="37">
        <f>IF((VLOOKUP(B38,'DB PMI Manufacturing World'!$A:$AA,MATCH($L$1,'DB PMI Manufacturing World'!$A$1:$AA$1,),))=0,#N/A, (VLOOKUP(B38,'DB PMI Manufacturing World'!$A:$AA,MATCH($L$1,'DB PMI Manufacturing World'!$A$1:$AA$1,),)))</f>
        <v>48.7</v>
      </c>
      <c r="M38" s="37">
        <f>IF((VLOOKUP(B38,'DB PMI Manufacturing World'!$A:$AA,MATCH($M$1,'DB PMI Manufacturing World'!$A$1:$AA$1,),))=0,#N/A, (VLOOKUP(B38,'DB PMI Manufacturing World'!$A:$AA,MATCH($M$1,'DB PMI Manufacturing World'!$A$1:$AA$1,),)))</f>
        <v>48.8</v>
      </c>
      <c r="N38" s="37">
        <f>IF((VLOOKUP(B38,'DB PMI Manufacturing World'!$A:$AA,MATCH($N$1,'DB PMI Manufacturing World'!$A$1:$AA$1,),))=0,#N/A, (VLOOKUP(B38,'DB PMI Manufacturing World'!$A:$AA,MATCH($N$1,'DB PMI Manufacturing World'!$A$1:$AA$1,),)))</f>
        <v>52.5</v>
      </c>
      <c r="O38" s="37">
        <f>IF((VLOOKUP(B38,'DB PMI Manufacturing World'!$A:$AA,MATCH($O$1,'DB PMI Manufacturing World'!$A$1:$AA$1,),))=0,#N/A, (VLOOKUP(B38,'DB PMI Manufacturing World'!$A:$AA,MATCH($O$1,'DB PMI Manufacturing World'!$A$1:$AA$1,),)))</f>
        <v>49</v>
      </c>
      <c r="P38" s="37">
        <f>IF((VLOOKUP(B38,'DB PMI Manufacturing World'!$A:$AA,MATCH($P$1,'DB PMI Manufacturing World'!$A$1:$AA$1,),))=0,#N/A, (VLOOKUP(B38,'DB PMI Manufacturing World'!$A:$AA,MATCH($P$1,'DB PMI Manufacturing World'!$A$1:$AA$1,),)))</f>
        <v>49.1</v>
      </c>
      <c r="Q38" s="37">
        <f>IF((VLOOKUP(B38,'DB PMI Manufacturing World'!$A:$AA,MATCH($Q$1,'DB PMI Manufacturing World'!$A$1:$AA$1,),))=0,#N/A, (VLOOKUP(B38,'DB PMI Manufacturing World'!$A:$AA,MATCH($Q$1,'DB PMI Manufacturing World'!$A$1:$AA$1,),)))</f>
        <v>51.4</v>
      </c>
      <c r="R38" s="37">
        <f>IF((VLOOKUP(B38,'DB PMI Manufacturing World'!$A:$AA,MATCH($R$1,'DB PMI Manufacturing World'!$A$1:$AA$1,),))=0,#N/A, (VLOOKUP(B38,'DB PMI Manufacturing World'!$A:$AA,MATCH($R$1,'DB PMI Manufacturing World'!$A$1:$AA$1,),)))</f>
        <v>49.1</v>
      </c>
      <c r="S38" s="37">
        <f>IF((VLOOKUP(B38,'DB PMI Manufacturing World'!$A:$AA,MATCH($S$1,'DB PMI Manufacturing World'!$A$1:$AA$1,),))=0,#N/A, (VLOOKUP(B38,'DB PMI Manufacturing World'!$A:$AA,MATCH($S$1,'DB PMI Manufacturing World'!$A$1:$AA$1,),)))</f>
        <v>53.1</v>
      </c>
      <c r="T38" s="37">
        <f>IF((VLOOKUP(B38,'DB PMI Manufacturing World'!$A:$AA,MATCH($T$1,'DB PMI Manufacturing World'!$A$1:$AA$1,),))=0,#N/A, (VLOOKUP(B38,'DB PMI Manufacturing World'!$A:$AA,MATCH($T$1,'DB PMI Manufacturing World'!$A$1:$AA$1,),)))</f>
        <v>49</v>
      </c>
      <c r="U38" s="37">
        <f>IF((VLOOKUP(B38,'DB PMI Manufacturing World'!$A:$AA,MATCH($U$1,'DB PMI Manufacturing World'!$A$1:$AA$1,),))=0,#N/A, (VLOOKUP(B38,'DB PMI Manufacturing World'!$A:$AA,MATCH($U$1,'DB PMI Manufacturing World'!$A$1:$AA$1,),)))</f>
        <v>49</v>
      </c>
      <c r="V38" s="37">
        <f>IF((VLOOKUP(B38,'DB PMI Manufacturing World'!$A:$AA,MATCH($V$1,'DB PMI Manufacturing World'!$A$1:$AA$1,),))=0,#N/A, (VLOOKUP(B38,'DB PMI Manufacturing World'!$A:$AA,MATCH($V$1,'DB PMI Manufacturing World'!$A$1:$AA$1,),)))</f>
        <v>47.9</v>
      </c>
      <c r="W38" s="37">
        <f>IF((VLOOKUP(B38,'DB PMI Manufacturing World'!$A:$AA,MATCH($W$1,'DB PMI Manufacturing World'!$A$1:$AA$1,),))=0,#N/A, (VLOOKUP(B38,'DB PMI Manufacturing World'!$A:$AA,MATCH($W$1,'DB PMI Manufacturing World'!$A$1:$AA$1,),)))</f>
        <v>54.9</v>
      </c>
      <c r="X38" s="37">
        <f>IF((VLOOKUP(B38,'DB PMI Manufacturing World'!$A:$AA,MATCH($X$1,'DB PMI Manufacturing World'!$A$1:$AA$1,),))=0,#N/A, (VLOOKUP(B38,'DB PMI Manufacturing World'!$A:$AA,MATCH($X$1,'DB PMI Manufacturing World'!$A$1:$AA$1,),)))</f>
        <v>48.6</v>
      </c>
      <c r="Y38" s="37">
        <f>IF((VLOOKUP(B38,'DB PMI Manufacturing World'!$A:$AA,MATCH($Y$1,'DB PMI Manufacturing World'!$A$1:$AA$1,),))=0,#N/A, (VLOOKUP(B38,'DB PMI Manufacturing World'!$A:$AA,MATCH($Y$1,'DB PMI Manufacturing World'!$A$1:$AA$1,),)))</f>
        <v>48</v>
      </c>
      <c r="Z38" s="37">
        <f>IF((VLOOKUP(B38,'DB PMI Manufacturing World'!$A:$AA,MATCH($Z$1,'DB PMI Manufacturing World'!$A$1:$AA$1,),))=0,#N/A, (VLOOKUP(B38,'DB PMI Manufacturing World'!$A:$AA,MATCH($Z$1,'DB PMI Manufacturing World'!$A$1:$AA$1,),)))</f>
        <v>44.9</v>
      </c>
      <c r="AA38" s="37">
        <f>IF((VLOOKUP(B38,'DB PMI Manufacturing World'!$A:$AA,MATCH($AA$1,'DB PMI Manufacturing World'!$A$1:$AA$1,),))=0,#N/A, (VLOOKUP(B38,'DB PMI Manufacturing World'!$A:$AA,MATCH($AA$1,'DB PMI Manufacturing World'!$A$1:$AA$1,),)))</f>
        <v>48.8</v>
      </c>
      <c r="AB38" s="37">
        <f>IF((VLOOKUP(B38,'DB PMI Manufacturing World'!$A:$AA,MATCH($AB$1,'DB PMI Manufacturing World'!$A$1:$AA$1,),))=0,#N/A, (VLOOKUP(B38,'DB PMI Manufacturing World'!$A:$AA,MATCH($AB$1,'DB PMI Manufacturing World'!$A$1:$AA$1,),)))</f>
        <v>48.7</v>
      </c>
    </row>
    <row r="39" spans="2:28" x14ac:dyDescent="0.35">
      <c r="B39" s="29">
        <v>43709</v>
      </c>
      <c r="C39" s="37">
        <f>IF((VLOOKUP(B39,'DB PMI Manufacturing World'!$A:$AA,MATCH($C$1,'DB PMI Manufacturing World'!$A$1:$AA$1,),))=0,#N/A, (VLOOKUP(B39,'DB PMI Manufacturing World'!$A:$AA,MATCH($C$1,'DB PMI Manufacturing World'!$A$1:$AA$1,),)))</f>
        <v>49.7</v>
      </c>
      <c r="D39" s="37">
        <f>IF((VLOOKUP(B39,'DB PMI Manufacturing World'!$A:$AA,MATCH($D$1,'DB PMI Manufacturing World'!$A$1:$AA$1,),))=0,#N/A, (VLOOKUP(B39,'DB PMI Manufacturing World'!$A:$AA,MATCH($D$1,'DB PMI Manufacturing World'!$A$1:$AA$1,),)))</f>
        <v>47.8</v>
      </c>
      <c r="E39" s="37">
        <f>IF((VLOOKUP(B39,'DB PMI Manufacturing World'!$A:$AA,MATCH($E$1,'DB PMI Manufacturing World'!$A$1:$AA$1,),))=0,#N/A, (VLOOKUP(B39,'DB PMI Manufacturing World'!$A:$AA,MATCH($E$1,'DB PMI Manufacturing World'!$A$1:$AA$1,),)))</f>
        <v>51.1</v>
      </c>
      <c r="F39" s="37">
        <f>IF((VLOOKUP(B39,'DB PMI Manufacturing World'!$A:$AA,MATCH($F$1,'DB PMI Manufacturing World'!$A$1:$AA$1,),))=0,#N/A, (VLOOKUP(B39,'DB PMI Manufacturing World'!$A:$AA,MATCH($F$1,'DB PMI Manufacturing World'!$A$1:$AA$1,),)))</f>
        <v>51.4</v>
      </c>
      <c r="G39" s="37">
        <f>IF((VLOOKUP(B39,'DB PMI Manufacturing World'!$A:$AA,MATCH($G$1,'DB PMI Manufacturing World'!$A$1:$AA$1,),))=0,#N/A, (VLOOKUP(B39,'DB PMI Manufacturing World'!$A:$AA,MATCH($G$1,'DB PMI Manufacturing World'!$A$1:$AA$1,),)))</f>
        <v>45.7</v>
      </c>
      <c r="H39" s="37">
        <f>IF((VLOOKUP(B39,'DB PMI Manufacturing World'!$A:$AA,MATCH($H$1,'DB PMI Manufacturing World'!$A$1:$AA$1,),))=0,#N/A, (VLOOKUP(B39,'DB PMI Manufacturing World'!$A:$AA,MATCH($H$1,'DB PMI Manufacturing World'!$A$1:$AA$1,),)))</f>
        <v>48.9</v>
      </c>
      <c r="I39" s="37">
        <f>IF((VLOOKUP(B39,'DB PMI Manufacturing World'!$A:$AA,MATCH($I$1,'DB PMI Manufacturing World'!$A$1:$AA$1,),))=0,#N/A, (VLOOKUP(B39,'DB PMI Manufacturing World'!$A:$AA,MATCH($I$1,'DB PMI Manufacturing World'!$A$1:$AA$1,),)))</f>
        <v>41.7</v>
      </c>
      <c r="J39" s="37">
        <f>IF((VLOOKUP(B39,'DB PMI Manufacturing World'!$A:$AA,MATCH($J$1,'DB PMI Manufacturing World'!$A$1:$AA$1,),))=0,#N/A, (VLOOKUP(B39,'DB PMI Manufacturing World'!$A:$AA,MATCH($J$1,'DB PMI Manufacturing World'!$A$1:$AA$1,),)))</f>
        <v>50.1</v>
      </c>
      <c r="K39" s="37">
        <f>IF((VLOOKUP(B39,'DB PMI Manufacturing World'!$A:$AA,MATCH($K$1,'DB PMI Manufacturing World'!$A$1:$AA$1,),))=0,#N/A, (VLOOKUP(B39,'DB PMI Manufacturing World'!$A:$AA,MATCH($K$1,'DB PMI Manufacturing World'!$A$1:$AA$1,),)))</f>
        <v>48.3</v>
      </c>
      <c r="L39" s="37">
        <f>IF((VLOOKUP(B39,'DB PMI Manufacturing World'!$A:$AA,MATCH($L$1,'DB PMI Manufacturing World'!$A$1:$AA$1,),))=0,#N/A, (VLOOKUP(B39,'DB PMI Manufacturing World'!$A:$AA,MATCH($L$1,'DB PMI Manufacturing World'!$A$1:$AA$1,),)))</f>
        <v>47.8</v>
      </c>
      <c r="M39" s="37">
        <f>IF((VLOOKUP(B39,'DB PMI Manufacturing World'!$A:$AA,MATCH($M$1,'DB PMI Manufacturing World'!$A$1:$AA$1,),))=0,#N/A, (VLOOKUP(B39,'DB PMI Manufacturing World'!$A:$AA,MATCH($M$1,'DB PMI Manufacturing World'!$A$1:$AA$1,),)))</f>
        <v>47.7</v>
      </c>
      <c r="N39" s="37">
        <f>IF((VLOOKUP(B39,'DB PMI Manufacturing World'!$A:$AA,MATCH($N$1,'DB PMI Manufacturing World'!$A$1:$AA$1,),))=0,#N/A, (VLOOKUP(B39,'DB PMI Manufacturing World'!$A:$AA,MATCH($N$1,'DB PMI Manufacturing World'!$A$1:$AA$1,),)))</f>
        <v>53.4</v>
      </c>
      <c r="O39" s="37">
        <f>IF((VLOOKUP(B39,'DB PMI Manufacturing World'!$A:$AA,MATCH($O$1,'DB PMI Manufacturing World'!$A$1:$AA$1,),))=0,#N/A, (VLOOKUP(B39,'DB PMI Manufacturing World'!$A:$AA,MATCH($O$1,'DB PMI Manufacturing World'!$A$1:$AA$1,),)))</f>
        <v>49.1</v>
      </c>
      <c r="P39" s="37">
        <f>IF((VLOOKUP(B39,'DB PMI Manufacturing World'!$A:$AA,MATCH($P$1,'DB PMI Manufacturing World'!$A$1:$AA$1,),))=0,#N/A, (VLOOKUP(B39,'DB PMI Manufacturing World'!$A:$AA,MATCH($P$1,'DB PMI Manufacturing World'!$A$1:$AA$1,),)))</f>
        <v>46.3</v>
      </c>
      <c r="Q39" s="37">
        <f>IF((VLOOKUP(B39,'DB PMI Manufacturing World'!$A:$AA,MATCH($Q$1,'DB PMI Manufacturing World'!$A$1:$AA$1,),))=0,#N/A, (VLOOKUP(B39,'DB PMI Manufacturing World'!$A:$AA,MATCH($Q$1,'DB PMI Manufacturing World'!$A$1:$AA$1,),)))</f>
        <v>51.4</v>
      </c>
      <c r="R39" s="37">
        <f>IF((VLOOKUP(B39,'DB PMI Manufacturing World'!$A:$AA,MATCH($R$1,'DB PMI Manufacturing World'!$A$1:$AA$1,),))=0,#N/A, (VLOOKUP(B39,'DB PMI Manufacturing World'!$A:$AA,MATCH($R$1,'DB PMI Manufacturing World'!$A$1:$AA$1,),)))</f>
        <v>51</v>
      </c>
      <c r="S39" s="37">
        <f>IF((VLOOKUP(B39,'DB PMI Manufacturing World'!$A:$AA,MATCH($S$1,'DB PMI Manufacturing World'!$A$1:$AA$1,),))=0,#N/A, (VLOOKUP(B39,'DB PMI Manufacturing World'!$A:$AA,MATCH($S$1,'DB PMI Manufacturing World'!$A$1:$AA$1,),)))</f>
        <v>54.7</v>
      </c>
      <c r="T39" s="37">
        <f>IF((VLOOKUP(B39,'DB PMI Manufacturing World'!$A:$AA,MATCH($T$1,'DB PMI Manufacturing World'!$A$1:$AA$1,),))=0,#N/A, (VLOOKUP(B39,'DB PMI Manufacturing World'!$A:$AA,MATCH($T$1,'DB PMI Manufacturing World'!$A$1:$AA$1,),)))</f>
        <v>49.1</v>
      </c>
      <c r="U39" s="37">
        <f>IF((VLOOKUP(B39,'DB PMI Manufacturing World'!$A:$AA,MATCH($U$1,'DB PMI Manufacturing World'!$A$1:$AA$1,),))=0,#N/A, (VLOOKUP(B39,'DB PMI Manufacturing World'!$A:$AA,MATCH($U$1,'DB PMI Manufacturing World'!$A$1:$AA$1,),)))</f>
        <v>48</v>
      </c>
      <c r="V39" s="37">
        <f>IF((VLOOKUP(B39,'DB PMI Manufacturing World'!$A:$AA,MATCH($V$1,'DB PMI Manufacturing World'!$A$1:$AA$1,),))=0,#N/A, (VLOOKUP(B39,'DB PMI Manufacturing World'!$A:$AA,MATCH($V$1,'DB PMI Manufacturing World'!$A$1:$AA$1,),)))</f>
        <v>50</v>
      </c>
      <c r="W39" s="37">
        <f>IF((VLOOKUP(B39,'DB PMI Manufacturing World'!$A:$AA,MATCH($W$1,'DB PMI Manufacturing World'!$A$1:$AA$1,),))=0,#N/A, (VLOOKUP(B39,'DB PMI Manufacturing World'!$A:$AA,MATCH($W$1,'DB PMI Manufacturing World'!$A$1:$AA$1,),)))</f>
        <v>53.6</v>
      </c>
      <c r="X39" s="37">
        <f>IF((VLOOKUP(B39,'DB PMI Manufacturing World'!$A:$AA,MATCH($X$1,'DB PMI Manufacturing World'!$A$1:$AA$1,),))=0,#N/A, (VLOOKUP(B39,'DB PMI Manufacturing World'!$A:$AA,MATCH($X$1,'DB PMI Manufacturing World'!$A$1:$AA$1,),)))</f>
        <v>48.7</v>
      </c>
      <c r="Y39" s="37">
        <f>IF((VLOOKUP(B39,'DB PMI Manufacturing World'!$A:$AA,MATCH($Y$1,'DB PMI Manufacturing World'!$A$1:$AA$1,),))=0,#N/A, (VLOOKUP(B39,'DB PMI Manufacturing World'!$A:$AA,MATCH($Y$1,'DB PMI Manufacturing World'!$A$1:$AA$1,),)))</f>
        <v>50</v>
      </c>
      <c r="Z39" s="37">
        <f>IF((VLOOKUP(B39,'DB PMI Manufacturing World'!$A:$AA,MATCH($Z$1,'DB PMI Manufacturing World'!$A$1:$AA$1,),))=0,#N/A, (VLOOKUP(B39,'DB PMI Manufacturing World'!$A:$AA,MATCH($Z$1,'DB PMI Manufacturing World'!$A$1:$AA$1,),)))</f>
        <v>44.9</v>
      </c>
      <c r="AA39" s="37">
        <f>IF((VLOOKUP(B39,'DB PMI Manufacturing World'!$A:$AA,MATCH($AA$1,'DB PMI Manufacturing World'!$A$1:$AA$1,),))=0,#N/A, (VLOOKUP(B39,'DB PMI Manufacturing World'!$A:$AA,MATCH($AA$1,'DB PMI Manufacturing World'!$A$1:$AA$1,),)))</f>
        <v>47.8</v>
      </c>
      <c r="AB39" s="37">
        <f>IF((VLOOKUP(B39,'DB PMI Manufacturing World'!$A:$AA,MATCH($AB$1,'DB PMI Manufacturing World'!$A$1:$AA$1,),))=0,#N/A, (VLOOKUP(B39,'DB PMI Manufacturing World'!$A:$AA,MATCH($AB$1,'DB PMI Manufacturing World'!$A$1:$AA$1,),)))</f>
        <v>50.2</v>
      </c>
    </row>
    <row r="40" spans="2:28" x14ac:dyDescent="0.35">
      <c r="B40" s="29">
        <v>43739</v>
      </c>
      <c r="C40" s="37">
        <f>IF((VLOOKUP(B40,'DB PMI Manufacturing World'!$A:$AA,MATCH($C$1,'DB PMI Manufacturing World'!$A$1:$AA$1,),))=0,#N/A, (VLOOKUP(B40,'DB PMI Manufacturing World'!$A:$AA,MATCH($C$1,'DB PMI Manufacturing World'!$A$1:$AA$1,),)))</f>
        <v>49.8</v>
      </c>
      <c r="D40" s="37">
        <f>IF((VLOOKUP(B40,'DB PMI Manufacturing World'!$A:$AA,MATCH($D$1,'DB PMI Manufacturing World'!$A$1:$AA$1,),))=0,#N/A, (VLOOKUP(B40,'DB PMI Manufacturing World'!$A:$AA,MATCH($D$1,'DB PMI Manufacturing World'!$A$1:$AA$1,),)))</f>
        <v>48.3</v>
      </c>
      <c r="E40" s="37">
        <f>IF((VLOOKUP(B40,'DB PMI Manufacturing World'!$A:$AA,MATCH($E$1,'DB PMI Manufacturing World'!$A$1:$AA$1,),))=0,#N/A, (VLOOKUP(B40,'DB PMI Manufacturing World'!$A:$AA,MATCH($E$1,'DB PMI Manufacturing World'!$A$1:$AA$1,),)))</f>
        <v>51.3</v>
      </c>
      <c r="F40" s="37">
        <f>IF((VLOOKUP(B40,'DB PMI Manufacturing World'!$A:$AA,MATCH($F$1,'DB PMI Manufacturing World'!$A$1:$AA$1,),))=0,#N/A, (VLOOKUP(B40,'DB PMI Manufacturing World'!$A:$AA,MATCH($F$1,'DB PMI Manufacturing World'!$A$1:$AA$1,),)))</f>
        <v>51.7</v>
      </c>
      <c r="G40" s="37">
        <f>IF((VLOOKUP(B40,'DB PMI Manufacturing World'!$A:$AA,MATCH($G$1,'DB PMI Manufacturing World'!$A$1:$AA$1,),))=0,#N/A, (VLOOKUP(B40,'DB PMI Manufacturing World'!$A:$AA,MATCH($G$1,'DB PMI Manufacturing World'!$A$1:$AA$1,),)))</f>
        <v>45.9</v>
      </c>
      <c r="H40" s="37">
        <f>IF((VLOOKUP(B40,'DB PMI Manufacturing World'!$A:$AA,MATCH($H$1,'DB PMI Manufacturing World'!$A$1:$AA$1,),))=0,#N/A, (VLOOKUP(B40,'DB PMI Manufacturing World'!$A:$AA,MATCH($H$1,'DB PMI Manufacturing World'!$A$1:$AA$1,),)))</f>
        <v>48.4</v>
      </c>
      <c r="I40" s="37">
        <f>IF((VLOOKUP(B40,'DB PMI Manufacturing World'!$A:$AA,MATCH($I$1,'DB PMI Manufacturing World'!$A$1:$AA$1,),))=0,#N/A, (VLOOKUP(B40,'DB PMI Manufacturing World'!$A:$AA,MATCH($I$1,'DB PMI Manufacturing World'!$A$1:$AA$1,),)))</f>
        <v>42.1</v>
      </c>
      <c r="J40" s="37">
        <f>IF((VLOOKUP(B40,'DB PMI Manufacturing World'!$A:$AA,MATCH($J$1,'DB PMI Manufacturing World'!$A$1:$AA$1,),))=0,#N/A, (VLOOKUP(B40,'DB PMI Manufacturing World'!$A:$AA,MATCH($J$1,'DB PMI Manufacturing World'!$A$1:$AA$1,),)))</f>
        <v>50.7</v>
      </c>
      <c r="K40" s="37">
        <f>IF((VLOOKUP(B40,'DB PMI Manufacturing World'!$A:$AA,MATCH($K$1,'DB PMI Manufacturing World'!$A$1:$AA$1,),))=0,#N/A, (VLOOKUP(B40,'DB PMI Manufacturing World'!$A:$AA,MATCH($K$1,'DB PMI Manufacturing World'!$A$1:$AA$1,),)))</f>
        <v>49.6</v>
      </c>
      <c r="L40" s="37">
        <f>IF((VLOOKUP(B40,'DB PMI Manufacturing World'!$A:$AA,MATCH($L$1,'DB PMI Manufacturing World'!$A$1:$AA$1,),))=0,#N/A, (VLOOKUP(B40,'DB PMI Manufacturing World'!$A:$AA,MATCH($L$1,'DB PMI Manufacturing World'!$A$1:$AA$1,),)))</f>
        <v>47.7</v>
      </c>
      <c r="M40" s="37">
        <f>IF((VLOOKUP(B40,'DB PMI Manufacturing World'!$A:$AA,MATCH($M$1,'DB PMI Manufacturing World'!$A$1:$AA$1,),))=0,#N/A, (VLOOKUP(B40,'DB PMI Manufacturing World'!$A:$AA,MATCH($M$1,'DB PMI Manufacturing World'!$A$1:$AA$1,),)))</f>
        <v>46.8</v>
      </c>
      <c r="N40" s="37">
        <f>IF((VLOOKUP(B40,'DB PMI Manufacturing World'!$A:$AA,MATCH($N$1,'DB PMI Manufacturing World'!$A$1:$AA$1,),))=0,#N/A, (VLOOKUP(B40,'DB PMI Manufacturing World'!$A:$AA,MATCH($N$1,'DB PMI Manufacturing World'!$A$1:$AA$1,),)))</f>
        <v>52.2</v>
      </c>
      <c r="O40" s="37">
        <f>IF((VLOOKUP(B40,'DB PMI Manufacturing World'!$A:$AA,MATCH($O$1,'DB PMI Manufacturing World'!$A$1:$AA$1,),))=0,#N/A, (VLOOKUP(B40,'DB PMI Manufacturing World'!$A:$AA,MATCH($O$1,'DB PMI Manufacturing World'!$A$1:$AA$1,),)))</f>
        <v>50.4</v>
      </c>
      <c r="P40" s="37">
        <f>IF((VLOOKUP(B40,'DB PMI Manufacturing World'!$A:$AA,MATCH($P$1,'DB PMI Manufacturing World'!$A$1:$AA$1,),))=0,#N/A, (VLOOKUP(B40,'DB PMI Manufacturing World'!$A:$AA,MATCH($P$1,'DB PMI Manufacturing World'!$A$1:$AA$1,),)))</f>
        <v>47.2</v>
      </c>
      <c r="Q40" s="37">
        <f>IF((VLOOKUP(B40,'DB PMI Manufacturing World'!$A:$AA,MATCH($Q$1,'DB PMI Manufacturing World'!$A$1:$AA$1,),))=0,#N/A, (VLOOKUP(B40,'DB PMI Manufacturing World'!$A:$AA,MATCH($Q$1,'DB PMI Manufacturing World'!$A$1:$AA$1,),)))</f>
        <v>50.6</v>
      </c>
      <c r="R40" s="37">
        <f>IF((VLOOKUP(B40,'DB PMI Manufacturing World'!$A:$AA,MATCH($R$1,'DB PMI Manufacturing World'!$A$1:$AA$1,),))=0,#N/A, (VLOOKUP(B40,'DB PMI Manufacturing World'!$A:$AA,MATCH($R$1,'DB PMI Manufacturing World'!$A$1:$AA$1,),)))</f>
        <v>51.2</v>
      </c>
      <c r="S40" s="37">
        <f>IF((VLOOKUP(B40,'DB PMI Manufacturing World'!$A:$AA,MATCH($S$1,'DB PMI Manufacturing World'!$A$1:$AA$1,),))=0,#N/A, (VLOOKUP(B40,'DB PMI Manufacturing World'!$A:$AA,MATCH($S$1,'DB PMI Manufacturing World'!$A$1:$AA$1,),)))</f>
        <v>51.6</v>
      </c>
      <c r="T40" s="37">
        <f>IF((VLOOKUP(B40,'DB PMI Manufacturing World'!$A:$AA,MATCH($T$1,'DB PMI Manufacturing World'!$A$1:$AA$1,),))=0,#N/A, (VLOOKUP(B40,'DB PMI Manufacturing World'!$A:$AA,MATCH($T$1,'DB PMI Manufacturing World'!$A$1:$AA$1,),)))</f>
        <v>47.7</v>
      </c>
      <c r="U40" s="37">
        <f>IF((VLOOKUP(B40,'DB PMI Manufacturing World'!$A:$AA,MATCH($U$1,'DB PMI Manufacturing World'!$A$1:$AA$1,),))=0,#N/A, (VLOOKUP(B40,'DB PMI Manufacturing World'!$A:$AA,MATCH($U$1,'DB PMI Manufacturing World'!$A$1:$AA$1,),)))</f>
        <v>48.4</v>
      </c>
      <c r="V40" s="37">
        <f>IF((VLOOKUP(B40,'DB PMI Manufacturing World'!$A:$AA,MATCH($V$1,'DB PMI Manufacturing World'!$A$1:$AA$1,),))=0,#N/A, (VLOOKUP(B40,'DB PMI Manufacturing World'!$A:$AA,MATCH($V$1,'DB PMI Manufacturing World'!$A$1:$AA$1,),)))</f>
        <v>49.8</v>
      </c>
      <c r="W40" s="37">
        <f>IF((VLOOKUP(B40,'DB PMI Manufacturing World'!$A:$AA,MATCH($W$1,'DB PMI Manufacturing World'!$A$1:$AA$1,),))=0,#N/A, (VLOOKUP(B40,'DB PMI Manufacturing World'!$A:$AA,MATCH($W$1,'DB PMI Manufacturing World'!$A$1:$AA$1,),)))</f>
        <v>53.5</v>
      </c>
      <c r="X40" s="37">
        <f>IF((VLOOKUP(B40,'DB PMI Manufacturing World'!$A:$AA,MATCH($X$1,'DB PMI Manufacturing World'!$A$1:$AA$1,),))=0,#N/A, (VLOOKUP(B40,'DB PMI Manufacturing World'!$A:$AA,MATCH($X$1,'DB PMI Manufacturing World'!$A$1:$AA$1,),)))</f>
        <v>50.7</v>
      </c>
      <c r="Y40" s="37">
        <f>IF((VLOOKUP(B40,'DB PMI Manufacturing World'!$A:$AA,MATCH($Y$1,'DB PMI Manufacturing World'!$A$1:$AA$1,),))=0,#N/A, (VLOOKUP(B40,'DB PMI Manufacturing World'!$A:$AA,MATCH($Y$1,'DB PMI Manufacturing World'!$A$1:$AA$1,),)))</f>
        <v>49</v>
      </c>
      <c r="Z40" s="37">
        <f>IF((VLOOKUP(B40,'DB PMI Manufacturing World'!$A:$AA,MATCH($Z$1,'DB PMI Manufacturing World'!$A$1:$AA$1,),))=0,#N/A, (VLOOKUP(B40,'DB PMI Manufacturing World'!$A:$AA,MATCH($Z$1,'DB PMI Manufacturing World'!$A$1:$AA$1,),)))</f>
        <v>45</v>
      </c>
      <c r="AA40" s="37">
        <f>IF((VLOOKUP(B40,'DB PMI Manufacturing World'!$A:$AA,MATCH($AA$1,'DB PMI Manufacturing World'!$A$1:$AA$1,),))=0,#N/A, (VLOOKUP(B40,'DB PMI Manufacturing World'!$A:$AA,MATCH($AA$1,'DB PMI Manufacturing World'!$A$1:$AA$1,),)))</f>
        <v>45.6</v>
      </c>
      <c r="AB40" s="37">
        <f>IF((VLOOKUP(B40,'DB PMI Manufacturing World'!$A:$AA,MATCH($AB$1,'DB PMI Manufacturing World'!$A$1:$AA$1,),))=0,#N/A, (VLOOKUP(B40,'DB PMI Manufacturing World'!$A:$AA,MATCH($AB$1,'DB PMI Manufacturing World'!$A$1:$AA$1,),)))</f>
        <v>49.5</v>
      </c>
    </row>
    <row r="41" spans="2:28" x14ac:dyDescent="0.35">
      <c r="B41" s="29">
        <v>43770</v>
      </c>
      <c r="C41" s="37">
        <f>IF((VLOOKUP(B41,'DB PMI Manufacturing World'!$A:$AA,MATCH($C$1,'DB PMI Manufacturing World'!$A$1:$AA$1,),))=0,#N/A, (VLOOKUP(B41,'DB PMI Manufacturing World'!$A:$AA,MATCH($C$1,'DB PMI Manufacturing World'!$A$1:$AA$1,),)))</f>
        <v>50.3</v>
      </c>
      <c r="D41" s="37">
        <f>IF((VLOOKUP(B41,'DB PMI Manufacturing World'!$A:$AA,MATCH($D$1,'DB PMI Manufacturing World'!$A$1:$AA$1,),))=0,#N/A, (VLOOKUP(B41,'DB PMI Manufacturing World'!$A:$AA,MATCH($D$1,'DB PMI Manufacturing World'!$A$1:$AA$1,),)))</f>
        <v>48.1</v>
      </c>
      <c r="E41" s="37">
        <f>IF((VLOOKUP(B41,'DB PMI Manufacturing World'!$A:$AA,MATCH($E$1,'DB PMI Manufacturing World'!$A$1:$AA$1,),))=0,#N/A, (VLOOKUP(B41,'DB PMI Manufacturing World'!$A:$AA,MATCH($E$1,'DB PMI Manufacturing World'!$A$1:$AA$1,),)))</f>
        <v>52.6</v>
      </c>
      <c r="F41" s="37">
        <f>IF((VLOOKUP(B41,'DB PMI Manufacturing World'!$A:$AA,MATCH($F$1,'DB PMI Manufacturing World'!$A$1:$AA$1,),))=0,#N/A, (VLOOKUP(B41,'DB PMI Manufacturing World'!$A:$AA,MATCH($F$1,'DB PMI Manufacturing World'!$A$1:$AA$1,),)))</f>
        <v>51.8</v>
      </c>
      <c r="G41" s="37">
        <f>IF((VLOOKUP(B41,'DB PMI Manufacturing World'!$A:$AA,MATCH($G$1,'DB PMI Manufacturing World'!$A$1:$AA$1,),))=0,#N/A, (VLOOKUP(B41,'DB PMI Manufacturing World'!$A:$AA,MATCH($G$1,'DB PMI Manufacturing World'!$A$1:$AA$1,),)))</f>
        <v>46.9</v>
      </c>
      <c r="H41" s="37">
        <f>IF((VLOOKUP(B41,'DB PMI Manufacturing World'!$A:$AA,MATCH($H$1,'DB PMI Manufacturing World'!$A$1:$AA$1,),))=0,#N/A, (VLOOKUP(B41,'DB PMI Manufacturing World'!$A:$AA,MATCH($H$1,'DB PMI Manufacturing World'!$A$1:$AA$1,),)))</f>
        <v>48.9</v>
      </c>
      <c r="I41" s="37">
        <f>IF((VLOOKUP(B41,'DB PMI Manufacturing World'!$A:$AA,MATCH($I$1,'DB PMI Manufacturing World'!$A$1:$AA$1,),))=0,#N/A, (VLOOKUP(B41,'DB PMI Manufacturing World'!$A:$AA,MATCH($I$1,'DB PMI Manufacturing World'!$A$1:$AA$1,),)))</f>
        <v>44.1</v>
      </c>
      <c r="J41" s="37">
        <f>IF((VLOOKUP(B41,'DB PMI Manufacturing World'!$A:$AA,MATCH($J$1,'DB PMI Manufacturing World'!$A$1:$AA$1,),))=0,#N/A, (VLOOKUP(B41,'DB PMI Manufacturing World'!$A:$AA,MATCH($J$1,'DB PMI Manufacturing World'!$A$1:$AA$1,),)))</f>
        <v>51.7</v>
      </c>
      <c r="K41" s="37">
        <f>IF((VLOOKUP(B41,'DB PMI Manufacturing World'!$A:$AA,MATCH($K$1,'DB PMI Manufacturing World'!$A$1:$AA$1,),))=0,#N/A, (VLOOKUP(B41,'DB PMI Manufacturing World'!$A:$AA,MATCH($K$1,'DB PMI Manufacturing World'!$A$1:$AA$1,),)))</f>
        <v>48.9</v>
      </c>
      <c r="L41" s="37">
        <f>IF((VLOOKUP(B41,'DB PMI Manufacturing World'!$A:$AA,MATCH($L$1,'DB PMI Manufacturing World'!$A$1:$AA$1,),))=0,#N/A, (VLOOKUP(B41,'DB PMI Manufacturing World'!$A:$AA,MATCH($L$1,'DB PMI Manufacturing World'!$A$1:$AA$1,),)))</f>
        <v>47.6</v>
      </c>
      <c r="M41" s="37">
        <f>IF((VLOOKUP(B41,'DB PMI Manufacturing World'!$A:$AA,MATCH($M$1,'DB PMI Manufacturing World'!$A$1:$AA$1,),))=0,#N/A, (VLOOKUP(B41,'DB PMI Manufacturing World'!$A:$AA,MATCH($M$1,'DB PMI Manufacturing World'!$A$1:$AA$1,),)))</f>
        <v>47.5</v>
      </c>
      <c r="N41" s="37">
        <f>IF((VLOOKUP(B41,'DB PMI Manufacturing World'!$A:$AA,MATCH($N$1,'DB PMI Manufacturing World'!$A$1:$AA$1,),))=0,#N/A, (VLOOKUP(B41,'DB PMI Manufacturing World'!$A:$AA,MATCH($N$1,'DB PMI Manufacturing World'!$A$1:$AA$1,),)))</f>
        <v>52.9</v>
      </c>
      <c r="O41" s="37">
        <f>IF((VLOOKUP(B41,'DB PMI Manufacturing World'!$A:$AA,MATCH($O$1,'DB PMI Manufacturing World'!$A$1:$AA$1,),))=0,#N/A, (VLOOKUP(B41,'DB PMI Manufacturing World'!$A:$AA,MATCH($O$1,'DB PMI Manufacturing World'!$A$1:$AA$1,),)))</f>
        <v>48</v>
      </c>
      <c r="P41" s="37">
        <f>IF((VLOOKUP(B41,'DB PMI Manufacturing World'!$A:$AA,MATCH($P$1,'DB PMI Manufacturing World'!$A$1:$AA$1,),))=0,#N/A, (VLOOKUP(B41,'DB PMI Manufacturing World'!$A:$AA,MATCH($P$1,'DB PMI Manufacturing World'!$A$1:$AA$1,),)))</f>
        <v>45.6</v>
      </c>
      <c r="Q41" s="37">
        <f>IF((VLOOKUP(B41,'DB PMI Manufacturing World'!$A:$AA,MATCH($Q$1,'DB PMI Manufacturing World'!$A$1:$AA$1,),))=0,#N/A, (VLOOKUP(B41,'DB PMI Manufacturing World'!$A:$AA,MATCH($Q$1,'DB PMI Manufacturing World'!$A$1:$AA$1,),)))</f>
        <v>51.2</v>
      </c>
      <c r="R41" s="37">
        <f>IF((VLOOKUP(B41,'DB PMI Manufacturing World'!$A:$AA,MATCH($R$1,'DB PMI Manufacturing World'!$A$1:$AA$1,),))=0,#N/A, (VLOOKUP(B41,'DB PMI Manufacturing World'!$A:$AA,MATCH($R$1,'DB PMI Manufacturing World'!$A$1:$AA$1,),)))</f>
        <v>51.4</v>
      </c>
      <c r="S41" s="37">
        <f>IF((VLOOKUP(B41,'DB PMI Manufacturing World'!$A:$AA,MATCH($S$1,'DB PMI Manufacturing World'!$A$1:$AA$1,),))=0,#N/A, (VLOOKUP(B41,'DB PMI Manufacturing World'!$A:$AA,MATCH($S$1,'DB PMI Manufacturing World'!$A$1:$AA$1,),)))</f>
        <v>48.1</v>
      </c>
      <c r="T41" s="37">
        <f>IF((VLOOKUP(B41,'DB PMI Manufacturing World'!$A:$AA,MATCH($T$1,'DB PMI Manufacturing World'!$A$1:$AA$1,),))=0,#N/A, (VLOOKUP(B41,'DB PMI Manufacturing World'!$A:$AA,MATCH($T$1,'DB PMI Manufacturing World'!$A$1:$AA$1,),)))</f>
        <v>48.2</v>
      </c>
      <c r="U41" s="37">
        <f>IF((VLOOKUP(B41,'DB PMI Manufacturing World'!$A:$AA,MATCH($U$1,'DB PMI Manufacturing World'!$A$1:$AA$1,),))=0,#N/A, (VLOOKUP(B41,'DB PMI Manufacturing World'!$A:$AA,MATCH($U$1,'DB PMI Manufacturing World'!$A$1:$AA$1,),)))</f>
        <v>49.4</v>
      </c>
      <c r="V41" s="37">
        <f>IF((VLOOKUP(B41,'DB PMI Manufacturing World'!$A:$AA,MATCH($V$1,'DB PMI Manufacturing World'!$A$1:$AA$1,),))=0,#N/A, (VLOOKUP(B41,'DB PMI Manufacturing World'!$A:$AA,MATCH($V$1,'DB PMI Manufacturing World'!$A$1:$AA$1,),)))</f>
        <v>49.8</v>
      </c>
      <c r="W41" s="37">
        <f>IF((VLOOKUP(B41,'DB PMI Manufacturing World'!$A:$AA,MATCH($W$1,'DB PMI Manufacturing World'!$A$1:$AA$1,),))=0,#N/A, (VLOOKUP(B41,'DB PMI Manufacturing World'!$A:$AA,MATCH($W$1,'DB PMI Manufacturing World'!$A$1:$AA$1,),)))</f>
        <v>54.1</v>
      </c>
      <c r="X41" s="37">
        <f>IF((VLOOKUP(B41,'DB PMI Manufacturing World'!$A:$AA,MATCH($X$1,'DB PMI Manufacturing World'!$A$1:$AA$1,),))=0,#N/A, (VLOOKUP(B41,'DB PMI Manufacturing World'!$A:$AA,MATCH($X$1,'DB PMI Manufacturing World'!$A$1:$AA$1,),)))</f>
        <v>49.7</v>
      </c>
      <c r="Y41" s="37">
        <f>IF((VLOOKUP(B41,'DB PMI Manufacturing World'!$A:$AA,MATCH($Y$1,'DB PMI Manufacturing World'!$A$1:$AA$1,),))=0,#N/A, (VLOOKUP(B41,'DB PMI Manufacturing World'!$A:$AA,MATCH($Y$1,'DB PMI Manufacturing World'!$A$1:$AA$1,),)))</f>
        <v>49.5</v>
      </c>
      <c r="Z41" s="37">
        <f>IF((VLOOKUP(B41,'DB PMI Manufacturing World'!$A:$AA,MATCH($Z$1,'DB PMI Manufacturing World'!$A$1:$AA$1,),))=0,#N/A, (VLOOKUP(B41,'DB PMI Manufacturing World'!$A:$AA,MATCH($Z$1,'DB PMI Manufacturing World'!$A$1:$AA$1,),)))</f>
        <v>43.5</v>
      </c>
      <c r="AA41" s="37">
        <f>IF((VLOOKUP(B41,'DB PMI Manufacturing World'!$A:$AA,MATCH($AA$1,'DB PMI Manufacturing World'!$A$1:$AA$1,),))=0,#N/A, (VLOOKUP(B41,'DB PMI Manufacturing World'!$A:$AA,MATCH($AA$1,'DB PMI Manufacturing World'!$A$1:$AA$1,),)))</f>
        <v>46.7</v>
      </c>
      <c r="AB41" s="37">
        <f>IF((VLOOKUP(B41,'DB PMI Manufacturing World'!$A:$AA,MATCH($AB$1,'DB PMI Manufacturing World'!$A$1:$AA$1,),))=0,#N/A, (VLOOKUP(B41,'DB PMI Manufacturing World'!$A:$AA,MATCH($AB$1,'DB PMI Manufacturing World'!$A$1:$AA$1,),)))</f>
        <v>53</v>
      </c>
    </row>
    <row r="42" spans="2:28" x14ac:dyDescent="0.35">
      <c r="B42" s="29">
        <v>43800</v>
      </c>
      <c r="C42" s="37">
        <f>IF((VLOOKUP(B42,'DB PMI Manufacturing World'!$A:$AA,MATCH($C$1,'DB PMI Manufacturing World'!$A$1:$AA$1,),))=0,#N/A, (VLOOKUP(B42,'DB PMI Manufacturing World'!$A:$AA,MATCH($C$1,'DB PMI Manufacturing World'!$A$1:$AA$1,),)))</f>
        <v>50.1</v>
      </c>
      <c r="D42" s="37">
        <f>IF((VLOOKUP(B42,'DB PMI Manufacturing World'!$A:$AA,MATCH($D$1,'DB PMI Manufacturing World'!$A$1:$AA$1,),))=0,#N/A, (VLOOKUP(B42,'DB PMI Manufacturing World'!$A:$AA,MATCH($D$1,'DB PMI Manufacturing World'!$A$1:$AA$1,),)))</f>
        <v>47.8</v>
      </c>
      <c r="E42" s="37">
        <f>IF((VLOOKUP(B42,'DB PMI Manufacturing World'!$A:$AA,MATCH($E$1,'DB PMI Manufacturing World'!$A$1:$AA$1,),))=0,#N/A, (VLOOKUP(B42,'DB PMI Manufacturing World'!$A:$AA,MATCH($E$1,'DB PMI Manufacturing World'!$A$1:$AA$1,),)))</f>
        <v>52.4</v>
      </c>
      <c r="F42" s="37">
        <f>IF((VLOOKUP(B42,'DB PMI Manufacturing World'!$A:$AA,MATCH($F$1,'DB PMI Manufacturing World'!$A$1:$AA$1,),))=0,#N/A, (VLOOKUP(B42,'DB PMI Manufacturing World'!$A:$AA,MATCH($F$1,'DB PMI Manufacturing World'!$A$1:$AA$1,),)))</f>
        <v>51.5</v>
      </c>
      <c r="G42" s="37">
        <f>IF((VLOOKUP(B42,'DB PMI Manufacturing World'!$A:$AA,MATCH($G$1,'DB PMI Manufacturing World'!$A$1:$AA$1,),))=0,#N/A, (VLOOKUP(B42,'DB PMI Manufacturing World'!$A:$AA,MATCH($G$1,'DB PMI Manufacturing World'!$A$1:$AA$1,),)))</f>
        <v>46.3</v>
      </c>
      <c r="H42" s="37">
        <f>IF((VLOOKUP(B42,'DB PMI Manufacturing World'!$A:$AA,MATCH($H$1,'DB PMI Manufacturing World'!$A$1:$AA$1,),))=0,#N/A, (VLOOKUP(B42,'DB PMI Manufacturing World'!$A:$AA,MATCH($H$1,'DB PMI Manufacturing World'!$A$1:$AA$1,),)))</f>
        <v>48.4</v>
      </c>
      <c r="I42" s="37">
        <f>IF((VLOOKUP(B42,'DB PMI Manufacturing World'!$A:$AA,MATCH($I$1,'DB PMI Manufacturing World'!$A$1:$AA$1,),))=0,#N/A, (VLOOKUP(B42,'DB PMI Manufacturing World'!$A:$AA,MATCH($I$1,'DB PMI Manufacturing World'!$A$1:$AA$1,),)))</f>
        <v>43.7</v>
      </c>
      <c r="J42" s="37">
        <f>IF((VLOOKUP(B42,'DB PMI Manufacturing World'!$A:$AA,MATCH($J$1,'DB PMI Manufacturing World'!$A$1:$AA$1,),))=0,#N/A, (VLOOKUP(B42,'DB PMI Manufacturing World'!$A:$AA,MATCH($J$1,'DB PMI Manufacturing World'!$A$1:$AA$1,),)))</f>
        <v>50.4</v>
      </c>
      <c r="K42" s="37">
        <f>IF((VLOOKUP(B42,'DB PMI Manufacturing World'!$A:$AA,MATCH($K$1,'DB PMI Manufacturing World'!$A$1:$AA$1,),))=0,#N/A, (VLOOKUP(B42,'DB PMI Manufacturing World'!$A:$AA,MATCH($K$1,'DB PMI Manufacturing World'!$A$1:$AA$1,),)))</f>
        <v>47.5</v>
      </c>
      <c r="L42" s="37">
        <f>IF((VLOOKUP(B42,'DB PMI Manufacturing World'!$A:$AA,MATCH($L$1,'DB PMI Manufacturing World'!$A$1:$AA$1,),))=0,#N/A, (VLOOKUP(B42,'DB PMI Manufacturing World'!$A:$AA,MATCH($L$1,'DB PMI Manufacturing World'!$A$1:$AA$1,),)))</f>
        <v>46.2</v>
      </c>
      <c r="M42" s="37">
        <f>IF((VLOOKUP(B42,'DB PMI Manufacturing World'!$A:$AA,MATCH($M$1,'DB PMI Manufacturing World'!$A$1:$AA$1,),))=0,#N/A, (VLOOKUP(B42,'DB PMI Manufacturing World'!$A:$AA,MATCH($M$1,'DB PMI Manufacturing World'!$A$1:$AA$1,),)))</f>
        <v>47.4</v>
      </c>
      <c r="N42" s="37">
        <f>IF((VLOOKUP(B42,'DB PMI Manufacturing World'!$A:$AA,MATCH($N$1,'DB PMI Manufacturing World'!$A$1:$AA$1,),))=0,#N/A, (VLOOKUP(B42,'DB PMI Manufacturing World'!$A:$AA,MATCH($N$1,'DB PMI Manufacturing World'!$A$1:$AA$1,),)))</f>
        <v>50.2</v>
      </c>
      <c r="O42" s="37">
        <f>IF((VLOOKUP(B42,'DB PMI Manufacturing World'!$A:$AA,MATCH($O$1,'DB PMI Manufacturing World'!$A$1:$AA$1,),))=0,#N/A, (VLOOKUP(B42,'DB PMI Manufacturing World'!$A:$AA,MATCH($O$1,'DB PMI Manufacturing World'!$A$1:$AA$1,),)))</f>
        <v>47.1</v>
      </c>
      <c r="P42" s="37">
        <f>IF((VLOOKUP(B42,'DB PMI Manufacturing World'!$A:$AA,MATCH($P$1,'DB PMI Manufacturing World'!$A$1:$AA$1,),))=0,#N/A, (VLOOKUP(B42,'DB PMI Manufacturing World'!$A:$AA,MATCH($P$1,'DB PMI Manufacturing World'!$A$1:$AA$1,),)))</f>
        <v>47.5</v>
      </c>
      <c r="Q42" s="37">
        <f>IF((VLOOKUP(B42,'DB PMI Manufacturing World'!$A:$AA,MATCH($Q$1,'DB PMI Manufacturing World'!$A$1:$AA$1,),))=0,#N/A, (VLOOKUP(B42,'DB PMI Manufacturing World'!$A:$AA,MATCH($Q$1,'DB PMI Manufacturing World'!$A$1:$AA$1,),)))</f>
        <v>52.7</v>
      </c>
      <c r="R42" s="37">
        <f>IF((VLOOKUP(B42,'DB PMI Manufacturing World'!$A:$AA,MATCH($R$1,'DB PMI Manufacturing World'!$A$1:$AA$1,),))=0,#N/A, (VLOOKUP(B42,'DB PMI Manufacturing World'!$A:$AA,MATCH($R$1,'DB PMI Manufacturing World'!$A$1:$AA$1,),)))</f>
        <v>50.4</v>
      </c>
      <c r="S42" s="37">
        <f>IF((VLOOKUP(B42,'DB PMI Manufacturing World'!$A:$AA,MATCH($S$1,'DB PMI Manufacturing World'!$A$1:$AA$1,),))=0,#N/A, (VLOOKUP(B42,'DB PMI Manufacturing World'!$A:$AA,MATCH($S$1,'DB PMI Manufacturing World'!$A$1:$AA$1,),)))</f>
        <v>48.3</v>
      </c>
      <c r="T42" s="37">
        <f>IF((VLOOKUP(B42,'DB PMI Manufacturing World'!$A:$AA,MATCH($T$1,'DB PMI Manufacturing World'!$A$1:$AA$1,),))=0,#N/A, (VLOOKUP(B42,'DB PMI Manufacturing World'!$A:$AA,MATCH($T$1,'DB PMI Manufacturing World'!$A$1:$AA$1,),)))</f>
        <v>49.5</v>
      </c>
      <c r="U42" s="37">
        <f>IF((VLOOKUP(B42,'DB PMI Manufacturing World'!$A:$AA,MATCH($U$1,'DB PMI Manufacturing World'!$A$1:$AA$1,),))=0,#N/A, (VLOOKUP(B42,'DB PMI Manufacturing World'!$A:$AA,MATCH($U$1,'DB PMI Manufacturing World'!$A$1:$AA$1,),)))</f>
        <v>50.1</v>
      </c>
      <c r="V42" s="37">
        <f>IF((VLOOKUP(B42,'DB PMI Manufacturing World'!$A:$AA,MATCH($V$1,'DB PMI Manufacturing World'!$A$1:$AA$1,),))=0,#N/A, (VLOOKUP(B42,'DB PMI Manufacturing World'!$A:$AA,MATCH($V$1,'DB PMI Manufacturing World'!$A$1:$AA$1,),)))</f>
        <v>50.8</v>
      </c>
      <c r="W42" s="37">
        <f>IF((VLOOKUP(B42,'DB PMI Manufacturing World'!$A:$AA,MATCH($W$1,'DB PMI Manufacturing World'!$A$1:$AA$1,),))=0,#N/A, (VLOOKUP(B42,'DB PMI Manufacturing World'!$A:$AA,MATCH($W$1,'DB PMI Manufacturing World'!$A$1:$AA$1,),)))</f>
        <v>53.9</v>
      </c>
      <c r="X42" s="37">
        <f>IF((VLOOKUP(B42,'DB PMI Manufacturing World'!$A:$AA,MATCH($X$1,'DB PMI Manufacturing World'!$A$1:$AA$1,),))=0,#N/A, (VLOOKUP(B42,'DB PMI Manufacturing World'!$A:$AA,MATCH($X$1,'DB PMI Manufacturing World'!$A$1:$AA$1,),)))</f>
        <v>49.5</v>
      </c>
      <c r="Y42" s="37">
        <f>IF((VLOOKUP(B42,'DB PMI Manufacturing World'!$A:$AA,MATCH($Y$1,'DB PMI Manufacturing World'!$A$1:$AA$1,),))=0,#N/A, (VLOOKUP(B42,'DB PMI Manufacturing World'!$A:$AA,MATCH($Y$1,'DB PMI Manufacturing World'!$A$1:$AA$1,),)))</f>
        <v>49.5</v>
      </c>
      <c r="Z42" s="37">
        <f>IF((VLOOKUP(B42,'DB PMI Manufacturing World'!$A:$AA,MATCH($Z$1,'DB PMI Manufacturing World'!$A$1:$AA$1,),))=0,#N/A, (VLOOKUP(B42,'DB PMI Manufacturing World'!$A:$AA,MATCH($Z$1,'DB PMI Manufacturing World'!$A$1:$AA$1,),)))</f>
        <v>43.6</v>
      </c>
      <c r="AA42" s="37">
        <f>IF((VLOOKUP(B42,'DB PMI Manufacturing World'!$A:$AA,MATCH($AA$1,'DB PMI Manufacturing World'!$A$1:$AA$1,),))=0,#N/A, (VLOOKUP(B42,'DB PMI Manufacturing World'!$A:$AA,MATCH($AA$1,'DB PMI Manufacturing World'!$A$1:$AA$1,),)))</f>
        <v>48</v>
      </c>
      <c r="AB42" s="37">
        <f>IF((VLOOKUP(B42,'DB PMI Manufacturing World'!$A:$AA,MATCH($AB$1,'DB PMI Manufacturing World'!$A$1:$AA$1,),))=0,#N/A, (VLOOKUP(B42,'DB PMI Manufacturing World'!$A:$AA,MATCH($AB$1,'DB PMI Manufacturing World'!$A$1:$AA$1,),)))</f>
        <v>50.7</v>
      </c>
    </row>
    <row r="43" spans="2:28" x14ac:dyDescent="0.35">
      <c r="B43" s="29">
        <v>43831</v>
      </c>
      <c r="C43" s="37">
        <f>IF((VLOOKUP(B43,'DB PMI Manufacturing World'!$A:$AA,MATCH($C$1,'DB PMI Manufacturing World'!$A$1:$AA$1,),))=0,#N/A, (VLOOKUP(B43,'DB PMI Manufacturing World'!$A:$AA,MATCH($C$1,'DB PMI Manufacturing World'!$A$1:$AA$1,),)))</f>
        <v>50.4</v>
      </c>
      <c r="D43" s="37">
        <f>IF((VLOOKUP(B43,'DB PMI Manufacturing World'!$A:$AA,MATCH($D$1,'DB PMI Manufacturing World'!$A$1:$AA$1,),))=0,#N/A, (VLOOKUP(B43,'DB PMI Manufacturing World'!$A:$AA,MATCH($D$1,'DB PMI Manufacturing World'!$A$1:$AA$1,),)))</f>
        <v>50.9</v>
      </c>
      <c r="E43" s="37">
        <f>IF((VLOOKUP(B43,'DB PMI Manufacturing World'!$A:$AA,MATCH($E$1,'DB PMI Manufacturing World'!$A$1:$AA$1,),))=0,#N/A, (VLOOKUP(B43,'DB PMI Manufacturing World'!$A:$AA,MATCH($E$1,'DB PMI Manufacturing World'!$A$1:$AA$1,),)))</f>
        <v>51.9</v>
      </c>
      <c r="F43" s="37">
        <f>IF((VLOOKUP(B43,'DB PMI Manufacturing World'!$A:$AA,MATCH($F$1,'DB PMI Manufacturing World'!$A$1:$AA$1,),))=0,#N/A, (VLOOKUP(B43,'DB PMI Manufacturing World'!$A:$AA,MATCH($F$1,'DB PMI Manufacturing World'!$A$1:$AA$1,),)))</f>
        <v>51.1</v>
      </c>
      <c r="G43" s="37">
        <f>IF((VLOOKUP(B43,'DB PMI Manufacturing World'!$A:$AA,MATCH($G$1,'DB PMI Manufacturing World'!$A$1:$AA$1,),))=0,#N/A, (VLOOKUP(B43,'DB PMI Manufacturing World'!$A:$AA,MATCH($G$1,'DB PMI Manufacturing World'!$A$1:$AA$1,),)))</f>
        <v>47.9</v>
      </c>
      <c r="H43" s="37">
        <f>IF((VLOOKUP(B43,'DB PMI Manufacturing World'!$A:$AA,MATCH($H$1,'DB PMI Manufacturing World'!$A$1:$AA$1,),))=0,#N/A, (VLOOKUP(B43,'DB PMI Manufacturing World'!$A:$AA,MATCH($H$1,'DB PMI Manufacturing World'!$A$1:$AA$1,),)))</f>
        <v>48.8</v>
      </c>
      <c r="I43" s="37">
        <f>IF((VLOOKUP(B43,'DB PMI Manufacturing World'!$A:$AA,MATCH($I$1,'DB PMI Manufacturing World'!$A$1:$AA$1,),))=0,#N/A, (VLOOKUP(B43,'DB PMI Manufacturing World'!$A:$AA,MATCH($I$1,'DB PMI Manufacturing World'!$A$1:$AA$1,),)))</f>
        <v>45.3</v>
      </c>
      <c r="J43" s="37">
        <f>IF((VLOOKUP(B43,'DB PMI Manufacturing World'!$A:$AA,MATCH($J$1,'DB PMI Manufacturing World'!$A$1:$AA$1,),))=0,#N/A, (VLOOKUP(B43,'DB PMI Manufacturing World'!$A:$AA,MATCH($J$1,'DB PMI Manufacturing World'!$A$1:$AA$1,),)))</f>
        <v>51.1</v>
      </c>
      <c r="K43" s="37">
        <f>IF((VLOOKUP(B43,'DB PMI Manufacturing World'!$A:$AA,MATCH($K$1,'DB PMI Manufacturing World'!$A$1:$AA$1,),))=0,#N/A, (VLOOKUP(B43,'DB PMI Manufacturing World'!$A:$AA,MATCH($K$1,'DB PMI Manufacturing World'!$A$1:$AA$1,),)))</f>
        <v>50</v>
      </c>
      <c r="L43" s="37">
        <f>IF((VLOOKUP(B43,'DB PMI Manufacturing World'!$A:$AA,MATCH($L$1,'DB PMI Manufacturing World'!$A$1:$AA$1,),))=0,#N/A, (VLOOKUP(B43,'DB PMI Manufacturing World'!$A:$AA,MATCH($L$1,'DB PMI Manufacturing World'!$A$1:$AA$1,),)))</f>
        <v>48.9</v>
      </c>
      <c r="M43" s="37">
        <f>IF((VLOOKUP(B43,'DB PMI Manufacturing World'!$A:$AA,MATCH($M$1,'DB PMI Manufacturing World'!$A$1:$AA$1,),))=0,#N/A, (VLOOKUP(B43,'DB PMI Manufacturing World'!$A:$AA,MATCH($M$1,'DB PMI Manufacturing World'!$A$1:$AA$1,),)))</f>
        <v>48.5</v>
      </c>
      <c r="N43" s="37">
        <f>IF((VLOOKUP(B43,'DB PMI Manufacturing World'!$A:$AA,MATCH($N$1,'DB PMI Manufacturing World'!$A$1:$AA$1,),))=0,#N/A, (VLOOKUP(B43,'DB PMI Manufacturing World'!$A:$AA,MATCH($N$1,'DB PMI Manufacturing World'!$A$1:$AA$1,),)))</f>
        <v>51</v>
      </c>
      <c r="O43" s="37">
        <f>IF((VLOOKUP(B43,'DB PMI Manufacturing World'!$A:$AA,MATCH($O$1,'DB PMI Manufacturing World'!$A$1:$AA$1,),))=0,#N/A, (VLOOKUP(B43,'DB PMI Manufacturing World'!$A:$AA,MATCH($O$1,'DB PMI Manufacturing World'!$A$1:$AA$1,),)))</f>
        <v>49</v>
      </c>
      <c r="P43" s="37">
        <f>IF((VLOOKUP(B43,'DB PMI Manufacturing World'!$A:$AA,MATCH($P$1,'DB PMI Manufacturing World'!$A$1:$AA$1,),))=0,#N/A, (VLOOKUP(B43,'DB PMI Manufacturing World'!$A:$AA,MATCH($P$1,'DB PMI Manufacturing World'!$A$1:$AA$1,),)))</f>
        <v>47.9</v>
      </c>
      <c r="Q43" s="37">
        <f>IF((VLOOKUP(B43,'DB PMI Manufacturing World'!$A:$AA,MATCH($Q$1,'DB PMI Manufacturing World'!$A$1:$AA$1,),))=0,#N/A, (VLOOKUP(B43,'DB PMI Manufacturing World'!$A:$AA,MATCH($Q$1,'DB PMI Manufacturing World'!$A$1:$AA$1,),)))</f>
        <v>55.3</v>
      </c>
      <c r="R43" s="37">
        <f>IF((VLOOKUP(B43,'DB PMI Manufacturing World'!$A:$AA,MATCH($R$1,'DB PMI Manufacturing World'!$A$1:$AA$1,),))=0,#N/A, (VLOOKUP(B43,'DB PMI Manufacturing World'!$A:$AA,MATCH($R$1,'DB PMI Manufacturing World'!$A$1:$AA$1,),)))</f>
        <v>50.6</v>
      </c>
      <c r="S43" s="37">
        <f>IF((VLOOKUP(B43,'DB PMI Manufacturing World'!$A:$AA,MATCH($S$1,'DB PMI Manufacturing World'!$A$1:$AA$1,),))=0,#N/A, (VLOOKUP(B43,'DB PMI Manufacturing World'!$A:$AA,MATCH($S$1,'DB PMI Manufacturing World'!$A$1:$AA$1,),)))</f>
        <v>45.4</v>
      </c>
      <c r="T43" s="37">
        <f>IF((VLOOKUP(B43,'DB PMI Manufacturing World'!$A:$AA,MATCH($T$1,'DB PMI Manufacturing World'!$A$1:$AA$1,),))=0,#N/A, (VLOOKUP(B43,'DB PMI Manufacturing World'!$A:$AA,MATCH($T$1,'DB PMI Manufacturing World'!$A$1:$AA$1,),)))</f>
        <v>49.3</v>
      </c>
      <c r="U43" s="37">
        <f>IF((VLOOKUP(B43,'DB PMI Manufacturing World'!$A:$AA,MATCH($U$1,'DB PMI Manufacturing World'!$A$1:$AA$1,),))=0,#N/A, (VLOOKUP(B43,'DB PMI Manufacturing World'!$A:$AA,MATCH($U$1,'DB PMI Manufacturing World'!$A$1:$AA$1,),)))</f>
        <v>49.8</v>
      </c>
      <c r="V43" s="37">
        <f>IF((VLOOKUP(B43,'DB PMI Manufacturing World'!$A:$AA,MATCH($V$1,'DB PMI Manufacturing World'!$A$1:$AA$1,),))=0,#N/A, (VLOOKUP(B43,'DB PMI Manufacturing World'!$A:$AA,MATCH($V$1,'DB PMI Manufacturing World'!$A$1:$AA$1,),)))</f>
        <v>51.8</v>
      </c>
      <c r="W43" s="37">
        <f>IF((VLOOKUP(B43,'DB PMI Manufacturing World'!$A:$AA,MATCH($W$1,'DB PMI Manufacturing World'!$A$1:$AA$1,),))=0,#N/A, (VLOOKUP(B43,'DB PMI Manufacturing World'!$A:$AA,MATCH($W$1,'DB PMI Manufacturing World'!$A$1:$AA$1,),)))</f>
        <v>54.4</v>
      </c>
      <c r="X43" s="37">
        <f>IF((VLOOKUP(B43,'DB PMI Manufacturing World'!$A:$AA,MATCH($X$1,'DB PMI Manufacturing World'!$A$1:$AA$1,),))=0,#N/A, (VLOOKUP(B43,'DB PMI Manufacturing World'!$A:$AA,MATCH($X$1,'DB PMI Manufacturing World'!$A$1:$AA$1,),)))</f>
        <v>51.4</v>
      </c>
      <c r="Y43" s="37">
        <f>IF((VLOOKUP(B43,'DB PMI Manufacturing World'!$A:$AA,MATCH($Y$1,'DB PMI Manufacturing World'!$A$1:$AA$1,),))=0,#N/A, (VLOOKUP(B43,'DB PMI Manufacturing World'!$A:$AA,MATCH($Y$1,'DB PMI Manufacturing World'!$A$1:$AA$1,),)))</f>
        <v>51.3</v>
      </c>
      <c r="Z43" s="37">
        <f>IF((VLOOKUP(B43,'DB PMI Manufacturing World'!$A:$AA,MATCH($Z$1,'DB PMI Manufacturing World'!$A$1:$AA$1,),))=0,#N/A, (VLOOKUP(B43,'DB PMI Manufacturing World'!$A:$AA,MATCH($Z$1,'DB PMI Manufacturing World'!$A$1:$AA$1,),)))</f>
        <v>45.2</v>
      </c>
      <c r="AA43" s="37">
        <f>IF((VLOOKUP(B43,'DB PMI Manufacturing World'!$A:$AA,MATCH($AA$1,'DB PMI Manufacturing World'!$A$1:$AA$1,),))=0,#N/A, (VLOOKUP(B43,'DB PMI Manufacturing World'!$A:$AA,MATCH($AA$1,'DB PMI Manufacturing World'!$A$1:$AA$1,),)))</f>
        <v>47.4</v>
      </c>
      <c r="AB43" s="37">
        <f>IF((VLOOKUP(B43,'DB PMI Manufacturing World'!$A:$AA,MATCH($AB$1,'DB PMI Manufacturing World'!$A$1:$AA$1,),))=0,#N/A, (VLOOKUP(B43,'DB PMI Manufacturing World'!$A:$AA,MATCH($AB$1,'DB PMI Manufacturing World'!$A$1:$AA$1,),)))</f>
        <v>53.2</v>
      </c>
    </row>
    <row r="44" spans="2:28" x14ac:dyDescent="0.35">
      <c r="B44" s="29">
        <v>43862</v>
      </c>
      <c r="C44" s="37">
        <f>IF((VLOOKUP(B44,'DB PMI Manufacturing World'!$A:$AA,MATCH($C$1,'DB PMI Manufacturing World'!$A$1:$AA$1,),))=0,#N/A, (VLOOKUP(B44,'DB PMI Manufacturing World'!$A:$AA,MATCH($C$1,'DB PMI Manufacturing World'!$A$1:$AA$1,),)))</f>
        <v>47.1</v>
      </c>
      <c r="D44" s="37">
        <f>IF((VLOOKUP(B44,'DB PMI Manufacturing World'!$A:$AA,MATCH($D$1,'DB PMI Manufacturing World'!$A$1:$AA$1,),))=0,#N/A, (VLOOKUP(B44,'DB PMI Manufacturing World'!$A:$AA,MATCH($D$1,'DB PMI Manufacturing World'!$A$1:$AA$1,),)))</f>
        <v>50.1</v>
      </c>
      <c r="E44" s="37">
        <f>IF((VLOOKUP(B44,'DB PMI Manufacturing World'!$A:$AA,MATCH($E$1,'DB PMI Manufacturing World'!$A$1:$AA$1,),))=0,#N/A, (VLOOKUP(B44,'DB PMI Manufacturing World'!$A:$AA,MATCH($E$1,'DB PMI Manufacturing World'!$A$1:$AA$1,),)))</f>
        <v>50.7</v>
      </c>
      <c r="F44" s="37">
        <f>IF((VLOOKUP(B44,'DB PMI Manufacturing World'!$A:$AA,MATCH($F$1,'DB PMI Manufacturing World'!$A$1:$AA$1,),))=0,#N/A, (VLOOKUP(B44,'DB PMI Manufacturing World'!$A:$AA,MATCH($F$1,'DB PMI Manufacturing World'!$A$1:$AA$1,),)))</f>
        <v>40.299999999999997</v>
      </c>
      <c r="G44" s="37">
        <f>IF((VLOOKUP(B44,'DB PMI Manufacturing World'!$A:$AA,MATCH($G$1,'DB PMI Manufacturing World'!$A$1:$AA$1,),))=0,#N/A, (VLOOKUP(B44,'DB PMI Manufacturing World'!$A:$AA,MATCH($G$1,'DB PMI Manufacturing World'!$A$1:$AA$1,),)))</f>
        <v>49.2</v>
      </c>
      <c r="H44" s="37">
        <f>IF((VLOOKUP(B44,'DB PMI Manufacturing World'!$A:$AA,MATCH($H$1,'DB PMI Manufacturing World'!$A$1:$AA$1,),))=0,#N/A, (VLOOKUP(B44,'DB PMI Manufacturing World'!$A:$AA,MATCH($H$1,'DB PMI Manufacturing World'!$A$1:$AA$1,),)))</f>
        <v>47.8</v>
      </c>
      <c r="I44" s="37">
        <f>IF((VLOOKUP(B44,'DB PMI Manufacturing World'!$A:$AA,MATCH($I$1,'DB PMI Manufacturing World'!$A$1:$AA$1,),))=0,#N/A, (VLOOKUP(B44,'DB PMI Manufacturing World'!$A:$AA,MATCH($I$1,'DB PMI Manufacturing World'!$A$1:$AA$1,),)))</f>
        <v>48</v>
      </c>
      <c r="J44" s="37">
        <f>IF((VLOOKUP(B44,'DB PMI Manufacturing World'!$A:$AA,MATCH($J$1,'DB PMI Manufacturing World'!$A$1:$AA$1,),))=0,#N/A, (VLOOKUP(B44,'DB PMI Manufacturing World'!$A:$AA,MATCH($J$1,'DB PMI Manufacturing World'!$A$1:$AA$1,),)))</f>
        <v>49.8</v>
      </c>
      <c r="K44" s="37">
        <f>IF((VLOOKUP(B44,'DB PMI Manufacturing World'!$A:$AA,MATCH($K$1,'DB PMI Manufacturing World'!$A$1:$AA$1,),))=0,#N/A, (VLOOKUP(B44,'DB PMI Manufacturing World'!$A:$AA,MATCH($K$1,'DB PMI Manufacturing World'!$A$1:$AA$1,),)))</f>
        <v>51.7</v>
      </c>
      <c r="L44" s="37">
        <f>IF((VLOOKUP(B44,'DB PMI Manufacturing World'!$A:$AA,MATCH($L$1,'DB PMI Manufacturing World'!$A$1:$AA$1,),))=0,#N/A, (VLOOKUP(B44,'DB PMI Manufacturing World'!$A:$AA,MATCH($L$1,'DB PMI Manufacturing World'!$A$1:$AA$1,),)))</f>
        <v>48.7</v>
      </c>
      <c r="M44" s="37">
        <f>IF((VLOOKUP(B44,'DB PMI Manufacturing World'!$A:$AA,MATCH($M$1,'DB PMI Manufacturing World'!$A$1:$AA$1,),))=0,#N/A, (VLOOKUP(B44,'DB PMI Manufacturing World'!$A:$AA,MATCH($M$1,'DB PMI Manufacturing World'!$A$1:$AA$1,),)))</f>
        <v>50.4</v>
      </c>
      <c r="N44" s="37">
        <f>IF((VLOOKUP(B44,'DB PMI Manufacturing World'!$A:$AA,MATCH($N$1,'DB PMI Manufacturing World'!$A$1:$AA$1,),))=0,#N/A, (VLOOKUP(B44,'DB PMI Manufacturing World'!$A:$AA,MATCH($N$1,'DB PMI Manufacturing World'!$A$1:$AA$1,),)))</f>
        <v>52.3</v>
      </c>
      <c r="O44" s="37">
        <f>IF((VLOOKUP(B44,'DB PMI Manufacturing World'!$A:$AA,MATCH($O$1,'DB PMI Manufacturing World'!$A$1:$AA$1,),))=0,#N/A, (VLOOKUP(B44,'DB PMI Manufacturing World'!$A:$AA,MATCH($O$1,'DB PMI Manufacturing World'!$A$1:$AA$1,),)))</f>
        <v>50</v>
      </c>
      <c r="P44" s="37">
        <f>IF((VLOOKUP(B44,'DB PMI Manufacturing World'!$A:$AA,MATCH($P$1,'DB PMI Manufacturing World'!$A$1:$AA$1,),))=0,#N/A, (VLOOKUP(B44,'DB PMI Manufacturing World'!$A:$AA,MATCH($P$1,'DB PMI Manufacturing World'!$A$1:$AA$1,),)))</f>
        <v>48.2</v>
      </c>
      <c r="Q44" s="37">
        <f>IF((VLOOKUP(B44,'DB PMI Manufacturing World'!$A:$AA,MATCH($Q$1,'DB PMI Manufacturing World'!$A$1:$AA$1,),))=0,#N/A, (VLOOKUP(B44,'DB PMI Manufacturing World'!$A:$AA,MATCH($Q$1,'DB PMI Manufacturing World'!$A$1:$AA$1,),)))</f>
        <v>54.5</v>
      </c>
      <c r="R44" s="37">
        <f>IF((VLOOKUP(B44,'DB PMI Manufacturing World'!$A:$AA,MATCH($R$1,'DB PMI Manufacturing World'!$A$1:$AA$1,),))=0,#N/A, (VLOOKUP(B44,'DB PMI Manufacturing World'!$A:$AA,MATCH($R$1,'DB PMI Manufacturing World'!$A$1:$AA$1,),)))</f>
        <v>51.8</v>
      </c>
      <c r="S44" s="37">
        <f>IF((VLOOKUP(B44,'DB PMI Manufacturing World'!$A:$AA,MATCH($S$1,'DB PMI Manufacturing World'!$A$1:$AA$1,),))=0,#N/A, (VLOOKUP(B44,'DB PMI Manufacturing World'!$A:$AA,MATCH($S$1,'DB PMI Manufacturing World'!$A$1:$AA$1,),)))</f>
        <v>44.3</v>
      </c>
      <c r="T44" s="37">
        <f>IF((VLOOKUP(B44,'DB PMI Manufacturing World'!$A:$AA,MATCH($T$1,'DB PMI Manufacturing World'!$A$1:$AA$1,),))=0,#N/A, (VLOOKUP(B44,'DB PMI Manufacturing World'!$A:$AA,MATCH($T$1,'DB PMI Manufacturing World'!$A$1:$AA$1,),)))</f>
        <v>51.9</v>
      </c>
      <c r="U44" s="37">
        <f>IF((VLOOKUP(B44,'DB PMI Manufacturing World'!$A:$AA,MATCH($U$1,'DB PMI Manufacturing World'!$A$1:$AA$1,),))=0,#N/A, (VLOOKUP(B44,'DB PMI Manufacturing World'!$A:$AA,MATCH($U$1,'DB PMI Manufacturing World'!$A$1:$AA$1,),)))</f>
        <v>48.7</v>
      </c>
      <c r="V44" s="37">
        <f>IF((VLOOKUP(B44,'DB PMI Manufacturing World'!$A:$AA,MATCH($V$1,'DB PMI Manufacturing World'!$A$1:$AA$1,),))=0,#N/A, (VLOOKUP(B44,'DB PMI Manufacturing World'!$A:$AA,MATCH($V$1,'DB PMI Manufacturing World'!$A$1:$AA$1,),)))</f>
        <v>49.9</v>
      </c>
      <c r="W44" s="37">
        <f>IF((VLOOKUP(B44,'DB PMI Manufacturing World'!$A:$AA,MATCH($W$1,'DB PMI Manufacturing World'!$A$1:$AA$1,),))=0,#N/A, (VLOOKUP(B44,'DB PMI Manufacturing World'!$A:$AA,MATCH($W$1,'DB PMI Manufacturing World'!$A$1:$AA$1,),)))</f>
        <v>56.2</v>
      </c>
      <c r="X44" s="37">
        <f>IF((VLOOKUP(B44,'DB PMI Manufacturing World'!$A:$AA,MATCH($X$1,'DB PMI Manufacturing World'!$A$1:$AA$1,),))=0,#N/A, (VLOOKUP(B44,'DB PMI Manufacturing World'!$A:$AA,MATCH($X$1,'DB PMI Manufacturing World'!$A$1:$AA$1,),)))</f>
        <v>51.2</v>
      </c>
      <c r="Y44" s="37">
        <f>IF((VLOOKUP(B44,'DB PMI Manufacturing World'!$A:$AA,MATCH($Y$1,'DB PMI Manufacturing World'!$A$1:$AA$1,),))=0,#N/A, (VLOOKUP(B44,'DB PMI Manufacturing World'!$A:$AA,MATCH($Y$1,'DB PMI Manufacturing World'!$A$1:$AA$1,),)))</f>
        <v>52.4</v>
      </c>
      <c r="Z44" s="37">
        <f>IF((VLOOKUP(B44,'DB PMI Manufacturing World'!$A:$AA,MATCH($Z$1,'DB PMI Manufacturing World'!$A$1:$AA$1,),))=0,#N/A, (VLOOKUP(B44,'DB PMI Manufacturing World'!$A:$AA,MATCH($Z$1,'DB PMI Manufacturing World'!$A$1:$AA$1,),)))</f>
        <v>46.5</v>
      </c>
      <c r="AA44" s="37">
        <f>IF((VLOOKUP(B44,'DB PMI Manufacturing World'!$A:$AA,MATCH($AA$1,'DB PMI Manufacturing World'!$A$1:$AA$1,),))=0,#N/A, (VLOOKUP(B44,'DB PMI Manufacturing World'!$A:$AA,MATCH($AA$1,'DB PMI Manufacturing World'!$A$1:$AA$1,),)))</f>
        <v>48.2</v>
      </c>
      <c r="AB44" s="37">
        <f>IF((VLOOKUP(B44,'DB PMI Manufacturing World'!$A:$AA,MATCH($AB$1,'DB PMI Manufacturing World'!$A$1:$AA$1,),))=0,#N/A, (VLOOKUP(B44,'DB PMI Manufacturing World'!$A:$AA,MATCH($AB$1,'DB PMI Manufacturing World'!$A$1:$AA$1,),)))</f>
        <v>49.2</v>
      </c>
    </row>
    <row r="45" spans="2:28" x14ac:dyDescent="0.35">
      <c r="B45" s="29">
        <v>43891</v>
      </c>
      <c r="C45" s="37">
        <f>IF((VLOOKUP(B45,'DB PMI Manufacturing World'!$A:$AA,MATCH($C$1,'DB PMI Manufacturing World'!$A$1:$AA$1,),))=0,#N/A, (VLOOKUP(B45,'DB PMI Manufacturing World'!$A:$AA,MATCH($C$1,'DB PMI Manufacturing World'!$A$1:$AA$1,),)))</f>
        <v>47.3</v>
      </c>
      <c r="D45" s="37">
        <f>IF((VLOOKUP(B45,'DB PMI Manufacturing World'!$A:$AA,MATCH($D$1,'DB PMI Manufacturing World'!$A$1:$AA$1,),))=0,#N/A, (VLOOKUP(B45,'DB PMI Manufacturing World'!$A:$AA,MATCH($D$1,'DB PMI Manufacturing World'!$A$1:$AA$1,),)))</f>
        <v>49.1</v>
      </c>
      <c r="E45" s="37">
        <f>IF((VLOOKUP(B45,'DB PMI Manufacturing World'!$A:$AA,MATCH($E$1,'DB PMI Manufacturing World'!$A$1:$AA$1,),))=0,#N/A, (VLOOKUP(B45,'DB PMI Manufacturing World'!$A:$AA,MATCH($E$1,'DB PMI Manufacturing World'!$A$1:$AA$1,),)))</f>
        <v>48.5</v>
      </c>
      <c r="F45" s="37">
        <f>IF((VLOOKUP(B45,'DB PMI Manufacturing World'!$A:$AA,MATCH($F$1,'DB PMI Manufacturing World'!$A$1:$AA$1,),))=0,#N/A, (VLOOKUP(B45,'DB PMI Manufacturing World'!$A:$AA,MATCH($F$1,'DB PMI Manufacturing World'!$A$1:$AA$1,),)))</f>
        <v>50.1</v>
      </c>
      <c r="G45" s="37">
        <f>IF((VLOOKUP(B45,'DB PMI Manufacturing World'!$A:$AA,MATCH($G$1,'DB PMI Manufacturing World'!$A$1:$AA$1,),))=0,#N/A, (VLOOKUP(B45,'DB PMI Manufacturing World'!$A:$AA,MATCH($G$1,'DB PMI Manufacturing World'!$A$1:$AA$1,),)))</f>
        <v>44.5</v>
      </c>
      <c r="H45" s="37">
        <f>IF((VLOOKUP(B45,'DB PMI Manufacturing World'!$A:$AA,MATCH($H$1,'DB PMI Manufacturing World'!$A$1:$AA$1,),))=0,#N/A, (VLOOKUP(B45,'DB PMI Manufacturing World'!$A:$AA,MATCH($H$1,'DB PMI Manufacturing World'!$A$1:$AA$1,),)))</f>
        <v>44.2</v>
      </c>
      <c r="I45" s="37">
        <f>IF((VLOOKUP(B45,'DB PMI Manufacturing World'!$A:$AA,MATCH($I$1,'DB PMI Manufacturing World'!$A$1:$AA$1,),))=0,#N/A, (VLOOKUP(B45,'DB PMI Manufacturing World'!$A:$AA,MATCH($I$1,'DB PMI Manufacturing World'!$A$1:$AA$1,),)))</f>
        <v>45.4</v>
      </c>
      <c r="J45" s="37">
        <f>IF((VLOOKUP(B45,'DB PMI Manufacturing World'!$A:$AA,MATCH($J$1,'DB PMI Manufacturing World'!$A$1:$AA$1,),))=0,#N/A, (VLOOKUP(B45,'DB PMI Manufacturing World'!$A:$AA,MATCH($J$1,'DB PMI Manufacturing World'!$A$1:$AA$1,),)))</f>
        <v>43.2</v>
      </c>
      <c r="K45" s="37">
        <f>IF((VLOOKUP(B45,'DB PMI Manufacturing World'!$A:$AA,MATCH($K$1,'DB PMI Manufacturing World'!$A$1:$AA$1,),))=0,#N/A, (VLOOKUP(B45,'DB PMI Manufacturing World'!$A:$AA,MATCH($K$1,'DB PMI Manufacturing World'!$A$1:$AA$1,),)))</f>
        <v>47.8</v>
      </c>
      <c r="L45" s="37">
        <f>IF((VLOOKUP(B45,'DB PMI Manufacturing World'!$A:$AA,MATCH($L$1,'DB PMI Manufacturing World'!$A$1:$AA$1,),))=0,#N/A, (VLOOKUP(B45,'DB PMI Manufacturing World'!$A:$AA,MATCH($L$1,'DB PMI Manufacturing World'!$A$1:$AA$1,),)))</f>
        <v>40.299999999999997</v>
      </c>
      <c r="M45" s="37">
        <f>IF((VLOOKUP(B45,'DB PMI Manufacturing World'!$A:$AA,MATCH($M$1,'DB PMI Manufacturing World'!$A$1:$AA$1,),))=0,#N/A, (VLOOKUP(B45,'DB PMI Manufacturing World'!$A:$AA,MATCH($M$1,'DB PMI Manufacturing World'!$A$1:$AA$1,),)))</f>
        <v>45.7</v>
      </c>
      <c r="N45" s="37">
        <f>IF((VLOOKUP(B45,'DB PMI Manufacturing World'!$A:$AA,MATCH($N$1,'DB PMI Manufacturing World'!$A$1:$AA$1,),))=0,#N/A, (VLOOKUP(B45,'DB PMI Manufacturing World'!$A:$AA,MATCH($N$1,'DB PMI Manufacturing World'!$A$1:$AA$1,),)))</f>
        <v>48.4</v>
      </c>
      <c r="O45" s="37">
        <f>IF((VLOOKUP(B45,'DB PMI Manufacturing World'!$A:$AA,MATCH($O$1,'DB PMI Manufacturing World'!$A$1:$AA$1,),))=0,#N/A, (VLOOKUP(B45,'DB PMI Manufacturing World'!$A:$AA,MATCH($O$1,'DB PMI Manufacturing World'!$A$1:$AA$1,),)))</f>
        <v>46.9</v>
      </c>
      <c r="P45" s="37">
        <f>IF((VLOOKUP(B45,'DB PMI Manufacturing World'!$A:$AA,MATCH($P$1,'DB PMI Manufacturing World'!$A$1:$AA$1,),))=0,#N/A, (VLOOKUP(B45,'DB PMI Manufacturing World'!$A:$AA,MATCH($P$1,'DB PMI Manufacturing World'!$A$1:$AA$1,),)))</f>
        <v>47.5</v>
      </c>
      <c r="Q45" s="37">
        <f>IF((VLOOKUP(B45,'DB PMI Manufacturing World'!$A:$AA,MATCH($Q$1,'DB PMI Manufacturing World'!$A$1:$AA$1,),))=0,#N/A, (VLOOKUP(B45,'DB PMI Manufacturing World'!$A:$AA,MATCH($Q$1,'DB PMI Manufacturing World'!$A$1:$AA$1,),)))</f>
        <v>51.8</v>
      </c>
      <c r="R45" s="37">
        <f>IF((VLOOKUP(B45,'DB PMI Manufacturing World'!$A:$AA,MATCH($R$1,'DB PMI Manufacturing World'!$A$1:$AA$1,),))=0,#N/A, (VLOOKUP(B45,'DB PMI Manufacturing World'!$A:$AA,MATCH($R$1,'DB PMI Manufacturing World'!$A$1:$AA$1,),)))</f>
        <v>46.1</v>
      </c>
      <c r="S45" s="37">
        <f>IF((VLOOKUP(B45,'DB PMI Manufacturing World'!$A:$AA,MATCH($S$1,'DB PMI Manufacturing World'!$A$1:$AA$1,),))=0,#N/A, (VLOOKUP(B45,'DB PMI Manufacturing World'!$A:$AA,MATCH($S$1,'DB PMI Manufacturing World'!$A$1:$AA$1,),)))</f>
        <v>53.7</v>
      </c>
      <c r="T45" s="37">
        <f>IF((VLOOKUP(B45,'DB PMI Manufacturing World'!$A:$AA,MATCH($T$1,'DB PMI Manufacturing World'!$A$1:$AA$1,),))=0,#N/A, (VLOOKUP(B45,'DB PMI Manufacturing World'!$A:$AA,MATCH($T$1,'DB PMI Manufacturing World'!$A$1:$AA$1,),)))</f>
        <v>45.3</v>
      </c>
      <c r="U45" s="37">
        <f>IF((VLOOKUP(B45,'DB PMI Manufacturing World'!$A:$AA,MATCH($U$1,'DB PMI Manufacturing World'!$A$1:$AA$1,),))=0,#N/A, (VLOOKUP(B45,'DB PMI Manufacturing World'!$A:$AA,MATCH($U$1,'DB PMI Manufacturing World'!$A$1:$AA$1,),)))</f>
        <v>44.2</v>
      </c>
      <c r="V45" s="37">
        <f>IF((VLOOKUP(B45,'DB PMI Manufacturing World'!$A:$AA,MATCH($V$1,'DB PMI Manufacturing World'!$A$1:$AA$1,),))=0,#N/A, (VLOOKUP(B45,'DB PMI Manufacturing World'!$A:$AA,MATCH($V$1,'DB PMI Manufacturing World'!$A$1:$AA$1,),)))</f>
        <v>50.4</v>
      </c>
      <c r="W45" s="37">
        <f>IF((VLOOKUP(B45,'DB PMI Manufacturing World'!$A:$AA,MATCH($W$1,'DB PMI Manufacturing World'!$A$1:$AA$1,),))=0,#N/A, (VLOOKUP(B45,'DB PMI Manufacturing World'!$A:$AA,MATCH($W$1,'DB PMI Manufacturing World'!$A$1:$AA$1,),)))</f>
        <v>42.5</v>
      </c>
      <c r="X45" s="37">
        <f>IF((VLOOKUP(B45,'DB PMI Manufacturing World'!$A:$AA,MATCH($X$1,'DB PMI Manufacturing World'!$A$1:$AA$1,),))=0,#N/A, (VLOOKUP(B45,'DB PMI Manufacturing World'!$A:$AA,MATCH($X$1,'DB PMI Manufacturing World'!$A$1:$AA$1,),)))</f>
        <v>45.1</v>
      </c>
      <c r="Y45" s="37">
        <f>IF((VLOOKUP(B45,'DB PMI Manufacturing World'!$A:$AA,MATCH($Y$1,'DB PMI Manufacturing World'!$A$1:$AA$1,),))=0,#N/A, (VLOOKUP(B45,'DB PMI Manufacturing World'!$A:$AA,MATCH($Y$1,'DB PMI Manufacturing World'!$A$1:$AA$1,),)))</f>
        <v>48.1</v>
      </c>
      <c r="Z45" s="37">
        <f>IF((VLOOKUP(B45,'DB PMI Manufacturing World'!$A:$AA,MATCH($Z$1,'DB PMI Manufacturing World'!$A$1:$AA$1,),))=0,#N/A, (VLOOKUP(B45,'DB PMI Manufacturing World'!$A:$AA,MATCH($Z$1,'DB PMI Manufacturing World'!$A$1:$AA$1,),)))</f>
        <v>41.3</v>
      </c>
      <c r="AA45" s="37">
        <f>IF((VLOOKUP(B45,'DB PMI Manufacturing World'!$A:$AA,MATCH($AA$1,'DB PMI Manufacturing World'!$A$1:$AA$1,),))=0,#N/A, (VLOOKUP(B45,'DB PMI Manufacturing World'!$A:$AA,MATCH($AA$1,'DB PMI Manufacturing World'!$A$1:$AA$1,),)))</f>
        <v>42.4</v>
      </c>
      <c r="AB45" s="37">
        <f>IF((VLOOKUP(B45,'DB PMI Manufacturing World'!$A:$AA,MATCH($AB$1,'DB PMI Manufacturing World'!$A$1:$AA$1,),))=0,#N/A, (VLOOKUP(B45,'DB PMI Manufacturing World'!$A:$AA,MATCH($AB$1,'DB PMI Manufacturing World'!$A$1:$AA$1,),)))</f>
        <v>46.8</v>
      </c>
    </row>
    <row r="46" spans="2:28" x14ac:dyDescent="0.35">
      <c r="B46" s="29">
        <v>43922</v>
      </c>
      <c r="C46" s="37">
        <f>IF((VLOOKUP(B46,'DB PMI Manufacturing World'!$A:$AA,MATCH($C$1,'DB PMI Manufacturing World'!$A$1:$AA$1,),))=0,#N/A, (VLOOKUP(B46,'DB PMI Manufacturing World'!$A:$AA,MATCH($C$1,'DB PMI Manufacturing World'!$A$1:$AA$1,),)))</f>
        <v>39.6</v>
      </c>
      <c r="D46" s="37">
        <f>IF((VLOOKUP(B46,'DB PMI Manufacturing World'!$A:$AA,MATCH($D$1,'DB PMI Manufacturing World'!$A$1:$AA$1,),))=0,#N/A, (VLOOKUP(B46,'DB PMI Manufacturing World'!$A:$AA,MATCH($D$1,'DB PMI Manufacturing World'!$A$1:$AA$1,),)))</f>
        <v>41.5</v>
      </c>
      <c r="E46" s="37">
        <f>IF((VLOOKUP(B46,'DB PMI Manufacturing World'!$A:$AA,MATCH($E$1,'DB PMI Manufacturing World'!$A$1:$AA$1,),))=0,#N/A, (VLOOKUP(B46,'DB PMI Manufacturing World'!$A:$AA,MATCH($E$1,'DB PMI Manufacturing World'!$A$1:$AA$1,),)))</f>
        <v>36.1</v>
      </c>
      <c r="F46" s="37">
        <f>IF((VLOOKUP(B46,'DB PMI Manufacturing World'!$A:$AA,MATCH($F$1,'DB PMI Manufacturing World'!$A$1:$AA$1,),))=0,#N/A, (VLOOKUP(B46,'DB PMI Manufacturing World'!$A:$AA,MATCH($F$1,'DB PMI Manufacturing World'!$A$1:$AA$1,),)))</f>
        <v>49.4</v>
      </c>
      <c r="G46" s="37">
        <f>IF((VLOOKUP(B46,'DB PMI Manufacturing World'!$A:$AA,MATCH($G$1,'DB PMI Manufacturing World'!$A$1:$AA$1,),))=0,#N/A, (VLOOKUP(B46,'DB PMI Manufacturing World'!$A:$AA,MATCH($G$1,'DB PMI Manufacturing World'!$A$1:$AA$1,),)))</f>
        <v>33.4</v>
      </c>
      <c r="H46" s="37">
        <f>IF((VLOOKUP(B46,'DB PMI Manufacturing World'!$A:$AA,MATCH($H$1,'DB PMI Manufacturing World'!$A$1:$AA$1,),))=0,#N/A, (VLOOKUP(B46,'DB PMI Manufacturing World'!$A:$AA,MATCH($H$1,'DB PMI Manufacturing World'!$A$1:$AA$1,),)))</f>
        <v>41.9</v>
      </c>
      <c r="I46" s="37">
        <f>IF((VLOOKUP(B46,'DB PMI Manufacturing World'!$A:$AA,MATCH($I$1,'DB PMI Manufacturing World'!$A$1:$AA$1,),))=0,#N/A, (VLOOKUP(B46,'DB PMI Manufacturing World'!$A:$AA,MATCH($I$1,'DB PMI Manufacturing World'!$A$1:$AA$1,),)))</f>
        <v>34.5</v>
      </c>
      <c r="J46" s="37">
        <f>IF((VLOOKUP(B46,'DB PMI Manufacturing World'!$A:$AA,MATCH($J$1,'DB PMI Manufacturing World'!$A$1:$AA$1,),))=0,#N/A, (VLOOKUP(B46,'DB PMI Manufacturing World'!$A:$AA,MATCH($J$1,'DB PMI Manufacturing World'!$A$1:$AA$1,),)))</f>
        <v>31.5</v>
      </c>
      <c r="K46" s="37">
        <f>IF((VLOOKUP(B46,'DB PMI Manufacturing World'!$A:$AA,MATCH($K$1,'DB PMI Manufacturing World'!$A$1:$AA$1,),))=0,#N/A, (VLOOKUP(B46,'DB PMI Manufacturing World'!$A:$AA,MATCH($K$1,'DB PMI Manufacturing World'!$A$1:$AA$1,),)))</f>
        <v>32.6</v>
      </c>
      <c r="L46" s="37">
        <f>IF((VLOOKUP(B46,'DB PMI Manufacturing World'!$A:$AA,MATCH($L$1,'DB PMI Manufacturing World'!$A$1:$AA$1,),))=0,#N/A, (VLOOKUP(B46,'DB PMI Manufacturing World'!$A:$AA,MATCH($L$1,'DB PMI Manufacturing World'!$A$1:$AA$1,),)))</f>
        <v>31.1</v>
      </c>
      <c r="M46" s="37">
        <f>IF((VLOOKUP(B46,'DB PMI Manufacturing World'!$A:$AA,MATCH($M$1,'DB PMI Manufacturing World'!$A$1:$AA$1,),))=0,#N/A, (VLOOKUP(B46,'DB PMI Manufacturing World'!$A:$AA,MATCH($M$1,'DB PMI Manufacturing World'!$A$1:$AA$1,),)))</f>
        <v>30.8</v>
      </c>
      <c r="N46" s="37">
        <f>IF((VLOOKUP(B46,'DB PMI Manufacturing World'!$A:$AA,MATCH($N$1,'DB PMI Manufacturing World'!$A$1:$AA$1,),))=0,#N/A, (VLOOKUP(B46,'DB PMI Manufacturing World'!$A:$AA,MATCH($N$1,'DB PMI Manufacturing World'!$A$1:$AA$1,),)))</f>
        <v>36</v>
      </c>
      <c r="O46" s="37">
        <f>IF((VLOOKUP(B46,'DB PMI Manufacturing World'!$A:$AA,MATCH($O$1,'DB PMI Manufacturing World'!$A$1:$AA$1,),))=0,#N/A, (VLOOKUP(B46,'DB PMI Manufacturing World'!$A:$AA,MATCH($O$1,'DB PMI Manufacturing World'!$A$1:$AA$1,),)))</f>
        <v>35</v>
      </c>
      <c r="P46" s="37">
        <f>IF((VLOOKUP(B46,'DB PMI Manufacturing World'!$A:$AA,MATCH($P$1,'DB PMI Manufacturing World'!$A$1:$AA$1,),))=0,#N/A, (VLOOKUP(B46,'DB PMI Manufacturing World'!$A:$AA,MATCH($P$1,'DB PMI Manufacturing World'!$A$1:$AA$1,),)))</f>
        <v>31.3</v>
      </c>
      <c r="Q46" s="37">
        <f>IF((VLOOKUP(B46,'DB PMI Manufacturing World'!$A:$AA,MATCH($Q$1,'DB PMI Manufacturing World'!$A$1:$AA$1,),))=0,#N/A, (VLOOKUP(B46,'DB PMI Manufacturing World'!$A:$AA,MATCH($Q$1,'DB PMI Manufacturing World'!$A$1:$AA$1,),)))</f>
        <v>27.4</v>
      </c>
      <c r="R46" s="37">
        <f>IF((VLOOKUP(B46,'DB PMI Manufacturing World'!$A:$AA,MATCH($R$1,'DB PMI Manufacturing World'!$A$1:$AA$1,),))=0,#N/A, (VLOOKUP(B46,'DB PMI Manufacturing World'!$A:$AA,MATCH($R$1,'DB PMI Manufacturing World'!$A$1:$AA$1,),)))</f>
        <v>33</v>
      </c>
      <c r="S46" s="37">
        <f>IF((VLOOKUP(B46,'DB PMI Manufacturing World'!$A:$AA,MATCH($S$1,'DB PMI Manufacturing World'!$A$1:$AA$1,),))=0,#N/A, (VLOOKUP(B46,'DB PMI Manufacturing World'!$A:$AA,MATCH($S$1,'DB PMI Manufacturing World'!$A$1:$AA$1,),)))</f>
        <v>35.799999999999997</v>
      </c>
      <c r="T46" s="37">
        <f>IF((VLOOKUP(B46,'DB PMI Manufacturing World'!$A:$AA,MATCH($T$1,'DB PMI Manufacturing World'!$A$1:$AA$1,),))=0,#N/A, (VLOOKUP(B46,'DB PMI Manufacturing World'!$A:$AA,MATCH($T$1,'DB PMI Manufacturing World'!$A$1:$AA$1,),)))</f>
        <v>27.5</v>
      </c>
      <c r="U46" s="37">
        <f>IF((VLOOKUP(B46,'DB PMI Manufacturing World'!$A:$AA,MATCH($U$1,'DB PMI Manufacturing World'!$A$1:$AA$1,),))=0,#N/A, (VLOOKUP(B46,'DB PMI Manufacturing World'!$A:$AA,MATCH($U$1,'DB PMI Manufacturing World'!$A$1:$AA$1,),)))</f>
        <v>41.6</v>
      </c>
      <c r="V46" s="37">
        <f>IF((VLOOKUP(B46,'DB PMI Manufacturing World'!$A:$AA,MATCH($V$1,'DB PMI Manufacturing World'!$A$1:$AA$1,),))=0,#N/A, (VLOOKUP(B46,'DB PMI Manufacturing World'!$A:$AA,MATCH($V$1,'DB PMI Manufacturing World'!$A$1:$AA$1,),)))</f>
        <v>42.2</v>
      </c>
      <c r="W46" s="37">
        <f>IF((VLOOKUP(B46,'DB PMI Manufacturing World'!$A:$AA,MATCH($W$1,'DB PMI Manufacturing World'!$A$1:$AA$1,),))=0,#N/A, (VLOOKUP(B46,'DB PMI Manufacturing World'!$A:$AA,MATCH($W$1,'DB PMI Manufacturing World'!$A$1:$AA$1,),)))</f>
        <v>29.5</v>
      </c>
      <c r="X46" s="37">
        <f>IF((VLOOKUP(B46,'DB PMI Manufacturing World'!$A:$AA,MATCH($X$1,'DB PMI Manufacturing World'!$A$1:$AA$1,),))=0,#N/A, (VLOOKUP(B46,'DB PMI Manufacturing World'!$A:$AA,MATCH($X$1,'DB PMI Manufacturing World'!$A$1:$AA$1,),)))</f>
        <v>36</v>
      </c>
      <c r="Y46" s="37">
        <f>IF((VLOOKUP(B46,'DB PMI Manufacturing World'!$A:$AA,MATCH($Y$1,'DB PMI Manufacturing World'!$A$1:$AA$1,),))=0,#N/A, (VLOOKUP(B46,'DB PMI Manufacturing World'!$A:$AA,MATCH($Y$1,'DB PMI Manufacturing World'!$A$1:$AA$1,),)))</f>
        <v>33.4</v>
      </c>
      <c r="Z46" s="37">
        <f>IF((VLOOKUP(B46,'DB PMI Manufacturing World'!$A:$AA,MATCH($Z$1,'DB PMI Manufacturing World'!$A$1:$AA$1,),))=0,#N/A, (VLOOKUP(B46,'DB PMI Manufacturing World'!$A:$AA,MATCH($Z$1,'DB PMI Manufacturing World'!$A$1:$AA$1,),)))</f>
        <v>35.1</v>
      </c>
      <c r="AA46" s="37">
        <f>IF((VLOOKUP(B46,'DB PMI Manufacturing World'!$A:$AA,MATCH($AA$1,'DB PMI Manufacturing World'!$A$1:$AA$1,),))=0,#N/A, (VLOOKUP(B46,'DB PMI Manufacturing World'!$A:$AA,MATCH($AA$1,'DB PMI Manufacturing World'!$A$1:$AA$1,),)))</f>
        <v>31.9</v>
      </c>
      <c r="AB46" s="37">
        <f>IF((VLOOKUP(B46,'DB PMI Manufacturing World'!$A:$AA,MATCH($AB$1,'DB PMI Manufacturing World'!$A$1:$AA$1,),))=0,#N/A, (VLOOKUP(B46,'DB PMI Manufacturing World'!$A:$AA,MATCH($AB$1,'DB PMI Manufacturing World'!$A$1:$AA$1,),)))</f>
        <v>38.6</v>
      </c>
    </row>
    <row r="47" spans="2:28" x14ac:dyDescent="0.35">
      <c r="B47" s="29">
        <v>43952</v>
      </c>
      <c r="C47" s="37">
        <f>IF((VLOOKUP(B47,'DB PMI Manufacturing World'!$A:$AA,MATCH($C$1,'DB PMI Manufacturing World'!$A$1:$AA$1,),))=0,#N/A, (VLOOKUP(B47,'DB PMI Manufacturing World'!$A:$AA,MATCH($C$1,'DB PMI Manufacturing World'!$A$1:$AA$1,),)))</f>
        <v>42.4</v>
      </c>
      <c r="D47" s="37">
        <f>IF((VLOOKUP(B47,'DB PMI Manufacturing World'!$A:$AA,MATCH($D$1,'DB PMI Manufacturing World'!$A$1:$AA$1,),))=0,#N/A, (VLOOKUP(B47,'DB PMI Manufacturing World'!$A:$AA,MATCH($D$1,'DB PMI Manufacturing World'!$A$1:$AA$1,),)))</f>
        <v>43.1</v>
      </c>
      <c r="E47" s="37">
        <f>IF((VLOOKUP(B47,'DB PMI Manufacturing World'!$A:$AA,MATCH($E$1,'DB PMI Manufacturing World'!$A$1:$AA$1,),))=0,#N/A, (VLOOKUP(B47,'DB PMI Manufacturing World'!$A:$AA,MATCH($E$1,'DB PMI Manufacturing World'!$A$1:$AA$1,),)))</f>
        <v>39.799999999999997</v>
      </c>
      <c r="F47" s="37">
        <f>IF((VLOOKUP(B47,'DB PMI Manufacturing World'!$A:$AA,MATCH($F$1,'DB PMI Manufacturing World'!$A$1:$AA$1,),))=0,#N/A, (VLOOKUP(B47,'DB PMI Manufacturing World'!$A:$AA,MATCH($F$1,'DB PMI Manufacturing World'!$A$1:$AA$1,),)))</f>
        <v>50.7</v>
      </c>
      <c r="G47" s="37">
        <f>IF((VLOOKUP(B47,'DB PMI Manufacturing World'!$A:$AA,MATCH($G$1,'DB PMI Manufacturing World'!$A$1:$AA$1,),))=0,#N/A, (VLOOKUP(B47,'DB PMI Manufacturing World'!$A:$AA,MATCH($G$1,'DB PMI Manufacturing World'!$A$1:$AA$1,),)))</f>
        <v>39.4</v>
      </c>
      <c r="H47" s="37">
        <f>IF((VLOOKUP(B47,'DB PMI Manufacturing World'!$A:$AA,MATCH($H$1,'DB PMI Manufacturing World'!$A$1:$AA$1,),))=0,#N/A, (VLOOKUP(B47,'DB PMI Manufacturing World'!$A:$AA,MATCH($H$1,'DB PMI Manufacturing World'!$A$1:$AA$1,),)))</f>
        <v>38.4</v>
      </c>
      <c r="I47" s="37">
        <f>IF((VLOOKUP(B47,'DB PMI Manufacturing World'!$A:$AA,MATCH($I$1,'DB PMI Manufacturing World'!$A$1:$AA$1,),))=0,#N/A, (VLOOKUP(B47,'DB PMI Manufacturing World'!$A:$AA,MATCH($I$1,'DB PMI Manufacturing World'!$A$1:$AA$1,),)))</f>
        <v>36.6</v>
      </c>
      <c r="J47" s="37">
        <f>IF((VLOOKUP(B47,'DB PMI Manufacturing World'!$A:$AA,MATCH($J$1,'DB PMI Manufacturing World'!$A$1:$AA$1,),))=0,#N/A, (VLOOKUP(B47,'DB PMI Manufacturing World'!$A:$AA,MATCH($J$1,'DB PMI Manufacturing World'!$A$1:$AA$1,),)))</f>
        <v>40.6</v>
      </c>
      <c r="K47" s="37">
        <f>IF((VLOOKUP(B47,'DB PMI Manufacturing World'!$A:$AA,MATCH($K$1,'DB PMI Manufacturing World'!$A$1:$AA$1,),))=0,#N/A, (VLOOKUP(B47,'DB PMI Manufacturing World'!$A:$AA,MATCH($K$1,'DB PMI Manufacturing World'!$A$1:$AA$1,),)))</f>
        <v>40.700000000000003</v>
      </c>
      <c r="L47" s="37">
        <f>IF((VLOOKUP(B47,'DB PMI Manufacturing World'!$A:$AA,MATCH($L$1,'DB PMI Manufacturing World'!$A$1:$AA$1,),))=0,#N/A, (VLOOKUP(B47,'DB PMI Manufacturing World'!$A:$AA,MATCH($L$1,'DB PMI Manufacturing World'!$A$1:$AA$1,),)))</f>
        <v>45.4</v>
      </c>
      <c r="M47" s="37">
        <f>IF((VLOOKUP(B47,'DB PMI Manufacturing World'!$A:$AA,MATCH($M$1,'DB PMI Manufacturing World'!$A$1:$AA$1,),))=0,#N/A, (VLOOKUP(B47,'DB PMI Manufacturing World'!$A:$AA,MATCH($M$1,'DB PMI Manufacturing World'!$A$1:$AA$1,),)))</f>
        <v>38.299999999999997</v>
      </c>
      <c r="N47" s="37">
        <f>IF((VLOOKUP(B47,'DB PMI Manufacturing World'!$A:$AA,MATCH($N$1,'DB PMI Manufacturing World'!$A$1:$AA$1,),))=0,#N/A, (VLOOKUP(B47,'DB PMI Manufacturing World'!$A:$AA,MATCH($N$1,'DB PMI Manufacturing World'!$A$1:$AA$1,),)))</f>
        <v>38.299999999999997</v>
      </c>
      <c r="O47" s="37">
        <f>IF((VLOOKUP(B47,'DB PMI Manufacturing World'!$A:$AA,MATCH($O$1,'DB PMI Manufacturing World'!$A$1:$AA$1,),))=0,#N/A, (VLOOKUP(B47,'DB PMI Manufacturing World'!$A:$AA,MATCH($O$1,'DB PMI Manufacturing World'!$A$1:$AA$1,),)))</f>
        <v>38.299999999999997</v>
      </c>
      <c r="P47" s="37">
        <f>IF((VLOOKUP(B47,'DB PMI Manufacturing World'!$A:$AA,MATCH($P$1,'DB PMI Manufacturing World'!$A$1:$AA$1,),))=0,#N/A, (VLOOKUP(B47,'DB PMI Manufacturing World'!$A:$AA,MATCH($P$1,'DB PMI Manufacturing World'!$A$1:$AA$1,),)))</f>
        <v>36.200000000000003</v>
      </c>
      <c r="Q47" s="37">
        <f>IF((VLOOKUP(B47,'DB PMI Manufacturing World'!$A:$AA,MATCH($Q$1,'DB PMI Manufacturing World'!$A$1:$AA$1,),))=0,#N/A, (VLOOKUP(B47,'DB PMI Manufacturing World'!$A:$AA,MATCH($Q$1,'DB PMI Manufacturing World'!$A$1:$AA$1,),)))</f>
        <v>30.8</v>
      </c>
      <c r="R47" s="37">
        <f>IF((VLOOKUP(B47,'DB PMI Manufacturing World'!$A:$AA,MATCH($R$1,'DB PMI Manufacturing World'!$A$1:$AA$1,),))=0,#N/A, (VLOOKUP(B47,'DB PMI Manufacturing World'!$A:$AA,MATCH($R$1,'DB PMI Manufacturing World'!$A$1:$AA$1,),)))</f>
        <v>40.6</v>
      </c>
      <c r="S47" s="37">
        <f>IF((VLOOKUP(B47,'DB PMI Manufacturing World'!$A:$AA,MATCH($S$1,'DB PMI Manufacturing World'!$A$1:$AA$1,),))=0,#N/A, (VLOOKUP(B47,'DB PMI Manufacturing World'!$A:$AA,MATCH($S$1,'DB PMI Manufacturing World'!$A$1:$AA$1,),)))</f>
        <v>41.6</v>
      </c>
      <c r="T47" s="37">
        <f>IF((VLOOKUP(B47,'DB PMI Manufacturing World'!$A:$AA,MATCH($T$1,'DB PMI Manufacturing World'!$A$1:$AA$1,),))=0,#N/A, (VLOOKUP(B47,'DB PMI Manufacturing World'!$A:$AA,MATCH($T$1,'DB PMI Manufacturing World'!$A$1:$AA$1,),)))</f>
        <v>28.6</v>
      </c>
      <c r="U47" s="37">
        <f>IF((VLOOKUP(B47,'DB PMI Manufacturing World'!$A:$AA,MATCH($U$1,'DB PMI Manufacturing World'!$A$1:$AA$1,),))=0,#N/A, (VLOOKUP(B47,'DB PMI Manufacturing World'!$A:$AA,MATCH($U$1,'DB PMI Manufacturing World'!$A$1:$AA$1,),)))</f>
        <v>41.3</v>
      </c>
      <c r="V47" s="37">
        <f>IF((VLOOKUP(B47,'DB PMI Manufacturing World'!$A:$AA,MATCH($V$1,'DB PMI Manufacturing World'!$A$1:$AA$1,),))=0,#N/A, (VLOOKUP(B47,'DB PMI Manufacturing World'!$A:$AA,MATCH($V$1,'DB PMI Manufacturing World'!$A$1:$AA$1,),)))</f>
        <v>41.9</v>
      </c>
      <c r="W47" s="37">
        <f>IF((VLOOKUP(B47,'DB PMI Manufacturing World'!$A:$AA,MATCH($W$1,'DB PMI Manufacturing World'!$A$1:$AA$1,),))=0,#N/A, (VLOOKUP(B47,'DB PMI Manufacturing World'!$A:$AA,MATCH($W$1,'DB PMI Manufacturing World'!$A$1:$AA$1,),)))</f>
        <v>41.1</v>
      </c>
      <c r="X47" s="37">
        <f>IF((VLOOKUP(B47,'DB PMI Manufacturing World'!$A:$AA,MATCH($X$1,'DB PMI Manufacturing World'!$A$1:$AA$1,),))=0,#N/A, (VLOOKUP(B47,'DB PMI Manufacturing World'!$A:$AA,MATCH($X$1,'DB PMI Manufacturing World'!$A$1:$AA$1,),)))</f>
        <v>39.200000000000003</v>
      </c>
      <c r="Y47" s="37">
        <f>IF((VLOOKUP(B47,'DB PMI Manufacturing World'!$A:$AA,MATCH($Y$1,'DB PMI Manufacturing World'!$A$1:$AA$1,),))=0,#N/A, (VLOOKUP(B47,'DB PMI Manufacturing World'!$A:$AA,MATCH($Y$1,'DB PMI Manufacturing World'!$A$1:$AA$1,),)))</f>
        <v>40.9</v>
      </c>
      <c r="Z47" s="37">
        <f>IF((VLOOKUP(B47,'DB PMI Manufacturing World'!$A:$AA,MATCH($Z$1,'DB PMI Manufacturing World'!$A$1:$AA$1,),))=0,#N/A, (VLOOKUP(B47,'DB PMI Manufacturing World'!$A:$AA,MATCH($Z$1,'DB PMI Manufacturing World'!$A$1:$AA$1,),)))</f>
        <v>39.6</v>
      </c>
      <c r="AA47" s="37">
        <f>IF((VLOOKUP(B47,'DB PMI Manufacturing World'!$A:$AA,MATCH($AA$1,'DB PMI Manufacturing World'!$A$1:$AA$1,),))=0,#N/A, (VLOOKUP(B47,'DB PMI Manufacturing World'!$A:$AA,MATCH($AA$1,'DB PMI Manufacturing World'!$A$1:$AA$1,),)))</f>
        <v>40.6</v>
      </c>
      <c r="AB47" s="37">
        <f>IF((VLOOKUP(B47,'DB PMI Manufacturing World'!$A:$AA,MATCH($AB$1,'DB PMI Manufacturing World'!$A$1:$AA$1,),))=0,#N/A, (VLOOKUP(B47,'DB PMI Manufacturing World'!$A:$AA,MATCH($AB$1,'DB PMI Manufacturing World'!$A$1:$AA$1,),)))</f>
        <v>54</v>
      </c>
    </row>
    <row r="48" spans="2:28" x14ac:dyDescent="0.35">
      <c r="B48" s="29">
        <v>43983</v>
      </c>
      <c r="C48" s="37">
        <f>IF((VLOOKUP(B48,'DB PMI Manufacturing World'!$A:$AA,MATCH($C$1,'DB PMI Manufacturing World'!$A$1:$AA$1,),))=0,#N/A, (VLOOKUP(B48,'DB PMI Manufacturing World'!$A:$AA,MATCH($C$1,'DB PMI Manufacturing World'!$A$1:$AA$1,),)))</f>
        <v>47.8</v>
      </c>
      <c r="D48" s="37">
        <f>IF((VLOOKUP(B48,'DB PMI Manufacturing World'!$A:$AA,MATCH($D$1,'DB PMI Manufacturing World'!$A$1:$AA$1,),))=0,#N/A, (VLOOKUP(B48,'DB PMI Manufacturing World'!$A:$AA,MATCH($D$1,'DB PMI Manufacturing World'!$A$1:$AA$1,),)))</f>
        <v>52.6</v>
      </c>
      <c r="E48" s="37">
        <f>IF((VLOOKUP(B48,'DB PMI Manufacturing World'!$A:$AA,MATCH($E$1,'DB PMI Manufacturing World'!$A$1:$AA$1,),))=0,#N/A, (VLOOKUP(B48,'DB PMI Manufacturing World'!$A:$AA,MATCH($E$1,'DB PMI Manufacturing World'!$A$1:$AA$1,),)))</f>
        <v>49.8</v>
      </c>
      <c r="F48" s="37">
        <f>IF((VLOOKUP(B48,'DB PMI Manufacturing World'!$A:$AA,MATCH($F$1,'DB PMI Manufacturing World'!$A$1:$AA$1,),))=0,#N/A, (VLOOKUP(B48,'DB PMI Manufacturing World'!$A:$AA,MATCH($F$1,'DB PMI Manufacturing World'!$A$1:$AA$1,),)))</f>
        <v>51.2</v>
      </c>
      <c r="G48" s="37">
        <f>IF((VLOOKUP(B48,'DB PMI Manufacturing World'!$A:$AA,MATCH($G$1,'DB PMI Manufacturing World'!$A$1:$AA$1,),))=0,#N/A, (VLOOKUP(B48,'DB PMI Manufacturing World'!$A:$AA,MATCH($G$1,'DB PMI Manufacturing World'!$A$1:$AA$1,),)))</f>
        <v>47.4</v>
      </c>
      <c r="H48" s="37">
        <f>IF((VLOOKUP(B48,'DB PMI Manufacturing World'!$A:$AA,MATCH($H$1,'DB PMI Manufacturing World'!$A$1:$AA$1,),))=0,#N/A, (VLOOKUP(B48,'DB PMI Manufacturing World'!$A:$AA,MATCH($H$1,'DB PMI Manufacturing World'!$A$1:$AA$1,),)))</f>
        <v>40.1</v>
      </c>
      <c r="I48" s="37">
        <f>IF((VLOOKUP(B48,'DB PMI Manufacturing World'!$A:$AA,MATCH($I$1,'DB PMI Manufacturing World'!$A$1:$AA$1,),))=0,#N/A, (VLOOKUP(B48,'DB PMI Manufacturing World'!$A:$AA,MATCH($I$1,'DB PMI Manufacturing World'!$A$1:$AA$1,),)))</f>
        <v>45.2</v>
      </c>
      <c r="J48" s="37">
        <f>IF((VLOOKUP(B48,'DB PMI Manufacturing World'!$A:$AA,MATCH($J$1,'DB PMI Manufacturing World'!$A$1:$AA$1,),))=0,#N/A, (VLOOKUP(B48,'DB PMI Manufacturing World'!$A:$AA,MATCH($J$1,'DB PMI Manufacturing World'!$A$1:$AA$1,),)))</f>
        <v>52.3</v>
      </c>
      <c r="K48" s="37">
        <f>IF((VLOOKUP(B48,'DB PMI Manufacturing World'!$A:$AA,MATCH($K$1,'DB PMI Manufacturing World'!$A$1:$AA$1,),))=0,#N/A, (VLOOKUP(B48,'DB PMI Manufacturing World'!$A:$AA,MATCH($K$1,'DB PMI Manufacturing World'!$A$1:$AA$1,),)))</f>
        <v>50.1</v>
      </c>
      <c r="L48" s="37">
        <f>IF((VLOOKUP(B48,'DB PMI Manufacturing World'!$A:$AA,MATCH($L$1,'DB PMI Manufacturing World'!$A$1:$AA$1,),))=0,#N/A, (VLOOKUP(B48,'DB PMI Manufacturing World'!$A:$AA,MATCH($L$1,'DB PMI Manufacturing World'!$A$1:$AA$1,),)))</f>
        <v>47.5</v>
      </c>
      <c r="M48" s="37">
        <f>IF((VLOOKUP(B48,'DB PMI Manufacturing World'!$A:$AA,MATCH($M$1,'DB PMI Manufacturing World'!$A$1:$AA$1,),))=0,#N/A, (VLOOKUP(B48,'DB PMI Manufacturing World'!$A:$AA,MATCH($M$1,'DB PMI Manufacturing World'!$A$1:$AA$1,),)))</f>
        <v>49</v>
      </c>
      <c r="N48" s="37">
        <f>IF((VLOOKUP(B48,'DB PMI Manufacturing World'!$A:$AA,MATCH($N$1,'DB PMI Manufacturing World'!$A$1:$AA$1,),))=0,#N/A, (VLOOKUP(B48,'DB PMI Manufacturing World'!$A:$AA,MATCH($N$1,'DB PMI Manufacturing World'!$A$1:$AA$1,),)))</f>
        <v>51.6</v>
      </c>
      <c r="O48" s="37">
        <f>IF((VLOOKUP(B48,'DB PMI Manufacturing World'!$A:$AA,MATCH($O$1,'DB PMI Manufacturing World'!$A$1:$AA$1,),))=0,#N/A, (VLOOKUP(B48,'DB PMI Manufacturing World'!$A:$AA,MATCH($O$1,'DB PMI Manufacturing World'!$A$1:$AA$1,),)))</f>
        <v>38.6</v>
      </c>
      <c r="P48" s="37">
        <f>IF((VLOOKUP(B48,'DB PMI Manufacturing World'!$A:$AA,MATCH($P$1,'DB PMI Manufacturing World'!$A$1:$AA$1,),))=0,#N/A, (VLOOKUP(B48,'DB PMI Manufacturing World'!$A:$AA,MATCH($P$1,'DB PMI Manufacturing World'!$A$1:$AA$1,),)))</f>
        <v>49.4</v>
      </c>
      <c r="Q48" s="37">
        <f>IF((VLOOKUP(B48,'DB PMI Manufacturing World'!$A:$AA,MATCH($Q$1,'DB PMI Manufacturing World'!$A$1:$AA$1,),))=0,#N/A, (VLOOKUP(B48,'DB PMI Manufacturing World'!$A:$AA,MATCH($Q$1,'DB PMI Manufacturing World'!$A$1:$AA$1,),)))</f>
        <v>47.2</v>
      </c>
      <c r="R48" s="37">
        <f>IF((VLOOKUP(B48,'DB PMI Manufacturing World'!$A:$AA,MATCH($R$1,'DB PMI Manufacturing World'!$A$1:$AA$1,),))=0,#N/A, (VLOOKUP(B48,'DB PMI Manufacturing World'!$A:$AA,MATCH($R$1,'DB PMI Manufacturing World'!$A$1:$AA$1,),)))</f>
        <v>47.8</v>
      </c>
      <c r="S48" s="37">
        <f>IF((VLOOKUP(B48,'DB PMI Manufacturing World'!$A:$AA,MATCH($S$1,'DB PMI Manufacturing World'!$A$1:$AA$1,),))=0,#N/A, (VLOOKUP(B48,'DB PMI Manufacturing World'!$A:$AA,MATCH($S$1,'DB PMI Manufacturing World'!$A$1:$AA$1,),)))</f>
        <v>51.5</v>
      </c>
      <c r="T48" s="37">
        <f>IF((VLOOKUP(B48,'DB PMI Manufacturing World'!$A:$AA,MATCH($T$1,'DB PMI Manufacturing World'!$A$1:$AA$1,),))=0,#N/A, (VLOOKUP(B48,'DB PMI Manufacturing World'!$A:$AA,MATCH($T$1,'DB PMI Manufacturing World'!$A$1:$AA$1,),)))</f>
        <v>39.1</v>
      </c>
      <c r="U48" s="37">
        <f>IF((VLOOKUP(B48,'DB PMI Manufacturing World'!$A:$AA,MATCH($U$1,'DB PMI Manufacturing World'!$A$1:$AA$1,),))=0,#N/A, (VLOOKUP(B48,'DB PMI Manufacturing World'!$A:$AA,MATCH($U$1,'DB PMI Manufacturing World'!$A$1:$AA$1,),)))</f>
        <v>43.4</v>
      </c>
      <c r="V48" s="37">
        <f>IF((VLOOKUP(B48,'DB PMI Manufacturing World'!$A:$AA,MATCH($V$1,'DB PMI Manufacturing World'!$A$1:$AA$1,),))=0,#N/A, (VLOOKUP(B48,'DB PMI Manufacturing World'!$A:$AA,MATCH($V$1,'DB PMI Manufacturing World'!$A$1:$AA$1,),)))</f>
        <v>46.2</v>
      </c>
      <c r="W48" s="37">
        <f>IF((VLOOKUP(B48,'DB PMI Manufacturing World'!$A:$AA,MATCH($W$1,'DB PMI Manufacturing World'!$A$1:$AA$1,),))=0,#N/A, (VLOOKUP(B48,'DB PMI Manufacturing World'!$A:$AA,MATCH($W$1,'DB PMI Manufacturing World'!$A$1:$AA$1,),)))</f>
        <v>49.4</v>
      </c>
      <c r="X48" s="37">
        <f>IF((VLOOKUP(B48,'DB PMI Manufacturing World'!$A:$AA,MATCH($X$1,'DB PMI Manufacturing World'!$A$1:$AA$1,),))=0,#N/A, (VLOOKUP(B48,'DB PMI Manufacturing World'!$A:$AA,MATCH($X$1,'DB PMI Manufacturing World'!$A$1:$AA$1,),)))</f>
        <v>51</v>
      </c>
      <c r="Y48" s="37">
        <f>IF((VLOOKUP(B48,'DB PMI Manufacturing World'!$A:$AA,MATCH($Y$1,'DB PMI Manufacturing World'!$A$1:$AA$1,),))=0,#N/A, (VLOOKUP(B48,'DB PMI Manufacturing World'!$A:$AA,MATCH($Y$1,'DB PMI Manufacturing World'!$A$1:$AA$1,),)))</f>
        <v>53.9</v>
      </c>
      <c r="Z48" s="37">
        <f>IF((VLOOKUP(B48,'DB PMI Manufacturing World'!$A:$AA,MATCH($Z$1,'DB PMI Manufacturing World'!$A$1:$AA$1,),))=0,#N/A, (VLOOKUP(B48,'DB PMI Manufacturing World'!$A:$AA,MATCH($Z$1,'DB PMI Manufacturing World'!$A$1:$AA$1,),)))</f>
        <v>44.9</v>
      </c>
      <c r="AA48" s="37">
        <f>IF((VLOOKUP(B48,'DB PMI Manufacturing World'!$A:$AA,MATCH($AA$1,'DB PMI Manufacturing World'!$A$1:$AA$1,),))=0,#N/A, (VLOOKUP(B48,'DB PMI Manufacturing World'!$A:$AA,MATCH($AA$1,'DB PMI Manufacturing World'!$A$1:$AA$1,),)))</f>
        <v>47.2</v>
      </c>
      <c r="AB48" s="37">
        <f>IF((VLOOKUP(B48,'DB PMI Manufacturing World'!$A:$AA,MATCH($AB$1,'DB PMI Manufacturing World'!$A$1:$AA$1,),))=0,#N/A, (VLOOKUP(B48,'DB PMI Manufacturing World'!$A:$AA,MATCH($AB$1,'DB PMI Manufacturing World'!$A$1:$AA$1,),)))</f>
        <v>52.2</v>
      </c>
    </row>
    <row r="49" spans="2:28" s="56" customFormat="1" x14ac:dyDescent="0.35">
      <c r="B49" s="29">
        <v>44013</v>
      </c>
      <c r="C49" s="37">
        <f>IF((VLOOKUP(B49,'DB PMI Manufacturing World'!$A:$AA,MATCH($C$1,'DB PMI Manufacturing World'!$A$1:$AA$1,),))=0,#N/A, (VLOOKUP(B49,'DB PMI Manufacturing World'!$A:$AA,MATCH($C$1,'DB PMI Manufacturing World'!$A$1:$AA$1,),)))</f>
        <v>50.6</v>
      </c>
      <c r="D49" s="37">
        <f>IF((VLOOKUP(B49,'DB PMI Manufacturing World'!$A:$AA,MATCH($D$1,'DB PMI Manufacturing World'!$A$1:$AA$1,),))=0,#N/A, (VLOOKUP(B49,'DB PMI Manufacturing World'!$A:$AA,MATCH($D$1,'DB PMI Manufacturing World'!$A$1:$AA$1,),)))</f>
        <v>54.2</v>
      </c>
      <c r="E49" s="37">
        <f>IF((VLOOKUP(B49,'DB PMI Manufacturing World'!$A:$AA,MATCH($E$1,'DB PMI Manufacturing World'!$A$1:$AA$1,),))=0,#N/A, (VLOOKUP(B49,'DB PMI Manufacturing World'!$A:$AA,MATCH($E$1,'DB PMI Manufacturing World'!$A$1:$AA$1,),)))</f>
        <v>50.9</v>
      </c>
      <c r="F49" s="37">
        <f>IF((VLOOKUP(B49,'DB PMI Manufacturing World'!$A:$AA,MATCH($F$1,'DB PMI Manufacturing World'!$A$1:$AA$1,),))=0,#N/A, (VLOOKUP(B49,'DB PMI Manufacturing World'!$A:$AA,MATCH($F$1,'DB PMI Manufacturing World'!$A$1:$AA$1,),)))</f>
        <v>52.8</v>
      </c>
      <c r="G49" s="37">
        <f>IF((VLOOKUP(B49,'DB PMI Manufacturing World'!$A:$AA,MATCH($G$1,'DB PMI Manufacturing World'!$A$1:$AA$1,),))=0,#N/A, (VLOOKUP(B49,'DB PMI Manufacturing World'!$A:$AA,MATCH($G$1,'DB PMI Manufacturing World'!$A$1:$AA$1,),)))</f>
        <v>51.8</v>
      </c>
      <c r="H49" s="37">
        <f>IF((VLOOKUP(B49,'DB PMI Manufacturing World'!$A:$AA,MATCH($H$1,'DB PMI Manufacturing World'!$A$1:$AA$1,),))=0,#N/A, (VLOOKUP(B49,'DB PMI Manufacturing World'!$A:$AA,MATCH($H$1,'DB PMI Manufacturing World'!$A$1:$AA$1,),)))</f>
        <v>45.2</v>
      </c>
      <c r="I49" s="37">
        <f>IF((VLOOKUP(B49,'DB PMI Manufacturing World'!$A:$AA,MATCH($I$1,'DB PMI Manufacturing World'!$A$1:$AA$1,),))=0,#N/A, (VLOOKUP(B49,'DB PMI Manufacturing World'!$A:$AA,MATCH($I$1,'DB PMI Manufacturing World'!$A$1:$AA$1,),)))</f>
        <v>51</v>
      </c>
      <c r="J49" s="37">
        <f>IF((VLOOKUP(B49,'DB PMI Manufacturing World'!$A:$AA,MATCH($J$1,'DB PMI Manufacturing World'!$A$1:$AA$1,),))=0,#N/A, (VLOOKUP(B49,'DB PMI Manufacturing World'!$A:$AA,MATCH($J$1,'DB PMI Manufacturing World'!$A$1:$AA$1,),)))</f>
        <v>52.4</v>
      </c>
      <c r="K49" s="37">
        <f>IF((VLOOKUP(B49,'DB PMI Manufacturing World'!$A:$AA,MATCH($K$1,'DB PMI Manufacturing World'!$A$1:$AA$1,),))=0,#N/A, (VLOOKUP(B49,'DB PMI Manufacturing World'!$A:$AA,MATCH($K$1,'DB PMI Manufacturing World'!$A$1:$AA$1,),)))</f>
        <v>53.3</v>
      </c>
      <c r="L49" s="37">
        <f>IF((VLOOKUP(B49,'DB PMI Manufacturing World'!$A:$AA,MATCH($L$1,'DB PMI Manufacturing World'!$A$1:$AA$1,),))=0,#N/A, (VLOOKUP(B49,'DB PMI Manufacturing World'!$A:$AA,MATCH($L$1,'DB PMI Manufacturing World'!$A$1:$AA$1,),)))</f>
        <v>51.9</v>
      </c>
      <c r="M49" s="37">
        <f>IF((VLOOKUP(B49,'DB PMI Manufacturing World'!$A:$AA,MATCH($M$1,'DB PMI Manufacturing World'!$A$1:$AA$1,),))=0,#N/A, (VLOOKUP(B49,'DB PMI Manufacturing World'!$A:$AA,MATCH($M$1,'DB PMI Manufacturing World'!$A$1:$AA$1,),)))</f>
        <v>53.5</v>
      </c>
      <c r="N49" s="37">
        <f>IF((VLOOKUP(B49,'DB PMI Manufacturing World'!$A:$AA,MATCH($N$1,'DB PMI Manufacturing World'!$A$1:$AA$1,),))=0,#N/A, (VLOOKUP(B49,'DB PMI Manufacturing World'!$A:$AA,MATCH($N$1,'DB PMI Manufacturing World'!$A$1:$AA$1,),)))</f>
        <v>58.2</v>
      </c>
      <c r="O49" s="37">
        <f>IF((VLOOKUP(B49,'DB PMI Manufacturing World'!$A:$AA,MATCH($O$1,'DB PMI Manufacturing World'!$A$1:$AA$1,),))=0,#N/A, (VLOOKUP(B49,'DB PMI Manufacturing World'!$A:$AA,MATCH($O$1,'DB PMI Manufacturing World'!$A$1:$AA$1,),)))</f>
        <v>40.4</v>
      </c>
      <c r="P49" s="37">
        <f>IF((VLOOKUP(B49,'DB PMI Manufacturing World'!$A:$AA,MATCH($P$1,'DB PMI Manufacturing World'!$A$1:$AA$1,),))=0,#N/A, (VLOOKUP(B49,'DB PMI Manufacturing World'!$A:$AA,MATCH($P$1,'DB PMI Manufacturing World'!$A$1:$AA$1,),)))</f>
        <v>48.4</v>
      </c>
      <c r="Q49" s="37">
        <f>IF((VLOOKUP(B49,'DB PMI Manufacturing World'!$A:$AA,MATCH($Q$1,'DB PMI Manufacturing World'!$A$1:$AA$1,),))=0,#N/A, (VLOOKUP(B49,'DB PMI Manufacturing World'!$A:$AA,MATCH($Q$1,'DB PMI Manufacturing World'!$A$1:$AA$1,),)))</f>
        <v>46</v>
      </c>
      <c r="R49" s="37">
        <f>IF((VLOOKUP(B49,'DB PMI Manufacturing World'!$A:$AA,MATCH($R$1,'DB PMI Manufacturing World'!$A$1:$AA$1,),))=0,#N/A, (VLOOKUP(B49,'DB PMI Manufacturing World'!$A:$AA,MATCH($R$1,'DB PMI Manufacturing World'!$A$1:$AA$1,),)))</f>
        <v>52.9</v>
      </c>
      <c r="S49" s="37">
        <f>IF((VLOOKUP(B49,'DB PMI Manufacturing World'!$A:$AA,MATCH($S$1,'DB PMI Manufacturing World'!$A$1:$AA$1,),))=0,#N/A, (VLOOKUP(B49,'DB PMI Manufacturing World'!$A:$AA,MATCH($S$1,'DB PMI Manufacturing World'!$A$1:$AA$1,),)))</f>
        <v>53.5</v>
      </c>
      <c r="T49" s="37">
        <f>IF((VLOOKUP(B49,'DB PMI Manufacturing World'!$A:$AA,MATCH($T$1,'DB PMI Manufacturing World'!$A$1:$AA$1,),))=0,#N/A, (VLOOKUP(B49,'DB PMI Manufacturing World'!$A:$AA,MATCH($T$1,'DB PMI Manufacturing World'!$A$1:$AA$1,),)))</f>
        <v>46.9</v>
      </c>
      <c r="U49" s="37">
        <f>IF((VLOOKUP(B49,'DB PMI Manufacturing World'!$A:$AA,MATCH($U$1,'DB PMI Manufacturing World'!$A$1:$AA$1,),))=0,#N/A, (VLOOKUP(B49,'DB PMI Manufacturing World'!$A:$AA,MATCH($U$1,'DB PMI Manufacturing World'!$A$1:$AA$1,),)))</f>
        <v>46.9</v>
      </c>
      <c r="V49" s="37">
        <f>IF((VLOOKUP(B49,'DB PMI Manufacturing World'!$A:$AA,MATCH($V$1,'DB PMI Manufacturing World'!$A$1:$AA$1,),))=0,#N/A, (VLOOKUP(B49,'DB PMI Manufacturing World'!$A:$AA,MATCH($V$1,'DB PMI Manufacturing World'!$A$1:$AA$1,),)))</f>
        <v>50.6</v>
      </c>
      <c r="W49" s="37">
        <f>IF((VLOOKUP(B49,'DB PMI Manufacturing World'!$A:$AA,MATCH($W$1,'DB PMI Manufacturing World'!$A$1:$AA$1,),))=0,#N/A, (VLOOKUP(B49,'DB PMI Manufacturing World'!$A:$AA,MATCH($W$1,'DB PMI Manufacturing World'!$A$1:$AA$1,),)))</f>
        <v>48.6</v>
      </c>
      <c r="X49" s="37">
        <f>IF((VLOOKUP(B49,'DB PMI Manufacturing World'!$A:$AA,MATCH($X$1,'DB PMI Manufacturing World'!$A$1:$AA$1,),))=0,#N/A, (VLOOKUP(B49,'DB PMI Manufacturing World'!$A:$AA,MATCH($X$1,'DB PMI Manufacturing World'!$A$1:$AA$1,),)))</f>
        <v>57.3</v>
      </c>
      <c r="Y49" s="37">
        <f>IF((VLOOKUP(B49,'DB PMI Manufacturing World'!$A:$AA,MATCH($Y$1,'DB PMI Manufacturing World'!$A$1:$AA$1,),))=0,#N/A, (VLOOKUP(B49,'DB PMI Manufacturing World'!$A:$AA,MATCH($Y$1,'DB PMI Manufacturing World'!$A$1:$AA$1,),)))</f>
        <v>56.9</v>
      </c>
      <c r="Z49" s="37">
        <f>IF((VLOOKUP(B49,'DB PMI Manufacturing World'!$A:$AA,MATCH($Z$1,'DB PMI Manufacturing World'!$A$1:$AA$1,),))=0,#N/A, (VLOOKUP(B49,'DB PMI Manufacturing World'!$A:$AA,MATCH($Z$1,'DB PMI Manufacturing World'!$A$1:$AA$1,),)))</f>
        <v>47</v>
      </c>
      <c r="AA49" s="37">
        <f>IF((VLOOKUP(B49,'DB PMI Manufacturing World'!$A:$AA,MATCH($AA$1,'DB PMI Manufacturing World'!$A$1:$AA$1,),))=0,#N/A, (VLOOKUP(B49,'DB PMI Manufacturing World'!$A:$AA,MATCH($AA$1,'DB PMI Manufacturing World'!$A$1:$AA$1,),)))</f>
        <v>52.8</v>
      </c>
      <c r="AB49" s="37">
        <f>IF((VLOOKUP(B49,'DB PMI Manufacturing World'!$A:$AA,MATCH($AB$1,'DB PMI Manufacturing World'!$A$1:$AA$1,),))=0,#N/A, (VLOOKUP(B49,'DB PMI Manufacturing World'!$A:$AA,MATCH($AB$1,'DB PMI Manufacturing World'!$A$1:$AA$1,),)))</f>
        <v>57.4</v>
      </c>
    </row>
    <row r="50" spans="2:28" s="56" customFormat="1" x14ac:dyDescent="0.35">
      <c r="B50" s="29">
        <v>44044</v>
      </c>
      <c r="C50" s="37">
        <f>IF((VLOOKUP(B50,'DB PMI Manufacturing World'!$A:$AA,MATCH($C$1,'DB PMI Manufacturing World'!$A$1:$AA$1,),))=0,#N/A, (VLOOKUP(B50,'DB PMI Manufacturing World'!$A:$AA,MATCH($C$1,'DB PMI Manufacturing World'!$A$1:$AA$1,),)))</f>
        <v>51.8</v>
      </c>
      <c r="D50" s="37">
        <f>IF((VLOOKUP(B50,'DB PMI Manufacturing World'!$A:$AA,MATCH($D$1,'DB PMI Manufacturing World'!$A$1:$AA$1,),))=0,#N/A, (VLOOKUP(B50,'DB PMI Manufacturing World'!$A:$AA,MATCH($D$1,'DB PMI Manufacturing World'!$A$1:$AA$1,),)))</f>
        <v>56</v>
      </c>
      <c r="E50" s="37">
        <f>IF((VLOOKUP(B50,'DB PMI Manufacturing World'!$A:$AA,MATCH($E$1,'DB PMI Manufacturing World'!$A$1:$AA$1,),))=0,#N/A, (VLOOKUP(B50,'DB PMI Manufacturing World'!$A:$AA,MATCH($E$1,'DB PMI Manufacturing World'!$A$1:$AA$1,),)))</f>
        <v>53.1</v>
      </c>
      <c r="F50" s="37">
        <f>IF((VLOOKUP(B50,'DB PMI Manufacturing World'!$A:$AA,MATCH($F$1,'DB PMI Manufacturing World'!$A$1:$AA$1,),))=0,#N/A, (VLOOKUP(B50,'DB PMI Manufacturing World'!$A:$AA,MATCH($F$1,'DB PMI Manufacturing World'!$A$1:$AA$1,),)))</f>
        <v>53.1</v>
      </c>
      <c r="G50" s="37">
        <f>IF((VLOOKUP(B50,'DB PMI Manufacturing World'!$A:$AA,MATCH($G$1,'DB PMI Manufacturing World'!$A$1:$AA$1,),))=0,#N/A, (VLOOKUP(B50,'DB PMI Manufacturing World'!$A:$AA,MATCH($G$1,'DB PMI Manufacturing World'!$A$1:$AA$1,),)))</f>
        <v>51.7</v>
      </c>
      <c r="H50" s="37">
        <f>IF((VLOOKUP(B50,'DB PMI Manufacturing World'!$A:$AA,MATCH($H$1,'DB PMI Manufacturing World'!$A$1:$AA$1,),))=0,#N/A, (VLOOKUP(B50,'DB PMI Manufacturing World'!$A:$AA,MATCH($H$1,'DB PMI Manufacturing World'!$A$1:$AA$1,),)))</f>
        <v>47.2</v>
      </c>
      <c r="I50" s="37">
        <f>IF((VLOOKUP(B50,'DB PMI Manufacturing World'!$A:$AA,MATCH($I$1,'DB PMI Manufacturing World'!$A$1:$AA$1,),))=0,#N/A, (VLOOKUP(B50,'DB PMI Manufacturing World'!$A:$AA,MATCH($I$1,'DB PMI Manufacturing World'!$A$1:$AA$1,),)))</f>
        <v>52.2</v>
      </c>
      <c r="J50" s="37">
        <f>IF((VLOOKUP(B50,'DB PMI Manufacturing World'!$A:$AA,MATCH($J$1,'DB PMI Manufacturing World'!$A$1:$AA$1,),))=0,#N/A, (VLOOKUP(B50,'DB PMI Manufacturing World'!$A:$AA,MATCH($J$1,'DB PMI Manufacturing World'!$A$1:$AA$1,),)))</f>
        <v>49.8</v>
      </c>
      <c r="K50" s="37">
        <f>IF((VLOOKUP(B50,'DB PMI Manufacturing World'!$A:$AA,MATCH($K$1,'DB PMI Manufacturing World'!$A$1:$AA$1,),))=0,#N/A, (VLOOKUP(B50,'DB PMI Manufacturing World'!$A:$AA,MATCH($K$1,'DB PMI Manufacturing World'!$A$1:$AA$1,),)))</f>
        <v>55.2</v>
      </c>
      <c r="L50" s="37">
        <f>IF((VLOOKUP(B50,'DB PMI Manufacturing World'!$A:$AA,MATCH($L$1,'DB PMI Manufacturing World'!$A$1:$AA$1,),))=0,#N/A, (VLOOKUP(B50,'DB PMI Manufacturing World'!$A:$AA,MATCH($L$1,'DB PMI Manufacturing World'!$A$1:$AA$1,),)))</f>
        <v>53.1</v>
      </c>
      <c r="M50" s="37">
        <f>IF((VLOOKUP(B50,'DB PMI Manufacturing World'!$A:$AA,MATCH($M$1,'DB PMI Manufacturing World'!$A$1:$AA$1,),))=0,#N/A, (VLOOKUP(B50,'DB PMI Manufacturing World'!$A:$AA,MATCH($M$1,'DB PMI Manufacturing World'!$A$1:$AA$1,),)))</f>
        <v>49.9</v>
      </c>
      <c r="N50" s="37">
        <f>IF((VLOOKUP(B50,'DB PMI Manufacturing World'!$A:$AA,MATCH($N$1,'DB PMI Manufacturing World'!$A$1:$AA$1,),))=0,#N/A, (VLOOKUP(B50,'DB PMI Manufacturing World'!$A:$AA,MATCH($N$1,'DB PMI Manufacturing World'!$A$1:$AA$1,),)))</f>
        <v>64.7</v>
      </c>
      <c r="O50" s="37">
        <f>IF((VLOOKUP(B50,'DB PMI Manufacturing World'!$A:$AA,MATCH($O$1,'DB PMI Manufacturing World'!$A$1:$AA$1,),))=0,#N/A, (VLOOKUP(B50,'DB PMI Manufacturing World'!$A:$AA,MATCH($O$1,'DB PMI Manufacturing World'!$A$1:$AA$1,),)))</f>
        <v>41.3</v>
      </c>
      <c r="P50" s="37">
        <f>IF((VLOOKUP(B50,'DB PMI Manufacturing World'!$A:$AA,MATCH($P$1,'DB PMI Manufacturing World'!$A$1:$AA$1,),))=0,#N/A, (VLOOKUP(B50,'DB PMI Manufacturing World'!$A:$AA,MATCH($P$1,'DB PMI Manufacturing World'!$A$1:$AA$1,),)))</f>
        <v>51.1</v>
      </c>
      <c r="Q50" s="37">
        <f>IF((VLOOKUP(B50,'DB PMI Manufacturing World'!$A:$AA,MATCH($Q$1,'DB PMI Manufacturing World'!$A$1:$AA$1,),))=0,#N/A, (VLOOKUP(B50,'DB PMI Manufacturing World'!$A:$AA,MATCH($Q$1,'DB PMI Manufacturing World'!$A$1:$AA$1,),)))</f>
        <v>52</v>
      </c>
      <c r="R50" s="37">
        <f>IF((VLOOKUP(B50,'DB PMI Manufacturing World'!$A:$AA,MATCH($R$1,'DB PMI Manufacturing World'!$A$1:$AA$1,),))=0,#N/A, (VLOOKUP(B50,'DB PMI Manufacturing World'!$A:$AA,MATCH($R$1,'DB PMI Manufacturing World'!$A$1:$AA$1,),)))</f>
        <v>55.1</v>
      </c>
      <c r="S50" s="37">
        <f>IF((VLOOKUP(B50,'DB PMI Manufacturing World'!$A:$AA,MATCH($S$1,'DB PMI Manufacturing World'!$A$1:$AA$1,),))=0,#N/A, (VLOOKUP(B50,'DB PMI Manufacturing World'!$A:$AA,MATCH($S$1,'DB PMI Manufacturing World'!$A$1:$AA$1,),)))</f>
        <v>49.3</v>
      </c>
      <c r="T50" s="37">
        <f>IF((VLOOKUP(B50,'DB PMI Manufacturing World'!$A:$AA,MATCH($T$1,'DB PMI Manufacturing World'!$A$1:$AA$1,),))=0,#N/A, (VLOOKUP(B50,'DB PMI Manufacturing World'!$A:$AA,MATCH($T$1,'DB PMI Manufacturing World'!$A$1:$AA$1,),)))</f>
        <v>50.8</v>
      </c>
      <c r="U50" s="37">
        <f>IF((VLOOKUP(B50,'DB PMI Manufacturing World'!$A:$AA,MATCH($U$1,'DB PMI Manufacturing World'!$A$1:$AA$1,),))=0,#N/A, (VLOOKUP(B50,'DB PMI Manufacturing World'!$A:$AA,MATCH($U$1,'DB PMI Manufacturing World'!$A$1:$AA$1,),)))</f>
        <v>48.5</v>
      </c>
      <c r="V50" s="37">
        <f>IF((VLOOKUP(B50,'DB PMI Manufacturing World'!$A:$AA,MATCH($V$1,'DB PMI Manufacturing World'!$A$1:$AA$1,),))=0,#N/A, (VLOOKUP(B50,'DB PMI Manufacturing World'!$A:$AA,MATCH($V$1,'DB PMI Manufacturing World'!$A$1:$AA$1,),)))</f>
        <v>52.2</v>
      </c>
      <c r="W50" s="37">
        <f>IF((VLOOKUP(B50,'DB PMI Manufacturing World'!$A:$AA,MATCH($W$1,'DB PMI Manufacturing World'!$A$1:$AA$1,),))=0,#N/A, (VLOOKUP(B50,'DB PMI Manufacturing World'!$A:$AA,MATCH($W$1,'DB PMI Manufacturing World'!$A$1:$AA$1,),)))</f>
        <v>49.4</v>
      </c>
      <c r="X50" s="37">
        <f>IF((VLOOKUP(B50,'DB PMI Manufacturing World'!$A:$AA,MATCH($X$1,'DB PMI Manufacturing World'!$A$1:$AA$1,),))=0,#N/A, (VLOOKUP(B50,'DB PMI Manufacturing World'!$A:$AA,MATCH($X$1,'DB PMI Manufacturing World'!$A$1:$AA$1,),)))</f>
        <v>52.3</v>
      </c>
      <c r="Y50" s="37">
        <f>IF((VLOOKUP(B50,'DB PMI Manufacturing World'!$A:$AA,MATCH($Y$1,'DB PMI Manufacturing World'!$A$1:$AA$1,),))=0,#N/A, (VLOOKUP(B50,'DB PMI Manufacturing World'!$A:$AA,MATCH($Y$1,'DB PMI Manufacturing World'!$A$1:$AA$1,),)))</f>
        <v>54.3</v>
      </c>
      <c r="Z50" s="37">
        <f>IF((VLOOKUP(B50,'DB PMI Manufacturing World'!$A:$AA,MATCH($Z$1,'DB PMI Manufacturing World'!$A$1:$AA$1,),))=0,#N/A, (VLOOKUP(B50,'DB PMI Manufacturing World'!$A:$AA,MATCH($Z$1,'DB PMI Manufacturing World'!$A$1:$AA$1,),)))</f>
        <v>49.1</v>
      </c>
      <c r="AA50" s="37">
        <f>IF((VLOOKUP(B50,'DB PMI Manufacturing World'!$A:$AA,MATCH($AA$1,'DB PMI Manufacturing World'!$A$1:$AA$1,),))=0,#N/A, (VLOOKUP(B50,'DB PMI Manufacturing World'!$A:$AA,MATCH($AA$1,'DB PMI Manufacturing World'!$A$1:$AA$1,),)))</f>
        <v>50.6</v>
      </c>
      <c r="AB50" s="37">
        <f>IF((VLOOKUP(B50,'DB PMI Manufacturing World'!$A:$AA,MATCH($AB$1,'DB PMI Manufacturing World'!$A$1:$AA$1,),))=0,#N/A, (VLOOKUP(B50,'DB PMI Manufacturing World'!$A:$AA,MATCH($AB$1,'DB PMI Manufacturing World'!$A$1:$AA$1,),)))</f>
        <v>52.3</v>
      </c>
    </row>
    <row r="51" spans="2:28" s="56" customFormat="1" x14ac:dyDescent="0.35">
      <c r="B51" s="29">
        <v>44075</v>
      </c>
      <c r="C51" s="37">
        <f>IF((VLOOKUP(B51,'DB PMI Manufacturing World'!$A:$AA,MATCH($C$1,'DB PMI Manufacturing World'!$A$1:$AA$1,),))=0,#N/A, (VLOOKUP(B51,'DB PMI Manufacturing World'!$A:$AA,MATCH($C$1,'DB PMI Manufacturing World'!$A$1:$AA$1,),)))</f>
        <v>52.4</v>
      </c>
      <c r="D51" s="37">
        <f>IF((VLOOKUP(B51,'DB PMI Manufacturing World'!$A:$AA,MATCH($D$1,'DB PMI Manufacturing World'!$A$1:$AA$1,),))=0,#N/A, (VLOOKUP(B51,'DB PMI Manufacturing World'!$A:$AA,MATCH($D$1,'DB PMI Manufacturing World'!$A$1:$AA$1,),)))</f>
        <v>57.8</v>
      </c>
      <c r="E51" s="37">
        <f>IF((VLOOKUP(B51,'DB PMI Manufacturing World'!$A:$AA,MATCH($E$1,'DB PMI Manufacturing World'!$A$1:$AA$1,),))=0,#N/A, (VLOOKUP(B51,'DB PMI Manufacturing World'!$A:$AA,MATCH($E$1,'DB PMI Manufacturing World'!$A$1:$AA$1,),)))</f>
        <v>53.2</v>
      </c>
      <c r="F51" s="37">
        <f>IF((VLOOKUP(B51,'DB PMI Manufacturing World'!$A:$AA,MATCH($F$1,'DB PMI Manufacturing World'!$A$1:$AA$1,),))=0,#N/A, (VLOOKUP(B51,'DB PMI Manufacturing World'!$A:$AA,MATCH($F$1,'DB PMI Manufacturing World'!$A$1:$AA$1,),)))</f>
        <v>53</v>
      </c>
      <c r="G51" s="37">
        <f>IF((VLOOKUP(B51,'DB PMI Manufacturing World'!$A:$AA,MATCH($G$1,'DB PMI Manufacturing World'!$A$1:$AA$1,),))=0,#N/A, (VLOOKUP(B51,'DB PMI Manufacturing World'!$A:$AA,MATCH($G$1,'DB PMI Manufacturing World'!$A$1:$AA$1,),)))</f>
        <v>53.7</v>
      </c>
      <c r="H51" s="37">
        <f>IF((VLOOKUP(B51,'DB PMI Manufacturing World'!$A:$AA,MATCH($H$1,'DB PMI Manufacturing World'!$A$1:$AA$1,),))=0,#N/A, (VLOOKUP(B51,'DB PMI Manufacturing World'!$A:$AA,MATCH($H$1,'DB PMI Manufacturing World'!$A$1:$AA$1,),)))</f>
        <v>47.7</v>
      </c>
      <c r="I51" s="37">
        <f>IF((VLOOKUP(B51,'DB PMI Manufacturing World'!$A:$AA,MATCH($I$1,'DB PMI Manufacturing World'!$A$1:$AA$1,),))=0,#N/A, (VLOOKUP(B51,'DB PMI Manufacturing World'!$A:$AA,MATCH($I$1,'DB PMI Manufacturing World'!$A$1:$AA$1,),)))</f>
        <v>56.4</v>
      </c>
      <c r="J51" s="37">
        <f>IF((VLOOKUP(B51,'DB PMI Manufacturing World'!$A:$AA,MATCH($J$1,'DB PMI Manufacturing World'!$A$1:$AA$1,),))=0,#N/A, (VLOOKUP(B51,'DB PMI Manufacturing World'!$A:$AA,MATCH($J$1,'DB PMI Manufacturing World'!$A$1:$AA$1,),)))</f>
        <v>51.2</v>
      </c>
      <c r="K51" s="37">
        <f>IF((VLOOKUP(B51,'DB PMI Manufacturing World'!$A:$AA,MATCH($K$1,'DB PMI Manufacturing World'!$A$1:$AA$1,),))=0,#N/A, (VLOOKUP(B51,'DB PMI Manufacturing World'!$A:$AA,MATCH($K$1,'DB PMI Manufacturing World'!$A$1:$AA$1,),)))</f>
        <v>54.1</v>
      </c>
      <c r="L51" s="37">
        <f>IF((VLOOKUP(B51,'DB PMI Manufacturing World'!$A:$AA,MATCH($L$1,'DB PMI Manufacturing World'!$A$1:$AA$1,),))=0,#N/A, (VLOOKUP(B51,'DB PMI Manufacturing World'!$A:$AA,MATCH($L$1,'DB PMI Manufacturing World'!$A$1:$AA$1,),)))</f>
        <v>53.2</v>
      </c>
      <c r="M51" s="37">
        <f>IF((VLOOKUP(B51,'DB PMI Manufacturing World'!$A:$AA,MATCH($M$1,'DB PMI Manufacturing World'!$A$1:$AA$1,),))=0,#N/A, (VLOOKUP(B51,'DB PMI Manufacturing World'!$A:$AA,MATCH($M$1,'DB PMI Manufacturing World'!$A$1:$AA$1,),)))</f>
        <v>50.8</v>
      </c>
      <c r="N51" s="37">
        <f>IF((VLOOKUP(B51,'DB PMI Manufacturing World'!$A:$AA,MATCH($N$1,'DB PMI Manufacturing World'!$A$1:$AA$1,),))=0,#N/A, (VLOOKUP(B51,'DB PMI Manufacturing World'!$A:$AA,MATCH($N$1,'DB PMI Manufacturing World'!$A$1:$AA$1,),)))</f>
        <v>64.900000000000006</v>
      </c>
      <c r="O51" s="37">
        <f>IF((VLOOKUP(B51,'DB PMI Manufacturing World'!$A:$AA,MATCH($O$1,'DB PMI Manufacturing World'!$A$1:$AA$1,),))=0,#N/A, (VLOOKUP(B51,'DB PMI Manufacturing World'!$A:$AA,MATCH($O$1,'DB PMI Manufacturing World'!$A$1:$AA$1,),)))</f>
        <v>42.1</v>
      </c>
      <c r="P51" s="37">
        <f>IF((VLOOKUP(B51,'DB PMI Manufacturing World'!$A:$AA,MATCH($P$1,'DB PMI Manufacturing World'!$A$1:$AA$1,),))=0,#N/A, (VLOOKUP(B51,'DB PMI Manufacturing World'!$A:$AA,MATCH($P$1,'DB PMI Manufacturing World'!$A$1:$AA$1,),)))</f>
        <v>48.9</v>
      </c>
      <c r="Q51" s="37">
        <f>IF((VLOOKUP(B51,'DB PMI Manufacturing World'!$A:$AA,MATCH($Q$1,'DB PMI Manufacturing World'!$A$1:$AA$1,),))=0,#N/A, (VLOOKUP(B51,'DB PMI Manufacturing World'!$A:$AA,MATCH($Q$1,'DB PMI Manufacturing World'!$A$1:$AA$1,),)))</f>
        <v>56.8</v>
      </c>
      <c r="R51" s="37">
        <f>IF((VLOOKUP(B51,'DB PMI Manufacturing World'!$A:$AA,MATCH($R$1,'DB PMI Manufacturing World'!$A$1:$AA$1,),))=0,#N/A, (VLOOKUP(B51,'DB PMI Manufacturing World'!$A:$AA,MATCH($R$1,'DB PMI Manufacturing World'!$A$1:$AA$1,),)))</f>
        <v>56</v>
      </c>
      <c r="S51" s="37">
        <f>IF((VLOOKUP(B51,'DB PMI Manufacturing World'!$A:$AA,MATCH($S$1,'DB PMI Manufacturing World'!$A$1:$AA$1,),))=0,#N/A, (VLOOKUP(B51,'DB PMI Manufacturing World'!$A:$AA,MATCH($S$1,'DB PMI Manufacturing World'!$A$1:$AA$1,),)))</f>
        <v>46.7</v>
      </c>
      <c r="T51" s="37">
        <f>IF((VLOOKUP(B51,'DB PMI Manufacturing World'!$A:$AA,MATCH($T$1,'DB PMI Manufacturing World'!$A$1:$AA$1,),))=0,#N/A, (VLOOKUP(B51,'DB PMI Manufacturing World'!$A:$AA,MATCH($T$1,'DB PMI Manufacturing World'!$A$1:$AA$1,),)))</f>
        <v>47.2</v>
      </c>
      <c r="U51" s="37">
        <f>IF((VLOOKUP(B51,'DB PMI Manufacturing World'!$A:$AA,MATCH($U$1,'DB PMI Manufacturing World'!$A$1:$AA$1,),))=0,#N/A, (VLOOKUP(B51,'DB PMI Manufacturing World'!$A:$AA,MATCH($U$1,'DB PMI Manufacturing World'!$A$1:$AA$1,),)))</f>
        <v>49.8</v>
      </c>
      <c r="V51" s="37">
        <f>IF((VLOOKUP(B51,'DB PMI Manufacturing World'!$A:$AA,MATCH($V$1,'DB PMI Manufacturing World'!$A$1:$AA$1,),))=0,#N/A, (VLOOKUP(B51,'DB PMI Manufacturing World'!$A:$AA,MATCH($V$1,'DB PMI Manufacturing World'!$A$1:$AA$1,),)))</f>
        <v>55.2</v>
      </c>
      <c r="W51" s="37">
        <f>IF((VLOOKUP(B51,'DB PMI Manufacturing World'!$A:$AA,MATCH($W$1,'DB PMI Manufacturing World'!$A$1:$AA$1,),))=0,#N/A, (VLOOKUP(B51,'DB PMI Manufacturing World'!$A:$AA,MATCH($W$1,'DB PMI Manufacturing World'!$A$1:$AA$1,),)))</f>
        <v>50</v>
      </c>
      <c r="X51" s="37">
        <f>IF((VLOOKUP(B51,'DB PMI Manufacturing World'!$A:$AA,MATCH($X$1,'DB PMI Manufacturing World'!$A$1:$AA$1,),))=0,#N/A, (VLOOKUP(B51,'DB PMI Manufacturing World'!$A:$AA,MATCH($X$1,'DB PMI Manufacturing World'!$A$1:$AA$1,),)))</f>
        <v>50</v>
      </c>
      <c r="Y51" s="37">
        <f>IF((VLOOKUP(B51,'DB PMI Manufacturing World'!$A:$AA,MATCH($Y$1,'DB PMI Manufacturing World'!$A$1:$AA$1,),))=0,#N/A, (VLOOKUP(B51,'DB PMI Manufacturing World'!$A:$AA,MATCH($Y$1,'DB PMI Manufacturing World'!$A$1:$AA$1,),)))</f>
        <v>52.8</v>
      </c>
      <c r="Z51" s="37">
        <f>IF((VLOOKUP(B51,'DB PMI Manufacturing World'!$A:$AA,MATCH($Z$1,'DB PMI Manufacturing World'!$A$1:$AA$1,),))=0,#N/A, (VLOOKUP(B51,'DB PMI Manufacturing World'!$A:$AA,MATCH($Z$1,'DB PMI Manufacturing World'!$A$1:$AA$1,),)))</f>
        <v>50.7</v>
      </c>
      <c r="AA51" s="37">
        <f>IF((VLOOKUP(B51,'DB PMI Manufacturing World'!$A:$AA,MATCH($AA$1,'DB PMI Manufacturing World'!$A$1:$AA$1,),))=0,#N/A, (VLOOKUP(B51,'DB PMI Manufacturing World'!$A:$AA,MATCH($AA$1,'DB PMI Manufacturing World'!$A$1:$AA$1,),)))</f>
        <v>50.8</v>
      </c>
      <c r="AB51" s="37">
        <f>IF((VLOOKUP(B51,'DB PMI Manufacturing World'!$A:$AA,MATCH($AB$1,'DB PMI Manufacturing World'!$A$1:$AA$1,),))=0,#N/A, (VLOOKUP(B51,'DB PMI Manufacturing World'!$A:$AA,MATCH($AB$1,'DB PMI Manufacturing World'!$A$1:$AA$1,),)))</f>
        <v>54.4</v>
      </c>
    </row>
    <row r="52" spans="2:28" s="56" customFormat="1" x14ac:dyDescent="0.35">
      <c r="B52" s="29">
        <v>44105</v>
      </c>
      <c r="C52" s="37">
        <f>IF((VLOOKUP(B52,'DB PMI Manufacturing World'!$A:$AA,MATCH($C$1,'DB PMI Manufacturing World'!$A$1:$AA$1,),))=0,#N/A, (VLOOKUP(B52,'DB PMI Manufacturing World'!$A:$AA,MATCH($C$1,'DB PMI Manufacturing World'!$A$1:$AA$1,),)))</f>
        <v>53</v>
      </c>
      <c r="D52" s="37">
        <f>IF((VLOOKUP(B52,'DB PMI Manufacturing World'!$A:$AA,MATCH($D$1,'DB PMI Manufacturing World'!$A$1:$AA$1,),))=0,#N/A, (VLOOKUP(B52,'DB PMI Manufacturing World'!$A:$AA,MATCH($D$1,'DB PMI Manufacturing World'!$A$1:$AA$1,),)))</f>
        <v>59.3</v>
      </c>
      <c r="E52" s="37">
        <f>IF((VLOOKUP(B52,'DB PMI Manufacturing World'!$A:$AA,MATCH($E$1,'DB PMI Manufacturing World'!$A$1:$AA$1,),))=0,#N/A, (VLOOKUP(B52,'DB PMI Manufacturing World'!$A:$AA,MATCH($E$1,'DB PMI Manufacturing World'!$A$1:$AA$1,),)))</f>
        <v>53.4</v>
      </c>
      <c r="F52" s="37">
        <f>IF((VLOOKUP(B52,'DB PMI Manufacturing World'!$A:$AA,MATCH($F$1,'DB PMI Manufacturing World'!$A$1:$AA$1,),))=0,#N/A, (VLOOKUP(B52,'DB PMI Manufacturing World'!$A:$AA,MATCH($F$1,'DB PMI Manufacturing World'!$A$1:$AA$1,),)))</f>
        <v>53.6</v>
      </c>
      <c r="G52" s="37">
        <f>IF((VLOOKUP(B52,'DB PMI Manufacturing World'!$A:$AA,MATCH($G$1,'DB PMI Manufacturing World'!$A$1:$AA$1,),))=0,#N/A, (VLOOKUP(B52,'DB PMI Manufacturing World'!$A:$AA,MATCH($G$1,'DB PMI Manufacturing World'!$A$1:$AA$1,),)))</f>
        <v>54.8</v>
      </c>
      <c r="H52" s="37">
        <f>IF((VLOOKUP(B52,'DB PMI Manufacturing World'!$A:$AA,MATCH($H$1,'DB PMI Manufacturing World'!$A$1:$AA$1,),))=0,#N/A, (VLOOKUP(B52,'DB PMI Manufacturing World'!$A:$AA,MATCH($H$1,'DB PMI Manufacturing World'!$A$1:$AA$1,),)))</f>
        <v>48.7</v>
      </c>
      <c r="I52" s="37">
        <f>IF((VLOOKUP(B52,'DB PMI Manufacturing World'!$A:$AA,MATCH($I$1,'DB PMI Manufacturing World'!$A$1:$AA$1,),))=0,#N/A, (VLOOKUP(B52,'DB PMI Manufacturing World'!$A:$AA,MATCH($I$1,'DB PMI Manufacturing World'!$A$1:$AA$1,),)))</f>
        <v>58.2</v>
      </c>
      <c r="J52" s="37">
        <f>IF((VLOOKUP(B52,'DB PMI Manufacturing World'!$A:$AA,MATCH($J$1,'DB PMI Manufacturing World'!$A$1:$AA$1,),))=0,#N/A, (VLOOKUP(B52,'DB PMI Manufacturing World'!$A:$AA,MATCH($J$1,'DB PMI Manufacturing World'!$A$1:$AA$1,),)))</f>
        <v>51.3</v>
      </c>
      <c r="K52" s="37">
        <f>IF((VLOOKUP(B52,'DB PMI Manufacturing World'!$A:$AA,MATCH($K$1,'DB PMI Manufacturing World'!$A$1:$AA$1,),))=0,#N/A, (VLOOKUP(B52,'DB PMI Manufacturing World'!$A:$AA,MATCH($K$1,'DB PMI Manufacturing World'!$A$1:$AA$1,),)))</f>
        <v>53.7</v>
      </c>
      <c r="L52" s="37">
        <f>IF((VLOOKUP(B52,'DB PMI Manufacturing World'!$A:$AA,MATCH($L$1,'DB PMI Manufacturing World'!$A$1:$AA$1,),))=0,#N/A, (VLOOKUP(B52,'DB PMI Manufacturing World'!$A:$AA,MATCH($L$1,'DB PMI Manufacturing World'!$A$1:$AA$1,),)))</f>
        <v>53.8</v>
      </c>
      <c r="M52" s="37">
        <f>IF((VLOOKUP(B52,'DB PMI Manufacturing World'!$A:$AA,MATCH($M$1,'DB PMI Manufacturing World'!$A$1:$AA$1,),))=0,#N/A, (VLOOKUP(B52,'DB PMI Manufacturing World'!$A:$AA,MATCH($M$1,'DB PMI Manufacturing World'!$A$1:$AA$1,),)))</f>
        <v>52.5</v>
      </c>
      <c r="N52" s="37">
        <f>IF((VLOOKUP(B52,'DB PMI Manufacturing World'!$A:$AA,MATCH($N$1,'DB PMI Manufacturing World'!$A$1:$AA$1,),))=0,#N/A, (VLOOKUP(B52,'DB PMI Manufacturing World'!$A:$AA,MATCH($N$1,'DB PMI Manufacturing World'!$A$1:$AA$1,),)))</f>
        <v>66.7</v>
      </c>
      <c r="O52" s="37">
        <f>IF((VLOOKUP(B52,'DB PMI Manufacturing World'!$A:$AA,MATCH($O$1,'DB PMI Manufacturing World'!$A$1:$AA$1,),))=0,#N/A, (VLOOKUP(B52,'DB PMI Manufacturing World'!$A:$AA,MATCH($O$1,'DB PMI Manufacturing World'!$A$1:$AA$1,),)))</f>
        <v>43.6</v>
      </c>
      <c r="P52" s="37">
        <f>IF((VLOOKUP(B52,'DB PMI Manufacturing World'!$A:$AA,MATCH($P$1,'DB PMI Manufacturing World'!$A$1:$AA$1,),))=0,#N/A, (VLOOKUP(B52,'DB PMI Manufacturing World'!$A:$AA,MATCH($P$1,'DB PMI Manufacturing World'!$A$1:$AA$1,),)))</f>
        <v>46.9</v>
      </c>
      <c r="Q52" s="37">
        <f>IF((VLOOKUP(B52,'DB PMI Manufacturing World'!$A:$AA,MATCH($Q$1,'DB PMI Manufacturing World'!$A$1:$AA$1,),))=0,#N/A, (VLOOKUP(B52,'DB PMI Manufacturing World'!$A:$AA,MATCH($Q$1,'DB PMI Manufacturing World'!$A$1:$AA$1,),)))</f>
        <v>58.9</v>
      </c>
      <c r="R52" s="37">
        <f>IF((VLOOKUP(B52,'DB PMI Manufacturing World'!$A:$AA,MATCH($R$1,'DB PMI Manufacturing World'!$A$1:$AA$1,),))=0,#N/A, (VLOOKUP(B52,'DB PMI Manufacturing World'!$A:$AA,MATCH($R$1,'DB PMI Manufacturing World'!$A$1:$AA$1,),)))</f>
        <v>55.5</v>
      </c>
      <c r="S52" s="37">
        <f>IF((VLOOKUP(B52,'DB PMI Manufacturing World'!$A:$AA,MATCH($S$1,'DB PMI Manufacturing World'!$A$1:$AA$1,),))=0,#N/A, (VLOOKUP(B52,'DB PMI Manufacturing World'!$A:$AA,MATCH($S$1,'DB PMI Manufacturing World'!$A$1:$AA$1,),)))</f>
        <v>56.3</v>
      </c>
      <c r="T52" s="37">
        <f>IF((VLOOKUP(B52,'DB PMI Manufacturing World'!$A:$AA,MATCH($T$1,'DB PMI Manufacturing World'!$A$1:$AA$1,),))=0,#N/A, (VLOOKUP(B52,'DB PMI Manufacturing World'!$A:$AA,MATCH($T$1,'DB PMI Manufacturing World'!$A$1:$AA$1,),)))</f>
        <v>47.8</v>
      </c>
      <c r="U52" s="37">
        <f>IF((VLOOKUP(B52,'DB PMI Manufacturing World'!$A:$AA,MATCH($U$1,'DB PMI Manufacturing World'!$A$1:$AA$1,),))=0,#N/A, (VLOOKUP(B52,'DB PMI Manufacturing World'!$A:$AA,MATCH($U$1,'DB PMI Manufacturing World'!$A$1:$AA$1,),)))</f>
        <v>51.2</v>
      </c>
      <c r="V52" s="37">
        <f>IF((VLOOKUP(B52,'DB PMI Manufacturing World'!$A:$AA,MATCH($V$1,'DB PMI Manufacturing World'!$A$1:$AA$1,),))=0,#N/A, (VLOOKUP(B52,'DB PMI Manufacturing World'!$A:$AA,MATCH($V$1,'DB PMI Manufacturing World'!$A$1:$AA$1,),)))</f>
        <v>55.1</v>
      </c>
      <c r="W52" s="37">
        <f>IF((VLOOKUP(B52,'DB PMI Manufacturing World'!$A:$AA,MATCH($W$1,'DB PMI Manufacturing World'!$A$1:$AA$1,),))=0,#N/A, (VLOOKUP(B52,'DB PMI Manufacturing World'!$A:$AA,MATCH($W$1,'DB PMI Manufacturing World'!$A$1:$AA$1,),)))</f>
        <v>48.7</v>
      </c>
      <c r="X52" s="37">
        <f>IF((VLOOKUP(B52,'DB PMI Manufacturing World'!$A:$AA,MATCH($X$1,'DB PMI Manufacturing World'!$A$1:$AA$1,),))=0,#N/A, (VLOOKUP(B52,'DB PMI Manufacturing World'!$A:$AA,MATCH($X$1,'DB PMI Manufacturing World'!$A$1:$AA$1,),)))</f>
        <v>50.3</v>
      </c>
      <c r="Y52" s="37">
        <f>IF((VLOOKUP(B52,'DB PMI Manufacturing World'!$A:$AA,MATCH($Y$1,'DB PMI Manufacturing World'!$A$1:$AA$1,),))=0,#N/A, (VLOOKUP(B52,'DB PMI Manufacturing World'!$A:$AA,MATCH($Y$1,'DB PMI Manufacturing World'!$A$1:$AA$1,),)))</f>
        <v>53.9</v>
      </c>
      <c r="Z52" s="37">
        <f>IF((VLOOKUP(B52,'DB PMI Manufacturing World'!$A:$AA,MATCH($Z$1,'DB PMI Manufacturing World'!$A$1:$AA$1,),))=0,#N/A, (VLOOKUP(B52,'DB PMI Manufacturing World'!$A:$AA,MATCH($Z$1,'DB PMI Manufacturing World'!$A$1:$AA$1,),)))</f>
        <v>51.9</v>
      </c>
      <c r="AA52" s="37">
        <f>IF((VLOOKUP(B52,'DB PMI Manufacturing World'!$A:$AA,MATCH($AA$1,'DB PMI Manufacturing World'!$A$1:$AA$1,),))=0,#N/A, (VLOOKUP(B52,'DB PMI Manufacturing World'!$A:$AA,MATCH($AA$1,'DB PMI Manufacturing World'!$A$1:$AA$1,),)))</f>
        <v>50.8</v>
      </c>
      <c r="AB52" s="37">
        <f>IF((VLOOKUP(B52,'DB PMI Manufacturing World'!$A:$AA,MATCH($AB$1,'DB PMI Manufacturing World'!$A$1:$AA$1,),))=0,#N/A, (VLOOKUP(B52,'DB PMI Manufacturing World'!$A:$AA,MATCH($AB$1,'DB PMI Manufacturing World'!$A$1:$AA$1,),)))</f>
        <v>61.8</v>
      </c>
    </row>
    <row r="53" spans="2:28" s="56" customFormat="1" x14ac:dyDescent="0.35">
      <c r="B53" s="29">
        <v>44136</v>
      </c>
      <c r="C53" s="37">
        <f>IF((VLOOKUP(B53,'DB PMI Manufacturing World'!$A:$AA,MATCH($C$1,'DB PMI Manufacturing World'!$A$1:$AA$1,),))=0,#N/A, (VLOOKUP(B53,'DB PMI Manufacturing World'!$A:$AA,MATCH($C$1,'DB PMI Manufacturing World'!$A$1:$AA$1,),)))</f>
        <v>53.8</v>
      </c>
      <c r="D53" s="37">
        <f>IF((VLOOKUP(B53,'DB PMI Manufacturing World'!$A:$AA,MATCH($D$1,'DB PMI Manufacturing World'!$A$1:$AA$1,),))=0,#N/A, (VLOOKUP(B53,'DB PMI Manufacturing World'!$A:$AA,MATCH($D$1,'DB PMI Manufacturing World'!$A$1:$AA$1,),)))</f>
        <v>57.5</v>
      </c>
      <c r="E53" s="37">
        <f>IF((VLOOKUP(B53,'DB PMI Manufacturing World'!$A:$AA,MATCH($E$1,'DB PMI Manufacturing World'!$A$1:$AA$1,),))=0,#N/A, (VLOOKUP(B53,'DB PMI Manufacturing World'!$A:$AA,MATCH($E$1,'DB PMI Manufacturing World'!$A$1:$AA$1,),)))</f>
        <v>56.7</v>
      </c>
      <c r="F53" s="37">
        <f>IF((VLOOKUP(B53,'DB PMI Manufacturing World'!$A:$AA,MATCH($F$1,'DB PMI Manufacturing World'!$A$1:$AA$1,),))=0,#N/A, (VLOOKUP(B53,'DB PMI Manufacturing World'!$A:$AA,MATCH($F$1,'DB PMI Manufacturing World'!$A$1:$AA$1,),)))</f>
        <v>54.9</v>
      </c>
      <c r="G53" s="37">
        <f>IF((VLOOKUP(B53,'DB PMI Manufacturing World'!$A:$AA,MATCH($G$1,'DB PMI Manufacturing World'!$A$1:$AA$1,),))=0,#N/A, (VLOOKUP(B53,'DB PMI Manufacturing World'!$A:$AA,MATCH($G$1,'DB PMI Manufacturing World'!$A$1:$AA$1,),)))</f>
        <v>53.8</v>
      </c>
      <c r="H53" s="37">
        <f>IF((VLOOKUP(B53,'DB PMI Manufacturing World'!$A:$AA,MATCH($H$1,'DB PMI Manufacturing World'!$A$1:$AA$1,),))=0,#N/A, (VLOOKUP(B53,'DB PMI Manufacturing World'!$A:$AA,MATCH($H$1,'DB PMI Manufacturing World'!$A$1:$AA$1,),)))</f>
        <v>49</v>
      </c>
      <c r="I53" s="37">
        <f>IF((VLOOKUP(B53,'DB PMI Manufacturing World'!$A:$AA,MATCH($I$1,'DB PMI Manufacturing World'!$A$1:$AA$1,),))=0,#N/A, (VLOOKUP(B53,'DB PMI Manufacturing World'!$A:$AA,MATCH($I$1,'DB PMI Manufacturing World'!$A$1:$AA$1,),)))</f>
        <v>57.8</v>
      </c>
      <c r="J53" s="37">
        <f>IF((VLOOKUP(B53,'DB PMI Manufacturing World'!$A:$AA,MATCH($J$1,'DB PMI Manufacturing World'!$A$1:$AA$1,),))=0,#N/A, (VLOOKUP(B53,'DB PMI Manufacturing World'!$A:$AA,MATCH($J$1,'DB PMI Manufacturing World'!$A$1:$AA$1,),)))</f>
        <v>49.6</v>
      </c>
      <c r="K53" s="37">
        <f>IF((VLOOKUP(B53,'DB PMI Manufacturing World'!$A:$AA,MATCH($K$1,'DB PMI Manufacturing World'!$A$1:$AA$1,),))=0,#N/A, (VLOOKUP(B53,'DB PMI Manufacturing World'!$A:$AA,MATCH($K$1,'DB PMI Manufacturing World'!$A$1:$AA$1,),)))</f>
        <v>55.6</v>
      </c>
      <c r="L53" s="37">
        <f>IF((VLOOKUP(B53,'DB PMI Manufacturing World'!$A:$AA,MATCH($L$1,'DB PMI Manufacturing World'!$A$1:$AA$1,),))=0,#N/A, (VLOOKUP(B53,'DB PMI Manufacturing World'!$A:$AA,MATCH($L$1,'DB PMI Manufacturing World'!$A$1:$AA$1,),)))</f>
        <v>51.5</v>
      </c>
      <c r="M53" s="37">
        <f>IF((VLOOKUP(B53,'DB PMI Manufacturing World'!$A:$AA,MATCH($M$1,'DB PMI Manufacturing World'!$A$1:$AA$1,),))=0,#N/A, (VLOOKUP(B53,'DB PMI Manufacturing World'!$A:$AA,MATCH($M$1,'DB PMI Manufacturing World'!$A$1:$AA$1,),)))</f>
        <v>49.8</v>
      </c>
      <c r="N53" s="37">
        <f>IF((VLOOKUP(B53,'DB PMI Manufacturing World'!$A:$AA,MATCH($N$1,'DB PMI Manufacturing World'!$A$1:$AA$1,),))=0,#N/A, (VLOOKUP(B53,'DB PMI Manufacturing World'!$A:$AA,MATCH($N$1,'DB PMI Manufacturing World'!$A$1:$AA$1,),)))</f>
        <v>64</v>
      </c>
      <c r="O53" s="37">
        <f>IF((VLOOKUP(B53,'DB PMI Manufacturing World'!$A:$AA,MATCH($O$1,'DB PMI Manufacturing World'!$A$1:$AA$1,),))=0,#N/A, (VLOOKUP(B53,'DB PMI Manufacturing World'!$A:$AA,MATCH($O$1,'DB PMI Manufacturing World'!$A$1:$AA$1,),)))</f>
        <v>43.7</v>
      </c>
      <c r="P53" s="37">
        <f>IF((VLOOKUP(B53,'DB PMI Manufacturing World'!$A:$AA,MATCH($P$1,'DB PMI Manufacturing World'!$A$1:$AA$1,),))=0,#N/A, (VLOOKUP(B53,'DB PMI Manufacturing World'!$A:$AA,MATCH($P$1,'DB PMI Manufacturing World'!$A$1:$AA$1,),)))</f>
        <v>46.3</v>
      </c>
      <c r="Q53" s="37">
        <f>IF((VLOOKUP(B53,'DB PMI Manufacturing World'!$A:$AA,MATCH($Q$1,'DB PMI Manufacturing World'!$A$1:$AA$1,),))=0,#N/A, (VLOOKUP(B53,'DB PMI Manufacturing World'!$A:$AA,MATCH($Q$1,'DB PMI Manufacturing World'!$A$1:$AA$1,),)))</f>
        <v>56.3</v>
      </c>
      <c r="R53" s="37">
        <f>IF((VLOOKUP(B53,'DB PMI Manufacturing World'!$A:$AA,MATCH($R$1,'DB PMI Manufacturing World'!$A$1:$AA$1,),))=0,#N/A, (VLOOKUP(B53,'DB PMI Manufacturing World'!$A:$AA,MATCH($R$1,'DB PMI Manufacturing World'!$A$1:$AA$1,),)))</f>
        <v>55.8</v>
      </c>
      <c r="S53" s="37">
        <f>IF((VLOOKUP(B53,'DB PMI Manufacturing World'!$A:$AA,MATCH($S$1,'DB PMI Manufacturing World'!$A$1:$AA$1,),))=0,#N/A, (VLOOKUP(B53,'DB PMI Manufacturing World'!$A:$AA,MATCH($S$1,'DB PMI Manufacturing World'!$A$1:$AA$1,),)))</f>
        <v>52.1</v>
      </c>
      <c r="T53" s="37">
        <f>IF((VLOOKUP(B53,'DB PMI Manufacturing World'!$A:$AA,MATCH($T$1,'DB PMI Manufacturing World'!$A$1:$AA$1,),))=0,#N/A, (VLOOKUP(B53,'DB PMI Manufacturing World'!$A:$AA,MATCH($T$1,'DB PMI Manufacturing World'!$A$1:$AA$1,),)))</f>
        <v>50.6</v>
      </c>
      <c r="U53" s="37">
        <f>IF((VLOOKUP(B53,'DB PMI Manufacturing World'!$A:$AA,MATCH($U$1,'DB PMI Manufacturing World'!$A$1:$AA$1,),))=0,#N/A, (VLOOKUP(B53,'DB PMI Manufacturing World'!$A:$AA,MATCH($U$1,'DB PMI Manufacturing World'!$A$1:$AA$1,),)))</f>
        <v>52.9</v>
      </c>
      <c r="V53" s="37">
        <f>IF((VLOOKUP(B53,'DB PMI Manufacturing World'!$A:$AA,MATCH($V$1,'DB PMI Manufacturing World'!$A$1:$AA$1,),))=0,#N/A, (VLOOKUP(B53,'DB PMI Manufacturing World'!$A:$AA,MATCH($V$1,'DB PMI Manufacturing World'!$A$1:$AA$1,),)))</f>
        <v>56.9</v>
      </c>
      <c r="W53" s="37">
        <f>IF((VLOOKUP(B53,'DB PMI Manufacturing World'!$A:$AA,MATCH($W$1,'DB PMI Manufacturing World'!$A$1:$AA$1,),))=0,#N/A, (VLOOKUP(B53,'DB PMI Manufacturing World'!$A:$AA,MATCH($W$1,'DB PMI Manufacturing World'!$A$1:$AA$1,),)))</f>
        <v>42.3</v>
      </c>
      <c r="X53" s="37">
        <f>IF((VLOOKUP(B53,'DB PMI Manufacturing World'!$A:$AA,MATCH($X$1,'DB PMI Manufacturing World'!$A$1:$AA$1,),))=0,#N/A, (VLOOKUP(B53,'DB PMI Manufacturing World'!$A:$AA,MATCH($X$1,'DB PMI Manufacturing World'!$A$1:$AA$1,),)))</f>
        <v>52.2</v>
      </c>
      <c r="Y53" s="37">
        <f>IF((VLOOKUP(B53,'DB PMI Manufacturing World'!$A:$AA,MATCH($Y$1,'DB PMI Manufacturing World'!$A$1:$AA$1,),))=0,#N/A, (VLOOKUP(B53,'DB PMI Manufacturing World'!$A:$AA,MATCH($Y$1,'DB PMI Manufacturing World'!$A$1:$AA$1,),)))</f>
        <v>51.4</v>
      </c>
      <c r="Z53" s="37">
        <f>IF((VLOOKUP(B53,'DB PMI Manufacturing World'!$A:$AA,MATCH($Z$1,'DB PMI Manufacturing World'!$A$1:$AA$1,),))=0,#N/A, (VLOOKUP(B53,'DB PMI Manufacturing World'!$A:$AA,MATCH($Z$1,'DB PMI Manufacturing World'!$A$1:$AA$1,),)))</f>
        <v>53.9</v>
      </c>
      <c r="AA53" s="37">
        <f>IF((VLOOKUP(B53,'DB PMI Manufacturing World'!$A:$AA,MATCH($AA$1,'DB PMI Manufacturing World'!$A$1:$AA$1,),))=0,#N/A, (VLOOKUP(B53,'DB PMI Manufacturing World'!$A:$AA,MATCH($AA$1,'DB PMI Manufacturing World'!$A$1:$AA$1,),)))</f>
        <v>50.8</v>
      </c>
      <c r="AB53" s="37">
        <f>IF((VLOOKUP(B53,'DB PMI Manufacturing World'!$A:$AA,MATCH($AB$1,'DB PMI Manufacturing World'!$A$1:$AA$1,),))=0,#N/A, (VLOOKUP(B53,'DB PMI Manufacturing World'!$A:$AA,MATCH($AB$1,'DB PMI Manufacturing World'!$A$1:$AA$1,),)))</f>
        <v>47.7</v>
      </c>
    </row>
    <row r="54" spans="2:28" s="56" customFormat="1" x14ac:dyDescent="0.35">
      <c r="B54" s="29">
        <v>44166</v>
      </c>
      <c r="C54" s="37">
        <f>IF((VLOOKUP(B54,'DB PMI Manufacturing World'!$A:$AA,MATCH($C$1,'DB PMI Manufacturing World'!$A$1:$AA$1,),))=0,#N/A, (VLOOKUP(B54,'DB PMI Manufacturing World'!$A:$AA,MATCH($C$1,'DB PMI Manufacturing World'!$A$1:$AA$1,),)))</f>
        <v>53.8</v>
      </c>
      <c r="D54" s="37">
        <f>IF((VLOOKUP(B54,'DB PMI Manufacturing World'!$A:$AA,MATCH($D$1,'DB PMI Manufacturing World'!$A$1:$AA$1,),))=0,#N/A, (VLOOKUP(B54,'DB PMI Manufacturing World'!$A:$AA,MATCH($D$1,'DB PMI Manufacturing World'!$A$1:$AA$1,),)))</f>
        <v>60.5</v>
      </c>
      <c r="E54" s="37">
        <f>IF((VLOOKUP(B54,'DB PMI Manufacturing World'!$A:$AA,MATCH($E$1,'DB PMI Manufacturing World'!$A$1:$AA$1,),))=0,#N/A, (VLOOKUP(B54,'DB PMI Manufacturing World'!$A:$AA,MATCH($E$1,'DB PMI Manufacturing World'!$A$1:$AA$1,),)))</f>
        <v>57.1</v>
      </c>
      <c r="F54" s="37">
        <f>IF((VLOOKUP(B54,'DB PMI Manufacturing World'!$A:$AA,MATCH($F$1,'DB PMI Manufacturing World'!$A$1:$AA$1,),))=0,#N/A, (VLOOKUP(B54,'DB PMI Manufacturing World'!$A:$AA,MATCH($F$1,'DB PMI Manufacturing World'!$A$1:$AA$1,),)))</f>
        <v>53</v>
      </c>
      <c r="G54" s="37">
        <f>IF((VLOOKUP(B54,'DB PMI Manufacturing World'!$A:$AA,MATCH($G$1,'DB PMI Manufacturing World'!$A$1:$AA$1,),))=0,#N/A, (VLOOKUP(B54,'DB PMI Manufacturing World'!$A:$AA,MATCH($G$1,'DB PMI Manufacturing World'!$A$1:$AA$1,),)))</f>
        <v>55.2</v>
      </c>
      <c r="H54" s="37">
        <f>IF((VLOOKUP(B54,'DB PMI Manufacturing World'!$A:$AA,MATCH($H$1,'DB PMI Manufacturing World'!$A$1:$AA$1,),))=0,#N/A, (VLOOKUP(B54,'DB PMI Manufacturing World'!$A:$AA,MATCH($H$1,'DB PMI Manufacturing World'!$A$1:$AA$1,),)))</f>
        <v>50</v>
      </c>
      <c r="I54" s="37">
        <f>IF((VLOOKUP(B54,'DB PMI Manufacturing World'!$A:$AA,MATCH($I$1,'DB PMI Manufacturing World'!$A$1:$AA$1,),))=0,#N/A, (VLOOKUP(B54,'DB PMI Manufacturing World'!$A:$AA,MATCH($I$1,'DB PMI Manufacturing World'!$A$1:$AA$1,),)))</f>
        <v>58.3</v>
      </c>
      <c r="J54" s="37">
        <f>IF((VLOOKUP(B54,'DB PMI Manufacturing World'!$A:$AA,MATCH($J$1,'DB PMI Manufacturing World'!$A$1:$AA$1,),))=0,#N/A, (VLOOKUP(B54,'DB PMI Manufacturing World'!$A:$AA,MATCH($J$1,'DB PMI Manufacturing World'!$A$1:$AA$1,),)))</f>
        <v>51.1</v>
      </c>
      <c r="K54" s="37">
        <f>IF((VLOOKUP(B54,'DB PMI Manufacturing World'!$A:$AA,MATCH($K$1,'DB PMI Manufacturing World'!$A$1:$AA$1,),))=0,#N/A, (VLOOKUP(B54,'DB PMI Manufacturing World'!$A:$AA,MATCH($K$1,'DB PMI Manufacturing World'!$A$1:$AA$1,),)))</f>
        <v>57.5</v>
      </c>
      <c r="L54" s="37">
        <f>IF((VLOOKUP(B54,'DB PMI Manufacturing World'!$A:$AA,MATCH($L$1,'DB PMI Manufacturing World'!$A$1:$AA$1,),))=0,#N/A, (VLOOKUP(B54,'DB PMI Manufacturing World'!$A:$AA,MATCH($L$1,'DB PMI Manufacturing World'!$A$1:$AA$1,),)))</f>
        <v>52.8</v>
      </c>
      <c r="M54" s="37">
        <f>IF((VLOOKUP(B54,'DB PMI Manufacturing World'!$A:$AA,MATCH($M$1,'DB PMI Manufacturing World'!$A$1:$AA$1,),))=0,#N/A, (VLOOKUP(B54,'DB PMI Manufacturing World'!$A:$AA,MATCH($M$1,'DB PMI Manufacturing World'!$A$1:$AA$1,),)))</f>
        <v>51</v>
      </c>
      <c r="N54" s="37">
        <f>IF((VLOOKUP(B54,'DB PMI Manufacturing World'!$A:$AA,MATCH($N$1,'DB PMI Manufacturing World'!$A$1:$AA$1,),))=0,#N/A, (VLOOKUP(B54,'DB PMI Manufacturing World'!$A:$AA,MATCH($N$1,'DB PMI Manufacturing World'!$A$1:$AA$1,),)))</f>
        <v>61.5</v>
      </c>
      <c r="O54" s="37">
        <f>IF((VLOOKUP(B54,'DB PMI Manufacturing World'!$A:$AA,MATCH($O$1,'DB PMI Manufacturing World'!$A$1:$AA$1,),))=0,#N/A, (VLOOKUP(B54,'DB PMI Manufacturing World'!$A:$AA,MATCH($O$1,'DB PMI Manufacturing World'!$A$1:$AA$1,),)))</f>
        <v>42.4</v>
      </c>
      <c r="P54" s="37">
        <f>IF((VLOOKUP(B54,'DB PMI Manufacturing World'!$A:$AA,MATCH($P$1,'DB PMI Manufacturing World'!$A$1:$AA$1,),))=0,#N/A, (VLOOKUP(B54,'DB PMI Manufacturing World'!$A:$AA,MATCH($P$1,'DB PMI Manufacturing World'!$A$1:$AA$1,),)))</f>
        <v>49.7</v>
      </c>
      <c r="Q54" s="37">
        <f>IF((VLOOKUP(B54,'DB PMI Manufacturing World'!$A:$AA,MATCH($Q$1,'DB PMI Manufacturing World'!$A$1:$AA$1,),))=0,#N/A, (VLOOKUP(B54,'DB PMI Manufacturing World'!$A:$AA,MATCH($Q$1,'DB PMI Manufacturing World'!$A$1:$AA$1,),)))</f>
        <v>56.4</v>
      </c>
      <c r="R54" s="37">
        <f>IF((VLOOKUP(B54,'DB PMI Manufacturing World'!$A:$AA,MATCH($R$1,'DB PMI Manufacturing World'!$A$1:$AA$1,),))=0,#N/A, (VLOOKUP(B54,'DB PMI Manufacturing World'!$A:$AA,MATCH($R$1,'DB PMI Manufacturing World'!$A$1:$AA$1,),)))</f>
        <v>57.9</v>
      </c>
      <c r="S54" s="37">
        <f>IF((VLOOKUP(B54,'DB PMI Manufacturing World'!$A:$AA,MATCH($S$1,'DB PMI Manufacturing World'!$A$1:$AA$1,),))=0,#N/A, (VLOOKUP(B54,'DB PMI Manufacturing World'!$A:$AA,MATCH($S$1,'DB PMI Manufacturing World'!$A$1:$AA$1,),)))</f>
        <v>55.3</v>
      </c>
      <c r="T54" s="37">
        <f>IF((VLOOKUP(B54,'DB PMI Manufacturing World'!$A:$AA,MATCH($T$1,'DB PMI Manufacturing World'!$A$1:$AA$1,),))=0,#N/A, (VLOOKUP(B54,'DB PMI Manufacturing World'!$A:$AA,MATCH($T$1,'DB PMI Manufacturing World'!$A$1:$AA$1,),)))</f>
        <v>51.3</v>
      </c>
      <c r="U54" s="37">
        <f>IF((VLOOKUP(B54,'DB PMI Manufacturing World'!$A:$AA,MATCH($U$1,'DB PMI Manufacturing World'!$A$1:$AA$1,),))=0,#N/A, (VLOOKUP(B54,'DB PMI Manufacturing World'!$A:$AA,MATCH($U$1,'DB PMI Manufacturing World'!$A$1:$AA$1,),)))</f>
        <v>52.9</v>
      </c>
      <c r="V54" s="37">
        <f>IF((VLOOKUP(B54,'DB PMI Manufacturing World'!$A:$AA,MATCH($V$1,'DB PMI Manufacturing World'!$A$1:$AA$1,),))=0,#N/A, (VLOOKUP(B54,'DB PMI Manufacturing World'!$A:$AA,MATCH($V$1,'DB PMI Manufacturing World'!$A$1:$AA$1,),)))</f>
        <v>59.4</v>
      </c>
      <c r="W54" s="37">
        <f>IF((VLOOKUP(B54,'DB PMI Manufacturing World'!$A:$AA,MATCH($W$1,'DB PMI Manufacturing World'!$A$1:$AA$1,),))=0,#N/A, (VLOOKUP(B54,'DB PMI Manufacturing World'!$A:$AA,MATCH($W$1,'DB PMI Manufacturing World'!$A$1:$AA$1,),)))</f>
        <v>46.9</v>
      </c>
      <c r="X54" s="37">
        <f>IF((VLOOKUP(B54,'DB PMI Manufacturing World'!$A:$AA,MATCH($X$1,'DB PMI Manufacturing World'!$A$1:$AA$1,),))=0,#N/A, (VLOOKUP(B54,'DB PMI Manufacturing World'!$A:$AA,MATCH($X$1,'DB PMI Manufacturing World'!$A$1:$AA$1,),)))</f>
        <v>57.2</v>
      </c>
      <c r="Y54" s="37">
        <f>IF((VLOOKUP(B54,'DB PMI Manufacturing World'!$A:$AA,MATCH($Y$1,'DB PMI Manufacturing World'!$A$1:$AA$1,),))=0,#N/A, (VLOOKUP(B54,'DB PMI Manufacturing World'!$A:$AA,MATCH($Y$1,'DB PMI Manufacturing World'!$A$1:$AA$1,),)))</f>
        <v>50.8</v>
      </c>
      <c r="Z54" s="37">
        <f>IF((VLOOKUP(B54,'DB PMI Manufacturing World'!$A:$AA,MATCH($Z$1,'DB PMI Manufacturing World'!$A$1:$AA$1,),))=0,#N/A, (VLOOKUP(B54,'DB PMI Manufacturing World'!$A:$AA,MATCH($Z$1,'DB PMI Manufacturing World'!$A$1:$AA$1,),)))</f>
        <v>57</v>
      </c>
      <c r="AA54" s="37">
        <f>IF((VLOOKUP(B54,'DB PMI Manufacturing World'!$A:$AA,MATCH($AA$1,'DB PMI Manufacturing World'!$A$1:$AA$1,),))=0,#N/A, (VLOOKUP(B54,'DB PMI Manufacturing World'!$A:$AA,MATCH($AA$1,'DB PMI Manufacturing World'!$A$1:$AA$1,),)))</f>
        <v>51.7</v>
      </c>
      <c r="AB54" s="37">
        <f>IF((VLOOKUP(B54,'DB PMI Manufacturing World'!$A:$AA,MATCH($AB$1,'DB PMI Manufacturing World'!$A$1:$AA$1,),))=0,#N/A, (VLOOKUP(B54,'DB PMI Manufacturing World'!$A:$AA,MATCH($AB$1,'DB PMI Manufacturing World'!$A$1:$AA$1,),)))</f>
        <v>41.9</v>
      </c>
    </row>
    <row r="55" spans="2:28" s="56" customFormat="1" x14ac:dyDescent="0.35">
      <c r="B55" s="29">
        <v>44197</v>
      </c>
      <c r="C55" s="37">
        <f>IF((VLOOKUP(B55,'DB PMI Manufacturing World'!$A:$AA,MATCH($C$1,'DB PMI Manufacturing World'!$A$1:$AA$1,),))=0,#N/A, (VLOOKUP(B55,'DB PMI Manufacturing World'!$A:$AA,MATCH($C$1,'DB PMI Manufacturing World'!$A$1:$AA$1,),)))</f>
        <v>53.6</v>
      </c>
      <c r="D55" s="37">
        <f>IF((VLOOKUP(B55,'DB PMI Manufacturing World'!$A:$AA,MATCH($D$1,'DB PMI Manufacturing World'!$A$1:$AA$1,),))=0,#N/A, (VLOOKUP(B55,'DB PMI Manufacturing World'!$A:$AA,MATCH($D$1,'DB PMI Manufacturing World'!$A$1:$AA$1,),)))</f>
        <v>58.7</v>
      </c>
      <c r="E55" s="37">
        <f>IF((VLOOKUP(B55,'DB PMI Manufacturing World'!$A:$AA,MATCH($E$1,'DB PMI Manufacturing World'!$A$1:$AA$1,),))=0,#N/A, (VLOOKUP(B55,'DB PMI Manufacturing World'!$A:$AA,MATCH($E$1,'DB PMI Manufacturing World'!$A$1:$AA$1,),)))</f>
        <v>59.2</v>
      </c>
      <c r="F55" s="37">
        <f>IF((VLOOKUP(B55,'DB PMI Manufacturing World'!$A:$AA,MATCH($F$1,'DB PMI Manufacturing World'!$A$1:$AA$1,),))=0,#N/A, (VLOOKUP(B55,'DB PMI Manufacturing World'!$A:$AA,MATCH($F$1,'DB PMI Manufacturing World'!$A$1:$AA$1,),)))</f>
        <v>51.5</v>
      </c>
      <c r="G55" s="37">
        <f>IF((VLOOKUP(B55,'DB PMI Manufacturing World'!$A:$AA,MATCH($G$1,'DB PMI Manufacturing World'!$A$1:$AA$1,),))=0,#N/A, (VLOOKUP(B55,'DB PMI Manufacturing World'!$A:$AA,MATCH($G$1,'DB PMI Manufacturing World'!$A$1:$AA$1,),)))</f>
        <v>54.8</v>
      </c>
      <c r="H55" s="37">
        <f>IF((VLOOKUP(B55,'DB PMI Manufacturing World'!$A:$AA,MATCH($H$1,'DB PMI Manufacturing World'!$A$1:$AA$1,),))=0,#N/A, (VLOOKUP(B55,'DB PMI Manufacturing World'!$A:$AA,MATCH($H$1,'DB PMI Manufacturing World'!$A$1:$AA$1,),)))</f>
        <v>49.8</v>
      </c>
      <c r="I55" s="37">
        <f>IF((VLOOKUP(B55,'DB PMI Manufacturing World'!$A:$AA,MATCH($I$1,'DB PMI Manufacturing World'!$A$1:$AA$1,),))=0,#N/A, (VLOOKUP(B55,'DB PMI Manufacturing World'!$A:$AA,MATCH($I$1,'DB PMI Manufacturing World'!$A$1:$AA$1,),)))</f>
        <v>57.1</v>
      </c>
      <c r="J55" s="37">
        <f>IF((VLOOKUP(B55,'DB PMI Manufacturing World'!$A:$AA,MATCH($J$1,'DB PMI Manufacturing World'!$A$1:$AA$1,),))=0,#N/A, (VLOOKUP(B55,'DB PMI Manufacturing World'!$A:$AA,MATCH($J$1,'DB PMI Manufacturing World'!$A$1:$AA$1,),)))</f>
        <v>51.6</v>
      </c>
      <c r="K55" s="37">
        <f>IF((VLOOKUP(B55,'DB PMI Manufacturing World'!$A:$AA,MATCH($K$1,'DB PMI Manufacturing World'!$A$1:$AA$1,),))=0,#N/A, (VLOOKUP(B55,'DB PMI Manufacturing World'!$A:$AA,MATCH($K$1,'DB PMI Manufacturing World'!$A$1:$AA$1,),)))</f>
        <v>54.1</v>
      </c>
      <c r="L55" s="37">
        <f>IF((VLOOKUP(B55,'DB PMI Manufacturing World'!$A:$AA,MATCH($L$1,'DB PMI Manufacturing World'!$A$1:$AA$1,),))=0,#N/A, (VLOOKUP(B55,'DB PMI Manufacturing World'!$A:$AA,MATCH($L$1,'DB PMI Manufacturing World'!$A$1:$AA$1,),)))</f>
        <v>55.1</v>
      </c>
      <c r="M55" s="37">
        <f>IF((VLOOKUP(B55,'DB PMI Manufacturing World'!$A:$AA,MATCH($M$1,'DB PMI Manufacturing World'!$A$1:$AA$1,),))=0,#N/A, (VLOOKUP(B55,'DB PMI Manufacturing World'!$A:$AA,MATCH($M$1,'DB PMI Manufacturing World'!$A$1:$AA$1,),)))</f>
        <v>49.3</v>
      </c>
      <c r="N55" s="37">
        <f>IF((VLOOKUP(B55,'DB PMI Manufacturing World'!$A:$AA,MATCH($N$1,'DB PMI Manufacturing World'!$A$1:$AA$1,),))=0,#N/A, (VLOOKUP(B55,'DB PMI Manufacturing World'!$A:$AA,MATCH($N$1,'DB PMI Manufacturing World'!$A$1:$AA$1,),)))</f>
        <v>56.5</v>
      </c>
      <c r="O55" s="37">
        <f>IF((VLOOKUP(B55,'DB PMI Manufacturing World'!$A:$AA,MATCH($O$1,'DB PMI Manufacturing World'!$A$1:$AA$1,),))=0,#N/A, (VLOOKUP(B55,'DB PMI Manufacturing World'!$A:$AA,MATCH($O$1,'DB PMI Manufacturing World'!$A$1:$AA$1,),)))</f>
        <v>43</v>
      </c>
      <c r="P55" s="37">
        <f>IF((VLOOKUP(B55,'DB PMI Manufacturing World'!$A:$AA,MATCH($P$1,'DB PMI Manufacturing World'!$A$1:$AA$1,),))=0,#N/A, (VLOOKUP(B55,'DB PMI Manufacturing World'!$A:$AA,MATCH($P$1,'DB PMI Manufacturing World'!$A$1:$AA$1,),)))</f>
        <v>50.9</v>
      </c>
      <c r="Q55" s="37">
        <f>IF((VLOOKUP(B55,'DB PMI Manufacturing World'!$A:$AA,MATCH($Q$1,'DB PMI Manufacturing World'!$A$1:$AA$1,),))=0,#N/A, (VLOOKUP(B55,'DB PMI Manufacturing World'!$A:$AA,MATCH($Q$1,'DB PMI Manufacturing World'!$A$1:$AA$1,),)))</f>
        <v>57.7</v>
      </c>
      <c r="R55" s="37">
        <f>IF((VLOOKUP(B55,'DB PMI Manufacturing World'!$A:$AA,MATCH($R$1,'DB PMI Manufacturing World'!$A$1:$AA$1,),))=0,#N/A, (VLOOKUP(B55,'DB PMI Manufacturing World'!$A:$AA,MATCH($R$1,'DB PMI Manufacturing World'!$A$1:$AA$1,),)))</f>
        <v>54.4</v>
      </c>
      <c r="S55" s="37">
        <f>IF((VLOOKUP(B55,'DB PMI Manufacturing World'!$A:$AA,MATCH($S$1,'DB PMI Manufacturing World'!$A$1:$AA$1,),))=0,#N/A, (VLOOKUP(B55,'DB PMI Manufacturing World'!$A:$AA,MATCH($S$1,'DB PMI Manufacturing World'!$A$1:$AA$1,),)))</f>
        <v>55.3</v>
      </c>
      <c r="T55" s="37">
        <f>IF((VLOOKUP(B55,'DB PMI Manufacturing World'!$A:$AA,MATCH($T$1,'DB PMI Manufacturing World'!$A$1:$AA$1,),))=0,#N/A, (VLOOKUP(B55,'DB PMI Manufacturing World'!$A:$AA,MATCH($T$1,'DB PMI Manufacturing World'!$A$1:$AA$1,),)))</f>
        <v>52.2</v>
      </c>
      <c r="U55" s="37">
        <f>IF((VLOOKUP(B55,'DB PMI Manufacturing World'!$A:$AA,MATCH($U$1,'DB PMI Manufacturing World'!$A$1:$AA$1,),))=0,#N/A, (VLOOKUP(B55,'DB PMI Manufacturing World'!$A:$AA,MATCH($U$1,'DB PMI Manufacturing World'!$A$1:$AA$1,),)))</f>
        <v>53.2</v>
      </c>
      <c r="V55" s="37">
        <f>IF((VLOOKUP(B55,'DB PMI Manufacturing World'!$A:$AA,MATCH($V$1,'DB PMI Manufacturing World'!$A$1:$AA$1,),))=0,#N/A, (VLOOKUP(B55,'DB PMI Manufacturing World'!$A:$AA,MATCH($V$1,'DB PMI Manufacturing World'!$A$1:$AA$1,),)))</f>
        <v>60.2</v>
      </c>
      <c r="W55" s="37">
        <f>IF((VLOOKUP(B55,'DB PMI Manufacturing World'!$A:$AA,MATCH($W$1,'DB PMI Manufacturing World'!$A$1:$AA$1,),))=0,#N/A, (VLOOKUP(B55,'DB PMI Manufacturing World'!$A:$AA,MATCH($W$1,'DB PMI Manufacturing World'!$A$1:$AA$1,),)))</f>
        <v>50</v>
      </c>
      <c r="X55" s="37">
        <f>IF((VLOOKUP(B55,'DB PMI Manufacturing World'!$A:$AA,MATCH($X$1,'DB PMI Manufacturing World'!$A$1:$AA$1,),))=0,#N/A, (VLOOKUP(B55,'DB PMI Manufacturing World'!$A:$AA,MATCH($X$1,'DB PMI Manufacturing World'!$A$1:$AA$1,),)))</f>
        <v>51.8</v>
      </c>
      <c r="Y55" s="37">
        <f>IF((VLOOKUP(B55,'DB PMI Manufacturing World'!$A:$AA,MATCH($Y$1,'DB PMI Manufacturing World'!$A$1:$AA$1,),))=0,#N/A, (VLOOKUP(B55,'DB PMI Manufacturing World'!$A:$AA,MATCH($Y$1,'DB PMI Manufacturing World'!$A$1:$AA$1,),)))</f>
        <v>54.4</v>
      </c>
      <c r="Z55" s="37">
        <f>IF((VLOOKUP(B55,'DB PMI Manufacturing World'!$A:$AA,MATCH($Z$1,'DB PMI Manufacturing World'!$A$1:$AA$1,),))=0,#N/A, (VLOOKUP(B55,'DB PMI Manufacturing World'!$A:$AA,MATCH($Z$1,'DB PMI Manufacturing World'!$A$1:$AA$1,),)))</f>
        <v>57</v>
      </c>
      <c r="AA55" s="37">
        <f>IF((VLOOKUP(B55,'DB PMI Manufacturing World'!$A:$AA,MATCH($AA$1,'DB PMI Manufacturing World'!$A$1:$AA$1,),))=0,#N/A, (VLOOKUP(B55,'DB PMI Manufacturing World'!$A:$AA,MATCH($AA$1,'DB PMI Manufacturing World'!$A$1:$AA$1,),)))</f>
        <v>51.9</v>
      </c>
      <c r="AB55" s="37">
        <f>IF((VLOOKUP(B55,'DB PMI Manufacturing World'!$A:$AA,MATCH($AB$1,'DB PMI Manufacturing World'!$A$1:$AA$1,),))=0,#N/A, (VLOOKUP(B55,'DB PMI Manufacturing World'!$A:$AA,MATCH($AB$1,'DB PMI Manufacturing World'!$A$1:$AA$1,),)))</f>
        <v>42.1</v>
      </c>
    </row>
    <row r="56" spans="2:28" s="56" customFormat="1" x14ac:dyDescent="0.35">
      <c r="B56" s="29">
        <v>44228</v>
      </c>
      <c r="C56" s="37">
        <f>IF((VLOOKUP(B56,'DB PMI Manufacturing World'!$A:$AA,MATCH($C$1,'DB PMI Manufacturing World'!$A$1:$AA$1,),))=0,#N/A, (VLOOKUP(B56,'DB PMI Manufacturing World'!$A:$AA,MATCH($C$1,'DB PMI Manufacturing World'!$A$1:$AA$1,),)))</f>
        <v>53.9</v>
      </c>
      <c r="D56" s="37">
        <f>IF((VLOOKUP(B56,'DB PMI Manufacturing World'!$A:$AA,MATCH($D$1,'DB PMI Manufacturing World'!$A$1:$AA$1,),))=0,#N/A, (VLOOKUP(B56,'DB PMI Manufacturing World'!$A:$AA,MATCH($D$1,'DB PMI Manufacturing World'!$A$1:$AA$1,),)))</f>
        <v>60.8</v>
      </c>
      <c r="E56" s="37">
        <f>IF((VLOOKUP(B56,'DB PMI Manufacturing World'!$A:$AA,MATCH($E$1,'DB PMI Manufacturing World'!$A$1:$AA$1,),))=0,#N/A, (VLOOKUP(B56,'DB PMI Manufacturing World'!$A:$AA,MATCH($E$1,'DB PMI Manufacturing World'!$A$1:$AA$1,),)))</f>
        <v>58.6</v>
      </c>
      <c r="F56" s="37">
        <f>IF((VLOOKUP(B56,'DB PMI Manufacturing World'!$A:$AA,MATCH($F$1,'DB PMI Manufacturing World'!$A$1:$AA$1,),))=0,#N/A, (VLOOKUP(B56,'DB PMI Manufacturing World'!$A:$AA,MATCH($F$1,'DB PMI Manufacturing World'!$A$1:$AA$1,),)))</f>
        <v>50.9</v>
      </c>
      <c r="G56" s="37">
        <f>IF((VLOOKUP(B56,'DB PMI Manufacturing World'!$A:$AA,MATCH($G$1,'DB PMI Manufacturing World'!$A$1:$AA$1,),))=0,#N/A, (VLOOKUP(B56,'DB PMI Manufacturing World'!$A:$AA,MATCH($G$1,'DB PMI Manufacturing World'!$A$1:$AA$1,),)))</f>
        <v>57.9</v>
      </c>
      <c r="H56" s="37">
        <f>IF((VLOOKUP(B56,'DB PMI Manufacturing World'!$A:$AA,MATCH($H$1,'DB PMI Manufacturing World'!$A$1:$AA$1,),))=0,#N/A, (VLOOKUP(B56,'DB PMI Manufacturing World'!$A:$AA,MATCH($H$1,'DB PMI Manufacturing World'!$A$1:$AA$1,),)))</f>
        <v>51.4</v>
      </c>
      <c r="I56" s="37">
        <f>IF((VLOOKUP(B56,'DB PMI Manufacturing World'!$A:$AA,MATCH($I$1,'DB PMI Manufacturing World'!$A$1:$AA$1,),))=0,#N/A, (VLOOKUP(B56,'DB PMI Manufacturing World'!$A:$AA,MATCH($I$1,'DB PMI Manufacturing World'!$A$1:$AA$1,),)))</f>
        <v>60.7</v>
      </c>
      <c r="J56" s="37">
        <f>IF((VLOOKUP(B56,'DB PMI Manufacturing World'!$A:$AA,MATCH($J$1,'DB PMI Manufacturing World'!$A$1:$AA$1,),))=0,#N/A, (VLOOKUP(B56,'DB PMI Manufacturing World'!$A:$AA,MATCH($J$1,'DB PMI Manufacturing World'!$A$1:$AA$1,),)))</f>
        <v>56.1</v>
      </c>
      <c r="K56" s="37">
        <f>IF((VLOOKUP(B56,'DB PMI Manufacturing World'!$A:$AA,MATCH($K$1,'DB PMI Manufacturing World'!$A$1:$AA$1,),))=0,#N/A, (VLOOKUP(B56,'DB PMI Manufacturing World'!$A:$AA,MATCH($K$1,'DB PMI Manufacturing World'!$A$1:$AA$1,),)))</f>
        <v>55.1</v>
      </c>
      <c r="L56" s="37">
        <f>IF((VLOOKUP(B56,'DB PMI Manufacturing World'!$A:$AA,MATCH($L$1,'DB PMI Manufacturing World'!$A$1:$AA$1,),))=0,#N/A, (VLOOKUP(B56,'DB PMI Manufacturing World'!$A:$AA,MATCH($L$1,'DB PMI Manufacturing World'!$A$1:$AA$1,),)))</f>
        <v>56.9</v>
      </c>
      <c r="M56" s="37">
        <f>IF((VLOOKUP(B56,'DB PMI Manufacturing World'!$A:$AA,MATCH($M$1,'DB PMI Manufacturing World'!$A$1:$AA$1,),))=0,#N/A, (VLOOKUP(B56,'DB PMI Manufacturing World'!$A:$AA,MATCH($M$1,'DB PMI Manufacturing World'!$A$1:$AA$1,),)))</f>
        <v>52.9</v>
      </c>
      <c r="N56" s="37">
        <f>IF((VLOOKUP(B56,'DB PMI Manufacturing World'!$A:$AA,MATCH($N$1,'DB PMI Manufacturing World'!$A$1:$AA$1,),))=0,#N/A, (VLOOKUP(B56,'DB PMI Manufacturing World'!$A:$AA,MATCH($N$1,'DB PMI Manufacturing World'!$A$1:$AA$1,),)))</f>
        <v>58.4</v>
      </c>
      <c r="O56" s="37">
        <f>IF((VLOOKUP(B56,'DB PMI Manufacturing World'!$A:$AA,MATCH($O$1,'DB PMI Manufacturing World'!$A$1:$AA$1,),))=0,#N/A, (VLOOKUP(B56,'DB PMI Manufacturing World'!$A:$AA,MATCH($O$1,'DB PMI Manufacturing World'!$A$1:$AA$1,),)))</f>
        <v>44.2</v>
      </c>
      <c r="P56" s="37">
        <f>IF((VLOOKUP(B56,'DB PMI Manufacturing World'!$A:$AA,MATCH($P$1,'DB PMI Manufacturing World'!$A$1:$AA$1,),))=0,#N/A, (VLOOKUP(B56,'DB PMI Manufacturing World'!$A:$AA,MATCH($P$1,'DB PMI Manufacturing World'!$A$1:$AA$1,),)))</f>
        <v>51.5</v>
      </c>
      <c r="Q56" s="37">
        <f>IF((VLOOKUP(B56,'DB PMI Manufacturing World'!$A:$AA,MATCH($Q$1,'DB PMI Manufacturing World'!$A$1:$AA$1,),))=0,#N/A, (VLOOKUP(B56,'DB PMI Manufacturing World'!$A:$AA,MATCH($Q$1,'DB PMI Manufacturing World'!$A$1:$AA$1,),)))</f>
        <v>57.5</v>
      </c>
      <c r="R56" s="37">
        <f>IF((VLOOKUP(B56,'DB PMI Manufacturing World'!$A:$AA,MATCH($R$1,'DB PMI Manufacturing World'!$A$1:$AA$1,),))=0,#N/A, (VLOOKUP(B56,'DB PMI Manufacturing World'!$A:$AA,MATCH($R$1,'DB PMI Manufacturing World'!$A$1:$AA$1,),)))</f>
        <v>54.8</v>
      </c>
      <c r="S56" s="37">
        <f>IF((VLOOKUP(B56,'DB PMI Manufacturing World'!$A:$AA,MATCH($S$1,'DB PMI Manufacturing World'!$A$1:$AA$1,),))=0,#N/A, (VLOOKUP(B56,'DB PMI Manufacturing World'!$A:$AA,MATCH($S$1,'DB PMI Manufacturing World'!$A$1:$AA$1,),)))</f>
        <v>58.8</v>
      </c>
      <c r="T56" s="37">
        <f>IF((VLOOKUP(B56,'DB PMI Manufacturing World'!$A:$AA,MATCH($T$1,'DB PMI Manufacturing World'!$A$1:$AA$1,),))=0,#N/A, (VLOOKUP(B56,'DB PMI Manufacturing World'!$A:$AA,MATCH($T$1,'DB PMI Manufacturing World'!$A$1:$AA$1,),)))</f>
        <v>50.9</v>
      </c>
      <c r="U56" s="37">
        <f>IF((VLOOKUP(B56,'DB PMI Manufacturing World'!$A:$AA,MATCH($U$1,'DB PMI Manufacturing World'!$A$1:$AA$1,),))=0,#N/A, (VLOOKUP(B56,'DB PMI Manufacturing World'!$A:$AA,MATCH($U$1,'DB PMI Manufacturing World'!$A$1:$AA$1,),)))</f>
        <v>55.3</v>
      </c>
      <c r="V56" s="37">
        <f>IF((VLOOKUP(B56,'DB PMI Manufacturing World'!$A:$AA,MATCH($V$1,'DB PMI Manufacturing World'!$A$1:$AA$1,),))=0,#N/A, (VLOOKUP(B56,'DB PMI Manufacturing World'!$A:$AA,MATCH($V$1,'DB PMI Manufacturing World'!$A$1:$AA$1,),)))</f>
        <v>60.4</v>
      </c>
      <c r="W56" s="37">
        <f>IF((VLOOKUP(B56,'DB PMI Manufacturing World'!$A:$AA,MATCH($W$1,'DB PMI Manufacturing World'!$A$1:$AA$1,),))=0,#N/A, (VLOOKUP(B56,'DB PMI Manufacturing World'!$A:$AA,MATCH($W$1,'DB PMI Manufacturing World'!$A$1:$AA$1,),)))</f>
        <v>49.4</v>
      </c>
      <c r="X56" s="37">
        <f>IF((VLOOKUP(B56,'DB PMI Manufacturing World'!$A:$AA,MATCH($X$1,'DB PMI Manufacturing World'!$A$1:$AA$1,),))=0,#N/A, (VLOOKUP(B56,'DB PMI Manufacturing World'!$A:$AA,MATCH($X$1,'DB PMI Manufacturing World'!$A$1:$AA$1,),)))</f>
        <v>52</v>
      </c>
      <c r="Y56" s="37">
        <f>IF((VLOOKUP(B56,'DB PMI Manufacturing World'!$A:$AA,MATCH($Y$1,'DB PMI Manufacturing World'!$A$1:$AA$1,),))=0,#N/A, (VLOOKUP(B56,'DB PMI Manufacturing World'!$A:$AA,MATCH($Y$1,'DB PMI Manufacturing World'!$A$1:$AA$1,),)))</f>
        <v>51.7</v>
      </c>
      <c r="Z56" s="37">
        <f>IF((VLOOKUP(B56,'DB PMI Manufacturing World'!$A:$AA,MATCH($Z$1,'DB PMI Manufacturing World'!$A$1:$AA$1,),))=0,#N/A, (VLOOKUP(B56,'DB PMI Manufacturing World'!$A:$AA,MATCH($Z$1,'DB PMI Manufacturing World'!$A$1:$AA$1,),)))</f>
        <v>56.5</v>
      </c>
      <c r="AA56" s="37">
        <f>IF((VLOOKUP(B56,'DB PMI Manufacturing World'!$A:$AA,MATCH($AA$1,'DB PMI Manufacturing World'!$A$1:$AA$1,),))=0,#N/A, (VLOOKUP(B56,'DB PMI Manufacturing World'!$A:$AA,MATCH($AA$1,'DB PMI Manufacturing World'!$A$1:$AA$1,),)))</f>
        <v>53.4</v>
      </c>
      <c r="AB56" s="37">
        <f>IF((VLOOKUP(B56,'DB PMI Manufacturing World'!$A:$AA,MATCH($AB$1,'DB PMI Manufacturing World'!$A$1:$AA$1,),))=0,#N/A, (VLOOKUP(B56,'DB PMI Manufacturing World'!$A:$AA,MATCH($AB$1,'DB PMI Manufacturing World'!$A$1:$AA$1,),)))</f>
        <v>40.799999999999997</v>
      </c>
    </row>
    <row r="57" spans="2:28" s="56" customFormat="1" x14ac:dyDescent="0.35">
      <c r="B57" s="29">
        <v>44256</v>
      </c>
      <c r="C57" s="37">
        <f>IF((VLOOKUP(B57,'DB PMI Manufacturing World'!$A:$AA,MATCH($C$1,'DB PMI Manufacturing World'!$A$1:$AA$1,),))=0,#N/A, (VLOOKUP(B57,'DB PMI Manufacturing World'!$A:$AA,MATCH($C$1,'DB PMI Manufacturing World'!$A$1:$AA$1,),)))</f>
        <v>55</v>
      </c>
      <c r="D57" s="37">
        <f>IF((VLOOKUP(B57,'DB PMI Manufacturing World'!$A:$AA,MATCH($D$1,'DB PMI Manufacturing World'!$A$1:$AA$1,),))=0,#N/A, (VLOOKUP(B57,'DB PMI Manufacturing World'!$A:$AA,MATCH($D$1,'DB PMI Manufacturing World'!$A$1:$AA$1,),)))</f>
        <v>64.7</v>
      </c>
      <c r="E57" s="37">
        <f>IF((VLOOKUP(B57,'DB PMI Manufacturing World'!$A:$AA,MATCH($E$1,'DB PMI Manufacturing World'!$A$1:$AA$1,),))=0,#N/A, (VLOOKUP(B57,'DB PMI Manufacturing World'!$A:$AA,MATCH($E$1,'DB PMI Manufacturing World'!$A$1:$AA$1,),)))</f>
        <v>59.1</v>
      </c>
      <c r="F57" s="37">
        <f>IF((VLOOKUP(B57,'DB PMI Manufacturing World'!$A:$AA,MATCH($F$1,'DB PMI Manufacturing World'!$A$1:$AA$1,),))=0,#N/A, (VLOOKUP(B57,'DB PMI Manufacturing World'!$A:$AA,MATCH($F$1,'DB PMI Manufacturing World'!$A$1:$AA$1,),)))</f>
        <v>50.6</v>
      </c>
      <c r="G57" s="37">
        <f>IF((VLOOKUP(B57,'DB PMI Manufacturing World'!$A:$AA,MATCH($G$1,'DB PMI Manufacturing World'!$A$1:$AA$1,),))=0,#N/A, (VLOOKUP(B57,'DB PMI Manufacturing World'!$A:$AA,MATCH($G$1,'DB PMI Manufacturing World'!$A$1:$AA$1,),)))</f>
        <v>62.5</v>
      </c>
      <c r="H57" s="37">
        <f>IF((VLOOKUP(B57,'DB PMI Manufacturing World'!$A:$AA,MATCH($H$1,'DB PMI Manufacturing World'!$A$1:$AA$1,),))=0,#N/A, (VLOOKUP(B57,'DB PMI Manufacturing World'!$A:$AA,MATCH($H$1,'DB PMI Manufacturing World'!$A$1:$AA$1,),)))</f>
        <v>52.7</v>
      </c>
      <c r="I57" s="37">
        <f>IF((VLOOKUP(B57,'DB PMI Manufacturing World'!$A:$AA,MATCH($I$1,'DB PMI Manufacturing World'!$A$1:$AA$1,),))=0,#N/A, (VLOOKUP(B57,'DB PMI Manufacturing World'!$A:$AA,MATCH($I$1,'DB PMI Manufacturing World'!$A$1:$AA$1,),)))</f>
        <v>66.599999999999994</v>
      </c>
      <c r="J57" s="37">
        <f>IF((VLOOKUP(B57,'DB PMI Manufacturing World'!$A:$AA,MATCH($J$1,'DB PMI Manufacturing World'!$A$1:$AA$1,),))=0,#N/A, (VLOOKUP(B57,'DB PMI Manufacturing World'!$A:$AA,MATCH($J$1,'DB PMI Manufacturing World'!$A$1:$AA$1,),)))</f>
        <v>59.3</v>
      </c>
      <c r="K57" s="37">
        <f>IF((VLOOKUP(B57,'DB PMI Manufacturing World'!$A:$AA,MATCH($K$1,'DB PMI Manufacturing World'!$A$1:$AA$1,),))=0,#N/A, (VLOOKUP(B57,'DB PMI Manufacturing World'!$A:$AA,MATCH($K$1,'DB PMI Manufacturing World'!$A$1:$AA$1,),)))</f>
        <v>58.9</v>
      </c>
      <c r="L57" s="37">
        <f>IF((VLOOKUP(B57,'DB PMI Manufacturing World'!$A:$AA,MATCH($L$1,'DB PMI Manufacturing World'!$A$1:$AA$1,),))=0,#N/A, (VLOOKUP(B57,'DB PMI Manufacturing World'!$A:$AA,MATCH($L$1,'DB PMI Manufacturing World'!$A$1:$AA$1,),)))</f>
        <v>59.8</v>
      </c>
      <c r="M57" s="37">
        <f>IF((VLOOKUP(B57,'DB PMI Manufacturing World'!$A:$AA,MATCH($M$1,'DB PMI Manufacturing World'!$A$1:$AA$1,),))=0,#N/A, (VLOOKUP(B57,'DB PMI Manufacturing World'!$A:$AA,MATCH($M$1,'DB PMI Manufacturing World'!$A$1:$AA$1,),)))</f>
        <v>56.9</v>
      </c>
      <c r="N57" s="37">
        <f>IF((VLOOKUP(B57,'DB PMI Manufacturing World'!$A:$AA,MATCH($N$1,'DB PMI Manufacturing World'!$A$1:$AA$1,),))=0,#N/A, (VLOOKUP(B57,'DB PMI Manufacturing World'!$A:$AA,MATCH($N$1,'DB PMI Manufacturing World'!$A$1:$AA$1,),)))</f>
        <v>52.8</v>
      </c>
      <c r="O57" s="37">
        <f>IF((VLOOKUP(B57,'DB PMI Manufacturing World'!$A:$AA,MATCH($O$1,'DB PMI Manufacturing World'!$A$1:$AA$1,),))=0,#N/A, (VLOOKUP(B57,'DB PMI Manufacturing World'!$A:$AA,MATCH($O$1,'DB PMI Manufacturing World'!$A$1:$AA$1,),)))</f>
        <v>45.6</v>
      </c>
      <c r="P57" s="37">
        <f>IF((VLOOKUP(B57,'DB PMI Manufacturing World'!$A:$AA,MATCH($P$1,'DB PMI Manufacturing World'!$A$1:$AA$1,),))=0,#N/A, (VLOOKUP(B57,'DB PMI Manufacturing World'!$A:$AA,MATCH($P$1,'DB PMI Manufacturing World'!$A$1:$AA$1,),)))</f>
        <v>51.1</v>
      </c>
      <c r="Q57" s="37">
        <f>IF((VLOOKUP(B57,'DB PMI Manufacturing World'!$A:$AA,MATCH($Q$1,'DB PMI Manufacturing World'!$A$1:$AA$1,),))=0,#N/A, (VLOOKUP(B57,'DB PMI Manufacturing World'!$A:$AA,MATCH($Q$1,'DB PMI Manufacturing World'!$A$1:$AA$1,),)))</f>
        <v>55.4</v>
      </c>
      <c r="R57" s="37">
        <f>IF((VLOOKUP(B57,'DB PMI Manufacturing World'!$A:$AA,MATCH($R$1,'DB PMI Manufacturing World'!$A$1:$AA$1,),))=0,#N/A, (VLOOKUP(B57,'DB PMI Manufacturing World'!$A:$AA,MATCH($R$1,'DB PMI Manufacturing World'!$A$1:$AA$1,),)))</f>
        <v>58.5</v>
      </c>
      <c r="S57" s="37">
        <f>IF((VLOOKUP(B57,'DB PMI Manufacturing World'!$A:$AA,MATCH($S$1,'DB PMI Manufacturing World'!$A$1:$AA$1,),))=0,#N/A, (VLOOKUP(B57,'DB PMI Manufacturing World'!$A:$AA,MATCH($S$1,'DB PMI Manufacturing World'!$A$1:$AA$1,),)))</f>
        <v>59.9</v>
      </c>
      <c r="T57" s="37">
        <f>IF((VLOOKUP(B57,'DB PMI Manufacturing World'!$A:$AA,MATCH($T$1,'DB PMI Manufacturing World'!$A$1:$AA$1,),))=0,#N/A, (VLOOKUP(B57,'DB PMI Manufacturing World'!$A:$AA,MATCH($T$1,'DB PMI Manufacturing World'!$A$1:$AA$1,),)))</f>
        <v>53.2</v>
      </c>
      <c r="U57" s="37">
        <f>IF((VLOOKUP(B57,'DB PMI Manufacturing World'!$A:$AA,MATCH($U$1,'DB PMI Manufacturing World'!$A$1:$AA$1,),))=0,#N/A, (VLOOKUP(B57,'DB PMI Manufacturing World'!$A:$AA,MATCH($U$1,'DB PMI Manufacturing World'!$A$1:$AA$1,),)))</f>
        <v>55.3</v>
      </c>
      <c r="V57" s="37">
        <f>IF((VLOOKUP(B57,'DB PMI Manufacturing World'!$A:$AA,MATCH($V$1,'DB PMI Manufacturing World'!$A$1:$AA$1,),))=0,#N/A, (VLOOKUP(B57,'DB PMI Manufacturing World'!$A:$AA,MATCH($V$1,'DB PMI Manufacturing World'!$A$1:$AA$1,),)))</f>
        <v>60.8</v>
      </c>
      <c r="W57" s="37">
        <f>IF((VLOOKUP(B57,'DB PMI Manufacturing World'!$A:$AA,MATCH($W$1,'DB PMI Manufacturing World'!$A$1:$AA$1,),))=0,#N/A, (VLOOKUP(B57,'DB PMI Manufacturing World'!$A:$AA,MATCH($W$1,'DB PMI Manufacturing World'!$A$1:$AA$1,),)))</f>
        <v>51.8</v>
      </c>
      <c r="X57" s="37">
        <f>IF((VLOOKUP(B57,'DB PMI Manufacturing World'!$A:$AA,MATCH($X$1,'DB PMI Manufacturing World'!$A$1:$AA$1,),))=0,#N/A, (VLOOKUP(B57,'DB PMI Manufacturing World'!$A:$AA,MATCH($X$1,'DB PMI Manufacturing World'!$A$1:$AA$1,),)))</f>
        <v>57.1</v>
      </c>
      <c r="Y57" s="37">
        <f>IF((VLOOKUP(B57,'DB PMI Manufacturing World'!$A:$AA,MATCH($Y$1,'DB PMI Manufacturing World'!$A$1:$AA$1,),))=0,#N/A, (VLOOKUP(B57,'DB PMI Manufacturing World'!$A:$AA,MATCH($Y$1,'DB PMI Manufacturing World'!$A$1:$AA$1,),)))</f>
        <v>52.6</v>
      </c>
      <c r="Z57" s="37">
        <f>IF((VLOOKUP(B57,'DB PMI Manufacturing World'!$A:$AA,MATCH($Z$1,'DB PMI Manufacturing World'!$A$1:$AA$1,),))=0,#N/A, (VLOOKUP(B57,'DB PMI Manufacturing World'!$A:$AA,MATCH($Z$1,'DB PMI Manufacturing World'!$A$1:$AA$1,),)))</f>
        <v>58</v>
      </c>
      <c r="AA57" s="37">
        <f>IF((VLOOKUP(B57,'DB PMI Manufacturing World'!$A:$AA,MATCH($AA$1,'DB PMI Manufacturing World'!$A$1:$AA$1,),))=0,#N/A, (VLOOKUP(B57,'DB PMI Manufacturing World'!$A:$AA,MATCH($AA$1,'DB PMI Manufacturing World'!$A$1:$AA$1,),)))</f>
        <v>54.3</v>
      </c>
      <c r="AB57" s="37">
        <f>IF((VLOOKUP(B57,'DB PMI Manufacturing World'!$A:$AA,MATCH($AB$1,'DB PMI Manufacturing World'!$A$1:$AA$1,),))=0,#N/A, (VLOOKUP(B57,'DB PMI Manufacturing World'!$A:$AA,MATCH($AB$1,'DB PMI Manufacturing World'!$A$1:$AA$1,),)))</f>
        <v>67.599999999999994</v>
      </c>
    </row>
    <row r="58" spans="2:28" s="56" customFormat="1" x14ac:dyDescent="0.35">
      <c r="B58" s="29">
        <v>44287</v>
      </c>
      <c r="C58" s="37">
        <f>IF((VLOOKUP(B58,'DB PMI Manufacturing World'!$A:$AA,MATCH($C$1,'DB PMI Manufacturing World'!$A$1:$AA$1,),))=0,#N/A, (VLOOKUP(B58,'DB PMI Manufacturing World'!$A:$AA,MATCH($C$1,'DB PMI Manufacturing World'!$A$1:$AA$1,),)))</f>
        <v>55.9</v>
      </c>
      <c r="D58" s="37">
        <f>IF((VLOOKUP(B58,'DB PMI Manufacturing World'!$A:$AA,MATCH($D$1,'DB PMI Manufacturing World'!$A$1:$AA$1,),))=0,#N/A, (VLOOKUP(B58,'DB PMI Manufacturing World'!$A:$AA,MATCH($D$1,'DB PMI Manufacturing World'!$A$1:$AA$1,),)))</f>
        <v>60.7</v>
      </c>
      <c r="E58" s="37">
        <f>IF((VLOOKUP(B58,'DB PMI Manufacturing World'!$A:$AA,MATCH($E$1,'DB PMI Manufacturing World'!$A$1:$AA$1,),))=0,#N/A, (VLOOKUP(B58,'DB PMI Manufacturing World'!$A:$AA,MATCH($E$1,'DB PMI Manufacturing World'!$A$1:$AA$1,),)))</f>
        <v>60.5</v>
      </c>
      <c r="F58" s="37">
        <f>IF((VLOOKUP(B58,'DB PMI Manufacturing World'!$A:$AA,MATCH($F$1,'DB PMI Manufacturing World'!$A$1:$AA$1,),))=0,#N/A, (VLOOKUP(B58,'DB PMI Manufacturing World'!$A:$AA,MATCH($F$1,'DB PMI Manufacturing World'!$A$1:$AA$1,),)))</f>
        <v>51.9</v>
      </c>
      <c r="G58" s="37">
        <f>IF((VLOOKUP(B58,'DB PMI Manufacturing World'!$A:$AA,MATCH($G$1,'DB PMI Manufacturing World'!$A$1:$AA$1,),))=0,#N/A, (VLOOKUP(B58,'DB PMI Manufacturing World'!$A:$AA,MATCH($G$1,'DB PMI Manufacturing World'!$A$1:$AA$1,),)))</f>
        <v>62.9</v>
      </c>
      <c r="H58" s="37">
        <f>IF((VLOOKUP(B58,'DB PMI Manufacturing World'!$A:$AA,MATCH($H$1,'DB PMI Manufacturing World'!$A$1:$AA$1,),))=0,#N/A, (VLOOKUP(B58,'DB PMI Manufacturing World'!$A:$AA,MATCH($H$1,'DB PMI Manufacturing World'!$A$1:$AA$1,),)))</f>
        <v>53.6</v>
      </c>
      <c r="I58" s="37">
        <f>IF((VLOOKUP(B58,'DB PMI Manufacturing World'!$A:$AA,MATCH($I$1,'DB PMI Manufacturing World'!$A$1:$AA$1,),))=0,#N/A, (VLOOKUP(B58,'DB PMI Manufacturing World'!$A:$AA,MATCH($I$1,'DB PMI Manufacturing World'!$A$1:$AA$1,),)))</f>
        <v>66.2</v>
      </c>
      <c r="J58" s="37">
        <f>IF((VLOOKUP(B58,'DB PMI Manufacturing World'!$A:$AA,MATCH($J$1,'DB PMI Manufacturing World'!$A$1:$AA$1,),))=0,#N/A, (VLOOKUP(B58,'DB PMI Manufacturing World'!$A:$AA,MATCH($J$1,'DB PMI Manufacturing World'!$A$1:$AA$1,),)))</f>
        <v>58.9</v>
      </c>
      <c r="K58" s="37">
        <f>IF((VLOOKUP(B58,'DB PMI Manufacturing World'!$A:$AA,MATCH($K$1,'DB PMI Manufacturing World'!$A$1:$AA$1,),))=0,#N/A, (VLOOKUP(B58,'DB PMI Manufacturing World'!$A:$AA,MATCH($K$1,'DB PMI Manufacturing World'!$A$1:$AA$1,),)))</f>
        <v>60.9</v>
      </c>
      <c r="L58" s="37">
        <f>IF((VLOOKUP(B58,'DB PMI Manufacturing World'!$A:$AA,MATCH($L$1,'DB PMI Manufacturing World'!$A$1:$AA$1,),))=0,#N/A, (VLOOKUP(B58,'DB PMI Manufacturing World'!$A:$AA,MATCH($L$1,'DB PMI Manufacturing World'!$A$1:$AA$1,),)))</f>
        <v>60.7</v>
      </c>
      <c r="M58" s="37">
        <f>IF((VLOOKUP(B58,'DB PMI Manufacturing World'!$A:$AA,MATCH($M$1,'DB PMI Manufacturing World'!$A$1:$AA$1,),))=0,#N/A, (VLOOKUP(B58,'DB PMI Manufacturing World'!$A:$AA,MATCH($M$1,'DB PMI Manufacturing World'!$A$1:$AA$1,),)))</f>
        <v>57.7</v>
      </c>
      <c r="N58" s="37">
        <f>IF((VLOOKUP(B58,'DB PMI Manufacturing World'!$A:$AA,MATCH($N$1,'DB PMI Manufacturing World'!$A$1:$AA$1,),))=0,#N/A, (VLOOKUP(B58,'DB PMI Manufacturing World'!$A:$AA,MATCH($N$1,'DB PMI Manufacturing World'!$A$1:$AA$1,),)))</f>
        <v>52.3</v>
      </c>
      <c r="O58" s="37">
        <f>IF((VLOOKUP(B58,'DB PMI Manufacturing World'!$A:$AA,MATCH($O$1,'DB PMI Manufacturing World'!$A$1:$AA$1,),))=0,#N/A, (VLOOKUP(B58,'DB PMI Manufacturing World'!$A:$AA,MATCH($O$1,'DB PMI Manufacturing World'!$A$1:$AA$1,),)))</f>
        <v>48.4</v>
      </c>
      <c r="P58" s="37">
        <f>IF((VLOOKUP(B58,'DB PMI Manufacturing World'!$A:$AA,MATCH($P$1,'DB PMI Manufacturing World'!$A$1:$AA$1,),))=0,#N/A, (VLOOKUP(B58,'DB PMI Manufacturing World'!$A:$AA,MATCH($P$1,'DB PMI Manufacturing World'!$A$1:$AA$1,),)))</f>
        <v>50.4</v>
      </c>
      <c r="Q58" s="37">
        <f>IF((VLOOKUP(B58,'DB PMI Manufacturing World'!$A:$AA,MATCH($Q$1,'DB PMI Manufacturing World'!$A$1:$AA$1,),))=0,#N/A, (VLOOKUP(B58,'DB PMI Manufacturing World'!$A:$AA,MATCH($Q$1,'DB PMI Manufacturing World'!$A$1:$AA$1,),)))</f>
        <v>55.5</v>
      </c>
      <c r="R58" s="37">
        <f>IF((VLOOKUP(B58,'DB PMI Manufacturing World'!$A:$AA,MATCH($R$1,'DB PMI Manufacturing World'!$A$1:$AA$1,),))=0,#N/A, (VLOOKUP(B58,'DB PMI Manufacturing World'!$A:$AA,MATCH($R$1,'DB PMI Manufacturing World'!$A$1:$AA$1,),)))</f>
        <v>57.2</v>
      </c>
      <c r="S58" s="37">
        <f>IF((VLOOKUP(B58,'DB PMI Manufacturing World'!$A:$AA,MATCH($S$1,'DB PMI Manufacturing World'!$A$1:$AA$1,),))=0,#N/A, (VLOOKUP(B58,'DB PMI Manufacturing World'!$A:$AA,MATCH($S$1,'DB PMI Manufacturing World'!$A$1:$AA$1,),)))</f>
        <v>61.7</v>
      </c>
      <c r="T58" s="37">
        <f>IF((VLOOKUP(B58,'DB PMI Manufacturing World'!$A:$AA,MATCH($T$1,'DB PMI Manufacturing World'!$A$1:$AA$1,),))=0,#N/A, (VLOOKUP(B58,'DB PMI Manufacturing World'!$A:$AA,MATCH($T$1,'DB PMI Manufacturing World'!$A$1:$AA$1,),)))</f>
        <v>54.6</v>
      </c>
      <c r="U58" s="37">
        <f>IF((VLOOKUP(B58,'DB PMI Manufacturing World'!$A:$AA,MATCH($U$1,'DB PMI Manufacturing World'!$A$1:$AA$1,),))=0,#N/A, (VLOOKUP(B58,'DB PMI Manufacturing World'!$A:$AA,MATCH($U$1,'DB PMI Manufacturing World'!$A$1:$AA$1,),)))</f>
        <v>54.6</v>
      </c>
      <c r="V58" s="37">
        <f>IF((VLOOKUP(B58,'DB PMI Manufacturing World'!$A:$AA,MATCH($V$1,'DB PMI Manufacturing World'!$A$1:$AA$1,),))=0,#N/A, (VLOOKUP(B58,'DB PMI Manufacturing World'!$A:$AA,MATCH($V$1,'DB PMI Manufacturing World'!$A$1:$AA$1,),)))</f>
        <v>62.4</v>
      </c>
      <c r="W58" s="37">
        <f>IF((VLOOKUP(B58,'DB PMI Manufacturing World'!$A:$AA,MATCH($W$1,'DB PMI Manufacturing World'!$A$1:$AA$1,),))=0,#N/A, (VLOOKUP(B58,'DB PMI Manufacturing World'!$A:$AA,MATCH($W$1,'DB PMI Manufacturing World'!$A$1:$AA$1,),)))</f>
        <v>54.4</v>
      </c>
      <c r="X58" s="37">
        <f>IF((VLOOKUP(B58,'DB PMI Manufacturing World'!$A:$AA,MATCH($X$1,'DB PMI Manufacturing World'!$A$1:$AA$1,),))=0,#N/A, (VLOOKUP(B58,'DB PMI Manufacturing World'!$A:$AA,MATCH($X$1,'DB PMI Manufacturing World'!$A$1:$AA$1,),)))</f>
        <v>60.8</v>
      </c>
      <c r="Y58" s="37">
        <f>IF((VLOOKUP(B58,'DB PMI Manufacturing World'!$A:$AA,MATCH($Y$1,'DB PMI Manufacturing World'!$A$1:$AA$1,),))=0,#N/A, (VLOOKUP(B58,'DB PMI Manufacturing World'!$A:$AA,MATCH($Y$1,'DB PMI Manufacturing World'!$A$1:$AA$1,),)))</f>
        <v>50.4</v>
      </c>
      <c r="Z58" s="37">
        <f>IF((VLOOKUP(B58,'DB PMI Manufacturing World'!$A:$AA,MATCH($Z$1,'DB PMI Manufacturing World'!$A$1:$AA$1,),))=0,#N/A, (VLOOKUP(B58,'DB PMI Manufacturing World'!$A:$AA,MATCH($Z$1,'DB PMI Manufacturing World'!$A$1:$AA$1,),)))</f>
        <v>58.9</v>
      </c>
      <c r="AA58" s="37">
        <f>IF((VLOOKUP(B58,'DB PMI Manufacturing World'!$A:$AA,MATCH($AA$1,'DB PMI Manufacturing World'!$A$1:$AA$1,),))=0,#N/A, (VLOOKUP(B58,'DB PMI Manufacturing World'!$A:$AA,MATCH($AA$1,'DB PMI Manufacturing World'!$A$1:$AA$1,),)))</f>
        <v>53.7</v>
      </c>
      <c r="AB58" s="37">
        <f>IF((VLOOKUP(B58,'DB PMI Manufacturing World'!$A:$AA,MATCH($AB$1,'DB PMI Manufacturing World'!$A$1:$AA$1,),))=0,#N/A, (VLOOKUP(B58,'DB PMI Manufacturing World'!$A:$AA,MATCH($AB$1,'DB PMI Manufacturing World'!$A$1:$AA$1,),)))</f>
        <v>72</v>
      </c>
    </row>
    <row r="59" spans="2:28" s="56" customFormat="1" x14ac:dyDescent="0.35">
      <c r="B59" s="29">
        <v>44317</v>
      </c>
      <c r="C59" s="37">
        <f>IF((VLOOKUP(B59,'DB PMI Manufacturing World'!$A:$AA,MATCH($C$1,'DB PMI Manufacturing World'!$A$1:$AA$1,),))=0,#N/A, (VLOOKUP(B59,'DB PMI Manufacturing World'!$A:$AA,MATCH($C$1,'DB PMI Manufacturing World'!$A$1:$AA$1,),)))</f>
        <v>56</v>
      </c>
      <c r="D59" s="37">
        <f>IF((VLOOKUP(B59,'DB PMI Manufacturing World'!$A:$AA,MATCH($D$1,'DB PMI Manufacturing World'!$A$1:$AA$1,),))=0,#N/A, (VLOOKUP(B59,'DB PMI Manufacturing World'!$A:$AA,MATCH($D$1,'DB PMI Manufacturing World'!$A$1:$AA$1,),)))</f>
        <v>61.2</v>
      </c>
      <c r="E59" s="37">
        <f>IF((VLOOKUP(B59,'DB PMI Manufacturing World'!$A:$AA,MATCH($E$1,'DB PMI Manufacturing World'!$A$1:$AA$1,),))=0,#N/A, (VLOOKUP(B59,'DB PMI Manufacturing World'!$A:$AA,MATCH($E$1,'DB PMI Manufacturing World'!$A$1:$AA$1,),)))</f>
        <v>62.6</v>
      </c>
      <c r="F59" s="37">
        <f>IF((VLOOKUP(B59,'DB PMI Manufacturing World'!$A:$AA,MATCH($F$1,'DB PMI Manufacturing World'!$A$1:$AA$1,),))=0,#N/A, (VLOOKUP(B59,'DB PMI Manufacturing World'!$A:$AA,MATCH($F$1,'DB PMI Manufacturing World'!$A$1:$AA$1,),)))</f>
        <v>52</v>
      </c>
      <c r="G59" s="37">
        <f>IF((VLOOKUP(B59,'DB PMI Manufacturing World'!$A:$AA,MATCH($G$1,'DB PMI Manufacturing World'!$A$1:$AA$1,),))=0,#N/A, (VLOOKUP(B59,'DB PMI Manufacturing World'!$A:$AA,MATCH($G$1,'DB PMI Manufacturing World'!$A$1:$AA$1,),)))</f>
        <v>63.1</v>
      </c>
      <c r="H59" s="37">
        <f>IF((VLOOKUP(B59,'DB PMI Manufacturing World'!$A:$AA,MATCH($H$1,'DB PMI Manufacturing World'!$A$1:$AA$1,),))=0,#N/A, (VLOOKUP(B59,'DB PMI Manufacturing World'!$A:$AA,MATCH($H$1,'DB PMI Manufacturing World'!$A$1:$AA$1,),)))</f>
        <v>53</v>
      </c>
      <c r="I59" s="37">
        <f>IF((VLOOKUP(B59,'DB PMI Manufacturing World'!$A:$AA,MATCH($I$1,'DB PMI Manufacturing World'!$A$1:$AA$1,),))=0,#N/A, (VLOOKUP(B59,'DB PMI Manufacturing World'!$A:$AA,MATCH($I$1,'DB PMI Manufacturing World'!$A$1:$AA$1,),)))</f>
        <v>64.400000000000006</v>
      </c>
      <c r="J59" s="37">
        <f>IF((VLOOKUP(B59,'DB PMI Manufacturing World'!$A:$AA,MATCH($J$1,'DB PMI Manufacturing World'!$A$1:$AA$1,),))=0,#N/A, (VLOOKUP(B59,'DB PMI Manufacturing World'!$A:$AA,MATCH($J$1,'DB PMI Manufacturing World'!$A$1:$AA$1,),)))</f>
        <v>59.4</v>
      </c>
      <c r="K59" s="37">
        <f>IF((VLOOKUP(B59,'DB PMI Manufacturing World'!$A:$AA,MATCH($K$1,'DB PMI Manufacturing World'!$A$1:$AA$1,),))=0,#N/A, (VLOOKUP(B59,'DB PMI Manufacturing World'!$A:$AA,MATCH($K$1,'DB PMI Manufacturing World'!$A$1:$AA$1,),)))</f>
        <v>65.599999999999994</v>
      </c>
      <c r="L59" s="37">
        <f>IF((VLOOKUP(B59,'DB PMI Manufacturing World'!$A:$AA,MATCH($L$1,'DB PMI Manufacturing World'!$A$1:$AA$1,),))=0,#N/A, (VLOOKUP(B59,'DB PMI Manufacturing World'!$A:$AA,MATCH($L$1,'DB PMI Manufacturing World'!$A$1:$AA$1,),)))</f>
        <v>62.3</v>
      </c>
      <c r="M59" s="37">
        <f>IF((VLOOKUP(B59,'DB PMI Manufacturing World'!$A:$AA,MATCH($M$1,'DB PMI Manufacturing World'!$A$1:$AA$1,),))=0,#N/A, (VLOOKUP(B59,'DB PMI Manufacturing World'!$A:$AA,MATCH($M$1,'DB PMI Manufacturing World'!$A$1:$AA$1,),)))</f>
        <v>59.4</v>
      </c>
      <c r="N59" s="37">
        <f>IF((VLOOKUP(B59,'DB PMI Manufacturing World'!$A:$AA,MATCH($N$1,'DB PMI Manufacturing World'!$A$1:$AA$1,),))=0,#N/A, (VLOOKUP(B59,'DB PMI Manufacturing World'!$A:$AA,MATCH($N$1,'DB PMI Manufacturing World'!$A$1:$AA$1,),)))</f>
        <v>53.7</v>
      </c>
      <c r="O59" s="37">
        <f>IF((VLOOKUP(B59,'DB PMI Manufacturing World'!$A:$AA,MATCH($O$1,'DB PMI Manufacturing World'!$A$1:$AA$1,),))=0,#N/A, (VLOOKUP(B59,'DB PMI Manufacturing World'!$A:$AA,MATCH($O$1,'DB PMI Manufacturing World'!$A$1:$AA$1,),)))</f>
        <v>47.6</v>
      </c>
      <c r="P59" s="37">
        <f>IF((VLOOKUP(B59,'DB PMI Manufacturing World'!$A:$AA,MATCH($P$1,'DB PMI Manufacturing World'!$A$1:$AA$1,),))=0,#N/A, (VLOOKUP(B59,'DB PMI Manufacturing World'!$A:$AA,MATCH($P$1,'DB PMI Manufacturing World'!$A$1:$AA$1,),)))</f>
        <v>51.9</v>
      </c>
      <c r="Q59" s="37">
        <f>IF((VLOOKUP(B59,'DB PMI Manufacturing World'!$A:$AA,MATCH($Q$1,'DB PMI Manufacturing World'!$A$1:$AA$1,),))=0,#N/A, (VLOOKUP(B59,'DB PMI Manufacturing World'!$A:$AA,MATCH($Q$1,'DB PMI Manufacturing World'!$A$1:$AA$1,),)))</f>
        <v>50.8</v>
      </c>
      <c r="R59" s="37">
        <f>IF((VLOOKUP(B59,'DB PMI Manufacturing World'!$A:$AA,MATCH($R$1,'DB PMI Manufacturing World'!$A$1:$AA$1,),))=0,#N/A, (VLOOKUP(B59,'DB PMI Manufacturing World'!$A:$AA,MATCH($R$1,'DB PMI Manufacturing World'!$A$1:$AA$1,),)))</f>
        <v>57</v>
      </c>
      <c r="S59" s="37">
        <f>IF((VLOOKUP(B59,'DB PMI Manufacturing World'!$A:$AA,MATCH($S$1,'DB PMI Manufacturing World'!$A$1:$AA$1,),))=0,#N/A, (VLOOKUP(B59,'DB PMI Manufacturing World'!$A:$AA,MATCH($S$1,'DB PMI Manufacturing World'!$A$1:$AA$1,),)))</f>
        <v>61.8</v>
      </c>
      <c r="T59" s="37">
        <f>IF((VLOOKUP(B59,'DB PMI Manufacturing World'!$A:$AA,MATCH($T$1,'DB PMI Manufacturing World'!$A$1:$AA$1,),))=0,#N/A, (VLOOKUP(B59,'DB PMI Manufacturing World'!$A:$AA,MATCH($T$1,'DB PMI Manufacturing World'!$A$1:$AA$1,),)))</f>
        <v>55.3</v>
      </c>
      <c r="U59" s="37">
        <f>IF((VLOOKUP(B59,'DB PMI Manufacturing World'!$A:$AA,MATCH($U$1,'DB PMI Manufacturing World'!$A$1:$AA$1,),))=0,#N/A, (VLOOKUP(B59,'DB PMI Manufacturing World'!$A:$AA,MATCH($U$1,'DB PMI Manufacturing World'!$A$1:$AA$1,),)))</f>
        <v>53.7</v>
      </c>
      <c r="V59" s="37">
        <f>IF((VLOOKUP(B59,'DB PMI Manufacturing World'!$A:$AA,MATCH($V$1,'DB PMI Manufacturing World'!$A$1:$AA$1,),))=0,#N/A, (VLOOKUP(B59,'DB PMI Manufacturing World'!$A:$AA,MATCH($V$1,'DB PMI Manufacturing World'!$A$1:$AA$1,),)))</f>
        <v>62</v>
      </c>
      <c r="W59" s="37">
        <f>IF((VLOOKUP(B59,'DB PMI Manufacturing World'!$A:$AA,MATCH($W$1,'DB PMI Manufacturing World'!$A$1:$AA$1,),))=0,#N/A, (VLOOKUP(B59,'DB PMI Manufacturing World'!$A:$AA,MATCH($W$1,'DB PMI Manufacturing World'!$A$1:$AA$1,),)))</f>
        <v>58</v>
      </c>
      <c r="X59" s="37">
        <f>IF((VLOOKUP(B59,'DB PMI Manufacturing World'!$A:$AA,MATCH($X$1,'DB PMI Manufacturing World'!$A$1:$AA$1,),))=0,#N/A, (VLOOKUP(B59,'DB PMI Manufacturing World'!$A:$AA,MATCH($X$1,'DB PMI Manufacturing World'!$A$1:$AA$1,),)))</f>
        <v>64.099999999999994</v>
      </c>
      <c r="Y59" s="37">
        <f>IF((VLOOKUP(B59,'DB PMI Manufacturing World'!$A:$AA,MATCH($Y$1,'DB PMI Manufacturing World'!$A$1:$AA$1,),))=0,#N/A, (VLOOKUP(B59,'DB PMI Manufacturing World'!$A:$AA,MATCH($Y$1,'DB PMI Manufacturing World'!$A$1:$AA$1,),)))</f>
        <v>49.3</v>
      </c>
      <c r="Z59" s="37">
        <f>IF((VLOOKUP(B59,'DB PMI Manufacturing World'!$A:$AA,MATCH($Z$1,'DB PMI Manufacturing World'!$A$1:$AA$1,),))=0,#N/A, (VLOOKUP(B59,'DB PMI Manufacturing World'!$A:$AA,MATCH($Z$1,'DB PMI Manufacturing World'!$A$1:$AA$1,),)))</f>
        <v>61.8</v>
      </c>
      <c r="AA59" s="37">
        <f>IF((VLOOKUP(B59,'DB PMI Manufacturing World'!$A:$AA,MATCH($AA$1,'DB PMI Manufacturing World'!$A$1:$AA$1,),))=0,#N/A, (VLOOKUP(B59,'DB PMI Manufacturing World'!$A:$AA,MATCH($AA$1,'DB PMI Manufacturing World'!$A$1:$AA$1,),)))</f>
        <v>57.2</v>
      </c>
      <c r="AB59" s="37">
        <f>IF((VLOOKUP(B59,'DB PMI Manufacturing World'!$A:$AA,MATCH($AB$1,'DB PMI Manufacturing World'!$A$1:$AA$1,),))=0,#N/A, (VLOOKUP(B59,'DB PMI Manufacturing World'!$A:$AA,MATCH($AB$1,'DB PMI Manufacturing World'!$A$1:$AA$1,),)))</f>
        <v>67.7</v>
      </c>
    </row>
    <row r="60" spans="2:28" s="56" customFormat="1" x14ac:dyDescent="0.35">
      <c r="B60" s="29">
        <v>44348</v>
      </c>
      <c r="C60" s="37">
        <f>IF((VLOOKUP(B60,'DB PMI Manufacturing World'!$A:$AA,MATCH($C$1,'DB PMI Manufacturing World'!$A$1:$AA$1,),))=0,#N/A, (VLOOKUP(B60,'DB PMI Manufacturing World'!$A:$AA,MATCH($C$1,'DB PMI Manufacturing World'!$A$1:$AA$1,),)))</f>
        <v>55.5</v>
      </c>
      <c r="D60" s="37">
        <f>IF((VLOOKUP(B60,'DB PMI Manufacturing World'!$A:$AA,MATCH($D$1,'DB PMI Manufacturing World'!$A$1:$AA$1,),))=0,#N/A, (VLOOKUP(B60,'DB PMI Manufacturing World'!$A:$AA,MATCH($D$1,'DB PMI Manufacturing World'!$A$1:$AA$1,),)))</f>
        <v>60.6</v>
      </c>
      <c r="E60" s="37">
        <f>IF((VLOOKUP(B60,'DB PMI Manufacturing World'!$A:$AA,MATCH($E$1,'DB PMI Manufacturing World'!$A$1:$AA$1,),))=0,#N/A, (VLOOKUP(B60,'DB PMI Manufacturing World'!$A:$AA,MATCH($E$1,'DB PMI Manufacturing World'!$A$1:$AA$1,),)))</f>
        <v>62.1</v>
      </c>
      <c r="F60" s="37">
        <f>IF((VLOOKUP(B60,'DB PMI Manufacturing World'!$A:$AA,MATCH($F$1,'DB PMI Manufacturing World'!$A$1:$AA$1,),))=0,#N/A, (VLOOKUP(B60,'DB PMI Manufacturing World'!$A:$AA,MATCH($F$1,'DB PMI Manufacturing World'!$A$1:$AA$1,),)))</f>
        <v>51.3</v>
      </c>
      <c r="G60" s="37">
        <f>IF((VLOOKUP(B60,'DB PMI Manufacturing World'!$A:$AA,MATCH($G$1,'DB PMI Manufacturing World'!$A$1:$AA$1,),))=0,#N/A, (VLOOKUP(B60,'DB PMI Manufacturing World'!$A:$AA,MATCH($G$1,'DB PMI Manufacturing World'!$A$1:$AA$1,),)))</f>
        <v>63.4</v>
      </c>
      <c r="H60" s="37">
        <f>IF((VLOOKUP(B60,'DB PMI Manufacturing World'!$A:$AA,MATCH($H$1,'DB PMI Manufacturing World'!$A$1:$AA$1,),))=0,#N/A, (VLOOKUP(B60,'DB PMI Manufacturing World'!$A:$AA,MATCH($H$1,'DB PMI Manufacturing World'!$A$1:$AA$1,),)))</f>
        <v>52.4</v>
      </c>
      <c r="I60" s="37">
        <f>IF((VLOOKUP(B60,'DB PMI Manufacturing World'!$A:$AA,MATCH($I$1,'DB PMI Manufacturing World'!$A$1:$AA$1,),))=0,#N/A, (VLOOKUP(B60,'DB PMI Manufacturing World'!$A:$AA,MATCH($I$1,'DB PMI Manufacturing World'!$A$1:$AA$1,),)))</f>
        <v>65.099999999999994</v>
      </c>
      <c r="J60" s="37">
        <f>IF((VLOOKUP(B60,'DB PMI Manufacturing World'!$A:$AA,MATCH($J$1,'DB PMI Manufacturing World'!$A$1:$AA$1,),))=0,#N/A, (VLOOKUP(B60,'DB PMI Manufacturing World'!$A:$AA,MATCH($J$1,'DB PMI Manufacturing World'!$A$1:$AA$1,),)))</f>
        <v>59</v>
      </c>
      <c r="K60" s="37">
        <f>IF((VLOOKUP(B60,'DB PMI Manufacturing World'!$A:$AA,MATCH($K$1,'DB PMI Manufacturing World'!$A$1:$AA$1,),))=0,#N/A, (VLOOKUP(B60,'DB PMI Manufacturing World'!$A:$AA,MATCH($K$1,'DB PMI Manufacturing World'!$A$1:$AA$1,),)))</f>
        <v>63.9</v>
      </c>
      <c r="L60" s="37">
        <f>IF((VLOOKUP(B60,'DB PMI Manufacturing World'!$A:$AA,MATCH($L$1,'DB PMI Manufacturing World'!$A$1:$AA$1,),))=0,#N/A, (VLOOKUP(B60,'DB PMI Manufacturing World'!$A:$AA,MATCH($L$1,'DB PMI Manufacturing World'!$A$1:$AA$1,),)))</f>
        <v>62.2</v>
      </c>
      <c r="M60" s="37">
        <f>IF((VLOOKUP(B60,'DB PMI Manufacturing World'!$A:$AA,MATCH($M$1,'DB PMI Manufacturing World'!$A$1:$AA$1,),))=0,#N/A, (VLOOKUP(B60,'DB PMI Manufacturing World'!$A:$AA,MATCH($M$1,'DB PMI Manufacturing World'!$A$1:$AA$1,),)))</f>
        <v>60.4</v>
      </c>
      <c r="N60" s="37">
        <f>IF((VLOOKUP(B60,'DB PMI Manufacturing World'!$A:$AA,MATCH($N$1,'DB PMI Manufacturing World'!$A$1:$AA$1,),))=0,#N/A, (VLOOKUP(B60,'DB PMI Manufacturing World'!$A:$AA,MATCH($N$1,'DB PMI Manufacturing World'!$A$1:$AA$1,),)))</f>
        <v>56.4</v>
      </c>
      <c r="O60" s="37">
        <f>IF((VLOOKUP(B60,'DB PMI Manufacturing World'!$A:$AA,MATCH($O$1,'DB PMI Manufacturing World'!$A$1:$AA$1,),))=0,#N/A, (VLOOKUP(B60,'DB PMI Manufacturing World'!$A:$AA,MATCH($O$1,'DB PMI Manufacturing World'!$A$1:$AA$1,),)))</f>
        <v>48.8</v>
      </c>
      <c r="P60" s="37">
        <f>IF((VLOOKUP(B60,'DB PMI Manufacturing World'!$A:$AA,MATCH($P$1,'DB PMI Manufacturing World'!$A$1:$AA$1,),))=0,#N/A, (VLOOKUP(B60,'DB PMI Manufacturing World'!$A:$AA,MATCH($P$1,'DB PMI Manufacturing World'!$A$1:$AA$1,),)))</f>
        <v>49.2</v>
      </c>
      <c r="Q60" s="37">
        <f>IF((VLOOKUP(B60,'DB PMI Manufacturing World'!$A:$AA,MATCH($Q$1,'DB PMI Manufacturing World'!$A$1:$AA$1,),))=0,#N/A, (VLOOKUP(B60,'DB PMI Manufacturing World'!$A:$AA,MATCH($Q$1,'DB PMI Manufacturing World'!$A$1:$AA$1,),)))</f>
        <v>48.1</v>
      </c>
      <c r="R60" s="37">
        <f>IF((VLOOKUP(B60,'DB PMI Manufacturing World'!$A:$AA,MATCH($R$1,'DB PMI Manufacturing World'!$A$1:$AA$1,),))=0,#N/A, (VLOOKUP(B60,'DB PMI Manufacturing World'!$A:$AA,MATCH($R$1,'DB PMI Manufacturing World'!$A$1:$AA$1,),)))</f>
        <v>56.5</v>
      </c>
      <c r="S60" s="37">
        <f>IF((VLOOKUP(B60,'DB PMI Manufacturing World'!$A:$AA,MATCH($S$1,'DB PMI Manufacturing World'!$A$1:$AA$1,),))=0,#N/A, (VLOOKUP(B60,'DB PMI Manufacturing World'!$A:$AA,MATCH($S$1,'DB PMI Manufacturing World'!$A$1:$AA$1,),)))</f>
        <v>63.2</v>
      </c>
      <c r="T60" s="37">
        <f>IF((VLOOKUP(B60,'DB PMI Manufacturing World'!$A:$AA,MATCH($T$1,'DB PMI Manufacturing World'!$A$1:$AA$1,),))=0,#N/A, (VLOOKUP(B60,'DB PMI Manufacturing World'!$A:$AA,MATCH($T$1,'DB PMI Manufacturing World'!$A$1:$AA$1,),)))</f>
        <v>53.5</v>
      </c>
      <c r="U60" s="37">
        <f>IF((VLOOKUP(B60,'DB PMI Manufacturing World'!$A:$AA,MATCH($U$1,'DB PMI Manufacturing World'!$A$1:$AA$1,),))=0,#N/A, (VLOOKUP(B60,'DB PMI Manufacturing World'!$A:$AA,MATCH($U$1,'DB PMI Manufacturing World'!$A$1:$AA$1,),)))</f>
        <v>53.9</v>
      </c>
      <c r="V60" s="37">
        <f>IF((VLOOKUP(B60,'DB PMI Manufacturing World'!$A:$AA,MATCH($V$1,'DB PMI Manufacturing World'!$A$1:$AA$1,),))=0,#N/A, (VLOOKUP(B60,'DB PMI Manufacturing World'!$A:$AA,MATCH($V$1,'DB PMI Manufacturing World'!$A$1:$AA$1,),)))</f>
        <v>57.6</v>
      </c>
      <c r="W60" s="37">
        <f>IF((VLOOKUP(B60,'DB PMI Manufacturing World'!$A:$AA,MATCH($W$1,'DB PMI Manufacturing World'!$A$1:$AA$1,),))=0,#N/A, (VLOOKUP(B60,'DB PMI Manufacturing World'!$A:$AA,MATCH($W$1,'DB PMI Manufacturing World'!$A$1:$AA$1,),)))</f>
        <v>58.6</v>
      </c>
      <c r="X60" s="37">
        <f>IF((VLOOKUP(B60,'DB PMI Manufacturing World'!$A:$AA,MATCH($X$1,'DB PMI Manufacturing World'!$A$1:$AA$1,),))=0,#N/A, (VLOOKUP(B60,'DB PMI Manufacturing World'!$A:$AA,MATCH($X$1,'DB PMI Manufacturing World'!$A$1:$AA$1,),)))</f>
        <v>64</v>
      </c>
      <c r="Y60" s="37">
        <f>IF((VLOOKUP(B60,'DB PMI Manufacturing World'!$A:$AA,MATCH($Y$1,'DB PMI Manufacturing World'!$A$1:$AA$1,),))=0,#N/A, (VLOOKUP(B60,'DB PMI Manufacturing World'!$A:$AA,MATCH($Y$1,'DB PMI Manufacturing World'!$A$1:$AA$1,),)))</f>
        <v>51.3</v>
      </c>
      <c r="Z60" s="37">
        <f>IF((VLOOKUP(B60,'DB PMI Manufacturing World'!$A:$AA,MATCH($Z$1,'DB PMI Manufacturing World'!$A$1:$AA$1,),))=0,#N/A, (VLOOKUP(B60,'DB PMI Manufacturing World'!$A:$AA,MATCH($Z$1,'DB PMI Manufacturing World'!$A$1:$AA$1,),)))</f>
        <v>62.7</v>
      </c>
      <c r="AA60" s="37">
        <f>IF((VLOOKUP(B60,'DB PMI Manufacturing World'!$A:$AA,MATCH($AA$1,'DB PMI Manufacturing World'!$A$1:$AA$1,),))=0,#N/A, (VLOOKUP(B60,'DB PMI Manufacturing World'!$A:$AA,MATCH($AA$1,'DB PMI Manufacturing World'!$A$1:$AA$1,),)))</f>
        <v>59.4</v>
      </c>
      <c r="AB60" s="37">
        <f>IF((VLOOKUP(B60,'DB PMI Manufacturing World'!$A:$AA,MATCH($AB$1,'DB PMI Manufacturing World'!$A$1:$AA$1,),))=0,#N/A, (VLOOKUP(B60,'DB PMI Manufacturing World'!$A:$AA,MATCH($AB$1,'DB PMI Manufacturing World'!$A$1:$AA$1,),)))</f>
        <v>62.1</v>
      </c>
    </row>
    <row r="61" spans="2:28" s="56" customFormat="1" x14ac:dyDescent="0.35">
      <c r="B61" s="29">
        <v>44378</v>
      </c>
      <c r="C61" s="37">
        <f>IF((VLOOKUP(B61,'DB PMI Manufacturing World'!$A:$AA,MATCH($C$1,'DB PMI Manufacturing World'!$A$1:$AA$1,),))=0,#N/A, (VLOOKUP(B61,'DB PMI Manufacturing World'!$A:$AA,MATCH($C$1,'DB PMI Manufacturing World'!$A$1:$AA$1,),)))</f>
        <v>55.4</v>
      </c>
      <c r="D61" s="37">
        <f>IF((VLOOKUP(B61,'DB PMI Manufacturing World'!$A:$AA,MATCH($D$1,'DB PMI Manufacturing World'!$A$1:$AA$1,),))=0,#N/A, (VLOOKUP(B61,'DB PMI Manufacturing World'!$A:$AA,MATCH($D$1,'DB PMI Manufacturing World'!$A$1:$AA$1,),)))</f>
        <v>59.5</v>
      </c>
      <c r="E61" s="37">
        <f>IF((VLOOKUP(B61,'DB PMI Manufacturing World'!$A:$AA,MATCH($E$1,'DB PMI Manufacturing World'!$A$1:$AA$1,),))=0,#N/A, (VLOOKUP(B61,'DB PMI Manufacturing World'!$A:$AA,MATCH($E$1,'DB PMI Manufacturing World'!$A$1:$AA$1,),)))</f>
        <v>63.4</v>
      </c>
      <c r="F61" s="37">
        <f>IF((VLOOKUP(B61,'DB PMI Manufacturing World'!$A:$AA,MATCH($F$1,'DB PMI Manufacturing World'!$A$1:$AA$1,),))=0,#N/A, (VLOOKUP(B61,'DB PMI Manufacturing World'!$A:$AA,MATCH($F$1,'DB PMI Manufacturing World'!$A$1:$AA$1,),)))</f>
        <v>50.3</v>
      </c>
      <c r="G61" s="37">
        <f>IF((VLOOKUP(B61,'DB PMI Manufacturing World'!$A:$AA,MATCH($G$1,'DB PMI Manufacturing World'!$A$1:$AA$1,),))=0,#N/A, (VLOOKUP(B61,'DB PMI Manufacturing World'!$A:$AA,MATCH($G$1,'DB PMI Manufacturing World'!$A$1:$AA$1,),)))</f>
        <v>62.8</v>
      </c>
      <c r="H61" s="37">
        <f>IF((VLOOKUP(B61,'DB PMI Manufacturing World'!$A:$AA,MATCH($H$1,'DB PMI Manufacturing World'!$A$1:$AA$1,),))=0,#N/A, (VLOOKUP(B61,'DB PMI Manufacturing World'!$A:$AA,MATCH($H$1,'DB PMI Manufacturing World'!$A$1:$AA$1,),)))</f>
        <v>53</v>
      </c>
      <c r="I61" s="37">
        <f>IF((VLOOKUP(B61,'DB PMI Manufacturing World'!$A:$AA,MATCH($I$1,'DB PMI Manufacturing World'!$A$1:$AA$1,),))=0,#N/A, (VLOOKUP(B61,'DB PMI Manufacturing World'!$A:$AA,MATCH($I$1,'DB PMI Manufacturing World'!$A$1:$AA$1,),)))</f>
        <v>65.900000000000006</v>
      </c>
      <c r="J61" s="37">
        <f>IF((VLOOKUP(B61,'DB PMI Manufacturing World'!$A:$AA,MATCH($J$1,'DB PMI Manufacturing World'!$A$1:$AA$1,),))=0,#N/A, (VLOOKUP(B61,'DB PMI Manufacturing World'!$A:$AA,MATCH($J$1,'DB PMI Manufacturing World'!$A$1:$AA$1,),)))</f>
        <v>58</v>
      </c>
      <c r="K61" s="37">
        <f>IF((VLOOKUP(B61,'DB PMI Manufacturing World'!$A:$AA,MATCH($K$1,'DB PMI Manufacturing World'!$A$1:$AA$1,),))=0,#N/A, (VLOOKUP(B61,'DB PMI Manufacturing World'!$A:$AA,MATCH($K$1,'DB PMI Manufacturing World'!$A$1:$AA$1,),)))</f>
        <v>60.4</v>
      </c>
      <c r="L61" s="37">
        <f>IF((VLOOKUP(B61,'DB PMI Manufacturing World'!$A:$AA,MATCH($L$1,'DB PMI Manufacturing World'!$A$1:$AA$1,),))=0,#N/A, (VLOOKUP(B61,'DB PMI Manufacturing World'!$A:$AA,MATCH($L$1,'DB PMI Manufacturing World'!$A$1:$AA$1,),)))</f>
        <v>60.3</v>
      </c>
      <c r="M61" s="37">
        <f>IF((VLOOKUP(B61,'DB PMI Manufacturing World'!$A:$AA,MATCH($M$1,'DB PMI Manufacturing World'!$A$1:$AA$1,),))=0,#N/A, (VLOOKUP(B61,'DB PMI Manufacturing World'!$A:$AA,MATCH($M$1,'DB PMI Manufacturing World'!$A$1:$AA$1,),)))</f>
        <v>59</v>
      </c>
      <c r="N61" s="37">
        <f>IF((VLOOKUP(B61,'DB PMI Manufacturing World'!$A:$AA,MATCH($N$1,'DB PMI Manufacturing World'!$A$1:$AA$1,),))=0,#N/A, (VLOOKUP(B61,'DB PMI Manufacturing World'!$A:$AA,MATCH($N$1,'DB PMI Manufacturing World'!$A$1:$AA$1,),)))</f>
        <v>56.7</v>
      </c>
      <c r="O61" s="37">
        <f>IF((VLOOKUP(B61,'DB PMI Manufacturing World'!$A:$AA,MATCH($O$1,'DB PMI Manufacturing World'!$A$1:$AA$1,),))=0,#N/A, (VLOOKUP(B61,'DB PMI Manufacturing World'!$A:$AA,MATCH($O$1,'DB PMI Manufacturing World'!$A$1:$AA$1,),)))</f>
        <v>49.6</v>
      </c>
      <c r="P61" s="37">
        <f>IF((VLOOKUP(B61,'DB PMI Manufacturing World'!$A:$AA,MATCH($P$1,'DB PMI Manufacturing World'!$A$1:$AA$1,),))=0,#N/A, (VLOOKUP(B61,'DB PMI Manufacturing World'!$A:$AA,MATCH($P$1,'DB PMI Manufacturing World'!$A$1:$AA$1,),)))</f>
        <v>47.5</v>
      </c>
      <c r="Q61" s="37">
        <f>IF((VLOOKUP(B61,'DB PMI Manufacturing World'!$A:$AA,MATCH($Q$1,'DB PMI Manufacturing World'!$A$1:$AA$1,),))=0,#N/A, (VLOOKUP(B61,'DB PMI Manufacturing World'!$A:$AA,MATCH($Q$1,'DB PMI Manufacturing World'!$A$1:$AA$1,),)))</f>
        <v>55.3</v>
      </c>
      <c r="R61" s="37">
        <f>IF((VLOOKUP(B61,'DB PMI Manufacturing World'!$A:$AA,MATCH($R$1,'DB PMI Manufacturing World'!$A$1:$AA$1,),))=0,#N/A, (VLOOKUP(B61,'DB PMI Manufacturing World'!$A:$AA,MATCH($R$1,'DB PMI Manufacturing World'!$A$1:$AA$1,),)))</f>
        <v>56.2</v>
      </c>
      <c r="S61" s="37">
        <f>IF((VLOOKUP(B61,'DB PMI Manufacturing World'!$A:$AA,MATCH($S$1,'DB PMI Manufacturing World'!$A$1:$AA$1,),))=0,#N/A, (VLOOKUP(B61,'DB PMI Manufacturing World'!$A:$AA,MATCH($S$1,'DB PMI Manufacturing World'!$A$1:$AA$1,),)))</f>
        <v>60.8</v>
      </c>
      <c r="T61" s="37">
        <f>IF((VLOOKUP(B61,'DB PMI Manufacturing World'!$A:$AA,MATCH($T$1,'DB PMI Manufacturing World'!$A$1:$AA$1,),))=0,#N/A, (VLOOKUP(B61,'DB PMI Manufacturing World'!$A:$AA,MATCH($T$1,'DB PMI Manufacturing World'!$A$1:$AA$1,),)))</f>
        <v>40.1</v>
      </c>
      <c r="U61" s="37">
        <f>IF((VLOOKUP(B61,'DB PMI Manufacturing World'!$A:$AA,MATCH($U$1,'DB PMI Manufacturing World'!$A$1:$AA$1,),))=0,#N/A, (VLOOKUP(B61,'DB PMI Manufacturing World'!$A:$AA,MATCH($U$1,'DB PMI Manufacturing World'!$A$1:$AA$1,),)))</f>
        <v>53</v>
      </c>
      <c r="V61" s="37">
        <f>IF((VLOOKUP(B61,'DB PMI Manufacturing World'!$A:$AA,MATCH($V$1,'DB PMI Manufacturing World'!$A$1:$AA$1,),))=0,#N/A, (VLOOKUP(B61,'DB PMI Manufacturing World'!$A:$AA,MATCH($V$1,'DB PMI Manufacturing World'!$A$1:$AA$1,),)))</f>
        <v>59.7</v>
      </c>
      <c r="W61" s="37">
        <f>IF((VLOOKUP(B61,'DB PMI Manufacturing World'!$A:$AA,MATCH($W$1,'DB PMI Manufacturing World'!$A$1:$AA$1,),))=0,#N/A, (VLOOKUP(B61,'DB PMI Manufacturing World'!$A:$AA,MATCH($W$1,'DB PMI Manufacturing World'!$A$1:$AA$1,),)))</f>
        <v>57.4</v>
      </c>
      <c r="X61" s="37">
        <f>IF((VLOOKUP(B61,'DB PMI Manufacturing World'!$A:$AA,MATCH($X$1,'DB PMI Manufacturing World'!$A$1:$AA$1,),))=0,#N/A, (VLOOKUP(B61,'DB PMI Manufacturing World'!$A:$AA,MATCH($X$1,'DB PMI Manufacturing World'!$A$1:$AA$1,),)))</f>
        <v>63.3</v>
      </c>
      <c r="Y61" s="37">
        <f>IF((VLOOKUP(B61,'DB PMI Manufacturing World'!$A:$AA,MATCH($Y$1,'DB PMI Manufacturing World'!$A$1:$AA$1,),))=0,#N/A, (VLOOKUP(B61,'DB PMI Manufacturing World'!$A:$AA,MATCH($Y$1,'DB PMI Manufacturing World'!$A$1:$AA$1,),)))</f>
        <v>54</v>
      </c>
      <c r="Z61" s="37">
        <f>IF((VLOOKUP(B61,'DB PMI Manufacturing World'!$A:$AA,MATCH($Z$1,'DB PMI Manufacturing World'!$A$1:$AA$1,),))=0,#N/A, (VLOOKUP(B61,'DB PMI Manufacturing World'!$A:$AA,MATCH($Z$1,'DB PMI Manufacturing World'!$A$1:$AA$1,),)))</f>
        <v>62</v>
      </c>
      <c r="AA61" s="37">
        <f>IF((VLOOKUP(B61,'DB PMI Manufacturing World'!$A:$AA,MATCH($AA$1,'DB PMI Manufacturing World'!$A$1:$AA$1,),))=0,#N/A, (VLOOKUP(B61,'DB PMI Manufacturing World'!$A:$AA,MATCH($AA$1,'DB PMI Manufacturing World'!$A$1:$AA$1,),)))</f>
        <v>57.6</v>
      </c>
      <c r="AB61" s="37">
        <f>IF((VLOOKUP(B61,'DB PMI Manufacturing World'!$A:$AA,MATCH($AB$1,'DB PMI Manufacturing World'!$A$1:$AA$1,),))=0,#N/A, (VLOOKUP(B61,'DB PMI Manufacturing World'!$A:$AA,MATCH($AB$1,'DB PMI Manufacturing World'!$A$1:$AA$1,),)))</f>
        <v>69.8</v>
      </c>
    </row>
    <row r="62" spans="2:28" s="56" customFormat="1" x14ac:dyDescent="0.35">
      <c r="B62" s="29">
        <v>44409</v>
      </c>
      <c r="C62" s="37">
        <f>IF((VLOOKUP(B62,'DB PMI Manufacturing World'!$A:$AA,MATCH($C$1,'DB PMI Manufacturing World'!$A$1:$AA$1,),))=0,#N/A, (VLOOKUP(B62,'DB PMI Manufacturing World'!$A:$AA,MATCH($C$1,'DB PMI Manufacturing World'!$A$1:$AA$1,),)))</f>
        <v>54.1</v>
      </c>
      <c r="D62" s="37">
        <f>IF((VLOOKUP(B62,'DB PMI Manufacturing World'!$A:$AA,MATCH($D$1,'DB PMI Manufacturing World'!$A$1:$AA$1,),))=0,#N/A, (VLOOKUP(B62,'DB PMI Manufacturing World'!$A:$AA,MATCH($D$1,'DB PMI Manufacturing World'!$A$1:$AA$1,),)))</f>
        <v>59.9</v>
      </c>
      <c r="E62" s="37">
        <f>IF((VLOOKUP(B62,'DB PMI Manufacturing World'!$A:$AA,MATCH($E$1,'DB PMI Manufacturing World'!$A$1:$AA$1,),))=0,#N/A, (VLOOKUP(B62,'DB PMI Manufacturing World'!$A:$AA,MATCH($E$1,'DB PMI Manufacturing World'!$A$1:$AA$1,),)))</f>
        <v>61.1</v>
      </c>
      <c r="F62" s="37">
        <f>IF((VLOOKUP(B62,'DB PMI Manufacturing World'!$A:$AA,MATCH($F$1,'DB PMI Manufacturing World'!$A$1:$AA$1,),))=0,#N/A, (VLOOKUP(B62,'DB PMI Manufacturing World'!$A:$AA,MATCH($F$1,'DB PMI Manufacturing World'!$A$1:$AA$1,),)))</f>
        <v>49.2</v>
      </c>
      <c r="G62" s="37">
        <f>IF((VLOOKUP(B62,'DB PMI Manufacturing World'!$A:$AA,MATCH($G$1,'DB PMI Manufacturing World'!$A$1:$AA$1,),))=0,#N/A, (VLOOKUP(B62,'DB PMI Manufacturing World'!$A:$AA,MATCH($G$1,'DB PMI Manufacturing World'!$A$1:$AA$1,),)))</f>
        <v>61.4</v>
      </c>
      <c r="H62" s="37">
        <f>IF((VLOOKUP(B62,'DB PMI Manufacturing World'!$A:$AA,MATCH($H$1,'DB PMI Manufacturing World'!$A$1:$AA$1,),))=0,#N/A, (VLOOKUP(B62,'DB PMI Manufacturing World'!$A:$AA,MATCH($H$1,'DB PMI Manufacturing World'!$A$1:$AA$1,),)))</f>
        <v>52.7</v>
      </c>
      <c r="I62" s="37">
        <f>IF((VLOOKUP(B62,'DB PMI Manufacturing World'!$A:$AA,MATCH($I$1,'DB PMI Manufacturing World'!$A$1:$AA$1,),))=0,#N/A, (VLOOKUP(B62,'DB PMI Manufacturing World'!$A:$AA,MATCH($I$1,'DB PMI Manufacturing World'!$A$1:$AA$1,),)))</f>
        <v>62.6</v>
      </c>
      <c r="J62" s="37">
        <f>IF((VLOOKUP(B62,'DB PMI Manufacturing World'!$A:$AA,MATCH($J$1,'DB PMI Manufacturing World'!$A$1:$AA$1,),))=0,#N/A, (VLOOKUP(B62,'DB PMI Manufacturing World'!$A:$AA,MATCH($J$1,'DB PMI Manufacturing World'!$A$1:$AA$1,),)))</f>
        <v>57.5</v>
      </c>
      <c r="K62" s="37">
        <f>IF((VLOOKUP(B62,'DB PMI Manufacturing World'!$A:$AA,MATCH($K$1,'DB PMI Manufacturing World'!$A$1:$AA$1,),))=0,#N/A, (VLOOKUP(B62,'DB PMI Manufacturing World'!$A:$AA,MATCH($K$1,'DB PMI Manufacturing World'!$A$1:$AA$1,),)))</f>
        <v>60.3</v>
      </c>
      <c r="L62" s="37">
        <f>IF((VLOOKUP(B62,'DB PMI Manufacturing World'!$A:$AA,MATCH($L$1,'DB PMI Manufacturing World'!$A$1:$AA$1,),))=0,#N/A, (VLOOKUP(B62,'DB PMI Manufacturing World'!$A:$AA,MATCH($L$1,'DB PMI Manufacturing World'!$A$1:$AA$1,),)))</f>
        <v>60.9</v>
      </c>
      <c r="M62" s="37">
        <f>IF((VLOOKUP(B62,'DB PMI Manufacturing World'!$A:$AA,MATCH($M$1,'DB PMI Manufacturing World'!$A$1:$AA$1,),))=0,#N/A, (VLOOKUP(B62,'DB PMI Manufacturing World'!$A:$AA,MATCH($M$1,'DB PMI Manufacturing World'!$A$1:$AA$1,),)))</f>
        <v>59.5</v>
      </c>
      <c r="N62" s="37">
        <f>IF((VLOOKUP(B62,'DB PMI Manufacturing World'!$A:$AA,MATCH($N$1,'DB PMI Manufacturing World'!$A$1:$AA$1,),))=0,#N/A, (VLOOKUP(B62,'DB PMI Manufacturing World'!$A:$AA,MATCH($N$1,'DB PMI Manufacturing World'!$A$1:$AA$1,),)))</f>
        <v>53.6</v>
      </c>
      <c r="O62" s="37">
        <f>IF((VLOOKUP(B62,'DB PMI Manufacturing World'!$A:$AA,MATCH($O$1,'DB PMI Manufacturing World'!$A$1:$AA$1,),))=0,#N/A, (VLOOKUP(B62,'DB PMI Manufacturing World'!$A:$AA,MATCH($O$1,'DB PMI Manufacturing World'!$A$1:$AA$1,),)))</f>
        <v>47.1</v>
      </c>
      <c r="P62" s="37">
        <f>IF((VLOOKUP(B62,'DB PMI Manufacturing World'!$A:$AA,MATCH($P$1,'DB PMI Manufacturing World'!$A$1:$AA$1,),))=0,#N/A, (VLOOKUP(B62,'DB PMI Manufacturing World'!$A:$AA,MATCH($P$1,'DB PMI Manufacturing World'!$A$1:$AA$1,),)))</f>
        <v>46.5</v>
      </c>
      <c r="Q62" s="37">
        <f>IF((VLOOKUP(B62,'DB PMI Manufacturing World'!$A:$AA,MATCH($Q$1,'DB PMI Manufacturing World'!$A$1:$AA$1,),))=0,#N/A, (VLOOKUP(B62,'DB PMI Manufacturing World'!$A:$AA,MATCH($Q$1,'DB PMI Manufacturing World'!$A$1:$AA$1,),)))</f>
        <v>52.3</v>
      </c>
      <c r="R62" s="37">
        <f>IF((VLOOKUP(B62,'DB PMI Manufacturing World'!$A:$AA,MATCH($R$1,'DB PMI Manufacturing World'!$A$1:$AA$1,),))=0,#N/A, (VLOOKUP(B62,'DB PMI Manufacturing World'!$A:$AA,MATCH($R$1,'DB PMI Manufacturing World'!$A$1:$AA$1,),)))</f>
        <v>57.2</v>
      </c>
      <c r="S62" s="37">
        <f>IF((VLOOKUP(B62,'DB PMI Manufacturing World'!$A:$AA,MATCH($S$1,'DB PMI Manufacturing World'!$A$1:$AA$1,),))=0,#N/A, (VLOOKUP(B62,'DB PMI Manufacturing World'!$A:$AA,MATCH($S$1,'DB PMI Manufacturing World'!$A$1:$AA$1,),)))</f>
        <v>51.6</v>
      </c>
      <c r="T62" s="37">
        <f>IF((VLOOKUP(B62,'DB PMI Manufacturing World'!$A:$AA,MATCH($T$1,'DB PMI Manufacturing World'!$A$1:$AA$1,),))=0,#N/A, (VLOOKUP(B62,'DB PMI Manufacturing World'!$A:$AA,MATCH($T$1,'DB PMI Manufacturing World'!$A$1:$AA$1,),)))</f>
        <v>43.7</v>
      </c>
      <c r="U62" s="37">
        <f>IF((VLOOKUP(B62,'DB PMI Manufacturing World'!$A:$AA,MATCH($U$1,'DB PMI Manufacturing World'!$A$1:$AA$1,),))=0,#N/A, (VLOOKUP(B62,'DB PMI Manufacturing World'!$A:$AA,MATCH($U$1,'DB PMI Manufacturing World'!$A$1:$AA$1,),)))</f>
        <v>51.2</v>
      </c>
      <c r="V62" s="37">
        <f>IF((VLOOKUP(B62,'DB PMI Manufacturing World'!$A:$AA,MATCH($V$1,'DB PMI Manufacturing World'!$A$1:$AA$1,),))=0,#N/A, (VLOOKUP(B62,'DB PMI Manufacturing World'!$A:$AA,MATCH($V$1,'DB PMI Manufacturing World'!$A$1:$AA$1,),)))</f>
        <v>58.5</v>
      </c>
      <c r="W62" s="37">
        <f>IF((VLOOKUP(B62,'DB PMI Manufacturing World'!$A:$AA,MATCH($W$1,'DB PMI Manufacturing World'!$A$1:$AA$1,),))=0,#N/A, (VLOOKUP(B62,'DB PMI Manufacturing World'!$A:$AA,MATCH($W$1,'DB PMI Manufacturing World'!$A$1:$AA$1,),)))</f>
        <v>59.3</v>
      </c>
      <c r="X62" s="37">
        <f>IF((VLOOKUP(B62,'DB PMI Manufacturing World'!$A:$AA,MATCH($X$1,'DB PMI Manufacturing World'!$A$1:$AA$1,),))=0,#N/A, (VLOOKUP(B62,'DB PMI Manufacturing World'!$A:$AA,MATCH($X$1,'DB PMI Manufacturing World'!$A$1:$AA$1,),)))</f>
        <v>62.8</v>
      </c>
      <c r="Y62" s="37">
        <f>IF((VLOOKUP(B62,'DB PMI Manufacturing World'!$A:$AA,MATCH($Y$1,'DB PMI Manufacturing World'!$A$1:$AA$1,),))=0,#N/A, (VLOOKUP(B62,'DB PMI Manufacturing World'!$A:$AA,MATCH($Y$1,'DB PMI Manufacturing World'!$A$1:$AA$1,),)))</f>
        <v>54.1</v>
      </c>
      <c r="Z62" s="37">
        <f>IF((VLOOKUP(B62,'DB PMI Manufacturing World'!$A:$AA,MATCH($Z$1,'DB PMI Manufacturing World'!$A$1:$AA$1,),))=0,#N/A, (VLOOKUP(B62,'DB PMI Manufacturing World'!$A:$AA,MATCH($Z$1,'DB PMI Manufacturing World'!$A$1:$AA$1,),)))</f>
        <v>61</v>
      </c>
      <c r="AA62" s="37">
        <f>IF((VLOOKUP(B62,'DB PMI Manufacturing World'!$A:$AA,MATCH($AA$1,'DB PMI Manufacturing World'!$A$1:$AA$1,),))=0,#N/A, (VLOOKUP(B62,'DB PMI Manufacturing World'!$A:$AA,MATCH($AA$1,'DB PMI Manufacturing World'!$A$1:$AA$1,),)))</f>
        <v>56</v>
      </c>
      <c r="AB62" s="37">
        <f>IF((VLOOKUP(B62,'DB PMI Manufacturing World'!$A:$AA,MATCH($AB$1,'DB PMI Manufacturing World'!$A$1:$AA$1,),))=0,#N/A, (VLOOKUP(B62,'DB PMI Manufacturing World'!$A:$AA,MATCH($AB$1,'DB PMI Manufacturing World'!$A$1:$AA$1,),)))</f>
        <v>67.3</v>
      </c>
    </row>
    <row r="63" spans="2:28" s="56" customFormat="1" x14ac:dyDescent="0.35">
      <c r="B63" s="29">
        <v>44440</v>
      </c>
      <c r="C63" s="37">
        <f>IF((VLOOKUP(B63,'DB PMI Manufacturing World'!$A:$AA,MATCH($C$1,'DB PMI Manufacturing World'!$A$1:$AA$1,),))=0,#N/A, (VLOOKUP(B63,'DB PMI Manufacturing World'!$A:$AA,MATCH($C$1,'DB PMI Manufacturing World'!$A$1:$AA$1,),)))</f>
        <v>54.1</v>
      </c>
      <c r="D63" s="37">
        <f>IF((VLOOKUP(B63,'DB PMI Manufacturing World'!$A:$AA,MATCH($D$1,'DB PMI Manufacturing World'!$A$1:$AA$1,),))=0,#N/A, (VLOOKUP(B63,'DB PMI Manufacturing World'!$A:$AA,MATCH($D$1,'DB PMI Manufacturing World'!$A$1:$AA$1,),)))</f>
        <v>60.3</v>
      </c>
      <c r="E63" s="37">
        <f>IF((VLOOKUP(B63,'DB PMI Manufacturing World'!$A:$AA,MATCH($E$1,'DB PMI Manufacturing World'!$A$1:$AA$1,),))=0,#N/A, (VLOOKUP(B63,'DB PMI Manufacturing World'!$A:$AA,MATCH($E$1,'DB PMI Manufacturing World'!$A$1:$AA$1,),)))</f>
        <v>60.7</v>
      </c>
      <c r="F63" s="37">
        <f>IF((VLOOKUP(B63,'DB PMI Manufacturing World'!$A:$AA,MATCH($F$1,'DB PMI Manufacturing World'!$A$1:$AA$1,),))=0,#N/A, (VLOOKUP(B63,'DB PMI Manufacturing World'!$A:$AA,MATCH($F$1,'DB PMI Manufacturing World'!$A$1:$AA$1,),)))</f>
        <v>50</v>
      </c>
      <c r="G63" s="37">
        <f>IF((VLOOKUP(B63,'DB PMI Manufacturing World'!$A:$AA,MATCH($G$1,'DB PMI Manufacturing World'!$A$1:$AA$1,),))=0,#N/A, (VLOOKUP(B63,'DB PMI Manufacturing World'!$A:$AA,MATCH($G$1,'DB PMI Manufacturing World'!$A$1:$AA$1,),)))</f>
        <v>58.6</v>
      </c>
      <c r="H63" s="37">
        <f>IF((VLOOKUP(B63,'DB PMI Manufacturing World'!$A:$AA,MATCH($H$1,'DB PMI Manufacturing World'!$A$1:$AA$1,),))=0,#N/A, (VLOOKUP(B63,'DB PMI Manufacturing World'!$A:$AA,MATCH($H$1,'DB PMI Manufacturing World'!$A$1:$AA$1,),)))</f>
        <v>51.5</v>
      </c>
      <c r="I63" s="37">
        <f>IF((VLOOKUP(B63,'DB PMI Manufacturing World'!$A:$AA,MATCH($I$1,'DB PMI Manufacturing World'!$A$1:$AA$1,),))=0,#N/A, (VLOOKUP(B63,'DB PMI Manufacturing World'!$A:$AA,MATCH($I$1,'DB PMI Manufacturing World'!$A$1:$AA$1,),)))</f>
        <v>58.4</v>
      </c>
      <c r="J63" s="37">
        <f>IF((VLOOKUP(B63,'DB PMI Manufacturing World'!$A:$AA,MATCH($J$1,'DB PMI Manufacturing World'!$A$1:$AA$1,),))=0,#N/A, (VLOOKUP(B63,'DB PMI Manufacturing World'!$A:$AA,MATCH($J$1,'DB PMI Manufacturing World'!$A$1:$AA$1,),)))</f>
        <v>55</v>
      </c>
      <c r="K63" s="37">
        <f>IF((VLOOKUP(B63,'DB PMI Manufacturing World'!$A:$AA,MATCH($K$1,'DB PMI Manufacturing World'!$A$1:$AA$1,),))=0,#N/A, (VLOOKUP(B63,'DB PMI Manufacturing World'!$A:$AA,MATCH($K$1,'DB PMI Manufacturing World'!$A$1:$AA$1,),)))</f>
        <v>57.1</v>
      </c>
      <c r="L63" s="37">
        <f>IF((VLOOKUP(B63,'DB PMI Manufacturing World'!$A:$AA,MATCH($L$1,'DB PMI Manufacturing World'!$A$1:$AA$1,),))=0,#N/A, (VLOOKUP(B63,'DB PMI Manufacturing World'!$A:$AA,MATCH($L$1,'DB PMI Manufacturing World'!$A$1:$AA$1,),)))</f>
        <v>59.7</v>
      </c>
      <c r="M63" s="37">
        <f>IF((VLOOKUP(B63,'DB PMI Manufacturing World'!$A:$AA,MATCH($M$1,'DB PMI Manufacturing World'!$A$1:$AA$1,),))=0,#N/A, (VLOOKUP(B63,'DB PMI Manufacturing World'!$A:$AA,MATCH($M$1,'DB PMI Manufacturing World'!$A$1:$AA$1,),)))</f>
        <v>58.1</v>
      </c>
      <c r="N63" s="37">
        <f>IF((VLOOKUP(B63,'DB PMI Manufacturing World'!$A:$AA,MATCH($N$1,'DB PMI Manufacturing World'!$A$1:$AA$1,),))=0,#N/A, (VLOOKUP(B63,'DB PMI Manufacturing World'!$A:$AA,MATCH($N$1,'DB PMI Manufacturing World'!$A$1:$AA$1,),)))</f>
        <v>54.4</v>
      </c>
      <c r="O63" s="37">
        <f>IF((VLOOKUP(B63,'DB PMI Manufacturing World'!$A:$AA,MATCH($O$1,'DB PMI Manufacturing World'!$A$1:$AA$1,),))=0,#N/A, (VLOOKUP(B63,'DB PMI Manufacturing World'!$A:$AA,MATCH($O$1,'DB PMI Manufacturing World'!$A$1:$AA$1,),)))</f>
        <v>48.6</v>
      </c>
      <c r="P63" s="37">
        <f>IF((VLOOKUP(B63,'DB PMI Manufacturing World'!$A:$AA,MATCH($P$1,'DB PMI Manufacturing World'!$A$1:$AA$1,),))=0,#N/A, (VLOOKUP(B63,'DB PMI Manufacturing World'!$A:$AA,MATCH($P$1,'DB PMI Manufacturing World'!$A$1:$AA$1,),)))</f>
        <v>49.8</v>
      </c>
      <c r="Q63" s="37">
        <f>IF((VLOOKUP(B63,'DB PMI Manufacturing World'!$A:$AA,MATCH($Q$1,'DB PMI Manufacturing World'!$A$1:$AA$1,),))=0,#N/A, (VLOOKUP(B63,'DB PMI Manufacturing World'!$A:$AA,MATCH($Q$1,'DB PMI Manufacturing World'!$A$1:$AA$1,),)))</f>
        <v>53.7</v>
      </c>
      <c r="R63" s="37">
        <f>IF((VLOOKUP(B63,'DB PMI Manufacturing World'!$A:$AA,MATCH($R$1,'DB PMI Manufacturing World'!$A$1:$AA$1,),))=0,#N/A, (VLOOKUP(B63,'DB PMI Manufacturing World'!$A:$AA,MATCH($R$1,'DB PMI Manufacturing World'!$A$1:$AA$1,),)))</f>
        <v>57</v>
      </c>
      <c r="S63" s="37">
        <f>IF((VLOOKUP(B63,'DB PMI Manufacturing World'!$A:$AA,MATCH($S$1,'DB PMI Manufacturing World'!$A$1:$AA$1,),))=0,#N/A, (VLOOKUP(B63,'DB PMI Manufacturing World'!$A:$AA,MATCH($S$1,'DB PMI Manufacturing World'!$A$1:$AA$1,),)))</f>
        <v>51.2</v>
      </c>
      <c r="T63" s="37">
        <f>IF((VLOOKUP(B63,'DB PMI Manufacturing World'!$A:$AA,MATCH($T$1,'DB PMI Manufacturing World'!$A$1:$AA$1,),))=0,#N/A, (VLOOKUP(B63,'DB PMI Manufacturing World'!$A:$AA,MATCH($T$1,'DB PMI Manufacturing World'!$A$1:$AA$1,),)))</f>
        <v>52.2</v>
      </c>
      <c r="U63" s="37">
        <f>IF((VLOOKUP(B63,'DB PMI Manufacturing World'!$A:$AA,MATCH($U$1,'DB PMI Manufacturing World'!$A$1:$AA$1,),))=0,#N/A, (VLOOKUP(B63,'DB PMI Manufacturing World'!$A:$AA,MATCH($U$1,'DB PMI Manufacturing World'!$A$1:$AA$1,),)))</f>
        <v>52.4</v>
      </c>
      <c r="V63" s="37">
        <f>IF((VLOOKUP(B63,'DB PMI Manufacturing World'!$A:$AA,MATCH($V$1,'DB PMI Manufacturing World'!$A$1:$AA$1,),))=0,#N/A, (VLOOKUP(B63,'DB PMI Manufacturing World'!$A:$AA,MATCH($V$1,'DB PMI Manufacturing World'!$A$1:$AA$1,),)))</f>
        <v>54.7</v>
      </c>
      <c r="W63" s="37">
        <f>IF((VLOOKUP(B63,'DB PMI Manufacturing World'!$A:$AA,MATCH($W$1,'DB PMI Manufacturing World'!$A$1:$AA$1,),))=0,#N/A, (VLOOKUP(B63,'DB PMI Manufacturing World'!$A:$AA,MATCH($W$1,'DB PMI Manufacturing World'!$A$1:$AA$1,),)))</f>
        <v>58.4</v>
      </c>
      <c r="X63" s="37">
        <f>IF((VLOOKUP(B63,'DB PMI Manufacturing World'!$A:$AA,MATCH($X$1,'DB PMI Manufacturing World'!$A$1:$AA$1,),))=0,#N/A, (VLOOKUP(B63,'DB PMI Manufacturing World'!$A:$AA,MATCH($X$1,'DB PMI Manufacturing World'!$A$1:$AA$1,),)))</f>
        <v>60.3</v>
      </c>
      <c r="Y63" s="37">
        <f>IF((VLOOKUP(B63,'DB PMI Manufacturing World'!$A:$AA,MATCH($Y$1,'DB PMI Manufacturing World'!$A$1:$AA$1,),))=0,#N/A, (VLOOKUP(B63,'DB PMI Manufacturing World'!$A:$AA,MATCH($Y$1,'DB PMI Manufacturing World'!$A$1:$AA$1,),)))</f>
        <v>52.5</v>
      </c>
      <c r="Z63" s="37">
        <f>IF((VLOOKUP(B63,'DB PMI Manufacturing World'!$A:$AA,MATCH($Z$1,'DB PMI Manufacturing World'!$A$1:$AA$1,),))=0,#N/A, (VLOOKUP(B63,'DB PMI Manufacturing World'!$A:$AA,MATCH($Z$1,'DB PMI Manufacturing World'!$A$1:$AA$1,),)))</f>
        <v>58</v>
      </c>
      <c r="AA63" s="37">
        <f>IF((VLOOKUP(B63,'DB PMI Manufacturing World'!$A:$AA,MATCH($AA$1,'DB PMI Manufacturing World'!$A$1:$AA$1,),))=0,#N/A, (VLOOKUP(B63,'DB PMI Manufacturing World'!$A:$AA,MATCH($AA$1,'DB PMI Manufacturing World'!$A$1:$AA$1,),)))</f>
        <v>53.4</v>
      </c>
      <c r="AB63" s="37">
        <f>IF((VLOOKUP(B63,'DB PMI Manufacturing World'!$A:$AA,MATCH($AB$1,'DB PMI Manufacturing World'!$A$1:$AA$1,),))=0,#N/A, (VLOOKUP(B63,'DB PMI Manufacturing World'!$A:$AA,MATCH($AB$1,'DB PMI Manufacturing World'!$A$1:$AA$1,),)))</f>
        <v>65.2</v>
      </c>
    </row>
    <row r="64" spans="2:28" s="56" customFormat="1" x14ac:dyDescent="0.35">
      <c r="B64" s="29">
        <v>44470</v>
      </c>
      <c r="C64" s="37">
        <f>IF((VLOOKUP(B64,'DB PMI Manufacturing World'!$A:$AA,MATCH($C$1,'DB PMI Manufacturing World'!$A$1:$AA$1,),))=0,#N/A, (VLOOKUP(B64,'DB PMI Manufacturing World'!$A:$AA,MATCH($C$1,'DB PMI Manufacturing World'!$A$1:$AA$1,),)))</f>
        <v>54.2</v>
      </c>
      <c r="D64" s="37">
        <f>IF((VLOOKUP(B64,'DB PMI Manufacturing World'!$A:$AA,MATCH($D$1,'DB PMI Manufacturing World'!$A$1:$AA$1,),))=0,#N/A, (VLOOKUP(B64,'DB PMI Manufacturing World'!$A:$AA,MATCH($D$1,'DB PMI Manufacturing World'!$A$1:$AA$1,),)))</f>
        <v>60.7</v>
      </c>
      <c r="E64" s="37">
        <f>IF((VLOOKUP(B64,'DB PMI Manufacturing World'!$A:$AA,MATCH($E$1,'DB PMI Manufacturing World'!$A$1:$AA$1,),))=0,#N/A, (VLOOKUP(B64,'DB PMI Manufacturing World'!$A:$AA,MATCH($E$1,'DB PMI Manufacturing World'!$A$1:$AA$1,),)))</f>
        <v>58.4</v>
      </c>
      <c r="F64" s="37">
        <f>IF((VLOOKUP(B64,'DB PMI Manufacturing World'!$A:$AA,MATCH($F$1,'DB PMI Manufacturing World'!$A$1:$AA$1,),))=0,#N/A, (VLOOKUP(B64,'DB PMI Manufacturing World'!$A:$AA,MATCH($F$1,'DB PMI Manufacturing World'!$A$1:$AA$1,),)))</f>
        <v>50.6</v>
      </c>
      <c r="G64" s="37">
        <f>IF((VLOOKUP(B64,'DB PMI Manufacturing World'!$A:$AA,MATCH($G$1,'DB PMI Manufacturing World'!$A$1:$AA$1,),))=0,#N/A, (VLOOKUP(B64,'DB PMI Manufacturing World'!$A:$AA,MATCH($G$1,'DB PMI Manufacturing World'!$A$1:$AA$1,),)))</f>
        <v>58.3</v>
      </c>
      <c r="H64" s="37">
        <f>IF((VLOOKUP(B64,'DB PMI Manufacturing World'!$A:$AA,MATCH($H$1,'DB PMI Manufacturing World'!$A$1:$AA$1,),))=0,#N/A, (VLOOKUP(B64,'DB PMI Manufacturing World'!$A:$AA,MATCH($H$1,'DB PMI Manufacturing World'!$A$1:$AA$1,),)))</f>
        <v>53.2</v>
      </c>
      <c r="I64" s="37">
        <f>IF((VLOOKUP(B64,'DB PMI Manufacturing World'!$A:$AA,MATCH($I$1,'DB PMI Manufacturing World'!$A$1:$AA$1,),))=0,#N/A, (VLOOKUP(B64,'DB PMI Manufacturing World'!$A:$AA,MATCH($I$1,'DB PMI Manufacturing World'!$A$1:$AA$1,),)))</f>
        <v>57.8</v>
      </c>
      <c r="J64" s="37">
        <f>IF((VLOOKUP(B64,'DB PMI Manufacturing World'!$A:$AA,MATCH($J$1,'DB PMI Manufacturing World'!$A$1:$AA$1,),))=0,#N/A, (VLOOKUP(B64,'DB PMI Manufacturing World'!$A:$AA,MATCH($J$1,'DB PMI Manufacturing World'!$A$1:$AA$1,),)))</f>
        <v>53.6</v>
      </c>
      <c r="K64" s="37">
        <f>IF((VLOOKUP(B64,'DB PMI Manufacturing World'!$A:$AA,MATCH($K$1,'DB PMI Manufacturing World'!$A$1:$AA$1,),))=0,#N/A, (VLOOKUP(B64,'DB PMI Manufacturing World'!$A:$AA,MATCH($K$1,'DB PMI Manufacturing World'!$A$1:$AA$1,),)))</f>
        <v>57.8</v>
      </c>
      <c r="L64" s="37">
        <f>IF((VLOOKUP(B64,'DB PMI Manufacturing World'!$A:$AA,MATCH($L$1,'DB PMI Manufacturing World'!$A$1:$AA$1,),))=0,#N/A, (VLOOKUP(B64,'DB PMI Manufacturing World'!$A:$AA,MATCH($L$1,'DB PMI Manufacturing World'!$A$1:$AA$1,),)))</f>
        <v>61.1</v>
      </c>
      <c r="M64" s="37">
        <f>IF((VLOOKUP(B64,'DB PMI Manufacturing World'!$A:$AA,MATCH($M$1,'DB PMI Manufacturing World'!$A$1:$AA$1,),))=0,#N/A, (VLOOKUP(B64,'DB PMI Manufacturing World'!$A:$AA,MATCH($M$1,'DB PMI Manufacturing World'!$A$1:$AA$1,),)))</f>
        <v>57.4</v>
      </c>
      <c r="N64" s="37">
        <f>IF((VLOOKUP(B64,'DB PMI Manufacturing World'!$A:$AA,MATCH($N$1,'DB PMI Manufacturing World'!$A$1:$AA$1,),))=0,#N/A, (VLOOKUP(B64,'DB PMI Manufacturing World'!$A:$AA,MATCH($N$1,'DB PMI Manufacturing World'!$A$1:$AA$1,),)))</f>
        <v>51.7</v>
      </c>
      <c r="O64" s="37">
        <f>IF((VLOOKUP(B64,'DB PMI Manufacturing World'!$A:$AA,MATCH($O$1,'DB PMI Manufacturing World'!$A$1:$AA$1,),))=0,#N/A, (VLOOKUP(B64,'DB PMI Manufacturing World'!$A:$AA,MATCH($O$1,'DB PMI Manufacturing World'!$A$1:$AA$1,),)))</f>
        <v>49.3</v>
      </c>
      <c r="P64" s="37">
        <f>IF((VLOOKUP(B64,'DB PMI Manufacturing World'!$A:$AA,MATCH($P$1,'DB PMI Manufacturing World'!$A$1:$AA$1,),))=0,#N/A, (VLOOKUP(B64,'DB PMI Manufacturing World'!$A:$AA,MATCH($P$1,'DB PMI Manufacturing World'!$A$1:$AA$1,),)))</f>
        <v>51.6</v>
      </c>
      <c r="Q64" s="37">
        <f>IF((VLOOKUP(B64,'DB PMI Manufacturing World'!$A:$AA,MATCH($Q$1,'DB PMI Manufacturing World'!$A$1:$AA$1,),))=0,#N/A, (VLOOKUP(B64,'DB PMI Manufacturing World'!$A:$AA,MATCH($Q$1,'DB PMI Manufacturing World'!$A$1:$AA$1,),)))</f>
        <v>55.9</v>
      </c>
      <c r="R64" s="37">
        <f>IF((VLOOKUP(B64,'DB PMI Manufacturing World'!$A:$AA,MATCH($R$1,'DB PMI Manufacturing World'!$A$1:$AA$1,),))=0,#N/A, (VLOOKUP(B64,'DB PMI Manufacturing World'!$A:$AA,MATCH($R$1,'DB PMI Manufacturing World'!$A$1:$AA$1,),)))</f>
        <v>57.7</v>
      </c>
      <c r="S64" s="37">
        <f>IF((VLOOKUP(B64,'DB PMI Manufacturing World'!$A:$AA,MATCH($S$1,'DB PMI Manufacturing World'!$A$1:$AA$1,),))=0,#N/A, (VLOOKUP(B64,'DB PMI Manufacturing World'!$A:$AA,MATCH($S$1,'DB PMI Manufacturing World'!$A$1:$AA$1,),)))</f>
        <v>50.4</v>
      </c>
      <c r="T64" s="37">
        <f>IF((VLOOKUP(B64,'DB PMI Manufacturing World'!$A:$AA,MATCH($T$1,'DB PMI Manufacturing World'!$A$1:$AA$1,),))=0,#N/A, (VLOOKUP(B64,'DB PMI Manufacturing World'!$A:$AA,MATCH($T$1,'DB PMI Manufacturing World'!$A$1:$AA$1,),)))</f>
        <v>57.2</v>
      </c>
      <c r="U64" s="37">
        <f>IF((VLOOKUP(B64,'DB PMI Manufacturing World'!$A:$AA,MATCH($U$1,'DB PMI Manufacturing World'!$A$1:$AA$1,),))=0,#N/A, (VLOOKUP(B64,'DB PMI Manufacturing World'!$A:$AA,MATCH($U$1,'DB PMI Manufacturing World'!$A$1:$AA$1,),)))</f>
        <v>50.2</v>
      </c>
      <c r="V64" s="37">
        <f>IF((VLOOKUP(B64,'DB PMI Manufacturing World'!$A:$AA,MATCH($V$1,'DB PMI Manufacturing World'!$A$1:$AA$1,),))=0,#N/A, (VLOOKUP(B64,'DB PMI Manufacturing World'!$A:$AA,MATCH($V$1,'DB PMI Manufacturing World'!$A$1:$AA$1,),)))</f>
        <v>55.2</v>
      </c>
      <c r="W64" s="37">
        <f>IF((VLOOKUP(B64,'DB PMI Manufacturing World'!$A:$AA,MATCH($W$1,'DB PMI Manufacturing World'!$A$1:$AA$1,),))=0,#N/A, (VLOOKUP(B64,'DB PMI Manufacturing World'!$A:$AA,MATCH($W$1,'DB PMI Manufacturing World'!$A$1:$AA$1,),)))</f>
        <v>58.9</v>
      </c>
      <c r="X64" s="37">
        <f>IF((VLOOKUP(B64,'DB PMI Manufacturing World'!$A:$AA,MATCH($X$1,'DB PMI Manufacturing World'!$A$1:$AA$1,),))=0,#N/A, (VLOOKUP(B64,'DB PMI Manufacturing World'!$A:$AA,MATCH($X$1,'DB PMI Manufacturing World'!$A$1:$AA$1,),)))</f>
        <v>62.1</v>
      </c>
      <c r="Y64" s="37">
        <f>IF((VLOOKUP(B64,'DB PMI Manufacturing World'!$A:$AA,MATCH($Y$1,'DB PMI Manufacturing World'!$A$1:$AA$1,),))=0,#N/A, (VLOOKUP(B64,'DB PMI Manufacturing World'!$A:$AA,MATCH($Y$1,'DB PMI Manufacturing World'!$A$1:$AA$1,),)))</f>
        <v>51.2</v>
      </c>
      <c r="Z64" s="37">
        <f>IF((VLOOKUP(B64,'DB PMI Manufacturing World'!$A:$AA,MATCH($Z$1,'DB PMI Manufacturing World'!$A$1:$AA$1,),))=0,#N/A, (VLOOKUP(B64,'DB PMI Manufacturing World'!$A:$AA,MATCH($Z$1,'DB PMI Manufacturing World'!$A$1:$AA$1,),)))</f>
        <v>55.1</v>
      </c>
      <c r="AA64" s="37">
        <f>IF((VLOOKUP(B64,'DB PMI Manufacturing World'!$A:$AA,MATCH($AA$1,'DB PMI Manufacturing World'!$A$1:$AA$1,),))=0,#N/A, (VLOOKUP(B64,'DB PMI Manufacturing World'!$A:$AA,MATCH($AA$1,'DB PMI Manufacturing World'!$A$1:$AA$1,),)))</f>
        <v>53.8</v>
      </c>
      <c r="AB64" s="37">
        <f>IF((VLOOKUP(B64,'DB PMI Manufacturing World'!$A:$AA,MATCH($AB$1,'DB PMI Manufacturing World'!$A$1:$AA$1,),))=0,#N/A, (VLOOKUP(B64,'DB PMI Manufacturing World'!$A:$AA,MATCH($AB$1,'DB PMI Manufacturing World'!$A$1:$AA$1,),)))</f>
        <v>71.900000000000006</v>
      </c>
    </row>
    <row r="65" spans="2:28" s="56" customFormat="1" x14ac:dyDescent="0.35">
      <c r="B65" s="29">
        <v>44501</v>
      </c>
      <c r="C65" s="37">
        <f>IF((VLOOKUP(B65,'DB PMI Manufacturing World'!$A:$AA,MATCH($C$1,'DB PMI Manufacturing World'!$A$1:$AA$1,),))=0,#N/A, (VLOOKUP(B65,'DB PMI Manufacturing World'!$A:$AA,MATCH($C$1,'DB PMI Manufacturing World'!$A$1:$AA$1,),)))</f>
        <v>54.2</v>
      </c>
      <c r="D65" s="37">
        <f>IF((VLOOKUP(B65,'DB PMI Manufacturing World'!$A:$AA,MATCH($D$1,'DB PMI Manufacturing World'!$A$1:$AA$1,),))=0,#N/A, (VLOOKUP(B65,'DB PMI Manufacturing World'!$A:$AA,MATCH($D$1,'DB PMI Manufacturing World'!$A$1:$AA$1,),)))</f>
        <v>61.1</v>
      </c>
      <c r="E65" s="37">
        <f>IF((VLOOKUP(B65,'DB PMI Manufacturing World'!$A:$AA,MATCH($E$1,'DB PMI Manufacturing World'!$A$1:$AA$1,),))=0,#N/A, (VLOOKUP(B65,'DB PMI Manufacturing World'!$A:$AA,MATCH($E$1,'DB PMI Manufacturing World'!$A$1:$AA$1,),)))</f>
        <v>58.3</v>
      </c>
      <c r="F65" s="37">
        <f>IF((VLOOKUP(B65,'DB PMI Manufacturing World'!$A:$AA,MATCH($F$1,'DB PMI Manufacturing World'!$A$1:$AA$1,),))=0,#N/A, (VLOOKUP(B65,'DB PMI Manufacturing World'!$A:$AA,MATCH($F$1,'DB PMI Manufacturing World'!$A$1:$AA$1,),)))</f>
        <v>49.9</v>
      </c>
      <c r="G65" s="37">
        <f>IF((VLOOKUP(B65,'DB PMI Manufacturing World'!$A:$AA,MATCH($G$1,'DB PMI Manufacturing World'!$A$1:$AA$1,),))=0,#N/A, (VLOOKUP(B65,'DB PMI Manufacturing World'!$A:$AA,MATCH($G$1,'DB PMI Manufacturing World'!$A$1:$AA$1,),)))</f>
        <v>58.4</v>
      </c>
      <c r="H65" s="37">
        <f>IF((VLOOKUP(B65,'DB PMI Manufacturing World'!$A:$AA,MATCH($H$1,'DB PMI Manufacturing World'!$A$1:$AA$1,),))=0,#N/A, (VLOOKUP(B65,'DB PMI Manufacturing World'!$A:$AA,MATCH($H$1,'DB PMI Manufacturing World'!$A$1:$AA$1,),)))</f>
        <v>54.5</v>
      </c>
      <c r="I65" s="37">
        <f>IF((VLOOKUP(B65,'DB PMI Manufacturing World'!$A:$AA,MATCH($I$1,'DB PMI Manufacturing World'!$A$1:$AA$1,),))=0,#N/A, (VLOOKUP(B65,'DB PMI Manufacturing World'!$A:$AA,MATCH($I$1,'DB PMI Manufacturing World'!$A$1:$AA$1,),)))</f>
        <v>57.4</v>
      </c>
      <c r="J65" s="37">
        <f>IF((VLOOKUP(B65,'DB PMI Manufacturing World'!$A:$AA,MATCH($J$1,'DB PMI Manufacturing World'!$A$1:$AA$1,),))=0,#N/A, (VLOOKUP(B65,'DB PMI Manufacturing World'!$A:$AA,MATCH($J$1,'DB PMI Manufacturing World'!$A$1:$AA$1,),)))</f>
        <v>55.9</v>
      </c>
      <c r="K65" s="37">
        <f>IF((VLOOKUP(B65,'DB PMI Manufacturing World'!$A:$AA,MATCH($K$1,'DB PMI Manufacturing World'!$A$1:$AA$1,),))=0,#N/A, (VLOOKUP(B65,'DB PMI Manufacturing World'!$A:$AA,MATCH($K$1,'DB PMI Manufacturing World'!$A$1:$AA$1,),)))</f>
        <v>58.1</v>
      </c>
      <c r="L65" s="37">
        <f>IF((VLOOKUP(B65,'DB PMI Manufacturing World'!$A:$AA,MATCH($L$1,'DB PMI Manufacturing World'!$A$1:$AA$1,),))=0,#N/A, (VLOOKUP(B65,'DB PMI Manufacturing World'!$A:$AA,MATCH($L$1,'DB PMI Manufacturing World'!$A$1:$AA$1,),)))</f>
        <v>62.8</v>
      </c>
      <c r="M65" s="37">
        <f>IF((VLOOKUP(B65,'DB PMI Manufacturing World'!$A:$AA,MATCH($M$1,'DB PMI Manufacturing World'!$A$1:$AA$1,),))=0,#N/A, (VLOOKUP(B65,'DB PMI Manufacturing World'!$A:$AA,MATCH($M$1,'DB PMI Manufacturing World'!$A$1:$AA$1,),)))</f>
        <v>57.1</v>
      </c>
      <c r="N65" s="37">
        <f>IF((VLOOKUP(B65,'DB PMI Manufacturing World'!$A:$AA,MATCH($N$1,'DB PMI Manufacturing World'!$A$1:$AA$1,),))=0,#N/A, (VLOOKUP(B65,'DB PMI Manufacturing World'!$A:$AA,MATCH($N$1,'DB PMI Manufacturing World'!$A$1:$AA$1,),)))</f>
        <v>49.8</v>
      </c>
      <c r="O65" s="37">
        <f>IF((VLOOKUP(B65,'DB PMI Manufacturing World'!$A:$AA,MATCH($O$1,'DB PMI Manufacturing World'!$A$1:$AA$1,),))=0,#N/A, (VLOOKUP(B65,'DB PMI Manufacturing World'!$A:$AA,MATCH($O$1,'DB PMI Manufacturing World'!$A$1:$AA$1,),)))</f>
        <v>49.4</v>
      </c>
      <c r="P65" s="37">
        <f>IF((VLOOKUP(B65,'DB PMI Manufacturing World'!$A:$AA,MATCH($P$1,'DB PMI Manufacturing World'!$A$1:$AA$1,),))=0,#N/A, (VLOOKUP(B65,'DB PMI Manufacturing World'!$A:$AA,MATCH($P$1,'DB PMI Manufacturing World'!$A$1:$AA$1,),)))</f>
        <v>51.7</v>
      </c>
      <c r="Q65" s="37">
        <f>IF((VLOOKUP(B65,'DB PMI Manufacturing World'!$A:$AA,MATCH($Q$1,'DB PMI Manufacturing World'!$A$1:$AA$1,),))=0,#N/A, (VLOOKUP(B65,'DB PMI Manufacturing World'!$A:$AA,MATCH($Q$1,'DB PMI Manufacturing World'!$A$1:$AA$1,),)))</f>
        <v>57.6</v>
      </c>
      <c r="R65" s="37">
        <f>IF((VLOOKUP(B65,'DB PMI Manufacturing World'!$A:$AA,MATCH($R$1,'DB PMI Manufacturing World'!$A$1:$AA$1,),))=0,#N/A, (VLOOKUP(B65,'DB PMI Manufacturing World'!$A:$AA,MATCH($R$1,'DB PMI Manufacturing World'!$A$1:$AA$1,),)))</f>
        <v>57.2</v>
      </c>
      <c r="S65" s="37">
        <f>IF((VLOOKUP(B65,'DB PMI Manufacturing World'!$A:$AA,MATCH($S$1,'DB PMI Manufacturing World'!$A$1:$AA$1,),))=0,#N/A, (VLOOKUP(B65,'DB PMI Manufacturing World'!$A:$AA,MATCH($S$1,'DB PMI Manufacturing World'!$A$1:$AA$1,),)))</f>
        <v>54.8</v>
      </c>
      <c r="T65" s="37">
        <f>IF((VLOOKUP(B65,'DB PMI Manufacturing World'!$A:$AA,MATCH($T$1,'DB PMI Manufacturing World'!$A$1:$AA$1,),))=0,#N/A, (VLOOKUP(B65,'DB PMI Manufacturing World'!$A:$AA,MATCH($T$1,'DB PMI Manufacturing World'!$A$1:$AA$1,),)))</f>
        <v>53.9</v>
      </c>
      <c r="U65" s="37">
        <f>IF((VLOOKUP(B65,'DB PMI Manufacturing World'!$A:$AA,MATCH($U$1,'DB PMI Manufacturing World'!$A$1:$AA$1,),))=0,#N/A, (VLOOKUP(B65,'DB PMI Manufacturing World'!$A:$AA,MATCH($U$1,'DB PMI Manufacturing World'!$A$1:$AA$1,),)))</f>
        <v>50.9</v>
      </c>
      <c r="V65" s="37">
        <f>IF((VLOOKUP(B65,'DB PMI Manufacturing World'!$A:$AA,MATCH($V$1,'DB PMI Manufacturing World'!$A$1:$AA$1,),))=0,#N/A, (VLOOKUP(B65,'DB PMI Manufacturing World'!$A:$AA,MATCH($V$1,'DB PMI Manufacturing World'!$A$1:$AA$1,),)))</f>
        <v>54.9</v>
      </c>
      <c r="W65" s="37">
        <f>IF((VLOOKUP(B65,'DB PMI Manufacturing World'!$A:$AA,MATCH($W$1,'DB PMI Manufacturing World'!$A$1:$AA$1,),))=0,#N/A, (VLOOKUP(B65,'DB PMI Manufacturing World'!$A:$AA,MATCH($W$1,'DB PMI Manufacturing World'!$A$1:$AA$1,),)))</f>
        <v>58.8</v>
      </c>
      <c r="X65" s="37">
        <f>IF((VLOOKUP(B65,'DB PMI Manufacturing World'!$A:$AA,MATCH($X$1,'DB PMI Manufacturing World'!$A$1:$AA$1,),))=0,#N/A, (VLOOKUP(B65,'DB PMI Manufacturing World'!$A:$AA,MATCH($X$1,'DB PMI Manufacturing World'!$A$1:$AA$1,),)))</f>
        <v>59.9</v>
      </c>
      <c r="Y65" s="37">
        <f>IF((VLOOKUP(B65,'DB PMI Manufacturing World'!$A:$AA,MATCH($Y$1,'DB PMI Manufacturing World'!$A$1:$AA$1,),))=0,#N/A, (VLOOKUP(B65,'DB PMI Manufacturing World'!$A:$AA,MATCH($Y$1,'DB PMI Manufacturing World'!$A$1:$AA$1,),)))</f>
        <v>52</v>
      </c>
      <c r="Z65" s="37">
        <f>IF((VLOOKUP(B65,'DB PMI Manufacturing World'!$A:$AA,MATCH($Z$1,'DB PMI Manufacturing World'!$A$1:$AA$1,),))=0,#N/A, (VLOOKUP(B65,'DB PMI Manufacturing World'!$A:$AA,MATCH($Z$1,'DB PMI Manufacturing World'!$A$1:$AA$1,),)))</f>
        <v>57.1</v>
      </c>
      <c r="AA65" s="37">
        <f>IF((VLOOKUP(B65,'DB PMI Manufacturing World'!$A:$AA,MATCH($AA$1,'DB PMI Manufacturing World'!$A$1:$AA$1,),))=0,#N/A, (VLOOKUP(B65,'DB PMI Manufacturing World'!$A:$AA,MATCH($AA$1,'DB PMI Manufacturing World'!$A$1:$AA$1,),)))</f>
        <v>54.4</v>
      </c>
      <c r="AB65" s="37">
        <f>IF((VLOOKUP(B65,'DB PMI Manufacturing World'!$A:$AA,MATCH($AB$1,'DB PMI Manufacturing World'!$A$1:$AA$1,),))=0,#N/A, (VLOOKUP(B65,'DB PMI Manufacturing World'!$A:$AA,MATCH($AB$1,'DB PMI Manufacturing World'!$A$1:$AA$1,),)))</f>
        <v>68.2</v>
      </c>
    </row>
    <row r="66" spans="2:28" s="56" customFormat="1" x14ac:dyDescent="0.35">
      <c r="B66" s="29">
        <v>44531</v>
      </c>
      <c r="C66" s="37">
        <f>IF((VLOOKUP(B66,'DB PMI Manufacturing World'!$A:$AA,MATCH($C$1,'DB PMI Manufacturing World'!$A$1:$AA$1,),))=0,#N/A, (VLOOKUP(B66,'DB PMI Manufacturing World'!$A:$AA,MATCH($C$1,'DB PMI Manufacturing World'!$A$1:$AA$1,),)))</f>
        <v>54.3</v>
      </c>
      <c r="D66" s="37">
        <f>IF((VLOOKUP(B66,'DB PMI Manufacturing World'!$A:$AA,MATCH($D$1,'DB PMI Manufacturing World'!$A$1:$AA$1,),))=0,#N/A, (VLOOKUP(B66,'DB PMI Manufacturing World'!$A:$AA,MATCH($D$1,'DB PMI Manufacturing World'!$A$1:$AA$1,),)))</f>
        <v>61.5</v>
      </c>
      <c r="E66" s="37">
        <f>IF((VLOOKUP(B66,'DB PMI Manufacturing World'!$A:$AA,MATCH($E$1,'DB PMI Manufacturing World'!$A$1:$AA$1,),))=0,#N/A, (VLOOKUP(B66,'DB PMI Manufacturing World'!$A:$AA,MATCH($E$1,'DB PMI Manufacturing World'!$A$1:$AA$1,),)))</f>
        <v>57.7</v>
      </c>
      <c r="F66" s="37">
        <f>IF((VLOOKUP(B66,'DB PMI Manufacturing World'!$A:$AA,MATCH($F$1,'DB PMI Manufacturing World'!$A$1:$AA$1,),))=0,#N/A, (VLOOKUP(B66,'DB PMI Manufacturing World'!$A:$AA,MATCH($F$1,'DB PMI Manufacturing World'!$A$1:$AA$1,),)))</f>
        <v>50.9</v>
      </c>
      <c r="G66" s="37">
        <f>IF((VLOOKUP(B66,'DB PMI Manufacturing World'!$A:$AA,MATCH($G$1,'DB PMI Manufacturing World'!$A$1:$AA$1,),))=0,#N/A, (VLOOKUP(B66,'DB PMI Manufacturing World'!$A:$AA,MATCH($G$1,'DB PMI Manufacturing World'!$A$1:$AA$1,),)))</f>
        <v>58</v>
      </c>
      <c r="H66" s="37">
        <f>IF((VLOOKUP(B66,'DB PMI Manufacturing World'!$A:$AA,MATCH($H$1,'DB PMI Manufacturing World'!$A$1:$AA$1,),))=0,#N/A, (VLOOKUP(B66,'DB PMI Manufacturing World'!$A:$AA,MATCH($H$1,'DB PMI Manufacturing World'!$A$1:$AA$1,),)))</f>
        <v>54.3</v>
      </c>
      <c r="I66" s="37">
        <f>IF((VLOOKUP(B66,'DB PMI Manufacturing World'!$A:$AA,MATCH($I$1,'DB PMI Manufacturing World'!$A$1:$AA$1,),))=0,#N/A, (VLOOKUP(B66,'DB PMI Manufacturing World'!$A:$AA,MATCH($I$1,'DB PMI Manufacturing World'!$A$1:$AA$1,),)))</f>
        <v>57.4</v>
      </c>
      <c r="J66" s="37">
        <f>IF((VLOOKUP(B66,'DB PMI Manufacturing World'!$A:$AA,MATCH($J$1,'DB PMI Manufacturing World'!$A$1:$AA$1,),))=0,#N/A, (VLOOKUP(B66,'DB PMI Manufacturing World'!$A:$AA,MATCH($J$1,'DB PMI Manufacturing World'!$A$1:$AA$1,),)))</f>
        <v>55.6</v>
      </c>
      <c r="K66" s="37">
        <f>IF((VLOOKUP(B66,'DB PMI Manufacturing World'!$A:$AA,MATCH($K$1,'DB PMI Manufacturing World'!$A$1:$AA$1,),))=0,#N/A, (VLOOKUP(B66,'DB PMI Manufacturing World'!$A:$AA,MATCH($K$1,'DB PMI Manufacturing World'!$A$1:$AA$1,),)))</f>
        <v>57.9</v>
      </c>
      <c r="L66" s="37">
        <f>IF((VLOOKUP(B66,'DB PMI Manufacturing World'!$A:$AA,MATCH($L$1,'DB PMI Manufacturing World'!$A$1:$AA$1,),))=0,#N/A, (VLOOKUP(B66,'DB PMI Manufacturing World'!$A:$AA,MATCH($L$1,'DB PMI Manufacturing World'!$A$1:$AA$1,),)))</f>
        <v>62</v>
      </c>
      <c r="M66" s="37">
        <f>IF((VLOOKUP(B66,'DB PMI Manufacturing World'!$A:$AA,MATCH($M$1,'DB PMI Manufacturing World'!$A$1:$AA$1,),))=0,#N/A, (VLOOKUP(B66,'DB PMI Manufacturing World'!$A:$AA,MATCH($M$1,'DB PMI Manufacturing World'!$A$1:$AA$1,),)))</f>
        <v>56.2</v>
      </c>
      <c r="N66" s="37">
        <f>IF((VLOOKUP(B66,'DB PMI Manufacturing World'!$A:$AA,MATCH($N$1,'DB PMI Manufacturing World'!$A$1:$AA$1,),))=0,#N/A, (VLOOKUP(B66,'DB PMI Manufacturing World'!$A:$AA,MATCH($N$1,'DB PMI Manufacturing World'!$A$1:$AA$1,),)))</f>
        <v>49.8</v>
      </c>
      <c r="O66" s="37">
        <f>IF((VLOOKUP(B66,'DB PMI Manufacturing World'!$A:$AA,MATCH($O$1,'DB PMI Manufacturing World'!$A$1:$AA$1,),))=0,#N/A, (VLOOKUP(B66,'DB PMI Manufacturing World'!$A:$AA,MATCH($O$1,'DB PMI Manufacturing World'!$A$1:$AA$1,),)))</f>
        <v>49.4</v>
      </c>
      <c r="P66" s="37">
        <f>IF((VLOOKUP(B66,'DB PMI Manufacturing World'!$A:$AA,MATCH($P$1,'DB PMI Manufacturing World'!$A$1:$AA$1,),))=0,#N/A, (VLOOKUP(B66,'DB PMI Manufacturing World'!$A:$AA,MATCH($P$1,'DB PMI Manufacturing World'!$A$1:$AA$1,),)))</f>
        <v>51.6</v>
      </c>
      <c r="Q66" s="37">
        <f>IF((VLOOKUP(B66,'DB PMI Manufacturing World'!$A:$AA,MATCH($Q$1,'DB PMI Manufacturing World'!$A$1:$AA$1,),))=0,#N/A, (VLOOKUP(B66,'DB PMI Manufacturing World'!$A:$AA,MATCH($Q$1,'DB PMI Manufacturing World'!$A$1:$AA$1,),)))</f>
        <v>55.5</v>
      </c>
      <c r="R66" s="37">
        <f>IF((VLOOKUP(B66,'DB PMI Manufacturing World'!$A:$AA,MATCH($R$1,'DB PMI Manufacturing World'!$A$1:$AA$1,),))=0,#N/A, (VLOOKUP(B66,'DB PMI Manufacturing World'!$A:$AA,MATCH($R$1,'DB PMI Manufacturing World'!$A$1:$AA$1,),)))</f>
        <v>55.5</v>
      </c>
      <c r="S66" s="37">
        <f>IF((VLOOKUP(B66,'DB PMI Manufacturing World'!$A:$AA,MATCH($S$1,'DB PMI Manufacturing World'!$A$1:$AA$1,),))=0,#N/A, (VLOOKUP(B66,'DB PMI Manufacturing World'!$A:$AA,MATCH($S$1,'DB PMI Manufacturing World'!$A$1:$AA$1,),)))</f>
        <v>48.4</v>
      </c>
      <c r="T66" s="37">
        <f>IF((VLOOKUP(B66,'DB PMI Manufacturing World'!$A:$AA,MATCH($T$1,'DB PMI Manufacturing World'!$A$1:$AA$1,),))=0,#N/A, (VLOOKUP(B66,'DB PMI Manufacturing World'!$A:$AA,MATCH($T$1,'DB PMI Manufacturing World'!$A$1:$AA$1,),)))</f>
        <v>53.5</v>
      </c>
      <c r="U66" s="37">
        <f>IF((VLOOKUP(B66,'DB PMI Manufacturing World'!$A:$AA,MATCH($U$1,'DB PMI Manufacturing World'!$A$1:$AA$1,),))=0,#N/A, (VLOOKUP(B66,'DB PMI Manufacturing World'!$A:$AA,MATCH($U$1,'DB PMI Manufacturing World'!$A$1:$AA$1,),)))</f>
        <v>51.9</v>
      </c>
      <c r="V66" s="37">
        <f>IF((VLOOKUP(B66,'DB PMI Manufacturing World'!$A:$AA,MATCH($V$1,'DB PMI Manufacturing World'!$A$1:$AA$1,),))=0,#N/A, (VLOOKUP(B66,'DB PMI Manufacturing World'!$A:$AA,MATCH($V$1,'DB PMI Manufacturing World'!$A$1:$AA$1,),)))</f>
        <v>55.5</v>
      </c>
      <c r="W66" s="37">
        <f>IF((VLOOKUP(B66,'DB PMI Manufacturing World'!$A:$AA,MATCH($W$1,'DB PMI Manufacturing World'!$A$1:$AA$1,),))=0,#N/A, (VLOOKUP(B66,'DB PMI Manufacturing World'!$A:$AA,MATCH($W$1,'DB PMI Manufacturing World'!$A$1:$AA$1,),)))</f>
        <v>59</v>
      </c>
      <c r="X66" s="37">
        <f>IF((VLOOKUP(B66,'DB PMI Manufacturing World'!$A:$AA,MATCH($X$1,'DB PMI Manufacturing World'!$A$1:$AA$1,),))=0,#N/A, (VLOOKUP(B66,'DB PMI Manufacturing World'!$A:$AA,MATCH($X$1,'DB PMI Manufacturing World'!$A$1:$AA$1,),)))</f>
        <v>58.3</v>
      </c>
      <c r="Y66" s="37">
        <f>IF((VLOOKUP(B66,'DB PMI Manufacturing World'!$A:$AA,MATCH($Y$1,'DB PMI Manufacturing World'!$A$1:$AA$1,),))=0,#N/A, (VLOOKUP(B66,'DB PMI Manufacturing World'!$A:$AA,MATCH($Y$1,'DB PMI Manufacturing World'!$A$1:$AA$1,),)))</f>
        <v>52.1</v>
      </c>
      <c r="Z66" s="37">
        <f>IF((VLOOKUP(B66,'DB PMI Manufacturing World'!$A:$AA,MATCH($Z$1,'DB PMI Manufacturing World'!$A$1:$AA$1,),))=0,#N/A, (VLOOKUP(B66,'DB PMI Manufacturing World'!$A:$AA,MATCH($Z$1,'DB PMI Manufacturing World'!$A$1:$AA$1,),)))</f>
        <v>59.1</v>
      </c>
      <c r="AA66" s="37">
        <f>IF((VLOOKUP(B66,'DB PMI Manufacturing World'!$A:$AA,MATCH($AA$1,'DB PMI Manufacturing World'!$A$1:$AA$1,),))=0,#N/A, (VLOOKUP(B66,'DB PMI Manufacturing World'!$A:$AA,MATCH($AA$1,'DB PMI Manufacturing World'!$A$1:$AA$1,),)))</f>
        <v>56.1</v>
      </c>
      <c r="AB66" s="37">
        <f>IF((VLOOKUP(B66,'DB PMI Manufacturing World'!$A:$AA,MATCH($AB$1,'DB PMI Manufacturing World'!$A$1:$AA$1,),))=0,#N/A, (VLOOKUP(B66,'DB PMI Manufacturing World'!$A:$AA,MATCH($AB$1,'DB PMI Manufacturing World'!$A$1:$AA$1,),)))</f>
        <v>64.400000000000006</v>
      </c>
    </row>
    <row r="67" spans="2:28" s="56" customFormat="1" x14ac:dyDescent="0.35">
      <c r="B67" s="29">
        <v>44562</v>
      </c>
      <c r="C67" s="37">
        <f>IF((VLOOKUP(B67,'DB PMI Manufacturing World'!$A:$AA,MATCH($C$1,'DB PMI Manufacturing World'!$A$1:$AA$1,),))=0,#N/A, (VLOOKUP(B67,'DB PMI Manufacturing World'!$A:$AA,MATCH($C$1,'DB PMI Manufacturing World'!$A$1:$AA$1,),)))</f>
        <v>53.2</v>
      </c>
      <c r="D67" s="37">
        <f>IF((VLOOKUP(B67,'DB PMI Manufacturing World'!$A:$AA,MATCH($D$1,'DB PMI Manufacturing World'!$A$1:$AA$1,),))=0,#N/A, (VLOOKUP(B67,'DB PMI Manufacturing World'!$A:$AA,MATCH($D$1,'DB PMI Manufacturing World'!$A$1:$AA$1,),)))</f>
        <v>57.6</v>
      </c>
      <c r="E67" s="37">
        <f>IF((VLOOKUP(B67,'DB PMI Manufacturing World'!$A:$AA,MATCH($E$1,'DB PMI Manufacturing World'!$A$1:$AA$1,),))=0,#N/A, (VLOOKUP(B67,'DB PMI Manufacturing World'!$A:$AA,MATCH($E$1,'DB PMI Manufacturing World'!$A$1:$AA$1,),)))</f>
        <v>55</v>
      </c>
      <c r="F67" s="37">
        <f>IF((VLOOKUP(B67,'DB PMI Manufacturing World'!$A:$AA,MATCH($F$1,'DB PMI Manufacturing World'!$A$1:$AA$1,),))=0,#N/A, (VLOOKUP(B67,'DB PMI Manufacturing World'!$A:$AA,MATCH($F$1,'DB PMI Manufacturing World'!$A$1:$AA$1,),)))</f>
        <v>49.1</v>
      </c>
      <c r="G67" s="37">
        <f>IF((VLOOKUP(B67,'DB PMI Manufacturing World'!$A:$AA,MATCH($G$1,'DB PMI Manufacturing World'!$A$1:$AA$1,),))=0,#N/A, (VLOOKUP(B67,'DB PMI Manufacturing World'!$A:$AA,MATCH($G$1,'DB PMI Manufacturing World'!$A$1:$AA$1,),)))</f>
        <v>59</v>
      </c>
      <c r="H67" s="37">
        <f>IF((VLOOKUP(B67,'DB PMI Manufacturing World'!$A:$AA,MATCH($H$1,'DB PMI Manufacturing World'!$A$1:$AA$1,),))=0,#N/A, (VLOOKUP(B67,'DB PMI Manufacturing World'!$A:$AA,MATCH($H$1,'DB PMI Manufacturing World'!$A$1:$AA$1,),)))</f>
        <v>55.4</v>
      </c>
      <c r="I67" s="37">
        <f>IF((VLOOKUP(B67,'DB PMI Manufacturing World'!$A:$AA,MATCH($I$1,'DB PMI Manufacturing World'!$A$1:$AA$1,),))=0,#N/A, (VLOOKUP(B67,'DB PMI Manufacturing World'!$A:$AA,MATCH($I$1,'DB PMI Manufacturing World'!$A$1:$AA$1,),)))</f>
        <v>60.5</v>
      </c>
      <c r="J67" s="37">
        <f>IF((VLOOKUP(B67,'DB PMI Manufacturing World'!$A:$AA,MATCH($J$1,'DB PMI Manufacturing World'!$A$1:$AA$1,),))=0,#N/A, (VLOOKUP(B67,'DB PMI Manufacturing World'!$A:$AA,MATCH($J$1,'DB PMI Manufacturing World'!$A$1:$AA$1,),)))</f>
        <v>55.5</v>
      </c>
      <c r="K67" s="37">
        <f>IF((VLOOKUP(B67,'DB PMI Manufacturing World'!$A:$AA,MATCH($K$1,'DB PMI Manufacturing World'!$A$1:$AA$1,),))=0,#N/A, (VLOOKUP(B67,'DB PMI Manufacturing World'!$A:$AA,MATCH($K$1,'DB PMI Manufacturing World'!$A$1:$AA$1,),)))</f>
        <v>56.9</v>
      </c>
      <c r="L67" s="37">
        <f>IF((VLOOKUP(B67,'DB PMI Manufacturing World'!$A:$AA,MATCH($L$1,'DB PMI Manufacturing World'!$A$1:$AA$1,),))=0,#N/A, (VLOOKUP(B67,'DB PMI Manufacturing World'!$A:$AA,MATCH($L$1,'DB PMI Manufacturing World'!$A$1:$AA$1,),)))</f>
        <v>58.3</v>
      </c>
      <c r="M67" s="37">
        <f>IF((VLOOKUP(B67,'DB PMI Manufacturing World'!$A:$AA,MATCH($M$1,'DB PMI Manufacturing World'!$A$1:$AA$1,),))=0,#N/A, (VLOOKUP(B67,'DB PMI Manufacturing World'!$A:$AA,MATCH($M$1,'DB PMI Manufacturing World'!$A$1:$AA$1,),)))</f>
        <v>56.2</v>
      </c>
      <c r="N67" s="37">
        <f>IF((VLOOKUP(B67,'DB PMI Manufacturing World'!$A:$AA,MATCH($N$1,'DB PMI Manufacturing World'!$A$1:$AA$1,),))=0,#N/A, (VLOOKUP(B67,'DB PMI Manufacturing World'!$A:$AA,MATCH($N$1,'DB PMI Manufacturing World'!$A$1:$AA$1,),)))</f>
        <v>47.8</v>
      </c>
      <c r="O67" s="37">
        <f>IF((VLOOKUP(B67,'DB PMI Manufacturing World'!$A:$AA,MATCH($O$1,'DB PMI Manufacturing World'!$A$1:$AA$1,),))=0,#N/A, (VLOOKUP(B67,'DB PMI Manufacturing World'!$A:$AA,MATCH($O$1,'DB PMI Manufacturing World'!$A$1:$AA$1,),)))</f>
        <v>46.1</v>
      </c>
      <c r="P67" s="37">
        <f>IF((VLOOKUP(B67,'DB PMI Manufacturing World'!$A:$AA,MATCH($P$1,'DB PMI Manufacturing World'!$A$1:$AA$1,),))=0,#N/A, (VLOOKUP(B67,'DB PMI Manufacturing World'!$A:$AA,MATCH($P$1,'DB PMI Manufacturing World'!$A$1:$AA$1,),)))</f>
        <v>51.8</v>
      </c>
      <c r="Q67" s="37">
        <f>IF((VLOOKUP(B67,'DB PMI Manufacturing World'!$A:$AA,MATCH($Q$1,'DB PMI Manufacturing World'!$A$1:$AA$1,),))=0,#N/A, (VLOOKUP(B67,'DB PMI Manufacturing World'!$A:$AA,MATCH($Q$1,'DB PMI Manufacturing World'!$A$1:$AA$1,),)))</f>
        <v>54</v>
      </c>
      <c r="R67" s="37">
        <f>IF((VLOOKUP(B67,'DB PMI Manufacturing World'!$A:$AA,MATCH($R$1,'DB PMI Manufacturing World'!$A$1:$AA$1,),))=0,#N/A, (VLOOKUP(B67,'DB PMI Manufacturing World'!$A:$AA,MATCH($R$1,'DB PMI Manufacturing World'!$A$1:$AA$1,),)))</f>
        <v>56.2</v>
      </c>
      <c r="S67" s="37">
        <f>IF((VLOOKUP(B67,'DB PMI Manufacturing World'!$A:$AA,MATCH($S$1,'DB PMI Manufacturing World'!$A$1:$AA$1,),))=0,#N/A, (VLOOKUP(B67,'DB PMI Manufacturing World'!$A:$AA,MATCH($S$1,'DB PMI Manufacturing World'!$A$1:$AA$1,),)))</f>
        <v>48.4</v>
      </c>
      <c r="T67" s="37">
        <f>IF((VLOOKUP(B67,'DB PMI Manufacturing World'!$A:$AA,MATCH($T$1,'DB PMI Manufacturing World'!$A$1:$AA$1,),))=0,#N/A, (VLOOKUP(B67,'DB PMI Manufacturing World'!$A:$AA,MATCH($T$1,'DB PMI Manufacturing World'!$A$1:$AA$1,),)))</f>
        <v>53.7</v>
      </c>
      <c r="U67" s="37">
        <f>IF((VLOOKUP(B67,'DB PMI Manufacturing World'!$A:$AA,MATCH($U$1,'DB PMI Manufacturing World'!$A$1:$AA$1,),))=0,#N/A, (VLOOKUP(B67,'DB PMI Manufacturing World'!$A:$AA,MATCH($U$1,'DB PMI Manufacturing World'!$A$1:$AA$1,),)))</f>
        <v>52.8</v>
      </c>
      <c r="V67" s="37">
        <f>IF((VLOOKUP(B67,'DB PMI Manufacturing World'!$A:$AA,MATCH($V$1,'DB PMI Manufacturing World'!$A$1:$AA$1,),))=0,#N/A, (VLOOKUP(B67,'DB PMI Manufacturing World'!$A:$AA,MATCH($V$1,'DB PMI Manufacturing World'!$A$1:$AA$1,),)))</f>
        <v>55.1</v>
      </c>
      <c r="W67" s="37">
        <f>IF((VLOOKUP(B67,'DB PMI Manufacturing World'!$A:$AA,MATCH($W$1,'DB PMI Manufacturing World'!$A$1:$AA$1,),))=0,#N/A, (VLOOKUP(B67,'DB PMI Manufacturing World'!$A:$AA,MATCH($W$1,'DB PMI Manufacturing World'!$A$1:$AA$1,),)))</f>
        <v>57.9</v>
      </c>
      <c r="X67" s="37">
        <f>IF((VLOOKUP(B67,'DB PMI Manufacturing World'!$A:$AA,MATCH($X$1,'DB PMI Manufacturing World'!$A$1:$AA$1,),))=0,#N/A, (VLOOKUP(B67,'DB PMI Manufacturing World'!$A:$AA,MATCH($X$1,'DB PMI Manufacturing World'!$A$1:$AA$1,),)))</f>
        <v>59.4</v>
      </c>
      <c r="Y67" s="37">
        <f>IF((VLOOKUP(B67,'DB PMI Manufacturing World'!$A:$AA,MATCH($Y$1,'DB PMI Manufacturing World'!$A$1:$AA$1,),))=0,#N/A, (VLOOKUP(B67,'DB PMI Manufacturing World'!$A:$AA,MATCH($Y$1,'DB PMI Manufacturing World'!$A$1:$AA$1,),)))</f>
        <v>50.5</v>
      </c>
      <c r="Z67" s="37">
        <f>IF((VLOOKUP(B67,'DB PMI Manufacturing World'!$A:$AA,MATCH($Z$1,'DB PMI Manufacturing World'!$A$1:$AA$1,),))=0,#N/A, (VLOOKUP(B67,'DB PMI Manufacturing World'!$A:$AA,MATCH($Z$1,'DB PMI Manufacturing World'!$A$1:$AA$1,),)))</f>
        <v>59</v>
      </c>
      <c r="AA67" s="37">
        <f>IF((VLOOKUP(B67,'DB PMI Manufacturing World'!$A:$AA,MATCH($AA$1,'DB PMI Manufacturing World'!$A$1:$AA$1,),))=0,#N/A, (VLOOKUP(B67,'DB PMI Manufacturing World'!$A:$AA,MATCH($AA$1,'DB PMI Manufacturing World'!$A$1:$AA$1,),)))</f>
        <v>54.5</v>
      </c>
      <c r="AB67" s="37">
        <f>IF((VLOOKUP(B67,'DB PMI Manufacturing World'!$A:$AA,MATCH($AB$1,'DB PMI Manufacturing World'!$A$1:$AA$1,),))=0,#N/A, (VLOOKUP(B67,'DB PMI Manufacturing World'!$A:$AA,MATCH($AB$1,'DB PMI Manufacturing World'!$A$1:$AA$1,),)))</f>
        <v>60.9</v>
      </c>
    </row>
    <row r="68" spans="2:28" s="56" customFormat="1" x14ac:dyDescent="0.35">
      <c r="B68" s="29">
        <v>44593</v>
      </c>
      <c r="C68" s="37">
        <f>IF((VLOOKUP(B68,'DB PMI Manufacturing World'!$A:$AA,MATCH($C$1,'DB PMI Manufacturing World'!$A$1:$AA$1,),))=0,#N/A, (VLOOKUP(B68,'DB PMI Manufacturing World'!$A:$AA,MATCH($C$1,'DB PMI Manufacturing World'!$A$1:$AA$1,),)))</f>
        <v>53.6</v>
      </c>
      <c r="D68" s="37">
        <f>IF((VLOOKUP(B68,'DB PMI Manufacturing World'!$A:$AA,MATCH($D$1,'DB PMI Manufacturing World'!$A$1:$AA$1,),))=0,#N/A, (VLOOKUP(B68,'DB PMI Manufacturing World'!$A:$AA,MATCH($D$1,'DB PMI Manufacturing World'!$A$1:$AA$1,),)))</f>
        <v>58.6</v>
      </c>
      <c r="E68" s="37">
        <f>IF((VLOOKUP(B68,'DB PMI Manufacturing World'!$A:$AA,MATCH($E$1,'DB PMI Manufacturing World'!$A$1:$AA$1,),))=0,#N/A, (VLOOKUP(B68,'DB PMI Manufacturing World'!$A:$AA,MATCH($E$1,'DB PMI Manufacturing World'!$A$1:$AA$1,),)))</f>
        <v>57.5</v>
      </c>
      <c r="F68" s="37">
        <f>IF((VLOOKUP(B68,'DB PMI Manufacturing World'!$A:$AA,MATCH($F$1,'DB PMI Manufacturing World'!$A$1:$AA$1,),))=0,#N/A, (VLOOKUP(B68,'DB PMI Manufacturing World'!$A:$AA,MATCH($F$1,'DB PMI Manufacturing World'!$A$1:$AA$1,),)))</f>
        <v>50.4</v>
      </c>
      <c r="G68" s="37">
        <f>IF((VLOOKUP(B68,'DB PMI Manufacturing World'!$A:$AA,MATCH($G$1,'DB PMI Manufacturing World'!$A$1:$AA$1,),))=0,#N/A, (VLOOKUP(B68,'DB PMI Manufacturing World'!$A:$AA,MATCH($G$1,'DB PMI Manufacturing World'!$A$1:$AA$1,),)))</f>
        <v>58.4</v>
      </c>
      <c r="H68" s="37">
        <f>IF((VLOOKUP(B68,'DB PMI Manufacturing World'!$A:$AA,MATCH($H$1,'DB PMI Manufacturing World'!$A$1:$AA$1,),))=0,#N/A, (VLOOKUP(B68,'DB PMI Manufacturing World'!$A:$AA,MATCH($H$1,'DB PMI Manufacturing World'!$A$1:$AA$1,),)))</f>
        <v>52.9</v>
      </c>
      <c r="I68" s="37">
        <f>IF((VLOOKUP(B68,'DB PMI Manufacturing World'!$A:$AA,MATCH($I$1,'DB PMI Manufacturing World'!$A$1:$AA$1,),))=0,#N/A, (VLOOKUP(B68,'DB PMI Manufacturing World'!$A:$AA,MATCH($I$1,'DB PMI Manufacturing World'!$A$1:$AA$1,),)))</f>
        <v>58.5</v>
      </c>
      <c r="J68" s="37">
        <f>IF((VLOOKUP(B68,'DB PMI Manufacturing World'!$A:$AA,MATCH($J$1,'DB PMI Manufacturing World'!$A$1:$AA$1,),))=0,#N/A, (VLOOKUP(B68,'DB PMI Manufacturing World'!$A:$AA,MATCH($J$1,'DB PMI Manufacturing World'!$A$1:$AA$1,),)))</f>
        <v>57.6</v>
      </c>
      <c r="K68" s="37">
        <f>IF((VLOOKUP(B68,'DB PMI Manufacturing World'!$A:$AA,MATCH($K$1,'DB PMI Manufacturing World'!$A$1:$AA$1,),))=0,#N/A, (VLOOKUP(B68,'DB PMI Manufacturing World'!$A:$AA,MATCH($K$1,'DB PMI Manufacturing World'!$A$1:$AA$1,),)))</f>
        <v>57.3</v>
      </c>
      <c r="L68" s="37">
        <f>IF((VLOOKUP(B68,'DB PMI Manufacturing World'!$A:$AA,MATCH($L$1,'DB PMI Manufacturing World'!$A$1:$AA$1,),))=0,#N/A, (VLOOKUP(B68,'DB PMI Manufacturing World'!$A:$AA,MATCH($L$1,'DB PMI Manufacturing World'!$A$1:$AA$1,),)))</f>
        <v>58.3</v>
      </c>
      <c r="M68" s="37">
        <f>IF((VLOOKUP(B68,'DB PMI Manufacturing World'!$A:$AA,MATCH($M$1,'DB PMI Manufacturing World'!$A$1:$AA$1,),))=0,#N/A, (VLOOKUP(B68,'DB PMI Manufacturing World'!$A:$AA,MATCH($M$1,'DB PMI Manufacturing World'!$A$1:$AA$1,),)))</f>
        <v>56.9</v>
      </c>
      <c r="N68" s="37">
        <f>IF((VLOOKUP(B68,'DB PMI Manufacturing World'!$A:$AA,MATCH($N$1,'DB PMI Manufacturing World'!$A$1:$AA$1,),))=0,#N/A, (VLOOKUP(B68,'DB PMI Manufacturing World'!$A:$AA,MATCH($N$1,'DB PMI Manufacturing World'!$A$1:$AA$1,),)))</f>
        <v>49.6</v>
      </c>
      <c r="O68" s="37">
        <f>IF((VLOOKUP(B68,'DB PMI Manufacturing World'!$A:$AA,MATCH($O$1,'DB PMI Manufacturing World'!$A$1:$AA$1,),))=0,#N/A, (VLOOKUP(B68,'DB PMI Manufacturing World'!$A:$AA,MATCH($O$1,'DB PMI Manufacturing World'!$A$1:$AA$1,),)))</f>
        <v>48</v>
      </c>
      <c r="P68" s="37">
        <f>IF((VLOOKUP(B68,'DB PMI Manufacturing World'!$A:$AA,MATCH($P$1,'DB PMI Manufacturing World'!$A$1:$AA$1,),))=0,#N/A, (VLOOKUP(B68,'DB PMI Manufacturing World'!$A:$AA,MATCH($P$1,'DB PMI Manufacturing World'!$A$1:$AA$1,),)))</f>
        <v>48.6</v>
      </c>
      <c r="Q68" s="37">
        <f>IF((VLOOKUP(B68,'DB PMI Manufacturing World'!$A:$AA,MATCH($Q$1,'DB PMI Manufacturing World'!$A$1:$AA$1,),))=0,#N/A, (VLOOKUP(B68,'DB PMI Manufacturing World'!$A:$AA,MATCH($Q$1,'DB PMI Manufacturing World'!$A$1:$AA$1,),)))</f>
        <v>54.9</v>
      </c>
      <c r="R68" s="37">
        <f>IF((VLOOKUP(B68,'DB PMI Manufacturing World'!$A:$AA,MATCH($R$1,'DB PMI Manufacturing World'!$A$1:$AA$1,),))=0,#N/A, (VLOOKUP(B68,'DB PMI Manufacturing World'!$A:$AA,MATCH($R$1,'DB PMI Manufacturing World'!$A$1:$AA$1,),)))</f>
        <v>56.6</v>
      </c>
      <c r="S68" s="37">
        <f>IF((VLOOKUP(B68,'DB PMI Manufacturing World'!$A:$AA,MATCH($S$1,'DB PMI Manufacturing World'!$A$1:$AA$1,),))=0,#N/A, (VLOOKUP(B68,'DB PMI Manufacturing World'!$A:$AA,MATCH($S$1,'DB PMI Manufacturing World'!$A$1:$AA$1,),)))</f>
        <v>53.2</v>
      </c>
      <c r="T68" s="37">
        <f>IF((VLOOKUP(B68,'DB PMI Manufacturing World'!$A:$AA,MATCH($T$1,'DB PMI Manufacturing World'!$A$1:$AA$1,),))=0,#N/A, (VLOOKUP(B68,'DB PMI Manufacturing World'!$A:$AA,MATCH($T$1,'DB PMI Manufacturing World'!$A$1:$AA$1,),)))</f>
        <v>51.2</v>
      </c>
      <c r="U68" s="37">
        <f>IF((VLOOKUP(B68,'DB PMI Manufacturing World'!$A:$AA,MATCH($U$1,'DB PMI Manufacturing World'!$A$1:$AA$1,),))=0,#N/A, (VLOOKUP(B68,'DB PMI Manufacturing World'!$A:$AA,MATCH($U$1,'DB PMI Manufacturing World'!$A$1:$AA$1,),)))</f>
        <v>53.8</v>
      </c>
      <c r="V68" s="37">
        <f>IF((VLOOKUP(B68,'DB PMI Manufacturing World'!$A:$AA,MATCH($V$1,'DB PMI Manufacturing World'!$A$1:$AA$1,),))=0,#N/A, (VLOOKUP(B68,'DB PMI Manufacturing World'!$A:$AA,MATCH($V$1,'DB PMI Manufacturing World'!$A$1:$AA$1,),)))</f>
        <v>54.3</v>
      </c>
      <c r="W68" s="37">
        <f>IF((VLOOKUP(B68,'DB PMI Manufacturing World'!$A:$AA,MATCH($W$1,'DB PMI Manufacturing World'!$A$1:$AA$1,),))=0,#N/A, (VLOOKUP(B68,'DB PMI Manufacturing World'!$A:$AA,MATCH($W$1,'DB PMI Manufacturing World'!$A$1:$AA$1,),)))</f>
        <v>57.8</v>
      </c>
      <c r="X68" s="37">
        <f>IF((VLOOKUP(B68,'DB PMI Manufacturing World'!$A:$AA,MATCH($X$1,'DB PMI Manufacturing World'!$A$1:$AA$1,),))=0,#N/A, (VLOOKUP(B68,'DB PMI Manufacturing World'!$A:$AA,MATCH($X$1,'DB PMI Manufacturing World'!$A$1:$AA$1,),)))</f>
        <v>57.8</v>
      </c>
      <c r="Y68" s="37">
        <f>IF((VLOOKUP(B68,'DB PMI Manufacturing World'!$A:$AA,MATCH($Y$1,'DB PMI Manufacturing World'!$A$1:$AA$1,),))=0,#N/A, (VLOOKUP(B68,'DB PMI Manufacturing World'!$A:$AA,MATCH($Y$1,'DB PMI Manufacturing World'!$A$1:$AA$1,),)))</f>
        <v>50.4</v>
      </c>
      <c r="Z68" s="37">
        <f>IF((VLOOKUP(B68,'DB PMI Manufacturing World'!$A:$AA,MATCH($Z$1,'DB PMI Manufacturing World'!$A$1:$AA$1,),))=0,#N/A, (VLOOKUP(B68,'DB PMI Manufacturing World'!$A:$AA,MATCH($Z$1,'DB PMI Manufacturing World'!$A$1:$AA$1,),)))</f>
        <v>56.5</v>
      </c>
      <c r="AA68" s="37">
        <f>IF((VLOOKUP(B68,'DB PMI Manufacturing World'!$A:$AA,MATCH($AA$1,'DB PMI Manufacturing World'!$A$1:$AA$1,),))=0,#N/A, (VLOOKUP(B68,'DB PMI Manufacturing World'!$A:$AA,MATCH($AA$1,'DB PMI Manufacturing World'!$A$1:$AA$1,),)))</f>
        <v>54.7</v>
      </c>
      <c r="AB68" s="37">
        <f>IF((VLOOKUP(B68,'DB PMI Manufacturing World'!$A:$AA,MATCH($AB$1,'DB PMI Manufacturing World'!$A$1:$AA$1,),))=0,#N/A, (VLOOKUP(B68,'DB PMI Manufacturing World'!$A:$AA,MATCH($AB$1,'DB PMI Manufacturing World'!$A$1:$AA$1,),)))</f>
        <v>50.66</v>
      </c>
    </row>
    <row r="69" spans="2:28" s="56" customFormat="1" x14ac:dyDescent="0.35">
      <c r="B69" s="29">
        <v>44621</v>
      </c>
      <c r="C69" s="37">
        <f>IF((VLOOKUP(B69,'DB PMI Manufacturing World'!$A:$AA,MATCH($C$1,'DB PMI Manufacturing World'!$A$1:$AA$1,),))=0,#N/A, (VLOOKUP(B69,'DB PMI Manufacturing World'!$A:$AA,MATCH($C$1,'DB PMI Manufacturing World'!$A$1:$AA$1,),)))</f>
        <v>52.9</v>
      </c>
      <c r="D69" s="37">
        <f>IF((VLOOKUP(B69,'DB PMI Manufacturing World'!$A:$AA,MATCH($D$1,'DB PMI Manufacturing World'!$A$1:$AA$1,),))=0,#N/A, (VLOOKUP(B69,'DB PMI Manufacturing World'!$A:$AA,MATCH($D$1,'DB PMI Manufacturing World'!$A$1:$AA$1,),)))</f>
        <v>57.1</v>
      </c>
      <c r="E69" s="37">
        <f>IF((VLOOKUP(B69,'DB PMI Manufacturing World'!$A:$AA,MATCH($E$1,'DB PMI Manufacturing World'!$A$1:$AA$1,),))=0,#N/A, (VLOOKUP(B69,'DB PMI Manufacturing World'!$A:$AA,MATCH($E$1,'DB PMI Manufacturing World'!$A$1:$AA$1,),)))</f>
        <v>58.5</v>
      </c>
      <c r="F69" s="37">
        <f>IF((VLOOKUP(B69,'DB PMI Manufacturing World'!$A:$AA,MATCH($F$1,'DB PMI Manufacturing World'!$A$1:$AA$1,),))=0,#N/A, (VLOOKUP(B69,'DB PMI Manufacturing World'!$A:$AA,MATCH($F$1,'DB PMI Manufacturing World'!$A$1:$AA$1,),)))</f>
        <v>48.1</v>
      </c>
      <c r="G69" s="37">
        <f>IF((VLOOKUP(B69,'DB PMI Manufacturing World'!$A:$AA,MATCH($G$1,'DB PMI Manufacturing World'!$A$1:$AA$1,),))=0,#N/A, (VLOOKUP(B69,'DB PMI Manufacturing World'!$A:$AA,MATCH($G$1,'DB PMI Manufacturing World'!$A$1:$AA$1,),)))</f>
        <v>57</v>
      </c>
      <c r="H69" s="37">
        <f>IF((VLOOKUP(B69,'DB PMI Manufacturing World'!$A:$AA,MATCH($H$1,'DB PMI Manufacturing World'!$A$1:$AA$1,),))=0,#N/A, (VLOOKUP(B69,'DB PMI Manufacturing World'!$A:$AA,MATCH($H$1,'DB PMI Manufacturing World'!$A$1:$AA$1,),)))</f>
        <v>53.2</v>
      </c>
      <c r="I69" s="37">
        <f>IF((VLOOKUP(B69,'DB PMI Manufacturing World'!$A:$AA,MATCH($I$1,'DB PMI Manufacturing World'!$A$1:$AA$1,),))=0,#N/A, (VLOOKUP(B69,'DB PMI Manufacturing World'!$A:$AA,MATCH($I$1,'DB PMI Manufacturing World'!$A$1:$AA$1,),)))</f>
        <v>57.6</v>
      </c>
      <c r="J69" s="37">
        <f>IF((VLOOKUP(B69,'DB PMI Manufacturing World'!$A:$AA,MATCH($J$1,'DB PMI Manufacturing World'!$A$1:$AA$1,),))=0,#N/A, (VLOOKUP(B69,'DB PMI Manufacturing World'!$A:$AA,MATCH($J$1,'DB PMI Manufacturing World'!$A$1:$AA$1,),)))</f>
        <v>54.8</v>
      </c>
      <c r="K69" s="37">
        <f>IF((VLOOKUP(B69,'DB PMI Manufacturing World'!$A:$AA,MATCH($K$1,'DB PMI Manufacturing World'!$A$1:$AA$1,),))=0,#N/A, (VLOOKUP(B69,'DB PMI Manufacturing World'!$A:$AA,MATCH($K$1,'DB PMI Manufacturing World'!$A$1:$AA$1,),)))</f>
        <v>55.5</v>
      </c>
      <c r="L69" s="37">
        <f>IF((VLOOKUP(B69,'DB PMI Manufacturing World'!$A:$AA,MATCH($L$1,'DB PMI Manufacturing World'!$A$1:$AA$1,),))=0,#N/A, (VLOOKUP(B69,'DB PMI Manufacturing World'!$A:$AA,MATCH($L$1,'DB PMI Manufacturing World'!$A$1:$AA$1,),)))</f>
        <v>55.8</v>
      </c>
      <c r="M69" s="37">
        <f>IF((VLOOKUP(B69,'DB PMI Manufacturing World'!$A:$AA,MATCH($M$1,'DB PMI Manufacturing World'!$A$1:$AA$1,),))=0,#N/A, (VLOOKUP(B69,'DB PMI Manufacturing World'!$A:$AA,MATCH($M$1,'DB PMI Manufacturing World'!$A$1:$AA$1,),)))</f>
        <v>54.2</v>
      </c>
      <c r="N69" s="37">
        <f>IF((VLOOKUP(B69,'DB PMI Manufacturing World'!$A:$AA,MATCH($N$1,'DB PMI Manufacturing World'!$A$1:$AA$1,),))=0,#N/A, (VLOOKUP(B69,'DB PMI Manufacturing World'!$A:$AA,MATCH($N$1,'DB PMI Manufacturing World'!$A$1:$AA$1,),)))</f>
        <v>52.3</v>
      </c>
      <c r="O69" s="37">
        <f>IF((VLOOKUP(B69,'DB PMI Manufacturing World'!$A:$AA,MATCH($O$1,'DB PMI Manufacturing World'!$A$1:$AA$1,),))=0,#N/A, (VLOOKUP(B69,'DB PMI Manufacturing World'!$A:$AA,MATCH($O$1,'DB PMI Manufacturing World'!$A$1:$AA$1,),)))</f>
        <v>49.2</v>
      </c>
      <c r="P69" s="37">
        <f>IF((VLOOKUP(B69,'DB PMI Manufacturing World'!$A:$AA,MATCH($P$1,'DB PMI Manufacturing World'!$A$1:$AA$1,),))=0,#N/A, (VLOOKUP(B69,'DB PMI Manufacturing World'!$A:$AA,MATCH($P$1,'DB PMI Manufacturing World'!$A$1:$AA$1,),)))</f>
        <v>44.1</v>
      </c>
      <c r="Q69" s="37">
        <f>IF((VLOOKUP(B69,'DB PMI Manufacturing World'!$A:$AA,MATCH($Q$1,'DB PMI Manufacturing World'!$A$1:$AA$1,),))=0,#N/A, (VLOOKUP(B69,'DB PMI Manufacturing World'!$A:$AA,MATCH($Q$1,'DB PMI Manufacturing World'!$A$1:$AA$1,),)))</f>
        <v>54</v>
      </c>
      <c r="R69" s="37">
        <f>IF((VLOOKUP(B69,'DB PMI Manufacturing World'!$A:$AA,MATCH($R$1,'DB PMI Manufacturing World'!$A$1:$AA$1,),))=0,#N/A, (VLOOKUP(B69,'DB PMI Manufacturing World'!$A:$AA,MATCH($R$1,'DB PMI Manufacturing World'!$A$1:$AA$1,),)))</f>
        <v>58.9</v>
      </c>
      <c r="S69" s="37">
        <f>IF((VLOOKUP(B69,'DB PMI Manufacturing World'!$A:$AA,MATCH($S$1,'DB PMI Manufacturing World'!$A$1:$AA$1,),))=0,#N/A, (VLOOKUP(B69,'DB PMI Manufacturing World'!$A:$AA,MATCH($S$1,'DB PMI Manufacturing World'!$A$1:$AA$1,),)))</f>
        <v>55.7</v>
      </c>
      <c r="T69" s="37">
        <f>IF((VLOOKUP(B69,'DB PMI Manufacturing World'!$A:$AA,MATCH($T$1,'DB PMI Manufacturing World'!$A$1:$AA$1,),))=0,#N/A, (VLOOKUP(B69,'DB PMI Manufacturing World'!$A:$AA,MATCH($T$1,'DB PMI Manufacturing World'!$A$1:$AA$1,),)))</f>
        <v>51.3</v>
      </c>
      <c r="U69" s="37">
        <f>IF((VLOOKUP(B69,'DB PMI Manufacturing World'!$A:$AA,MATCH($U$1,'DB PMI Manufacturing World'!$A$1:$AA$1,),))=0,#N/A, (VLOOKUP(B69,'DB PMI Manufacturing World'!$A:$AA,MATCH($U$1,'DB PMI Manufacturing World'!$A$1:$AA$1,),)))</f>
        <v>51.2</v>
      </c>
      <c r="V69" s="37">
        <f>IF((VLOOKUP(B69,'DB PMI Manufacturing World'!$A:$AA,MATCH($V$1,'DB PMI Manufacturing World'!$A$1:$AA$1,),))=0,#N/A, (VLOOKUP(B69,'DB PMI Manufacturing World'!$A:$AA,MATCH($V$1,'DB PMI Manufacturing World'!$A$1:$AA$1,),)))</f>
        <v>54.1</v>
      </c>
      <c r="W69" s="37">
        <f>IF((VLOOKUP(B69,'DB PMI Manufacturing World'!$A:$AA,MATCH($W$1,'DB PMI Manufacturing World'!$A$1:$AA$1,),))=0,#N/A, (VLOOKUP(B69,'DB PMI Manufacturing World'!$A:$AA,MATCH($W$1,'DB PMI Manufacturing World'!$A$1:$AA$1,),)))</f>
        <v>54.6</v>
      </c>
      <c r="X69" s="37">
        <f>IF((VLOOKUP(B69,'DB PMI Manufacturing World'!$A:$AA,MATCH($X$1,'DB PMI Manufacturing World'!$A$1:$AA$1,),))=0,#N/A, (VLOOKUP(B69,'DB PMI Manufacturing World'!$A:$AA,MATCH($X$1,'DB PMI Manufacturing World'!$A$1:$AA$1,),)))</f>
        <v>59.4</v>
      </c>
      <c r="Y69" s="37">
        <f>IF((VLOOKUP(B69,'DB PMI Manufacturing World'!$A:$AA,MATCH($Y$1,'DB PMI Manufacturing World'!$A$1:$AA$1,),))=0,#N/A, (VLOOKUP(B69,'DB PMI Manufacturing World'!$A:$AA,MATCH($Y$1,'DB PMI Manufacturing World'!$A$1:$AA$1,),)))</f>
        <v>49.4</v>
      </c>
      <c r="Z69" s="37">
        <f>IF((VLOOKUP(B69,'DB PMI Manufacturing World'!$A:$AA,MATCH($Z$1,'DB PMI Manufacturing World'!$A$1:$AA$1,),))=0,#N/A, (VLOOKUP(B69,'DB PMI Manufacturing World'!$A:$AA,MATCH($Z$1,'DB PMI Manufacturing World'!$A$1:$AA$1,),)))</f>
        <v>54.7</v>
      </c>
      <c r="AA69" s="37">
        <f>IF((VLOOKUP(B69,'DB PMI Manufacturing World'!$A:$AA,MATCH($AA$1,'DB PMI Manufacturing World'!$A$1:$AA$1,),))=0,#N/A, (VLOOKUP(B69,'DB PMI Manufacturing World'!$A:$AA,MATCH($AA$1,'DB PMI Manufacturing World'!$A$1:$AA$1,),)))</f>
        <v>52.7</v>
      </c>
      <c r="AB69" s="37">
        <f>IF((VLOOKUP(B69,'DB PMI Manufacturing World'!$A:$AA,MATCH($AB$1,'DB PMI Manufacturing World'!$A$1:$AA$1,),))=0,#N/A, (VLOOKUP(B69,'DB PMI Manufacturing World'!$A:$AA,MATCH($AB$1,'DB PMI Manufacturing World'!$A$1:$AA$1,),)))</f>
        <v>62.1</v>
      </c>
    </row>
    <row r="70" spans="2:28" s="56" customFormat="1" x14ac:dyDescent="0.35">
      <c r="B70" s="29">
        <v>44652</v>
      </c>
      <c r="C70" s="37">
        <f>IF((VLOOKUP(B70,'DB PMI Manufacturing World'!$A:$AA,MATCH($C$1,'DB PMI Manufacturing World'!$A$1:$AA$1,),))=0,#N/A, (VLOOKUP(B70,'DB PMI Manufacturing World'!$A:$AA,MATCH($C$1,'DB PMI Manufacturing World'!$A$1:$AA$1,),)))</f>
        <v>52.2</v>
      </c>
      <c r="D70" s="37">
        <f>IF((VLOOKUP(B70,'DB PMI Manufacturing World'!$A:$AA,MATCH($D$1,'DB PMI Manufacturing World'!$A$1:$AA$1,),))=0,#N/A, (VLOOKUP(B70,'DB PMI Manufacturing World'!$A:$AA,MATCH($D$1,'DB PMI Manufacturing World'!$A$1:$AA$1,),)))</f>
        <v>55.4</v>
      </c>
      <c r="E70" s="37">
        <f>IF((VLOOKUP(B70,'DB PMI Manufacturing World'!$A:$AA,MATCH($E$1,'DB PMI Manufacturing World'!$A$1:$AA$1,),))=0,#N/A, (VLOOKUP(B70,'DB PMI Manufacturing World'!$A:$AA,MATCH($E$1,'DB PMI Manufacturing World'!$A$1:$AA$1,),)))</f>
        <v>59.2</v>
      </c>
      <c r="F70" s="37">
        <f>IF((VLOOKUP(B70,'DB PMI Manufacturing World'!$A:$AA,MATCH($F$1,'DB PMI Manufacturing World'!$A$1:$AA$1,),))=0,#N/A, (VLOOKUP(B70,'DB PMI Manufacturing World'!$A:$AA,MATCH($F$1,'DB PMI Manufacturing World'!$A$1:$AA$1,),)))</f>
        <v>46</v>
      </c>
      <c r="G70" s="37">
        <f>IF((VLOOKUP(B70,'DB PMI Manufacturing World'!$A:$AA,MATCH($G$1,'DB PMI Manufacturing World'!$A$1:$AA$1,),))=0,#N/A, (VLOOKUP(B70,'DB PMI Manufacturing World'!$A:$AA,MATCH($G$1,'DB PMI Manufacturing World'!$A$1:$AA$1,),)))</f>
        <v>55.5</v>
      </c>
      <c r="H70" s="37">
        <f>IF((VLOOKUP(B70,'DB PMI Manufacturing World'!$A:$AA,MATCH($H$1,'DB PMI Manufacturing World'!$A$1:$AA$1,),))=0,#N/A, (VLOOKUP(B70,'DB PMI Manufacturing World'!$A:$AA,MATCH($H$1,'DB PMI Manufacturing World'!$A$1:$AA$1,),)))</f>
        <v>53.5</v>
      </c>
      <c r="I70" s="37">
        <f>IF((VLOOKUP(B70,'DB PMI Manufacturing World'!$A:$AA,MATCH($I$1,'DB PMI Manufacturing World'!$A$1:$AA$1,),))=0,#N/A, (VLOOKUP(B70,'DB PMI Manufacturing World'!$A:$AA,MATCH($I$1,'DB PMI Manufacturing World'!$A$1:$AA$1,),)))</f>
        <v>54.6</v>
      </c>
      <c r="J70" s="37">
        <f>IF((VLOOKUP(B70,'DB PMI Manufacturing World'!$A:$AA,MATCH($J$1,'DB PMI Manufacturing World'!$A$1:$AA$1,),))=0,#N/A, (VLOOKUP(B70,'DB PMI Manufacturing World'!$A:$AA,MATCH($J$1,'DB PMI Manufacturing World'!$A$1:$AA$1,),)))</f>
        <v>55.7</v>
      </c>
      <c r="K70" s="37">
        <f>IF((VLOOKUP(B70,'DB PMI Manufacturing World'!$A:$AA,MATCH($K$1,'DB PMI Manufacturing World'!$A$1:$AA$1,),))=0,#N/A, (VLOOKUP(B70,'DB PMI Manufacturing World'!$A:$AA,MATCH($K$1,'DB PMI Manufacturing World'!$A$1:$AA$1,),)))</f>
        <v>55.3</v>
      </c>
      <c r="L70" s="37">
        <f>IF((VLOOKUP(B70,'DB PMI Manufacturing World'!$A:$AA,MATCH($L$1,'DB PMI Manufacturing World'!$A$1:$AA$1,),))=0,#N/A, (VLOOKUP(B70,'DB PMI Manufacturing World'!$A:$AA,MATCH($L$1,'DB PMI Manufacturing World'!$A$1:$AA$1,),)))</f>
        <v>54.5</v>
      </c>
      <c r="M70" s="37">
        <f>IF((VLOOKUP(B70,'DB PMI Manufacturing World'!$A:$AA,MATCH($M$1,'DB PMI Manufacturing World'!$A$1:$AA$1,),))=0,#N/A, (VLOOKUP(B70,'DB PMI Manufacturing World'!$A:$AA,MATCH($M$1,'DB PMI Manufacturing World'!$A$1:$AA$1,),)))</f>
        <v>53.3</v>
      </c>
      <c r="N70" s="37">
        <f>IF((VLOOKUP(B70,'DB PMI Manufacturing World'!$A:$AA,MATCH($N$1,'DB PMI Manufacturing World'!$A$1:$AA$1,),))=0,#N/A, (VLOOKUP(B70,'DB PMI Manufacturing World'!$A:$AA,MATCH($N$1,'DB PMI Manufacturing World'!$A$1:$AA$1,),)))</f>
        <v>51.8</v>
      </c>
      <c r="O70" s="37">
        <f>IF((VLOOKUP(B70,'DB PMI Manufacturing World'!$A:$AA,MATCH($O$1,'DB PMI Manufacturing World'!$A$1:$AA$1,),))=0,#N/A, (VLOOKUP(B70,'DB PMI Manufacturing World'!$A:$AA,MATCH($O$1,'DB PMI Manufacturing World'!$A$1:$AA$1,),)))</f>
        <v>49.3</v>
      </c>
      <c r="P70" s="37">
        <f>IF((VLOOKUP(B70,'DB PMI Manufacturing World'!$A:$AA,MATCH($P$1,'DB PMI Manufacturing World'!$A$1:$AA$1,),))=0,#N/A, (VLOOKUP(B70,'DB PMI Manufacturing World'!$A:$AA,MATCH($P$1,'DB PMI Manufacturing World'!$A$1:$AA$1,),)))</f>
        <v>48.2</v>
      </c>
      <c r="Q70" s="37">
        <f>IF((VLOOKUP(B70,'DB PMI Manufacturing World'!$A:$AA,MATCH($Q$1,'DB PMI Manufacturing World'!$A$1:$AA$1,),))=0,#N/A, (VLOOKUP(B70,'DB PMI Manufacturing World'!$A:$AA,MATCH($Q$1,'DB PMI Manufacturing World'!$A$1:$AA$1,),)))</f>
        <v>54.7</v>
      </c>
      <c r="R70" s="37">
        <f>IF((VLOOKUP(B70,'DB PMI Manufacturing World'!$A:$AA,MATCH($R$1,'DB PMI Manufacturing World'!$A$1:$AA$1,),))=0,#N/A, (VLOOKUP(B70,'DB PMI Manufacturing World'!$A:$AA,MATCH($R$1,'DB PMI Manufacturing World'!$A$1:$AA$1,),)))</f>
        <v>56.2</v>
      </c>
      <c r="S70" s="37">
        <f>IF((VLOOKUP(B70,'DB PMI Manufacturing World'!$A:$AA,MATCH($S$1,'DB PMI Manufacturing World'!$A$1:$AA$1,),))=0,#N/A, (VLOOKUP(B70,'DB PMI Manufacturing World'!$A:$AA,MATCH($S$1,'DB PMI Manufacturing World'!$A$1:$AA$1,),)))</f>
        <v>58.5</v>
      </c>
      <c r="T70" s="37">
        <f>IF((VLOOKUP(B70,'DB PMI Manufacturing World'!$A:$AA,MATCH($T$1,'DB PMI Manufacturing World'!$A$1:$AA$1,),))=0,#N/A, (VLOOKUP(B70,'DB PMI Manufacturing World'!$A:$AA,MATCH($T$1,'DB PMI Manufacturing World'!$A$1:$AA$1,),)))</f>
        <v>51.9</v>
      </c>
      <c r="U70" s="37">
        <f>IF((VLOOKUP(B70,'DB PMI Manufacturing World'!$A:$AA,MATCH($U$1,'DB PMI Manufacturing World'!$A$1:$AA$1,),))=0,#N/A, (VLOOKUP(B70,'DB PMI Manufacturing World'!$A:$AA,MATCH($U$1,'DB PMI Manufacturing World'!$A$1:$AA$1,),)))</f>
        <v>52.1</v>
      </c>
      <c r="V70" s="37">
        <f>IF((VLOOKUP(B70,'DB PMI Manufacturing World'!$A:$AA,MATCH($V$1,'DB PMI Manufacturing World'!$A$1:$AA$1,),))=0,#N/A, (VLOOKUP(B70,'DB PMI Manufacturing World'!$A:$AA,MATCH($V$1,'DB PMI Manufacturing World'!$A$1:$AA$1,),)))</f>
        <v>51.7</v>
      </c>
      <c r="W70" s="37">
        <f>IF((VLOOKUP(B70,'DB PMI Manufacturing World'!$A:$AA,MATCH($W$1,'DB PMI Manufacturing World'!$A$1:$AA$1,),))=0,#N/A, (VLOOKUP(B70,'DB PMI Manufacturing World'!$A:$AA,MATCH($W$1,'DB PMI Manufacturing World'!$A$1:$AA$1,),)))</f>
        <v>54.8</v>
      </c>
      <c r="X70" s="37">
        <f>IF((VLOOKUP(B70,'DB PMI Manufacturing World'!$A:$AA,MATCH($X$1,'DB PMI Manufacturing World'!$A$1:$AA$1,),))=0,#N/A, (VLOOKUP(B70,'DB PMI Manufacturing World'!$A:$AA,MATCH($X$1,'DB PMI Manufacturing World'!$A$1:$AA$1,),)))</f>
        <v>59.1</v>
      </c>
      <c r="Y70" s="37">
        <f>IF((VLOOKUP(B70,'DB PMI Manufacturing World'!$A:$AA,MATCH($Y$1,'DB PMI Manufacturing World'!$A$1:$AA$1,),))=0,#N/A, (VLOOKUP(B70,'DB PMI Manufacturing World'!$A:$AA,MATCH($Y$1,'DB PMI Manufacturing World'!$A$1:$AA$1,),)))</f>
        <v>49.2</v>
      </c>
      <c r="Z70" s="37">
        <f>IF((VLOOKUP(B70,'DB PMI Manufacturing World'!$A:$AA,MATCH($Z$1,'DB PMI Manufacturing World'!$A$1:$AA$1,),))=0,#N/A, (VLOOKUP(B70,'DB PMI Manufacturing World'!$A:$AA,MATCH($Z$1,'DB PMI Manufacturing World'!$A$1:$AA$1,),)))</f>
        <v>54.4</v>
      </c>
      <c r="AA70" s="37">
        <f>IF((VLOOKUP(B70,'DB PMI Manufacturing World'!$A:$AA,MATCH($AA$1,'DB PMI Manufacturing World'!$A$1:$AA$1,),))=0,#N/A, (VLOOKUP(B70,'DB PMI Manufacturing World'!$A:$AA,MATCH($AA$1,'DB PMI Manufacturing World'!$A$1:$AA$1,),)))</f>
        <v>52.4</v>
      </c>
      <c r="AB70" s="37">
        <f>IF((VLOOKUP(B70,'DB PMI Manufacturing World'!$A:$AA,MATCH($AB$1,'DB PMI Manufacturing World'!$A$1:$AA$1,),))=0,#N/A, (VLOOKUP(B70,'DB PMI Manufacturing World'!$A:$AA,MATCH($AB$1,'DB PMI Manufacturing World'!$A$1:$AA$1,),)))</f>
        <v>63</v>
      </c>
    </row>
    <row r="71" spans="2:28" s="56" customFormat="1" x14ac:dyDescent="0.35">
      <c r="B71" s="29">
        <v>44682</v>
      </c>
      <c r="C71" s="37">
        <f>IF((VLOOKUP(B71,'DB PMI Manufacturing World'!$A:$AA,MATCH($C$1,'DB PMI Manufacturing World'!$A$1:$AA$1,),))=0,#N/A, (VLOOKUP(B71,'DB PMI Manufacturing World'!$A:$AA,MATCH($C$1,'DB PMI Manufacturing World'!$A$1:$AA$1,),)))</f>
        <v>52.3</v>
      </c>
      <c r="D71" s="37">
        <f>IF((VLOOKUP(B71,'DB PMI Manufacturing World'!$A:$AA,MATCH($D$1,'DB PMI Manufacturing World'!$A$1:$AA$1,),))=0,#N/A, (VLOOKUP(B71,'DB PMI Manufacturing World'!$A:$AA,MATCH($D$1,'DB PMI Manufacturing World'!$A$1:$AA$1,),)))</f>
        <v>56.1</v>
      </c>
      <c r="E71" s="37">
        <f>IF((VLOOKUP(B71,'DB PMI Manufacturing World'!$A:$AA,MATCH($E$1,'DB PMI Manufacturing World'!$A$1:$AA$1,),))=0,#N/A, (VLOOKUP(B71,'DB PMI Manufacturing World'!$A:$AA,MATCH($E$1,'DB PMI Manufacturing World'!$A$1:$AA$1,),)))</f>
        <v>57.5</v>
      </c>
      <c r="F71" s="37">
        <f>IF((VLOOKUP(B71,'DB PMI Manufacturing World'!$A:$AA,MATCH($F$1,'DB PMI Manufacturing World'!$A$1:$AA$1,),))=0,#N/A, (VLOOKUP(B71,'DB PMI Manufacturing World'!$A:$AA,MATCH($F$1,'DB PMI Manufacturing World'!$A$1:$AA$1,),)))</f>
        <v>48.1</v>
      </c>
      <c r="G71" s="37">
        <f>IF((VLOOKUP(B71,'DB PMI Manufacturing World'!$A:$AA,MATCH($G$1,'DB PMI Manufacturing World'!$A$1:$AA$1,),))=0,#N/A, (VLOOKUP(B71,'DB PMI Manufacturing World'!$A:$AA,MATCH($G$1,'DB PMI Manufacturing World'!$A$1:$AA$1,),)))</f>
        <v>54.4</v>
      </c>
      <c r="H71" s="37">
        <f>IF((VLOOKUP(B71,'DB PMI Manufacturing World'!$A:$AA,MATCH($H$1,'DB PMI Manufacturing World'!$A$1:$AA$1,),))=0,#N/A, (VLOOKUP(B71,'DB PMI Manufacturing World'!$A:$AA,MATCH($H$1,'DB PMI Manufacturing World'!$A$1:$AA$1,),)))</f>
        <v>53.2</v>
      </c>
      <c r="I71" s="37">
        <f>IF((VLOOKUP(B71,'DB PMI Manufacturing World'!$A:$AA,MATCH($I$1,'DB PMI Manufacturing World'!$A$1:$AA$1,),))=0,#N/A, (VLOOKUP(B71,'DB PMI Manufacturing World'!$A:$AA,MATCH($I$1,'DB PMI Manufacturing World'!$A$1:$AA$1,),)))</f>
        <v>54.7</v>
      </c>
      <c r="J71" s="37">
        <f>IF((VLOOKUP(B71,'DB PMI Manufacturing World'!$A:$AA,MATCH($J$1,'DB PMI Manufacturing World'!$A$1:$AA$1,),))=0,#N/A, (VLOOKUP(B71,'DB PMI Manufacturing World'!$A:$AA,MATCH($J$1,'DB PMI Manufacturing World'!$A$1:$AA$1,),)))</f>
        <v>54.5</v>
      </c>
      <c r="K71" s="37">
        <f>IF((VLOOKUP(B71,'DB PMI Manufacturing World'!$A:$AA,MATCH($K$1,'DB PMI Manufacturing World'!$A$1:$AA$1,),))=0,#N/A, (VLOOKUP(B71,'DB PMI Manufacturing World'!$A:$AA,MATCH($K$1,'DB PMI Manufacturing World'!$A$1:$AA$1,),)))</f>
        <v>54.6</v>
      </c>
      <c r="L71" s="37">
        <f>IF((VLOOKUP(B71,'DB PMI Manufacturing World'!$A:$AA,MATCH($L$1,'DB PMI Manufacturing World'!$A$1:$AA$1,),))=0,#N/A, (VLOOKUP(B71,'DB PMI Manufacturing World'!$A:$AA,MATCH($L$1,'DB PMI Manufacturing World'!$A$1:$AA$1,),)))</f>
        <v>51.9</v>
      </c>
      <c r="M71" s="37">
        <f>IF((VLOOKUP(B71,'DB PMI Manufacturing World'!$A:$AA,MATCH($M$1,'DB PMI Manufacturing World'!$A$1:$AA$1,),))=0,#N/A, (VLOOKUP(B71,'DB PMI Manufacturing World'!$A:$AA,MATCH($M$1,'DB PMI Manufacturing World'!$A$1:$AA$1,),)))</f>
        <v>53.8</v>
      </c>
      <c r="N71" s="37">
        <f>IF((VLOOKUP(B71,'DB PMI Manufacturing World'!$A:$AA,MATCH($N$1,'DB PMI Manufacturing World'!$A$1:$AA$1,),))=0,#N/A, (VLOOKUP(B71,'DB PMI Manufacturing World'!$A:$AA,MATCH($N$1,'DB PMI Manufacturing World'!$A$1:$AA$1,),)))</f>
        <v>54.2</v>
      </c>
      <c r="O71" s="37">
        <f>IF((VLOOKUP(B71,'DB PMI Manufacturing World'!$A:$AA,MATCH($O$1,'DB PMI Manufacturing World'!$A$1:$AA$1,),))=0,#N/A, (VLOOKUP(B71,'DB PMI Manufacturing World'!$A:$AA,MATCH($O$1,'DB PMI Manufacturing World'!$A$1:$AA$1,),)))</f>
        <v>50.6</v>
      </c>
      <c r="P71" s="37">
        <f>IF((VLOOKUP(B71,'DB PMI Manufacturing World'!$A:$AA,MATCH($P$1,'DB PMI Manufacturing World'!$A$1:$AA$1,),))=0,#N/A, (VLOOKUP(B71,'DB PMI Manufacturing World'!$A:$AA,MATCH($P$1,'DB PMI Manufacturing World'!$A$1:$AA$1,),)))</f>
        <v>50.8</v>
      </c>
      <c r="Q71" s="37">
        <f>IF((VLOOKUP(B71,'DB PMI Manufacturing World'!$A:$AA,MATCH($Q$1,'DB PMI Manufacturing World'!$A$1:$AA$1,),))=0,#N/A, (VLOOKUP(B71,'DB PMI Manufacturing World'!$A:$AA,MATCH($Q$1,'DB PMI Manufacturing World'!$A$1:$AA$1,),)))</f>
        <v>54.6</v>
      </c>
      <c r="R71" s="37">
        <f>IF((VLOOKUP(B71,'DB PMI Manufacturing World'!$A:$AA,MATCH($R$1,'DB PMI Manufacturing World'!$A$1:$AA$1,),))=0,#N/A, (VLOOKUP(B71,'DB PMI Manufacturing World'!$A:$AA,MATCH($R$1,'DB PMI Manufacturing World'!$A$1:$AA$1,),)))</f>
        <v>56.8</v>
      </c>
      <c r="S71" s="37">
        <f>IF((VLOOKUP(B71,'DB PMI Manufacturing World'!$A:$AA,MATCH($S$1,'DB PMI Manufacturing World'!$A$1:$AA$1,),))=0,#N/A, (VLOOKUP(B71,'DB PMI Manufacturing World'!$A:$AA,MATCH($S$1,'DB PMI Manufacturing World'!$A$1:$AA$1,),)))</f>
        <v>52.4</v>
      </c>
      <c r="T71" s="37">
        <f>IF((VLOOKUP(B71,'DB PMI Manufacturing World'!$A:$AA,MATCH($T$1,'DB PMI Manufacturing World'!$A$1:$AA$1,),))=0,#N/A, (VLOOKUP(B71,'DB PMI Manufacturing World'!$A:$AA,MATCH($T$1,'DB PMI Manufacturing World'!$A$1:$AA$1,),)))</f>
        <v>50.8</v>
      </c>
      <c r="U71" s="37">
        <f>IF((VLOOKUP(B71,'DB PMI Manufacturing World'!$A:$AA,MATCH($U$1,'DB PMI Manufacturing World'!$A$1:$AA$1,),))=0,#N/A, (VLOOKUP(B71,'DB PMI Manufacturing World'!$A:$AA,MATCH($U$1,'DB PMI Manufacturing World'!$A$1:$AA$1,),)))</f>
        <v>51.8</v>
      </c>
      <c r="V71" s="37">
        <f>IF((VLOOKUP(B71,'DB PMI Manufacturing World'!$A:$AA,MATCH($V$1,'DB PMI Manufacturing World'!$A$1:$AA$1,),))=0,#N/A, (VLOOKUP(B71,'DB PMI Manufacturing World'!$A:$AA,MATCH($V$1,'DB PMI Manufacturing World'!$A$1:$AA$1,),)))</f>
        <v>50</v>
      </c>
      <c r="W71" s="37">
        <f>IF((VLOOKUP(B71,'DB PMI Manufacturing World'!$A:$AA,MATCH($W$1,'DB PMI Manufacturing World'!$A$1:$AA$1,),))=0,#N/A, (VLOOKUP(B71,'DB PMI Manufacturing World'!$A:$AA,MATCH($W$1,'DB PMI Manufacturing World'!$A$1:$AA$1,),)))</f>
        <v>53.8</v>
      </c>
      <c r="X71" s="37">
        <f>IF((VLOOKUP(B71,'DB PMI Manufacturing World'!$A:$AA,MATCH($X$1,'DB PMI Manufacturing World'!$A$1:$AA$1,),))=0,#N/A, (VLOOKUP(B71,'DB PMI Manufacturing World'!$A:$AA,MATCH($X$1,'DB PMI Manufacturing World'!$A$1:$AA$1,),)))</f>
        <v>56.4</v>
      </c>
      <c r="Y71" s="37">
        <f>IF((VLOOKUP(B71,'DB PMI Manufacturing World'!$A:$AA,MATCH($Y$1,'DB PMI Manufacturing World'!$A$1:$AA$1,),))=0,#N/A, (VLOOKUP(B71,'DB PMI Manufacturing World'!$A:$AA,MATCH($Y$1,'DB PMI Manufacturing World'!$A$1:$AA$1,),)))</f>
        <v>49.2</v>
      </c>
      <c r="Z71" s="37">
        <f>IF((VLOOKUP(B71,'DB PMI Manufacturing World'!$A:$AA,MATCH($Z$1,'DB PMI Manufacturing World'!$A$1:$AA$1,),))=0,#N/A, (VLOOKUP(B71,'DB PMI Manufacturing World'!$A:$AA,MATCH($Z$1,'DB PMI Manufacturing World'!$A$1:$AA$1,),)))</f>
        <v>52.3</v>
      </c>
      <c r="AA71" s="37">
        <f>IF((VLOOKUP(B71,'DB PMI Manufacturing World'!$A:$AA,MATCH($AA$1,'DB PMI Manufacturing World'!$A$1:$AA$1,),))=0,#N/A, (VLOOKUP(B71,'DB PMI Manufacturing World'!$A:$AA,MATCH($AA$1,'DB PMI Manufacturing World'!$A$1:$AA$1,),)))</f>
        <v>48.5</v>
      </c>
      <c r="AB71" s="37">
        <f>IF((VLOOKUP(B71,'DB PMI Manufacturing World'!$A:$AA,MATCH($AB$1,'DB PMI Manufacturing World'!$A$1:$AA$1,),))=0,#N/A, (VLOOKUP(B71,'DB PMI Manufacturing World'!$A:$AA,MATCH($AB$1,'DB PMI Manufacturing World'!$A$1:$AA$1,),)))</f>
        <v>60.7</v>
      </c>
    </row>
    <row r="72" spans="2:28" s="56" customFormat="1" x14ac:dyDescent="0.35">
      <c r="B72" s="29">
        <v>44713</v>
      </c>
      <c r="C72" s="37">
        <f>IF((VLOOKUP(B72,'DB PMI Manufacturing World'!$A:$AA,MATCH($C$1,'DB PMI Manufacturing World'!$A$1:$AA$1,),))=0,#N/A, (VLOOKUP(B72,'DB PMI Manufacturing World'!$A:$AA,MATCH($C$1,'DB PMI Manufacturing World'!$A$1:$AA$1,),)))</f>
        <v>52.2</v>
      </c>
      <c r="D72" s="37">
        <f>IF((VLOOKUP(B72,'DB PMI Manufacturing World'!$A:$AA,MATCH($D$1,'DB PMI Manufacturing World'!$A$1:$AA$1,),))=0,#N/A, (VLOOKUP(B72,'DB PMI Manufacturing World'!$A:$AA,MATCH($D$1,'DB PMI Manufacturing World'!$A$1:$AA$1,),)))</f>
        <v>53</v>
      </c>
      <c r="E72" s="37">
        <f>IF((VLOOKUP(B72,'DB PMI Manufacturing World'!$A:$AA,MATCH($E$1,'DB PMI Manufacturing World'!$A$1:$AA$1,),))=0,#N/A, (VLOOKUP(B72,'DB PMI Manufacturing World'!$A:$AA,MATCH($E$1,'DB PMI Manufacturing World'!$A$1:$AA$1,),)))</f>
        <v>52.4</v>
      </c>
      <c r="F72" s="37">
        <f>IF((VLOOKUP(B72,'DB PMI Manufacturing World'!$A:$AA,MATCH($F$1,'DB PMI Manufacturing World'!$A$1:$AA$1,),))=0,#N/A, (VLOOKUP(B72,'DB PMI Manufacturing World'!$A:$AA,MATCH($F$1,'DB PMI Manufacturing World'!$A$1:$AA$1,),)))</f>
        <v>51.7</v>
      </c>
      <c r="G72" s="37">
        <f>IF((VLOOKUP(B72,'DB PMI Manufacturing World'!$A:$AA,MATCH($G$1,'DB PMI Manufacturing World'!$A$1:$AA$1,),))=0,#N/A, (VLOOKUP(B72,'DB PMI Manufacturing World'!$A:$AA,MATCH($G$1,'DB PMI Manufacturing World'!$A$1:$AA$1,),)))</f>
        <v>52</v>
      </c>
      <c r="H72" s="37">
        <f>IF((VLOOKUP(B72,'DB PMI Manufacturing World'!$A:$AA,MATCH($H$1,'DB PMI Manufacturing World'!$A$1:$AA$1,),))=0,#N/A, (VLOOKUP(B72,'DB PMI Manufacturing World'!$A:$AA,MATCH($H$1,'DB PMI Manufacturing World'!$A$1:$AA$1,),)))</f>
        <v>52.7</v>
      </c>
      <c r="I72" s="37">
        <f>IF((VLOOKUP(B72,'DB PMI Manufacturing World'!$A:$AA,MATCH($I$1,'DB PMI Manufacturing World'!$A$1:$AA$1,),))=0,#N/A, (VLOOKUP(B72,'DB PMI Manufacturing World'!$A:$AA,MATCH($I$1,'DB PMI Manufacturing World'!$A$1:$AA$1,),)))</f>
        <v>52</v>
      </c>
      <c r="J72" s="37">
        <f>IF((VLOOKUP(B72,'DB PMI Manufacturing World'!$A:$AA,MATCH($J$1,'DB PMI Manufacturing World'!$A$1:$AA$1,),))=0,#N/A, (VLOOKUP(B72,'DB PMI Manufacturing World'!$A:$AA,MATCH($J$1,'DB PMI Manufacturing World'!$A$1:$AA$1,),)))</f>
        <v>51</v>
      </c>
      <c r="K72" s="37">
        <f>IF((VLOOKUP(B72,'DB PMI Manufacturing World'!$A:$AA,MATCH($K$1,'DB PMI Manufacturing World'!$A$1:$AA$1,),))=0,#N/A, (VLOOKUP(B72,'DB PMI Manufacturing World'!$A:$AA,MATCH($K$1,'DB PMI Manufacturing World'!$A$1:$AA$1,),)))</f>
        <v>53.4</v>
      </c>
      <c r="L72" s="37">
        <f>IF((VLOOKUP(B72,'DB PMI Manufacturing World'!$A:$AA,MATCH($L$1,'DB PMI Manufacturing World'!$A$1:$AA$1,),))=0,#N/A, (VLOOKUP(B72,'DB PMI Manufacturing World'!$A:$AA,MATCH($L$1,'DB PMI Manufacturing World'!$A$1:$AA$1,),)))</f>
        <v>50.9</v>
      </c>
      <c r="M72" s="37">
        <f>IF((VLOOKUP(B72,'DB PMI Manufacturing World'!$A:$AA,MATCH($M$1,'DB PMI Manufacturing World'!$A$1:$AA$1,),))=0,#N/A, (VLOOKUP(B72,'DB PMI Manufacturing World'!$A:$AA,MATCH($M$1,'DB PMI Manufacturing World'!$A$1:$AA$1,),)))</f>
        <v>52.6</v>
      </c>
      <c r="N72" s="37">
        <f>IF((VLOOKUP(B72,'DB PMI Manufacturing World'!$A:$AA,MATCH($N$1,'DB PMI Manufacturing World'!$A$1:$AA$1,),))=0,#N/A, (VLOOKUP(B72,'DB PMI Manufacturing World'!$A:$AA,MATCH($N$1,'DB PMI Manufacturing World'!$A$1:$AA$1,),)))</f>
        <v>54.1</v>
      </c>
      <c r="O72" s="37">
        <f>IF((VLOOKUP(B72,'DB PMI Manufacturing World'!$A:$AA,MATCH($O$1,'DB PMI Manufacturing World'!$A$1:$AA$1,),))=0,#N/A, (VLOOKUP(B72,'DB PMI Manufacturing World'!$A:$AA,MATCH($O$1,'DB PMI Manufacturing World'!$A$1:$AA$1,),)))</f>
        <v>52.2</v>
      </c>
      <c r="P72" s="37">
        <f>IF((VLOOKUP(B72,'DB PMI Manufacturing World'!$A:$AA,MATCH($P$1,'DB PMI Manufacturing World'!$A$1:$AA$1,),))=0,#N/A, (VLOOKUP(B72,'DB PMI Manufacturing World'!$A:$AA,MATCH($P$1,'DB PMI Manufacturing World'!$A$1:$AA$1,),)))</f>
        <v>50.9</v>
      </c>
      <c r="Q72" s="37">
        <f>IF((VLOOKUP(B72,'DB PMI Manufacturing World'!$A:$AA,MATCH($Q$1,'DB PMI Manufacturing World'!$A$1:$AA$1,),))=0,#N/A, (VLOOKUP(B72,'DB PMI Manufacturing World'!$A:$AA,MATCH($Q$1,'DB PMI Manufacturing World'!$A$1:$AA$1,),)))</f>
        <v>53.9</v>
      </c>
      <c r="R72" s="37">
        <f>IF((VLOOKUP(B72,'DB PMI Manufacturing World'!$A:$AA,MATCH($R$1,'DB PMI Manufacturing World'!$A$1:$AA$1,),))=0,#N/A, (VLOOKUP(B72,'DB PMI Manufacturing World'!$A:$AA,MATCH($R$1,'DB PMI Manufacturing World'!$A$1:$AA$1,),)))</f>
        <v>54.6</v>
      </c>
      <c r="S72" s="37">
        <f>IF((VLOOKUP(B72,'DB PMI Manufacturing World'!$A:$AA,MATCH($S$1,'DB PMI Manufacturing World'!$A$1:$AA$1,),))=0,#N/A, (VLOOKUP(B72,'DB PMI Manufacturing World'!$A:$AA,MATCH($S$1,'DB PMI Manufacturing World'!$A$1:$AA$1,),)))</f>
        <v>54</v>
      </c>
      <c r="T72" s="37">
        <f>IF((VLOOKUP(B72,'DB PMI Manufacturing World'!$A:$AA,MATCH($T$1,'DB PMI Manufacturing World'!$A$1:$AA$1,),))=0,#N/A, (VLOOKUP(B72,'DB PMI Manufacturing World'!$A:$AA,MATCH($T$1,'DB PMI Manufacturing World'!$A$1:$AA$1,),)))</f>
        <v>50.2</v>
      </c>
      <c r="U72" s="37">
        <f>IF((VLOOKUP(B72,'DB PMI Manufacturing World'!$A:$AA,MATCH($U$1,'DB PMI Manufacturing World'!$A$1:$AA$1,),))=0,#N/A, (VLOOKUP(B72,'DB PMI Manufacturing World'!$A:$AA,MATCH($U$1,'DB PMI Manufacturing World'!$A$1:$AA$1,),)))</f>
        <v>51.3</v>
      </c>
      <c r="V72" s="37">
        <f>IF((VLOOKUP(B72,'DB PMI Manufacturing World'!$A:$AA,MATCH($V$1,'DB PMI Manufacturing World'!$A$1:$AA$1,),))=0,#N/A, (VLOOKUP(B72,'DB PMI Manufacturing World'!$A:$AA,MATCH($V$1,'DB PMI Manufacturing World'!$A$1:$AA$1,),)))</f>
        <v>49.8</v>
      </c>
      <c r="W72" s="37">
        <f>IF((VLOOKUP(B72,'DB PMI Manufacturing World'!$A:$AA,MATCH($W$1,'DB PMI Manufacturing World'!$A$1:$AA$1,),))=0,#N/A, (VLOOKUP(B72,'DB PMI Manufacturing World'!$A:$AA,MATCH($W$1,'DB PMI Manufacturing World'!$A$1:$AA$1,),)))</f>
        <v>51.1</v>
      </c>
      <c r="X72" s="37">
        <f>IF((VLOOKUP(B72,'DB PMI Manufacturing World'!$A:$AA,MATCH($X$1,'DB PMI Manufacturing World'!$A$1:$AA$1,),))=0,#N/A, (VLOOKUP(B72,'DB PMI Manufacturing World'!$A:$AA,MATCH($X$1,'DB PMI Manufacturing World'!$A$1:$AA$1,),)))</f>
        <v>53.1</v>
      </c>
      <c r="Y72" s="37">
        <f>IF((VLOOKUP(B72,'DB PMI Manufacturing World'!$A:$AA,MATCH($Y$1,'DB PMI Manufacturing World'!$A$1:$AA$1,),))=0,#N/A, (VLOOKUP(B72,'DB PMI Manufacturing World'!$A:$AA,MATCH($Y$1,'DB PMI Manufacturing World'!$A$1:$AA$1,),)))</f>
        <v>48.1</v>
      </c>
      <c r="Z72" s="37">
        <f>IF((VLOOKUP(B72,'DB PMI Manufacturing World'!$A:$AA,MATCH($Z$1,'DB PMI Manufacturing World'!$A$1:$AA$1,),))=0,#N/A, (VLOOKUP(B72,'DB PMI Manufacturing World'!$A:$AA,MATCH($Z$1,'DB PMI Manufacturing World'!$A$1:$AA$1,),)))</f>
        <v>49</v>
      </c>
      <c r="AA72" s="37">
        <f>IF((VLOOKUP(B72,'DB PMI Manufacturing World'!$A:$AA,MATCH($AA$1,'DB PMI Manufacturing World'!$A$1:$AA$1,),))=0,#N/A, (VLOOKUP(B72,'DB PMI Manufacturing World'!$A:$AA,MATCH($AA$1,'DB PMI Manufacturing World'!$A$1:$AA$1,),)))</f>
        <v>44.4</v>
      </c>
      <c r="AB72" s="37">
        <f>IF((VLOOKUP(B72,'DB PMI Manufacturing World'!$A:$AA,MATCH($AB$1,'DB PMI Manufacturing World'!$A$1:$AA$1,),))=0,#N/A, (VLOOKUP(B72,'DB PMI Manufacturing World'!$A:$AA,MATCH($AB$1,'DB PMI Manufacturing World'!$A$1:$AA$1,),)))</f>
        <v>71.3</v>
      </c>
    </row>
    <row r="73" spans="2:28" s="56" customFormat="1" x14ac:dyDescent="0.35">
      <c r="B73" s="29">
        <v>44743</v>
      </c>
      <c r="C73" s="37" t="e">
        <f>IF((VLOOKUP(B73,'DB PMI Manufacturing World'!$A:$AA,MATCH($C$1,'DB PMI Manufacturing World'!$A$1:$AA$1,),))=0,#N/A, (VLOOKUP(B73,'DB PMI Manufacturing World'!$A:$AA,MATCH($C$1,'DB PMI Manufacturing World'!$A$1:$AA$1,),)))</f>
        <v>#N/A</v>
      </c>
      <c r="D73" s="37">
        <f>IF((VLOOKUP(B73,'DB PMI Manufacturing World'!$A:$AA,MATCH($D$1,'DB PMI Manufacturing World'!$A$1:$AA$1,),))=0,#N/A, (VLOOKUP(B73,'DB PMI Manufacturing World'!$A:$AA,MATCH($D$1,'DB PMI Manufacturing World'!$A$1:$AA$1,),)))</f>
        <v>52.8</v>
      </c>
      <c r="E73" s="37">
        <f>IF((VLOOKUP(B73,'DB PMI Manufacturing World'!$A:$AA,MATCH($E$1,'DB PMI Manufacturing World'!$A$1:$AA$1,),))=0,#N/A, (VLOOKUP(B73,'DB PMI Manufacturing World'!$A:$AA,MATCH($E$1,'DB PMI Manufacturing World'!$A$1:$AA$1,),)))</f>
        <v>52.2</v>
      </c>
      <c r="F73" s="37">
        <f>IF((VLOOKUP(B73,'DB PMI Manufacturing World'!$A:$AA,MATCH($F$1,'DB PMI Manufacturing World'!$A$1:$AA$1,),))=0,#N/A, (VLOOKUP(B73,'DB PMI Manufacturing World'!$A:$AA,MATCH($F$1,'DB PMI Manufacturing World'!$A$1:$AA$1,),)))</f>
        <v>50.4</v>
      </c>
      <c r="G73" s="37">
        <f>IF((VLOOKUP(B73,'DB PMI Manufacturing World'!$A:$AA,MATCH($G$1,'DB PMI Manufacturing World'!$A$1:$AA$1,),))=0,#N/A, (VLOOKUP(B73,'DB PMI Manufacturing World'!$A:$AA,MATCH($G$1,'DB PMI Manufacturing World'!$A$1:$AA$1,),)))</f>
        <v>49.8</v>
      </c>
      <c r="H73" s="37">
        <f>IF((VLOOKUP(B73,'DB PMI Manufacturing World'!$A:$AA,MATCH($H$1,'DB PMI Manufacturing World'!$A$1:$AA$1,),))=0,#N/A, (VLOOKUP(B73,'DB PMI Manufacturing World'!$A:$AA,MATCH($H$1,'DB PMI Manufacturing World'!$A$1:$AA$1,),)))</f>
        <v>52.1</v>
      </c>
      <c r="I73" s="37">
        <f>IF((VLOOKUP(B73,'DB PMI Manufacturing World'!$A:$AA,MATCH($I$1,'DB PMI Manufacturing World'!$A$1:$AA$1,),))=0,#N/A, (VLOOKUP(B73,'DB PMI Manufacturing World'!$A:$AA,MATCH($I$1,'DB PMI Manufacturing World'!$A$1:$AA$1,),)))</f>
        <v>49.3</v>
      </c>
      <c r="J73" s="37">
        <f>IF((VLOOKUP(B73,'DB PMI Manufacturing World'!$A:$AA,MATCH($J$1,'DB PMI Manufacturing World'!$A$1:$AA$1,),))=0,#N/A, (VLOOKUP(B73,'DB PMI Manufacturing World'!$A:$AA,MATCH($J$1,'DB PMI Manufacturing World'!$A$1:$AA$1,),)))</f>
        <v>49.5</v>
      </c>
      <c r="K73" s="37">
        <f>IF((VLOOKUP(B73,'DB PMI Manufacturing World'!$A:$AA,MATCH($K$1,'DB PMI Manufacturing World'!$A$1:$AA$1,),))=0,#N/A, (VLOOKUP(B73,'DB PMI Manufacturing World'!$A:$AA,MATCH($K$1,'DB PMI Manufacturing World'!$A$1:$AA$1,),)))</f>
        <v>52.1</v>
      </c>
      <c r="L73" s="37">
        <f>IF((VLOOKUP(B73,'DB PMI Manufacturing World'!$A:$AA,MATCH($L$1,'DB PMI Manufacturing World'!$A$1:$AA$1,),))=0,#N/A, (VLOOKUP(B73,'DB PMI Manufacturing World'!$A:$AA,MATCH($L$1,'DB PMI Manufacturing World'!$A$1:$AA$1,),)))</f>
        <v>48.5</v>
      </c>
      <c r="M73" s="37">
        <f>IF((VLOOKUP(B73,'DB PMI Manufacturing World'!$A:$AA,MATCH($M$1,'DB PMI Manufacturing World'!$A$1:$AA$1,),))=0,#N/A, (VLOOKUP(B73,'DB PMI Manufacturing World'!$A:$AA,MATCH($M$1,'DB PMI Manufacturing World'!$A$1:$AA$1,),)))</f>
        <v>48.7</v>
      </c>
      <c r="N73" s="37">
        <f>IF((VLOOKUP(B73,'DB PMI Manufacturing World'!$A:$AA,MATCH($N$1,'DB PMI Manufacturing World'!$A$1:$AA$1,),))=0,#N/A, (VLOOKUP(B73,'DB PMI Manufacturing World'!$A:$AA,MATCH($N$1,'DB PMI Manufacturing World'!$A$1:$AA$1,),)))</f>
        <v>54</v>
      </c>
      <c r="O73" s="37">
        <f>IF((VLOOKUP(B73,'DB PMI Manufacturing World'!$A:$AA,MATCH($O$1,'DB PMI Manufacturing World'!$A$1:$AA$1,),))=0,#N/A, (VLOOKUP(B73,'DB PMI Manufacturing World'!$A:$AA,MATCH($O$1,'DB PMI Manufacturing World'!$A$1:$AA$1,),)))</f>
        <v>48.5</v>
      </c>
      <c r="P73" s="37">
        <f>IF((VLOOKUP(B73,'DB PMI Manufacturing World'!$A:$AA,MATCH($P$1,'DB PMI Manufacturing World'!$A$1:$AA$1,),))=0,#N/A, (VLOOKUP(B73,'DB PMI Manufacturing World'!$A:$AA,MATCH($P$1,'DB PMI Manufacturing World'!$A$1:$AA$1,),)))</f>
        <v>50.3</v>
      </c>
      <c r="Q73" s="37">
        <f>IF((VLOOKUP(B73,'DB PMI Manufacturing World'!$A:$AA,MATCH($Q$1,'DB PMI Manufacturing World'!$A$1:$AA$1,),))=0,#N/A, (VLOOKUP(B73,'DB PMI Manufacturing World'!$A:$AA,MATCH($Q$1,'DB PMI Manufacturing World'!$A$1:$AA$1,),)))</f>
        <v>56.4</v>
      </c>
      <c r="R73" s="37">
        <f>IF((VLOOKUP(B73,'DB PMI Manufacturing World'!$A:$AA,MATCH($R$1,'DB PMI Manufacturing World'!$A$1:$AA$1,),))=0,#N/A, (VLOOKUP(B73,'DB PMI Manufacturing World'!$A:$AA,MATCH($R$1,'DB PMI Manufacturing World'!$A$1:$AA$1,),)))</f>
        <v>52.5</v>
      </c>
      <c r="S73" s="37">
        <f>IF((VLOOKUP(B73,'DB PMI Manufacturing World'!$A:$AA,MATCH($S$1,'DB PMI Manufacturing World'!$A$1:$AA$1,),))=0,#N/A, (VLOOKUP(B73,'DB PMI Manufacturing World'!$A:$AA,MATCH($S$1,'DB PMI Manufacturing World'!$A$1:$AA$1,),)))</f>
        <v>52.5</v>
      </c>
      <c r="T73" s="37">
        <f>IF((VLOOKUP(B73,'DB PMI Manufacturing World'!$A:$AA,MATCH($T$1,'DB PMI Manufacturing World'!$A$1:$AA$1,),))=0,#N/A, (VLOOKUP(B73,'DB PMI Manufacturing World'!$A:$AA,MATCH($T$1,'DB PMI Manufacturing World'!$A$1:$AA$1,),)))</f>
        <v>51.3</v>
      </c>
      <c r="U73" s="37">
        <f>IF((VLOOKUP(B73,'DB PMI Manufacturing World'!$A:$AA,MATCH($U$1,'DB PMI Manufacturing World'!$A$1:$AA$1,),))=0,#N/A, (VLOOKUP(B73,'DB PMI Manufacturing World'!$A:$AA,MATCH($U$1,'DB PMI Manufacturing World'!$A$1:$AA$1,),)))</f>
        <v>49.8</v>
      </c>
      <c r="V73" s="37">
        <f>IF((VLOOKUP(B73,'DB PMI Manufacturing World'!$A:$AA,MATCH($V$1,'DB PMI Manufacturing World'!$A$1:$AA$1,),))=0,#N/A, (VLOOKUP(B73,'DB PMI Manufacturing World'!$A:$AA,MATCH($V$1,'DB PMI Manufacturing World'!$A$1:$AA$1,),)))</f>
        <v>44.6</v>
      </c>
      <c r="W73" s="37">
        <f>IF((VLOOKUP(B73,'DB PMI Manufacturing World'!$A:$AA,MATCH($W$1,'DB PMI Manufacturing World'!$A$1:$AA$1,),))=0,#N/A, (VLOOKUP(B73,'DB PMI Manufacturing World'!$A:$AA,MATCH($W$1,'DB PMI Manufacturing World'!$A$1:$AA$1,),)))</f>
        <v>49.1</v>
      </c>
      <c r="X73" s="37">
        <f>IF((VLOOKUP(B73,'DB PMI Manufacturing World'!$A:$AA,MATCH($X$1,'DB PMI Manufacturing World'!$A$1:$AA$1,),))=0,#N/A, (VLOOKUP(B73,'DB PMI Manufacturing World'!$A:$AA,MATCH($X$1,'DB PMI Manufacturing World'!$A$1:$AA$1,),)))</f>
        <v>51.8</v>
      </c>
      <c r="Y73" s="37">
        <f>IF((VLOOKUP(B73,'DB PMI Manufacturing World'!$A:$AA,MATCH($Y$1,'DB PMI Manufacturing World'!$A$1:$AA$1,),))=0,#N/A, (VLOOKUP(B73,'DB PMI Manufacturing World'!$A:$AA,MATCH($Y$1,'DB PMI Manufacturing World'!$A$1:$AA$1,),)))</f>
        <v>46.9</v>
      </c>
      <c r="Z73" s="37">
        <f>IF((VLOOKUP(B73,'DB PMI Manufacturing World'!$A:$AA,MATCH($Z$1,'DB PMI Manufacturing World'!$A$1:$AA$1,),))=0,#N/A, (VLOOKUP(B73,'DB PMI Manufacturing World'!$A:$AA,MATCH($Z$1,'DB PMI Manufacturing World'!$A$1:$AA$1,),)))</f>
        <v>46.8</v>
      </c>
      <c r="AA73" s="37">
        <f>IF((VLOOKUP(B73,'DB PMI Manufacturing World'!$A:$AA,MATCH($AA$1,'DB PMI Manufacturing World'!$A$1:$AA$1,),))=0,#N/A, (VLOOKUP(B73,'DB PMI Manufacturing World'!$A:$AA,MATCH($AA$1,'DB PMI Manufacturing World'!$A$1:$AA$1,),)))</f>
        <v>42.1</v>
      </c>
      <c r="AB73" s="37">
        <f>IF((VLOOKUP(B73,'DB PMI Manufacturing World'!$A:$AA,MATCH($AB$1,'DB PMI Manufacturing World'!$A$1:$AA$1,),))=0,#N/A, (VLOOKUP(B73,'DB PMI Manufacturing World'!$A:$AA,MATCH($AB$1,'DB PMI Manufacturing World'!$A$1:$AA$1,),)))</f>
        <v>38</v>
      </c>
    </row>
    <row r="74" spans="2:28" s="56" customFormat="1" x14ac:dyDescent="0.35">
      <c r="B74" s="29">
        <v>44774</v>
      </c>
      <c r="C74" s="37" t="e">
        <f>IF((VLOOKUP(B74,'DB PMI Manufacturing World'!$A:$AA,MATCH($C$1,'DB PMI Manufacturing World'!$A$1:$AA$1,),))=0,#N/A, (VLOOKUP(B74,'DB PMI Manufacturing World'!$A:$AA,MATCH($C$1,'DB PMI Manufacturing World'!$A$1:$AA$1,),)))</f>
        <v>#N/A</v>
      </c>
      <c r="D74" s="37">
        <f>IF((VLOOKUP(B74,'DB PMI Manufacturing World'!$A:$AA,MATCH($D$1,'DB PMI Manufacturing World'!$A$1:$AA$1,),))=0,#N/A, (VLOOKUP(B74,'DB PMI Manufacturing World'!$A:$AA,MATCH($D$1,'DB PMI Manufacturing World'!$A$1:$AA$1,),)))</f>
        <v>52.8</v>
      </c>
      <c r="E74" s="37">
        <f>IF((VLOOKUP(B74,'DB PMI Manufacturing World'!$A:$AA,MATCH($E$1,'DB PMI Manufacturing World'!$A$1:$AA$1,),))=0,#N/A, (VLOOKUP(B74,'DB PMI Manufacturing World'!$A:$AA,MATCH($E$1,'DB PMI Manufacturing World'!$A$1:$AA$1,),)))</f>
        <v>51.5</v>
      </c>
      <c r="F74" s="37">
        <f>IF((VLOOKUP(B74,'DB PMI Manufacturing World'!$A:$AA,MATCH($F$1,'DB PMI Manufacturing World'!$A$1:$AA$1,),))=0,#N/A, (VLOOKUP(B74,'DB PMI Manufacturing World'!$A:$AA,MATCH($F$1,'DB PMI Manufacturing World'!$A$1:$AA$1,),)))</f>
        <v>49.5</v>
      </c>
      <c r="G74" s="37">
        <f>IF((VLOOKUP(B74,'DB PMI Manufacturing World'!$A:$AA,MATCH($G$1,'DB PMI Manufacturing World'!$A$1:$AA$1,),))=0,#N/A, (VLOOKUP(B74,'DB PMI Manufacturing World'!$A:$AA,MATCH($G$1,'DB PMI Manufacturing World'!$A$1:$AA$1,),)))</f>
        <v>49.6</v>
      </c>
      <c r="H74" s="37">
        <f>IF((VLOOKUP(B74,'DB PMI Manufacturing World'!$A:$AA,MATCH($H$1,'DB PMI Manufacturing World'!$A$1:$AA$1,),))=0,#N/A, (VLOOKUP(B74,'DB PMI Manufacturing World'!$A:$AA,MATCH($H$1,'DB PMI Manufacturing World'!$A$1:$AA$1,),)))</f>
        <v>51.5</v>
      </c>
      <c r="I74" s="37">
        <f>IF((VLOOKUP(B74,'DB PMI Manufacturing World'!$A:$AA,MATCH($I$1,'DB PMI Manufacturing World'!$A$1:$AA$1,),))=0,#N/A, (VLOOKUP(B74,'DB PMI Manufacturing World'!$A:$AA,MATCH($I$1,'DB PMI Manufacturing World'!$A$1:$AA$1,),)))</f>
        <v>49.1</v>
      </c>
      <c r="J74" s="37">
        <f>IF((VLOOKUP(B74,'DB PMI Manufacturing World'!$A:$AA,MATCH($J$1,'DB PMI Manufacturing World'!$A$1:$AA$1,),))=0,#N/A, (VLOOKUP(B74,'DB PMI Manufacturing World'!$A:$AA,MATCH($J$1,'DB PMI Manufacturing World'!$A$1:$AA$1,),)))</f>
        <v>50.6</v>
      </c>
      <c r="K74" s="37">
        <f>IF((VLOOKUP(B74,'DB PMI Manufacturing World'!$A:$AA,MATCH($K$1,'DB PMI Manufacturing World'!$A$1:$AA$1,),))=0,#N/A, (VLOOKUP(B74,'DB PMI Manufacturing World'!$A:$AA,MATCH($K$1,'DB PMI Manufacturing World'!$A$1:$AA$1,),)))</f>
        <v>47.3</v>
      </c>
      <c r="L74" s="37">
        <f>IF((VLOOKUP(B74,'DB PMI Manufacturing World'!$A:$AA,MATCH($L$1,'DB PMI Manufacturing World'!$A$1:$AA$1,),))=0,#N/A, (VLOOKUP(B74,'DB PMI Manufacturing World'!$A:$AA,MATCH($L$1,'DB PMI Manufacturing World'!$A$1:$AA$1,),)))</f>
        <v>48</v>
      </c>
      <c r="M74" s="37">
        <f>IF((VLOOKUP(B74,'DB PMI Manufacturing World'!$A:$AA,MATCH($M$1,'DB PMI Manufacturing World'!$A$1:$AA$1,),))=0,#N/A, (VLOOKUP(B74,'DB PMI Manufacturing World'!$A:$AA,MATCH($M$1,'DB PMI Manufacturing World'!$A$1:$AA$1,),)))</f>
        <v>49.9</v>
      </c>
      <c r="N74" s="37">
        <f>IF((VLOOKUP(B74,'DB PMI Manufacturing World'!$A:$AA,MATCH($N$1,'DB PMI Manufacturing World'!$A$1:$AA$1,),))=0,#N/A, (VLOOKUP(B74,'DB PMI Manufacturing World'!$A:$AA,MATCH($N$1,'DB PMI Manufacturing World'!$A$1:$AA$1,),)))</f>
        <v>51.9</v>
      </c>
      <c r="O74" s="37">
        <f>IF((VLOOKUP(B74,'DB PMI Manufacturing World'!$A:$AA,MATCH($O$1,'DB PMI Manufacturing World'!$A$1:$AA$1,),))=0,#N/A, (VLOOKUP(B74,'DB PMI Manufacturing World'!$A:$AA,MATCH($O$1,'DB PMI Manufacturing World'!$A$1:$AA$1,),)))</f>
        <v>48.5</v>
      </c>
      <c r="P74" s="37">
        <f>IF((VLOOKUP(B74,'DB PMI Manufacturing World'!$A:$AA,MATCH($P$1,'DB PMI Manufacturing World'!$A$1:$AA$1,),))=0,#N/A, (VLOOKUP(B74,'DB PMI Manufacturing World'!$A:$AA,MATCH($P$1,'DB PMI Manufacturing World'!$A$1:$AA$1,),)))</f>
        <v>51.7</v>
      </c>
      <c r="Q74" s="37">
        <f>IF((VLOOKUP(B74,'DB PMI Manufacturing World'!$A:$AA,MATCH($Q$1,'DB PMI Manufacturing World'!$A$1:$AA$1,),))=0,#N/A, (VLOOKUP(B74,'DB PMI Manufacturing World'!$A:$AA,MATCH($Q$1,'DB PMI Manufacturing World'!$A$1:$AA$1,),)))</f>
        <v>56.2</v>
      </c>
      <c r="R74" s="37">
        <f>IF((VLOOKUP(B74,'DB PMI Manufacturing World'!$A:$AA,MATCH($R$1,'DB PMI Manufacturing World'!$A$1:$AA$1,),))=0,#N/A, (VLOOKUP(B74,'DB PMI Manufacturing World'!$A:$AA,MATCH($R$1,'DB PMI Manufacturing World'!$A$1:$AA$1,),)))</f>
        <v>48.7</v>
      </c>
      <c r="S74" s="37">
        <f>IF((VLOOKUP(B74,'DB PMI Manufacturing World'!$A:$AA,MATCH($S$1,'DB PMI Manufacturing World'!$A$1:$AA$1,),))=0,#N/A, (VLOOKUP(B74,'DB PMI Manufacturing World'!$A:$AA,MATCH($S$1,'DB PMI Manufacturing World'!$A$1:$AA$1,),)))</f>
        <v>49.3</v>
      </c>
      <c r="T74" s="37">
        <f>IF((VLOOKUP(B74,'DB PMI Manufacturing World'!$A:$AA,MATCH($T$1,'DB PMI Manufacturing World'!$A$1:$AA$1,),))=0,#N/A, (VLOOKUP(B74,'DB PMI Manufacturing World'!$A:$AA,MATCH($T$1,'DB PMI Manufacturing World'!$A$1:$AA$1,),)))</f>
        <v>51.7</v>
      </c>
      <c r="U74" s="37">
        <f>IF((VLOOKUP(B74,'DB PMI Manufacturing World'!$A:$AA,MATCH($U$1,'DB PMI Manufacturing World'!$A$1:$AA$1,),))=0,#N/A, (VLOOKUP(B74,'DB PMI Manufacturing World'!$A:$AA,MATCH($U$1,'DB PMI Manufacturing World'!$A$1:$AA$1,),)))</f>
        <v>47.6</v>
      </c>
      <c r="V74" s="37">
        <f>IF((VLOOKUP(B74,'DB PMI Manufacturing World'!$A:$AA,MATCH($V$1,'DB PMI Manufacturing World'!$A$1:$AA$1,),))=0,#N/A, (VLOOKUP(B74,'DB PMI Manufacturing World'!$A:$AA,MATCH($V$1,'DB PMI Manufacturing World'!$A$1:$AA$1,),)))</f>
        <v>42.7</v>
      </c>
      <c r="W74" s="37">
        <f>IF((VLOOKUP(B74,'DB PMI Manufacturing World'!$A:$AA,MATCH($W$1,'DB PMI Manufacturing World'!$A$1:$AA$1,),))=0,#N/A, (VLOOKUP(B74,'DB PMI Manufacturing World'!$A:$AA,MATCH($W$1,'DB PMI Manufacturing World'!$A$1:$AA$1,),)))</f>
        <v>48.8</v>
      </c>
      <c r="X74" s="37">
        <f>IF((VLOOKUP(B74,'DB PMI Manufacturing World'!$A:$AA,MATCH($X$1,'DB PMI Manufacturing World'!$A$1:$AA$1,),))=0,#N/A, (VLOOKUP(B74,'DB PMI Manufacturing World'!$A:$AA,MATCH($X$1,'DB PMI Manufacturing World'!$A$1:$AA$1,),)))</f>
        <v>51.1</v>
      </c>
      <c r="Y74" s="37">
        <f>IF((VLOOKUP(B74,'DB PMI Manufacturing World'!$A:$AA,MATCH($Y$1,'DB PMI Manufacturing World'!$A$1:$AA$1,),))=0,#N/A, (VLOOKUP(B74,'DB PMI Manufacturing World'!$A:$AA,MATCH($Y$1,'DB PMI Manufacturing World'!$A$1:$AA$1,),)))</f>
        <v>47.4</v>
      </c>
      <c r="Z74" s="37">
        <f>IF((VLOOKUP(B74,'DB PMI Manufacturing World'!$A:$AA,MATCH($Z$1,'DB PMI Manufacturing World'!$A$1:$AA$1,),))=0,#N/A, (VLOOKUP(B74,'DB PMI Manufacturing World'!$A:$AA,MATCH($Z$1,'DB PMI Manufacturing World'!$A$1:$AA$1,),)))</f>
        <v>46.8</v>
      </c>
      <c r="AA74" s="37">
        <f>IF((VLOOKUP(B74,'DB PMI Manufacturing World'!$A:$AA,MATCH($AA$1,'DB PMI Manufacturing World'!$A$1:$AA$1,),))=0,#N/A, (VLOOKUP(B74,'DB PMI Manufacturing World'!$A:$AA,MATCH($AA$1,'DB PMI Manufacturing World'!$A$1:$AA$1,),)))</f>
        <v>40.9</v>
      </c>
      <c r="AB74" s="37">
        <f>IF((VLOOKUP(B74,'DB PMI Manufacturing World'!$A:$AA,MATCH($AB$1,'DB PMI Manufacturing World'!$A$1:$AA$1,),))=0,#N/A, (VLOOKUP(B74,'DB PMI Manufacturing World'!$A:$AA,MATCH($AB$1,'DB PMI Manufacturing World'!$A$1:$AA$1,),)))</f>
        <v>48</v>
      </c>
    </row>
    <row r="75" spans="2:28" s="56" customFormat="1" x14ac:dyDescent="0.35">
      <c r="B75" s="29">
        <v>44805</v>
      </c>
      <c r="C75" s="37" t="e">
        <f>IF((VLOOKUP(B75,'DB PMI Manufacturing World'!$A:$AA,MATCH($C$1,'DB PMI Manufacturing World'!$A$1:$AA$1,),))=0,#N/A, (VLOOKUP(B75,'DB PMI Manufacturing World'!$A:$AA,MATCH($C$1,'DB PMI Manufacturing World'!$A$1:$AA$1,),)))</f>
        <v>#N/A</v>
      </c>
      <c r="D75" s="37">
        <f>IF((VLOOKUP(B75,'DB PMI Manufacturing World'!$A:$AA,MATCH($D$1,'DB PMI Manufacturing World'!$A$1:$AA$1,),))=0,#N/A, (VLOOKUP(B75,'DB PMI Manufacturing World'!$A:$AA,MATCH($D$1,'DB PMI Manufacturing World'!$A$1:$AA$1,),)))</f>
        <v>50.9</v>
      </c>
      <c r="E75" s="37">
        <f>IF((VLOOKUP(B75,'DB PMI Manufacturing World'!$A:$AA,MATCH($E$1,'DB PMI Manufacturing World'!$A$1:$AA$1,),))=0,#N/A, (VLOOKUP(B75,'DB PMI Manufacturing World'!$A:$AA,MATCH($E$1,'DB PMI Manufacturing World'!$A$1:$AA$1,),)))</f>
        <v>52</v>
      </c>
      <c r="F75" s="37">
        <f>IF((VLOOKUP(B75,'DB PMI Manufacturing World'!$A:$AA,MATCH($F$1,'DB PMI Manufacturing World'!$A$1:$AA$1,),))=0,#N/A, (VLOOKUP(B75,'DB PMI Manufacturing World'!$A:$AA,MATCH($F$1,'DB PMI Manufacturing World'!$A$1:$AA$1,),)))</f>
        <v>48.1</v>
      </c>
      <c r="G75" s="37">
        <f>IF((VLOOKUP(B75,'DB PMI Manufacturing World'!$A:$AA,MATCH($G$1,'DB PMI Manufacturing World'!$A$1:$AA$1,),))=0,#N/A, (VLOOKUP(B75,'DB PMI Manufacturing World'!$A:$AA,MATCH($G$1,'DB PMI Manufacturing World'!$A$1:$AA$1,),)))</f>
        <v>48.4</v>
      </c>
      <c r="H75" s="37">
        <f>IF((VLOOKUP(B75,'DB PMI Manufacturing World'!$A:$AA,MATCH($H$1,'DB PMI Manufacturing World'!$A$1:$AA$1,),))=0,#N/A, (VLOOKUP(B75,'DB PMI Manufacturing World'!$A:$AA,MATCH($H$1,'DB PMI Manufacturing World'!$A$1:$AA$1,),)))</f>
        <v>50.8</v>
      </c>
      <c r="I75" s="37">
        <f>IF((VLOOKUP(B75,'DB PMI Manufacturing World'!$A:$AA,MATCH($I$1,'DB PMI Manufacturing World'!$A$1:$AA$1,),))=0,#N/A, (VLOOKUP(B75,'DB PMI Manufacturing World'!$A:$AA,MATCH($I$1,'DB PMI Manufacturing World'!$A$1:$AA$1,),)))</f>
        <v>47.8</v>
      </c>
      <c r="J75" s="37">
        <f>IF((VLOOKUP(B75,'DB PMI Manufacturing World'!$A:$AA,MATCH($J$1,'DB PMI Manufacturing World'!$A$1:$AA$1,),))=0,#N/A, (VLOOKUP(B75,'DB PMI Manufacturing World'!$A:$AA,MATCH($J$1,'DB PMI Manufacturing World'!$A$1:$AA$1,),)))</f>
        <v>47.7</v>
      </c>
      <c r="K75" s="37">
        <f>IF((VLOOKUP(B75,'DB PMI Manufacturing World'!$A:$AA,MATCH($K$1,'DB PMI Manufacturing World'!$A$1:$AA$1,),))=0,#N/A, (VLOOKUP(B75,'DB PMI Manufacturing World'!$A:$AA,MATCH($K$1,'DB PMI Manufacturing World'!$A$1:$AA$1,),)))</f>
        <v>48.4</v>
      </c>
      <c r="L75" s="37">
        <f>IF((VLOOKUP(B75,'DB PMI Manufacturing World'!$A:$AA,MATCH($L$1,'DB PMI Manufacturing World'!$A$1:$AA$1,),))=0,#N/A, (VLOOKUP(B75,'DB PMI Manufacturing World'!$A:$AA,MATCH($L$1,'DB PMI Manufacturing World'!$A$1:$AA$1,),)))</f>
        <v>48.3</v>
      </c>
      <c r="M75" s="37">
        <f>IF((VLOOKUP(B75,'DB PMI Manufacturing World'!$A:$AA,MATCH($M$1,'DB PMI Manufacturing World'!$A$1:$AA$1,),))=0,#N/A, (VLOOKUP(B75,'DB PMI Manufacturing World'!$A:$AA,MATCH($M$1,'DB PMI Manufacturing World'!$A$1:$AA$1,),)))</f>
        <v>49</v>
      </c>
      <c r="N75" s="37">
        <f>IF((VLOOKUP(B75,'DB PMI Manufacturing World'!$A:$AA,MATCH($N$1,'DB PMI Manufacturing World'!$A$1:$AA$1,),))=0,#N/A, (VLOOKUP(B75,'DB PMI Manufacturing World'!$A:$AA,MATCH($N$1,'DB PMI Manufacturing World'!$A$1:$AA$1,),)))</f>
        <v>51.1</v>
      </c>
      <c r="O75" s="37">
        <f>IF((VLOOKUP(B75,'DB PMI Manufacturing World'!$A:$AA,MATCH($O$1,'DB PMI Manufacturing World'!$A$1:$AA$1,),))=0,#N/A, (VLOOKUP(B75,'DB PMI Manufacturing World'!$A:$AA,MATCH($O$1,'DB PMI Manufacturing World'!$A$1:$AA$1,),)))</f>
        <v>50.3</v>
      </c>
      <c r="P75" s="37">
        <f>IF((VLOOKUP(B75,'DB PMI Manufacturing World'!$A:$AA,MATCH($P$1,'DB PMI Manufacturing World'!$A$1:$AA$1,),))=0,#N/A, (VLOOKUP(B75,'DB PMI Manufacturing World'!$A:$AA,MATCH($P$1,'DB PMI Manufacturing World'!$A$1:$AA$1,),)))</f>
        <v>52</v>
      </c>
      <c r="Q75" s="37">
        <f>IF((VLOOKUP(B75,'DB PMI Manufacturing World'!$A:$AA,MATCH($Q$1,'DB PMI Manufacturing World'!$A$1:$AA$1,),))=0,#N/A, (VLOOKUP(B75,'DB PMI Manufacturing World'!$A:$AA,MATCH($Q$1,'DB PMI Manufacturing World'!$A$1:$AA$1,),)))</f>
        <v>55.1</v>
      </c>
      <c r="R75" s="37">
        <f>IF((VLOOKUP(B75,'DB PMI Manufacturing World'!$A:$AA,MATCH($R$1,'DB PMI Manufacturing World'!$A$1:$AA$1,),))=0,#N/A, (VLOOKUP(B75,'DB PMI Manufacturing World'!$A:$AA,MATCH($R$1,'DB PMI Manufacturing World'!$A$1:$AA$1,),)))</f>
        <v>49.8</v>
      </c>
      <c r="S75" s="37">
        <f>IF((VLOOKUP(B75,'DB PMI Manufacturing World'!$A:$AA,MATCH($S$1,'DB PMI Manufacturing World'!$A$1:$AA$1,),))=0,#N/A, (VLOOKUP(B75,'DB PMI Manufacturing World'!$A:$AA,MATCH($S$1,'DB PMI Manufacturing World'!$A$1:$AA$1,),)))</f>
        <v>50.2</v>
      </c>
      <c r="T75" s="37">
        <f>IF((VLOOKUP(B75,'DB PMI Manufacturing World'!$A:$AA,MATCH($T$1,'DB PMI Manufacturing World'!$A$1:$AA$1,),))=0,#N/A, (VLOOKUP(B75,'DB PMI Manufacturing World'!$A:$AA,MATCH($T$1,'DB PMI Manufacturing World'!$A$1:$AA$1,),)))</f>
        <v>53.7</v>
      </c>
      <c r="U75" s="37">
        <f>IF((VLOOKUP(B75,'DB PMI Manufacturing World'!$A:$AA,MATCH($U$1,'DB PMI Manufacturing World'!$A$1:$AA$1,),))=0,#N/A, (VLOOKUP(B75,'DB PMI Manufacturing World'!$A:$AA,MATCH($U$1,'DB PMI Manufacturing World'!$A$1:$AA$1,),)))</f>
        <v>47.3</v>
      </c>
      <c r="V75" s="37">
        <f>IF((VLOOKUP(B75,'DB PMI Manufacturing World'!$A:$AA,MATCH($V$1,'DB PMI Manufacturing World'!$A$1:$AA$1,),))=0,#N/A, (VLOOKUP(B75,'DB PMI Manufacturing World'!$A:$AA,MATCH($V$1,'DB PMI Manufacturing World'!$A$1:$AA$1,),)))</f>
        <v>42.2</v>
      </c>
      <c r="W75" s="37">
        <f>IF((VLOOKUP(B75,'DB PMI Manufacturing World'!$A:$AA,MATCH($W$1,'DB PMI Manufacturing World'!$A$1:$AA$1,),))=0,#N/A, (VLOOKUP(B75,'DB PMI Manufacturing World'!$A:$AA,MATCH($W$1,'DB PMI Manufacturing World'!$A$1:$AA$1,),)))</f>
        <v>49.7</v>
      </c>
      <c r="X75" s="37">
        <f>IF((VLOOKUP(B75,'DB PMI Manufacturing World'!$A:$AA,MATCH($X$1,'DB PMI Manufacturing World'!$A$1:$AA$1,),))=0,#N/A, (VLOOKUP(B75,'DB PMI Manufacturing World'!$A:$AA,MATCH($X$1,'DB PMI Manufacturing World'!$A$1:$AA$1,),)))</f>
        <v>51.5</v>
      </c>
      <c r="Y75" s="37">
        <f>IF((VLOOKUP(B75,'DB PMI Manufacturing World'!$A:$AA,MATCH($Y$1,'DB PMI Manufacturing World'!$A$1:$AA$1,),))=0,#N/A, (VLOOKUP(B75,'DB PMI Manufacturing World'!$A:$AA,MATCH($Y$1,'DB PMI Manufacturing World'!$A$1:$AA$1,),)))</f>
        <v>46.9</v>
      </c>
      <c r="Z75" s="37">
        <f>IF((VLOOKUP(B75,'DB PMI Manufacturing World'!$A:$AA,MATCH($Z$1,'DB PMI Manufacturing World'!$A$1:$AA$1,),))=0,#N/A, (VLOOKUP(B75,'DB PMI Manufacturing World'!$A:$AA,MATCH($Z$1,'DB PMI Manufacturing World'!$A$1:$AA$1,),)))</f>
        <v>44.7</v>
      </c>
      <c r="AA75" s="37">
        <f>IF((VLOOKUP(B75,'DB PMI Manufacturing World'!$A:$AA,MATCH($AA$1,'DB PMI Manufacturing World'!$A$1:$AA$1,),))=0,#N/A, (VLOOKUP(B75,'DB PMI Manufacturing World'!$A:$AA,MATCH($AA$1,'DB PMI Manufacturing World'!$A$1:$AA$1,),)))</f>
        <v>43</v>
      </c>
      <c r="AB75" s="37">
        <f>IF((VLOOKUP(B75,'DB PMI Manufacturing World'!$A:$AA,MATCH($AB$1,'DB PMI Manufacturing World'!$A$1:$AA$1,),))=0,#N/A, (VLOOKUP(B75,'DB PMI Manufacturing World'!$A:$AA,MATCH($AB$1,'DB PMI Manufacturing World'!$A$1:$AA$1,),)))</f>
        <v>49.8</v>
      </c>
    </row>
    <row r="76" spans="2:28" s="56" customFormat="1" x14ac:dyDescent="0.35">
      <c r="B76" s="29">
        <v>44835</v>
      </c>
      <c r="C76" s="37" t="e">
        <f>IF((VLOOKUP(B76,'DB PMI Manufacturing World'!$A:$AA,MATCH($C$1,'DB PMI Manufacturing World'!$A$1:$AA$1,),))=0,#N/A, (VLOOKUP(B76,'DB PMI Manufacturing World'!$A:$AA,MATCH($C$1,'DB PMI Manufacturing World'!$A$1:$AA$1,),)))</f>
        <v>#N/A</v>
      </c>
      <c r="D76" s="37">
        <f>IF((VLOOKUP(B76,'DB PMI Manufacturing World'!$A:$AA,MATCH($D$1,'DB PMI Manufacturing World'!$A$1:$AA$1,),))=0,#N/A, (VLOOKUP(B76,'DB PMI Manufacturing World'!$A:$AA,MATCH($D$1,'DB PMI Manufacturing World'!$A$1:$AA$1,),)))</f>
        <v>50.2</v>
      </c>
      <c r="E76" s="37">
        <f>IF((VLOOKUP(B76,'DB PMI Manufacturing World'!$A:$AA,MATCH($E$1,'DB PMI Manufacturing World'!$A$1:$AA$1,),))=0,#N/A, (VLOOKUP(B76,'DB PMI Manufacturing World'!$A:$AA,MATCH($E$1,'DB PMI Manufacturing World'!$A$1:$AA$1,),)))</f>
        <v>50.4</v>
      </c>
      <c r="F76" s="37">
        <f>IF((VLOOKUP(B76,'DB PMI Manufacturing World'!$A:$AA,MATCH($F$1,'DB PMI Manufacturing World'!$A$1:$AA$1,),))=0,#N/A, (VLOOKUP(B76,'DB PMI Manufacturing World'!$A:$AA,MATCH($F$1,'DB PMI Manufacturing World'!$A$1:$AA$1,),)))</f>
        <v>49.2</v>
      </c>
      <c r="G76" s="37">
        <f>IF((VLOOKUP(B76,'DB PMI Manufacturing World'!$A:$AA,MATCH($G$1,'DB PMI Manufacturing World'!$A$1:$AA$1,),))=0,#N/A, (VLOOKUP(B76,'DB PMI Manufacturing World'!$A:$AA,MATCH($G$1,'DB PMI Manufacturing World'!$A$1:$AA$1,),)))</f>
        <v>46.4</v>
      </c>
      <c r="H76" s="37">
        <f>IF((VLOOKUP(B76,'DB PMI Manufacturing World'!$A:$AA,MATCH($H$1,'DB PMI Manufacturing World'!$A$1:$AA$1,),))=0,#N/A, (VLOOKUP(B76,'DB PMI Manufacturing World'!$A:$AA,MATCH($H$1,'DB PMI Manufacturing World'!$A$1:$AA$1,),)))</f>
        <v>50.7</v>
      </c>
      <c r="I76" s="37">
        <f>IF((VLOOKUP(B76,'DB PMI Manufacturing World'!$A:$AA,MATCH($I$1,'DB PMI Manufacturing World'!$A$1:$AA$1,),))=0,#N/A, (VLOOKUP(B76,'DB PMI Manufacturing World'!$A:$AA,MATCH($I$1,'DB PMI Manufacturing World'!$A$1:$AA$1,),)))</f>
        <v>45.1</v>
      </c>
      <c r="J76" s="37">
        <f>IF((VLOOKUP(B76,'DB PMI Manufacturing World'!$A:$AA,MATCH($J$1,'DB PMI Manufacturing World'!$A$1:$AA$1,),))=0,#N/A, (VLOOKUP(B76,'DB PMI Manufacturing World'!$A:$AA,MATCH($J$1,'DB PMI Manufacturing World'!$A$1:$AA$1,),)))</f>
        <v>47.2</v>
      </c>
      <c r="K76" s="37">
        <f>IF((VLOOKUP(B76,'DB PMI Manufacturing World'!$A:$AA,MATCH($K$1,'DB PMI Manufacturing World'!$A$1:$AA$1,),))=0,#N/A, (VLOOKUP(B76,'DB PMI Manufacturing World'!$A:$AA,MATCH($K$1,'DB PMI Manufacturing World'!$A$1:$AA$1,),)))</f>
        <v>46.2</v>
      </c>
      <c r="L76" s="37">
        <f>IF((VLOOKUP(B76,'DB PMI Manufacturing World'!$A:$AA,MATCH($L$1,'DB PMI Manufacturing World'!$A$1:$AA$1,),))=0,#N/A, (VLOOKUP(B76,'DB PMI Manufacturing World'!$A:$AA,MATCH($L$1,'DB PMI Manufacturing World'!$A$1:$AA$1,),)))</f>
        <v>46.5</v>
      </c>
      <c r="M76" s="37">
        <f>IF((VLOOKUP(B76,'DB PMI Manufacturing World'!$A:$AA,MATCH($M$1,'DB PMI Manufacturing World'!$A$1:$AA$1,),))=0,#N/A, (VLOOKUP(B76,'DB PMI Manufacturing World'!$A:$AA,MATCH($M$1,'DB PMI Manufacturing World'!$A$1:$AA$1,),)))</f>
        <v>44.7</v>
      </c>
      <c r="N76" s="37">
        <f>IF((VLOOKUP(B76,'DB PMI Manufacturing World'!$A:$AA,MATCH($N$1,'DB PMI Manufacturing World'!$A$1:$AA$1,),))=0,#N/A, (VLOOKUP(B76,'DB PMI Manufacturing World'!$A:$AA,MATCH($N$1,'DB PMI Manufacturing World'!$A$1:$AA$1,),)))</f>
        <v>50.8</v>
      </c>
      <c r="O76" s="37">
        <f>IF((VLOOKUP(B76,'DB PMI Manufacturing World'!$A:$AA,MATCH($O$1,'DB PMI Manufacturing World'!$A$1:$AA$1,),))=0,#N/A, (VLOOKUP(B76,'DB PMI Manufacturing World'!$A:$AA,MATCH($O$1,'DB PMI Manufacturing World'!$A$1:$AA$1,),)))</f>
        <v>50.3</v>
      </c>
      <c r="P76" s="37">
        <f>IF((VLOOKUP(B76,'DB PMI Manufacturing World'!$A:$AA,MATCH($P$1,'DB PMI Manufacturing World'!$A$1:$AA$1,),))=0,#N/A, (VLOOKUP(B76,'DB PMI Manufacturing World'!$A:$AA,MATCH($P$1,'DB PMI Manufacturing World'!$A$1:$AA$1,),)))</f>
        <v>50.7</v>
      </c>
      <c r="Q76" s="37">
        <f>IF((VLOOKUP(B76,'DB PMI Manufacturing World'!$A:$AA,MATCH($Q$1,'DB PMI Manufacturing World'!$A$1:$AA$1,),))=0,#N/A, (VLOOKUP(B76,'DB PMI Manufacturing World'!$A:$AA,MATCH($Q$1,'DB PMI Manufacturing World'!$A$1:$AA$1,),)))</f>
        <v>55.3</v>
      </c>
      <c r="R76" s="37">
        <f>IF((VLOOKUP(B76,'DB PMI Manufacturing World'!$A:$AA,MATCH($R$1,'DB PMI Manufacturing World'!$A$1:$AA$1,),))=0,#N/A, (VLOOKUP(B76,'DB PMI Manufacturing World'!$A:$AA,MATCH($R$1,'DB PMI Manufacturing World'!$A$1:$AA$1,),)))</f>
        <v>48.8</v>
      </c>
      <c r="S76" s="37">
        <f>IF((VLOOKUP(B76,'DB PMI Manufacturing World'!$A:$AA,MATCH($S$1,'DB PMI Manufacturing World'!$A$1:$AA$1,),))=0,#N/A, (VLOOKUP(B76,'DB PMI Manufacturing World'!$A:$AA,MATCH($S$1,'DB PMI Manufacturing World'!$A$1:$AA$1,),)))</f>
        <v>49.6</v>
      </c>
      <c r="T76" s="37">
        <f>IF((VLOOKUP(B76,'DB PMI Manufacturing World'!$A:$AA,MATCH($T$1,'DB PMI Manufacturing World'!$A$1:$AA$1,),))=0,#N/A, (VLOOKUP(B76,'DB PMI Manufacturing World'!$A:$AA,MATCH($T$1,'DB PMI Manufacturing World'!$A$1:$AA$1,),)))</f>
        <v>51.8</v>
      </c>
      <c r="U76" s="37">
        <f>IF((VLOOKUP(B76,'DB PMI Manufacturing World'!$A:$AA,MATCH($U$1,'DB PMI Manufacturing World'!$A$1:$AA$1,),))=0,#N/A, (VLOOKUP(B76,'DB PMI Manufacturing World'!$A:$AA,MATCH($U$1,'DB PMI Manufacturing World'!$A$1:$AA$1,),)))</f>
        <v>48.2</v>
      </c>
      <c r="V76" s="37">
        <f>IF((VLOOKUP(B76,'DB PMI Manufacturing World'!$A:$AA,MATCH($V$1,'DB PMI Manufacturing World'!$A$1:$AA$1,),))=0,#N/A, (VLOOKUP(B76,'DB PMI Manufacturing World'!$A:$AA,MATCH($V$1,'DB PMI Manufacturing World'!$A$1:$AA$1,),)))</f>
        <v>41.5</v>
      </c>
      <c r="W76" s="37">
        <f>IF((VLOOKUP(B76,'DB PMI Manufacturing World'!$A:$AA,MATCH($W$1,'DB PMI Manufacturing World'!$A$1:$AA$1,),))=0,#N/A, (VLOOKUP(B76,'DB PMI Manufacturing World'!$A:$AA,MATCH($W$1,'DB PMI Manufacturing World'!$A$1:$AA$1,),)))</f>
        <v>48.1</v>
      </c>
      <c r="X76" s="37">
        <f>IF((VLOOKUP(B76,'DB PMI Manufacturing World'!$A:$AA,MATCH($X$1,'DB PMI Manufacturing World'!$A$1:$AA$1,),))=0,#N/A, (VLOOKUP(B76,'DB PMI Manufacturing World'!$A:$AA,MATCH($X$1,'DB PMI Manufacturing World'!$A$1:$AA$1,),)))</f>
        <v>51.4</v>
      </c>
      <c r="Y76" s="37">
        <f>IF((VLOOKUP(B76,'DB PMI Manufacturing World'!$A:$AA,MATCH($Y$1,'DB PMI Manufacturing World'!$A$1:$AA$1,),))=0,#N/A, (VLOOKUP(B76,'DB PMI Manufacturing World'!$A:$AA,MATCH($Y$1,'DB PMI Manufacturing World'!$A$1:$AA$1,),)))</f>
        <v>46.4</v>
      </c>
      <c r="Z76" s="37">
        <f>IF((VLOOKUP(B76,'DB PMI Manufacturing World'!$A:$AA,MATCH($Z$1,'DB PMI Manufacturing World'!$A$1:$AA$1,),))=0,#N/A, (VLOOKUP(B76,'DB PMI Manufacturing World'!$A:$AA,MATCH($Z$1,'DB PMI Manufacturing World'!$A$1:$AA$1,),)))</f>
        <v>41.7</v>
      </c>
      <c r="AA76" s="37">
        <f>IF((VLOOKUP(B76,'DB PMI Manufacturing World'!$A:$AA,MATCH($AA$1,'DB PMI Manufacturing World'!$A$1:$AA$1,),))=0,#N/A, (VLOOKUP(B76,'DB PMI Manufacturing World'!$A:$AA,MATCH($AA$1,'DB PMI Manufacturing World'!$A$1:$AA$1,),)))</f>
        <v>42</v>
      </c>
      <c r="AB76" s="37">
        <f>IF((VLOOKUP(B76,'DB PMI Manufacturing World'!$A:$AA,MATCH($AB$1,'DB PMI Manufacturing World'!$A$1:$AA$1,),))=0,#N/A, (VLOOKUP(B76,'DB PMI Manufacturing World'!$A:$AA,MATCH($AB$1,'DB PMI Manufacturing World'!$A$1:$AA$1,),)))</f>
        <v>52.09</v>
      </c>
    </row>
    <row r="77" spans="2:28" s="56" customFormat="1" x14ac:dyDescent="0.35">
      <c r="B77" s="29">
        <v>44866</v>
      </c>
      <c r="C77" s="37" t="e">
        <f>IF((VLOOKUP(B77,'DB PMI Manufacturing World'!$A:$AA,MATCH($C$1,'DB PMI Manufacturing World'!$A$1:$AA$1,),))=0,#N/A, (VLOOKUP(B77,'DB PMI Manufacturing World'!$A:$AA,MATCH($C$1,'DB PMI Manufacturing World'!$A$1:$AA$1,),)))</f>
        <v>#N/A</v>
      </c>
      <c r="D77" s="37">
        <f>IF((VLOOKUP(B77,'DB PMI Manufacturing World'!$A:$AA,MATCH($D$1,'DB PMI Manufacturing World'!$A$1:$AA$1,),))=0,#N/A, (VLOOKUP(B77,'DB PMI Manufacturing World'!$A:$AA,MATCH($D$1,'DB PMI Manufacturing World'!$A$1:$AA$1,),)))</f>
        <v>49</v>
      </c>
      <c r="E77" s="37">
        <f>IF((VLOOKUP(B77,'DB PMI Manufacturing World'!$A:$AA,MATCH($E$1,'DB PMI Manufacturing World'!$A$1:$AA$1,),))=0,#N/A, (VLOOKUP(B77,'DB PMI Manufacturing World'!$A:$AA,MATCH($E$1,'DB PMI Manufacturing World'!$A$1:$AA$1,),)))</f>
        <v>47.7</v>
      </c>
      <c r="F77" s="37">
        <f>IF((VLOOKUP(B77,'DB PMI Manufacturing World'!$A:$AA,MATCH($F$1,'DB PMI Manufacturing World'!$A$1:$AA$1,),))=0,#N/A, (VLOOKUP(B77,'DB PMI Manufacturing World'!$A:$AA,MATCH($F$1,'DB PMI Manufacturing World'!$A$1:$AA$1,),)))</f>
        <v>49.4</v>
      </c>
      <c r="G77" s="37">
        <f>IF((VLOOKUP(B77,'DB PMI Manufacturing World'!$A:$AA,MATCH($G$1,'DB PMI Manufacturing World'!$A$1:$AA$1,),))=0,#N/A, (VLOOKUP(B77,'DB PMI Manufacturing World'!$A:$AA,MATCH($G$1,'DB PMI Manufacturing World'!$A$1:$AA$1,),)))</f>
        <v>47.1</v>
      </c>
      <c r="H77" s="37">
        <f>IF((VLOOKUP(B77,'DB PMI Manufacturing World'!$A:$AA,MATCH($H$1,'DB PMI Manufacturing World'!$A$1:$AA$1,),))=0,#N/A, (VLOOKUP(B77,'DB PMI Manufacturing World'!$A:$AA,MATCH($H$1,'DB PMI Manufacturing World'!$A$1:$AA$1,),)))</f>
        <v>49</v>
      </c>
      <c r="I77" s="37">
        <f>IF((VLOOKUP(B77,'DB PMI Manufacturing World'!$A:$AA,MATCH($I$1,'DB PMI Manufacturing World'!$A$1:$AA$1,),))=0,#N/A, (VLOOKUP(B77,'DB PMI Manufacturing World'!$A:$AA,MATCH($I$1,'DB PMI Manufacturing World'!$A$1:$AA$1,),)))</f>
        <v>46.2</v>
      </c>
      <c r="J77" s="37">
        <f>IF((VLOOKUP(B77,'DB PMI Manufacturing World'!$A:$AA,MATCH($J$1,'DB PMI Manufacturing World'!$A$1:$AA$1,),))=0,#N/A, (VLOOKUP(B77,'DB PMI Manufacturing World'!$A:$AA,MATCH($J$1,'DB PMI Manufacturing World'!$A$1:$AA$1,),)))</f>
        <v>48.3</v>
      </c>
      <c r="K77" s="37">
        <f>IF((VLOOKUP(B77,'DB PMI Manufacturing World'!$A:$AA,MATCH($K$1,'DB PMI Manufacturing World'!$A$1:$AA$1,),))=0,#N/A, (VLOOKUP(B77,'DB PMI Manufacturing World'!$A:$AA,MATCH($K$1,'DB PMI Manufacturing World'!$A$1:$AA$1,),)))</f>
        <v>46.5</v>
      </c>
      <c r="L77" s="37">
        <f>IF((VLOOKUP(B77,'DB PMI Manufacturing World'!$A:$AA,MATCH($L$1,'DB PMI Manufacturing World'!$A$1:$AA$1,),))=0,#N/A, (VLOOKUP(B77,'DB PMI Manufacturing World'!$A:$AA,MATCH($L$1,'DB PMI Manufacturing World'!$A$1:$AA$1,),)))</f>
        <v>48.4</v>
      </c>
      <c r="M77" s="37">
        <f>IF((VLOOKUP(B77,'DB PMI Manufacturing World'!$A:$AA,MATCH($M$1,'DB PMI Manufacturing World'!$A$1:$AA$1,),))=0,#N/A, (VLOOKUP(B77,'DB PMI Manufacturing World'!$A:$AA,MATCH($M$1,'DB PMI Manufacturing World'!$A$1:$AA$1,),)))</f>
        <v>45.7</v>
      </c>
      <c r="N77" s="37">
        <f>IF((VLOOKUP(B77,'DB PMI Manufacturing World'!$A:$AA,MATCH($N$1,'DB PMI Manufacturing World'!$A$1:$AA$1,),))=0,#N/A, (VLOOKUP(B77,'DB PMI Manufacturing World'!$A:$AA,MATCH($N$1,'DB PMI Manufacturing World'!$A$1:$AA$1,),)))</f>
        <v>44.3</v>
      </c>
      <c r="O77" s="37">
        <f>IF((VLOOKUP(B77,'DB PMI Manufacturing World'!$A:$AA,MATCH($O$1,'DB PMI Manufacturing World'!$A$1:$AA$1,),))=0,#N/A, (VLOOKUP(B77,'DB PMI Manufacturing World'!$A:$AA,MATCH($O$1,'DB PMI Manufacturing World'!$A$1:$AA$1,),)))</f>
        <v>50.6</v>
      </c>
      <c r="P77" s="37">
        <f>IF((VLOOKUP(B77,'DB PMI Manufacturing World'!$A:$AA,MATCH($P$1,'DB PMI Manufacturing World'!$A$1:$AA$1,),))=0,#N/A, (VLOOKUP(B77,'DB PMI Manufacturing World'!$A:$AA,MATCH($P$1,'DB PMI Manufacturing World'!$A$1:$AA$1,),)))</f>
        <v>53.2</v>
      </c>
      <c r="Q77" s="37">
        <f>IF((VLOOKUP(B77,'DB PMI Manufacturing World'!$A:$AA,MATCH($Q$1,'DB PMI Manufacturing World'!$A$1:$AA$1,),))=0,#N/A, (VLOOKUP(B77,'DB PMI Manufacturing World'!$A:$AA,MATCH($Q$1,'DB PMI Manufacturing World'!$A$1:$AA$1,),)))</f>
        <v>55.7</v>
      </c>
      <c r="R77" s="37">
        <f>IF((VLOOKUP(B77,'DB PMI Manufacturing World'!$A:$AA,MATCH($R$1,'DB PMI Manufacturing World'!$A$1:$AA$1,),))=0,#N/A, (VLOOKUP(B77,'DB PMI Manufacturing World'!$A:$AA,MATCH($R$1,'DB PMI Manufacturing World'!$A$1:$AA$1,),)))</f>
        <v>49.6</v>
      </c>
      <c r="S77" s="37">
        <f>IF((VLOOKUP(B77,'DB PMI Manufacturing World'!$A:$AA,MATCH($S$1,'DB PMI Manufacturing World'!$A$1:$AA$1,),))=0,#N/A, (VLOOKUP(B77,'DB PMI Manufacturing World'!$A:$AA,MATCH($S$1,'DB PMI Manufacturing World'!$A$1:$AA$1,),)))</f>
        <v>44.7</v>
      </c>
      <c r="T77" s="37">
        <f>IF((VLOOKUP(B77,'DB PMI Manufacturing World'!$A:$AA,MATCH($T$1,'DB PMI Manufacturing World'!$A$1:$AA$1,),))=0,#N/A, (VLOOKUP(B77,'DB PMI Manufacturing World'!$A:$AA,MATCH($T$1,'DB PMI Manufacturing World'!$A$1:$AA$1,),)))</f>
        <v>50.3</v>
      </c>
      <c r="U77" s="37">
        <f>IF((VLOOKUP(B77,'DB PMI Manufacturing World'!$A:$AA,MATCH($U$1,'DB PMI Manufacturing World'!$A$1:$AA$1,),))=0,#N/A, (VLOOKUP(B77,'DB PMI Manufacturing World'!$A:$AA,MATCH($U$1,'DB PMI Manufacturing World'!$A$1:$AA$1,),)))</f>
        <v>49</v>
      </c>
      <c r="V77" s="37">
        <f>IF((VLOOKUP(B77,'DB PMI Manufacturing World'!$A:$AA,MATCH($V$1,'DB PMI Manufacturing World'!$A$1:$AA$1,),))=0,#N/A, (VLOOKUP(B77,'DB PMI Manufacturing World'!$A:$AA,MATCH($V$1,'DB PMI Manufacturing World'!$A$1:$AA$1,),)))</f>
        <v>41.6</v>
      </c>
      <c r="W77" s="37">
        <f>IF((VLOOKUP(B77,'DB PMI Manufacturing World'!$A:$AA,MATCH($W$1,'DB PMI Manufacturing World'!$A$1:$AA$1,),))=0,#N/A, (VLOOKUP(B77,'DB PMI Manufacturing World'!$A:$AA,MATCH($W$1,'DB PMI Manufacturing World'!$A$1:$AA$1,),)))</f>
        <v>48.4</v>
      </c>
      <c r="X77" s="37">
        <f>IF((VLOOKUP(B77,'DB PMI Manufacturing World'!$A:$AA,MATCH($X$1,'DB PMI Manufacturing World'!$A$1:$AA$1,),))=0,#N/A, (VLOOKUP(B77,'DB PMI Manufacturing World'!$A:$AA,MATCH($X$1,'DB PMI Manufacturing World'!$A$1:$AA$1,),)))</f>
        <v>48.7</v>
      </c>
      <c r="Y77" s="37">
        <f>IF((VLOOKUP(B77,'DB PMI Manufacturing World'!$A:$AA,MATCH($Y$1,'DB PMI Manufacturing World'!$A$1:$AA$1,),))=0,#N/A, (VLOOKUP(B77,'DB PMI Manufacturing World'!$A:$AA,MATCH($Y$1,'DB PMI Manufacturing World'!$A$1:$AA$1,),)))</f>
        <v>45.7</v>
      </c>
      <c r="Z77" s="37">
        <f>IF((VLOOKUP(B77,'DB PMI Manufacturing World'!$A:$AA,MATCH($Z$1,'DB PMI Manufacturing World'!$A$1:$AA$1,),))=0,#N/A, (VLOOKUP(B77,'DB PMI Manufacturing World'!$A:$AA,MATCH($Z$1,'DB PMI Manufacturing World'!$A$1:$AA$1,),)))</f>
        <v>41.6</v>
      </c>
      <c r="AA77" s="37">
        <f>IF((VLOOKUP(B77,'DB PMI Manufacturing World'!$A:$AA,MATCH($AA$1,'DB PMI Manufacturing World'!$A$1:$AA$1,),))=0,#N/A, (VLOOKUP(B77,'DB PMI Manufacturing World'!$A:$AA,MATCH($AA$1,'DB PMI Manufacturing World'!$A$1:$AA$1,),)))</f>
        <v>43.4</v>
      </c>
      <c r="AB77" s="37">
        <f>IF((VLOOKUP(B77,'DB PMI Manufacturing World'!$A:$AA,MATCH($AB$1,'DB PMI Manufacturing World'!$A$1:$AA$1,),))=0,#N/A, (VLOOKUP(B77,'DB PMI Manufacturing World'!$A:$AA,MATCH($AB$1,'DB PMI Manufacturing World'!$A$1:$AA$1,),)))</f>
        <v>45.48</v>
      </c>
    </row>
    <row r="78" spans="2:28" s="56" customFormat="1" x14ac:dyDescent="0.35"/>
    <row r="79" spans="2:28" s="56" customFormat="1" x14ac:dyDescent="0.35"/>
    <row r="80" spans="2:28" s="56" customFormat="1" x14ac:dyDescent="0.35"/>
    <row r="81" s="56" customFormat="1" x14ac:dyDescent="0.35"/>
    <row r="82" s="56" customFormat="1" x14ac:dyDescent="0.35"/>
    <row r="83" s="56" customFormat="1" x14ac:dyDescent="0.35"/>
    <row r="84" s="56" customFormat="1" x14ac:dyDescent="0.35"/>
    <row r="85" s="56" customFormat="1" x14ac:dyDescent="0.35"/>
    <row r="86" s="56" customFormat="1" x14ac:dyDescent="0.35"/>
    <row r="87" s="56" customFormat="1" x14ac:dyDescent="0.35"/>
    <row r="88" s="56" customFormat="1" x14ac:dyDescent="0.35"/>
    <row r="89" s="56" customFormat="1" x14ac:dyDescent="0.35"/>
    <row r="90" s="56" customFormat="1" x14ac:dyDescent="0.35"/>
    <row r="91" s="56" customFormat="1" x14ac:dyDescent="0.35"/>
    <row r="92" s="56" customFormat="1" x14ac:dyDescent="0.35"/>
    <row r="93" s="56" customFormat="1" x14ac:dyDescent="0.35"/>
    <row r="94" s="56" customFormat="1" x14ac:dyDescent="0.35"/>
    <row r="95" s="56" customFormat="1" x14ac:dyDescent="0.35"/>
    <row r="96" s="56" customFormat="1" x14ac:dyDescent="0.35"/>
    <row r="97" s="56" customFormat="1" x14ac:dyDescent="0.35"/>
    <row r="98" s="56" customFormat="1" x14ac:dyDescent="0.35"/>
    <row r="99" s="56" customFormat="1" x14ac:dyDescent="0.35"/>
    <row r="100" s="56" customFormat="1" x14ac:dyDescent="0.35"/>
    <row r="101" s="56" customFormat="1" x14ac:dyDescent="0.35"/>
    <row r="102" s="56" customFormat="1" x14ac:dyDescent="0.35"/>
    <row r="103" s="56" customFormat="1" x14ac:dyDescent="0.35"/>
    <row r="104" s="56" customFormat="1" x14ac:dyDescent="0.35"/>
    <row r="105" s="56" customFormat="1" x14ac:dyDescent="0.35"/>
    <row r="106" s="56" customFormat="1" x14ac:dyDescent="0.35"/>
    <row r="107" s="56" customFormat="1" x14ac:dyDescent="0.35"/>
    <row r="108" s="56" customFormat="1" x14ac:dyDescent="0.35"/>
    <row r="109" s="56" customFormat="1" x14ac:dyDescent="0.35"/>
    <row r="110" s="56" customFormat="1" x14ac:dyDescent="0.35"/>
    <row r="111" s="56" customFormat="1" x14ac:dyDescent="0.35"/>
    <row r="112" s="56" customFormat="1" x14ac:dyDescent="0.35"/>
    <row r="113" s="56" customFormat="1" x14ac:dyDescent="0.35"/>
    <row r="114" s="56" customFormat="1" x14ac:dyDescent="0.35"/>
    <row r="115" s="56" customFormat="1" x14ac:dyDescent="0.35"/>
    <row r="116" s="56" customFormat="1" x14ac:dyDescent="0.35"/>
    <row r="117" s="56" customFormat="1" x14ac:dyDescent="0.35"/>
    <row r="118" s="56" customFormat="1" x14ac:dyDescent="0.35"/>
    <row r="119" s="56" customFormat="1" x14ac:dyDescent="0.35"/>
    <row r="120" s="56" customFormat="1" x14ac:dyDescent="0.35"/>
    <row r="121" s="56" customFormat="1" x14ac:dyDescent="0.35"/>
    <row r="122" s="56" customFormat="1" x14ac:dyDescent="0.35"/>
    <row r="123" s="56" customFormat="1" x14ac:dyDescent="0.35"/>
    <row r="124" s="56" customFormat="1" x14ac:dyDescent="0.35"/>
    <row r="125" s="56" customFormat="1" x14ac:dyDescent="0.35"/>
    <row r="126" s="56" customFormat="1" x14ac:dyDescent="0.35"/>
    <row r="127" s="56" customFormat="1" x14ac:dyDescent="0.35"/>
    <row r="128" s="56" customFormat="1" x14ac:dyDescent="0.35"/>
    <row r="129" s="56" customFormat="1" x14ac:dyDescent="0.35"/>
    <row r="130" s="56" customFormat="1" x14ac:dyDescent="0.35"/>
    <row r="131" s="56" customFormat="1" x14ac:dyDescent="0.35"/>
    <row r="132" s="56" customFormat="1" x14ac:dyDescent="0.35"/>
    <row r="133" s="56" customFormat="1" x14ac:dyDescent="0.35"/>
    <row r="134" s="56" customFormat="1" x14ac:dyDescent="0.35"/>
    <row r="135" s="56" customFormat="1" x14ac:dyDescent="0.35"/>
    <row r="136" s="56" customFormat="1" x14ac:dyDescent="0.35"/>
    <row r="137" s="56" customFormat="1" x14ac:dyDescent="0.35"/>
    <row r="138" s="56" customFormat="1" x14ac:dyDescent="0.35"/>
    <row r="139" s="56" customFormat="1" x14ac:dyDescent="0.35"/>
    <row r="140" s="56" customFormat="1" x14ac:dyDescent="0.35"/>
    <row r="141" s="56" customFormat="1" x14ac:dyDescent="0.35"/>
    <row r="142" s="56" customFormat="1" x14ac:dyDescent="0.35"/>
    <row r="143" s="56" customFormat="1" x14ac:dyDescent="0.35"/>
    <row r="144" s="56" customFormat="1" x14ac:dyDescent="0.35"/>
    <row r="145" s="56" customFormat="1" x14ac:dyDescent="0.35"/>
    <row r="146" s="56" customFormat="1" x14ac:dyDescent="0.35"/>
    <row r="147" s="56" customFormat="1" x14ac:dyDescent="0.35"/>
    <row r="148" s="56" customFormat="1" x14ac:dyDescent="0.35"/>
    <row r="149" s="56" customFormat="1" x14ac:dyDescent="0.35"/>
    <row r="150" s="56" customFormat="1" x14ac:dyDescent="0.35"/>
    <row r="151" s="56" customFormat="1" x14ac:dyDescent="0.35"/>
    <row r="152" s="56" customFormat="1" x14ac:dyDescent="0.35"/>
    <row r="153" s="56" customFormat="1" x14ac:dyDescent="0.35"/>
    <row r="154" s="56" customFormat="1" x14ac:dyDescent="0.35"/>
    <row r="155" s="56" customFormat="1" x14ac:dyDescent="0.35"/>
    <row r="156" s="56" customFormat="1" x14ac:dyDescent="0.35"/>
    <row r="157" s="56" customFormat="1" x14ac:dyDescent="0.35"/>
    <row r="158" s="56" customFormat="1" x14ac:dyDescent="0.35"/>
    <row r="159" s="56" customFormat="1" x14ac:dyDescent="0.35"/>
    <row r="160" s="56" customFormat="1" x14ac:dyDescent="0.35"/>
    <row r="161" s="56" customFormat="1" x14ac:dyDescent="0.35"/>
    <row r="162" s="56" customFormat="1" x14ac:dyDescent="0.35"/>
    <row r="163" s="56" customFormat="1" x14ac:dyDescent="0.35"/>
    <row r="164" s="56" customFormat="1" x14ac:dyDescent="0.35"/>
    <row r="165" s="56" customFormat="1" x14ac:dyDescent="0.35"/>
    <row r="166" s="56" customFormat="1" x14ac:dyDescent="0.35"/>
    <row r="167" s="56" customFormat="1" x14ac:dyDescent="0.35"/>
    <row r="168" s="56" customFormat="1" x14ac:dyDescent="0.35"/>
    <row r="169" s="56" customFormat="1" x14ac:dyDescent="0.35"/>
    <row r="170" s="56" customFormat="1" x14ac:dyDescent="0.35"/>
    <row r="171" s="56" customFormat="1" x14ac:dyDescent="0.35"/>
    <row r="172" s="56" customFormat="1" x14ac:dyDescent="0.35"/>
    <row r="173" s="56" customFormat="1" x14ac:dyDescent="0.35"/>
    <row r="174" s="56" customFormat="1" x14ac:dyDescent="0.35"/>
    <row r="175" s="56" customFormat="1" x14ac:dyDescent="0.35"/>
    <row r="176" s="56" customFormat="1" x14ac:dyDescent="0.35"/>
    <row r="177" s="56" customFormat="1" x14ac:dyDescent="0.35"/>
    <row r="178" s="56" customFormat="1" x14ac:dyDescent="0.35"/>
    <row r="179" s="56" customFormat="1" x14ac:dyDescent="0.35"/>
    <row r="180" s="56" customFormat="1" x14ac:dyDescent="0.35"/>
    <row r="181" s="56" customFormat="1" x14ac:dyDescent="0.35"/>
    <row r="182" s="56" customFormat="1" x14ac:dyDescent="0.35"/>
    <row r="183" s="56" customFormat="1" x14ac:dyDescent="0.35"/>
    <row r="184" s="56" customFormat="1" x14ac:dyDescent="0.35"/>
    <row r="185" s="56" customFormat="1" x14ac:dyDescent="0.35"/>
    <row r="186" s="56" customFormat="1" x14ac:dyDescent="0.35"/>
    <row r="187" s="56" customFormat="1" x14ac:dyDescent="0.35"/>
    <row r="188" s="56" customFormat="1" x14ac:dyDescent="0.35"/>
    <row r="189" s="56" customFormat="1" x14ac:dyDescent="0.35"/>
    <row r="190" s="56" customFormat="1" x14ac:dyDescent="0.35"/>
    <row r="191" s="56" customFormat="1" x14ac:dyDescent="0.35"/>
    <row r="192" s="56" customFormat="1" x14ac:dyDescent="0.35"/>
    <row r="193" s="56" customFormat="1" x14ac:dyDescent="0.35"/>
    <row r="194" s="56" customFormat="1" x14ac:dyDescent="0.35"/>
    <row r="195" s="56" customFormat="1" x14ac:dyDescent="0.35"/>
    <row r="196" s="56" customFormat="1" x14ac:dyDescent="0.35"/>
    <row r="197" s="56" customFormat="1" x14ac:dyDescent="0.35"/>
    <row r="198" s="56" customFormat="1" x14ac:dyDescent="0.35"/>
    <row r="199" s="56" customFormat="1" x14ac:dyDescent="0.35"/>
    <row r="200" s="56" customFormat="1" x14ac:dyDescent="0.35"/>
    <row r="201" s="56" customFormat="1" x14ac:dyDescent="0.35"/>
    <row r="202" s="56" customFormat="1" x14ac:dyDescent="0.35"/>
    <row r="203" s="56" customFormat="1" x14ac:dyDescent="0.35"/>
    <row r="204" s="56" customFormat="1" x14ac:dyDescent="0.35"/>
    <row r="205" s="56" customFormat="1" x14ac:dyDescent="0.35"/>
    <row r="206" s="56" customFormat="1" x14ac:dyDescent="0.35"/>
    <row r="207" s="56" customFormat="1" x14ac:dyDescent="0.35"/>
    <row r="208" s="56" customFormat="1" x14ac:dyDescent="0.35"/>
    <row r="209" s="56" customFormat="1" x14ac:dyDescent="0.35"/>
    <row r="210" s="56" customFormat="1" x14ac:dyDescent="0.35"/>
    <row r="211" s="56" customFormat="1" x14ac:dyDescent="0.35"/>
    <row r="212" s="56" customFormat="1" x14ac:dyDescent="0.35"/>
    <row r="213" s="56" customFormat="1" x14ac:dyDescent="0.35"/>
    <row r="214" s="56" customFormat="1" x14ac:dyDescent="0.35"/>
    <row r="215" s="56" customFormat="1" x14ac:dyDescent="0.35"/>
    <row r="216" s="56" customFormat="1" x14ac:dyDescent="0.35"/>
    <row r="217" s="56" customFormat="1" x14ac:dyDescent="0.35"/>
    <row r="218" s="56" customFormat="1" x14ac:dyDescent="0.35"/>
    <row r="219" s="56" customFormat="1" x14ac:dyDescent="0.35"/>
    <row r="220" s="56" customFormat="1" x14ac:dyDescent="0.35"/>
    <row r="221" s="56" customFormat="1" x14ac:dyDescent="0.35"/>
    <row r="222" s="56" customFormat="1" x14ac:dyDescent="0.35"/>
    <row r="223" s="56" customFormat="1" x14ac:dyDescent="0.35"/>
    <row r="224" s="56" customFormat="1" x14ac:dyDescent="0.35"/>
    <row r="225" s="56" customFormat="1" x14ac:dyDescent="0.35"/>
    <row r="226" s="56" customFormat="1" x14ac:dyDescent="0.35"/>
    <row r="227" s="56" customFormat="1" x14ac:dyDescent="0.35"/>
    <row r="228" s="56" customFormat="1" x14ac:dyDescent="0.35"/>
    <row r="229" s="56" customFormat="1" x14ac:dyDescent="0.35"/>
    <row r="230" s="56" customFormat="1" x14ac:dyDescent="0.35"/>
    <row r="231" s="56" customFormat="1" x14ac:dyDescent="0.35"/>
    <row r="232" s="56" customFormat="1" x14ac:dyDescent="0.35"/>
    <row r="233" s="56" customFormat="1" x14ac:dyDescent="0.35"/>
    <row r="234" s="56" customFormat="1" x14ac:dyDescent="0.35"/>
    <row r="235" s="56" customFormat="1" x14ac:dyDescent="0.35"/>
    <row r="236" s="56" customFormat="1" x14ac:dyDescent="0.35"/>
    <row r="237" s="56" customFormat="1" x14ac:dyDescent="0.35"/>
    <row r="238" s="56" customFormat="1" x14ac:dyDescent="0.35"/>
    <row r="239" s="56" customFormat="1" x14ac:dyDescent="0.35"/>
    <row r="240" s="56" customFormat="1" x14ac:dyDescent="0.35"/>
    <row r="241" s="56" customFormat="1" x14ac:dyDescent="0.35"/>
    <row r="242" s="56" customFormat="1" x14ac:dyDescent="0.35"/>
    <row r="243" s="56" customFormat="1" x14ac:dyDescent="0.35"/>
    <row r="244" s="56" customFormat="1" x14ac:dyDescent="0.35"/>
    <row r="245" s="56" customFormat="1" x14ac:dyDescent="0.35"/>
    <row r="246" s="56" customFormat="1" x14ac:dyDescent="0.35"/>
    <row r="247" s="56" customFormat="1" x14ac:dyDescent="0.35"/>
    <row r="248" s="56" customFormat="1" x14ac:dyDescent="0.35"/>
    <row r="249" s="56" customFormat="1" x14ac:dyDescent="0.35"/>
    <row r="250" s="56" customFormat="1" x14ac:dyDescent="0.35"/>
    <row r="251" s="56" customFormat="1" x14ac:dyDescent="0.35"/>
    <row r="252" s="56" customFormat="1" x14ac:dyDescent="0.35"/>
    <row r="253" s="56" customFormat="1" x14ac:dyDescent="0.35"/>
    <row r="254" s="56" customFormat="1" x14ac:dyDescent="0.35"/>
    <row r="255" s="56" customFormat="1" x14ac:dyDescent="0.35"/>
    <row r="256" s="56" customFormat="1" x14ac:dyDescent="0.35"/>
    <row r="257" s="56" customFormat="1" x14ac:dyDescent="0.35"/>
    <row r="258" s="56" customFormat="1" x14ac:dyDescent="0.35"/>
    <row r="259" s="56" customFormat="1" x14ac:dyDescent="0.35"/>
    <row r="260" s="56" customFormat="1" x14ac:dyDescent="0.35"/>
    <row r="261" s="56" customFormat="1" x14ac:dyDescent="0.35"/>
    <row r="262" s="56" customFormat="1" x14ac:dyDescent="0.35"/>
    <row r="263" s="56" customFormat="1" x14ac:dyDescent="0.35"/>
    <row r="264" s="56" customFormat="1" x14ac:dyDescent="0.35"/>
    <row r="265" s="56" customFormat="1" x14ac:dyDescent="0.35"/>
    <row r="266" s="56" customFormat="1" x14ac:dyDescent="0.35"/>
    <row r="267" s="56" customFormat="1" x14ac:dyDescent="0.35"/>
    <row r="268" s="56" customFormat="1" x14ac:dyDescent="0.35"/>
    <row r="269" s="56" customFormat="1" x14ac:dyDescent="0.35"/>
    <row r="270" s="56" customFormat="1" x14ac:dyDescent="0.35"/>
    <row r="271" s="56" customFormat="1" x14ac:dyDescent="0.35"/>
    <row r="272" s="56" customFormat="1" x14ac:dyDescent="0.35"/>
    <row r="273" s="56" customFormat="1" x14ac:dyDescent="0.35"/>
    <row r="274" s="56" customFormat="1" x14ac:dyDescent="0.35"/>
    <row r="275" s="56" customFormat="1" x14ac:dyDescent="0.35"/>
    <row r="276" s="56" customFormat="1" x14ac:dyDescent="0.35"/>
    <row r="277" s="56" customFormat="1" x14ac:dyDescent="0.35"/>
    <row r="278" s="56" customFormat="1" x14ac:dyDescent="0.35"/>
    <row r="279" s="56" customFormat="1" x14ac:dyDescent="0.35"/>
    <row r="280" s="56" customFormat="1" x14ac:dyDescent="0.35"/>
    <row r="281" s="56" customFormat="1" x14ac:dyDescent="0.35"/>
    <row r="282" s="56" customFormat="1" x14ac:dyDescent="0.35"/>
    <row r="283" s="56" customFormat="1" x14ac:dyDescent="0.35"/>
    <row r="284" s="56" customFormat="1" x14ac:dyDescent="0.35"/>
    <row r="285" s="56" customFormat="1" x14ac:dyDescent="0.35"/>
    <row r="286" s="56" customFormat="1" x14ac:dyDescent="0.35"/>
    <row r="287" s="56" customFormat="1" x14ac:dyDescent="0.35"/>
    <row r="288" s="56" customFormat="1" x14ac:dyDescent="0.35"/>
    <row r="289" s="56" customFormat="1" x14ac:dyDescent="0.35"/>
    <row r="290" s="56" customFormat="1" x14ac:dyDescent="0.35"/>
    <row r="291" s="56" customFormat="1" x14ac:dyDescent="0.35"/>
    <row r="292" s="56" customFormat="1" x14ac:dyDescent="0.35"/>
    <row r="293" s="56" customFormat="1" x14ac:dyDescent="0.35"/>
    <row r="294" s="56" customFormat="1" x14ac:dyDescent="0.35"/>
    <row r="295" s="56" customFormat="1" x14ac:dyDescent="0.35"/>
    <row r="296" s="56" customFormat="1" x14ac:dyDescent="0.35"/>
    <row r="297" s="56" customFormat="1" x14ac:dyDescent="0.35"/>
    <row r="298" s="56" customFormat="1" x14ac:dyDescent="0.35"/>
    <row r="299" s="56" customFormat="1" x14ac:dyDescent="0.35"/>
    <row r="300" s="56" customFormat="1" x14ac:dyDescent="0.35"/>
    <row r="301" s="56" customFormat="1" x14ac:dyDescent="0.35"/>
    <row r="302" s="56" customFormat="1" x14ac:dyDescent="0.35"/>
    <row r="303" s="56" customFormat="1" x14ac:dyDescent="0.35"/>
    <row r="304" s="56" customFormat="1" x14ac:dyDescent="0.35"/>
    <row r="305" s="56" customFormat="1" x14ac:dyDescent="0.35"/>
    <row r="306" s="56" customFormat="1" x14ac:dyDescent="0.35"/>
    <row r="307" s="56" customFormat="1" x14ac:dyDescent="0.35"/>
    <row r="308" s="56" customFormat="1" x14ac:dyDescent="0.35"/>
    <row r="309" s="56" customFormat="1" x14ac:dyDescent="0.35"/>
    <row r="310" s="56" customFormat="1" x14ac:dyDescent="0.35"/>
    <row r="311" s="56" customFormat="1" x14ac:dyDescent="0.35"/>
    <row r="312" s="56" customFormat="1" x14ac:dyDescent="0.35"/>
    <row r="313" s="56" customFormat="1" x14ac:dyDescent="0.35"/>
    <row r="314" s="56" customFormat="1" x14ac:dyDescent="0.35"/>
    <row r="315" s="56" customFormat="1" x14ac:dyDescent="0.35"/>
    <row r="316" s="56" customFormat="1" x14ac:dyDescent="0.35"/>
    <row r="317" s="56" customFormat="1" x14ac:dyDescent="0.35"/>
    <row r="318" s="56" customFormat="1" x14ac:dyDescent="0.35"/>
    <row r="319" s="56" customFormat="1" x14ac:dyDescent="0.35"/>
    <row r="320" s="56" customFormat="1" x14ac:dyDescent="0.35"/>
  </sheetData>
  <conditionalFormatting sqref="C6:AB6">
    <cfRule type="containsText" dxfId="7" priority="15" operator="containsText" text="below">
      <formula>NOT(ISERROR(SEARCH("below",C6)))</formula>
    </cfRule>
    <cfRule type="containsText" dxfId="6" priority="16" operator="containsText" text="above">
      <formula>NOT(ISERROR(SEARCH("above",C6)))</formula>
    </cfRule>
  </conditionalFormatting>
  <conditionalFormatting sqref="C8:AB8">
    <cfRule type="cellIs" dxfId="5" priority="13" operator="lessThan">
      <formula>0</formula>
    </cfRule>
    <cfRule type="cellIs" dxfId="4" priority="14" operator="greaterThan">
      <formula>0</formula>
    </cfRule>
  </conditionalFormatting>
  <conditionalFormatting sqref="C9:AB9">
    <cfRule type="cellIs" dxfId="3" priority="7" operator="equal">
      <formula>"Growth"</formula>
    </cfRule>
    <cfRule type="cellIs" dxfId="2" priority="8" operator="equal">
      <formula>"Contraction"</formula>
    </cfRule>
  </conditionalFormatting>
  <conditionalFormatting sqref="C10:AB10">
    <cfRule type="cellIs" dxfId="1" priority="5" operator="equal">
      <formula>"+"</formula>
    </cfRule>
    <cfRule type="cellIs" dxfId="0" priority="6" operator="equal">
      <formula>"-"</formula>
    </cfRule>
  </conditionalFormatting>
  <conditionalFormatting sqref="C12:AB77">
    <cfRule type="colorScale" priority="17">
      <colorScale>
        <cfvo type="num" val="45"/>
        <cfvo type="num" val="50"/>
        <cfvo type="num" val="58"/>
        <color rgb="FFF8696B"/>
        <color rgb="FFFFEB84"/>
        <color rgb="FF63BE7B"/>
      </colorScale>
    </cfRule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Note</vt:lpstr>
      <vt:lpstr>DB US Indicators</vt:lpstr>
      <vt:lpstr>DB ISM Manufacturing Sectors</vt:lpstr>
      <vt:lpstr>DB ISM Services Sectors</vt:lpstr>
      <vt:lpstr>DB PMI Manufacturing World</vt:lpstr>
      <vt:lpstr>Big Picture Index</vt:lpstr>
      <vt:lpstr>PMI Manufacturing World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g.dupont</dc:creator>
  <cp:lastModifiedBy>Mark Mukherjee</cp:lastModifiedBy>
  <dcterms:created xsi:type="dcterms:W3CDTF">2018-05-02T12:33:10Z</dcterms:created>
  <dcterms:modified xsi:type="dcterms:W3CDTF">2023-01-21T04:21:06Z</dcterms:modified>
</cp:coreProperties>
</file>