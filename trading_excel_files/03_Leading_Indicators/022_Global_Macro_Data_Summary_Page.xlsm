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9DA1DE23-3642-443D-84DF-2FE71813F739}" xr6:coauthVersionLast="47" xr6:coauthVersionMax="47" xr10:uidLastSave="{00000000-0000-0000-0000-000000000000}"/>
  <bookViews>
    <workbookView xWindow="1230" yWindow="-18510" windowWidth="30705" windowHeight="15225" firstSheet="1" activeTab="5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1" i="6" l="1"/>
  <c r="AB77" i="7"/>
  <c r="AA77" i="7"/>
  <c r="Z77" i="7"/>
  <c r="Y77" i="7"/>
  <c r="X77" i="7"/>
  <c r="W77" i="7"/>
  <c r="V77" i="7"/>
  <c r="U77" i="7"/>
  <c r="T77" i="7"/>
  <c r="T9" i="7" s="1"/>
  <c r="S77" i="7"/>
  <c r="S9" i="7" s="1"/>
  <c r="R77" i="7"/>
  <c r="Q77" i="7"/>
  <c r="P77" i="7"/>
  <c r="O77" i="7"/>
  <c r="N77" i="7"/>
  <c r="M77" i="7"/>
  <c r="L77" i="7"/>
  <c r="K77" i="7"/>
  <c r="J77" i="7"/>
  <c r="I77" i="7"/>
  <c r="H77" i="7"/>
  <c r="H9" i="7" s="1"/>
  <c r="G77" i="7"/>
  <c r="G9" i="7" s="1"/>
  <c r="F77" i="7"/>
  <c r="E77" i="7"/>
  <c r="D77" i="7"/>
  <c r="C77" i="7"/>
  <c r="AB76" i="7"/>
  <c r="AA76" i="7"/>
  <c r="Z76" i="7"/>
  <c r="Y76" i="7"/>
  <c r="X76" i="7"/>
  <c r="W76" i="7"/>
  <c r="V76" i="7"/>
  <c r="U76" i="7"/>
  <c r="U8" i="7" s="1"/>
  <c r="U10" i="7" s="1"/>
  <c r="T76" i="7"/>
  <c r="S76" i="7"/>
  <c r="R76" i="7"/>
  <c r="Q76" i="7"/>
  <c r="P76" i="7"/>
  <c r="O76" i="7"/>
  <c r="N76" i="7"/>
  <c r="M76" i="7"/>
  <c r="L76" i="7"/>
  <c r="K76" i="7"/>
  <c r="J76" i="7"/>
  <c r="I76" i="7"/>
  <c r="I8" i="7" s="1"/>
  <c r="I10" i="7" s="1"/>
  <c r="H76" i="7"/>
  <c r="G76" i="7"/>
  <c r="F76" i="7"/>
  <c r="E76" i="7"/>
  <c r="D76" i="7"/>
  <c r="C76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Y17" i="7"/>
  <c r="X17" i="7"/>
  <c r="W17" i="7"/>
  <c r="V17" i="7"/>
  <c r="U17" i="7"/>
  <c r="T17" i="7"/>
  <c r="T3" i="7" s="1"/>
  <c r="S17" i="7"/>
  <c r="S5" i="7" s="1"/>
  <c r="S6" i="7" s="1"/>
  <c r="R17" i="7"/>
  <c r="Q17" i="7"/>
  <c r="P17" i="7"/>
  <c r="O17" i="7"/>
  <c r="N17" i="7"/>
  <c r="M17" i="7"/>
  <c r="L17" i="7"/>
  <c r="K17" i="7"/>
  <c r="J17" i="7"/>
  <c r="I17" i="7"/>
  <c r="H17" i="7"/>
  <c r="H3" i="7" s="1"/>
  <c r="G17" i="7"/>
  <c r="G5" i="7" s="1"/>
  <c r="G6" i="7" s="1"/>
  <c r="F17" i="7"/>
  <c r="E17" i="7"/>
  <c r="D17" i="7"/>
  <c r="C17" i="7"/>
  <c r="AB16" i="7"/>
  <c r="AA16" i="7"/>
  <c r="Z16" i="7"/>
  <c r="Y16" i="7"/>
  <c r="X16" i="7"/>
  <c r="W16" i="7"/>
  <c r="V16" i="7"/>
  <c r="V4" i="7" s="1"/>
  <c r="U16" i="7"/>
  <c r="U4" i="7" s="1"/>
  <c r="T16" i="7"/>
  <c r="S16" i="7"/>
  <c r="R16" i="7"/>
  <c r="Q16" i="7"/>
  <c r="P16" i="7"/>
  <c r="O16" i="7"/>
  <c r="N16" i="7"/>
  <c r="M16" i="7"/>
  <c r="L16" i="7"/>
  <c r="K16" i="7"/>
  <c r="J16" i="7"/>
  <c r="J5" i="7" s="1"/>
  <c r="J6" i="7" s="1"/>
  <c r="I16" i="7"/>
  <c r="I4" i="7" s="1"/>
  <c r="H16" i="7"/>
  <c r="G16" i="7"/>
  <c r="F16" i="7"/>
  <c r="E16" i="7"/>
  <c r="D16" i="7"/>
  <c r="C16" i="7"/>
  <c r="AB15" i="7"/>
  <c r="AA15" i="7"/>
  <c r="Z15" i="7"/>
  <c r="Y15" i="7"/>
  <c r="X15" i="7"/>
  <c r="X5" i="7" s="1"/>
  <c r="X6" i="7" s="1"/>
  <c r="W15" i="7"/>
  <c r="V15" i="7"/>
  <c r="U15" i="7"/>
  <c r="U5" i="7" s="1"/>
  <c r="U6" i="7" s="1"/>
  <c r="T15" i="7"/>
  <c r="S15" i="7"/>
  <c r="R15" i="7"/>
  <c r="Q15" i="7"/>
  <c r="P15" i="7"/>
  <c r="O15" i="7"/>
  <c r="N15" i="7"/>
  <c r="M15" i="7"/>
  <c r="L15" i="7"/>
  <c r="L5" i="7" s="1"/>
  <c r="L6" i="7" s="1"/>
  <c r="K15" i="7"/>
  <c r="J15" i="7"/>
  <c r="I15" i="7"/>
  <c r="I5" i="7" s="1"/>
  <c r="I6" i="7" s="1"/>
  <c r="H15" i="7"/>
  <c r="G15" i="7"/>
  <c r="F15" i="7"/>
  <c r="E15" i="7"/>
  <c r="D15" i="7"/>
  <c r="C15" i="7"/>
  <c r="AB14" i="7"/>
  <c r="AA14" i="7"/>
  <c r="Z14" i="7"/>
  <c r="Z5" i="7" s="1"/>
  <c r="Z6" i="7" s="1"/>
  <c r="Y14" i="7"/>
  <c r="Y3" i="7" s="1"/>
  <c r="X14" i="7"/>
  <c r="W14" i="7"/>
  <c r="W5" i="7" s="1"/>
  <c r="W6" i="7" s="1"/>
  <c r="V14" i="7"/>
  <c r="U14" i="7"/>
  <c r="T14" i="7"/>
  <c r="S14" i="7"/>
  <c r="R14" i="7"/>
  <c r="Q14" i="7"/>
  <c r="P14" i="7"/>
  <c r="O14" i="7"/>
  <c r="N14" i="7"/>
  <c r="N5" i="7" s="1"/>
  <c r="N6" i="7" s="1"/>
  <c r="M14" i="7"/>
  <c r="M3" i="7" s="1"/>
  <c r="L14" i="7"/>
  <c r="K14" i="7"/>
  <c r="K5" i="7" s="1"/>
  <c r="K6" i="7" s="1"/>
  <c r="J14" i="7"/>
  <c r="I14" i="7"/>
  <c r="H14" i="7"/>
  <c r="G14" i="7"/>
  <c r="F14" i="7"/>
  <c r="E14" i="7"/>
  <c r="D14" i="7"/>
  <c r="C14" i="7"/>
  <c r="AB13" i="7"/>
  <c r="AB4" i="7" s="1"/>
  <c r="AA13" i="7"/>
  <c r="AA5" i="7" s="1"/>
  <c r="AA6" i="7" s="1"/>
  <c r="Z13" i="7"/>
  <c r="Y13" i="7"/>
  <c r="Y5" i="7" s="1"/>
  <c r="Y6" i="7" s="1"/>
  <c r="X13" i="7"/>
  <c r="W13" i="7"/>
  <c r="V13" i="7"/>
  <c r="U13" i="7"/>
  <c r="T13" i="7"/>
  <c r="T5" i="7" s="1"/>
  <c r="T6" i="7" s="1"/>
  <c r="S13" i="7"/>
  <c r="R13" i="7"/>
  <c r="Q13" i="7"/>
  <c r="P13" i="7"/>
  <c r="P4" i="7" s="1"/>
  <c r="O13" i="7"/>
  <c r="O5" i="7" s="1"/>
  <c r="O6" i="7" s="1"/>
  <c r="N13" i="7"/>
  <c r="M13" i="7"/>
  <c r="M5" i="7" s="1"/>
  <c r="M6" i="7" s="1"/>
  <c r="L13" i="7"/>
  <c r="K13" i="7"/>
  <c r="J13" i="7"/>
  <c r="I13" i="7"/>
  <c r="H13" i="7"/>
  <c r="G13" i="7"/>
  <c r="F13" i="7"/>
  <c r="E13" i="7"/>
  <c r="D13" i="7"/>
  <c r="D4" i="7" s="1"/>
  <c r="C13" i="7"/>
  <c r="C5" i="7" s="1"/>
  <c r="C6" i="7" s="1"/>
  <c r="AB12" i="7"/>
  <c r="AA12" i="7"/>
  <c r="AA4" i="7" s="1"/>
  <c r="Z12" i="7"/>
  <c r="Y12" i="7"/>
  <c r="X12" i="7"/>
  <c r="X4" i="7" s="1"/>
  <c r="W12" i="7"/>
  <c r="V12" i="7"/>
  <c r="U12" i="7"/>
  <c r="T12" i="7"/>
  <c r="S12" i="7"/>
  <c r="S3" i="7" s="1"/>
  <c r="R12" i="7"/>
  <c r="R3" i="7" s="1"/>
  <c r="Q12" i="7"/>
  <c r="Q4" i="7" s="1"/>
  <c r="P12" i="7"/>
  <c r="O12" i="7"/>
  <c r="O4" i="7" s="1"/>
  <c r="N12" i="7"/>
  <c r="M12" i="7"/>
  <c r="L12" i="7"/>
  <c r="L4" i="7" s="1"/>
  <c r="K12" i="7"/>
  <c r="J12" i="7"/>
  <c r="J3" i="7" s="1"/>
  <c r="I12" i="7"/>
  <c r="H12" i="7"/>
  <c r="G12" i="7"/>
  <c r="G3" i="7" s="1"/>
  <c r="F12" i="7"/>
  <c r="F3" i="7" s="1"/>
  <c r="E12" i="7"/>
  <c r="E4" i="7" s="1"/>
  <c r="D12" i="7"/>
  <c r="C12" i="7"/>
  <c r="C4" i="7" s="1"/>
  <c r="AB9" i="7"/>
  <c r="AA9" i="7"/>
  <c r="Z9" i="7"/>
  <c r="Y9" i="7"/>
  <c r="X9" i="7"/>
  <c r="W9" i="7"/>
  <c r="V9" i="7"/>
  <c r="U9" i="7"/>
  <c r="R9" i="7"/>
  <c r="Q9" i="7"/>
  <c r="P9" i="7"/>
  <c r="O9" i="7"/>
  <c r="N9" i="7"/>
  <c r="M9" i="7"/>
  <c r="L9" i="7"/>
  <c r="K9" i="7"/>
  <c r="J9" i="7"/>
  <c r="I9" i="7"/>
  <c r="F9" i="7"/>
  <c r="E9" i="7"/>
  <c r="D9" i="7"/>
  <c r="C9" i="7"/>
  <c r="Y8" i="7"/>
  <c r="Y10" i="7" s="1"/>
  <c r="X8" i="7"/>
  <c r="X10" i="7" s="1"/>
  <c r="W8" i="7"/>
  <c r="W10" i="7" s="1"/>
  <c r="M8" i="7"/>
  <c r="M10" i="7" s="1"/>
  <c r="L8" i="7"/>
  <c r="L10" i="7" s="1"/>
  <c r="K8" i="7"/>
  <c r="K10" i="7" s="1"/>
  <c r="AA7" i="7"/>
  <c r="Z7" i="7"/>
  <c r="Y7" i="7"/>
  <c r="W7" i="7"/>
  <c r="O7" i="7"/>
  <c r="N7" i="7"/>
  <c r="M7" i="7"/>
  <c r="K7" i="7"/>
  <c r="C7" i="7"/>
  <c r="R5" i="7"/>
  <c r="R6" i="7" s="1"/>
  <c r="Q5" i="7"/>
  <c r="Q6" i="7" s="1"/>
  <c r="F5" i="7"/>
  <c r="F6" i="7" s="1"/>
  <c r="E5" i="7"/>
  <c r="E6" i="7" s="1"/>
  <c r="AG4" i="7"/>
  <c r="V7" i="7" s="1"/>
  <c r="T4" i="7"/>
  <c r="H4" i="7"/>
  <c r="AG3" i="7"/>
  <c r="T8" i="7" s="1"/>
  <c r="T10" i="7" s="1"/>
  <c r="X3" i="7"/>
  <c r="W3" i="7"/>
  <c r="L3" i="7"/>
  <c r="K3" i="7"/>
  <c r="K16" i="6"/>
  <c r="J16" i="6"/>
  <c r="I16" i="6"/>
  <c r="F16" i="6"/>
  <c r="E16" i="6"/>
  <c r="D16" i="6"/>
  <c r="N15" i="6"/>
  <c r="F15" i="6"/>
  <c r="E15" i="6"/>
  <c r="D15" i="6"/>
  <c r="N14" i="6"/>
  <c r="K14" i="6"/>
  <c r="J14" i="6"/>
  <c r="I14" i="6"/>
  <c r="F14" i="6"/>
  <c r="E14" i="6"/>
  <c r="D14" i="6"/>
  <c r="P13" i="6"/>
  <c r="O13" i="6"/>
  <c r="N13" i="6"/>
  <c r="K13" i="6"/>
  <c r="J13" i="6"/>
  <c r="I13" i="6"/>
  <c r="I15" i="6" s="1"/>
  <c r="F13" i="6"/>
  <c r="E13" i="6"/>
  <c r="D13" i="6"/>
  <c r="P12" i="6"/>
  <c r="O12" i="6"/>
  <c r="N12" i="6"/>
  <c r="K12" i="6"/>
  <c r="K15" i="6" s="1"/>
  <c r="J12" i="6"/>
  <c r="J15" i="6" s="1"/>
  <c r="I12" i="6"/>
  <c r="F12" i="6"/>
  <c r="E12" i="6"/>
  <c r="D12" i="6"/>
  <c r="P11" i="6"/>
  <c r="O11" i="6"/>
  <c r="N11" i="6"/>
  <c r="K11" i="6"/>
  <c r="I11" i="6"/>
  <c r="F11" i="6"/>
  <c r="E11" i="6"/>
  <c r="D11" i="6"/>
  <c r="P10" i="6"/>
  <c r="O10" i="6"/>
  <c r="N10" i="6"/>
  <c r="I10" i="6"/>
  <c r="F10" i="6"/>
  <c r="E10" i="6"/>
  <c r="D10" i="6"/>
  <c r="P9" i="6"/>
  <c r="O9" i="6"/>
  <c r="N9" i="6"/>
  <c r="I9" i="6"/>
  <c r="F9" i="6"/>
  <c r="E9" i="6"/>
  <c r="D9" i="6"/>
  <c r="P8" i="6"/>
  <c r="O8" i="6"/>
  <c r="N8" i="6"/>
  <c r="I8" i="6"/>
  <c r="F8" i="6"/>
  <c r="E8" i="6"/>
  <c r="D8" i="6"/>
  <c r="P7" i="6"/>
  <c r="O7" i="6"/>
  <c r="N7" i="6"/>
  <c r="I7" i="6"/>
  <c r="F7" i="6"/>
  <c r="E7" i="6"/>
  <c r="D7" i="6"/>
  <c r="J4" i="7" l="1"/>
  <c r="U3" i="7"/>
  <c r="I3" i="7"/>
  <c r="F4" i="7"/>
  <c r="R4" i="7"/>
  <c r="V3" i="7"/>
  <c r="G4" i="7"/>
  <c r="S4" i="7"/>
  <c r="D5" i="7"/>
  <c r="D6" i="7" s="1"/>
  <c r="P5" i="7"/>
  <c r="P6" i="7" s="1"/>
  <c r="AB5" i="7"/>
  <c r="AB6" i="7" s="1"/>
  <c r="L7" i="7"/>
  <c r="X7" i="7"/>
  <c r="J8" i="7"/>
  <c r="J10" i="7" s="1"/>
  <c r="V8" i="7"/>
  <c r="V10" i="7" s="1"/>
  <c r="N3" i="7"/>
  <c r="Z3" i="7"/>
  <c r="K4" i="7"/>
  <c r="W4" i="7"/>
  <c r="H5" i="7"/>
  <c r="H6" i="7" s="1"/>
  <c r="D7" i="7"/>
  <c r="P7" i="7"/>
  <c r="AB7" i="7"/>
  <c r="N8" i="7"/>
  <c r="N10" i="7" s="1"/>
  <c r="Z8" i="7"/>
  <c r="Z10" i="7" s="1"/>
  <c r="C3" i="7"/>
  <c r="O3" i="7"/>
  <c r="AA3" i="7"/>
  <c r="E7" i="7"/>
  <c r="Q7" i="7"/>
  <c r="C8" i="7"/>
  <c r="C10" i="7" s="1"/>
  <c r="O8" i="7"/>
  <c r="O10" i="7" s="1"/>
  <c r="AA8" i="7"/>
  <c r="AA10" i="7" s="1"/>
  <c r="D3" i="7"/>
  <c r="P3" i="7"/>
  <c r="AB3" i="7"/>
  <c r="M4" i="7"/>
  <c r="Y4" i="7"/>
  <c r="V5" i="7"/>
  <c r="V6" i="7" s="1"/>
  <c r="F7" i="7"/>
  <c r="R7" i="7"/>
  <c r="D8" i="7"/>
  <c r="D10" i="7" s="1"/>
  <c r="P8" i="7"/>
  <c r="P10" i="7" s="1"/>
  <c r="AB8" i="7"/>
  <c r="AB10" i="7" s="1"/>
  <c r="E3" i="7"/>
  <c r="Q3" i="7"/>
  <c r="N4" i="7"/>
  <c r="Z4" i="7"/>
  <c r="G7" i="7"/>
  <c r="S7" i="7"/>
  <c r="E8" i="7"/>
  <c r="E10" i="7" s="1"/>
  <c r="Q8" i="7"/>
  <c r="Q10" i="7" s="1"/>
  <c r="H7" i="7"/>
  <c r="T7" i="7"/>
  <c r="F8" i="7"/>
  <c r="F10" i="7" s="1"/>
  <c r="R8" i="7"/>
  <c r="R10" i="7" s="1"/>
  <c r="I7" i="7"/>
  <c r="U7" i="7"/>
  <c r="G8" i="7"/>
  <c r="G10" i="7" s="1"/>
  <c r="S8" i="7"/>
  <c r="S10" i="7" s="1"/>
  <c r="J7" i="7"/>
  <c r="H8" i="7"/>
  <c r="H10" i="7" s="1"/>
</calcChain>
</file>

<file path=xl/sharedStrings.xml><?xml version="1.0" encoding="utf-8"?>
<sst xmlns="http://schemas.openxmlformats.org/spreadsheetml/2006/main" count="212" uniqueCount="149">
  <si>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</si>
  <si>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</si>
  <si>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</si>
  <si>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</si>
  <si>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</si>
  <si>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</si>
  <si>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</si>
  <si>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</si>
  <si>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</si>
  <si>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</si>
  <si>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</si>
  <si>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</si>
  <si>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</si>
  <si>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</si>
  <si>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</si>
  <si>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</si>
  <si>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</si>
  <si>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</si>
  <si>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</si>
  <si>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</si>
  <si>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</si>
  <si>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4.25-4.50%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</si>
  <si>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</si>
  <si>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</si>
  <si>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</si>
  <si>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</si>
  <si>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</si>
  <si>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</si>
  <si>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</si>
  <si>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</si>
  <si>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</si>
  <si>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</si>
  <si>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</si>
  <si>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</si>
  <si>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</si>
  <si>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</si>
  <si>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</si>
  <si>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</si>
  <si>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</si>
  <si>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</si>
  <si>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</si>
  <si>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</si>
  <si>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</si>
  <si>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</si>
  <si>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</si>
  <si>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</si>
  <si>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</si>
  <si>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</si>
  <si>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</si>
  <si>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</si>
  <si>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</si>
  <si>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</si>
  <si>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</si>
  <si>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</si>
  <si>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</si>
  <si>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</si>
  <si>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</si>
  <si>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</si>
  <si>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</si>
  <si>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</si>
  <si>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</si>
  <si>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</si>
  <si>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</si>
  <si>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</si>
  <si>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</si>
  <si>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</si>
  <si>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</si>
  <si>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</si>
  <si>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</si>
  <si>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</si>
  <si>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</si>
  <si>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</si>
  <si>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</si>
  <si>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</si>
  <si>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</si>
  <si>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</si>
  <si>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</si>
  <si>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</si>
  <si>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</si>
  <si>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</si>
  <si>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</si>
  <si>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</si>
  <si>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</si>
  <si>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</si>
  <si>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</si>
  <si>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</si>
  <si>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</si>
  <si>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</si>
  <si>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</si>
  <si>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</si>
  <si>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</si>
  <si>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</si>
  <si>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</si>
  <si>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</si>
  <si>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</si>
  <si>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</si>
  <si>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</si>
  <si>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</si>
  <si>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</si>
  <si>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</si>
  <si>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</si>
  <si>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</si>
  <si>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</si>
  <si>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</si>
  <si>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</si>
  <si>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</si>
  <si>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</si>
  <si>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</si>
  <si>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</t>
  </si>
  <si>
    <t>2y</t>
  </si>
  <si>
    <t>3m</t>
  </si>
  <si>
    <t>10y -2y</t>
  </si>
  <si>
    <t>ISM Manufacturing Sectors</t>
  </si>
  <si>
    <t>ISM Services Sectors</t>
  </si>
  <si>
    <t>*to update</t>
  </si>
  <si>
    <t>Last month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</si>
  <si>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</si>
  <si>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</si>
  <si>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</si>
  <si>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</si>
  <si>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</si>
  <si>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</si>
  <si>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</si>
  <si>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</si>
  <si>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</si>
  <si>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</si>
  <si>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</si>
  <si>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</si>
  <si>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</si>
  <si>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</si>
  <si>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</si>
  <si>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</si>
  <si>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</si>
  <si>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</si>
  <si>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</si>
  <si>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</si>
  <si>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</si>
  <si>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</si>
  <si>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</si>
  <si>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</si>
  <si>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Previous month</t>
  </si>
  <si>
    <t>min 12m</t>
  </si>
  <si>
    <t>12 months</t>
  </si>
  <si>
    <t>12m avg</t>
  </si>
  <si>
    <t>Last vs 12m avg</t>
  </si>
  <si>
    <t>Y/Y</t>
  </si>
  <si>
    <t>M/M</t>
  </si>
  <si>
    <t>Growth / Contraction</t>
  </si>
  <si>
    <t>Slower/Faster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</si>
</sst>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,\ &quot;K&quot;"/>
    <numFmt numFmtId="167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69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1" xfId="0" applyFont="1" applyFill="1" applyBorder="1"/>
    <xf numFmtId="0" fontId="1" fillId="4" borderId="21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20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164" fontId="5" fillId="2" borderId="0" xfId="2" applyNumberFormat="1" applyFont="1" applyFill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4" fillId="2" borderId="0" xfId="2" applyNumberFormat="1" applyFont="1" applyFill="1" applyAlignment="1">
      <alignment horizontal="center"/>
    </xf>
    <xf numFmtId="166" fontId="4" fillId="2" borderId="8" xfId="2" applyNumberFormat="1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/>
    <xf numFmtId="167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10</c:v>
                </c:pt>
                <c:pt idx="1">
                  <c:v>1</c:v>
                </c:pt>
                <c:pt idx="2">
                  <c:v>-1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E8-4806-80FC-75FDE2B123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5</c:v>
                </c:pt>
                <c:pt idx="1">
                  <c:v>-3</c:v>
                </c:pt>
                <c:pt idx="2">
                  <c:v>-2</c:v>
                </c:pt>
                <c:pt idx="3">
                  <c:v>-1</c:v>
                </c:pt>
                <c:pt idx="4">
                  <c:v>-5</c:v>
                </c:pt>
                <c:pt idx="5">
                  <c:v>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76-44C2-B3BA-B0349FF9B9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2</c:v>
                </c:pt>
                <c:pt idx="1">
                  <c:v>-2</c:v>
                </c:pt>
                <c:pt idx="2">
                  <c:v>1</c:v>
                </c:pt>
                <c:pt idx="3">
                  <c:v>3</c:v>
                </c:pt>
                <c:pt idx="4">
                  <c:v>-1</c:v>
                </c:pt>
                <c:pt idx="5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75-4E69-AE87-C1157C06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-1</c:v>
                </c:pt>
                <c:pt idx="1">
                  <c:v>-6</c:v>
                </c:pt>
                <c:pt idx="2">
                  <c:v>-5</c:v>
                </c:pt>
                <c:pt idx="3">
                  <c:v>-7</c:v>
                </c:pt>
                <c:pt idx="4">
                  <c:v>-10</c:v>
                </c:pt>
                <c:pt idx="5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6C-46C1-AFCD-DA780C6130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11</c:v>
                </c:pt>
                <c:pt idx="1">
                  <c:v>5</c:v>
                </c:pt>
                <c:pt idx="2">
                  <c:v>3</c:v>
                </c:pt>
                <c:pt idx="3">
                  <c:v>8</c:v>
                </c:pt>
                <c:pt idx="4">
                  <c:v>6</c:v>
                </c:pt>
                <c:pt idx="5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FA-41D6-88F7-6E8288EC31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4</c:v>
                </c:pt>
                <c:pt idx="1">
                  <c:v>-4</c:v>
                </c:pt>
                <c:pt idx="2">
                  <c:v>2</c:v>
                </c:pt>
                <c:pt idx="3">
                  <c:v>6</c:v>
                </c:pt>
                <c:pt idx="4">
                  <c:v>3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6-4678-A78A-3F485647A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8</c:v>
                </c:pt>
                <c:pt idx="1">
                  <c:v>10</c:v>
                </c:pt>
                <c:pt idx="2">
                  <c:v>10</c:v>
                </c:pt>
                <c:pt idx="3">
                  <c:v>9</c:v>
                </c:pt>
                <c:pt idx="4">
                  <c:v>7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A-42B3-B752-F91C26D3ED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-3</c:v>
                </c:pt>
                <c:pt idx="1">
                  <c:v>-5</c:v>
                </c:pt>
                <c:pt idx="2">
                  <c:v>-4</c:v>
                </c:pt>
                <c:pt idx="3">
                  <c:v>-3</c:v>
                </c:pt>
                <c:pt idx="4">
                  <c:v>-8</c:v>
                </c:pt>
                <c:pt idx="5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1-4FDC-A9A4-18FFB0969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3</c:v>
                </c:pt>
                <c:pt idx="1">
                  <c:v>9</c:v>
                </c:pt>
                <c:pt idx="2">
                  <c:v>9</c:v>
                </c:pt>
                <c:pt idx="3">
                  <c:v>0</c:v>
                </c:pt>
                <c:pt idx="4">
                  <c:v>5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60-451E-A36A-6A9F0D400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7</c:v>
                </c:pt>
                <c:pt idx="1">
                  <c:v>2</c:v>
                </c:pt>
                <c:pt idx="2">
                  <c:v>5</c:v>
                </c:pt>
                <c:pt idx="3">
                  <c:v>7</c:v>
                </c:pt>
                <c:pt idx="4">
                  <c:v>2</c:v>
                </c:pt>
                <c:pt idx="5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C5-4C83-91BD-0D8EBB309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9</c:v>
                </c:pt>
                <c:pt idx="1">
                  <c:v>3</c:v>
                </c:pt>
                <c:pt idx="2">
                  <c:v>4</c:v>
                </c:pt>
                <c:pt idx="3">
                  <c:v>0</c:v>
                </c:pt>
                <c:pt idx="4">
                  <c:v>-3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AC-4EC5-9BCD-831DA59004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13</c:v>
                </c:pt>
                <c:pt idx="1">
                  <c:v>8</c:v>
                </c:pt>
                <c:pt idx="2">
                  <c:v>6</c:v>
                </c:pt>
                <c:pt idx="3">
                  <c:v>-4</c:v>
                </c:pt>
                <c:pt idx="4">
                  <c:v>-6</c:v>
                </c:pt>
                <c:pt idx="5">
                  <c:v>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4A-477A-A381-D01799A61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14</c:v>
                </c:pt>
                <c:pt idx="1">
                  <c:v>4</c:v>
                </c:pt>
                <c:pt idx="2">
                  <c:v>0</c:v>
                </c:pt>
                <c:pt idx="3">
                  <c:v>-6</c:v>
                </c:pt>
                <c:pt idx="4">
                  <c:v>-7</c:v>
                </c:pt>
                <c:pt idx="5">
                  <c:v>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31-4F92-9690-85B6BB9CD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6</c:v>
                </c:pt>
                <c:pt idx="1">
                  <c:v>6</c:v>
                </c:pt>
                <c:pt idx="2">
                  <c:v>8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65-4E3A-AA7B-90CD73F442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-2</c:v>
                </c:pt>
                <c:pt idx="1">
                  <c:v>-7</c:v>
                </c:pt>
                <c:pt idx="2">
                  <c:v>-7</c:v>
                </c:pt>
                <c:pt idx="3">
                  <c:v>-5</c:v>
                </c:pt>
                <c:pt idx="4">
                  <c:v>-9</c:v>
                </c:pt>
                <c:pt idx="5">
                  <c:v>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A-43A5-B66C-06D0494EC0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15</c:v>
                </c:pt>
                <c:pt idx="1">
                  <c:v>11</c:v>
                </c:pt>
                <c:pt idx="2">
                  <c:v>-6</c:v>
                </c:pt>
                <c:pt idx="3">
                  <c:v>5</c:v>
                </c:pt>
                <c:pt idx="4">
                  <c:v>8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25-4593-93DC-4A5A486AA2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1</c:v>
                </c:pt>
                <c:pt idx="1">
                  <c:v>-1</c:v>
                </c:pt>
                <c:pt idx="2">
                  <c:v>-3</c:v>
                </c:pt>
                <c:pt idx="3">
                  <c:v>-2</c:v>
                </c:pt>
                <c:pt idx="4">
                  <c:v>-4</c:v>
                </c:pt>
                <c:pt idx="5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3B-461A-BFAA-7E8856F4E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12</c:v>
                </c:pt>
                <c:pt idx="1">
                  <c:v>7</c:v>
                </c:pt>
                <c:pt idx="2">
                  <c:v>7</c:v>
                </c:pt>
                <c:pt idx="3">
                  <c:v>2</c:v>
                </c:pt>
                <c:pt idx="4">
                  <c:v>-2</c:v>
                </c:pt>
                <c:pt idx="5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15-42DA-BCA1-E5D06C8064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18</c:v>
                </c:pt>
                <c:pt idx="1">
                  <c:v>0</c:v>
                </c:pt>
                <c:pt idx="2">
                  <c:v>15</c:v>
                </c:pt>
                <c:pt idx="3">
                  <c:v>18</c:v>
                </c:pt>
                <c:pt idx="4">
                  <c:v>5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48-4C16-8F1A-FF30BEC9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2</c:v>
                </c:pt>
                <c:pt idx="1">
                  <c:v>3</c:v>
                </c:pt>
                <c:pt idx="2">
                  <c:v>14</c:v>
                </c:pt>
                <c:pt idx="3">
                  <c:v>7</c:v>
                </c:pt>
                <c:pt idx="4">
                  <c:v>4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1F-4AC7-B545-D51F9A15D8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4</c:v>
                </c:pt>
                <c:pt idx="1">
                  <c:v>4</c:v>
                </c:pt>
                <c:pt idx="2">
                  <c:v>13</c:v>
                </c:pt>
                <c:pt idx="3">
                  <c:v>16</c:v>
                </c:pt>
                <c:pt idx="4">
                  <c:v>14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99-4ECF-B01F-03409B15B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13</c:v>
                </c:pt>
                <c:pt idx="1">
                  <c:v>13</c:v>
                </c:pt>
                <c:pt idx="2">
                  <c:v>-1</c:v>
                </c:pt>
                <c:pt idx="3">
                  <c:v>3</c:v>
                </c:pt>
                <c:pt idx="4">
                  <c:v>2</c:v>
                </c:pt>
                <c:pt idx="5">
                  <c:v>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71-4133-9FF1-95C32F1BF4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7</c:v>
                </c:pt>
                <c:pt idx="1">
                  <c:v>10</c:v>
                </c:pt>
                <c:pt idx="2">
                  <c:v>7</c:v>
                </c:pt>
                <c:pt idx="3">
                  <c:v>11</c:v>
                </c:pt>
                <c:pt idx="4">
                  <c:v>15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C-4B26-B26A-68792953DD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8</c:v>
                </c:pt>
                <c:pt idx="1">
                  <c:v>7</c:v>
                </c:pt>
                <c:pt idx="2">
                  <c:v>16</c:v>
                </c:pt>
                <c:pt idx="3">
                  <c:v>12</c:v>
                </c:pt>
                <c:pt idx="4">
                  <c:v>17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54-4D0A-8B08-D3AF8E7ABC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16</c:v>
                </c:pt>
                <c:pt idx="1">
                  <c:v>6</c:v>
                </c:pt>
                <c:pt idx="2">
                  <c:v>12</c:v>
                </c:pt>
                <c:pt idx="3">
                  <c:v>1</c:v>
                </c:pt>
                <c:pt idx="4">
                  <c:v>10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43-4141-BF17-EAA9D42CE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17</c:v>
                </c:pt>
                <c:pt idx="1">
                  <c:v>16</c:v>
                </c:pt>
                <c:pt idx="2">
                  <c:v>17</c:v>
                </c:pt>
                <c:pt idx="3">
                  <c:v>6</c:v>
                </c:pt>
                <c:pt idx="4">
                  <c:v>13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A0-4512-9087-99E12FC4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8</c:v>
                </c:pt>
                <c:pt idx="4">
                  <c:v>11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08D-4DA6-95D6-65BEFE649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11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-1</c:v>
                </c:pt>
                <c:pt idx="5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0A-49D2-B4A5-4793E0853E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15</c:v>
                </c:pt>
                <c:pt idx="1">
                  <c:v>15</c:v>
                </c:pt>
                <c:pt idx="2">
                  <c:v>11</c:v>
                </c:pt>
                <c:pt idx="3">
                  <c:v>17</c:v>
                </c:pt>
                <c:pt idx="4">
                  <c:v>7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9-45AF-82A6-236425D33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9</c:v>
                </c:pt>
                <c:pt idx="1">
                  <c:v>8</c:v>
                </c:pt>
                <c:pt idx="2">
                  <c:v>1</c:v>
                </c:pt>
                <c:pt idx="3">
                  <c:v>5</c:v>
                </c:pt>
                <c:pt idx="4">
                  <c:v>8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C-4B1B-8B99-8A9D3C9D98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1</c:v>
                </c:pt>
                <c:pt idx="1">
                  <c:v>12</c:v>
                </c:pt>
                <c:pt idx="2">
                  <c:v>9</c:v>
                </c:pt>
                <c:pt idx="3">
                  <c:v>15</c:v>
                </c:pt>
                <c:pt idx="4">
                  <c:v>3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FD-4BBC-B4C3-FBA441DF0E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10</c:v>
                </c:pt>
                <c:pt idx="1">
                  <c:v>14</c:v>
                </c:pt>
                <c:pt idx="2">
                  <c:v>5</c:v>
                </c:pt>
                <c:pt idx="3">
                  <c:v>10</c:v>
                </c:pt>
                <c:pt idx="4">
                  <c:v>16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64-4559-AA5E-E84906F7EF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12</c:v>
                </c:pt>
                <c:pt idx="1">
                  <c:v>11</c:v>
                </c:pt>
                <c:pt idx="2">
                  <c:v>8</c:v>
                </c:pt>
                <c:pt idx="3">
                  <c:v>4</c:v>
                </c:pt>
                <c:pt idx="4">
                  <c:v>9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AE-47B3-AC62-05994CB838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3</c:v>
                </c:pt>
                <c:pt idx="1">
                  <c:v>9</c:v>
                </c:pt>
                <c:pt idx="2">
                  <c:v>6</c:v>
                </c:pt>
                <c:pt idx="3">
                  <c:v>14</c:v>
                </c:pt>
                <c:pt idx="4">
                  <c:v>6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466-4F37-90B7-F6BEDF4B21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14</c:v>
                </c:pt>
                <c:pt idx="1">
                  <c:v>0</c:v>
                </c:pt>
                <c:pt idx="2">
                  <c:v>3</c:v>
                </c:pt>
                <c:pt idx="3">
                  <c:v>9</c:v>
                </c:pt>
                <c:pt idx="4">
                  <c:v>1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6B-44F2-919A-411C793B33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44713</c:v>
                </c:pt>
                <c:pt idx="1">
                  <c:v>44743</c:v>
                </c:pt>
                <c:pt idx="2">
                  <c:v>44774</c:v>
                </c:pt>
                <c:pt idx="3">
                  <c:v>44805</c:v>
                </c:pt>
                <c:pt idx="4">
                  <c:v>44835</c:v>
                </c:pt>
                <c:pt idx="5">
                  <c:v>44866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5</c:v>
                </c:pt>
                <c:pt idx="1">
                  <c:v>2</c:v>
                </c:pt>
                <c:pt idx="2">
                  <c:v>10</c:v>
                </c:pt>
                <c:pt idx="3">
                  <c:v>13</c:v>
                </c:pt>
                <c:pt idx="4">
                  <c:v>12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67-4168-A6FF-DD0192276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World'!$C$2:$C$144</c:f>
              <c:numCache>
                <c:formatCode>General</c:formatCode>
                <c:ptCount val="143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  <c:pt idx="96">
                  <c:v>57.7</c:v>
                </c:pt>
                <c:pt idx="97">
                  <c:v>59.3</c:v>
                </c:pt>
                <c:pt idx="98">
                  <c:v>54.3</c:v>
                </c:pt>
                <c:pt idx="99">
                  <c:v>56.6</c:v>
                </c:pt>
                <c:pt idx="100">
                  <c:v>54.3</c:v>
                </c:pt>
                <c:pt idx="101">
                  <c:v>54.3</c:v>
                </c:pt>
                <c:pt idx="102">
                  <c:v>52.8</c:v>
                </c:pt>
                <c:pt idx="103">
                  <c:v>52.1</c:v>
                </c:pt>
                <c:pt idx="104">
                  <c:v>51.7</c:v>
                </c:pt>
                <c:pt idx="105">
                  <c:v>51.2</c:v>
                </c:pt>
                <c:pt idx="106">
                  <c:v>49.1</c:v>
                </c:pt>
                <c:pt idx="107">
                  <c:v>47.8</c:v>
                </c:pt>
                <c:pt idx="108">
                  <c:v>48.3</c:v>
                </c:pt>
                <c:pt idx="109">
                  <c:v>48.1</c:v>
                </c:pt>
                <c:pt idx="110">
                  <c:v>47.8</c:v>
                </c:pt>
                <c:pt idx="111">
                  <c:v>50.9</c:v>
                </c:pt>
                <c:pt idx="112">
                  <c:v>50.1</c:v>
                </c:pt>
                <c:pt idx="113">
                  <c:v>49.1</c:v>
                </c:pt>
                <c:pt idx="114">
                  <c:v>41.5</c:v>
                </c:pt>
                <c:pt idx="115">
                  <c:v>43.1</c:v>
                </c:pt>
                <c:pt idx="116">
                  <c:v>52.6</c:v>
                </c:pt>
                <c:pt idx="117">
                  <c:v>54.2</c:v>
                </c:pt>
                <c:pt idx="118">
                  <c:v>56</c:v>
                </c:pt>
                <c:pt idx="119">
                  <c:v>57.8</c:v>
                </c:pt>
                <c:pt idx="120">
                  <c:v>59.3</c:v>
                </c:pt>
                <c:pt idx="121">
                  <c:v>57.5</c:v>
                </c:pt>
                <c:pt idx="122">
                  <c:v>60.5</c:v>
                </c:pt>
                <c:pt idx="123">
                  <c:v>58.7</c:v>
                </c:pt>
                <c:pt idx="124">
                  <c:v>60.8</c:v>
                </c:pt>
                <c:pt idx="125">
                  <c:v>64.7</c:v>
                </c:pt>
                <c:pt idx="126">
                  <c:v>60.7</c:v>
                </c:pt>
                <c:pt idx="127">
                  <c:v>61.2</c:v>
                </c:pt>
                <c:pt idx="128">
                  <c:v>60.6</c:v>
                </c:pt>
                <c:pt idx="129">
                  <c:v>59.5</c:v>
                </c:pt>
                <c:pt idx="130">
                  <c:v>59.9</c:v>
                </c:pt>
                <c:pt idx="131">
                  <c:v>60.3</c:v>
                </c:pt>
                <c:pt idx="132">
                  <c:v>60.7</c:v>
                </c:pt>
                <c:pt idx="133">
                  <c:v>61.1</c:v>
                </c:pt>
                <c:pt idx="134">
                  <c:v>61.5</c:v>
                </c:pt>
                <c:pt idx="135">
                  <c:v>57.6</c:v>
                </c:pt>
                <c:pt idx="136">
                  <c:v>58.6</c:v>
                </c:pt>
                <c:pt idx="137">
                  <c:v>57.1</c:v>
                </c:pt>
                <c:pt idx="138">
                  <c:v>55.4</c:v>
                </c:pt>
                <c:pt idx="139">
                  <c:v>56.1</c:v>
                </c:pt>
                <c:pt idx="140">
                  <c:v>53</c:v>
                </c:pt>
                <c:pt idx="141">
                  <c:v>52.8</c:v>
                </c:pt>
                <c:pt idx="142">
                  <c:v>52.8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B-4CBE-A17F-6601C2D60742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World'!$F$2:$F$144</c:f>
              <c:numCache>
                <c:formatCode>General</c:formatCode>
                <c:ptCount val="143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  <c:pt idx="96">
                  <c:v>52</c:v>
                </c:pt>
                <c:pt idx="97">
                  <c:v>51.8</c:v>
                </c:pt>
                <c:pt idx="98">
                  <c:v>51.4</c:v>
                </c:pt>
                <c:pt idx="99">
                  <c:v>50.5</c:v>
                </c:pt>
                <c:pt idx="100">
                  <c:v>49.3</c:v>
                </c:pt>
                <c:pt idx="101">
                  <c:v>47.5</c:v>
                </c:pt>
                <c:pt idx="102">
                  <c:v>47.9</c:v>
                </c:pt>
                <c:pt idx="103">
                  <c:v>47.7</c:v>
                </c:pt>
                <c:pt idx="104">
                  <c:v>47.6</c:v>
                </c:pt>
                <c:pt idx="105">
                  <c:v>46.5</c:v>
                </c:pt>
                <c:pt idx="106">
                  <c:v>47</c:v>
                </c:pt>
                <c:pt idx="107">
                  <c:v>45.7</c:v>
                </c:pt>
                <c:pt idx="108">
                  <c:v>45.9</c:v>
                </c:pt>
                <c:pt idx="109">
                  <c:v>46.9</c:v>
                </c:pt>
                <c:pt idx="110">
                  <c:v>46.3</c:v>
                </c:pt>
                <c:pt idx="111">
                  <c:v>47.9</c:v>
                </c:pt>
                <c:pt idx="112">
                  <c:v>49.2</c:v>
                </c:pt>
                <c:pt idx="113">
                  <c:v>44.5</c:v>
                </c:pt>
                <c:pt idx="114">
                  <c:v>33.4</c:v>
                </c:pt>
                <c:pt idx="115">
                  <c:v>39.4</c:v>
                </c:pt>
                <c:pt idx="116">
                  <c:v>47.4</c:v>
                </c:pt>
                <c:pt idx="117">
                  <c:v>51.8</c:v>
                </c:pt>
                <c:pt idx="118">
                  <c:v>51.7</c:v>
                </c:pt>
                <c:pt idx="119">
                  <c:v>53.7</c:v>
                </c:pt>
                <c:pt idx="120">
                  <c:v>54.8</c:v>
                </c:pt>
                <c:pt idx="121">
                  <c:v>53.8</c:v>
                </c:pt>
                <c:pt idx="122">
                  <c:v>55.2</c:v>
                </c:pt>
                <c:pt idx="123">
                  <c:v>54.8</c:v>
                </c:pt>
                <c:pt idx="124">
                  <c:v>57.9</c:v>
                </c:pt>
                <c:pt idx="125">
                  <c:v>62.5</c:v>
                </c:pt>
                <c:pt idx="126">
                  <c:v>62.9</c:v>
                </c:pt>
                <c:pt idx="127">
                  <c:v>63.1</c:v>
                </c:pt>
                <c:pt idx="128">
                  <c:v>63.4</c:v>
                </c:pt>
                <c:pt idx="129">
                  <c:v>62.8</c:v>
                </c:pt>
                <c:pt idx="130">
                  <c:v>61.4</c:v>
                </c:pt>
                <c:pt idx="131">
                  <c:v>58.6</c:v>
                </c:pt>
                <c:pt idx="132">
                  <c:v>58.3</c:v>
                </c:pt>
                <c:pt idx="133">
                  <c:v>58.4</c:v>
                </c:pt>
                <c:pt idx="134">
                  <c:v>58</c:v>
                </c:pt>
                <c:pt idx="135">
                  <c:v>59</c:v>
                </c:pt>
                <c:pt idx="136">
                  <c:v>58.4</c:v>
                </c:pt>
                <c:pt idx="137">
                  <c:v>57</c:v>
                </c:pt>
                <c:pt idx="138">
                  <c:v>55.5</c:v>
                </c:pt>
                <c:pt idx="139">
                  <c:v>54.4</c:v>
                </c:pt>
                <c:pt idx="140">
                  <c:v>52</c:v>
                </c:pt>
                <c:pt idx="141">
                  <c:v>49.8</c:v>
                </c:pt>
                <c:pt idx="142">
                  <c:v>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B-4CBE-A17F-6601C2D60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41</xdr:col>
      <xdr:colOff>541867</xdr:colOff>
      <xdr:row>70</xdr:row>
      <xdr:rowOff>93133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160" zoomScaleNormal="160" workbookViewId="0">
      <selection activeCell="F16" sqref="F16"/>
    </sheetView>
  </sheetViews>
  <sheetFormatPr defaultColWidth="9.1796875" defaultRowHeight="14.5" x14ac:dyDescent="0.35"/>
  <cols>
    <col min="1" max="1" width="23.1796875" style="56" customWidth="1"/>
    <col min="2" max="5" width="12.81640625" style="56" customWidth="1"/>
    <col min="6" max="6" width="13.6328125" style="56" customWidth="1"/>
    <col min="7" max="10" width="12.81640625" style="56" customWidth="1"/>
    <col min="11" max="13" width="2" style="56" customWidth="1"/>
    <col min="14" max="45" width="9.1796875" style="56" customWidth="1"/>
    <col min="46" max="16384" width="9.1796875" style="56"/>
  </cols>
  <sheetData>
    <row r="1" spans="2:13" x14ac:dyDescent="0.35">
      <c r="B1" s="14"/>
      <c r="C1" s="15"/>
      <c r="D1" s="15"/>
      <c r="E1" s="15"/>
    </row>
    <row r="2" spans="2:13" x14ac:dyDescent="0.35">
      <c r="B2" s="63" t="s">
        <v>0</v>
      </c>
      <c r="C2" s="64"/>
      <c r="D2" s="64"/>
      <c r="E2" s="64"/>
      <c r="F2" s="64"/>
      <c r="G2" s="64"/>
      <c r="H2" s="64"/>
      <c r="I2" s="64"/>
      <c r="J2" s="65"/>
    </row>
    <row r="4" spans="2:13" x14ac:dyDescent="0.35">
      <c r="B4" s="63" t="s">
        <v>1</v>
      </c>
      <c r="C4" s="64"/>
      <c r="D4" s="64"/>
      <c r="E4" s="64"/>
      <c r="F4" s="65"/>
      <c r="G4" s="63" t="s">
        <v>2</v>
      </c>
      <c r="H4" s="64"/>
      <c r="I4" s="64"/>
      <c r="J4" s="65"/>
    </row>
    <row r="6" spans="2:13" x14ac:dyDescent="0.35">
      <c r="B6" s="60" t="s">
        <v>3</v>
      </c>
      <c r="C6" s="60"/>
      <c r="D6" s="60"/>
      <c r="E6" s="60"/>
      <c r="F6" s="60"/>
      <c r="G6" s="60" t="s">
        <v>4</v>
      </c>
      <c r="H6" s="60"/>
      <c r="I6" s="60"/>
      <c r="J6" s="60"/>
    </row>
    <row r="7" spans="2:13" ht="30.75" customHeight="1" x14ac:dyDescent="0.35">
      <c r="G7" s="59" t="s">
        <v>5</v>
      </c>
      <c r="H7" s="60"/>
      <c r="I7" s="60"/>
      <c r="J7" s="60"/>
    </row>
    <row r="8" spans="2:13" x14ac:dyDescent="0.35">
      <c r="B8" s="59"/>
      <c r="C8" s="60"/>
      <c r="D8" s="60"/>
      <c r="E8" s="60"/>
      <c r="F8" s="60"/>
      <c r="G8" s="60"/>
      <c r="H8" s="60"/>
      <c r="I8" s="60"/>
      <c r="J8" s="60"/>
    </row>
    <row r="9" spans="2:13" x14ac:dyDescent="0.35">
      <c r="B9" s="61"/>
      <c r="C9" s="60"/>
      <c r="D9" s="60"/>
      <c r="E9" s="60"/>
      <c r="F9" s="60"/>
      <c r="G9" s="60"/>
      <c r="H9" s="60"/>
      <c r="I9" s="60"/>
      <c r="J9" s="60"/>
      <c r="K9" s="60"/>
      <c r="L9" s="60"/>
      <c r="M9" s="60"/>
    </row>
    <row r="10" spans="2:13" x14ac:dyDescent="0.35">
      <c r="B10" s="59"/>
      <c r="C10" s="60"/>
      <c r="D10" s="60"/>
      <c r="E10" s="60"/>
      <c r="F10" s="60"/>
      <c r="G10" s="60"/>
      <c r="H10" s="60"/>
      <c r="I10" s="60"/>
      <c r="J10" s="60"/>
      <c r="K10" s="60"/>
      <c r="L10" s="60"/>
      <c r="M10" s="60"/>
    </row>
    <row r="11" spans="2:13" x14ac:dyDescent="0.35">
      <c r="B11" s="62"/>
      <c r="C11" s="60"/>
      <c r="D11" s="60"/>
      <c r="E11" s="60"/>
      <c r="F11" s="60"/>
      <c r="G11" s="60"/>
      <c r="H11" s="60"/>
      <c r="I11" s="60"/>
      <c r="J11" s="60"/>
      <c r="K11" s="60"/>
      <c r="L11" s="60"/>
      <c r="M11" s="60"/>
    </row>
  </sheetData>
  <mergeCells count="11">
    <mergeCell ref="B2:J2"/>
    <mergeCell ref="B4:F4"/>
    <mergeCell ref="G4:J4"/>
    <mergeCell ref="B6:F6"/>
    <mergeCell ref="G6:J6"/>
    <mergeCell ref="G7:J7"/>
    <mergeCell ref="B9:M9"/>
    <mergeCell ref="B10:M10"/>
    <mergeCell ref="B11:M11"/>
    <mergeCell ref="B8:F8"/>
    <mergeCell ref="G8:J8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topLeftCell="A16" zoomScale="190" zoomScaleNormal="190" workbookViewId="0">
      <selection activeCell="F16" sqref="F16"/>
    </sheetView>
  </sheetViews>
  <sheetFormatPr defaultColWidth="10.90625" defaultRowHeight="14.5" x14ac:dyDescent="0.35"/>
  <cols>
    <col min="1" max="1" width="34.1796875" customWidth="1"/>
  </cols>
  <sheetData>
    <row r="1" spans="1:4" x14ac:dyDescent="0.35">
      <c r="A1" t="s">
        <v>6</v>
      </c>
      <c r="B1" t="s">
        <v>7</v>
      </c>
      <c r="C1" t="s">
        <v>8</v>
      </c>
      <c r="D1" t="s">
        <v>9</v>
      </c>
    </row>
    <row r="2" spans="1:4" x14ac:dyDescent="0.35">
      <c r="A2" t="s">
        <v>10</v>
      </c>
      <c r="B2">
        <v>8.0115520919518922E-3</v>
      </c>
      <c r="C2">
        <v>-4.1033818498393453E-3</v>
      </c>
      <c r="D2">
        <v>6.5669449139205242E-3</v>
      </c>
    </row>
    <row r="3" spans="1:4" x14ac:dyDescent="0.35">
      <c r="A3" t="s">
        <v>11</v>
      </c>
      <c r="B3">
        <v>1.9421383880539569E-2</v>
      </c>
      <c r="C3">
        <v>3.683678957947209E-2</v>
      </c>
      <c r="D3">
        <v>4.9556544805406812E-2</v>
      </c>
    </row>
    <row r="4" spans="1:4" x14ac:dyDescent="0.35">
      <c r="A4" t="s">
        <v>12</v>
      </c>
      <c r="B4">
        <v>1.9868367888709439E-3</v>
      </c>
      <c r="C4">
        <v>6.3142311201391044E-3</v>
      </c>
      <c r="D4">
        <v>5.2324239896345097E-3</v>
      </c>
    </row>
    <row r="5" spans="1:4" x14ac:dyDescent="0.35">
      <c r="A5" t="s">
        <v>13</v>
      </c>
      <c r="B5">
        <v>1.680900962916073E-3</v>
      </c>
      <c r="C5">
        <v>3.753175448660153E-3</v>
      </c>
      <c r="D5">
        <v>5.1627441582793457E-3</v>
      </c>
    </row>
    <row r="6" spans="1:4" x14ac:dyDescent="0.35">
      <c r="A6" t="s">
        <v>14</v>
      </c>
      <c r="B6">
        <v>-5.8242319195018757E-3</v>
      </c>
      <c r="C6">
        <v>3.5511079427139299E-3</v>
      </c>
      <c r="D6">
        <v>1.091606247384953E-2</v>
      </c>
    </row>
    <row r="7" spans="1:4" x14ac:dyDescent="0.35">
      <c r="A7" t="s">
        <v>15</v>
      </c>
      <c r="B7">
        <v>-2.061575043333107E-3</v>
      </c>
      <c r="C7">
        <v>7.5985910945678822E-3</v>
      </c>
      <c r="D7">
        <v>7.7021795162142631E-3</v>
      </c>
    </row>
    <row r="8" spans="1:4" x14ac:dyDescent="0.35">
      <c r="A8" t="s">
        <v>16</v>
      </c>
      <c r="B8">
        <v>0</v>
      </c>
      <c r="C8">
        <v>0</v>
      </c>
      <c r="D8">
        <v>-8.6956521739130321E-2</v>
      </c>
    </row>
    <row r="9" spans="1:4" x14ac:dyDescent="0.35">
      <c r="A9" t="s">
        <v>17</v>
      </c>
      <c r="B9">
        <v>153548</v>
      </c>
      <c r="C9">
        <v>151610</v>
      </c>
      <c r="D9">
        <v>148652</v>
      </c>
    </row>
    <row r="10" spans="1:4" x14ac:dyDescent="0.35">
      <c r="A10" t="s">
        <v>18</v>
      </c>
      <c r="B10">
        <v>231000</v>
      </c>
      <c r="C10">
        <v>232000</v>
      </c>
      <c r="D10">
        <v>228000</v>
      </c>
    </row>
    <row r="11" spans="1:4" x14ac:dyDescent="0.35">
      <c r="A11" t="s">
        <v>19</v>
      </c>
      <c r="B11">
        <v>-2.194803880573653E-3</v>
      </c>
      <c r="C11">
        <v>-1.019459887658057E-3</v>
      </c>
      <c r="D11">
        <v>5.9273758339071199E-3</v>
      </c>
    </row>
    <row r="12" spans="1:4" x14ac:dyDescent="0.35">
      <c r="A12" t="s">
        <v>20</v>
      </c>
      <c r="B12" t="s">
        <v>21</v>
      </c>
    </row>
    <row r="13" spans="1:4" x14ac:dyDescent="0.35">
      <c r="A13" t="s">
        <v>22</v>
      </c>
      <c r="B13">
        <v>2.799999999999869E-3</v>
      </c>
    </row>
    <row r="14" spans="1:4" x14ac:dyDescent="0.35">
      <c r="A14" t="s">
        <v>23</v>
      </c>
      <c r="B14">
        <v>3.2999999999999831E-3</v>
      </c>
    </row>
    <row r="15" spans="1:4" x14ac:dyDescent="0.35">
      <c r="A15" t="s">
        <v>24</v>
      </c>
      <c r="B15">
        <v>-1.230000000000004E-2</v>
      </c>
    </row>
    <row r="16" spans="1:4" x14ac:dyDescent="0.35">
      <c r="A16" t="s">
        <v>25</v>
      </c>
      <c r="B16">
        <v>4.33</v>
      </c>
      <c r="C16">
        <v>1.1499999999999999</v>
      </c>
    </row>
    <row r="17" spans="1:4" x14ac:dyDescent="0.35">
      <c r="A17" t="s">
        <v>26</v>
      </c>
      <c r="B17">
        <v>4.25</v>
      </c>
      <c r="C17">
        <v>2.66</v>
      </c>
      <c r="D17">
        <v>0.55130000000000001</v>
      </c>
    </row>
    <row r="18" spans="1:4" x14ac:dyDescent="0.35">
      <c r="A18" t="s">
        <v>27</v>
      </c>
      <c r="B18">
        <v>3.53</v>
      </c>
      <c r="C18">
        <v>2.94</v>
      </c>
      <c r="D18">
        <v>1.4039999999999999</v>
      </c>
    </row>
    <row r="19" spans="1:4" x14ac:dyDescent="0.35">
      <c r="A19" t="s">
        <v>28</v>
      </c>
      <c r="B19">
        <v>3.64</v>
      </c>
      <c r="C19">
        <v>3.09</v>
      </c>
    </row>
    <row r="20" spans="1:4" x14ac:dyDescent="0.35">
      <c r="A20" t="s">
        <v>29</v>
      </c>
      <c r="B20">
        <v>104.73000335693359</v>
      </c>
      <c r="C20">
        <v>102.5500030517578</v>
      </c>
      <c r="D20">
        <v>96.050003051757813</v>
      </c>
    </row>
    <row r="21" spans="1:4" x14ac:dyDescent="0.35">
      <c r="A21" t="s">
        <v>30</v>
      </c>
      <c r="B21">
        <v>59.7</v>
      </c>
      <c r="C21">
        <v>50</v>
      </c>
      <c r="D21">
        <v>70.599999999999994</v>
      </c>
    </row>
    <row r="22" spans="1:4" x14ac:dyDescent="0.35">
      <c r="A22" t="s">
        <v>31</v>
      </c>
      <c r="B22">
        <v>59.9</v>
      </c>
      <c r="C22">
        <v>47.5</v>
      </c>
      <c r="D22">
        <v>68.3</v>
      </c>
    </row>
    <row r="23" spans="1:4" x14ac:dyDescent="0.35">
      <c r="A23" t="s">
        <v>32</v>
      </c>
      <c r="B23">
        <v>113.5</v>
      </c>
      <c r="C23">
        <v>118.3</v>
      </c>
      <c r="D23">
        <v>119.9</v>
      </c>
    </row>
    <row r="24" spans="1:4" x14ac:dyDescent="0.35">
      <c r="A24" t="s">
        <v>33</v>
      </c>
      <c r="B24">
        <v>1351</v>
      </c>
      <c r="C24">
        <v>1695</v>
      </c>
      <c r="D24">
        <v>1729</v>
      </c>
    </row>
    <row r="25" spans="1:4" x14ac:dyDescent="0.35">
      <c r="A25" t="s">
        <v>34</v>
      </c>
      <c r="B25">
        <v>49</v>
      </c>
      <c r="C25">
        <v>56.1</v>
      </c>
      <c r="D25">
        <v>61.1</v>
      </c>
    </row>
    <row r="26" spans="1:4" x14ac:dyDescent="0.35">
      <c r="A26" t="s">
        <v>35</v>
      </c>
      <c r="B26">
        <v>47.2</v>
      </c>
      <c r="C26">
        <v>55.1</v>
      </c>
      <c r="D26">
        <v>61.5</v>
      </c>
    </row>
    <row r="27" spans="1:4" x14ac:dyDescent="0.35">
      <c r="A27" t="s">
        <v>36</v>
      </c>
      <c r="B27">
        <v>56.5</v>
      </c>
      <c r="C27">
        <v>55.9</v>
      </c>
      <c r="D27">
        <v>69.099999999999994</v>
      </c>
    </row>
    <row r="28" spans="1:4" x14ac:dyDescent="0.35">
      <c r="A28" t="s">
        <v>37</v>
      </c>
      <c r="B28">
        <v>-1.3386978785662029E-2</v>
      </c>
      <c r="C28">
        <v>-7.2416429216763311E-3</v>
      </c>
      <c r="D28">
        <v>9.383063570254684E-4</v>
      </c>
    </row>
    <row r="29" spans="1:4" x14ac:dyDescent="0.35">
      <c r="A29" t="s">
        <v>38</v>
      </c>
      <c r="B29">
        <v>-8.4597231614247908E-3</v>
      </c>
      <c r="C29">
        <v>-7.6890500516131723E-3</v>
      </c>
      <c r="D29">
        <v>-1.7002798922286511E-4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="190" zoomScaleNormal="190" workbookViewId="0">
      <selection activeCell="W14" sqref="W14"/>
    </sheetView>
  </sheetViews>
  <sheetFormatPr defaultColWidth="10.81640625" defaultRowHeight="14.5" x14ac:dyDescent="0.35"/>
  <cols>
    <col min="1" max="1" width="23.1796875" customWidth="1"/>
    <col min="2" max="30" width="10.81640625" customWidth="1"/>
  </cols>
  <sheetData>
    <row r="1" spans="1:19" x14ac:dyDescent="0.3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35">
      <c r="A2" s="58">
        <v>44713</v>
      </c>
      <c r="B2">
        <v>15</v>
      </c>
      <c r="C2">
        <v>1</v>
      </c>
      <c r="D2">
        <v>12</v>
      </c>
      <c r="E2">
        <v>10</v>
      </c>
      <c r="F2">
        <v>5</v>
      </c>
      <c r="G2">
        <v>2</v>
      </c>
      <c r="H2">
        <v>-1</v>
      </c>
      <c r="I2">
        <v>11</v>
      </c>
      <c r="J2">
        <v>4</v>
      </c>
      <c r="K2">
        <v>8</v>
      </c>
      <c r="L2">
        <v>-3</v>
      </c>
      <c r="M2">
        <v>3</v>
      </c>
      <c r="N2">
        <v>7</v>
      </c>
      <c r="O2">
        <v>9</v>
      </c>
      <c r="P2">
        <v>13</v>
      </c>
      <c r="Q2">
        <v>14</v>
      </c>
      <c r="R2">
        <v>6</v>
      </c>
      <c r="S2">
        <v>-2</v>
      </c>
    </row>
    <row r="3" spans="1:19" x14ac:dyDescent="0.35">
      <c r="A3" s="58">
        <v>44743</v>
      </c>
      <c r="B3">
        <v>11</v>
      </c>
      <c r="C3">
        <v>-1</v>
      </c>
      <c r="D3">
        <v>7</v>
      </c>
      <c r="E3">
        <v>1</v>
      </c>
      <c r="F3">
        <v>-3</v>
      </c>
      <c r="G3">
        <v>-2</v>
      </c>
      <c r="H3">
        <v>-6</v>
      </c>
      <c r="I3">
        <v>5</v>
      </c>
      <c r="J3">
        <v>-4</v>
      </c>
      <c r="K3">
        <v>10</v>
      </c>
      <c r="L3">
        <v>-5</v>
      </c>
      <c r="M3">
        <v>9</v>
      </c>
      <c r="N3">
        <v>2</v>
      </c>
      <c r="O3">
        <v>3</v>
      </c>
      <c r="P3">
        <v>8</v>
      </c>
      <c r="Q3">
        <v>4</v>
      </c>
      <c r="R3">
        <v>6</v>
      </c>
      <c r="S3">
        <v>-7</v>
      </c>
    </row>
    <row r="4" spans="1:19" x14ac:dyDescent="0.35">
      <c r="A4" s="58">
        <v>44774</v>
      </c>
      <c r="B4">
        <v>-6</v>
      </c>
      <c r="C4">
        <v>-3</v>
      </c>
      <c r="D4">
        <v>7</v>
      </c>
      <c r="E4">
        <v>-1</v>
      </c>
      <c r="F4">
        <v>-2</v>
      </c>
      <c r="G4">
        <v>1</v>
      </c>
      <c r="H4">
        <v>-5</v>
      </c>
      <c r="I4">
        <v>3</v>
      </c>
      <c r="J4">
        <v>2</v>
      </c>
      <c r="K4">
        <v>10</v>
      </c>
      <c r="L4">
        <v>-4</v>
      </c>
      <c r="M4">
        <v>9</v>
      </c>
      <c r="N4">
        <v>5</v>
      </c>
      <c r="O4">
        <v>4</v>
      </c>
      <c r="P4">
        <v>6</v>
      </c>
      <c r="Q4">
        <v>0</v>
      </c>
      <c r="R4">
        <v>8</v>
      </c>
      <c r="S4">
        <v>-7</v>
      </c>
    </row>
    <row r="5" spans="1:19" x14ac:dyDescent="0.35">
      <c r="A5" s="58">
        <v>44805</v>
      </c>
      <c r="B5">
        <v>5</v>
      </c>
      <c r="C5">
        <v>-2</v>
      </c>
      <c r="D5">
        <v>2</v>
      </c>
      <c r="E5">
        <v>1</v>
      </c>
      <c r="F5">
        <v>-1</v>
      </c>
      <c r="G5">
        <v>3</v>
      </c>
      <c r="H5">
        <v>-7</v>
      </c>
      <c r="I5">
        <v>8</v>
      </c>
      <c r="J5">
        <v>6</v>
      </c>
      <c r="K5">
        <v>9</v>
      </c>
      <c r="L5">
        <v>-3</v>
      </c>
      <c r="M5">
        <v>0</v>
      </c>
      <c r="N5">
        <v>7</v>
      </c>
      <c r="O5">
        <v>0</v>
      </c>
      <c r="P5">
        <v>-4</v>
      </c>
      <c r="Q5">
        <v>-6</v>
      </c>
      <c r="R5">
        <v>4</v>
      </c>
      <c r="S5">
        <v>-5</v>
      </c>
    </row>
    <row r="6" spans="1:19" x14ac:dyDescent="0.35">
      <c r="A6" s="58">
        <v>44835</v>
      </c>
      <c r="B6">
        <v>8</v>
      </c>
      <c r="C6">
        <v>-4</v>
      </c>
      <c r="D6">
        <v>-2</v>
      </c>
      <c r="E6">
        <v>1</v>
      </c>
      <c r="F6">
        <v>-5</v>
      </c>
      <c r="G6">
        <v>-1</v>
      </c>
      <c r="H6">
        <v>-10</v>
      </c>
      <c r="I6">
        <v>6</v>
      </c>
      <c r="J6">
        <v>3</v>
      </c>
      <c r="K6">
        <v>7</v>
      </c>
      <c r="L6">
        <v>-8</v>
      </c>
      <c r="M6">
        <v>5</v>
      </c>
      <c r="N6">
        <v>2</v>
      </c>
      <c r="O6">
        <v>-3</v>
      </c>
      <c r="P6">
        <v>-6</v>
      </c>
      <c r="Q6">
        <v>-7</v>
      </c>
      <c r="R6">
        <v>4</v>
      </c>
      <c r="S6">
        <v>-9</v>
      </c>
    </row>
    <row r="7" spans="1:19" x14ac:dyDescent="0.35">
      <c r="A7" s="58">
        <v>44866</v>
      </c>
      <c r="B7">
        <v>6</v>
      </c>
      <c r="C7">
        <v>-6</v>
      </c>
      <c r="D7">
        <v>-4</v>
      </c>
      <c r="E7">
        <v>-1</v>
      </c>
      <c r="F7">
        <v>-8</v>
      </c>
      <c r="G7">
        <v>-3</v>
      </c>
      <c r="H7">
        <v>-7</v>
      </c>
      <c r="I7">
        <v>-2</v>
      </c>
      <c r="J7">
        <v>3</v>
      </c>
      <c r="K7">
        <v>5</v>
      </c>
      <c r="L7">
        <v>-10</v>
      </c>
      <c r="M7">
        <v>2</v>
      </c>
      <c r="N7">
        <v>-5</v>
      </c>
      <c r="O7">
        <v>4</v>
      </c>
      <c r="P7">
        <v>-12</v>
      </c>
      <c r="Q7">
        <v>-9</v>
      </c>
      <c r="R7">
        <v>1</v>
      </c>
      <c r="S7">
        <v>-11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190" zoomScaleNormal="190" workbookViewId="0">
      <selection activeCell="P35" sqref="P35"/>
    </sheetView>
  </sheetViews>
  <sheetFormatPr defaultColWidth="10.81640625" defaultRowHeight="14.5" x14ac:dyDescent="0.35"/>
  <cols>
    <col min="1" max="1" width="23.1796875" customWidth="1"/>
    <col min="2" max="21" width="10.81640625" customWidth="1"/>
  </cols>
  <sheetData>
    <row r="1" spans="1:19" x14ac:dyDescent="0.35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35">
      <c r="A2" s="58">
        <v>44713</v>
      </c>
      <c r="B2">
        <v>18</v>
      </c>
      <c r="C2">
        <v>2</v>
      </c>
      <c r="D2">
        <v>4</v>
      </c>
      <c r="E2">
        <v>13</v>
      </c>
      <c r="F2">
        <v>7</v>
      </c>
      <c r="G2">
        <v>8</v>
      </c>
      <c r="H2">
        <v>16</v>
      </c>
      <c r="I2">
        <v>17</v>
      </c>
      <c r="J2">
        <v>6</v>
      </c>
      <c r="K2">
        <v>11</v>
      </c>
      <c r="L2">
        <v>15</v>
      </c>
      <c r="M2">
        <v>9</v>
      </c>
      <c r="N2">
        <v>1</v>
      </c>
      <c r="O2">
        <v>10</v>
      </c>
      <c r="P2">
        <v>12</v>
      </c>
      <c r="Q2">
        <v>3</v>
      </c>
      <c r="R2">
        <v>14</v>
      </c>
      <c r="S2">
        <v>5</v>
      </c>
    </row>
    <row r="3" spans="1:19" x14ac:dyDescent="0.35">
      <c r="A3" s="58">
        <v>44743</v>
      </c>
      <c r="B3">
        <v>0</v>
      </c>
      <c r="C3">
        <v>3</v>
      </c>
      <c r="D3">
        <v>4</v>
      </c>
      <c r="E3">
        <v>13</v>
      </c>
      <c r="F3">
        <v>10</v>
      </c>
      <c r="G3">
        <v>7</v>
      </c>
      <c r="H3">
        <v>6</v>
      </c>
      <c r="I3">
        <v>16</v>
      </c>
      <c r="J3">
        <v>5</v>
      </c>
      <c r="K3">
        <v>1</v>
      </c>
      <c r="L3">
        <v>15</v>
      </c>
      <c r="M3">
        <v>8</v>
      </c>
      <c r="N3">
        <v>12</v>
      </c>
      <c r="O3">
        <v>14</v>
      </c>
      <c r="P3">
        <v>11</v>
      </c>
      <c r="Q3">
        <v>9</v>
      </c>
      <c r="R3">
        <v>0</v>
      </c>
      <c r="S3">
        <v>2</v>
      </c>
    </row>
    <row r="4" spans="1:19" x14ac:dyDescent="0.35">
      <c r="A4" s="58">
        <v>44774</v>
      </c>
      <c r="B4">
        <v>15</v>
      </c>
      <c r="C4">
        <v>14</v>
      </c>
      <c r="D4">
        <v>13</v>
      </c>
      <c r="E4">
        <v>-1</v>
      </c>
      <c r="F4">
        <v>7</v>
      </c>
      <c r="G4">
        <v>16</v>
      </c>
      <c r="H4">
        <v>12</v>
      </c>
      <c r="I4">
        <v>17</v>
      </c>
      <c r="J4">
        <v>4</v>
      </c>
      <c r="K4">
        <v>2</v>
      </c>
      <c r="L4">
        <v>11</v>
      </c>
      <c r="M4">
        <v>1</v>
      </c>
      <c r="N4">
        <v>9</v>
      </c>
      <c r="O4">
        <v>5</v>
      </c>
      <c r="P4">
        <v>8</v>
      </c>
      <c r="Q4">
        <v>6</v>
      </c>
      <c r="R4">
        <v>3</v>
      </c>
      <c r="S4">
        <v>10</v>
      </c>
    </row>
    <row r="5" spans="1:19" x14ac:dyDescent="0.35">
      <c r="A5" s="58">
        <v>44805</v>
      </c>
      <c r="B5">
        <v>18</v>
      </c>
      <c r="C5">
        <v>7</v>
      </c>
      <c r="D5">
        <v>16</v>
      </c>
      <c r="E5">
        <v>3</v>
      </c>
      <c r="F5">
        <v>11</v>
      </c>
      <c r="G5">
        <v>12</v>
      </c>
      <c r="H5">
        <v>1</v>
      </c>
      <c r="I5">
        <v>6</v>
      </c>
      <c r="J5">
        <v>8</v>
      </c>
      <c r="K5">
        <v>2</v>
      </c>
      <c r="L5">
        <v>17</v>
      </c>
      <c r="M5">
        <v>5</v>
      </c>
      <c r="N5">
        <v>15</v>
      </c>
      <c r="O5">
        <v>10</v>
      </c>
      <c r="P5">
        <v>4</v>
      </c>
      <c r="Q5">
        <v>14</v>
      </c>
      <c r="R5">
        <v>9</v>
      </c>
      <c r="S5">
        <v>13</v>
      </c>
    </row>
    <row r="6" spans="1:19" x14ac:dyDescent="0.35">
      <c r="A6" s="58">
        <v>44835</v>
      </c>
      <c r="B6">
        <v>5</v>
      </c>
      <c r="C6">
        <v>4</v>
      </c>
      <c r="D6">
        <v>14</v>
      </c>
      <c r="E6">
        <v>2</v>
      </c>
      <c r="F6">
        <v>15</v>
      </c>
      <c r="G6">
        <v>17</v>
      </c>
      <c r="H6">
        <v>10</v>
      </c>
      <c r="I6">
        <v>13</v>
      </c>
      <c r="J6">
        <v>11</v>
      </c>
      <c r="K6">
        <v>-1</v>
      </c>
      <c r="L6">
        <v>7</v>
      </c>
      <c r="M6">
        <v>8</v>
      </c>
      <c r="N6">
        <v>3</v>
      </c>
      <c r="O6">
        <v>16</v>
      </c>
      <c r="P6">
        <v>9</v>
      </c>
      <c r="Q6">
        <v>6</v>
      </c>
      <c r="R6">
        <v>1</v>
      </c>
      <c r="S6">
        <v>12</v>
      </c>
    </row>
    <row r="7" spans="1:19" x14ac:dyDescent="0.35">
      <c r="A7" s="58">
        <v>44866</v>
      </c>
      <c r="B7">
        <v>5</v>
      </c>
      <c r="C7">
        <v>7</v>
      </c>
      <c r="D7">
        <v>14</v>
      </c>
      <c r="E7">
        <v>16</v>
      </c>
      <c r="F7">
        <v>1</v>
      </c>
      <c r="G7">
        <v>15</v>
      </c>
      <c r="H7">
        <v>2</v>
      </c>
      <c r="I7">
        <v>4</v>
      </c>
      <c r="J7">
        <v>-1</v>
      </c>
      <c r="K7">
        <v>-2</v>
      </c>
      <c r="L7">
        <v>12</v>
      </c>
      <c r="M7">
        <v>6</v>
      </c>
      <c r="N7">
        <v>8</v>
      </c>
      <c r="O7">
        <v>9</v>
      </c>
      <c r="P7">
        <v>11</v>
      </c>
      <c r="Q7">
        <v>13</v>
      </c>
      <c r="R7">
        <v>3</v>
      </c>
      <c r="S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47"/>
  <sheetViews>
    <sheetView zoomScale="170" zoomScaleNormal="170" workbookViewId="0">
      <pane ySplit="1" topLeftCell="A134" activePane="bottomLeft" state="frozen"/>
      <selection activeCell="F16" sqref="F16"/>
      <selection pane="bottomLeft" activeCell="F16" sqref="F16"/>
    </sheetView>
  </sheetViews>
  <sheetFormatPr defaultColWidth="10.90625" defaultRowHeight="14.5" x14ac:dyDescent="0.35"/>
  <sheetData>
    <row r="1" spans="1:27" x14ac:dyDescent="0.35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35">
      <c r="A2" s="58">
        <v>40452</v>
      </c>
      <c r="B2">
        <v>53.7</v>
      </c>
      <c r="C2">
        <v>56.9</v>
      </c>
    </row>
    <row r="3" spans="1:27" x14ac:dyDescent="0.35">
      <c r="A3" s="58">
        <v>40483</v>
      </c>
      <c r="B3">
        <v>54</v>
      </c>
      <c r="C3">
        <v>57.3</v>
      </c>
    </row>
    <row r="4" spans="1:27" x14ac:dyDescent="0.35">
      <c r="A4" s="58">
        <v>40513</v>
      </c>
      <c r="B4">
        <v>54.9</v>
      </c>
      <c r="C4">
        <v>56.6</v>
      </c>
    </row>
    <row r="5" spans="1:27" x14ac:dyDescent="0.35">
      <c r="A5" s="58">
        <v>40544</v>
      </c>
      <c r="B5">
        <v>57.2</v>
      </c>
      <c r="C5">
        <v>59.1</v>
      </c>
    </row>
    <row r="6" spans="1:27" x14ac:dyDescent="0.35">
      <c r="A6" s="58">
        <v>40575</v>
      </c>
      <c r="B6">
        <v>58.2</v>
      </c>
      <c r="C6">
        <v>59.2</v>
      </c>
    </row>
    <row r="7" spans="1:27" x14ac:dyDescent="0.35">
      <c r="A7" s="58">
        <v>40603</v>
      </c>
      <c r="B7">
        <v>56</v>
      </c>
      <c r="C7">
        <v>58.4</v>
      </c>
    </row>
    <row r="8" spans="1:27" x14ac:dyDescent="0.35">
      <c r="A8" s="58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35">
      <c r="A9" s="58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35">
      <c r="A10" s="58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35">
      <c r="A11" s="58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35">
      <c r="A12" s="58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35">
      <c r="A13" s="58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35">
      <c r="A14" s="58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35">
      <c r="A15" s="58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35">
      <c r="A16" s="58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35">
      <c r="A17" s="58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35">
      <c r="A18" s="58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35">
      <c r="A19" s="58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35">
      <c r="A20" s="58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35">
      <c r="A21" s="58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35">
      <c r="A22" s="58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35">
      <c r="A23" s="58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35">
      <c r="A24" s="58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35">
      <c r="A25" s="58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35">
      <c r="A26" s="58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35">
      <c r="A27" s="58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35">
      <c r="A28" s="58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35">
      <c r="A29" s="58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35">
      <c r="A30" s="58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35">
      <c r="A31" s="58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35">
      <c r="A32" s="58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35">
      <c r="A33" s="58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35">
      <c r="A34" s="58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35">
      <c r="A35" s="58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35">
      <c r="A36" s="58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35">
      <c r="A37" s="58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35">
      <c r="A38" s="58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35">
      <c r="A39" s="58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35">
      <c r="A40" s="58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35">
      <c r="A41" s="58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35">
      <c r="A42" s="58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35">
      <c r="A43" s="58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35">
      <c r="A44" s="58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35">
      <c r="A45" s="58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35">
      <c r="A46" s="58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35">
      <c r="A47" s="58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35">
      <c r="A48" s="58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35">
      <c r="A49" s="58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35">
      <c r="A50" s="58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35">
      <c r="A51" s="58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35">
      <c r="A52" s="58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35">
      <c r="A53" s="58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35">
      <c r="A54" s="58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35">
      <c r="A55" s="58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35">
      <c r="A56" s="58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35">
      <c r="A57" s="58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35">
      <c r="A58" s="58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35">
      <c r="A59" s="58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35">
      <c r="A60" s="58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35">
      <c r="A61" s="58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35">
      <c r="A62" s="58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35">
      <c r="A63" s="58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35">
      <c r="A64" s="58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35">
      <c r="A65" s="58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35">
      <c r="A66" s="58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35">
      <c r="A67" s="58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35">
      <c r="A68" s="58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35">
      <c r="A69" s="58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35">
      <c r="A70" s="58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35">
      <c r="A71" s="58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35">
      <c r="A72" s="58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35">
      <c r="A73" s="58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35">
      <c r="A74" s="58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35">
      <c r="A75" s="58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35">
      <c r="A76" s="58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35">
      <c r="A77" s="58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35">
      <c r="A78" s="58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35">
      <c r="A79" s="58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35">
      <c r="A80" s="58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35">
      <c r="A81" s="58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35">
      <c r="A82" s="58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35">
      <c r="A83" s="58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35">
      <c r="A84" s="58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35">
      <c r="A85" s="58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35">
      <c r="A86" s="58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35">
      <c r="A87" s="58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35">
      <c r="A88" s="58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35">
      <c r="A89" s="58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35">
      <c r="A90" s="58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35">
      <c r="A91" s="58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35">
      <c r="A92" s="58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35">
      <c r="A93" s="58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35">
      <c r="A94" s="58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35">
      <c r="A95" s="58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35">
      <c r="A96" s="58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35">
      <c r="A97" s="58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35">
      <c r="A98" s="58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35">
      <c r="A99" s="58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35">
      <c r="A100" s="58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35">
      <c r="A101" s="58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35">
      <c r="A102" s="58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35">
      <c r="A103" s="58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35">
      <c r="A104" s="58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35">
      <c r="A105" s="58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35">
      <c r="A106" s="58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35">
      <c r="A107" s="58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35">
      <c r="A108" s="58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35">
      <c r="A109" s="58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35">
      <c r="A110" s="58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35">
      <c r="A111" s="58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35">
      <c r="A112" s="58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35">
      <c r="A113" s="58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35">
      <c r="A114" s="58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35">
      <c r="A115" s="58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35">
      <c r="A116" s="58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35">
      <c r="A117" s="58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35">
      <c r="A118" s="58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35">
      <c r="A119" s="58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35">
      <c r="A120" s="58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35">
      <c r="A121" s="58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35">
      <c r="A122" s="58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35">
      <c r="A123" s="58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35">
      <c r="A124" s="58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35">
      <c r="A125" s="58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35">
      <c r="A126" s="58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35">
      <c r="A127" s="58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35">
      <c r="A128" s="58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35">
      <c r="A129" s="58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35">
      <c r="A130" s="58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35">
      <c r="A131" s="58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35">
      <c r="A132" s="58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35">
      <c r="A133" s="58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35">
      <c r="A134" s="58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35">
      <c r="A135" s="58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35">
      <c r="A136" s="58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35">
      <c r="A137" s="58">
        <v>44562</v>
      </c>
      <c r="B137">
        <v>53.2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  <row r="138" spans="1:27" x14ac:dyDescent="0.35">
      <c r="A138" s="58">
        <v>44593</v>
      </c>
      <c r="B138">
        <v>53.6</v>
      </c>
      <c r="C138">
        <v>58.6</v>
      </c>
      <c r="D138">
        <v>57.5</v>
      </c>
      <c r="E138">
        <v>50.4</v>
      </c>
      <c r="F138">
        <v>58.4</v>
      </c>
      <c r="G138">
        <v>52.9</v>
      </c>
      <c r="H138">
        <v>58.5</v>
      </c>
      <c r="I138">
        <v>57.6</v>
      </c>
      <c r="J138">
        <v>57.3</v>
      </c>
      <c r="K138">
        <v>58.3</v>
      </c>
      <c r="L138">
        <v>56.9</v>
      </c>
      <c r="M138">
        <v>49.6</v>
      </c>
      <c r="N138">
        <v>48</v>
      </c>
      <c r="O138">
        <v>48.6</v>
      </c>
      <c r="P138">
        <v>54.9</v>
      </c>
      <c r="Q138">
        <v>56.6</v>
      </c>
      <c r="R138">
        <v>53.2</v>
      </c>
      <c r="S138">
        <v>51.2</v>
      </c>
      <c r="T138">
        <v>53.8</v>
      </c>
      <c r="U138">
        <v>54.3</v>
      </c>
      <c r="V138">
        <v>57.8</v>
      </c>
      <c r="W138">
        <v>57.8</v>
      </c>
      <c r="X138">
        <v>50.4</v>
      </c>
      <c r="Y138">
        <v>56.5</v>
      </c>
      <c r="Z138">
        <v>54.7</v>
      </c>
      <c r="AA138">
        <v>50.66</v>
      </c>
    </row>
    <row r="139" spans="1:27" x14ac:dyDescent="0.35">
      <c r="A139" s="58">
        <v>44621</v>
      </c>
      <c r="B139">
        <v>52.9</v>
      </c>
      <c r="C139">
        <v>57.1</v>
      </c>
      <c r="D139">
        <v>58.5</v>
      </c>
      <c r="E139">
        <v>48.1</v>
      </c>
      <c r="F139">
        <v>57</v>
      </c>
      <c r="G139">
        <v>53.2</v>
      </c>
      <c r="H139">
        <v>57.6</v>
      </c>
      <c r="I139">
        <v>54.8</v>
      </c>
      <c r="J139">
        <v>55.5</v>
      </c>
      <c r="K139">
        <v>55.8</v>
      </c>
      <c r="L139">
        <v>54.2</v>
      </c>
      <c r="M139">
        <v>52.3</v>
      </c>
      <c r="N139">
        <v>49.2</v>
      </c>
      <c r="O139">
        <v>44.1</v>
      </c>
      <c r="P139">
        <v>54</v>
      </c>
      <c r="Q139">
        <v>58.9</v>
      </c>
      <c r="R139">
        <v>55.7</v>
      </c>
      <c r="S139">
        <v>51.3</v>
      </c>
      <c r="T139">
        <v>51.2</v>
      </c>
      <c r="U139">
        <v>54.1</v>
      </c>
      <c r="V139">
        <v>54.6</v>
      </c>
      <c r="W139">
        <v>59.4</v>
      </c>
      <c r="X139">
        <v>49.4</v>
      </c>
      <c r="Y139">
        <v>54.7</v>
      </c>
      <c r="Z139">
        <v>52.7</v>
      </c>
      <c r="AA139">
        <v>62.1</v>
      </c>
    </row>
    <row r="140" spans="1:27" x14ac:dyDescent="0.35">
      <c r="A140" s="58">
        <v>44652</v>
      </c>
      <c r="B140">
        <v>52.2</v>
      </c>
      <c r="C140">
        <v>55.4</v>
      </c>
      <c r="D140">
        <v>59.2</v>
      </c>
      <c r="E140">
        <v>46</v>
      </c>
      <c r="F140">
        <v>55.5</v>
      </c>
      <c r="G140">
        <v>53.5</v>
      </c>
      <c r="H140">
        <v>54.6</v>
      </c>
      <c r="I140">
        <v>55.7</v>
      </c>
      <c r="J140">
        <v>55.3</v>
      </c>
      <c r="K140">
        <v>54.5</v>
      </c>
      <c r="L140">
        <v>53.3</v>
      </c>
      <c r="M140">
        <v>51.8</v>
      </c>
      <c r="N140">
        <v>49.3</v>
      </c>
      <c r="O140">
        <v>48.2</v>
      </c>
      <c r="P140">
        <v>54.7</v>
      </c>
      <c r="Q140">
        <v>56.2</v>
      </c>
      <c r="R140">
        <v>58.5</v>
      </c>
      <c r="S140">
        <v>51.9</v>
      </c>
      <c r="T140">
        <v>52.1</v>
      </c>
      <c r="U140">
        <v>51.7</v>
      </c>
      <c r="V140">
        <v>54.8</v>
      </c>
      <c r="W140">
        <v>59.1</v>
      </c>
      <c r="X140">
        <v>49.2</v>
      </c>
      <c r="Y140">
        <v>54.4</v>
      </c>
      <c r="Z140">
        <v>52.4</v>
      </c>
      <c r="AA140">
        <v>63</v>
      </c>
    </row>
    <row r="141" spans="1:27" x14ac:dyDescent="0.35">
      <c r="A141" s="58">
        <v>44682</v>
      </c>
      <c r="B141">
        <v>52.3</v>
      </c>
      <c r="C141">
        <v>56.1</v>
      </c>
      <c r="D141">
        <v>57.5</v>
      </c>
      <c r="E141">
        <v>48.1</v>
      </c>
      <c r="F141">
        <v>54.4</v>
      </c>
      <c r="G141">
        <v>53.2</v>
      </c>
      <c r="H141">
        <v>54.7</v>
      </c>
      <c r="I141">
        <v>54.5</v>
      </c>
      <c r="J141">
        <v>54.6</v>
      </c>
      <c r="K141">
        <v>51.9</v>
      </c>
      <c r="L141">
        <v>53.8</v>
      </c>
      <c r="M141">
        <v>54.2</v>
      </c>
      <c r="N141">
        <v>50.6</v>
      </c>
      <c r="O141">
        <v>50.8</v>
      </c>
      <c r="P141">
        <v>54.6</v>
      </c>
      <c r="Q141">
        <v>56.8</v>
      </c>
      <c r="R141">
        <v>52.4</v>
      </c>
      <c r="S141">
        <v>50.8</v>
      </c>
      <c r="T141">
        <v>51.8</v>
      </c>
      <c r="U141">
        <v>50</v>
      </c>
      <c r="V141">
        <v>53.8</v>
      </c>
      <c r="W141">
        <v>56.4</v>
      </c>
      <c r="X141">
        <v>49.2</v>
      </c>
      <c r="Y141">
        <v>52.3</v>
      </c>
      <c r="Z141">
        <v>48.5</v>
      </c>
      <c r="AA141">
        <v>60.7</v>
      </c>
    </row>
    <row r="142" spans="1:27" x14ac:dyDescent="0.35">
      <c r="A142" s="58">
        <v>44713</v>
      </c>
      <c r="B142">
        <v>52.2</v>
      </c>
      <c r="C142">
        <v>53</v>
      </c>
      <c r="D142">
        <v>52.4</v>
      </c>
      <c r="E142">
        <v>51.7</v>
      </c>
      <c r="F142">
        <v>52</v>
      </c>
      <c r="G142">
        <v>52.7</v>
      </c>
      <c r="H142">
        <v>52</v>
      </c>
      <c r="I142">
        <v>51</v>
      </c>
      <c r="J142">
        <v>53.4</v>
      </c>
      <c r="K142">
        <v>50.9</v>
      </c>
      <c r="L142">
        <v>52.6</v>
      </c>
      <c r="M142">
        <v>54.1</v>
      </c>
      <c r="N142">
        <v>52.2</v>
      </c>
      <c r="O142">
        <v>50.9</v>
      </c>
      <c r="P142">
        <v>53.9</v>
      </c>
      <c r="Q142">
        <v>54.6</v>
      </c>
      <c r="R142">
        <v>54</v>
      </c>
      <c r="S142">
        <v>50.2</v>
      </c>
      <c r="T142">
        <v>51.3</v>
      </c>
      <c r="U142">
        <v>49.8</v>
      </c>
      <c r="V142">
        <v>51.1</v>
      </c>
      <c r="W142">
        <v>53.1</v>
      </c>
      <c r="X142">
        <v>48.1</v>
      </c>
      <c r="Y142">
        <v>49</v>
      </c>
      <c r="Z142">
        <v>44.4</v>
      </c>
      <c r="AA142">
        <v>71.3</v>
      </c>
    </row>
    <row r="143" spans="1:27" x14ac:dyDescent="0.35">
      <c r="A143" s="58">
        <v>44743</v>
      </c>
      <c r="C143">
        <v>52.8</v>
      </c>
      <c r="D143">
        <v>52.2</v>
      </c>
      <c r="E143">
        <v>50.4</v>
      </c>
      <c r="F143">
        <v>49.8</v>
      </c>
      <c r="G143">
        <v>52.1</v>
      </c>
      <c r="H143">
        <v>49.3</v>
      </c>
      <c r="I143">
        <v>49.5</v>
      </c>
      <c r="J143">
        <v>52.1</v>
      </c>
      <c r="K143">
        <v>48.5</v>
      </c>
      <c r="L143">
        <v>48.7</v>
      </c>
      <c r="M143">
        <v>54</v>
      </c>
      <c r="N143">
        <v>48.5</v>
      </c>
      <c r="O143">
        <v>50.3</v>
      </c>
      <c r="P143">
        <v>56.4</v>
      </c>
      <c r="Q143">
        <v>52.5</v>
      </c>
      <c r="R143">
        <v>52.5</v>
      </c>
      <c r="S143">
        <v>51.3</v>
      </c>
      <c r="T143">
        <v>49.8</v>
      </c>
      <c r="U143">
        <v>44.6</v>
      </c>
      <c r="V143">
        <v>49.1</v>
      </c>
      <c r="W143">
        <v>51.8</v>
      </c>
      <c r="X143">
        <v>46.9</v>
      </c>
      <c r="Y143">
        <v>46.8</v>
      </c>
      <c r="Z143">
        <v>42.1</v>
      </c>
      <c r="AA143">
        <v>38</v>
      </c>
    </row>
    <row r="144" spans="1:27" x14ac:dyDescent="0.35">
      <c r="A144" s="58">
        <v>44774</v>
      </c>
      <c r="C144">
        <v>52.8</v>
      </c>
      <c r="D144">
        <v>51.5</v>
      </c>
      <c r="E144">
        <v>49.5</v>
      </c>
      <c r="F144">
        <v>49.6</v>
      </c>
      <c r="G144">
        <v>51.5</v>
      </c>
      <c r="H144">
        <v>49.1</v>
      </c>
      <c r="I144">
        <v>50.6</v>
      </c>
      <c r="J144">
        <v>47.3</v>
      </c>
      <c r="K144">
        <v>48</v>
      </c>
      <c r="L144">
        <v>49.9</v>
      </c>
      <c r="M144">
        <v>51.9</v>
      </c>
      <c r="N144">
        <v>48.5</v>
      </c>
      <c r="O144">
        <v>51.7</v>
      </c>
      <c r="P144">
        <v>56.2</v>
      </c>
      <c r="Q144">
        <v>48.7</v>
      </c>
      <c r="R144">
        <v>49.3</v>
      </c>
      <c r="S144">
        <v>51.7</v>
      </c>
      <c r="T144">
        <v>47.6</v>
      </c>
      <c r="U144">
        <v>42.7</v>
      </c>
      <c r="V144">
        <v>48.8</v>
      </c>
      <c r="W144">
        <v>51.1</v>
      </c>
      <c r="X144">
        <v>47.4</v>
      </c>
      <c r="Y144">
        <v>46.8</v>
      </c>
      <c r="Z144">
        <v>40.9</v>
      </c>
      <c r="AA144">
        <v>48</v>
      </c>
    </row>
    <row r="145" spans="1:27" x14ac:dyDescent="0.35">
      <c r="A145" s="58">
        <v>44805</v>
      </c>
      <c r="C145">
        <v>50.9</v>
      </c>
      <c r="D145">
        <v>52</v>
      </c>
      <c r="E145">
        <v>48.1</v>
      </c>
      <c r="F145">
        <v>48.4</v>
      </c>
      <c r="G145">
        <v>50.8</v>
      </c>
      <c r="H145">
        <v>47.8</v>
      </c>
      <c r="I145">
        <v>47.7</v>
      </c>
      <c r="J145">
        <v>48.4</v>
      </c>
      <c r="K145">
        <v>48.3</v>
      </c>
      <c r="L145">
        <v>49</v>
      </c>
      <c r="M145">
        <v>51.1</v>
      </c>
      <c r="N145">
        <v>50.3</v>
      </c>
      <c r="O145">
        <v>52</v>
      </c>
      <c r="P145">
        <v>55.1</v>
      </c>
      <c r="Q145">
        <v>49.8</v>
      </c>
      <c r="R145">
        <v>50.2</v>
      </c>
      <c r="S145">
        <v>53.7</v>
      </c>
      <c r="T145">
        <v>47.3</v>
      </c>
      <c r="U145">
        <v>42.2</v>
      </c>
      <c r="V145">
        <v>49.7</v>
      </c>
      <c r="W145">
        <v>51.5</v>
      </c>
      <c r="X145">
        <v>46.9</v>
      </c>
      <c r="Y145">
        <v>44.7</v>
      </c>
      <c r="Z145">
        <v>43</v>
      </c>
      <c r="AA145">
        <v>49.8</v>
      </c>
    </row>
    <row r="146" spans="1:27" x14ac:dyDescent="0.35">
      <c r="A146" s="58">
        <v>44835</v>
      </c>
      <c r="C146">
        <v>50.2</v>
      </c>
      <c r="D146">
        <v>50.4</v>
      </c>
      <c r="E146">
        <v>49.2</v>
      </c>
      <c r="F146">
        <v>46.4</v>
      </c>
      <c r="G146">
        <v>50.7</v>
      </c>
      <c r="H146">
        <v>45.1</v>
      </c>
      <c r="I146">
        <v>47.2</v>
      </c>
      <c r="J146">
        <v>46.2</v>
      </c>
      <c r="K146">
        <v>46.5</v>
      </c>
      <c r="L146">
        <v>44.7</v>
      </c>
      <c r="M146">
        <v>50.8</v>
      </c>
      <c r="N146">
        <v>50.3</v>
      </c>
      <c r="O146">
        <v>50.7</v>
      </c>
      <c r="P146">
        <v>55.3</v>
      </c>
      <c r="Q146">
        <v>48.8</v>
      </c>
      <c r="R146">
        <v>49.6</v>
      </c>
      <c r="S146">
        <v>51.8</v>
      </c>
      <c r="T146">
        <v>48.2</v>
      </c>
      <c r="U146">
        <v>41.5</v>
      </c>
      <c r="V146">
        <v>48.1</v>
      </c>
      <c r="W146">
        <v>51.4</v>
      </c>
      <c r="X146">
        <v>46.4</v>
      </c>
      <c r="Y146">
        <v>41.7</v>
      </c>
      <c r="Z146">
        <v>42</v>
      </c>
      <c r="AA146">
        <v>52.09</v>
      </c>
    </row>
    <row r="147" spans="1:27" x14ac:dyDescent="0.35">
      <c r="A147" s="58">
        <v>44866</v>
      </c>
      <c r="C147">
        <v>49</v>
      </c>
      <c r="D147">
        <v>47.7</v>
      </c>
      <c r="E147">
        <v>49.4</v>
      </c>
      <c r="F147">
        <v>47.1</v>
      </c>
      <c r="G147">
        <v>49</v>
      </c>
      <c r="H147">
        <v>46.2</v>
      </c>
      <c r="I147">
        <v>48.3</v>
      </c>
      <c r="J147">
        <v>46.5</v>
      </c>
      <c r="K147">
        <v>48.4</v>
      </c>
      <c r="L147">
        <v>45.7</v>
      </c>
      <c r="M147">
        <v>44.3</v>
      </c>
      <c r="N147">
        <v>50.6</v>
      </c>
      <c r="O147">
        <v>53.2</v>
      </c>
      <c r="P147">
        <v>55.7</v>
      </c>
      <c r="Q147">
        <v>49.6</v>
      </c>
      <c r="R147">
        <v>44.7</v>
      </c>
      <c r="S147">
        <v>50.3</v>
      </c>
      <c r="T147">
        <v>49</v>
      </c>
      <c r="U147">
        <v>41.6</v>
      </c>
      <c r="V147">
        <v>48.4</v>
      </c>
      <c r="W147">
        <v>48.7</v>
      </c>
      <c r="X147">
        <v>45.7</v>
      </c>
      <c r="Y147">
        <v>41.6</v>
      </c>
      <c r="Z147">
        <v>43.4</v>
      </c>
      <c r="AA147">
        <v>45.48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abSelected="1" topLeftCell="B1" zoomScale="140" zoomScaleNormal="140" workbookViewId="0">
      <selection activeCell="L19" sqref="L19"/>
    </sheetView>
  </sheetViews>
  <sheetFormatPr defaultColWidth="9.1796875" defaultRowHeight="14.5" x14ac:dyDescent="0.35"/>
  <cols>
    <col min="1" max="2" width="9.1796875" style="56" customWidth="1"/>
    <col min="3" max="3" width="24.36328125" style="56" customWidth="1"/>
    <col min="4" max="7" width="9.1796875" style="56" customWidth="1"/>
    <col min="8" max="8" width="21.36328125" style="56" customWidth="1"/>
    <col min="9" max="12" width="9.36328125" style="56" customWidth="1"/>
    <col min="13" max="13" width="23.36328125" style="56" customWidth="1"/>
    <col min="14" max="45" width="9.1796875" style="56" customWidth="1"/>
    <col min="46" max="16384" width="9.1796875" style="56"/>
  </cols>
  <sheetData>
    <row r="1" spans="3:16" ht="16" customHeight="1" thickBot="1" x14ac:dyDescent="0.4"/>
    <row r="2" spans="3:16" ht="16" customHeight="1" thickBot="1" x14ac:dyDescent="0.4">
      <c r="C2" s="66" t="s">
        <v>102</v>
      </c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8"/>
    </row>
    <row r="3" spans="3:16" ht="16" customHeight="1" thickBot="1" x14ac:dyDescent="0.4"/>
    <row r="4" spans="3:16" ht="16" customHeight="1" thickBot="1" x14ac:dyDescent="0.4">
      <c r="C4" s="66" t="s">
        <v>103</v>
      </c>
      <c r="D4" s="67"/>
      <c r="E4" s="67"/>
      <c r="F4" s="68"/>
      <c r="H4" s="66" t="s">
        <v>104</v>
      </c>
      <c r="I4" s="67"/>
      <c r="J4" s="67"/>
      <c r="K4" s="68"/>
      <c r="M4" s="66" t="s">
        <v>105</v>
      </c>
      <c r="N4" s="67"/>
      <c r="O4" s="67"/>
      <c r="P4" s="68"/>
    </row>
    <row r="5" spans="3:16" ht="16" customHeight="1" thickBot="1" x14ac:dyDescent="0.4"/>
    <row r="6" spans="3:16" x14ac:dyDescent="0.35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35">
      <c r="C7" s="6" t="s">
        <v>10</v>
      </c>
      <c r="D7" s="39">
        <f>VLOOKUP($C$7,'DB US Indicators'!$A:$D,MATCH(D$6,'DB US Indicators'!$A$1:$S$1,0),0)</f>
        <v>8.0115520919518922E-3</v>
      </c>
      <c r="E7" s="39">
        <f>VLOOKUP($C$7,'DB US Indicators'!$A:$D,MATCH(E$6,'DB US Indicators'!$A$1:$S$1,0),0)</f>
        <v>-4.1033818498393453E-3</v>
      </c>
      <c r="F7" s="40">
        <f>VLOOKUP($C$7,'DB US Indicators'!$A:$D,MATCH(F$6,'DB US Indicators'!$A$1:$S$1,0),0)</f>
        <v>6.5669449139205242E-3</v>
      </c>
      <c r="G7" s="43"/>
      <c r="H7" s="6" t="s">
        <v>106</v>
      </c>
      <c r="I7" s="46" t="str">
        <f>VLOOKUP($H$7,'DB US Indicators'!$A:$D,MATCH(I$6,'DB US Indicators'!$A$1:$S$1,0),0)</f>
        <v>4.25-4.50%</v>
      </c>
      <c r="J7" s="46"/>
      <c r="K7" s="8"/>
      <c r="L7" s="1"/>
      <c r="M7" s="6" t="s">
        <v>30</v>
      </c>
      <c r="N7" s="49">
        <f>IF(VLOOKUP($M$7,'DB US Indicators'!$A:$D,MATCH(N$6,'DB US Indicators'!$A$1:$S$1,0),0)="","",VLOOKUP($M$7,'DB US Indicators'!$A:$D,MATCH(N$6,'DB US Indicators'!$A$1:$S$1,0),0))</f>
        <v>59.7</v>
      </c>
      <c r="O7" s="49">
        <f>IF(VLOOKUP($M$7,'DB US Indicators'!$A:$D,MATCH(O$6,'DB US Indicators'!$A$1:$S$1,0),0)="","",VLOOKUP($M$7,'DB US Indicators'!$A:$D,MATCH(O$6,'DB US Indicators'!$A$1:$S$1,0),0))</f>
        <v>50</v>
      </c>
      <c r="P7" s="50">
        <f>IF(VLOOKUP($M$7,'DB US Indicators'!$A:$D,MATCH(P$6,'DB US Indicators'!$A$1:$S$1,0),0)="","",VLOOKUP($M$7,'DB US Indicators'!$A:$D,MATCH(P$6,'DB US Indicators'!$A$1:$S$1,0),0))</f>
        <v>70.599999999999994</v>
      </c>
    </row>
    <row r="8" spans="3:16" x14ac:dyDescent="0.35">
      <c r="C8" s="6" t="s">
        <v>11</v>
      </c>
      <c r="D8" s="41">
        <f>VLOOKUP($C$8,'DB US Indicators'!$A:$D,MATCH(D$6,'DB US Indicators'!$A$1:$S$1,0),0)</f>
        <v>1.9421383880539569E-2</v>
      </c>
      <c r="E8" s="41">
        <f>VLOOKUP($C$8,'DB US Indicators'!$A:$D,MATCH(E$6,'DB US Indicators'!$A$1:$S$1,0),0)</f>
        <v>3.683678957947209E-2</v>
      </c>
      <c r="F8" s="42">
        <f>VLOOKUP($C$8,'DB US Indicators'!$A:$D,MATCH(F$6,'DB US Indicators'!$A$1:$S$1,0),0)</f>
        <v>4.9556544805406812E-2</v>
      </c>
      <c r="G8" s="43"/>
      <c r="H8" s="6" t="s">
        <v>22</v>
      </c>
      <c r="I8" s="47">
        <f>VLOOKUP($H$8,'DB US Indicators'!$A:$D,MATCH(I$6,'DB US Indicators'!$A$1:$S$1,0),0)</f>
        <v>2.799999999999869E-3</v>
      </c>
      <c r="J8" s="47"/>
      <c r="K8" s="9"/>
      <c r="L8" s="2"/>
      <c r="M8" s="6" t="s">
        <v>31</v>
      </c>
      <c r="N8" s="49">
        <f>IF(VLOOKUP($M$8,'DB US Indicators'!$A:$D,MATCH(N$6,'DB US Indicators'!$A$1:$S$1,0),0)="","",VLOOKUP($M$8,'DB US Indicators'!$A:$D,MATCH(N$6,'DB US Indicators'!$A$1:$S$1,0),0))</f>
        <v>59.9</v>
      </c>
      <c r="O8" s="49">
        <f>IF(VLOOKUP($M$8,'DB US Indicators'!$A:$D,MATCH(O$6,'DB US Indicators'!$A$1:$S$1,0),0)="","",VLOOKUP($M$8,'DB US Indicators'!$A:$D,MATCH(O$6,'DB US Indicators'!$A$1:$S$1,0),0))</f>
        <v>47.5</v>
      </c>
      <c r="P8" s="50">
        <f>IF(VLOOKUP($M$8,'DB US Indicators'!$A:$D,MATCH(P$6,'DB US Indicators'!$A$1:$S$1,0),0)="","",VLOOKUP($M$8,'DB US Indicators'!$A:$D,MATCH(P$6,'DB US Indicators'!$A$1:$S$1,0),0))</f>
        <v>68.3</v>
      </c>
    </row>
    <row r="9" spans="3:16" x14ac:dyDescent="0.35">
      <c r="C9" s="6" t="s">
        <v>12</v>
      </c>
      <c r="D9" s="43">
        <f>VLOOKUP($C$9,'DB US Indicators'!$A:$D,MATCH(D$6,'DB US Indicators'!$A$1:$S$1,0),0)</f>
        <v>1.9868367888709439E-3</v>
      </c>
      <c r="E9" s="43">
        <f>VLOOKUP($C$9,'DB US Indicators'!$A:$D,MATCH(E$6,'DB US Indicators'!$A$1:$S$1,0),0)</f>
        <v>6.3142311201391044E-3</v>
      </c>
      <c r="F9" s="30">
        <f>VLOOKUP($C$9,'DB US Indicators'!$A:$D,MATCH(F$6,'DB US Indicators'!$A$1:$S$1,0),0)</f>
        <v>5.2324239896345097E-3</v>
      </c>
      <c r="G9" s="43"/>
      <c r="H9" s="6" t="s">
        <v>23</v>
      </c>
      <c r="I9" s="47">
        <f>VLOOKUP($H$9,'DB US Indicators'!$A:$D,MATCH(I$6,'DB US Indicators'!$A$1:$S$1,0),0)</f>
        <v>3.2999999999999831E-3</v>
      </c>
      <c r="J9" s="47"/>
      <c r="K9" s="9"/>
      <c r="L9" s="2"/>
      <c r="M9" s="6" t="s">
        <v>32</v>
      </c>
      <c r="N9" s="51">
        <f>IF(VLOOKUP($M$9,'DB US Indicators'!$A:$D,MATCH(N$6,'DB US Indicators'!$A$1:$S$1,0),0)="","",VLOOKUP($M$9,'DB US Indicators'!$A:$D,MATCH(N$6,'DB US Indicators'!$A$1:$S$1,0),0))</f>
        <v>113.5</v>
      </c>
      <c r="O9" s="51">
        <f>IF(VLOOKUP($M$9,'DB US Indicators'!$A:$D,MATCH(O$6,'DB US Indicators'!$A$1:$S$1,0),0)="","",VLOOKUP($M$9,'DB US Indicators'!$A:$D,MATCH(O$6,'DB US Indicators'!$A$1:$S$1,0),0))</f>
        <v>118.3</v>
      </c>
      <c r="P9" s="52">
        <f>IF(VLOOKUP($M$9,'DB US Indicators'!$A:$D,MATCH(P$6,'DB US Indicators'!$A$1:$S$1,0),0)="","",VLOOKUP($M$9,'DB US Indicators'!$A:$D,MATCH(P$6,'DB US Indicators'!$A$1:$S$1,0),0))</f>
        <v>119.9</v>
      </c>
    </row>
    <row r="10" spans="3:16" x14ac:dyDescent="0.35">
      <c r="C10" s="6" t="s">
        <v>13</v>
      </c>
      <c r="D10" s="41">
        <f>VLOOKUP($C$10,'DB US Indicators'!$A:$D,MATCH(D$6,'DB US Indicators'!$A$1:$S$1,0),0)</f>
        <v>1.680900962916073E-3</v>
      </c>
      <c r="E10" s="41">
        <f>VLOOKUP($C$10,'DB US Indicators'!$A:$D,MATCH(E$6,'DB US Indicators'!$A$1:$S$1,0),0)</f>
        <v>3.753175448660153E-3</v>
      </c>
      <c r="F10" s="42">
        <f>VLOOKUP($C$10,'DB US Indicators'!$A:$D,MATCH(F$6,'DB US Indicators'!$A$1:$S$1,0),0)</f>
        <v>5.1627441582793457E-3</v>
      </c>
      <c r="G10" s="43"/>
      <c r="H10" s="6" t="s">
        <v>24</v>
      </c>
      <c r="I10" s="47">
        <f>VLOOKUP($H$10,'DB US Indicators'!$A:$D,MATCH(I$6,'DB US Indicators'!$A$1:$S$1,0),0)</f>
        <v>-1.230000000000004E-2</v>
      </c>
      <c r="J10" s="47"/>
      <c r="K10" s="9"/>
      <c r="L10" s="2"/>
      <c r="M10" s="6" t="s">
        <v>33</v>
      </c>
      <c r="N10" s="51">
        <f>IF(VLOOKUP($M$10,'DB US Indicators'!$A:$D,MATCH(N$6,'DB US Indicators'!$A$1:$S$1,0),0)="","",VLOOKUP($M$10,'DB US Indicators'!$A:$D,MATCH(N$6,'DB US Indicators'!$A$1:$S$1,0),0))</f>
        <v>1351</v>
      </c>
      <c r="O10" s="51">
        <f>IF(VLOOKUP($M$10,'DB US Indicators'!$A:$D,MATCH(O$6,'DB US Indicators'!$A$1:$S$1,0),0)="","",VLOOKUP($M$10,'DB US Indicators'!$A:$D,MATCH(O$6,'DB US Indicators'!$A$1:$S$1,0),0))</f>
        <v>1695</v>
      </c>
      <c r="P10" s="52">
        <f>IF(VLOOKUP($M$10,'DB US Indicators'!$A:$D,MATCH(P$6,'DB US Indicators'!$A$1:$S$1,0),0)="","",VLOOKUP($M$10,'DB US Indicators'!$A:$D,MATCH(P$6,'DB US Indicators'!$A$1:$S$1,0),0))</f>
        <v>1729</v>
      </c>
    </row>
    <row r="11" spans="3:16" x14ac:dyDescent="0.35">
      <c r="C11" s="6" t="s">
        <v>15</v>
      </c>
      <c r="D11" s="39">
        <f>VLOOKUP($C$11,'DB US Indicators'!$A:$D,MATCH(D$6,'DB US Indicators'!$A$1:$S$1,0),0)</f>
        <v>-2.061575043333107E-3</v>
      </c>
      <c r="E11" s="39">
        <f>VLOOKUP($C$11,'DB US Indicators'!$A:$D,MATCH(E$6,'DB US Indicators'!$A$1:$S$1,0),0)</f>
        <v>7.5985910945678822E-3</v>
      </c>
      <c r="F11" s="40">
        <f>VLOOKUP($C$11,'DB US Indicators'!$A:$D,MATCH(F$6,'DB US Indicators'!$A$1:$S$1,0),0)</f>
        <v>7.7021795162142631E-3</v>
      </c>
      <c r="G11" s="43"/>
      <c r="H11" s="6" t="s">
        <v>107</v>
      </c>
      <c r="I11" s="46">
        <f>IF(VLOOKUP($H$11,'DB US Indicators'!$A:$D,MATCH(I$6,'DB US Indicators'!$A$1:$S$1,0),0)="","",VLOOKUP($H$11,'DB US Indicators'!$A:$D,MATCH(I$6,'DB US Indicators'!$A$1:$S$1,0),0)/100)</f>
        <v>3.6400000000000002E-2</v>
      </c>
      <c r="J11" s="46">
        <f>IF(VLOOKUP($H$11,'DB US Indicators'!$A:$D,MATCH(J$6,'DB US Indicators'!$A$1:$S$1,0),0)="","",VLOOKUP($H$11,'DB US Indicators'!$A:$D,MATCH(J$6,'DB US Indicators'!$A$1:$S$1,0),0)/100)</f>
        <v>3.0899999999999997E-2</v>
      </c>
      <c r="K11" s="30" t="str">
        <f>IF(VLOOKUP($H$11,'DB US Indicators'!$A:$D,MATCH(K$6,'DB US Indicators'!$A$1:$S$1,0),0)="","",VLOOKUP($H$11,'DB US Indicators'!$A:$D,MATCH(K$6,'DB US Indicators'!$A$1:$S$1,0),0))</f>
        <v/>
      </c>
      <c r="M11" s="6" t="s">
        <v>34</v>
      </c>
      <c r="N11" s="51">
        <f>IF(VLOOKUP($M$11,'DB US Indicators'!$A:$D,MATCH(N$6,'DB US Indicators'!$A$1:$S$1,0),0)="","",VLOOKUP($M$11,'DB US Indicators'!$A:$D,MATCH(N$6,'DB US Indicators'!$A$1:$S$1,0),0))</f>
        <v>49</v>
      </c>
      <c r="O11" s="51">
        <f>IF(VLOOKUP($M$11,'DB US Indicators'!$A:$D,MATCH(O$6,'DB US Indicators'!$A$1:$S$1,0),0)="","",VLOOKUP($M$11,'DB US Indicators'!$A:$D,MATCH(O$6,'DB US Indicators'!$A$1:$S$1,0),0))</f>
        <v>56.1</v>
      </c>
      <c r="P11" s="52">
        <f>IF(VLOOKUP($M$11,'DB US Indicators'!$A:$D,MATCH(P$6,'DB US Indicators'!$A$1:$S$1,0),0)="","",VLOOKUP($M$11,'DB US Indicators'!$A:$D,MATCH(P$6,'DB US Indicators'!$A$1:$S$1,0),0))</f>
        <v>61.1</v>
      </c>
    </row>
    <row r="12" spans="3:16" x14ac:dyDescent="0.35">
      <c r="C12" s="6" t="s">
        <v>14</v>
      </c>
      <c r="D12" s="41">
        <f>VLOOKUP($C$12,'DB US Indicators'!$A:$D,MATCH(D$6,'DB US Indicators'!$A$1:$S$1,0),0)</f>
        <v>-5.8242319195018757E-3</v>
      </c>
      <c r="E12" s="41">
        <f>VLOOKUP($C$12,'DB US Indicators'!$A:$D,MATCH(E$6,'DB US Indicators'!$A$1:$S$1,0),0)</f>
        <v>3.5511079427139299E-3</v>
      </c>
      <c r="F12" s="42">
        <f>VLOOKUP($C$12,'DB US Indicators'!$A:$D,MATCH(F$6,'DB US Indicators'!$A$1:$S$1,0),0)</f>
        <v>1.091606247384953E-2</v>
      </c>
      <c r="G12" s="43"/>
      <c r="H12" s="6" t="s">
        <v>108</v>
      </c>
      <c r="I12" s="46">
        <f>IF(VLOOKUP($H$12,'DB US Indicators'!$A:$D,MATCH(I$6,'DB US Indicators'!$A$1:$S$1,0),0)="","",VLOOKUP($H$12,'DB US Indicators'!$A:$D,MATCH(I$6,'DB US Indicators'!$A$1:$S$1,0),0)/100)</f>
        <v>3.5299999999999998E-2</v>
      </c>
      <c r="J12" s="46">
        <f>IF(VLOOKUP($H$12,'DB US Indicators'!$A:$D,MATCH(J$6,'DB US Indicators'!$A$1:$S$1,0),0)="","",VLOOKUP($H$12,'DB US Indicators'!$A:$D,MATCH(J$6,'DB US Indicators'!$A$1:$S$1,0),0)/100)</f>
        <v>2.9399999999999999E-2</v>
      </c>
      <c r="K12" s="8">
        <f>IF(VLOOKUP($H$12,'DB US Indicators'!$A:$D,MATCH(K$6,'DB US Indicators'!$A$1:$S$1,0),0)="","",VLOOKUP($H$12,'DB US Indicators'!$A:$D,MATCH(K$6,'DB US Indicators'!$A$1:$S$1,0),0)/100)</f>
        <v>1.4039999999999999E-2</v>
      </c>
      <c r="L12" s="1"/>
      <c r="M12" s="6" t="s">
        <v>35</v>
      </c>
      <c r="N12" s="51">
        <f>IF(VLOOKUP($M$12,'DB US Indicators'!$A:$D,MATCH(N$6,'DB US Indicators'!$A$1:$S$1,0),0)="","",VLOOKUP($M$12,'DB US Indicators'!$A:$D,MATCH(N$6,'DB US Indicators'!$A$1:$S$1,0),0))</f>
        <v>47.2</v>
      </c>
      <c r="O12" s="51">
        <f>IF(VLOOKUP($M$12,'DB US Indicators'!$A:$D,MATCH(O$6,'DB US Indicators'!$A$1:$S$1,0),0)="","",VLOOKUP($M$12,'DB US Indicators'!$A:$D,MATCH(O$6,'DB US Indicators'!$A$1:$S$1,0),0))</f>
        <v>55.1</v>
      </c>
      <c r="P12" s="52">
        <f>IF(VLOOKUP($M$12,'DB US Indicators'!$A:$D,MATCH(P$6,'DB US Indicators'!$A$1:$S$1,0),0)="","",VLOOKUP($M$12,'DB US Indicators'!$A:$D,MATCH(P$6,'DB US Indicators'!$A$1:$S$1,0),0))</f>
        <v>61.5</v>
      </c>
    </row>
    <row r="13" spans="3:16" x14ac:dyDescent="0.35">
      <c r="C13" s="6" t="s">
        <v>16</v>
      </c>
      <c r="D13" s="41">
        <f>VLOOKUP($C$13,'DB US Indicators'!$A:$D,MATCH(D$6,'DB US Indicators'!$A$1:$S$1,0),0)</f>
        <v>0</v>
      </c>
      <c r="E13" s="41">
        <f>VLOOKUP($C$13,'DB US Indicators'!$A:$D,MATCH(E$6,'DB US Indicators'!$A$1:$S$1,0),0)</f>
        <v>0</v>
      </c>
      <c r="F13" s="42">
        <f>VLOOKUP($C$13,'DB US Indicators'!$A:$D,MATCH(F$6,'DB US Indicators'!$A$1:$S$1,0),0)</f>
        <v>-8.6956521739130321E-2</v>
      </c>
      <c r="G13" s="43"/>
      <c r="H13" s="6" t="s">
        <v>109</v>
      </c>
      <c r="I13" s="46">
        <f>IF(VLOOKUP($H$13,'DB US Indicators'!$A:$D,MATCH(I$6,'DB US Indicators'!$A$1:$S$1,0),0)="","",VLOOKUP($H$13,'DB US Indicators'!$A:$D,MATCH(I$6,'DB US Indicators'!$A$1:$S$1,0),0)/100)</f>
        <v>4.2500000000000003E-2</v>
      </c>
      <c r="J13" s="46">
        <f>IF(VLOOKUP($H$13,'DB US Indicators'!$A:$D,MATCH(J$6,'DB US Indicators'!$A$1:$S$1,0),0)="","",VLOOKUP($H$13,'DB US Indicators'!$A:$D,MATCH(J$6,'DB US Indicators'!$A$1:$S$1,0),0)/100)</f>
        <v>2.6600000000000002E-2</v>
      </c>
      <c r="K13" s="8">
        <f>IF(VLOOKUP($H$13,'DB US Indicators'!$A:$D,MATCH(K$6,'DB US Indicators'!$A$1:$S$1,0),0)="","",VLOOKUP($H$13,'DB US Indicators'!$A:$D,MATCH(K$6,'DB US Indicators'!$A$1:$S$1,0),0)/100)</f>
        <v>5.5130000000000005E-3</v>
      </c>
      <c r="L13" s="1"/>
      <c r="M13" s="6" t="s">
        <v>36</v>
      </c>
      <c r="N13" s="51">
        <f>IF(VLOOKUP($M$13,'DB US Indicators'!$A:$D,MATCH(N$6,'DB US Indicators'!$A$1:$S$1,0),0)="","",VLOOKUP($M$13,'DB US Indicators'!$A:$D,MATCH(N$6,'DB US Indicators'!$A$1:$S$1,0),0))</f>
        <v>56.5</v>
      </c>
      <c r="O13" s="51">
        <f>IF(VLOOKUP($M$13,'DB US Indicators'!$A:$D,MATCH(O$6,'DB US Indicators'!$A$1:$S$1,0),0)="","",VLOOKUP($M$13,'DB US Indicators'!$A:$D,MATCH(O$6,'DB US Indicators'!$A$1:$S$1,0),0))</f>
        <v>55.9</v>
      </c>
      <c r="P13" s="52">
        <f>IF(VLOOKUP($M$13,'DB US Indicators'!$A:$D,MATCH(P$6,'DB US Indicators'!$A$1:$S$1,0),0)="","",VLOOKUP($M$13,'DB US Indicators'!$A:$D,MATCH(P$6,'DB US Indicators'!$A$1:$S$1,0),0))</f>
        <v>69.099999999999994</v>
      </c>
    </row>
    <row r="14" spans="3:16" x14ac:dyDescent="0.35">
      <c r="C14" s="6" t="s">
        <v>17</v>
      </c>
      <c r="D14" s="54">
        <f>VLOOKUP($C$14,'DB US Indicators'!$A:$D,MATCH(D$6,'DB US Indicators'!$A$1:$S$1,0),0)</f>
        <v>153548</v>
      </c>
      <c r="E14" s="54">
        <f>VLOOKUP($C$14,'DB US Indicators'!$A:$D,MATCH(E$6,'DB US Indicators'!$A$1:$S$1,0),0)</f>
        <v>151610</v>
      </c>
      <c r="F14" s="55">
        <f>VLOOKUP($C$14,'DB US Indicators'!$A:$D,MATCH(F$6,'DB US Indicators'!$A$1:$S$1,0),0)</f>
        <v>148652</v>
      </c>
      <c r="G14" s="31"/>
      <c r="H14" s="6" t="s">
        <v>110</v>
      </c>
      <c r="I14" s="46">
        <f>IF(VLOOKUP($H$14,'DB US Indicators'!$A:$D,MATCH(I$6,'DB US Indicators'!$A$1:$S$1,0),0)="","",VLOOKUP($H$14,'DB US Indicators'!$A:$D,MATCH(I$6,'DB US Indicators'!$A$1:$S$1,0),0)/100)</f>
        <v>4.3299999999999998E-2</v>
      </c>
      <c r="J14" s="46">
        <f>IF(VLOOKUP($H$14,'DB US Indicators'!$A:$D,MATCH(J$6,'DB US Indicators'!$A$1:$S$1,0),0)="","",VLOOKUP($H$14,'DB US Indicators'!$A:$D,MATCH(J$6,'DB US Indicators'!$A$1:$S$1,0),0))</f>
        <v>1.1499999999999999</v>
      </c>
      <c r="K14" s="8" t="str">
        <f>IF(VLOOKUP($H$14,'DB US Indicators'!$A:$D,MATCH(K$6,'DB US Indicators'!$A$1:$S$1,0),0)="","",VLOOKUP($H$14,'DB US Indicators'!$A:$D,MATCH(K$6,'DB US Indicators'!$A$1:$S$1,0),0))</f>
        <v/>
      </c>
      <c r="L14" s="1"/>
      <c r="M14" s="6" t="s">
        <v>37</v>
      </c>
      <c r="N14" s="47">
        <f>IF(VLOOKUP($M$14,'DB US Indicators'!$A:$D,MATCH(N$6,'DB US Indicators'!$A$1:$S$1,0),0)="","",VLOOKUP($M$14,'DB US Indicators'!$A:$D,MATCH(N$6,'DB US Indicators'!$A$1:$S$1,0),0))</f>
        <v>-1.3386978785662029E-2</v>
      </c>
      <c r="O14" s="53"/>
      <c r="P14" s="10"/>
    </row>
    <row r="15" spans="3:16" x14ac:dyDescent="0.35">
      <c r="C15" s="6" t="s">
        <v>18</v>
      </c>
      <c r="D15" s="54">
        <f>VLOOKUP($C$15,'DB US Indicators'!$A:$D,MATCH(D$6,'DB US Indicators'!$A$1:$S$1,0),0)</f>
        <v>231000</v>
      </c>
      <c r="E15" s="54">
        <f>VLOOKUP($C$15,'DB US Indicators'!$A:$D,MATCH(E$6,'DB US Indicators'!$A$1:$S$1,0),0)</f>
        <v>232000</v>
      </c>
      <c r="F15" s="55">
        <f>VLOOKUP($C$15,'DB US Indicators'!$A:$D,MATCH(F$6,'DB US Indicators'!$A$1:$S$1,0),0)</f>
        <v>228000</v>
      </c>
      <c r="G15" s="31"/>
      <c r="H15" s="6" t="s">
        <v>111</v>
      </c>
      <c r="I15" s="46">
        <f>I12-I13</f>
        <v>-7.200000000000005E-3</v>
      </c>
      <c r="J15" s="46">
        <f>J12-J13</f>
        <v>2.7999999999999969E-3</v>
      </c>
      <c r="K15" s="8">
        <f>K12-K13</f>
        <v>8.5269999999999981E-3</v>
      </c>
      <c r="L15" s="1"/>
      <c r="M15" s="6" t="s">
        <v>38</v>
      </c>
      <c r="N15" s="47">
        <f>IF(VLOOKUP($M$15,'DB US Indicators'!$A:$D,MATCH(N$6,'DB US Indicators'!$A$1:$S$1,0),0)="","",VLOOKUP($M$15,'DB US Indicators'!$A:$D,MATCH(N$6,'DB US Indicators'!$A$1:$S$1,0),0))</f>
        <v>-8.4597231614247908E-3</v>
      </c>
      <c r="O15" s="53"/>
      <c r="P15" s="10"/>
    </row>
    <row r="16" spans="3:16" ht="16" customHeight="1" thickBot="1" x14ac:dyDescent="0.4">
      <c r="C16" s="7" t="s">
        <v>19</v>
      </c>
      <c r="D16" s="32">
        <f>VLOOKUP($C$16,'DB US Indicators'!$A:$D,MATCH(D$6,'DB US Indicators'!$A$1:$S$1,0),0)</f>
        <v>-2.194803880573653E-3</v>
      </c>
      <c r="E16" s="32">
        <f>VLOOKUP($C$16,'DB US Indicators'!$A:$D,MATCH(E$6,'DB US Indicators'!$A$1:$S$1,0),0)</f>
        <v>-1.019459887658057E-3</v>
      </c>
      <c r="F16" s="44">
        <f>VLOOKUP($C$16,'DB US Indicators'!$A:$D,MATCH(F$6,'DB US Indicators'!$A$1:$S$1,0),0)</f>
        <v>5.9273758339071199E-3</v>
      </c>
      <c r="G16" s="43"/>
      <c r="H16" s="7" t="s">
        <v>29</v>
      </c>
      <c r="I16" s="45">
        <f>IF(VLOOKUP($H$16,'DB US Indicators'!$A:$D,MATCH(I$6,'DB US Indicators'!$A$1:$S$1,0),0)="","",VLOOKUP($H$16,'DB US Indicators'!$A:$D,MATCH(I$6,'DB US Indicators'!$A$1:$S$1,0),0))</f>
        <v>104.73000335693359</v>
      </c>
      <c r="J16" s="45">
        <f>IF(VLOOKUP($H$16,'DB US Indicators'!$A:$D,MATCH(J$6,'DB US Indicators'!$A$1:$S$1,0),0)="","",VLOOKUP($H$16,'DB US Indicators'!$A:$D,MATCH(J$6,'DB US Indicators'!$A$1:$S$1,0),0))</f>
        <v>102.5500030517578</v>
      </c>
      <c r="K16" s="48">
        <f>IF(VLOOKUP($H$16,'DB US Indicators'!$A:$D,MATCH(K$6,'DB US Indicators'!$A$1:$S$1,0),0)="","",VLOOKUP($H$16,'DB US Indicators'!$A:$D,MATCH(K$6,'DB US Indicators'!$A$1:$S$1,0),0))</f>
        <v>96.050003051757813</v>
      </c>
      <c r="L16" s="1"/>
      <c r="M16" s="11"/>
      <c r="N16" s="12"/>
      <c r="O16" s="12"/>
      <c r="P16" s="13"/>
    </row>
    <row r="19" spans="3:3" x14ac:dyDescent="0.35">
      <c r="C19" s="57" t="s">
        <v>112</v>
      </c>
    </row>
    <row r="98" spans="3:3" x14ac:dyDescent="0.35">
      <c r="C98" s="57" t="s">
        <v>113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V320"/>
  <sheetViews>
    <sheetView zoomScale="110" zoomScaleNormal="110" workbookViewId="0">
      <pane xSplit="2" ySplit="10" topLeftCell="C43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defaultColWidth="9.1796875" defaultRowHeight="14.5" x14ac:dyDescent="0.35"/>
  <cols>
    <col min="1" max="1" width="9.1796875" style="56" customWidth="1"/>
    <col min="2" max="2" width="17.81640625" customWidth="1"/>
    <col min="3" max="27" width="6.1796875" customWidth="1"/>
    <col min="28" max="28" width="7.36328125" customWidth="1"/>
    <col min="29" max="29" width="9.1796875" style="56" customWidth="1"/>
    <col min="30" max="30" width="12.36328125" style="56" customWidth="1"/>
    <col min="31" max="31" width="9.1796875" style="56" customWidth="1"/>
    <col min="32" max="32" width="10.6328125" style="56" customWidth="1"/>
    <col min="33" max="33" width="10.6328125" style="56" bestFit="1" customWidth="1"/>
    <col min="34" max="74" width="9.1796875" style="56" customWidth="1"/>
  </cols>
  <sheetData>
    <row r="1" spans="2:36" s="56" customFormat="1" ht="16" customHeight="1" thickBot="1" x14ac:dyDescent="0.4">
      <c r="C1" s="56" t="s">
        <v>76</v>
      </c>
      <c r="D1" s="56" t="s">
        <v>77</v>
      </c>
      <c r="E1" s="56" t="s">
        <v>78</v>
      </c>
      <c r="F1" s="56" t="s">
        <v>79</v>
      </c>
      <c r="G1" s="56" t="s">
        <v>80</v>
      </c>
      <c r="H1" s="56" t="s">
        <v>81</v>
      </c>
      <c r="I1" s="56" t="s">
        <v>82</v>
      </c>
      <c r="J1" s="56" t="s">
        <v>83</v>
      </c>
      <c r="K1" s="56" t="s">
        <v>84</v>
      </c>
      <c r="L1" s="56" t="s">
        <v>85</v>
      </c>
      <c r="M1" s="56" t="s">
        <v>86</v>
      </c>
      <c r="N1" s="56" t="s">
        <v>87</v>
      </c>
      <c r="O1" s="56" t="s">
        <v>88</v>
      </c>
      <c r="P1" s="56" t="s">
        <v>89</v>
      </c>
      <c r="Q1" s="56" t="s">
        <v>90</v>
      </c>
      <c r="R1" s="56" t="s">
        <v>91</v>
      </c>
      <c r="S1" s="56" t="s">
        <v>92</v>
      </c>
      <c r="T1" s="56" t="s">
        <v>93</v>
      </c>
      <c r="U1" s="56" t="s">
        <v>94</v>
      </c>
      <c r="V1" s="56" t="s">
        <v>95</v>
      </c>
      <c r="W1" s="56" t="s">
        <v>96</v>
      </c>
      <c r="X1" s="56" t="s">
        <v>97</v>
      </c>
      <c r="Y1" s="56" t="s">
        <v>98</v>
      </c>
      <c r="Z1" s="56" t="s">
        <v>99</v>
      </c>
      <c r="AA1" s="56" t="s">
        <v>100</v>
      </c>
      <c r="AB1" s="56" t="s">
        <v>101</v>
      </c>
      <c r="AD1" s="17" t="s">
        <v>114</v>
      </c>
      <c r="AE1" s="56" t="s">
        <v>115</v>
      </c>
      <c r="AG1" s="38">
        <v>44866</v>
      </c>
      <c r="AJ1" s="16"/>
    </row>
    <row r="2" spans="2:36" ht="72.75" customHeight="1" thickBot="1" x14ac:dyDescent="0.4">
      <c r="B2" s="18"/>
      <c r="C2" s="19" t="s">
        <v>76</v>
      </c>
      <c r="D2" s="19" t="s">
        <v>116</v>
      </c>
      <c r="E2" s="19" t="s">
        <v>78</v>
      </c>
      <c r="F2" s="19" t="s">
        <v>117</v>
      </c>
      <c r="G2" s="19" t="s">
        <v>118</v>
      </c>
      <c r="H2" s="19" t="s">
        <v>119</v>
      </c>
      <c r="I2" s="19" t="s">
        <v>120</v>
      </c>
      <c r="J2" s="19" t="s">
        <v>121</v>
      </c>
      <c r="K2" s="19" t="s">
        <v>84</v>
      </c>
      <c r="L2" s="19" t="s">
        <v>122</v>
      </c>
      <c r="M2" s="19" t="s">
        <v>123</v>
      </c>
      <c r="N2" s="19" t="s">
        <v>124</v>
      </c>
      <c r="O2" s="19" t="s">
        <v>125</v>
      </c>
      <c r="P2" s="19" t="s">
        <v>126</v>
      </c>
      <c r="Q2" s="19" t="s">
        <v>127</v>
      </c>
      <c r="R2" s="19" t="s">
        <v>128</v>
      </c>
      <c r="S2" s="19" t="s">
        <v>129</v>
      </c>
      <c r="T2" s="20" t="s">
        <v>130</v>
      </c>
      <c r="U2" s="19" t="s">
        <v>131</v>
      </c>
      <c r="V2" s="19" t="s">
        <v>132</v>
      </c>
      <c r="W2" s="19" t="s">
        <v>133</v>
      </c>
      <c r="X2" s="19" t="s">
        <v>134</v>
      </c>
      <c r="Y2" s="19" t="s">
        <v>135</v>
      </c>
      <c r="Z2" s="19" t="s">
        <v>136</v>
      </c>
      <c r="AA2" s="19" t="s">
        <v>137</v>
      </c>
      <c r="AB2" s="21" t="s">
        <v>138</v>
      </c>
      <c r="AG2" s="22"/>
    </row>
    <row r="3" spans="2:36" hidden="1" x14ac:dyDescent="0.35">
      <c r="B3" s="23" t="s">
        <v>139</v>
      </c>
      <c r="C3" s="33" t="e">
        <f t="shared" ref="C3:AB3" ca="1" si="0">MAX(OFFSET(C$12,COUNT(C$12:C$105),0,-13,1))</f>
        <v>#N/A</v>
      </c>
      <c r="D3" s="33">
        <f t="shared" ca="1" si="0"/>
        <v>61.5</v>
      </c>
      <c r="E3" s="33">
        <f t="shared" ca="1" si="0"/>
        <v>59.2</v>
      </c>
      <c r="F3" s="33">
        <f t="shared" ca="1" si="0"/>
        <v>51.7</v>
      </c>
      <c r="G3" s="33">
        <f t="shared" ca="1" si="0"/>
        <v>59</v>
      </c>
      <c r="H3" s="33">
        <f t="shared" ca="1" si="0"/>
        <v>55.4</v>
      </c>
      <c r="I3" s="33">
        <f t="shared" ca="1" si="0"/>
        <v>60.5</v>
      </c>
      <c r="J3" s="33">
        <f t="shared" ca="1" si="0"/>
        <v>57.6</v>
      </c>
      <c r="K3" s="33">
        <f t="shared" ca="1" si="0"/>
        <v>57.9</v>
      </c>
      <c r="L3" s="33">
        <f t="shared" ca="1" si="0"/>
        <v>62</v>
      </c>
      <c r="M3" s="33">
        <f t="shared" ca="1" si="0"/>
        <v>56.9</v>
      </c>
      <c r="N3" s="33">
        <f t="shared" ca="1" si="0"/>
        <v>54.2</v>
      </c>
      <c r="O3" s="33">
        <f t="shared" ca="1" si="0"/>
        <v>52.2</v>
      </c>
      <c r="P3" s="33">
        <f t="shared" ca="1" si="0"/>
        <v>53.2</v>
      </c>
      <c r="Q3" s="33">
        <f t="shared" ca="1" si="0"/>
        <v>56.4</v>
      </c>
      <c r="R3" s="33">
        <f t="shared" ca="1" si="0"/>
        <v>58.9</v>
      </c>
      <c r="S3" s="33">
        <f t="shared" ca="1" si="0"/>
        <v>58.5</v>
      </c>
      <c r="T3" s="33">
        <f t="shared" ca="1" si="0"/>
        <v>53.7</v>
      </c>
      <c r="U3" s="33">
        <f t="shared" ca="1" si="0"/>
        <v>53.8</v>
      </c>
      <c r="V3" s="33">
        <f t="shared" ca="1" si="0"/>
        <v>55.5</v>
      </c>
      <c r="W3" s="33">
        <f t="shared" ca="1" si="0"/>
        <v>59</v>
      </c>
      <c r="X3" s="33">
        <f t="shared" ca="1" si="0"/>
        <v>59.4</v>
      </c>
      <c r="Y3" s="33">
        <f t="shared" ca="1" si="0"/>
        <v>52.1</v>
      </c>
      <c r="Z3" s="33">
        <f t="shared" ca="1" si="0"/>
        <v>59.1</v>
      </c>
      <c r="AA3" s="33">
        <f t="shared" ca="1" si="0"/>
        <v>56.1</v>
      </c>
      <c r="AB3" s="33">
        <f t="shared" ca="1" si="0"/>
        <v>71.3</v>
      </c>
      <c r="AE3" s="56" t="s">
        <v>140</v>
      </c>
      <c r="AG3" s="22">
        <f>DATE(YEAR(AG1),MONTH(AG1)-1,DAY(AG1))</f>
        <v>44835</v>
      </c>
    </row>
    <row r="4" spans="2:36" hidden="1" x14ac:dyDescent="0.35">
      <c r="B4" s="23" t="s">
        <v>141</v>
      </c>
      <c r="C4" s="33" t="e">
        <f t="shared" ref="C4:AB4" ca="1" si="1">MIN(OFFSET(C$12,COUNT(C$12:C$105),0,-13,1))</f>
        <v>#N/A</v>
      </c>
      <c r="D4" s="33">
        <f t="shared" ca="1" si="1"/>
        <v>49</v>
      </c>
      <c r="E4" s="33">
        <f t="shared" ca="1" si="1"/>
        <v>47.7</v>
      </c>
      <c r="F4" s="33">
        <f t="shared" ca="1" si="1"/>
        <v>46</v>
      </c>
      <c r="G4" s="33">
        <f t="shared" ca="1" si="1"/>
        <v>46.4</v>
      </c>
      <c r="H4" s="33">
        <f t="shared" ca="1" si="1"/>
        <v>49</v>
      </c>
      <c r="I4" s="33">
        <f t="shared" ca="1" si="1"/>
        <v>45.1</v>
      </c>
      <c r="J4" s="33">
        <f t="shared" ca="1" si="1"/>
        <v>47.2</v>
      </c>
      <c r="K4" s="33">
        <f t="shared" ca="1" si="1"/>
        <v>46.2</v>
      </c>
      <c r="L4" s="33">
        <f t="shared" ca="1" si="1"/>
        <v>46.5</v>
      </c>
      <c r="M4" s="33">
        <f t="shared" ca="1" si="1"/>
        <v>44.7</v>
      </c>
      <c r="N4" s="33">
        <f t="shared" ca="1" si="1"/>
        <v>44.3</v>
      </c>
      <c r="O4" s="33">
        <f t="shared" ca="1" si="1"/>
        <v>46.1</v>
      </c>
      <c r="P4" s="33">
        <f t="shared" ca="1" si="1"/>
        <v>44.1</v>
      </c>
      <c r="Q4" s="33">
        <f t="shared" ca="1" si="1"/>
        <v>53.9</v>
      </c>
      <c r="R4" s="33">
        <f t="shared" ca="1" si="1"/>
        <v>48.7</v>
      </c>
      <c r="S4" s="33">
        <f t="shared" ca="1" si="1"/>
        <v>44.7</v>
      </c>
      <c r="T4" s="33">
        <f t="shared" ca="1" si="1"/>
        <v>50.2</v>
      </c>
      <c r="U4" s="33">
        <f t="shared" ca="1" si="1"/>
        <v>47.3</v>
      </c>
      <c r="V4" s="33">
        <f t="shared" ca="1" si="1"/>
        <v>41.5</v>
      </c>
      <c r="W4" s="33">
        <f t="shared" ca="1" si="1"/>
        <v>48.1</v>
      </c>
      <c r="X4" s="33">
        <f t="shared" ca="1" si="1"/>
        <v>48.7</v>
      </c>
      <c r="Y4" s="33">
        <f t="shared" ca="1" si="1"/>
        <v>45.7</v>
      </c>
      <c r="Z4" s="33">
        <f t="shared" ca="1" si="1"/>
        <v>41.6</v>
      </c>
      <c r="AA4" s="33">
        <f t="shared" ca="1" si="1"/>
        <v>40.9</v>
      </c>
      <c r="AB4" s="33">
        <f t="shared" ca="1" si="1"/>
        <v>38</v>
      </c>
      <c r="AE4" s="56" t="s">
        <v>142</v>
      </c>
      <c r="AG4" s="22">
        <f>DATE(YEAR(AG1),MONTH(AG1)-12,DAY(AG1))</f>
        <v>44501</v>
      </c>
    </row>
    <row r="5" spans="2:36" ht="16" hidden="1" customHeight="1" thickBot="1" x14ac:dyDescent="0.4">
      <c r="B5" s="23" t="s">
        <v>143</v>
      </c>
      <c r="C5" s="34" t="e">
        <f t="shared" ref="C5:AB5" ca="1" si="2">AVERAGE(OFFSET(C$12,COUNT(C$12:C$105),0,-13,1))</f>
        <v>#N/A</v>
      </c>
      <c r="D5" s="34">
        <f t="shared" ca="1" si="2"/>
        <v>54.583333333333343</v>
      </c>
      <c r="E5" s="34">
        <f t="shared" ca="1" si="2"/>
        <v>54.300000000000004</v>
      </c>
      <c r="F5" s="34">
        <f t="shared" ca="1" si="2"/>
        <v>49.241666666666667</v>
      </c>
      <c r="G5" s="34">
        <f t="shared" ca="1" si="2"/>
        <v>52.966666666666669</v>
      </c>
      <c r="H5" s="34">
        <f t="shared" ca="1" si="2"/>
        <v>52.44166666666667</v>
      </c>
      <c r="I5" s="34">
        <f t="shared" ca="1" si="2"/>
        <v>52.733333333333341</v>
      </c>
      <c r="J5" s="34">
        <f t="shared" ca="1" si="2"/>
        <v>52.333333333333336</v>
      </c>
      <c r="K5" s="34">
        <f t="shared" ca="1" si="2"/>
        <v>52.616666666666674</v>
      </c>
      <c r="L5" s="34">
        <f t="shared" ca="1" si="2"/>
        <v>52.616666666666653</v>
      </c>
      <c r="M5" s="34">
        <f t="shared" ca="1" si="2"/>
        <v>51.766666666666673</v>
      </c>
      <c r="N5" s="34">
        <f t="shared" ca="1" si="2"/>
        <v>50.974999999999994</v>
      </c>
      <c r="O5" s="34">
        <f t="shared" ca="1" si="2"/>
        <v>49.416666666666664</v>
      </c>
      <c r="P5" s="34">
        <f t="shared" ca="1" si="2"/>
        <v>50.32500000000001</v>
      </c>
      <c r="Q5" s="34">
        <f t="shared" ca="1" si="2"/>
        <v>55.024999999999999</v>
      </c>
      <c r="R5" s="34">
        <f t="shared" ca="1" si="2"/>
        <v>53.683333333333337</v>
      </c>
      <c r="S5" s="34">
        <f t="shared" ca="1" si="2"/>
        <v>51.408333333333339</v>
      </c>
      <c r="T5" s="34">
        <f t="shared" ca="1" si="2"/>
        <v>51.783333333333324</v>
      </c>
      <c r="U5" s="34">
        <f t="shared" ca="1" si="2"/>
        <v>50.56666666666667</v>
      </c>
      <c r="V5" s="34">
        <f t="shared" ca="1" si="2"/>
        <v>48.591666666666669</v>
      </c>
      <c r="W5" s="34">
        <f t="shared" ca="1" si="2"/>
        <v>52.758333333333333</v>
      </c>
      <c r="X5" s="34">
        <f t="shared" ca="1" si="2"/>
        <v>54.833333333333343</v>
      </c>
      <c r="Y5" s="34">
        <f t="shared" ca="1" si="2"/>
        <v>48.516666666666673</v>
      </c>
      <c r="Z5" s="34">
        <f t="shared" ca="1" si="2"/>
        <v>50.550000000000011</v>
      </c>
      <c r="AA5" s="34">
        <f t="shared" ca="1" si="2"/>
        <v>47.891666666666659</v>
      </c>
      <c r="AB5" s="34">
        <f t="shared" ca="1" si="2"/>
        <v>55.535833333333329</v>
      </c>
    </row>
    <row r="6" spans="2:36" x14ac:dyDescent="0.35">
      <c r="B6" s="24" t="s">
        <v>144</v>
      </c>
      <c r="C6" s="35" t="e">
        <f t="shared" ref="C6:AB6" ca="1" si="3">IF((VLOOKUP($AG$1,$B:$AB,MATCH(C2,$B$2:$AB$2,),))&gt;C5,"above","below")</f>
        <v>#N/A</v>
      </c>
      <c r="D6" s="35" t="str">
        <f t="shared" ca="1" si="3"/>
        <v>below</v>
      </c>
      <c r="E6" s="35" t="str">
        <f t="shared" ca="1" si="3"/>
        <v>below</v>
      </c>
      <c r="F6" s="35" t="str">
        <f t="shared" ca="1" si="3"/>
        <v>above</v>
      </c>
      <c r="G6" s="35" t="str">
        <f t="shared" ca="1" si="3"/>
        <v>below</v>
      </c>
      <c r="H6" s="35" t="str">
        <f t="shared" ca="1" si="3"/>
        <v>below</v>
      </c>
      <c r="I6" s="35" t="str">
        <f t="shared" ca="1" si="3"/>
        <v>below</v>
      </c>
      <c r="J6" s="35" t="str">
        <f t="shared" ca="1" si="3"/>
        <v>below</v>
      </c>
      <c r="K6" s="35" t="str">
        <f t="shared" ca="1" si="3"/>
        <v>below</v>
      </c>
      <c r="L6" s="35" t="str">
        <f t="shared" ca="1" si="3"/>
        <v>below</v>
      </c>
      <c r="M6" s="35" t="str">
        <f t="shared" ca="1" si="3"/>
        <v>below</v>
      </c>
      <c r="N6" s="35" t="str">
        <f t="shared" ca="1" si="3"/>
        <v>below</v>
      </c>
      <c r="O6" s="35" t="str">
        <f t="shared" ca="1" si="3"/>
        <v>above</v>
      </c>
      <c r="P6" s="35" t="str">
        <f t="shared" ca="1" si="3"/>
        <v>above</v>
      </c>
      <c r="Q6" s="35" t="str">
        <f t="shared" ca="1" si="3"/>
        <v>above</v>
      </c>
      <c r="R6" s="35" t="str">
        <f t="shared" ca="1" si="3"/>
        <v>below</v>
      </c>
      <c r="S6" s="35" t="str">
        <f t="shared" ca="1" si="3"/>
        <v>below</v>
      </c>
      <c r="T6" s="35" t="str">
        <f t="shared" ca="1" si="3"/>
        <v>below</v>
      </c>
      <c r="U6" s="35" t="str">
        <f t="shared" ca="1" si="3"/>
        <v>below</v>
      </c>
      <c r="V6" s="35" t="str">
        <f t="shared" ca="1" si="3"/>
        <v>below</v>
      </c>
      <c r="W6" s="35" t="str">
        <f t="shared" ca="1" si="3"/>
        <v>below</v>
      </c>
      <c r="X6" s="35" t="str">
        <f t="shared" ca="1" si="3"/>
        <v>below</v>
      </c>
      <c r="Y6" s="35" t="str">
        <f t="shared" ca="1" si="3"/>
        <v>below</v>
      </c>
      <c r="Z6" s="35" t="str">
        <f t="shared" ca="1" si="3"/>
        <v>below</v>
      </c>
      <c r="AA6" s="35" t="str">
        <f t="shared" ca="1" si="3"/>
        <v>below</v>
      </c>
      <c r="AB6" s="35" t="str">
        <f t="shared" ca="1" si="3"/>
        <v>below</v>
      </c>
    </row>
    <row r="7" spans="2:36" x14ac:dyDescent="0.35">
      <c r="B7" s="24" t="s">
        <v>145</v>
      </c>
      <c r="C7" s="36" t="e">
        <f t="shared" ref="C7:AB7" si="4">VLOOKUP($AG$1,$B:$AB,MATCH(C2,$B$2:$AB$2,),)-VLOOKUP($AG$4,$B:$AB,MATCH(C2,$B$2:$AB$2,),)</f>
        <v>#N/A</v>
      </c>
      <c r="D7" s="36">
        <f t="shared" si="4"/>
        <v>-12.100000000000001</v>
      </c>
      <c r="E7" s="36">
        <f t="shared" si="4"/>
        <v>-10.599999999999994</v>
      </c>
      <c r="F7" s="36">
        <f t="shared" si="4"/>
        <v>-0.5</v>
      </c>
      <c r="G7" s="36">
        <f t="shared" si="4"/>
        <v>-11.299999999999997</v>
      </c>
      <c r="H7" s="36">
        <f t="shared" si="4"/>
        <v>-5.5</v>
      </c>
      <c r="I7" s="36">
        <f t="shared" si="4"/>
        <v>-11.199999999999996</v>
      </c>
      <c r="J7" s="36">
        <f t="shared" si="4"/>
        <v>-7.6000000000000014</v>
      </c>
      <c r="K7" s="36">
        <f t="shared" si="4"/>
        <v>-11.600000000000001</v>
      </c>
      <c r="L7" s="36">
        <f t="shared" si="4"/>
        <v>-14.399999999999999</v>
      </c>
      <c r="M7" s="36">
        <f t="shared" si="4"/>
        <v>-11.399999999999999</v>
      </c>
      <c r="N7" s="36">
        <f t="shared" si="4"/>
        <v>-5.5</v>
      </c>
      <c r="O7" s="36">
        <f t="shared" si="4"/>
        <v>1.2000000000000028</v>
      </c>
      <c r="P7" s="36">
        <f t="shared" si="4"/>
        <v>1.5</v>
      </c>
      <c r="Q7" s="36">
        <f t="shared" si="4"/>
        <v>-1.8999999999999986</v>
      </c>
      <c r="R7" s="36">
        <f t="shared" si="4"/>
        <v>-7.6000000000000014</v>
      </c>
      <c r="S7" s="36">
        <f t="shared" si="4"/>
        <v>-10.099999999999994</v>
      </c>
      <c r="T7" s="36">
        <f t="shared" si="4"/>
        <v>-3.6000000000000014</v>
      </c>
      <c r="U7" s="36">
        <f t="shared" si="4"/>
        <v>-1.8999999999999986</v>
      </c>
      <c r="V7" s="36">
        <f t="shared" si="4"/>
        <v>-13.299999999999997</v>
      </c>
      <c r="W7" s="36">
        <f t="shared" si="4"/>
        <v>-10.399999999999999</v>
      </c>
      <c r="X7" s="36">
        <f t="shared" si="4"/>
        <v>-11.199999999999996</v>
      </c>
      <c r="Y7" s="36">
        <f t="shared" si="4"/>
        <v>-6.2999999999999972</v>
      </c>
      <c r="Z7" s="36">
        <f t="shared" si="4"/>
        <v>-15.5</v>
      </c>
      <c r="AA7" s="36">
        <f t="shared" si="4"/>
        <v>-11</v>
      </c>
      <c r="AB7" s="36">
        <f t="shared" si="4"/>
        <v>-22.720000000000006</v>
      </c>
    </row>
    <row r="8" spans="2:36" x14ac:dyDescent="0.35">
      <c r="B8" s="24" t="s">
        <v>146</v>
      </c>
      <c r="C8" s="36" t="e">
        <f t="shared" ref="C8:AB8" si="5">VLOOKUP($AG$1,$B:$AB,MATCH(C2,$B$2:$AB$2,),)-VLOOKUP($AG$3,$B:$AB,MATCH(C2,$B$2:$AB$2,),)</f>
        <v>#N/A</v>
      </c>
      <c r="D8" s="36">
        <f t="shared" si="5"/>
        <v>-1.2000000000000028</v>
      </c>
      <c r="E8" s="36">
        <f t="shared" si="5"/>
        <v>-2.6999999999999957</v>
      </c>
      <c r="F8" s="36">
        <f t="shared" si="5"/>
        <v>0.19999999999999574</v>
      </c>
      <c r="G8" s="36">
        <f t="shared" si="5"/>
        <v>0.70000000000000284</v>
      </c>
      <c r="H8" s="36">
        <f t="shared" si="5"/>
        <v>-1.7000000000000028</v>
      </c>
      <c r="I8" s="36">
        <f t="shared" si="5"/>
        <v>1.1000000000000014</v>
      </c>
      <c r="J8" s="36">
        <f t="shared" si="5"/>
        <v>1.0999999999999943</v>
      </c>
      <c r="K8" s="36">
        <f t="shared" si="5"/>
        <v>0.29999999999999716</v>
      </c>
      <c r="L8" s="36">
        <f t="shared" si="5"/>
        <v>1.8999999999999986</v>
      </c>
      <c r="M8" s="36">
        <f t="shared" si="5"/>
        <v>1</v>
      </c>
      <c r="N8" s="36">
        <f t="shared" si="5"/>
        <v>-6.5</v>
      </c>
      <c r="O8" s="36">
        <f t="shared" si="5"/>
        <v>0.30000000000000426</v>
      </c>
      <c r="P8" s="36">
        <f t="shared" si="5"/>
        <v>2.5</v>
      </c>
      <c r="Q8" s="36">
        <f t="shared" si="5"/>
        <v>0.40000000000000568</v>
      </c>
      <c r="R8" s="36">
        <f t="shared" si="5"/>
        <v>0.80000000000000426</v>
      </c>
      <c r="S8" s="36">
        <f t="shared" si="5"/>
        <v>-4.8999999999999986</v>
      </c>
      <c r="T8" s="36">
        <f t="shared" si="5"/>
        <v>-1.5</v>
      </c>
      <c r="U8" s="36">
        <f t="shared" si="5"/>
        <v>0.79999999999999716</v>
      </c>
      <c r="V8" s="36">
        <f t="shared" si="5"/>
        <v>0.10000000000000142</v>
      </c>
      <c r="W8" s="36">
        <f t="shared" si="5"/>
        <v>0.29999999999999716</v>
      </c>
      <c r="X8" s="36">
        <f t="shared" si="5"/>
        <v>-2.6999999999999957</v>
      </c>
      <c r="Y8" s="36">
        <f t="shared" si="5"/>
        <v>-0.69999999999999574</v>
      </c>
      <c r="Z8" s="36">
        <f t="shared" si="5"/>
        <v>-0.10000000000000142</v>
      </c>
      <c r="AA8" s="36">
        <f t="shared" si="5"/>
        <v>1.3999999999999986</v>
      </c>
      <c r="AB8" s="36">
        <f t="shared" si="5"/>
        <v>-6.6100000000000065</v>
      </c>
    </row>
    <row r="9" spans="2:36" ht="66.75" customHeight="1" x14ac:dyDescent="0.35">
      <c r="B9" s="25" t="s">
        <v>147</v>
      </c>
      <c r="C9" s="26" t="e">
        <f t="shared" ref="C9:AB9" si="6">IF(VLOOKUP($AG$1,$B:$AB,MATCH(C2,$B$2:$AB$2,),)&gt;50,"Growth","Contraction")</f>
        <v>#N/A</v>
      </c>
      <c r="D9" s="26" t="str">
        <f t="shared" si="6"/>
        <v>Contraction</v>
      </c>
      <c r="E9" s="26" t="str">
        <f t="shared" si="6"/>
        <v>Contraction</v>
      </c>
      <c r="F9" s="26" t="str">
        <f t="shared" si="6"/>
        <v>Contraction</v>
      </c>
      <c r="G9" s="26" t="str">
        <f t="shared" si="6"/>
        <v>Contraction</v>
      </c>
      <c r="H9" s="26" t="str">
        <f t="shared" si="6"/>
        <v>Contraction</v>
      </c>
      <c r="I9" s="26" t="str">
        <f t="shared" si="6"/>
        <v>Contraction</v>
      </c>
      <c r="J9" s="26" t="str">
        <f t="shared" si="6"/>
        <v>Contraction</v>
      </c>
      <c r="K9" s="26" t="str">
        <f t="shared" si="6"/>
        <v>Contraction</v>
      </c>
      <c r="L9" s="26" t="str">
        <f t="shared" si="6"/>
        <v>Contraction</v>
      </c>
      <c r="M9" s="26" t="str">
        <f t="shared" si="6"/>
        <v>Contraction</v>
      </c>
      <c r="N9" s="26" t="str">
        <f t="shared" si="6"/>
        <v>Contraction</v>
      </c>
      <c r="O9" s="26" t="str">
        <f t="shared" si="6"/>
        <v>Growth</v>
      </c>
      <c r="P9" s="26" t="str">
        <f t="shared" si="6"/>
        <v>Growth</v>
      </c>
      <c r="Q9" s="26" t="str">
        <f t="shared" si="6"/>
        <v>Growth</v>
      </c>
      <c r="R9" s="26" t="str">
        <f t="shared" si="6"/>
        <v>Contraction</v>
      </c>
      <c r="S9" s="26" t="str">
        <f t="shared" si="6"/>
        <v>Contraction</v>
      </c>
      <c r="T9" s="26" t="str">
        <f t="shared" si="6"/>
        <v>Growth</v>
      </c>
      <c r="U9" s="26" t="str">
        <f t="shared" si="6"/>
        <v>Contraction</v>
      </c>
      <c r="V9" s="26" t="str">
        <f t="shared" si="6"/>
        <v>Contraction</v>
      </c>
      <c r="W9" s="26" t="str">
        <f t="shared" si="6"/>
        <v>Contraction</v>
      </c>
      <c r="X9" s="26" t="str">
        <f t="shared" si="6"/>
        <v>Contraction</v>
      </c>
      <c r="Y9" s="26" t="str">
        <f t="shared" si="6"/>
        <v>Contraction</v>
      </c>
      <c r="Z9" s="26" t="str">
        <f t="shared" si="6"/>
        <v>Contraction</v>
      </c>
      <c r="AA9" s="26" t="str">
        <f t="shared" si="6"/>
        <v>Contraction</v>
      </c>
      <c r="AB9" s="26" t="str">
        <f t="shared" si="6"/>
        <v>Contraction</v>
      </c>
    </row>
    <row r="10" spans="2:36" ht="26.25" customHeight="1" thickBot="1" x14ac:dyDescent="0.4">
      <c r="B10" s="27" t="s">
        <v>148</v>
      </c>
      <c r="C10" s="28" t="e">
        <f t="shared" ref="C10:AB10" si="7">IF(C8&gt;0,"+","-")</f>
        <v>#N/A</v>
      </c>
      <c r="D10" s="28" t="str">
        <f t="shared" si="7"/>
        <v>-</v>
      </c>
      <c r="E10" s="28" t="str">
        <f t="shared" si="7"/>
        <v>-</v>
      </c>
      <c r="F10" s="28" t="str">
        <f t="shared" si="7"/>
        <v>+</v>
      </c>
      <c r="G10" s="28" t="str">
        <f t="shared" si="7"/>
        <v>+</v>
      </c>
      <c r="H10" s="28" t="str">
        <f t="shared" si="7"/>
        <v>-</v>
      </c>
      <c r="I10" s="28" t="str">
        <f t="shared" si="7"/>
        <v>+</v>
      </c>
      <c r="J10" s="28" t="str">
        <f t="shared" si="7"/>
        <v>+</v>
      </c>
      <c r="K10" s="28" t="str">
        <f t="shared" si="7"/>
        <v>+</v>
      </c>
      <c r="L10" s="28" t="str">
        <f t="shared" si="7"/>
        <v>+</v>
      </c>
      <c r="M10" s="28" t="str">
        <f t="shared" si="7"/>
        <v>+</v>
      </c>
      <c r="N10" s="28" t="str">
        <f t="shared" si="7"/>
        <v>-</v>
      </c>
      <c r="O10" s="28" t="str">
        <f t="shared" si="7"/>
        <v>+</v>
      </c>
      <c r="P10" s="28" t="str">
        <f t="shared" si="7"/>
        <v>+</v>
      </c>
      <c r="Q10" s="28" t="str">
        <f t="shared" si="7"/>
        <v>+</v>
      </c>
      <c r="R10" s="28" t="str">
        <f t="shared" si="7"/>
        <v>+</v>
      </c>
      <c r="S10" s="28" t="str">
        <f t="shared" si="7"/>
        <v>-</v>
      </c>
      <c r="T10" s="28" t="str">
        <f t="shared" si="7"/>
        <v>-</v>
      </c>
      <c r="U10" s="28" t="str">
        <f t="shared" si="7"/>
        <v>+</v>
      </c>
      <c r="V10" s="28" t="str">
        <f t="shared" si="7"/>
        <v>+</v>
      </c>
      <c r="W10" s="28" t="str">
        <f t="shared" si="7"/>
        <v>+</v>
      </c>
      <c r="X10" s="28" t="str">
        <f t="shared" si="7"/>
        <v>-</v>
      </c>
      <c r="Y10" s="28" t="str">
        <f t="shared" si="7"/>
        <v>-</v>
      </c>
      <c r="Z10" s="28" t="str">
        <f t="shared" si="7"/>
        <v>-</v>
      </c>
      <c r="AA10" s="28" t="str">
        <f t="shared" si="7"/>
        <v>+</v>
      </c>
      <c r="AB10" s="28" t="str">
        <f t="shared" si="7"/>
        <v>-</v>
      </c>
    </row>
    <row r="11" spans="2:36" ht="26.25" customHeight="1" x14ac:dyDescent="0.35"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</row>
    <row r="12" spans="2:36" x14ac:dyDescent="0.35">
      <c r="B12" s="29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35">
      <c r="B13" s="29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35">
      <c r="B14" s="29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35">
      <c r="B15" s="29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35">
      <c r="B16" s="29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35">
      <c r="B17" s="29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35">
      <c r="B18" s="29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35">
      <c r="B19" s="29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35">
      <c r="B20" s="29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35">
      <c r="B21" s="29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35">
      <c r="B22" s="29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35">
      <c r="B23" s="29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35">
      <c r="B24" s="29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35">
      <c r="B25" s="29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35">
      <c r="B26" s="29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35">
      <c r="B27" s="29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35">
      <c r="B28" s="29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35">
      <c r="B29" s="29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35">
      <c r="B30" s="29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35">
      <c r="B31" s="29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35">
      <c r="B32" s="29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35">
      <c r="B33" s="29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35">
      <c r="B34" s="29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35">
      <c r="B35" s="29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35">
      <c r="B36" s="29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35">
      <c r="B37" s="29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35">
      <c r="B38" s="29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35">
      <c r="B39" s="29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35">
      <c r="B40" s="29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35">
      <c r="B41" s="29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35">
      <c r="B42" s="29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35">
      <c r="B43" s="29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35">
      <c r="B44" s="29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35">
      <c r="B45" s="29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35">
      <c r="B46" s="29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35">
      <c r="B47" s="29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35">
      <c r="B48" s="29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6" customFormat="1" x14ac:dyDescent="0.35">
      <c r="B49" s="29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6" customFormat="1" x14ac:dyDescent="0.35">
      <c r="B50" s="29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6" customFormat="1" x14ac:dyDescent="0.35">
      <c r="B51" s="29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6" customFormat="1" x14ac:dyDescent="0.35">
      <c r="B52" s="29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6" customFormat="1" x14ac:dyDescent="0.35">
      <c r="B53" s="29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6" customFormat="1" x14ac:dyDescent="0.35">
      <c r="B54" s="29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6" customFormat="1" x14ac:dyDescent="0.35">
      <c r="B55" s="29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6" customFormat="1" x14ac:dyDescent="0.35">
      <c r="B56" s="29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6" customFormat="1" x14ac:dyDescent="0.35">
      <c r="B57" s="29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6" customFormat="1" x14ac:dyDescent="0.35">
      <c r="B58" s="29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6" customFormat="1" x14ac:dyDescent="0.35">
      <c r="B59" s="29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6" customFormat="1" x14ac:dyDescent="0.35">
      <c r="B60" s="29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6" customFormat="1" x14ac:dyDescent="0.35">
      <c r="B61" s="29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6" customFormat="1" x14ac:dyDescent="0.35">
      <c r="B62" s="29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6" customFormat="1" x14ac:dyDescent="0.35">
      <c r="B63" s="29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6" customFormat="1" x14ac:dyDescent="0.35">
      <c r="B64" s="29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6" customFormat="1" x14ac:dyDescent="0.35">
      <c r="B65" s="29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6" customFormat="1" x14ac:dyDescent="0.35">
      <c r="B66" s="29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6" customFormat="1" x14ac:dyDescent="0.35">
      <c r="B67" s="29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>53.2</v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6" customFormat="1" x14ac:dyDescent="0.35">
      <c r="B68" s="29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>53.6</v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>58.6</v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>57.5</v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>50.4</v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>58.4</v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>52.9</v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>58.5</v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>57.6</v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>57.3</v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>58.3</v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>56.9</v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>49.6</v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>48</v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>48.6</v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>54.9</v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>56.6</v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>53.2</v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>51.2</v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>53.8</v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>54.3</v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>57.8</v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>57.8</v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>50.4</v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>56.5</v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>54.7</v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>50.66</v>
      </c>
    </row>
    <row r="69" spans="2:28" s="56" customFormat="1" x14ac:dyDescent="0.35">
      <c r="B69" s="29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>52.9</v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>57.1</v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>58.5</v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>48.1</v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>57</v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>53.2</v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>57.6</v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>54.8</v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>55.5</v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>55.8</v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>54.2</v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>52.3</v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>49.2</v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>44.1</v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>54</v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>58.9</v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>55.7</v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>51.3</v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>51.2</v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>54.1</v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>54.6</v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>59.4</v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>49.4</v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>54.7</v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>52.7</v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>62.1</v>
      </c>
    </row>
    <row r="70" spans="2:28" s="56" customFormat="1" x14ac:dyDescent="0.35">
      <c r="B70" s="29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>52.2</v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>55.4</v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>59.2</v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>46</v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>55.5</v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>53.5</v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>54.6</v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>55.7</v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>55.3</v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>54.5</v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>53.3</v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>51.8</v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>49.3</v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>48.2</v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>54.7</v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>56.2</v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>58.5</v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>51.9</v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>52.1</v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>51.7</v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>54.8</v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>59.1</v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>49.2</v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>54.4</v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>52.4</v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>63</v>
      </c>
    </row>
    <row r="71" spans="2:28" s="56" customFormat="1" x14ac:dyDescent="0.35">
      <c r="B71" s="29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>52.3</v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>56.1</v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>57.5</v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>48.1</v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>54.4</v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>53.2</v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>54.7</v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>54.5</v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>54.6</v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>51.9</v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>53.8</v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>54.2</v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>50.6</v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>50.8</v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>54.6</v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>56.8</v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>52.4</v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>50.8</v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>51.8</v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>50</v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>53.8</v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>56.4</v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>49.2</v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>52.3</v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>48.5</v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>60.7</v>
      </c>
    </row>
    <row r="72" spans="2:28" s="56" customFormat="1" x14ac:dyDescent="0.35">
      <c r="B72" s="29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>52.2</v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>53</v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>52.4</v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>51.7</v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>52</v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>52.7</v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>52</v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>51</v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>53.4</v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>50.9</v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>52.6</v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>54.1</v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>52.2</v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>50.9</v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>53.9</v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>54.6</v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>54</v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>50.2</v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>51.3</v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>49.8</v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>51.1</v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>53.1</v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>48.1</v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>49</v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>44.4</v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>71.3</v>
      </c>
    </row>
    <row r="73" spans="2:28" s="56" customFormat="1" x14ac:dyDescent="0.35">
      <c r="B73" s="29">
        <v>44743</v>
      </c>
      <c r="C73" s="37" t="e">
        <f>IF((VLOOKUP(B73,'DB PMI Manufacturing World'!$A:$AA,MATCH($C$1,'DB PMI Manufacturing World'!$A$1:$AA$1,),))=0,#N/A, (VLOOKUP(B73,'DB PMI Manufacturing World'!$A:$AA,MATCH($C$1,'DB PMI Manufacturing World'!$A$1:$AA$1,),)))</f>
        <v>#N/A</v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>52.8</v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>52.2</v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>50.4</v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>49.8</v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>52.1</v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>49.3</v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>49.5</v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>52.1</v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>48.5</v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>48.7</v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>54</v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>48.5</v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>50.3</v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>56.4</v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>52.5</v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>52.5</v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>51.3</v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>49.8</v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>44.6</v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>49.1</v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>51.8</v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>46.9</v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>46.8</v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>42.1</v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>38</v>
      </c>
    </row>
    <row r="74" spans="2:28" s="56" customFormat="1" x14ac:dyDescent="0.35">
      <c r="B74" s="29">
        <v>44774</v>
      </c>
      <c r="C74" s="37" t="e">
        <f>IF((VLOOKUP(B74,'DB PMI Manufacturing World'!$A:$AA,MATCH($C$1,'DB PMI Manufacturing World'!$A$1:$AA$1,),))=0,#N/A, (VLOOKUP(B74,'DB PMI Manufacturing World'!$A:$AA,MATCH($C$1,'DB PMI Manufacturing World'!$A$1:$AA$1,),)))</f>
        <v>#N/A</v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>52.8</v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>51.5</v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>49.5</v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>49.6</v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>51.5</v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>49.1</v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>50.6</v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>47.3</v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>48</v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>49.9</v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>51.9</v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>48.5</v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>51.7</v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>56.2</v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>48.7</v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>49.3</v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>51.7</v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>47.6</v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>42.7</v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>48.8</v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>51.1</v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>47.4</v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>46.8</v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>40.9</v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>48</v>
      </c>
    </row>
    <row r="75" spans="2:28" s="56" customFormat="1" x14ac:dyDescent="0.35">
      <c r="B75" s="29">
        <v>44805</v>
      </c>
      <c r="C75" s="37" t="e">
        <f>IF((VLOOKUP(B75,'DB PMI Manufacturing World'!$A:$AA,MATCH($C$1,'DB PMI Manufacturing World'!$A$1:$AA$1,),))=0,#N/A, (VLOOKUP(B75,'DB PMI Manufacturing World'!$A:$AA,MATCH($C$1,'DB PMI Manufacturing World'!$A$1:$AA$1,),)))</f>
        <v>#N/A</v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>50.9</v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>52</v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>48.1</v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>48.4</v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>50.8</v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>47.8</v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>47.7</v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>48.4</v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>48.3</v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>49</v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>51.1</v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>50.3</v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>52</v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>55.1</v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>49.8</v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>50.2</v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>53.7</v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>47.3</v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>42.2</v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>49.7</v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>51.5</v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>46.9</v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>44.7</v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>43</v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>49.8</v>
      </c>
    </row>
    <row r="76" spans="2:28" s="56" customFormat="1" x14ac:dyDescent="0.35">
      <c r="B76" s="29">
        <v>44835</v>
      </c>
      <c r="C76" s="37" t="e">
        <f>IF((VLOOKUP(B76,'DB PMI Manufacturing World'!$A:$AA,MATCH($C$1,'DB PMI Manufacturing World'!$A$1:$AA$1,),))=0,#N/A, (VLOOKUP(B76,'DB PMI Manufacturing World'!$A:$AA,MATCH($C$1,'DB PMI Manufacturing World'!$A$1:$AA$1,),)))</f>
        <v>#N/A</v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>50.2</v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>50.4</v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>49.2</v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>46.4</v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>50.7</v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>45.1</v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>47.2</v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>46.2</v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>46.5</v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>44.7</v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>50.8</v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>50.3</v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>50.7</v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>55.3</v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>48.8</v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>49.6</v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>51.8</v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>48.2</v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>41.5</v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>48.1</v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>51.4</v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>46.4</v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>41.7</v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>42</v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>52.09</v>
      </c>
    </row>
    <row r="77" spans="2:28" s="56" customFormat="1" x14ac:dyDescent="0.35">
      <c r="B77" s="29">
        <v>44866</v>
      </c>
      <c r="C77" s="37" t="e">
        <f>IF((VLOOKUP(B77,'DB PMI Manufacturing World'!$A:$AA,MATCH($C$1,'DB PMI Manufacturing World'!$A$1:$AA$1,),))=0,#N/A, (VLOOKUP(B77,'DB PMI Manufacturing World'!$A:$AA,MATCH($C$1,'DB PMI Manufacturing World'!$A$1:$AA$1,),)))</f>
        <v>#N/A</v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>49</v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>47.7</v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>49.4</v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>47.1</v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>49</v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>46.2</v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>48.3</v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>46.5</v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>48.4</v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>45.7</v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>44.3</v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>50.6</v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>53.2</v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>55.7</v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>49.6</v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>44.7</v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>50.3</v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>49</v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>41.6</v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>48.4</v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>48.7</v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>45.7</v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>41.6</v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>43.4</v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>45.48</v>
      </c>
    </row>
    <row r="78" spans="2:28" s="56" customFormat="1" x14ac:dyDescent="0.35"/>
    <row r="79" spans="2:28" s="56" customFormat="1" x14ac:dyDescent="0.35"/>
    <row r="80" spans="2:28" s="56" customFormat="1" x14ac:dyDescent="0.35"/>
    <row r="81" s="56" customFormat="1" x14ac:dyDescent="0.35"/>
    <row r="82" s="56" customFormat="1" x14ac:dyDescent="0.35"/>
    <row r="83" s="56" customFormat="1" x14ac:dyDescent="0.35"/>
    <row r="84" s="56" customFormat="1" x14ac:dyDescent="0.35"/>
    <row r="85" s="56" customFormat="1" x14ac:dyDescent="0.35"/>
    <row r="86" s="56" customFormat="1" x14ac:dyDescent="0.35"/>
    <row r="87" s="56" customFormat="1" x14ac:dyDescent="0.35"/>
    <row r="88" s="56" customFormat="1" x14ac:dyDescent="0.35"/>
    <row r="89" s="56" customFormat="1" x14ac:dyDescent="0.35"/>
    <row r="90" s="56" customFormat="1" x14ac:dyDescent="0.35"/>
    <row r="91" s="56" customFormat="1" x14ac:dyDescent="0.35"/>
    <row r="92" s="56" customFormat="1" x14ac:dyDescent="0.35"/>
    <row r="93" s="56" customFormat="1" x14ac:dyDescent="0.35"/>
    <row r="94" s="56" customFormat="1" x14ac:dyDescent="0.35"/>
    <row r="95" s="56" customFormat="1" x14ac:dyDescent="0.35"/>
    <row r="96" s="56" customFormat="1" x14ac:dyDescent="0.35"/>
    <row r="97" s="56" customFormat="1" x14ac:dyDescent="0.35"/>
    <row r="98" s="56" customFormat="1" x14ac:dyDescent="0.35"/>
    <row r="99" s="56" customFormat="1" x14ac:dyDescent="0.35"/>
    <row r="100" s="56" customFormat="1" x14ac:dyDescent="0.35"/>
    <row r="101" s="56" customFormat="1" x14ac:dyDescent="0.35"/>
    <row r="102" s="56" customFormat="1" x14ac:dyDescent="0.35"/>
    <row r="103" s="56" customFormat="1" x14ac:dyDescent="0.35"/>
    <row r="104" s="56" customFormat="1" x14ac:dyDescent="0.35"/>
    <row r="105" s="56" customFormat="1" x14ac:dyDescent="0.35"/>
    <row r="106" s="56" customFormat="1" x14ac:dyDescent="0.35"/>
    <row r="107" s="56" customFormat="1" x14ac:dyDescent="0.35"/>
    <row r="108" s="56" customFormat="1" x14ac:dyDescent="0.35"/>
    <row r="109" s="56" customFormat="1" x14ac:dyDescent="0.35"/>
    <row r="110" s="56" customFormat="1" x14ac:dyDescent="0.35"/>
    <row r="111" s="56" customFormat="1" x14ac:dyDescent="0.35"/>
    <row r="112" s="56" customFormat="1" x14ac:dyDescent="0.35"/>
    <row r="113" s="56" customFormat="1" x14ac:dyDescent="0.35"/>
    <row r="114" s="56" customFormat="1" x14ac:dyDescent="0.35"/>
    <row r="115" s="56" customFormat="1" x14ac:dyDescent="0.35"/>
    <row r="116" s="56" customFormat="1" x14ac:dyDescent="0.35"/>
    <row r="117" s="56" customFormat="1" x14ac:dyDescent="0.35"/>
    <row r="118" s="56" customFormat="1" x14ac:dyDescent="0.35"/>
    <row r="119" s="56" customFormat="1" x14ac:dyDescent="0.35"/>
    <row r="120" s="56" customFormat="1" x14ac:dyDescent="0.35"/>
    <row r="121" s="56" customFormat="1" x14ac:dyDescent="0.35"/>
    <row r="122" s="56" customFormat="1" x14ac:dyDescent="0.35"/>
    <row r="123" s="56" customFormat="1" x14ac:dyDescent="0.35"/>
    <row r="124" s="56" customFormat="1" x14ac:dyDescent="0.35"/>
    <row r="125" s="56" customFormat="1" x14ac:dyDescent="0.35"/>
    <row r="126" s="56" customFormat="1" x14ac:dyDescent="0.35"/>
    <row r="127" s="56" customFormat="1" x14ac:dyDescent="0.35"/>
    <row r="128" s="56" customFormat="1" x14ac:dyDescent="0.35"/>
    <row r="129" s="56" customFormat="1" x14ac:dyDescent="0.35"/>
    <row r="130" s="56" customFormat="1" x14ac:dyDescent="0.35"/>
    <row r="131" s="56" customFormat="1" x14ac:dyDescent="0.35"/>
    <row r="132" s="56" customFormat="1" x14ac:dyDescent="0.35"/>
    <row r="133" s="56" customFormat="1" x14ac:dyDescent="0.35"/>
    <row r="134" s="56" customFormat="1" x14ac:dyDescent="0.35"/>
    <row r="135" s="56" customFormat="1" x14ac:dyDescent="0.35"/>
    <row r="136" s="56" customFormat="1" x14ac:dyDescent="0.35"/>
    <row r="137" s="56" customFormat="1" x14ac:dyDescent="0.35"/>
    <row r="138" s="56" customFormat="1" x14ac:dyDescent="0.35"/>
    <row r="139" s="56" customFormat="1" x14ac:dyDescent="0.35"/>
    <row r="140" s="56" customFormat="1" x14ac:dyDescent="0.35"/>
    <row r="141" s="56" customFormat="1" x14ac:dyDescent="0.35"/>
    <row r="142" s="56" customFormat="1" x14ac:dyDescent="0.35"/>
    <row r="143" s="56" customFormat="1" x14ac:dyDescent="0.35"/>
    <row r="144" s="56" customFormat="1" x14ac:dyDescent="0.35"/>
    <row r="145" s="56" customFormat="1" x14ac:dyDescent="0.35"/>
    <row r="146" s="56" customFormat="1" x14ac:dyDescent="0.35"/>
    <row r="147" s="56" customFormat="1" x14ac:dyDescent="0.35"/>
    <row r="148" s="56" customFormat="1" x14ac:dyDescent="0.35"/>
    <row r="149" s="56" customFormat="1" x14ac:dyDescent="0.35"/>
    <row r="150" s="56" customFormat="1" x14ac:dyDescent="0.35"/>
    <row r="151" s="56" customFormat="1" x14ac:dyDescent="0.35"/>
    <row r="152" s="56" customFormat="1" x14ac:dyDescent="0.35"/>
    <row r="153" s="56" customFormat="1" x14ac:dyDescent="0.35"/>
    <row r="154" s="56" customFormat="1" x14ac:dyDescent="0.35"/>
    <row r="155" s="56" customFormat="1" x14ac:dyDescent="0.35"/>
    <row r="156" s="56" customFormat="1" x14ac:dyDescent="0.35"/>
    <row r="157" s="56" customFormat="1" x14ac:dyDescent="0.35"/>
    <row r="158" s="56" customFormat="1" x14ac:dyDescent="0.35"/>
    <row r="159" s="56" customFormat="1" x14ac:dyDescent="0.35"/>
    <row r="160" s="56" customFormat="1" x14ac:dyDescent="0.35"/>
    <row r="161" s="56" customFormat="1" x14ac:dyDescent="0.35"/>
    <row r="162" s="56" customFormat="1" x14ac:dyDescent="0.35"/>
    <row r="163" s="56" customFormat="1" x14ac:dyDescent="0.35"/>
    <row r="164" s="56" customFormat="1" x14ac:dyDescent="0.35"/>
    <row r="165" s="56" customFormat="1" x14ac:dyDescent="0.35"/>
    <row r="166" s="56" customFormat="1" x14ac:dyDescent="0.35"/>
    <row r="167" s="56" customFormat="1" x14ac:dyDescent="0.35"/>
    <row r="168" s="56" customFormat="1" x14ac:dyDescent="0.35"/>
    <row r="169" s="56" customFormat="1" x14ac:dyDescent="0.35"/>
    <row r="170" s="56" customFormat="1" x14ac:dyDescent="0.35"/>
    <row r="171" s="56" customFormat="1" x14ac:dyDescent="0.35"/>
    <row r="172" s="56" customFormat="1" x14ac:dyDescent="0.35"/>
    <row r="173" s="56" customFormat="1" x14ac:dyDescent="0.35"/>
    <row r="174" s="56" customFormat="1" x14ac:dyDescent="0.35"/>
    <row r="175" s="56" customFormat="1" x14ac:dyDescent="0.35"/>
    <row r="176" s="56" customFormat="1" x14ac:dyDescent="0.35"/>
    <row r="177" s="56" customFormat="1" x14ac:dyDescent="0.35"/>
    <row r="178" s="56" customFormat="1" x14ac:dyDescent="0.35"/>
    <row r="179" s="56" customFormat="1" x14ac:dyDescent="0.35"/>
    <row r="180" s="56" customFormat="1" x14ac:dyDescent="0.35"/>
    <row r="181" s="56" customFormat="1" x14ac:dyDescent="0.35"/>
    <row r="182" s="56" customFormat="1" x14ac:dyDescent="0.35"/>
    <row r="183" s="56" customFormat="1" x14ac:dyDescent="0.35"/>
    <row r="184" s="56" customFormat="1" x14ac:dyDescent="0.35"/>
    <row r="185" s="56" customFormat="1" x14ac:dyDescent="0.35"/>
    <row r="186" s="56" customFormat="1" x14ac:dyDescent="0.35"/>
    <row r="187" s="56" customFormat="1" x14ac:dyDescent="0.35"/>
    <row r="188" s="56" customFormat="1" x14ac:dyDescent="0.35"/>
    <row r="189" s="56" customFormat="1" x14ac:dyDescent="0.35"/>
    <row r="190" s="56" customFormat="1" x14ac:dyDescent="0.35"/>
    <row r="191" s="56" customFormat="1" x14ac:dyDescent="0.35"/>
    <row r="192" s="56" customFormat="1" x14ac:dyDescent="0.35"/>
    <row r="193" s="56" customFormat="1" x14ac:dyDescent="0.35"/>
    <row r="194" s="56" customFormat="1" x14ac:dyDescent="0.35"/>
    <row r="195" s="56" customFormat="1" x14ac:dyDescent="0.35"/>
    <row r="196" s="56" customFormat="1" x14ac:dyDescent="0.35"/>
    <row r="197" s="56" customFormat="1" x14ac:dyDescent="0.35"/>
    <row r="198" s="56" customFormat="1" x14ac:dyDescent="0.35"/>
    <row r="199" s="56" customFormat="1" x14ac:dyDescent="0.35"/>
    <row r="200" s="56" customFormat="1" x14ac:dyDescent="0.35"/>
    <row r="201" s="56" customFormat="1" x14ac:dyDescent="0.35"/>
    <row r="202" s="56" customFormat="1" x14ac:dyDescent="0.35"/>
    <row r="203" s="56" customFormat="1" x14ac:dyDescent="0.35"/>
    <row r="204" s="56" customFormat="1" x14ac:dyDescent="0.35"/>
    <row r="205" s="56" customFormat="1" x14ac:dyDescent="0.35"/>
    <row r="206" s="56" customFormat="1" x14ac:dyDescent="0.35"/>
    <row r="207" s="56" customFormat="1" x14ac:dyDescent="0.35"/>
    <row r="208" s="56" customFormat="1" x14ac:dyDescent="0.35"/>
    <row r="209" s="56" customFormat="1" x14ac:dyDescent="0.35"/>
    <row r="210" s="56" customFormat="1" x14ac:dyDescent="0.35"/>
    <row r="211" s="56" customFormat="1" x14ac:dyDescent="0.35"/>
    <row r="212" s="56" customFormat="1" x14ac:dyDescent="0.35"/>
    <row r="213" s="56" customFormat="1" x14ac:dyDescent="0.35"/>
    <row r="214" s="56" customFormat="1" x14ac:dyDescent="0.35"/>
    <row r="215" s="56" customFormat="1" x14ac:dyDescent="0.35"/>
    <row r="216" s="56" customFormat="1" x14ac:dyDescent="0.35"/>
    <row r="217" s="56" customFormat="1" x14ac:dyDescent="0.35"/>
    <row r="218" s="56" customFormat="1" x14ac:dyDescent="0.35"/>
    <row r="219" s="56" customFormat="1" x14ac:dyDescent="0.35"/>
    <row r="220" s="56" customFormat="1" x14ac:dyDescent="0.35"/>
    <row r="221" s="56" customFormat="1" x14ac:dyDescent="0.35"/>
    <row r="222" s="56" customFormat="1" x14ac:dyDescent="0.35"/>
    <row r="223" s="56" customFormat="1" x14ac:dyDescent="0.35"/>
    <row r="224" s="56" customFormat="1" x14ac:dyDescent="0.35"/>
    <row r="225" s="56" customFormat="1" x14ac:dyDescent="0.35"/>
    <row r="226" s="56" customFormat="1" x14ac:dyDescent="0.35"/>
    <row r="227" s="56" customFormat="1" x14ac:dyDescent="0.35"/>
    <row r="228" s="56" customFormat="1" x14ac:dyDescent="0.35"/>
    <row r="229" s="56" customFormat="1" x14ac:dyDescent="0.35"/>
    <row r="230" s="56" customFormat="1" x14ac:dyDescent="0.35"/>
    <row r="231" s="56" customFormat="1" x14ac:dyDescent="0.35"/>
    <row r="232" s="56" customFormat="1" x14ac:dyDescent="0.35"/>
    <row r="233" s="56" customFormat="1" x14ac:dyDescent="0.35"/>
    <row r="234" s="56" customFormat="1" x14ac:dyDescent="0.35"/>
    <row r="235" s="56" customFormat="1" x14ac:dyDescent="0.35"/>
    <row r="236" s="56" customFormat="1" x14ac:dyDescent="0.35"/>
    <row r="237" s="56" customFormat="1" x14ac:dyDescent="0.35"/>
    <row r="238" s="56" customFormat="1" x14ac:dyDescent="0.35"/>
    <row r="239" s="56" customFormat="1" x14ac:dyDescent="0.35"/>
    <row r="240" s="56" customFormat="1" x14ac:dyDescent="0.35"/>
    <row r="241" s="56" customFormat="1" x14ac:dyDescent="0.35"/>
    <row r="242" s="56" customFormat="1" x14ac:dyDescent="0.35"/>
    <row r="243" s="56" customFormat="1" x14ac:dyDescent="0.35"/>
    <row r="244" s="56" customFormat="1" x14ac:dyDescent="0.35"/>
    <row r="245" s="56" customFormat="1" x14ac:dyDescent="0.35"/>
    <row r="246" s="56" customFormat="1" x14ac:dyDescent="0.35"/>
    <row r="247" s="56" customFormat="1" x14ac:dyDescent="0.35"/>
    <row r="248" s="56" customFormat="1" x14ac:dyDescent="0.35"/>
    <row r="249" s="56" customFormat="1" x14ac:dyDescent="0.35"/>
    <row r="250" s="56" customFormat="1" x14ac:dyDescent="0.35"/>
    <row r="251" s="56" customFormat="1" x14ac:dyDescent="0.35"/>
    <row r="252" s="56" customFormat="1" x14ac:dyDescent="0.35"/>
    <row r="253" s="56" customFormat="1" x14ac:dyDescent="0.35"/>
    <row r="254" s="56" customFormat="1" x14ac:dyDescent="0.35"/>
    <row r="255" s="56" customFormat="1" x14ac:dyDescent="0.35"/>
    <row r="256" s="56" customFormat="1" x14ac:dyDescent="0.35"/>
    <row r="257" s="56" customFormat="1" x14ac:dyDescent="0.35"/>
    <row r="258" s="56" customFormat="1" x14ac:dyDescent="0.35"/>
    <row r="259" s="56" customFormat="1" x14ac:dyDescent="0.35"/>
    <row r="260" s="56" customFormat="1" x14ac:dyDescent="0.35"/>
    <row r="261" s="56" customFormat="1" x14ac:dyDescent="0.35"/>
    <row r="262" s="56" customFormat="1" x14ac:dyDescent="0.35"/>
    <row r="263" s="56" customFormat="1" x14ac:dyDescent="0.35"/>
    <row r="264" s="56" customFormat="1" x14ac:dyDescent="0.35"/>
    <row r="265" s="56" customFormat="1" x14ac:dyDescent="0.35"/>
    <row r="266" s="56" customFormat="1" x14ac:dyDescent="0.35"/>
    <row r="267" s="56" customFormat="1" x14ac:dyDescent="0.35"/>
    <row r="268" s="56" customFormat="1" x14ac:dyDescent="0.35"/>
    <row r="269" s="56" customFormat="1" x14ac:dyDescent="0.35"/>
    <row r="270" s="56" customFormat="1" x14ac:dyDescent="0.35"/>
    <row r="271" s="56" customFormat="1" x14ac:dyDescent="0.35"/>
    <row r="272" s="56" customFormat="1" x14ac:dyDescent="0.35"/>
    <row r="273" s="56" customFormat="1" x14ac:dyDescent="0.35"/>
    <row r="274" s="56" customFormat="1" x14ac:dyDescent="0.35"/>
    <row r="275" s="56" customFormat="1" x14ac:dyDescent="0.35"/>
    <row r="276" s="56" customFormat="1" x14ac:dyDescent="0.35"/>
    <row r="277" s="56" customFormat="1" x14ac:dyDescent="0.35"/>
    <row r="278" s="56" customFormat="1" x14ac:dyDescent="0.35"/>
    <row r="279" s="56" customFormat="1" x14ac:dyDescent="0.35"/>
    <row r="280" s="56" customFormat="1" x14ac:dyDescent="0.35"/>
    <row r="281" s="56" customFormat="1" x14ac:dyDescent="0.35"/>
    <row r="282" s="56" customFormat="1" x14ac:dyDescent="0.35"/>
    <row r="283" s="56" customFormat="1" x14ac:dyDescent="0.35"/>
    <row r="284" s="56" customFormat="1" x14ac:dyDescent="0.35"/>
    <row r="285" s="56" customFormat="1" x14ac:dyDescent="0.35"/>
    <row r="286" s="56" customFormat="1" x14ac:dyDescent="0.35"/>
    <row r="287" s="56" customFormat="1" x14ac:dyDescent="0.35"/>
    <row r="288" s="56" customFormat="1" x14ac:dyDescent="0.35"/>
    <row r="289" s="56" customFormat="1" x14ac:dyDescent="0.35"/>
    <row r="290" s="56" customFormat="1" x14ac:dyDescent="0.35"/>
    <row r="291" s="56" customFormat="1" x14ac:dyDescent="0.35"/>
    <row r="292" s="56" customFormat="1" x14ac:dyDescent="0.35"/>
    <row r="293" s="56" customFormat="1" x14ac:dyDescent="0.35"/>
    <row r="294" s="56" customFormat="1" x14ac:dyDescent="0.35"/>
    <row r="295" s="56" customFormat="1" x14ac:dyDescent="0.35"/>
    <row r="296" s="56" customFormat="1" x14ac:dyDescent="0.35"/>
    <row r="297" s="56" customFormat="1" x14ac:dyDescent="0.35"/>
    <row r="298" s="56" customFormat="1" x14ac:dyDescent="0.35"/>
    <row r="299" s="56" customFormat="1" x14ac:dyDescent="0.35"/>
    <row r="300" s="56" customFormat="1" x14ac:dyDescent="0.35"/>
    <row r="301" s="56" customFormat="1" x14ac:dyDescent="0.35"/>
    <row r="302" s="56" customFormat="1" x14ac:dyDescent="0.35"/>
    <row r="303" s="56" customFormat="1" x14ac:dyDescent="0.35"/>
    <row r="304" s="56" customFormat="1" x14ac:dyDescent="0.35"/>
    <row r="305" s="56" customFormat="1" x14ac:dyDescent="0.35"/>
    <row r="306" s="56" customFormat="1" x14ac:dyDescent="0.35"/>
    <row r="307" s="56" customFormat="1" x14ac:dyDescent="0.35"/>
    <row r="308" s="56" customFormat="1" x14ac:dyDescent="0.35"/>
    <row r="309" s="56" customFormat="1" x14ac:dyDescent="0.35"/>
    <row r="310" s="56" customFormat="1" x14ac:dyDescent="0.35"/>
    <row r="311" s="56" customFormat="1" x14ac:dyDescent="0.35"/>
    <row r="312" s="56" customFormat="1" x14ac:dyDescent="0.35"/>
    <row r="313" s="56" customFormat="1" x14ac:dyDescent="0.35"/>
    <row r="314" s="56" customFormat="1" x14ac:dyDescent="0.35"/>
    <row r="315" s="56" customFormat="1" x14ac:dyDescent="0.35"/>
    <row r="316" s="56" customFormat="1" x14ac:dyDescent="0.35"/>
    <row r="317" s="56" customFormat="1" x14ac:dyDescent="0.35"/>
    <row r="318" s="56" customFormat="1" x14ac:dyDescent="0.35"/>
    <row r="319" s="56" customFormat="1" x14ac:dyDescent="0.35"/>
    <row r="320" s="56" customFormat="1" x14ac:dyDescent="0.35"/>
  </sheetData>
  <conditionalFormatting sqref="C6:AB6">
    <cfRule type="containsText" dxfId="7" priority="15" operator="containsText" text="below">
      <formula>NOT(ISERROR(SEARCH("below",C6)))</formula>
    </cfRule>
    <cfRule type="containsText" dxfId="6" priority="16" operator="containsText" text="above">
      <formula>NOT(ISERROR(SEARCH("above",C6)))</formula>
    </cfRule>
  </conditionalFormatting>
  <conditionalFormatting sqref="C8:AB8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2022-12-27T12:52:49Z</dcterms:modified>
</cp:coreProperties>
</file>