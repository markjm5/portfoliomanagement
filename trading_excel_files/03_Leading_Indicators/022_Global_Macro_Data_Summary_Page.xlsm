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830C8C11-43BF-2C48-9903-4694EDB95E6A}" xr6:coauthVersionLast="47" xr6:coauthVersionMax="47" xr10:uidLastSave="{00000000-0000-0000-0000-000000000000}"/>
  <bookViews>
    <workbookView xWindow="-59640" yWindow="700" windowWidth="49360" windowHeight="24360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6" l="1"/>
  <c r="K15" i="6"/>
  <c r="I15" i="6"/>
  <c r="J16" i="6"/>
  <c r="K16" i="6"/>
  <c r="I16" i="6"/>
  <c r="J14" i="6"/>
  <c r="K14" i="6"/>
  <c r="I14" i="6"/>
  <c r="J13" i="6"/>
  <c r="K13" i="6"/>
  <c r="I13" i="6"/>
  <c r="J12" i="6"/>
  <c r="K12" i="6"/>
  <c r="I12" i="6"/>
  <c r="J11" i="6"/>
  <c r="K11" i="6"/>
  <c r="I11" i="6"/>
  <c r="I10" i="6"/>
  <c r="I9" i="6"/>
  <c r="I8" i="6"/>
  <c r="I7" i="6"/>
  <c r="E16" i="6"/>
  <c r="F16" i="6"/>
  <c r="D16" i="6"/>
  <c r="E15" i="6"/>
  <c r="F15" i="6"/>
  <c r="D15" i="6"/>
  <c r="E14" i="6"/>
  <c r="F14" i="6"/>
  <c r="D14" i="6"/>
  <c r="E13" i="6"/>
  <c r="F13" i="6"/>
  <c r="D13" i="6"/>
  <c r="E12" i="6"/>
  <c r="F12" i="6"/>
  <c r="D12" i="6"/>
  <c r="E11" i="6"/>
  <c r="F11" i="6"/>
  <c r="D11" i="6"/>
  <c r="E10" i="6"/>
  <c r="F10" i="6"/>
  <c r="D10" i="6"/>
  <c r="E9" i="6"/>
  <c r="F9" i="6"/>
  <c r="D9" i="6"/>
  <c r="E8" i="6"/>
  <c r="F8" i="6"/>
  <c r="D8" i="6"/>
  <c r="E7" i="6"/>
  <c r="F7" i="6"/>
  <c r="D7" i="6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X4" i="7" s="1"/>
  <c r="W58" i="7"/>
  <c r="W4" i="7" s="1"/>
  <c r="V58" i="7"/>
  <c r="U58" i="7"/>
  <c r="T58" i="7"/>
  <c r="S58" i="7"/>
  <c r="R58" i="7"/>
  <c r="Q58" i="7"/>
  <c r="P58" i="7"/>
  <c r="P4" i="7" s="1"/>
  <c r="O58" i="7"/>
  <c r="O4" i="7" s="1"/>
  <c r="N58" i="7"/>
  <c r="M58" i="7"/>
  <c r="L58" i="7"/>
  <c r="K58" i="7"/>
  <c r="J58" i="7"/>
  <c r="I58" i="7"/>
  <c r="H58" i="7"/>
  <c r="H4" i="7" s="1"/>
  <c r="G58" i="7"/>
  <c r="G4" i="7" s="1"/>
  <c r="F58" i="7"/>
  <c r="E58" i="7"/>
  <c r="D58" i="7"/>
  <c r="C58" i="7"/>
  <c r="AB57" i="7"/>
  <c r="AA57" i="7"/>
  <c r="Z57" i="7"/>
  <c r="Z3" i="7" s="1"/>
  <c r="Y57" i="7"/>
  <c r="Y3" i="7" s="1"/>
  <c r="X57" i="7"/>
  <c r="W57" i="7"/>
  <c r="V57" i="7"/>
  <c r="U57" i="7"/>
  <c r="T57" i="7"/>
  <c r="S57" i="7"/>
  <c r="R57" i="7"/>
  <c r="R3" i="7" s="1"/>
  <c r="Q57" i="7"/>
  <c r="Q4" i="7" s="1"/>
  <c r="P57" i="7"/>
  <c r="O57" i="7"/>
  <c r="N57" i="7"/>
  <c r="M57" i="7"/>
  <c r="L57" i="7"/>
  <c r="K57" i="7"/>
  <c r="J57" i="7"/>
  <c r="J4" i="7" s="1"/>
  <c r="I57" i="7"/>
  <c r="I3" i="7" s="1"/>
  <c r="H57" i="7"/>
  <c r="G57" i="7"/>
  <c r="F57" i="7"/>
  <c r="E57" i="7"/>
  <c r="D57" i="7"/>
  <c r="C57" i="7"/>
  <c r="AB56" i="7"/>
  <c r="AB4" i="7" s="1"/>
  <c r="AA56" i="7"/>
  <c r="AA4" i="7" s="1"/>
  <c r="Z56" i="7"/>
  <c r="Y56" i="7"/>
  <c r="X56" i="7"/>
  <c r="W56" i="7"/>
  <c r="V56" i="7"/>
  <c r="U56" i="7"/>
  <c r="T56" i="7"/>
  <c r="T4" i="7" s="1"/>
  <c r="S56" i="7"/>
  <c r="S4" i="7" s="1"/>
  <c r="R56" i="7"/>
  <c r="Q56" i="7"/>
  <c r="P56" i="7"/>
  <c r="O56" i="7"/>
  <c r="N56" i="7"/>
  <c r="M56" i="7"/>
  <c r="L56" i="7"/>
  <c r="L4" i="7" s="1"/>
  <c r="K56" i="7"/>
  <c r="K3" i="7" s="1"/>
  <c r="J56" i="7"/>
  <c r="I56" i="7"/>
  <c r="H56" i="7"/>
  <c r="G56" i="7"/>
  <c r="F56" i="7"/>
  <c r="E56" i="7"/>
  <c r="D56" i="7"/>
  <c r="D4" i="7" s="1"/>
  <c r="C56" i="7"/>
  <c r="C4" i="7" s="1"/>
  <c r="AB55" i="7"/>
  <c r="AA55" i="7"/>
  <c r="Z55" i="7"/>
  <c r="Y55" i="7"/>
  <c r="X55" i="7"/>
  <c r="W55" i="7"/>
  <c r="V55" i="7"/>
  <c r="V3" i="7" s="1"/>
  <c r="U55" i="7"/>
  <c r="U3" i="7" s="1"/>
  <c r="T55" i="7"/>
  <c r="S55" i="7"/>
  <c r="R55" i="7"/>
  <c r="Q55" i="7"/>
  <c r="P55" i="7"/>
  <c r="O55" i="7"/>
  <c r="N55" i="7"/>
  <c r="N3" i="7" s="1"/>
  <c r="M55" i="7"/>
  <c r="M3" i="7" s="1"/>
  <c r="L55" i="7"/>
  <c r="K55" i="7"/>
  <c r="J55" i="7"/>
  <c r="I55" i="7"/>
  <c r="H55" i="7"/>
  <c r="G55" i="7"/>
  <c r="F55" i="7"/>
  <c r="F3" i="7" s="1"/>
  <c r="E55" i="7"/>
  <c r="E3" i="7" s="1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Z4" i="7"/>
  <c r="V4" i="7"/>
  <c r="U4" i="7"/>
  <c r="R4" i="7"/>
  <c r="N4" i="7"/>
  <c r="M4" i="7"/>
  <c r="F4" i="7"/>
  <c r="E4" i="7"/>
  <c r="X3" i="7"/>
  <c r="W3" i="7"/>
  <c r="P3" i="7"/>
  <c r="O3" i="7"/>
  <c r="H3" i="7"/>
  <c r="G3" i="7"/>
  <c r="J3" i="7" l="1"/>
  <c r="Y4" i="7"/>
  <c r="C3" i="7"/>
  <c r="I4" i="7"/>
  <c r="S3" i="7"/>
  <c r="AA3" i="7"/>
  <c r="D3" i="7"/>
  <c r="L3" i="7"/>
  <c r="AB3" i="7"/>
  <c r="K4" i="7"/>
  <c r="Q3" i="7"/>
  <c r="T3" i="7"/>
</calcChain>
</file>

<file path=xl/sharedStrings.xml><?xml version="1.0" encoding="utf-8"?>
<sst xmlns="http://schemas.openxmlformats.org/spreadsheetml/2006/main" count="287" uniqueCount="152">
  <si>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</si>
  <si>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</si>
  <si>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</si>
  <si>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</si>
  <si>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</si>
  <si>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</si>
  <si>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</si>
  <si>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</si>
  <si>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</si>
  <si>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</si>
  <si>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</si>
  <si>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</si>
  <si>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</si>
  <si>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</si>
  <si>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</si>
  <si>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</si>
  <si>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</si>
  <si>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</si>
  <si>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</si>
  <si>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</si>
  <si>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</si>
  <si>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0.00-0.25%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</si>
  <si>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</si>
  <si>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</si>
  <si>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</si>
  <si>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</si>
  <si>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</si>
  <si>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</si>
  <si>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</si>
  <si>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</si>
  <si>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</si>
  <si>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</si>
  <si>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</si>
  <si>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</si>
  <si>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</si>
  <si>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</si>
  <si>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</si>
  <si>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</si>
  <si>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</si>
  <si>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</si>
  <si>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</si>
  <si>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</si>
  <si>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</si>
  <si>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</si>
  <si>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</si>
  <si>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</si>
  <si>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</si>
  <si>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</si>
  <si>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</si>
  <si>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</si>
  <si>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</si>
  <si>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</si>
  <si>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</si>
  <si>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</si>
  <si>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</si>
  <si>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</si>
  <si>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</si>
  <si>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</si>
  <si>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</si>
  <si>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</si>
  <si>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</si>
  <si>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</si>
  <si>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</si>
  <si>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</si>
  <si>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</si>
  <si>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</si>
  <si>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</si>
  <si>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</si>
  <si>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</si>
  <si>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</si>
  <si>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</si>
  <si>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</si>
  <si>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</si>
  <si>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</si>
  <si>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</si>
  <si>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</si>
  <si>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</si>
  <si>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</si>
  <si>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</si>
  <si>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</si>
  <si>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</si>
  <si>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</si>
  <si>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</si>
  <si>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</si>
  <si>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</si>
  <si>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</si>
  <si>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</si>
  <si>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</si>
  <si>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</si>
  <si>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</si>
  <si>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</si>
  <si>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</si>
  <si>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</si>
  <si>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</si>
  <si>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</si>
  <si>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</si>
  <si>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</si>
  <si>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</si>
  <si>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</si>
  <si>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</si>
  <si>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</si>
  <si>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</si>
  <si>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</si>
  <si>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</si>
  <si>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</si>
  <si>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</si>
  <si>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</si>
  <si>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</si>
  <si>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 -2y</t>
  </si>
  <si>
    <t>ISM Manufacturing Sectors</t>
  </si>
  <si>
    <t>ISM Services Sectors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</si>
  <si>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</si>
  <si>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</si>
  <si>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</si>
  <si>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</si>
  <si>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</si>
  <si>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</si>
  <si>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</si>
  <si>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</si>
  <si>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</si>
  <si>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</si>
  <si>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</si>
  <si>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</si>
  <si>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</si>
  <si>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</si>
  <si>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</si>
  <si>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</si>
  <si>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</si>
  <si>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</si>
  <si>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</si>
  <si>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</si>
  <si>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</si>
  <si>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</si>
  <si>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</si>
  <si>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</si>
  <si>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12 months</t>
  </si>
  <si>
    <t>min 12m</t>
  </si>
  <si>
    <t>12m avg</t>
  </si>
  <si>
    <t>Last vs 12m avg</t>
  </si>
  <si>
    <t>above</t>
  </si>
  <si>
    <t>below</t>
  </si>
  <si>
    <t>Y/Y</t>
  </si>
  <si>
    <t>M/M</t>
  </si>
  <si>
    <t>Growth / Contraction</t>
  </si>
  <si>
    <t>Growth</t>
  </si>
  <si>
    <t>Contraction</t>
  </si>
  <si>
    <t>Slower/Faster</t>
  </si>
  <si>
    <t>-</t>
  </si>
  <si>
    <t>+</t>
  </si>
  <si>
    <t>10y</t>
  </si>
  <si>
    <t>2y</t>
  </si>
  <si>
    <t>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</si>
</sst>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dd\-mm\-yyyy"/>
    <numFmt numFmtId="167" formatCode="#,##0.0,\ &quot;K&quot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8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5" xfId="0" applyFont="1" applyFill="1" applyBorder="1"/>
    <xf numFmtId="0" fontId="1" fillId="4" borderId="25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9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/>
    <xf numFmtId="164" fontId="0" fillId="2" borderId="0" xfId="2" applyNumberFormat="1" applyFont="1" applyFill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19" xfId="0" applyNumberFormat="1" applyFont="1" applyFill="1" applyBorder="1" applyAlignment="1">
      <alignment horizontal="center" vertical="center"/>
    </xf>
    <xf numFmtId="165" fontId="12" fillId="3" borderId="23" xfId="0" applyNumberFormat="1" applyFont="1" applyFill="1" applyBorder="1" applyAlignment="1">
      <alignment horizontal="center" vertical="center"/>
    </xf>
    <xf numFmtId="165" fontId="12" fillId="3" borderId="24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6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0" fontId="0" fillId="2" borderId="0" xfId="0" applyFill="1"/>
    <xf numFmtId="0" fontId="1" fillId="2" borderId="0" xfId="0" applyFont="1" applyFill="1"/>
    <xf numFmtId="166" fontId="0" fillId="0" borderId="0" xfId="0" applyNumberFormat="1"/>
    <xf numFmtId="164" fontId="5" fillId="2" borderId="0" xfId="2" applyNumberFormat="1" applyFont="1" applyFill="1" applyBorder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Border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7" fontId="4" fillId="2" borderId="0" xfId="2" applyNumberFormat="1" applyFont="1" applyFill="1" applyBorder="1" applyAlignment="1">
      <alignment horizontal="center"/>
    </xf>
    <xf numFmtId="167" fontId="4" fillId="2" borderId="8" xfId="2" applyNumberFormat="1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2" fontId="4" fillId="2" borderId="11" xfId="0" applyNumberFormat="1" applyFont="1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11</c:v>
                </c:pt>
                <c:pt idx="1">
                  <c:v>14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B0-E848-AFC0-3E4E96AC9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E-564E-848F-E33365B38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A648-A6A9-A1652E26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15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92-D443-B9AE-E426600F6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13</c:v>
                </c:pt>
                <c:pt idx="1">
                  <c:v>15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E-5540-B0C0-C6529C80F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9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7-CC46-B929-5A1CE520E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-1</c:v>
                </c:pt>
                <c:pt idx="1">
                  <c:v>2</c:v>
                </c:pt>
                <c:pt idx="2">
                  <c:v>-1</c:v>
                </c:pt>
                <c:pt idx="3">
                  <c:v>0</c:v>
                </c:pt>
                <c:pt idx="4">
                  <c:v>10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0-6748-AF87-09482CDD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7-AA48-A1EB-2AA9B0D1D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B-EF48-9DAA-C7BD0F40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5-7645-80C6-A60910BA4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</c:v>
                </c:pt>
                <c:pt idx="3">
                  <c:v>-1</c:v>
                </c:pt>
                <c:pt idx="4">
                  <c:v>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F-0A47-B9F3-D4FD95AC1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11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E-A843-B9DD-EB159121D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-2</c:v>
                </c:pt>
                <c:pt idx="1">
                  <c:v>10</c:v>
                </c:pt>
                <c:pt idx="2">
                  <c:v>14</c:v>
                </c:pt>
                <c:pt idx="3">
                  <c:v>0</c:v>
                </c:pt>
                <c:pt idx="4">
                  <c:v>13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5-274A-839C-4739732F3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A-BF44-902A-2D56F30F9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9-1444-845B-E05E9409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11</c:v>
                </c:pt>
                <c:pt idx="2">
                  <c:v>16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5-7749-9C5E-F15DAFD56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E-E24A-B328-0623695B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D-274D-A343-4FA3E553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-1</c:v>
                </c:pt>
                <c:pt idx="1">
                  <c:v>16</c:v>
                </c:pt>
                <c:pt idx="2">
                  <c:v>15</c:v>
                </c:pt>
                <c:pt idx="3">
                  <c:v>7</c:v>
                </c:pt>
                <c:pt idx="4">
                  <c:v>12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C-8243-ACAC-12BA9312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11</c:v>
                </c:pt>
                <c:pt idx="1">
                  <c:v>7</c:v>
                </c:pt>
                <c:pt idx="2">
                  <c:v>14</c:v>
                </c:pt>
                <c:pt idx="3">
                  <c:v>6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A-C54D-8B15-DA3376401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4-6F44-B330-CB97E159E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8</c:v>
                </c:pt>
                <c:pt idx="3">
                  <c:v>1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E-2648-B930-A85E60658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D-204F-AAA7-D94F5E8FC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16</c:v>
                </c:pt>
                <c:pt idx="3">
                  <c:v>18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89-F346-80DB-D26EAA290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8</c:v>
                </c:pt>
                <c:pt idx="1">
                  <c:v>13</c:v>
                </c:pt>
                <c:pt idx="2">
                  <c:v>17</c:v>
                </c:pt>
                <c:pt idx="3">
                  <c:v>17</c:v>
                </c:pt>
                <c:pt idx="4">
                  <c:v>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6-6749-B3DC-32AC03114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</c:v>
                </c:pt>
                <c:pt idx="3">
                  <c:v>11</c:v>
                </c:pt>
                <c:pt idx="4">
                  <c:v>17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9-1045-B19D-6C5836D22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15</c:v>
                </c:pt>
                <c:pt idx="1">
                  <c:v>10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7-8841-91C5-7D45E3662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F-4F4E-B06D-0245B770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2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5-204E-93B5-0C247C745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2-3942-BF10-809D4431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6</c:v>
                </c:pt>
                <c:pt idx="3">
                  <c:v>15</c:v>
                </c:pt>
                <c:pt idx="4">
                  <c:v>1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43-3540-80E9-331EA1539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13</c:v>
                </c:pt>
                <c:pt idx="1">
                  <c:v>6</c:v>
                </c:pt>
                <c:pt idx="2">
                  <c:v>11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3-DD4C-A25F-29DDCFE26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F-BD45-BA79-918BC1D38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5</c:v>
                </c:pt>
                <c:pt idx="1">
                  <c:v>15</c:v>
                </c:pt>
                <c:pt idx="2">
                  <c:v>5</c:v>
                </c:pt>
                <c:pt idx="3">
                  <c:v>14</c:v>
                </c:pt>
                <c:pt idx="4">
                  <c:v>16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9-C944-8213-DD6EBBB7E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16</c:v>
                </c:pt>
                <c:pt idx="4">
                  <c:v>5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C-0443-BE97-275AC9A1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9-6D43-8C96-6F70AAAE5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World'!$C$2:$C$97</c:f>
              <c:numCache>
                <c:formatCode>General</c:formatCode>
                <c:ptCount val="96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B-7E42-B72C-B45642FC28A9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World'!$F$2:$F$97</c:f>
              <c:numCache>
                <c:formatCode>General</c:formatCode>
                <c:ptCount val="96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B-7E42-B72C-B45642FC2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39</xdr:col>
      <xdr:colOff>279398</xdr:colOff>
      <xdr:row>69</xdr:row>
      <xdr:rowOff>110065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 x14ac:dyDescent="0.2"/>
  <cols>
    <col min="1" max="1" width="23.1640625" style="53" customWidth="1"/>
    <col min="2" max="5" width="12.83203125" style="53" customWidth="1"/>
    <col min="6" max="6" width="13.6640625" style="53" customWidth="1"/>
    <col min="7" max="10" width="12.83203125" style="53" customWidth="1"/>
    <col min="11" max="13" width="2" style="53" customWidth="1"/>
    <col min="14" max="36" width="9.1640625" style="53" customWidth="1"/>
    <col min="37" max="16384" width="9.1640625" style="53"/>
  </cols>
  <sheetData>
    <row r="1" spans="2:13" x14ac:dyDescent="0.2">
      <c r="B1" s="14"/>
      <c r="C1" s="15"/>
      <c r="D1" s="15"/>
      <c r="E1" s="15"/>
    </row>
    <row r="2" spans="2:13" x14ac:dyDescent="0.2">
      <c r="B2" s="64" t="s">
        <v>0</v>
      </c>
      <c r="C2" s="65"/>
      <c r="D2" s="65"/>
      <c r="E2" s="65"/>
      <c r="F2" s="65"/>
      <c r="G2" s="65"/>
      <c r="H2" s="65"/>
      <c r="I2" s="65"/>
      <c r="J2" s="66"/>
    </row>
    <row r="4" spans="2:13" x14ac:dyDescent="0.2">
      <c r="B4" s="64" t="s">
        <v>1</v>
      </c>
      <c r="C4" s="65"/>
      <c r="D4" s="65"/>
      <c r="E4" s="65"/>
      <c r="F4" s="66"/>
      <c r="G4" s="64" t="s">
        <v>2</v>
      </c>
      <c r="H4" s="65"/>
      <c r="I4" s="65"/>
      <c r="J4" s="66"/>
    </row>
    <row r="6" spans="2:13" x14ac:dyDescent="0.2">
      <c r="B6" s="67" t="s">
        <v>3</v>
      </c>
      <c r="C6" s="67"/>
      <c r="D6" s="67"/>
      <c r="E6" s="67"/>
      <c r="F6" s="67"/>
      <c r="G6" s="67" t="s">
        <v>4</v>
      </c>
      <c r="H6" s="67"/>
      <c r="I6" s="67"/>
      <c r="J6" s="67"/>
    </row>
    <row r="7" spans="2:13" ht="30.75" customHeight="1" x14ac:dyDescent="0.2">
      <c r="G7" s="68" t="s">
        <v>5</v>
      </c>
      <c r="H7" s="67"/>
      <c r="I7" s="67"/>
      <c r="J7" s="67"/>
    </row>
    <row r="8" spans="2:13" x14ac:dyDescent="0.2">
      <c r="B8" s="68"/>
      <c r="C8" s="67"/>
      <c r="D8" s="67"/>
      <c r="E8" s="67"/>
      <c r="F8" s="67"/>
      <c r="G8" s="67"/>
      <c r="H8" s="67"/>
      <c r="I8" s="67"/>
      <c r="J8" s="67"/>
    </row>
    <row r="9" spans="2:13" x14ac:dyDescent="0.2">
      <c r="B9" s="69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</row>
    <row r="10" spans="2:13" x14ac:dyDescent="0.2">
      <c r="B10" s="68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</row>
    <row r="11" spans="2:13" x14ac:dyDescent="0.2">
      <c r="B11" s="70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="190" zoomScaleNormal="190" workbookViewId="0">
      <selection activeCell="F16" sqref="F16"/>
    </sheetView>
  </sheetViews>
  <sheetFormatPr baseColWidth="10" defaultRowHeight="15" x14ac:dyDescent="0.2"/>
  <cols>
    <col min="1" max="1" width="34.1640625" style="38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1.6790943920683761E-2</v>
      </c>
      <c r="C2">
        <v>1.6407465395443108E-2</v>
      </c>
      <c r="D2">
        <v>1.115276765936578E-2</v>
      </c>
    </row>
    <row r="3" spans="1:4" x14ac:dyDescent="0.2">
      <c r="A3" t="s">
        <v>11</v>
      </c>
      <c r="B3">
        <v>5.5317363621841711E-2</v>
      </c>
      <c r="C3">
        <v>0.12226677108077</v>
      </c>
      <c r="D3">
        <v>-2.2629152430098401E-2</v>
      </c>
    </row>
    <row r="4" spans="1:4" x14ac:dyDescent="0.2">
      <c r="A4" t="s">
        <v>12</v>
      </c>
      <c r="B4">
        <v>5.8327773290725903E-3</v>
      </c>
      <c r="C4">
        <v>3.1375709731505858E-3</v>
      </c>
      <c r="D4">
        <v>4.8151001540830369E-4</v>
      </c>
    </row>
    <row r="5" spans="1:4" x14ac:dyDescent="0.2">
      <c r="A5" t="s">
        <v>13</v>
      </c>
      <c r="B5">
        <v>4.9810802665505713E-3</v>
      </c>
      <c r="C5">
        <v>4.8044807563845026E-3</v>
      </c>
      <c r="D5">
        <v>3.1541871834860728E-3</v>
      </c>
    </row>
    <row r="6" spans="1:4" x14ac:dyDescent="0.2">
      <c r="A6" t="s">
        <v>14</v>
      </c>
      <c r="B6">
        <v>-1.914353268123687E-2</v>
      </c>
      <c r="C6">
        <v>8.5241703608500956E-3</v>
      </c>
      <c r="D6">
        <v>-8.3442029991026741E-3</v>
      </c>
    </row>
    <row r="7" spans="1:4" x14ac:dyDescent="0.2">
      <c r="A7" t="s">
        <v>15</v>
      </c>
      <c r="B7">
        <v>-2.4805028365475039E-2</v>
      </c>
      <c r="C7">
        <v>1.468871684038702E-2</v>
      </c>
      <c r="D7">
        <v>-2.6894312168303059E-2</v>
      </c>
    </row>
    <row r="8" spans="1:4" x14ac:dyDescent="0.2">
      <c r="A8" t="s">
        <v>16</v>
      </c>
      <c r="B8">
        <v>2.5641025641025661E-2</v>
      </c>
      <c r="C8">
        <v>-8.4745762711864403E-2</v>
      </c>
      <c r="D8">
        <v>-4.4776119402985037E-2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223000</v>
      </c>
      <c r="C10">
        <v>377000</v>
      </c>
      <c r="D10">
        <v>863000</v>
      </c>
    </row>
    <row r="11" spans="1:4" x14ac:dyDescent="0.2">
      <c r="A11" t="s">
        <v>19</v>
      </c>
      <c r="B11">
        <v>-1.0235595164563491E-3</v>
      </c>
      <c r="C11">
        <v>5.4822432562803116E-3</v>
      </c>
      <c r="D11">
        <v>1.157358567077907E-2</v>
      </c>
    </row>
    <row r="12" spans="1:4" x14ac:dyDescent="0.2">
      <c r="A12" t="s">
        <v>20</v>
      </c>
      <c r="B12" t="s">
        <v>21</v>
      </c>
    </row>
    <row r="13" spans="1:4" x14ac:dyDescent="0.2">
      <c r="A13" t="s">
        <v>22</v>
      </c>
      <c r="B13">
        <v>0.47500000000000853</v>
      </c>
    </row>
    <row r="14" spans="1:4" x14ac:dyDescent="0.2">
      <c r="A14" t="s">
        <v>23</v>
      </c>
      <c r="B14">
        <v>0.97500000000000853</v>
      </c>
    </row>
    <row r="15" spans="1:4" x14ac:dyDescent="0.2">
      <c r="A15" t="s">
        <v>24</v>
      </c>
      <c r="B15">
        <v>1.9000000000000059</v>
      </c>
    </row>
    <row r="16" spans="1:4" x14ac:dyDescent="0.2">
      <c r="A16" t="s">
        <v>25</v>
      </c>
      <c r="B16">
        <v>0.19</v>
      </c>
    </row>
    <row r="17" spans="1:4" x14ac:dyDescent="0.2">
      <c r="A17" t="s">
        <v>26</v>
      </c>
      <c r="B17">
        <v>1.18</v>
      </c>
      <c r="C17">
        <v>0.17419999999999999</v>
      </c>
      <c r="D17">
        <v>0.1113</v>
      </c>
    </row>
    <row r="18" spans="1:4" x14ac:dyDescent="0.2">
      <c r="A18" t="s">
        <v>27</v>
      </c>
      <c r="B18">
        <v>1.81</v>
      </c>
      <c r="C18">
        <v>1.179</v>
      </c>
      <c r="D18">
        <v>1.079</v>
      </c>
    </row>
    <row r="19" spans="1:4" x14ac:dyDescent="0.2">
      <c r="A19" t="s">
        <v>28</v>
      </c>
      <c r="B19">
        <v>2.12</v>
      </c>
    </row>
    <row r="20" spans="1:4" x14ac:dyDescent="0.2">
      <c r="A20" t="s">
        <v>29</v>
      </c>
      <c r="B20">
        <v>96.389999389648438</v>
      </c>
      <c r="C20">
        <v>92.050003051757812</v>
      </c>
      <c r="D20">
        <v>91.019996643066406</v>
      </c>
    </row>
    <row r="21" spans="1:4" x14ac:dyDescent="0.2">
      <c r="A21" t="s">
        <v>30</v>
      </c>
      <c r="B21">
        <v>67.2</v>
      </c>
      <c r="C21">
        <v>81.2</v>
      </c>
      <c r="D21">
        <v>79</v>
      </c>
    </row>
    <row r="22" spans="1:4" x14ac:dyDescent="0.2">
      <c r="A22" t="s">
        <v>31</v>
      </c>
      <c r="B22">
        <v>64.099999999999994</v>
      </c>
      <c r="C22">
        <v>79</v>
      </c>
      <c r="D22">
        <v>74</v>
      </c>
    </row>
    <row r="23" spans="1:4" x14ac:dyDescent="0.2">
      <c r="A23" t="s">
        <v>32</v>
      </c>
      <c r="B23">
        <v>120.8</v>
      </c>
      <c r="C23">
        <v>115.1</v>
      </c>
      <c r="D23">
        <v>109.6</v>
      </c>
    </row>
    <row r="24" spans="1:4" x14ac:dyDescent="0.2">
      <c r="A24" t="s">
        <v>33</v>
      </c>
      <c r="B24">
        <v>1885</v>
      </c>
      <c r="C24">
        <v>1594</v>
      </c>
      <c r="D24">
        <v>1758</v>
      </c>
    </row>
    <row r="25" spans="1:4" x14ac:dyDescent="0.2">
      <c r="A25" t="s">
        <v>34</v>
      </c>
      <c r="B25">
        <v>57.6</v>
      </c>
      <c r="C25">
        <v>59.5</v>
      </c>
      <c r="D25">
        <v>58.7</v>
      </c>
    </row>
    <row r="26" spans="1:4" x14ac:dyDescent="0.2">
      <c r="A26" t="s">
        <v>35</v>
      </c>
      <c r="B26">
        <v>57.9</v>
      </c>
      <c r="C26">
        <v>64.900000000000006</v>
      </c>
      <c r="D26">
        <v>61.1</v>
      </c>
    </row>
    <row r="27" spans="1:4" x14ac:dyDescent="0.2">
      <c r="A27" t="s">
        <v>36</v>
      </c>
      <c r="B27">
        <v>59.9</v>
      </c>
      <c r="C27">
        <v>64.099999999999994</v>
      </c>
      <c r="D27">
        <v>58.7</v>
      </c>
    </row>
    <row r="28" spans="1:4" x14ac:dyDescent="0.2">
      <c r="A28" t="s">
        <v>37</v>
      </c>
      <c r="B28">
        <v>4.4355004312292834E-3</v>
      </c>
      <c r="C28">
        <v>-6.2922982269701883E-3</v>
      </c>
      <c r="D28">
        <v>9.4422127684804739E-3</v>
      </c>
    </row>
    <row r="29" spans="1:4" x14ac:dyDescent="0.2">
      <c r="A29" t="s">
        <v>38</v>
      </c>
      <c r="B29">
        <v>3.6119845126418508E-3</v>
      </c>
      <c r="C29">
        <v>-7.3986308583464744E-3</v>
      </c>
      <c r="D29">
        <v>5.7621431321854388E-3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baseColWidth="10" defaultRowHeight="15" x14ac:dyDescent="0.2"/>
  <cols>
    <col min="1" max="1" width="23.1640625" style="38" customWidth="1"/>
    <col min="2" max="23" width="10.83203125" style="38" customWidth="1"/>
    <col min="24" max="16384" width="10.83203125" style="38"/>
  </cols>
  <sheetData>
    <row r="1" spans="1:19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2">
      <c r="A2" s="55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55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55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55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55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55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baseColWidth="10" defaultRowHeight="15" x14ac:dyDescent="0.2"/>
  <cols>
    <col min="1" max="1" width="23.1640625" style="38" customWidth="1"/>
    <col min="2" max="14" width="10.83203125" style="38" customWidth="1"/>
    <col min="15" max="16384" width="10.83203125" style="38"/>
  </cols>
  <sheetData>
    <row r="1" spans="1:19" x14ac:dyDescent="0.2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2">
      <c r="A2" s="55">
        <v>44409</v>
      </c>
      <c r="B2">
        <v>-1</v>
      </c>
      <c r="C2">
        <v>11</v>
      </c>
      <c r="D2">
        <v>7</v>
      </c>
      <c r="E2">
        <v>17</v>
      </c>
      <c r="F2">
        <v>3</v>
      </c>
      <c r="G2">
        <v>2</v>
      </c>
      <c r="H2">
        <v>8</v>
      </c>
      <c r="I2">
        <v>12</v>
      </c>
      <c r="J2">
        <v>15</v>
      </c>
      <c r="K2">
        <v>6</v>
      </c>
      <c r="L2">
        <v>9</v>
      </c>
      <c r="M2">
        <v>1</v>
      </c>
      <c r="N2">
        <v>4</v>
      </c>
      <c r="O2">
        <v>13</v>
      </c>
      <c r="P2">
        <v>14</v>
      </c>
      <c r="Q2">
        <v>5</v>
      </c>
      <c r="R2">
        <v>16</v>
      </c>
      <c r="S2">
        <v>10</v>
      </c>
    </row>
    <row r="3" spans="1:19" x14ac:dyDescent="0.2">
      <c r="A3" s="55">
        <v>44440</v>
      </c>
      <c r="B3">
        <v>16</v>
      </c>
      <c r="C3">
        <v>7</v>
      </c>
      <c r="D3">
        <v>5</v>
      </c>
      <c r="E3">
        <v>11</v>
      </c>
      <c r="F3">
        <v>1</v>
      </c>
      <c r="G3">
        <v>12</v>
      </c>
      <c r="H3">
        <v>13</v>
      </c>
      <c r="I3">
        <v>9</v>
      </c>
      <c r="J3">
        <v>10</v>
      </c>
      <c r="K3">
        <v>2</v>
      </c>
      <c r="L3">
        <v>3</v>
      </c>
      <c r="M3">
        <v>8</v>
      </c>
      <c r="N3">
        <v>-1</v>
      </c>
      <c r="O3">
        <v>6</v>
      </c>
      <c r="P3">
        <v>14</v>
      </c>
      <c r="Q3">
        <v>15</v>
      </c>
      <c r="R3">
        <v>17</v>
      </c>
      <c r="S3">
        <v>4</v>
      </c>
    </row>
    <row r="4" spans="1:19" x14ac:dyDescent="0.2">
      <c r="A4" s="55">
        <v>44470</v>
      </c>
      <c r="B4">
        <v>15</v>
      </c>
      <c r="C4">
        <v>14</v>
      </c>
      <c r="D4">
        <v>7</v>
      </c>
      <c r="E4">
        <v>8</v>
      </c>
      <c r="F4">
        <v>4</v>
      </c>
      <c r="G4">
        <v>16</v>
      </c>
      <c r="H4">
        <v>17</v>
      </c>
      <c r="I4">
        <v>1</v>
      </c>
      <c r="J4">
        <v>12</v>
      </c>
      <c r="K4">
        <v>9</v>
      </c>
      <c r="L4">
        <v>2</v>
      </c>
      <c r="M4">
        <v>3</v>
      </c>
      <c r="N4">
        <v>6</v>
      </c>
      <c r="O4">
        <v>11</v>
      </c>
      <c r="P4">
        <v>10</v>
      </c>
      <c r="Q4">
        <v>5</v>
      </c>
      <c r="R4">
        <v>18</v>
      </c>
      <c r="S4">
        <v>13</v>
      </c>
    </row>
    <row r="5" spans="1:19" x14ac:dyDescent="0.2">
      <c r="A5" s="55">
        <v>44501</v>
      </c>
      <c r="B5">
        <v>7</v>
      </c>
      <c r="C5">
        <v>6</v>
      </c>
      <c r="D5">
        <v>8</v>
      </c>
      <c r="E5">
        <v>1</v>
      </c>
      <c r="F5">
        <v>4</v>
      </c>
      <c r="G5">
        <v>18</v>
      </c>
      <c r="H5">
        <v>17</v>
      </c>
      <c r="I5">
        <v>11</v>
      </c>
      <c r="J5">
        <v>9</v>
      </c>
      <c r="K5">
        <v>12</v>
      </c>
      <c r="L5">
        <v>10</v>
      </c>
      <c r="M5">
        <v>5</v>
      </c>
      <c r="N5">
        <v>15</v>
      </c>
      <c r="O5">
        <v>3</v>
      </c>
      <c r="P5">
        <v>2</v>
      </c>
      <c r="Q5">
        <v>14</v>
      </c>
      <c r="R5">
        <v>16</v>
      </c>
      <c r="S5">
        <v>13</v>
      </c>
    </row>
    <row r="6" spans="1:19" x14ac:dyDescent="0.2">
      <c r="A6" s="55">
        <v>44531</v>
      </c>
      <c r="B6">
        <v>12</v>
      </c>
      <c r="C6">
        <v>15</v>
      </c>
      <c r="D6">
        <v>3</v>
      </c>
      <c r="E6">
        <v>18</v>
      </c>
      <c r="F6">
        <v>4</v>
      </c>
      <c r="G6">
        <v>6</v>
      </c>
      <c r="H6">
        <v>8</v>
      </c>
      <c r="I6">
        <v>17</v>
      </c>
      <c r="J6">
        <v>11</v>
      </c>
      <c r="K6">
        <v>14</v>
      </c>
      <c r="L6">
        <v>7</v>
      </c>
      <c r="M6">
        <v>2</v>
      </c>
      <c r="N6">
        <v>1</v>
      </c>
      <c r="O6">
        <v>9</v>
      </c>
      <c r="P6">
        <v>10</v>
      </c>
      <c r="Q6">
        <v>16</v>
      </c>
      <c r="R6">
        <v>5</v>
      </c>
      <c r="S6">
        <v>13</v>
      </c>
    </row>
    <row r="7" spans="1:19" x14ac:dyDescent="0.2">
      <c r="A7" s="55">
        <v>44562</v>
      </c>
      <c r="B7">
        <v>17</v>
      </c>
      <c r="C7">
        <v>1</v>
      </c>
      <c r="D7">
        <v>5</v>
      </c>
      <c r="E7">
        <v>14</v>
      </c>
      <c r="F7">
        <v>6</v>
      </c>
      <c r="G7">
        <v>3</v>
      </c>
      <c r="H7">
        <v>12</v>
      </c>
      <c r="I7">
        <v>9</v>
      </c>
      <c r="J7">
        <v>16</v>
      </c>
      <c r="K7">
        <v>11</v>
      </c>
      <c r="L7">
        <v>7</v>
      </c>
      <c r="M7">
        <v>8</v>
      </c>
      <c r="N7">
        <v>18</v>
      </c>
      <c r="O7">
        <v>4</v>
      </c>
      <c r="P7">
        <v>2</v>
      </c>
      <c r="Q7">
        <v>15</v>
      </c>
      <c r="R7">
        <v>13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37"/>
  <sheetViews>
    <sheetView zoomScale="170" zoomScaleNormal="170" workbookViewId="0">
      <pane ySplit="1" topLeftCell="A2" activePane="bottomLeft" state="frozen"/>
      <selection activeCell="F16" sqref="F16"/>
      <selection pane="bottomLeft" activeCell="F16" sqref="F16"/>
    </sheetView>
  </sheetViews>
  <sheetFormatPr baseColWidth="10" defaultRowHeight="15" x14ac:dyDescent="0.2"/>
  <sheetData>
    <row r="1" spans="1:27" x14ac:dyDescent="0.2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2">
      <c r="A2" s="55">
        <v>40452</v>
      </c>
      <c r="B2">
        <v>53.7</v>
      </c>
      <c r="C2">
        <v>56.9</v>
      </c>
    </row>
    <row r="3" spans="1:27" x14ac:dyDescent="0.2">
      <c r="A3" s="55">
        <v>40483</v>
      </c>
      <c r="B3">
        <v>54</v>
      </c>
      <c r="C3">
        <v>57.3</v>
      </c>
    </row>
    <row r="4" spans="1:27" x14ac:dyDescent="0.2">
      <c r="A4" s="55">
        <v>40513</v>
      </c>
      <c r="B4">
        <v>54.9</v>
      </c>
      <c r="C4">
        <v>56.6</v>
      </c>
    </row>
    <row r="5" spans="1:27" x14ac:dyDescent="0.2">
      <c r="A5" s="55">
        <v>40544</v>
      </c>
      <c r="B5">
        <v>57.2</v>
      </c>
      <c r="C5">
        <v>59.1</v>
      </c>
    </row>
    <row r="6" spans="1:27" x14ac:dyDescent="0.2">
      <c r="A6" s="55">
        <v>40575</v>
      </c>
      <c r="B6">
        <v>58.2</v>
      </c>
      <c r="C6">
        <v>59.2</v>
      </c>
    </row>
    <row r="7" spans="1:27" x14ac:dyDescent="0.2">
      <c r="A7" s="55">
        <v>40603</v>
      </c>
      <c r="B7">
        <v>56</v>
      </c>
      <c r="C7">
        <v>58.4</v>
      </c>
    </row>
    <row r="8" spans="1:27" x14ac:dyDescent="0.2">
      <c r="A8" s="55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55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55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55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55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55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55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55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55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55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55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55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55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55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55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55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55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55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55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55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55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55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55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55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55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55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55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55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55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55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55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55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55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55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55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55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55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55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55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55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55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55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55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55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55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55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55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55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55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55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55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55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55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55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55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55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55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55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55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55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55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55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55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55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55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55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55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55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55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55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55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55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55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55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55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55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55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55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55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55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55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55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55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55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55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55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55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55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55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55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55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55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55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55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55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55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55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55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55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55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55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55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55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55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55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55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55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55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55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55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55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55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55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55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55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55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55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55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55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55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55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55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55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55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55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55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55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55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55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55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B1" zoomScale="140" zoomScaleNormal="140" workbookViewId="0">
      <selection activeCell="C18" sqref="C18"/>
    </sheetView>
  </sheetViews>
  <sheetFormatPr baseColWidth="10" defaultColWidth="9.1640625" defaultRowHeight="15" x14ac:dyDescent="0.2"/>
  <cols>
    <col min="1" max="2" width="9.1640625" style="53" customWidth="1"/>
    <col min="3" max="3" width="24.33203125" style="53" customWidth="1"/>
    <col min="4" max="7" width="9.1640625" style="53" customWidth="1"/>
    <col min="8" max="8" width="21.33203125" style="53" customWidth="1"/>
    <col min="9" max="12" width="9.33203125" style="53" customWidth="1"/>
    <col min="13" max="13" width="23.33203125" style="53" customWidth="1"/>
    <col min="14" max="36" width="9.1640625" style="53" customWidth="1"/>
    <col min="37" max="16384" width="9.1640625" style="53"/>
  </cols>
  <sheetData>
    <row r="1" spans="3:16" ht="16" customHeight="1" thickBot="1" x14ac:dyDescent="0.25"/>
    <row r="2" spans="3:16" ht="16" customHeight="1" thickBot="1" x14ac:dyDescent="0.25">
      <c r="C2" s="71" t="s">
        <v>102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3"/>
    </row>
    <row r="3" spans="3:16" ht="16" customHeight="1" thickBot="1" x14ac:dyDescent="0.25"/>
    <row r="4" spans="3:16" ht="16" customHeight="1" thickBot="1" x14ac:dyDescent="0.25">
      <c r="C4" s="71" t="s">
        <v>103</v>
      </c>
      <c r="D4" s="72"/>
      <c r="E4" s="72"/>
      <c r="F4" s="73"/>
      <c r="H4" s="71" t="s">
        <v>104</v>
      </c>
      <c r="I4" s="72"/>
      <c r="J4" s="72"/>
      <c r="K4" s="73"/>
      <c r="M4" s="71" t="s">
        <v>105</v>
      </c>
      <c r="N4" s="72"/>
      <c r="O4" s="72"/>
      <c r="P4" s="73"/>
    </row>
    <row r="5" spans="3:16" ht="16" customHeight="1" thickBot="1" x14ac:dyDescent="0.25"/>
    <row r="6" spans="3:16" x14ac:dyDescent="0.2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2">
      <c r="C7" s="6" t="s">
        <v>10</v>
      </c>
      <c r="D7" s="56">
        <f>VLOOKUP($C$7,'DB US Indicators'!$A:$D,MATCH(D$6,'DB US Indicators'!$A$1:$S$1,0),0)</f>
        <v>1.6790943920683761E-2</v>
      </c>
      <c r="E7" s="56">
        <f>VLOOKUP($C$7,'DB US Indicators'!$A:$D,MATCH(E$6,'DB US Indicators'!$A$1:$S$1,0),0)</f>
        <v>1.6407465395443108E-2</v>
      </c>
      <c r="F7" s="57">
        <f>VLOOKUP($C$7,'DB US Indicators'!$A:$D,MATCH(F$6,'DB US Indicators'!$A$1:$S$1,0),0)</f>
        <v>1.115276765936578E-2</v>
      </c>
      <c r="G7" s="39"/>
      <c r="H7" s="6" t="s">
        <v>106</v>
      </c>
      <c r="I7" s="75" t="str">
        <f>VLOOKUP($H$7,'DB US Indicators'!$A:$D,MATCH(I$6,'DB US Indicators'!$A$1:$S$1,0),0)</f>
        <v>0.00-0.25%</v>
      </c>
      <c r="J7" s="75"/>
      <c r="K7" s="8"/>
      <c r="L7" s="1"/>
      <c r="M7" s="6" t="s">
        <v>30</v>
      </c>
      <c r="N7" s="34">
        <v>80.7</v>
      </c>
      <c r="O7" s="35">
        <v>78.099999999999994</v>
      </c>
      <c r="P7" s="10">
        <v>99.3</v>
      </c>
    </row>
    <row r="8" spans="3:16" x14ac:dyDescent="0.2">
      <c r="C8" s="6" t="s">
        <v>11</v>
      </c>
      <c r="D8" s="58">
        <f>VLOOKUP($C$8,'DB US Indicators'!$A:$D,MATCH(D$6,'DB US Indicators'!$A$1:$S$1,0),0)</f>
        <v>5.5317363621841711E-2</v>
      </c>
      <c r="E8" s="58">
        <f>VLOOKUP($C$8,'DB US Indicators'!$A:$D,MATCH(E$6,'DB US Indicators'!$A$1:$S$1,0),0)</f>
        <v>0.12226677108077</v>
      </c>
      <c r="F8" s="59">
        <f>VLOOKUP($C$8,'DB US Indicators'!$A:$D,MATCH(F$6,'DB US Indicators'!$A$1:$S$1,0),0)</f>
        <v>-2.2629152430098401E-2</v>
      </c>
      <c r="G8" s="39"/>
      <c r="H8" s="6" t="s">
        <v>22</v>
      </c>
      <c r="I8" s="76">
        <f>VLOOKUP($H$8,'DB US Indicators'!$A:$D,MATCH(I$6,'DB US Indicators'!$A$1:$S$1,0),0)</f>
        <v>0.47500000000000853</v>
      </c>
      <c r="J8" s="76"/>
      <c r="K8" s="9"/>
      <c r="L8" s="2"/>
      <c r="M8" s="6" t="s">
        <v>31</v>
      </c>
      <c r="N8" s="34">
        <v>74.599999999999994</v>
      </c>
      <c r="O8" s="35">
        <v>72.3</v>
      </c>
      <c r="P8" s="10">
        <v>88.9</v>
      </c>
    </row>
    <row r="9" spans="3:16" x14ac:dyDescent="0.2">
      <c r="C9" s="6" t="s">
        <v>12</v>
      </c>
      <c r="D9" s="60">
        <f>VLOOKUP($C$9,'DB US Indicators'!$A:$D,MATCH(D$6,'DB US Indicators'!$A$1:$S$1,0),0)</f>
        <v>5.8327773290725903E-3</v>
      </c>
      <c r="E9" s="60">
        <f>VLOOKUP($C$9,'DB US Indicators'!$A:$D,MATCH(E$6,'DB US Indicators'!$A$1:$S$1,0),0)</f>
        <v>3.1375709731505858E-3</v>
      </c>
      <c r="F9" s="40">
        <f>VLOOKUP($C$9,'DB US Indicators'!$A:$D,MATCH(F$6,'DB US Indicators'!$A$1:$S$1,0),0)</f>
        <v>4.8151001540830369E-4</v>
      </c>
      <c r="G9" s="39"/>
      <c r="H9" s="6" t="s">
        <v>23</v>
      </c>
      <c r="I9" s="76">
        <f>VLOOKUP($H$9,'DB US Indicators'!$A:$D,MATCH(I$6,'DB US Indicators'!$A$1:$S$1,0),0)</f>
        <v>0.97500000000000853</v>
      </c>
      <c r="J9" s="76"/>
      <c r="K9" s="9"/>
      <c r="L9" s="2"/>
      <c r="M9" s="6" t="s">
        <v>32</v>
      </c>
      <c r="N9" s="36">
        <v>109.1</v>
      </c>
      <c r="O9" s="35">
        <v>99.8</v>
      </c>
      <c r="P9" s="10">
        <v>111.5</v>
      </c>
    </row>
    <row r="10" spans="3:16" x14ac:dyDescent="0.2">
      <c r="C10" s="6" t="s">
        <v>13</v>
      </c>
      <c r="D10" s="58">
        <f>VLOOKUP($C$10,'DB US Indicators'!$A:$D,MATCH(D$6,'DB US Indicators'!$A$1:$S$1,0),0)</f>
        <v>4.9810802665505713E-3</v>
      </c>
      <c r="E10" s="58">
        <f>VLOOKUP($C$10,'DB US Indicators'!$A:$D,MATCH(E$6,'DB US Indicators'!$A$1:$S$1,0),0)</f>
        <v>4.8044807563845026E-3</v>
      </c>
      <c r="F10" s="59">
        <f>VLOOKUP($C$10,'DB US Indicators'!$A:$D,MATCH(F$6,'DB US Indicators'!$A$1:$S$1,0),0)</f>
        <v>3.1541871834860728E-3</v>
      </c>
      <c r="G10" s="39"/>
      <c r="H10" s="6" t="s">
        <v>24</v>
      </c>
      <c r="I10" s="76">
        <f>VLOOKUP($H$10,'DB US Indicators'!$A:$D,MATCH(I$6,'DB US Indicators'!$A$1:$S$1,0),0)</f>
        <v>1.9000000000000059</v>
      </c>
      <c r="J10" s="76"/>
      <c r="K10" s="9"/>
      <c r="L10" s="2"/>
      <c r="M10" s="6" t="s">
        <v>33</v>
      </c>
      <c r="N10" s="36">
        <v>1635</v>
      </c>
      <c r="O10" s="35">
        <v>12.16</v>
      </c>
      <c r="P10" s="10">
        <v>1510</v>
      </c>
    </row>
    <row r="11" spans="3:16" x14ac:dyDescent="0.2">
      <c r="C11" s="6" t="s">
        <v>15</v>
      </c>
      <c r="D11" s="56">
        <f>VLOOKUP($C$11,'DB US Indicators'!$A:$D,MATCH(D$6,'DB US Indicators'!$A$1:$S$1,0),0)</f>
        <v>-2.4805028365475039E-2</v>
      </c>
      <c r="E11" s="56">
        <f>VLOOKUP($C$11,'DB US Indicators'!$A:$D,MATCH(E$6,'DB US Indicators'!$A$1:$S$1,0),0)</f>
        <v>1.468871684038702E-2</v>
      </c>
      <c r="F11" s="57">
        <f>VLOOKUP($C$11,'DB US Indicators'!$A:$D,MATCH(F$6,'DB US Indicators'!$A$1:$S$1,0),0)</f>
        <v>-2.6894312168303059E-2</v>
      </c>
      <c r="G11" s="39"/>
      <c r="H11" s="6" t="s">
        <v>107</v>
      </c>
      <c r="I11" s="60">
        <f>IF(VLOOKUP($H$11,'DB US Indicators'!$A:$D,MATCH(I$6,'DB US Indicators'!$A$1:$S$1,0),0)="","",VLOOKUP($H$11,'DB US Indicators'!$A:$D,MATCH(I$6,'DB US Indicators'!$A$1:$S$1,0),0))</f>
        <v>2.12</v>
      </c>
      <c r="J11" s="60" t="str">
        <f>IF(VLOOKUP($H$11,'DB US Indicators'!$A:$D,MATCH(J$6,'DB US Indicators'!$A$1:$S$1,0),0)="","",VLOOKUP($H$11,'DB US Indicators'!$A:$D,MATCH(J$6,'DB US Indicators'!$A$1:$S$1,0),0))</f>
        <v/>
      </c>
      <c r="K11" s="4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36">
        <v>60.7</v>
      </c>
      <c r="O11" s="35">
        <v>52.6</v>
      </c>
      <c r="P11" s="10">
        <v>47.8</v>
      </c>
    </row>
    <row r="12" spans="3:16" x14ac:dyDescent="0.2">
      <c r="C12" s="6" t="s">
        <v>14</v>
      </c>
      <c r="D12" s="58">
        <f>VLOOKUP($C$12,'DB US Indicators'!$A:$D,MATCH(D$6,'DB US Indicators'!$A$1:$S$1,0),0)</f>
        <v>-1.914353268123687E-2</v>
      </c>
      <c r="E12" s="58">
        <f>VLOOKUP($C$12,'DB US Indicators'!$A:$D,MATCH(E$6,'DB US Indicators'!$A$1:$S$1,0),0)</f>
        <v>8.5241703608500956E-3</v>
      </c>
      <c r="F12" s="59">
        <f>VLOOKUP($C$12,'DB US Indicators'!$A:$D,MATCH(F$6,'DB US Indicators'!$A$1:$S$1,0),0)</f>
        <v>-8.3442029991026741E-3</v>
      </c>
      <c r="G12" s="39"/>
      <c r="H12" s="6" t="s">
        <v>149</v>
      </c>
      <c r="I12" s="75">
        <f>IF(VLOOKUP($H$12,'DB US Indicators'!$A:$D,MATCH(I$6,'DB US Indicators'!$A$1:$S$1,0),0)="","",VLOOKUP($H$12,'DB US Indicators'!$A:$D,MATCH(I$6,'DB US Indicators'!$A$1:$S$1,0),0))</f>
        <v>1.81</v>
      </c>
      <c r="J12" s="75">
        <f>IF(VLOOKUP($H$12,'DB US Indicators'!$A:$D,MATCH(J$6,'DB US Indicators'!$A$1:$S$1,0),0)="","",VLOOKUP($H$12,'DB US Indicators'!$A:$D,MATCH(J$6,'DB US Indicators'!$A$1:$S$1,0),0))</f>
        <v>1.179</v>
      </c>
      <c r="K12" s="8">
        <f>IF(VLOOKUP($H$12,'DB US Indicators'!$A:$D,MATCH(K$6,'DB US Indicators'!$A$1:$S$1,0),0)="","",VLOOKUP($H$12,'DB US Indicators'!$A:$D,MATCH(K$6,'DB US Indicators'!$A$1:$S$1,0),0))</f>
        <v>1.079</v>
      </c>
      <c r="L12" s="1"/>
      <c r="M12" s="6" t="s">
        <v>35</v>
      </c>
      <c r="N12" s="36">
        <v>67.900000000000006</v>
      </c>
      <c r="O12" s="35">
        <v>56.4</v>
      </c>
      <c r="P12" s="10">
        <v>47.6</v>
      </c>
    </row>
    <row r="13" spans="3:16" x14ac:dyDescent="0.2">
      <c r="C13" s="6" t="s">
        <v>16</v>
      </c>
      <c r="D13" s="58">
        <f>VLOOKUP($C$13,'DB US Indicators'!$A:$D,MATCH(D$6,'DB US Indicators'!$A$1:$S$1,0),0)</f>
        <v>2.5641025641025661E-2</v>
      </c>
      <c r="E13" s="58">
        <f>VLOOKUP($C$13,'DB US Indicators'!$A:$D,MATCH(E$6,'DB US Indicators'!$A$1:$S$1,0),0)</f>
        <v>-8.4745762711864403E-2</v>
      </c>
      <c r="F13" s="59">
        <f>VLOOKUP($C$13,'DB US Indicators'!$A:$D,MATCH(F$6,'DB US Indicators'!$A$1:$S$1,0),0)</f>
        <v>-4.4776119402985037E-2</v>
      </c>
      <c r="G13" s="39"/>
      <c r="H13" s="6" t="s">
        <v>150</v>
      </c>
      <c r="I13" s="75">
        <f>IF(VLOOKUP($H$13,'DB US Indicators'!$A:$D,MATCH(I$6,'DB US Indicators'!$A$1:$S$1,0),0)="","",VLOOKUP($H$13,'DB US Indicators'!$A:$D,MATCH(I$6,'DB US Indicators'!$A$1:$S$1,0),0))</f>
        <v>1.18</v>
      </c>
      <c r="J13" s="75">
        <f>IF(VLOOKUP($H$13,'DB US Indicators'!$A:$D,MATCH(J$6,'DB US Indicators'!$A$1:$S$1,0),0)="","",VLOOKUP($H$13,'DB US Indicators'!$A:$D,MATCH(J$6,'DB US Indicators'!$A$1:$S$1,0),0))</f>
        <v>0.17419999999999999</v>
      </c>
      <c r="K13" s="8">
        <f>IF(VLOOKUP($H$13,'DB US Indicators'!$A:$D,MATCH(K$6,'DB US Indicators'!$A$1:$S$1,0),0)="","",VLOOKUP($H$13,'DB US Indicators'!$A:$D,MATCH(K$6,'DB US Indicators'!$A$1:$S$1,0),0))</f>
        <v>0.1113</v>
      </c>
      <c r="L13" s="1"/>
      <c r="M13" s="6" t="s">
        <v>36</v>
      </c>
      <c r="N13" s="36">
        <v>57.2</v>
      </c>
      <c r="O13" s="35">
        <v>57.1</v>
      </c>
      <c r="P13" s="10">
        <v>55</v>
      </c>
    </row>
    <row r="14" spans="3:16" x14ac:dyDescent="0.2">
      <c r="C14" s="6" t="s">
        <v>17</v>
      </c>
      <c r="D14" s="62">
        <f>VLOOKUP($C$14,'DB US Indicators'!$A:$D,MATCH(D$6,'DB US Indicators'!$A$1:$S$1,0),0)</f>
        <v>149629</v>
      </c>
      <c r="E14" s="62">
        <f>VLOOKUP($C$14,'DB US Indicators'!$A:$D,MATCH(E$6,'DB US Indicators'!$A$1:$S$1,0),0)</f>
        <v>146387</v>
      </c>
      <c r="F14" s="63">
        <f>VLOOKUP($C$14,'DB US Indicators'!$A:$D,MATCH(F$6,'DB US Indicators'!$A$1:$S$1,0),0)</f>
        <v>143017</v>
      </c>
      <c r="G14" s="41"/>
      <c r="H14" s="6" t="s">
        <v>151</v>
      </c>
      <c r="I14" s="75">
        <f>IF(VLOOKUP($H$14,'DB US Indicators'!$A:$D,MATCH(I$6,'DB US Indicators'!$A$1:$S$1,0),0)="","",VLOOKUP($H$14,'DB US Indicators'!$A:$D,MATCH(I$6,'DB US Indicators'!$A$1:$S$1,0),0))</f>
        <v>0.19</v>
      </c>
      <c r="J14" s="75" t="str">
        <f>IF(VLOOKUP($H$14,'DB US Indicators'!$A:$D,MATCH(J$6,'DB US Indicators'!$A$1:$S$1,0),0)="","",VLOOKUP($H$14,'DB US Indicators'!$A:$D,MATCH(J$6,'DB US Indicators'!$A$1:$S$1,0),0))</f>
        <v/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37">
        <v>0.69</v>
      </c>
      <c r="O14" s="35"/>
      <c r="P14" s="10"/>
    </row>
    <row r="15" spans="3:16" x14ac:dyDescent="0.2">
      <c r="C15" s="6" t="s">
        <v>18</v>
      </c>
      <c r="D15" s="62">
        <f>VLOOKUP($C$15,'DB US Indicators'!$A:$D,MATCH(D$6,'DB US Indicators'!$A$1:$S$1,0),0)</f>
        <v>223000</v>
      </c>
      <c r="E15" s="62">
        <f>VLOOKUP($C$15,'DB US Indicators'!$A:$D,MATCH(E$6,'DB US Indicators'!$A$1:$S$1,0),0)</f>
        <v>377000</v>
      </c>
      <c r="F15" s="63">
        <f>VLOOKUP($C$15,'DB US Indicators'!$A:$D,MATCH(F$6,'DB US Indicators'!$A$1:$S$1,0),0)</f>
        <v>863000</v>
      </c>
      <c r="G15" s="41"/>
      <c r="H15" s="6" t="s">
        <v>108</v>
      </c>
      <c r="I15" s="75">
        <f>I12-I13</f>
        <v>0.63000000000000012</v>
      </c>
      <c r="J15" s="75">
        <f t="shared" ref="J15:K15" si="0">J12-J13</f>
        <v>1.0048000000000001</v>
      </c>
      <c r="K15" s="8">
        <f t="shared" si="0"/>
        <v>0.9677</v>
      </c>
      <c r="L15" s="1"/>
      <c r="M15" s="6" t="s">
        <v>38</v>
      </c>
      <c r="N15" s="37">
        <v>0.25</v>
      </c>
      <c r="O15" s="35"/>
      <c r="P15" s="10"/>
    </row>
    <row r="16" spans="3:16" ht="16" customHeight="1" thickBot="1" x14ac:dyDescent="0.25">
      <c r="C16" s="7" t="s">
        <v>19</v>
      </c>
      <c r="D16" s="42">
        <f>VLOOKUP($C$16,'DB US Indicators'!$A:$D,MATCH(D$6,'DB US Indicators'!$A$1:$S$1,0),0)</f>
        <v>-1.0235595164563491E-3</v>
      </c>
      <c r="E16" s="42">
        <f>VLOOKUP($C$16,'DB US Indicators'!$A:$D,MATCH(E$6,'DB US Indicators'!$A$1:$S$1,0),0)</f>
        <v>5.4822432562803116E-3</v>
      </c>
      <c r="F16" s="61">
        <f>VLOOKUP($C$16,'DB US Indicators'!$A:$D,MATCH(F$6,'DB US Indicators'!$A$1:$S$1,0),0)</f>
        <v>1.157358567077907E-2</v>
      </c>
      <c r="G16" s="39"/>
      <c r="H16" s="7" t="s">
        <v>29</v>
      </c>
      <c r="I16" s="74">
        <f>IF(VLOOKUP($H$16,'DB US Indicators'!$A:$D,MATCH(I$6,'DB US Indicators'!$A$1:$S$1,0),0)="","",VLOOKUP($H$16,'DB US Indicators'!$A:$D,MATCH(I$6,'DB US Indicators'!$A$1:$S$1,0),0))</f>
        <v>96.389999389648438</v>
      </c>
      <c r="J16" s="74">
        <f>IF(VLOOKUP($H$16,'DB US Indicators'!$A:$D,MATCH(J$6,'DB US Indicators'!$A$1:$S$1,0),0)="","",VLOOKUP($H$16,'DB US Indicators'!$A:$D,MATCH(J$6,'DB US Indicators'!$A$1:$S$1,0),0))</f>
        <v>92.050003051757812</v>
      </c>
      <c r="K16" s="77">
        <f>IF(VLOOKUP($H$16,'DB US Indicators'!$A:$D,MATCH(K$6,'DB US Indicators'!$A$1:$S$1,0),0)="","",VLOOKUP($H$16,'DB US Indicators'!$A:$D,MATCH(K$6,'DB US Indicators'!$A$1:$S$1,0),0))</f>
        <v>91.019996643066406</v>
      </c>
      <c r="L16" s="1"/>
      <c r="M16" s="11"/>
      <c r="N16" s="12"/>
      <c r="O16" s="12"/>
      <c r="P16" s="13"/>
    </row>
    <row r="19" spans="3:3" x14ac:dyDescent="0.2">
      <c r="C19" s="54" t="s">
        <v>109</v>
      </c>
    </row>
    <row r="98" spans="3:3" x14ac:dyDescent="0.2">
      <c r="C98" s="54" t="s">
        <v>110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50" zoomScaleNormal="150" workbookViewId="0">
      <pane xSplit="2" ySplit="10" topLeftCell="C36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 x14ac:dyDescent="0.2"/>
  <cols>
    <col min="1" max="1" width="9.1640625" style="53" customWidth="1"/>
    <col min="2" max="2" width="17.83203125" style="38" customWidth="1"/>
    <col min="3" max="27" width="6.1640625" style="38" customWidth="1"/>
    <col min="28" max="28" width="7.33203125" style="38" customWidth="1"/>
    <col min="29" max="29" width="9.1640625" style="53" customWidth="1"/>
    <col min="30" max="30" width="12.33203125" style="53" customWidth="1"/>
    <col min="31" max="31" width="9.1640625" style="53" customWidth="1"/>
    <col min="32" max="32" width="10.6640625" style="53" customWidth="1"/>
    <col min="33" max="33" width="10.6640625" style="53" bestFit="1" customWidth="1"/>
    <col min="34" max="74" width="9.1640625" style="53" customWidth="1"/>
  </cols>
  <sheetData>
    <row r="1" spans="2:36" s="53" customFormat="1" ht="16" customHeight="1" thickBot="1" x14ac:dyDescent="0.25">
      <c r="C1" s="53" t="s">
        <v>76</v>
      </c>
      <c r="D1" s="53" t="s">
        <v>77</v>
      </c>
      <c r="E1" s="53" t="s">
        <v>78</v>
      </c>
      <c r="F1" s="53" t="s">
        <v>79</v>
      </c>
      <c r="G1" s="53" t="s">
        <v>80</v>
      </c>
      <c r="H1" s="53" t="s">
        <v>81</v>
      </c>
      <c r="I1" s="53" t="s">
        <v>82</v>
      </c>
      <c r="J1" s="53" t="s">
        <v>83</v>
      </c>
      <c r="K1" s="53" t="s">
        <v>84</v>
      </c>
      <c r="L1" s="53" t="s">
        <v>85</v>
      </c>
      <c r="M1" s="53" t="s">
        <v>86</v>
      </c>
      <c r="N1" s="53" t="s">
        <v>87</v>
      </c>
      <c r="O1" s="53" t="s">
        <v>88</v>
      </c>
      <c r="P1" s="53" t="s">
        <v>89</v>
      </c>
      <c r="Q1" s="53" t="s">
        <v>90</v>
      </c>
      <c r="R1" s="53" t="s">
        <v>91</v>
      </c>
      <c r="S1" s="53" t="s">
        <v>92</v>
      </c>
      <c r="T1" s="53" t="s">
        <v>93</v>
      </c>
      <c r="U1" s="53" t="s">
        <v>94</v>
      </c>
      <c r="V1" s="53" t="s">
        <v>95</v>
      </c>
      <c r="W1" s="53" t="s">
        <v>96</v>
      </c>
      <c r="X1" s="53" t="s">
        <v>97</v>
      </c>
      <c r="Y1" s="53" t="s">
        <v>98</v>
      </c>
      <c r="Z1" s="53" t="s">
        <v>99</v>
      </c>
      <c r="AA1" s="53" t="s">
        <v>100</v>
      </c>
      <c r="AB1" s="53" t="s">
        <v>101</v>
      </c>
      <c r="AD1" s="17"/>
      <c r="AG1" s="52"/>
      <c r="AJ1" s="16"/>
    </row>
    <row r="2" spans="2:36" ht="72.75" customHeight="1" x14ac:dyDescent="0.2">
      <c r="B2" s="18"/>
      <c r="C2" s="19" t="s">
        <v>76</v>
      </c>
      <c r="D2" s="19" t="s">
        <v>111</v>
      </c>
      <c r="E2" s="19" t="s">
        <v>78</v>
      </c>
      <c r="F2" s="19" t="s">
        <v>112</v>
      </c>
      <c r="G2" s="19" t="s">
        <v>113</v>
      </c>
      <c r="H2" s="19" t="s">
        <v>114</v>
      </c>
      <c r="I2" s="19" t="s">
        <v>115</v>
      </c>
      <c r="J2" s="19" t="s">
        <v>116</v>
      </c>
      <c r="K2" s="19" t="s">
        <v>84</v>
      </c>
      <c r="L2" s="19" t="s">
        <v>117</v>
      </c>
      <c r="M2" s="19" t="s">
        <v>118</v>
      </c>
      <c r="N2" s="19" t="s">
        <v>119</v>
      </c>
      <c r="O2" s="19" t="s">
        <v>120</v>
      </c>
      <c r="P2" s="19" t="s">
        <v>121</v>
      </c>
      <c r="Q2" s="19" t="s">
        <v>122</v>
      </c>
      <c r="R2" s="19" t="s">
        <v>123</v>
      </c>
      <c r="S2" s="19" t="s">
        <v>124</v>
      </c>
      <c r="T2" s="20" t="s">
        <v>125</v>
      </c>
      <c r="U2" s="19" t="s">
        <v>126</v>
      </c>
      <c r="V2" s="19" t="s">
        <v>127</v>
      </c>
      <c r="W2" s="19" t="s">
        <v>128</v>
      </c>
      <c r="X2" s="19" t="s">
        <v>129</v>
      </c>
      <c r="Y2" s="19" t="s">
        <v>130</v>
      </c>
      <c r="Z2" s="19" t="s">
        <v>131</v>
      </c>
      <c r="AA2" s="19" t="s">
        <v>132</v>
      </c>
      <c r="AB2" s="21" t="s">
        <v>133</v>
      </c>
      <c r="AG2" s="22"/>
    </row>
    <row r="3" spans="2:36" x14ac:dyDescent="0.2">
      <c r="B3" s="23" t="s">
        <v>134</v>
      </c>
      <c r="C3" s="43">
        <f t="shared" ref="C3:AB3" si="0">MAX(C$55:C$66)</f>
        <v>56</v>
      </c>
      <c r="D3" s="43">
        <f t="shared" si="0"/>
        <v>64.7</v>
      </c>
      <c r="E3" s="43">
        <f t="shared" si="0"/>
        <v>63.4</v>
      </c>
      <c r="F3" s="43">
        <f t="shared" si="0"/>
        <v>52</v>
      </c>
      <c r="G3" s="43">
        <f t="shared" si="0"/>
        <v>63.4</v>
      </c>
      <c r="H3" s="43">
        <f t="shared" si="0"/>
        <v>54.5</v>
      </c>
      <c r="I3" s="43">
        <f t="shared" si="0"/>
        <v>66.599999999999994</v>
      </c>
      <c r="J3" s="43">
        <f t="shared" si="0"/>
        <v>59.4</v>
      </c>
      <c r="K3" s="43">
        <f t="shared" si="0"/>
        <v>65.599999999999994</v>
      </c>
      <c r="L3" s="43">
        <f t="shared" si="0"/>
        <v>62.8</v>
      </c>
      <c r="M3" s="43">
        <f t="shared" si="0"/>
        <v>60.4</v>
      </c>
      <c r="N3" s="43">
        <f t="shared" si="0"/>
        <v>58.4</v>
      </c>
      <c r="O3" s="43">
        <f t="shared" si="0"/>
        <v>49.6</v>
      </c>
      <c r="P3" s="43">
        <f t="shared" si="0"/>
        <v>51.9</v>
      </c>
      <c r="Q3" s="43">
        <f t="shared" si="0"/>
        <v>57.7</v>
      </c>
      <c r="R3" s="43">
        <f t="shared" si="0"/>
        <v>58.5</v>
      </c>
      <c r="S3" s="43">
        <f t="shared" si="0"/>
        <v>63.2</v>
      </c>
      <c r="T3" s="43">
        <f t="shared" si="0"/>
        <v>57.2</v>
      </c>
      <c r="U3" s="43">
        <f t="shared" si="0"/>
        <v>55.3</v>
      </c>
      <c r="V3" s="43">
        <f t="shared" si="0"/>
        <v>62.4</v>
      </c>
      <c r="W3" s="43">
        <f t="shared" si="0"/>
        <v>59.3</v>
      </c>
      <c r="X3" s="43">
        <f t="shared" si="0"/>
        <v>64.099999999999994</v>
      </c>
      <c r="Y3" s="43">
        <f t="shared" si="0"/>
        <v>54.4</v>
      </c>
      <c r="Z3" s="43">
        <f t="shared" si="0"/>
        <v>62.7</v>
      </c>
      <c r="AA3" s="43">
        <f t="shared" si="0"/>
        <v>59.4</v>
      </c>
      <c r="AB3" s="43">
        <f t="shared" si="0"/>
        <v>72</v>
      </c>
      <c r="AF3" s="53" t="s">
        <v>135</v>
      </c>
      <c r="AG3" s="22">
        <v>44228</v>
      </c>
    </row>
    <row r="4" spans="2:36" x14ac:dyDescent="0.2">
      <c r="B4" s="23" t="s">
        <v>136</v>
      </c>
      <c r="C4" s="43">
        <f t="shared" ref="C4:AB4" si="1">MIN(C$55:C$66)</f>
        <v>53.6</v>
      </c>
      <c r="D4" s="43">
        <f t="shared" si="1"/>
        <v>58.7</v>
      </c>
      <c r="E4" s="43">
        <f t="shared" si="1"/>
        <v>57.7</v>
      </c>
      <c r="F4" s="43">
        <f t="shared" si="1"/>
        <v>49.2</v>
      </c>
      <c r="G4" s="43">
        <f t="shared" si="1"/>
        <v>54.8</v>
      </c>
      <c r="H4" s="43">
        <f t="shared" si="1"/>
        <v>49.8</v>
      </c>
      <c r="I4" s="43">
        <f t="shared" si="1"/>
        <v>57.1</v>
      </c>
      <c r="J4" s="43">
        <f t="shared" si="1"/>
        <v>51.6</v>
      </c>
      <c r="K4" s="43">
        <f t="shared" si="1"/>
        <v>54.1</v>
      </c>
      <c r="L4" s="43">
        <f t="shared" si="1"/>
        <v>55.1</v>
      </c>
      <c r="M4" s="43">
        <f t="shared" si="1"/>
        <v>49.3</v>
      </c>
      <c r="N4" s="43">
        <f t="shared" si="1"/>
        <v>49.8</v>
      </c>
      <c r="O4" s="43">
        <f t="shared" si="1"/>
        <v>43</v>
      </c>
      <c r="P4" s="43">
        <f t="shared" si="1"/>
        <v>46.5</v>
      </c>
      <c r="Q4" s="43">
        <f t="shared" si="1"/>
        <v>48.1</v>
      </c>
      <c r="R4" s="43">
        <f t="shared" si="1"/>
        <v>54.4</v>
      </c>
      <c r="S4" s="43">
        <f t="shared" si="1"/>
        <v>48.4</v>
      </c>
      <c r="T4" s="43">
        <f t="shared" si="1"/>
        <v>40.1</v>
      </c>
      <c r="U4" s="43">
        <f t="shared" si="1"/>
        <v>50.2</v>
      </c>
      <c r="V4" s="43">
        <f t="shared" si="1"/>
        <v>54.7</v>
      </c>
      <c r="W4" s="43">
        <f t="shared" si="1"/>
        <v>49.4</v>
      </c>
      <c r="X4" s="43">
        <f t="shared" si="1"/>
        <v>51.8</v>
      </c>
      <c r="Y4" s="43">
        <f t="shared" si="1"/>
        <v>49.3</v>
      </c>
      <c r="Z4" s="43">
        <f t="shared" si="1"/>
        <v>55.1</v>
      </c>
      <c r="AA4" s="43">
        <f t="shared" si="1"/>
        <v>51.9</v>
      </c>
      <c r="AB4" s="43">
        <f t="shared" si="1"/>
        <v>40.799999999999997</v>
      </c>
    </row>
    <row r="5" spans="2:36" ht="16" customHeight="1" thickBot="1" x14ac:dyDescent="0.25">
      <c r="B5" s="23" t="s">
        <v>137</v>
      </c>
      <c r="C5" s="45">
        <v>52.275000000000013</v>
      </c>
      <c r="D5" s="45">
        <v>59.241666666666667</v>
      </c>
      <c r="E5" s="45">
        <v>55.516666666666659</v>
      </c>
      <c r="F5" s="45">
        <v>50.875000000000007</v>
      </c>
      <c r="G5" s="45">
        <v>55.725000000000001</v>
      </c>
      <c r="H5" s="45">
        <v>53.174999999999997</v>
      </c>
      <c r="I5" s="45">
        <v>57.066666666666663</v>
      </c>
      <c r="J5" s="45">
        <v>54.125</v>
      </c>
      <c r="K5" s="45">
        <v>54.024999999999999</v>
      </c>
      <c r="L5" s="45">
        <v>53.1</v>
      </c>
      <c r="M5" s="45">
        <v>53.724999999999987</v>
      </c>
      <c r="N5" s="45">
        <v>51.608333333333341</v>
      </c>
      <c r="O5" s="45">
        <v>51.491666666666681</v>
      </c>
      <c r="P5" s="45">
        <v>50.533333333333331</v>
      </c>
      <c r="Q5" s="45">
        <v>52.45000000000001</v>
      </c>
      <c r="R5" s="45">
        <v>55.666666666666657</v>
      </c>
      <c r="S5" s="45">
        <v>57.166666666666657</v>
      </c>
      <c r="T5" s="45">
        <v>50.741666666666667</v>
      </c>
      <c r="U5" s="45">
        <v>49.68333333333333</v>
      </c>
      <c r="V5" s="45">
        <v>53.458333333333343</v>
      </c>
      <c r="W5" s="45">
        <v>54.008333333333333</v>
      </c>
      <c r="X5" s="45">
        <v>56.224999999999987</v>
      </c>
      <c r="Y5" s="45">
        <v>48.93333333333333</v>
      </c>
      <c r="Z5" s="45">
        <v>56.18333333333333</v>
      </c>
      <c r="AA5" s="45">
        <v>52.758333333333333</v>
      </c>
      <c r="AB5" s="46">
        <v>58.738333333333337</v>
      </c>
    </row>
    <row r="6" spans="2:36" x14ac:dyDescent="0.2">
      <c r="B6" s="24" t="s">
        <v>138</v>
      </c>
      <c r="C6" s="47" t="s">
        <v>139</v>
      </c>
      <c r="D6" s="48" t="s">
        <v>139</v>
      </c>
      <c r="E6" s="48" t="s">
        <v>139</v>
      </c>
      <c r="F6" s="48" t="s">
        <v>139</v>
      </c>
      <c r="G6" s="48" t="s">
        <v>140</v>
      </c>
      <c r="H6" s="48" t="s">
        <v>140</v>
      </c>
      <c r="I6" s="48" t="s">
        <v>139</v>
      </c>
      <c r="J6" s="48" t="s">
        <v>140</v>
      </c>
      <c r="K6" s="48" t="s">
        <v>139</v>
      </c>
      <c r="L6" s="48" t="s">
        <v>140</v>
      </c>
      <c r="M6" s="48" t="s">
        <v>140</v>
      </c>
      <c r="N6" s="48" t="s">
        <v>139</v>
      </c>
      <c r="O6" s="48" t="s">
        <v>140</v>
      </c>
      <c r="P6" s="48" t="s">
        <v>140</v>
      </c>
      <c r="Q6" s="48" t="s">
        <v>139</v>
      </c>
      <c r="R6" s="48" t="s">
        <v>139</v>
      </c>
      <c r="S6" s="48" t="s">
        <v>140</v>
      </c>
      <c r="T6" s="48" t="s">
        <v>139</v>
      </c>
      <c r="U6" s="48" t="s">
        <v>139</v>
      </c>
      <c r="V6" s="48" t="s">
        <v>139</v>
      </c>
      <c r="W6" s="48" t="s">
        <v>140</v>
      </c>
      <c r="X6" s="48" t="s">
        <v>139</v>
      </c>
      <c r="Y6" s="48" t="s">
        <v>139</v>
      </c>
      <c r="Z6" s="48" t="s">
        <v>139</v>
      </c>
      <c r="AA6" s="48" t="s">
        <v>140</v>
      </c>
      <c r="AB6" s="49" t="s">
        <v>140</v>
      </c>
    </row>
    <row r="7" spans="2:36" x14ac:dyDescent="0.2">
      <c r="B7" s="24" t="s">
        <v>141</v>
      </c>
      <c r="C7" s="50">
        <v>3.6999999999999962</v>
      </c>
      <c r="D7" s="43">
        <v>12.900000000000009</v>
      </c>
      <c r="E7" s="43">
        <v>4.7000000000000028</v>
      </c>
      <c r="F7" s="43">
        <v>1.5</v>
      </c>
      <c r="G7" s="43">
        <v>8.9000000000000057</v>
      </c>
      <c r="H7" s="43">
        <v>1.600000000000001</v>
      </c>
      <c r="I7" s="43">
        <v>14.599999999999991</v>
      </c>
      <c r="J7" s="43">
        <v>0.70000000000000284</v>
      </c>
      <c r="K7" s="43">
        <v>10</v>
      </c>
      <c r="L7" s="43">
        <v>6.5999999999999943</v>
      </c>
      <c r="M7" s="43">
        <v>3.600000000000001</v>
      </c>
      <c r="N7" s="43">
        <v>11.3</v>
      </c>
      <c r="O7" s="43">
        <v>-4.7000000000000028</v>
      </c>
      <c r="P7" s="43">
        <v>2.2000000000000028</v>
      </c>
      <c r="Q7" s="43">
        <v>3.6999999999999962</v>
      </c>
      <c r="R7" s="43">
        <v>7.5</v>
      </c>
      <c r="S7" s="43">
        <v>-48.3</v>
      </c>
      <c r="T7" s="43">
        <v>1.7999999999999969</v>
      </c>
      <c r="U7" s="43">
        <v>2.7999999999999972</v>
      </c>
      <c r="V7" s="43">
        <v>8.6000000000000014</v>
      </c>
      <c r="W7" s="43">
        <v>-7</v>
      </c>
      <c r="X7" s="43">
        <v>7.7000000000000028</v>
      </c>
      <c r="Y7" s="43">
        <v>1.2999999999999969</v>
      </c>
      <c r="Z7" s="43">
        <v>13.4</v>
      </c>
      <c r="AA7" s="43">
        <v>3.7000000000000028</v>
      </c>
      <c r="AB7" s="44">
        <v>-8.8000000000000043</v>
      </c>
    </row>
    <row r="8" spans="2:36" x14ac:dyDescent="0.2">
      <c r="B8" s="24" t="s">
        <v>142</v>
      </c>
      <c r="C8" s="50">
        <v>0</v>
      </c>
      <c r="D8" s="43">
        <v>3.2000000000000028</v>
      </c>
      <c r="E8" s="43">
        <v>0.39999999999999858</v>
      </c>
      <c r="F8" s="43">
        <v>-1.899999999999999</v>
      </c>
      <c r="G8" s="43">
        <v>1.4000000000000059</v>
      </c>
      <c r="H8" s="43">
        <v>1</v>
      </c>
      <c r="I8" s="43">
        <v>0.5</v>
      </c>
      <c r="J8" s="43">
        <v>1.5</v>
      </c>
      <c r="K8" s="43">
        <v>1.899999999999999</v>
      </c>
      <c r="L8" s="43">
        <v>1.2999999999999969</v>
      </c>
      <c r="M8" s="43">
        <v>1.2000000000000031</v>
      </c>
      <c r="N8" s="43">
        <v>-2.5</v>
      </c>
      <c r="O8" s="43">
        <v>-1.300000000000004</v>
      </c>
      <c r="P8" s="43">
        <v>3.4000000000000061</v>
      </c>
      <c r="Q8" s="43">
        <v>0.10000000000000139</v>
      </c>
      <c r="R8" s="43">
        <v>2.100000000000001</v>
      </c>
      <c r="S8" s="43">
        <v>-52.1</v>
      </c>
      <c r="T8" s="43">
        <v>0.69999999999999574</v>
      </c>
      <c r="U8" s="43">
        <v>0</v>
      </c>
      <c r="V8" s="43">
        <v>2.5</v>
      </c>
      <c r="W8" s="43">
        <v>4.6000000000000014</v>
      </c>
      <c r="X8" s="43">
        <v>5</v>
      </c>
      <c r="Y8" s="43">
        <v>-0.60000000000000142</v>
      </c>
      <c r="Z8" s="43">
        <v>3.100000000000001</v>
      </c>
      <c r="AA8" s="43">
        <v>0.90000000000000568</v>
      </c>
      <c r="AB8" s="44">
        <v>-5.8000000000000043</v>
      </c>
    </row>
    <row r="9" spans="2:36" ht="66.75" customHeight="1" x14ac:dyDescent="0.2">
      <c r="B9" s="25" t="s">
        <v>143</v>
      </c>
      <c r="C9" s="26" t="s">
        <v>144</v>
      </c>
      <c r="D9" s="27" t="s">
        <v>144</v>
      </c>
      <c r="E9" s="27" t="s">
        <v>144</v>
      </c>
      <c r="F9" s="27" t="s">
        <v>144</v>
      </c>
      <c r="G9" s="27" t="s">
        <v>144</v>
      </c>
      <c r="H9" s="27" t="s">
        <v>145</v>
      </c>
      <c r="I9" s="27" t="s">
        <v>144</v>
      </c>
      <c r="J9" s="27" t="s">
        <v>144</v>
      </c>
      <c r="K9" s="27" t="s">
        <v>144</v>
      </c>
      <c r="L9" s="27" t="s">
        <v>144</v>
      </c>
      <c r="M9" s="27" t="s">
        <v>144</v>
      </c>
      <c r="N9" s="27" t="s">
        <v>144</v>
      </c>
      <c r="O9" s="27" t="s">
        <v>145</v>
      </c>
      <c r="P9" s="27" t="s">
        <v>145</v>
      </c>
      <c r="Q9" s="27" t="s">
        <v>144</v>
      </c>
      <c r="R9" s="27" t="s">
        <v>144</v>
      </c>
      <c r="S9" s="27" t="s">
        <v>145</v>
      </c>
      <c r="T9" s="27" t="s">
        <v>144</v>
      </c>
      <c r="U9" s="27" t="s">
        <v>144</v>
      </c>
      <c r="V9" s="27" t="s">
        <v>144</v>
      </c>
      <c r="W9" s="27" t="s">
        <v>145</v>
      </c>
      <c r="X9" s="27" t="s">
        <v>144</v>
      </c>
      <c r="Y9" s="27" t="s">
        <v>144</v>
      </c>
      <c r="Z9" s="27" t="s">
        <v>144</v>
      </c>
      <c r="AA9" s="27" t="s">
        <v>144</v>
      </c>
      <c r="AB9" s="28" t="s">
        <v>145</v>
      </c>
    </row>
    <row r="10" spans="2:36" ht="26.25" customHeight="1" thickBot="1" x14ac:dyDescent="0.25">
      <c r="B10" s="29" t="s">
        <v>146</v>
      </c>
      <c r="C10" s="30" t="s">
        <v>147</v>
      </c>
      <c r="D10" s="31" t="s">
        <v>148</v>
      </c>
      <c r="E10" s="31" t="s">
        <v>148</v>
      </c>
      <c r="F10" s="31" t="s">
        <v>147</v>
      </c>
      <c r="G10" s="31" t="s">
        <v>148</v>
      </c>
      <c r="H10" s="31" t="s">
        <v>148</v>
      </c>
      <c r="I10" s="31" t="s">
        <v>148</v>
      </c>
      <c r="J10" s="31" t="s">
        <v>148</v>
      </c>
      <c r="K10" s="31" t="s">
        <v>148</v>
      </c>
      <c r="L10" s="31" t="s">
        <v>148</v>
      </c>
      <c r="M10" s="31" t="s">
        <v>148</v>
      </c>
      <c r="N10" s="31" t="s">
        <v>147</v>
      </c>
      <c r="O10" s="31" t="s">
        <v>147</v>
      </c>
      <c r="P10" s="31" t="s">
        <v>148</v>
      </c>
      <c r="Q10" s="31" t="s">
        <v>148</v>
      </c>
      <c r="R10" s="31" t="s">
        <v>148</v>
      </c>
      <c r="S10" s="31" t="s">
        <v>147</v>
      </c>
      <c r="T10" s="31" t="s">
        <v>148</v>
      </c>
      <c r="U10" s="31" t="s">
        <v>147</v>
      </c>
      <c r="V10" s="31" t="s">
        <v>148</v>
      </c>
      <c r="W10" s="31" t="s">
        <v>148</v>
      </c>
      <c r="X10" s="31" t="s">
        <v>148</v>
      </c>
      <c r="Y10" s="31" t="s">
        <v>147</v>
      </c>
      <c r="Z10" s="31" t="s">
        <v>148</v>
      </c>
      <c r="AA10" s="31" t="s">
        <v>148</v>
      </c>
      <c r="AB10" s="32" t="s">
        <v>147</v>
      </c>
    </row>
    <row r="11" spans="2:36" ht="26.25" customHeight="1" x14ac:dyDescent="0.2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</row>
    <row r="12" spans="2:36" x14ac:dyDescent="0.2">
      <c r="B12" s="33">
        <v>42887</v>
      </c>
      <c r="C12" s="51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51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51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51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51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51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51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51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51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51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51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51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51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51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51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51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51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51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51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51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51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51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51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51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51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51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2">
      <c r="B13" s="33">
        <v>42917</v>
      </c>
      <c r="C13" s="51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51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51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51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51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51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51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51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51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51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51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51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51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51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51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51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51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51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51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51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51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51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51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51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51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51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2">
      <c r="B14" s="33">
        <v>42948</v>
      </c>
      <c r="C14" s="51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51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51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51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51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51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51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51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51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51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51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51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51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51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51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51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51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51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51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51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51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51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51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51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51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51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2">
      <c r="B15" s="33">
        <v>42979</v>
      </c>
      <c r="C15" s="51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51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51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51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51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51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51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51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51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51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51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51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51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51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51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51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51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51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51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51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51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51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51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51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51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51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2">
      <c r="B16" s="33">
        <v>43009</v>
      </c>
      <c r="C16" s="51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51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51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51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51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51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51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51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51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51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51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51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51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51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51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51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51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51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51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51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51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51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51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51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51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51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2">
      <c r="B17" s="33">
        <v>43040</v>
      </c>
      <c r="C17" s="51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51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51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51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51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51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51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51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51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51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51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51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51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51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51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51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51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51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51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51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51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51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51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51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51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51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2">
      <c r="B18" s="33">
        <v>43070</v>
      </c>
      <c r="C18" s="51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51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51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51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51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51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51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51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51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51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51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51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51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51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51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51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51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51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51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51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51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51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51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51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51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51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2">
      <c r="B19" s="33">
        <v>43101</v>
      </c>
      <c r="C19" s="51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51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51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51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51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51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51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51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51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51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51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51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51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51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51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51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51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51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51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51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51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51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51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51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51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51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2">
      <c r="B20" s="33">
        <v>43132</v>
      </c>
      <c r="C20" s="51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51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51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51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51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51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51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51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51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51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51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51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51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51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51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51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51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51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51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51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51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51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51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51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51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51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2">
      <c r="B21" s="33">
        <v>43160</v>
      </c>
      <c r="C21" s="51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51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51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51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51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51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51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51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51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51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51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51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51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51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51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51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51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51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51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51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51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51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51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51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51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51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2">
      <c r="B22" s="33">
        <v>43191</v>
      </c>
      <c r="C22" s="51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51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51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51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51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51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51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51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51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51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51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51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51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51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51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51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51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51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51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51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51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51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51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51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51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51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2">
      <c r="B23" s="33">
        <v>43221</v>
      </c>
      <c r="C23" s="51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51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51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51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51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51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51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51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51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51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51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51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51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51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51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51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51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51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51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51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51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51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51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51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51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51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2">
      <c r="B24" s="33">
        <v>43252</v>
      </c>
      <c r="C24" s="51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51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51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51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51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51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51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51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51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51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51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51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51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51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51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51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51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51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51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51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51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51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51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51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51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51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2">
      <c r="B25" s="33">
        <v>43282</v>
      </c>
      <c r="C25" s="51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51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51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51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51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51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51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51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51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51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51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51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51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51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51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51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51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51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51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51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51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51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51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51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51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51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2">
      <c r="B26" s="33">
        <v>43313</v>
      </c>
      <c r="C26" s="51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51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51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51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51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51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51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51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51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51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51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51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51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51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51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51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51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51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51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51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51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51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51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51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51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51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2">
      <c r="B27" s="33">
        <v>43344</v>
      </c>
      <c r="C27" s="51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51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51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51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51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51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51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51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51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51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51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51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51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51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51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51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51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51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51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51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51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51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51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51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51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51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2">
      <c r="B28" s="33">
        <v>43374</v>
      </c>
      <c r="C28" s="51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51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51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51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51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51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51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51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51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51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51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51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51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51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51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51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51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51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51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51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51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51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51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51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51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51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2">
      <c r="B29" s="33">
        <v>43405</v>
      </c>
      <c r="C29" s="51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51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51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51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51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51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51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51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51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51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51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51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51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51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51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51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51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51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51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51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51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51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51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51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51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51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2">
      <c r="B30" s="33">
        <v>43435</v>
      </c>
      <c r="C30" s="51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51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51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51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51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51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51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51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51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51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51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51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51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51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51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51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51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51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51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51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51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51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51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51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51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51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2">
      <c r="B31" s="33">
        <v>43466</v>
      </c>
      <c r="C31" s="51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51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51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51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51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51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51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51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51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51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51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51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51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51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51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51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51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51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51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51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51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51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51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51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51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51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2">
      <c r="B32" s="33">
        <v>43497</v>
      </c>
      <c r="C32" s="51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51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51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51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51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51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51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51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51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51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51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51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51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51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51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51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51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51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51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51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51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51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51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51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51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51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2">
      <c r="B33" s="33">
        <v>43525</v>
      </c>
      <c r="C33" s="51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51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51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51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51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51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51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51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51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51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51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51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51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51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51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51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51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51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51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51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51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51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51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51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51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51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2">
      <c r="B34" s="33">
        <v>43556</v>
      </c>
      <c r="C34" s="51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51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51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51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51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51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51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51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51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51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51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51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51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51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51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51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51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51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51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51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51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51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51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51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51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51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2">
      <c r="B35" s="33">
        <v>43586</v>
      </c>
      <c r="C35" s="51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51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51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51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51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51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51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51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51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51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51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51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51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51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51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51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51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51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51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51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51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51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51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51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51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51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2">
      <c r="B36" s="33">
        <v>43617</v>
      </c>
      <c r="C36" s="51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51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51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51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51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51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51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51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51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51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51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51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51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51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51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51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51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51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51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51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51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51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51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51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51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51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2">
      <c r="B37" s="33">
        <v>43647</v>
      </c>
      <c r="C37" s="51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51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51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51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51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51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51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51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51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51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51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51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51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51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51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51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51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51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51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51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51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51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51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51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51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51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2">
      <c r="B38" s="33">
        <v>43678</v>
      </c>
      <c r="C38" s="51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51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51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51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51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51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51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51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51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51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51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51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51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51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51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51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51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51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51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51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51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51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51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51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51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51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2">
      <c r="B39" s="33">
        <v>43709</v>
      </c>
      <c r="C39" s="51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51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51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51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51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51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51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51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51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51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51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51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51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51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51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51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51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51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51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51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51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51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51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51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51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51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2">
      <c r="B40" s="33">
        <v>43739</v>
      </c>
      <c r="C40" s="51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51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51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51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51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51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51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51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51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51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51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51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51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51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51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51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51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51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51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51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51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51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51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51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51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51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2">
      <c r="B41" s="33">
        <v>43770</v>
      </c>
      <c r="C41" s="51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51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51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51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51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51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51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51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51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51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51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51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51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51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51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51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51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51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51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51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51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51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51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51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51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51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2">
      <c r="B42" s="33">
        <v>43800</v>
      </c>
      <c r="C42" s="51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51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51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51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51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51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51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51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51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51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51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51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51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51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51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51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51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51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51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51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51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51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51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51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51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51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2">
      <c r="B43" s="33">
        <v>43831</v>
      </c>
      <c r="C43" s="51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51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51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51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51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51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51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51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51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51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51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51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51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51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51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51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51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51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51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51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51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51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51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51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51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51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2">
      <c r="B44" s="33">
        <v>43862</v>
      </c>
      <c r="C44" s="51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51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51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51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51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51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51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51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51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51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51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51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51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51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51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51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51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51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51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51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51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51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51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51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51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51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2">
      <c r="B45" s="33">
        <v>43891</v>
      </c>
      <c r="C45" s="51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51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51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51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51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51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51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51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51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51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51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51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51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51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51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51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51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51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51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51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51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51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51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51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51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51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2">
      <c r="B46" s="33">
        <v>43922</v>
      </c>
      <c r="C46" s="51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51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51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51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51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51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51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51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51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51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51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51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51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51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51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51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51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51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51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51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51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51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51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51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51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51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2">
      <c r="B47" s="33">
        <v>43952</v>
      </c>
      <c r="C47" s="51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51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51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51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51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51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51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51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51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51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51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51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51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51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51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51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51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51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51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51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51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51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51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51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51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51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2">
      <c r="B48" s="33">
        <v>43983</v>
      </c>
      <c r="C48" s="51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51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51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51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51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51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51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51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51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51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51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51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51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51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51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51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51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51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51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51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51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51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51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51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51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51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3" customFormat="1" x14ac:dyDescent="0.2">
      <c r="B49" s="33">
        <v>44013</v>
      </c>
      <c r="C49" s="51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51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51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51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51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51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51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51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51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51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51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51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51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51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51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51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51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51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51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51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51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51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51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51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51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51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3" customFormat="1" x14ac:dyDescent="0.2">
      <c r="B50" s="33">
        <v>44044</v>
      </c>
      <c r="C50" s="51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51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51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51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51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51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51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51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51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51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51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51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51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51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51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51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51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51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51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51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51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51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51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51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51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51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3" customFormat="1" x14ac:dyDescent="0.2">
      <c r="B51" s="33">
        <v>44075</v>
      </c>
      <c r="C51" s="51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51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51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51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51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51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51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51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51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51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51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51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51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51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51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51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51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51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51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51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51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51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51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51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51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51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3" customFormat="1" x14ac:dyDescent="0.2">
      <c r="B52" s="33">
        <v>44105</v>
      </c>
      <c r="C52" s="51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51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51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51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51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51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51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51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51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51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51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51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51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51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51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51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51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51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51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51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51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51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51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51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51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51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3" customFormat="1" x14ac:dyDescent="0.2">
      <c r="B53" s="33">
        <v>44136</v>
      </c>
      <c r="C53" s="51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51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51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51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51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51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51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51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51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51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51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51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51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51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51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51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51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51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51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51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51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51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51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51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51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51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3" customFormat="1" x14ac:dyDescent="0.2">
      <c r="B54" s="33">
        <v>44166</v>
      </c>
      <c r="C54" s="51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51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51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51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51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51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51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51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51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51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51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51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51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51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51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51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51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51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51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51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51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51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51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51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51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51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3" customFormat="1" x14ac:dyDescent="0.2">
      <c r="B55" s="33">
        <v>44197</v>
      </c>
      <c r="C55" s="51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51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51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51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51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51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51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51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51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51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51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51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51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51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51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51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51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51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51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51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51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51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51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51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51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51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3" customFormat="1" x14ac:dyDescent="0.2">
      <c r="B56" s="33">
        <v>44228</v>
      </c>
      <c r="C56" s="51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51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51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51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51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51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51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51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51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51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51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51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51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51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51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51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51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51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51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51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51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51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51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51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51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51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3" customFormat="1" x14ac:dyDescent="0.2">
      <c r="B57" s="33">
        <v>44256</v>
      </c>
      <c r="C57" s="51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51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51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51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51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51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51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51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51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51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51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51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51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51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51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51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51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51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51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51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51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51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51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51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51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51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3" customFormat="1" x14ac:dyDescent="0.2">
      <c r="B58" s="33">
        <v>44287</v>
      </c>
      <c r="C58" s="51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51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51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51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51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51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51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51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51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51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51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51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51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51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51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51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51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51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51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51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51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51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51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51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51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51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3" customFormat="1" x14ac:dyDescent="0.2">
      <c r="B59" s="33">
        <v>44317</v>
      </c>
      <c r="C59" s="51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51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51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51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51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51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51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51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51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51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51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51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51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51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51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51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51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51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51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51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51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51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51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51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51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51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3" customFormat="1" x14ac:dyDescent="0.2">
      <c r="B60" s="33">
        <v>44348</v>
      </c>
      <c r="C60" s="51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51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51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51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51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51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51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51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51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51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51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51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51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51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51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51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51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51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51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51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51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51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51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51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51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51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3" customFormat="1" x14ac:dyDescent="0.2">
      <c r="B61" s="33">
        <v>44378</v>
      </c>
      <c r="C61" s="51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51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51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51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51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51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51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51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51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51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51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51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51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51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51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51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51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51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51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51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51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51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51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51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51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51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3" customFormat="1" x14ac:dyDescent="0.2">
      <c r="B62" s="33">
        <v>44409</v>
      </c>
      <c r="C62" s="51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51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51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51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51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51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51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51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51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51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51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51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51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51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51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51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51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51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51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51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51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51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51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51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51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51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3" customFormat="1" x14ac:dyDescent="0.2">
      <c r="B63" s="33">
        <v>44440</v>
      </c>
      <c r="C63" s="51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51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51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51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51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51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51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51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51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51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51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51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51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51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51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51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51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51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51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51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51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51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51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51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51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51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3" customFormat="1" x14ac:dyDescent="0.2">
      <c r="B64" s="33">
        <v>44470</v>
      </c>
      <c r="C64" s="51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51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51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51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51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51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51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51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51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51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51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51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51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51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51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51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51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51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51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51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51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51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51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51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51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51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3" customFormat="1" x14ac:dyDescent="0.2">
      <c r="B65" s="33">
        <v>44501</v>
      </c>
      <c r="C65" s="51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51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51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51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51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51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51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51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51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51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51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51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51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51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51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51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51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51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51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51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51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51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51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51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51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51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3" customFormat="1" x14ac:dyDescent="0.2">
      <c r="B66" s="33">
        <v>44531</v>
      </c>
      <c r="C66" s="51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51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51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51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51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51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51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51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51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51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51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51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51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51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51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51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51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51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51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51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51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51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51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51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51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51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3" customFormat="1" x14ac:dyDescent="0.2">
      <c r="B67" s="33">
        <v>44562</v>
      </c>
      <c r="C67" s="51">
        <f>IF((VLOOKUP(B67,'DB PMI Manufacturing World'!$A:$AA,MATCH($C$1,'DB PMI Manufacturing World'!$A$1:$AA$1,),))=0,#N/A, (VLOOKUP(B67,'DB PMI Manufacturing World'!$A:$AA,MATCH($C$1,'DB PMI Manufacturing World'!$A$1:$AA$1,),)))</f>
        <v>51.4</v>
      </c>
      <c r="D67" s="51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51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51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51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51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51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51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51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51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51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51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51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51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51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51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51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51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51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51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51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51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51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51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51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51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3" customFormat="1" x14ac:dyDescent="0.2"/>
    <row r="69" spans="2:28" s="53" customFormat="1" x14ac:dyDescent="0.2"/>
    <row r="70" spans="2:28" s="53" customFormat="1" x14ac:dyDescent="0.2"/>
    <row r="71" spans="2:28" s="53" customFormat="1" x14ac:dyDescent="0.2"/>
    <row r="72" spans="2:28" s="53" customFormat="1" x14ac:dyDescent="0.2"/>
    <row r="73" spans="2:28" s="53" customFormat="1" x14ac:dyDescent="0.2"/>
    <row r="74" spans="2:28" s="53" customFormat="1" x14ac:dyDescent="0.2"/>
    <row r="75" spans="2:28" s="53" customFormat="1" x14ac:dyDescent="0.2"/>
    <row r="76" spans="2:28" s="53" customFormat="1" x14ac:dyDescent="0.2"/>
    <row r="77" spans="2:28" s="53" customFormat="1" x14ac:dyDescent="0.2"/>
    <row r="78" spans="2:28" s="53" customFormat="1" x14ac:dyDescent="0.2"/>
    <row r="79" spans="2:28" s="53" customFormat="1" x14ac:dyDescent="0.2"/>
    <row r="80" spans="2:28" s="53" customFormat="1" x14ac:dyDescent="0.2"/>
    <row r="81" s="53" customFormat="1" x14ac:dyDescent="0.2"/>
    <row r="82" s="53" customFormat="1" x14ac:dyDescent="0.2"/>
    <row r="83" s="53" customFormat="1" x14ac:dyDescent="0.2"/>
    <row r="84" s="53" customFormat="1" x14ac:dyDescent="0.2"/>
    <row r="85" s="53" customFormat="1" x14ac:dyDescent="0.2"/>
    <row r="86" s="53" customFormat="1" x14ac:dyDescent="0.2"/>
    <row r="87" s="53" customFormat="1" x14ac:dyDescent="0.2"/>
    <row r="88" s="53" customFormat="1" x14ac:dyDescent="0.2"/>
    <row r="89" s="53" customFormat="1" x14ac:dyDescent="0.2"/>
    <row r="90" s="53" customFormat="1" x14ac:dyDescent="0.2"/>
    <row r="91" s="53" customFormat="1" x14ac:dyDescent="0.2"/>
    <row r="92" s="53" customFormat="1" x14ac:dyDescent="0.2"/>
    <row r="93" s="53" customFormat="1" x14ac:dyDescent="0.2"/>
    <row r="94" s="53" customFormat="1" x14ac:dyDescent="0.2"/>
    <row r="95" s="53" customFormat="1" x14ac:dyDescent="0.2"/>
    <row r="96" s="53" customFormat="1" x14ac:dyDescent="0.2"/>
    <row r="97" s="53" customFormat="1" x14ac:dyDescent="0.2"/>
    <row r="98" s="53" customFormat="1" x14ac:dyDescent="0.2"/>
    <row r="99" s="53" customFormat="1" x14ac:dyDescent="0.2"/>
    <row r="100" s="53" customFormat="1" x14ac:dyDescent="0.2"/>
    <row r="101" s="53" customFormat="1" x14ac:dyDescent="0.2"/>
    <row r="102" s="53" customFormat="1" x14ac:dyDescent="0.2"/>
    <row r="103" s="53" customFormat="1" x14ac:dyDescent="0.2"/>
    <row r="104" s="53" customFormat="1" x14ac:dyDescent="0.2"/>
    <row r="105" s="53" customFormat="1" x14ac:dyDescent="0.2"/>
    <row r="106" s="53" customFormat="1" x14ac:dyDescent="0.2"/>
    <row r="107" s="53" customFormat="1" x14ac:dyDescent="0.2"/>
    <row r="108" s="53" customFormat="1" x14ac:dyDescent="0.2"/>
    <row r="109" s="53" customFormat="1" x14ac:dyDescent="0.2"/>
    <row r="110" s="53" customFormat="1" x14ac:dyDescent="0.2"/>
    <row r="111" s="53" customFormat="1" x14ac:dyDescent="0.2"/>
    <row r="112" s="53" customFormat="1" x14ac:dyDescent="0.2"/>
    <row r="113" s="53" customFormat="1" x14ac:dyDescent="0.2"/>
    <row r="114" s="53" customFormat="1" x14ac:dyDescent="0.2"/>
    <row r="115" s="53" customFormat="1" x14ac:dyDescent="0.2"/>
    <row r="116" s="53" customFormat="1" x14ac:dyDescent="0.2"/>
    <row r="117" s="53" customFormat="1" x14ac:dyDescent="0.2"/>
    <row r="118" s="53" customFormat="1" x14ac:dyDescent="0.2"/>
    <row r="119" s="53" customFormat="1" x14ac:dyDescent="0.2"/>
    <row r="120" s="53" customFormat="1" x14ac:dyDescent="0.2"/>
    <row r="121" s="53" customFormat="1" x14ac:dyDescent="0.2"/>
    <row r="122" s="53" customFormat="1" x14ac:dyDescent="0.2"/>
    <row r="123" s="53" customFormat="1" x14ac:dyDescent="0.2"/>
    <row r="124" s="53" customFormat="1" x14ac:dyDescent="0.2"/>
    <row r="125" s="53" customFormat="1" x14ac:dyDescent="0.2"/>
    <row r="126" s="53" customFormat="1" x14ac:dyDescent="0.2"/>
    <row r="127" s="53" customFormat="1" x14ac:dyDescent="0.2"/>
    <row r="128" s="53" customFormat="1" x14ac:dyDescent="0.2"/>
    <row r="129" s="53" customFormat="1" x14ac:dyDescent="0.2"/>
    <row r="130" s="53" customFormat="1" x14ac:dyDescent="0.2"/>
    <row r="131" s="53" customFormat="1" x14ac:dyDescent="0.2"/>
    <row r="132" s="53" customFormat="1" x14ac:dyDescent="0.2"/>
    <row r="133" s="53" customFormat="1" x14ac:dyDescent="0.2"/>
    <row r="134" s="53" customFormat="1" x14ac:dyDescent="0.2"/>
    <row r="135" s="53" customFormat="1" x14ac:dyDescent="0.2"/>
    <row r="136" s="53" customFormat="1" x14ac:dyDescent="0.2"/>
    <row r="137" s="53" customFormat="1" x14ac:dyDescent="0.2"/>
    <row r="138" s="53" customFormat="1" x14ac:dyDescent="0.2"/>
    <row r="139" s="53" customFormat="1" x14ac:dyDescent="0.2"/>
    <row r="140" s="53" customFormat="1" x14ac:dyDescent="0.2"/>
    <row r="141" s="53" customFormat="1" x14ac:dyDescent="0.2"/>
    <row r="142" s="53" customFormat="1" x14ac:dyDescent="0.2"/>
    <row r="143" s="53" customFormat="1" x14ac:dyDescent="0.2"/>
    <row r="144" s="53" customFormat="1" x14ac:dyDescent="0.2"/>
    <row r="145" s="53" customFormat="1" x14ac:dyDescent="0.2"/>
    <row r="146" s="53" customFormat="1" x14ac:dyDescent="0.2"/>
    <row r="147" s="53" customFormat="1" x14ac:dyDescent="0.2"/>
    <row r="148" s="53" customFormat="1" x14ac:dyDescent="0.2"/>
    <row r="149" s="53" customFormat="1" x14ac:dyDescent="0.2"/>
    <row r="150" s="53" customFormat="1" x14ac:dyDescent="0.2"/>
    <row r="151" s="53" customFormat="1" x14ac:dyDescent="0.2"/>
    <row r="152" s="53" customFormat="1" x14ac:dyDescent="0.2"/>
    <row r="153" s="53" customFormat="1" x14ac:dyDescent="0.2"/>
    <row r="154" s="53" customFormat="1" x14ac:dyDescent="0.2"/>
    <row r="155" s="53" customFormat="1" x14ac:dyDescent="0.2"/>
    <row r="156" s="53" customFormat="1" x14ac:dyDescent="0.2"/>
    <row r="157" s="53" customFormat="1" x14ac:dyDescent="0.2"/>
    <row r="158" s="53" customFormat="1" x14ac:dyDescent="0.2"/>
    <row r="159" s="53" customFormat="1" x14ac:dyDescent="0.2"/>
    <row r="160" s="53" customFormat="1" x14ac:dyDescent="0.2"/>
    <row r="161" s="53" customFormat="1" x14ac:dyDescent="0.2"/>
    <row r="162" s="53" customFormat="1" x14ac:dyDescent="0.2"/>
    <row r="163" s="53" customFormat="1" x14ac:dyDescent="0.2"/>
    <row r="164" s="53" customFormat="1" x14ac:dyDescent="0.2"/>
    <row r="165" s="53" customFormat="1" x14ac:dyDescent="0.2"/>
    <row r="166" s="53" customFormat="1" x14ac:dyDescent="0.2"/>
    <row r="167" s="53" customFormat="1" x14ac:dyDescent="0.2"/>
    <row r="168" s="53" customFormat="1" x14ac:dyDescent="0.2"/>
    <row r="169" s="53" customFormat="1" x14ac:dyDescent="0.2"/>
    <row r="170" s="53" customFormat="1" x14ac:dyDescent="0.2"/>
    <row r="171" s="53" customFormat="1" x14ac:dyDescent="0.2"/>
    <row r="172" s="53" customFormat="1" x14ac:dyDescent="0.2"/>
    <row r="173" s="53" customFormat="1" x14ac:dyDescent="0.2"/>
    <row r="174" s="53" customFormat="1" x14ac:dyDescent="0.2"/>
    <row r="175" s="53" customFormat="1" x14ac:dyDescent="0.2"/>
    <row r="176" s="53" customFormat="1" x14ac:dyDescent="0.2"/>
    <row r="177" s="53" customFormat="1" x14ac:dyDescent="0.2"/>
    <row r="178" s="53" customFormat="1" x14ac:dyDescent="0.2"/>
    <row r="179" s="53" customFormat="1" x14ac:dyDescent="0.2"/>
    <row r="180" s="53" customFormat="1" x14ac:dyDescent="0.2"/>
    <row r="181" s="53" customFormat="1" x14ac:dyDescent="0.2"/>
    <row r="182" s="53" customFormat="1" x14ac:dyDescent="0.2"/>
    <row r="183" s="53" customFormat="1" x14ac:dyDescent="0.2"/>
    <row r="184" s="53" customFormat="1" x14ac:dyDescent="0.2"/>
    <row r="185" s="53" customFormat="1" x14ac:dyDescent="0.2"/>
    <row r="186" s="53" customFormat="1" x14ac:dyDescent="0.2"/>
    <row r="187" s="53" customFormat="1" x14ac:dyDescent="0.2"/>
    <row r="188" s="53" customFormat="1" x14ac:dyDescent="0.2"/>
    <row r="189" s="53" customFormat="1" x14ac:dyDescent="0.2"/>
    <row r="190" s="53" customFormat="1" x14ac:dyDescent="0.2"/>
    <row r="191" s="53" customFormat="1" x14ac:dyDescent="0.2"/>
    <row r="192" s="53" customFormat="1" x14ac:dyDescent="0.2"/>
    <row r="193" s="53" customFormat="1" x14ac:dyDescent="0.2"/>
    <row r="194" s="53" customFormat="1" x14ac:dyDescent="0.2"/>
    <row r="195" s="53" customFormat="1" x14ac:dyDescent="0.2"/>
    <row r="196" s="53" customFormat="1" x14ac:dyDescent="0.2"/>
    <row r="197" s="53" customFormat="1" x14ac:dyDescent="0.2"/>
    <row r="198" s="53" customFormat="1" x14ac:dyDescent="0.2"/>
    <row r="199" s="53" customFormat="1" x14ac:dyDescent="0.2"/>
    <row r="200" s="53" customFormat="1" x14ac:dyDescent="0.2"/>
    <row r="201" s="53" customFormat="1" x14ac:dyDescent="0.2"/>
    <row r="202" s="53" customFormat="1" x14ac:dyDescent="0.2"/>
    <row r="203" s="53" customFormat="1" x14ac:dyDescent="0.2"/>
    <row r="204" s="53" customFormat="1" x14ac:dyDescent="0.2"/>
    <row r="205" s="53" customFormat="1" x14ac:dyDescent="0.2"/>
    <row r="206" s="53" customFormat="1" x14ac:dyDescent="0.2"/>
    <row r="207" s="53" customFormat="1" x14ac:dyDescent="0.2"/>
    <row r="208" s="53" customFormat="1" x14ac:dyDescent="0.2"/>
    <row r="209" s="53" customFormat="1" x14ac:dyDescent="0.2"/>
    <row r="210" s="53" customFormat="1" x14ac:dyDescent="0.2"/>
    <row r="211" s="53" customFormat="1" x14ac:dyDescent="0.2"/>
    <row r="212" s="53" customFormat="1" x14ac:dyDescent="0.2"/>
    <row r="213" s="53" customFormat="1" x14ac:dyDescent="0.2"/>
    <row r="214" s="53" customFormat="1" x14ac:dyDescent="0.2"/>
    <row r="215" s="53" customFormat="1" x14ac:dyDescent="0.2"/>
    <row r="216" s="53" customFormat="1" x14ac:dyDescent="0.2"/>
    <row r="217" s="53" customFormat="1" x14ac:dyDescent="0.2"/>
    <row r="218" s="53" customFormat="1" x14ac:dyDescent="0.2"/>
    <row r="219" s="53" customFormat="1" x14ac:dyDescent="0.2"/>
    <row r="220" s="53" customFormat="1" x14ac:dyDescent="0.2"/>
    <row r="221" s="53" customFormat="1" x14ac:dyDescent="0.2"/>
    <row r="222" s="53" customFormat="1" x14ac:dyDescent="0.2"/>
    <row r="223" s="53" customFormat="1" x14ac:dyDescent="0.2"/>
    <row r="224" s="53" customFormat="1" x14ac:dyDescent="0.2"/>
    <row r="225" s="53" customFormat="1" x14ac:dyDescent="0.2"/>
    <row r="226" s="53" customFormat="1" x14ac:dyDescent="0.2"/>
    <row r="227" s="53" customFormat="1" x14ac:dyDescent="0.2"/>
    <row r="228" s="53" customFormat="1" x14ac:dyDescent="0.2"/>
    <row r="229" s="53" customFormat="1" x14ac:dyDescent="0.2"/>
    <row r="230" s="53" customFormat="1" x14ac:dyDescent="0.2"/>
    <row r="231" s="53" customFormat="1" x14ac:dyDescent="0.2"/>
    <row r="232" s="53" customFormat="1" x14ac:dyDescent="0.2"/>
    <row r="233" s="53" customFormat="1" x14ac:dyDescent="0.2"/>
    <row r="234" s="53" customFormat="1" x14ac:dyDescent="0.2"/>
    <row r="235" s="53" customFormat="1" x14ac:dyDescent="0.2"/>
    <row r="236" s="53" customFormat="1" x14ac:dyDescent="0.2"/>
    <row r="237" s="53" customFormat="1" x14ac:dyDescent="0.2"/>
    <row r="238" s="53" customFormat="1" x14ac:dyDescent="0.2"/>
    <row r="239" s="53" customFormat="1" x14ac:dyDescent="0.2"/>
    <row r="240" s="53" customFormat="1" x14ac:dyDescent="0.2"/>
    <row r="241" s="53" customFormat="1" x14ac:dyDescent="0.2"/>
    <row r="242" s="53" customFormat="1" x14ac:dyDescent="0.2"/>
    <row r="243" s="53" customFormat="1" x14ac:dyDescent="0.2"/>
    <row r="244" s="53" customFormat="1" x14ac:dyDescent="0.2"/>
    <row r="245" s="53" customFormat="1" x14ac:dyDescent="0.2"/>
    <row r="246" s="53" customFormat="1" x14ac:dyDescent="0.2"/>
    <row r="247" s="53" customFormat="1" x14ac:dyDescent="0.2"/>
    <row r="248" s="53" customFormat="1" x14ac:dyDescent="0.2"/>
    <row r="249" s="53" customFormat="1" x14ac:dyDescent="0.2"/>
    <row r="250" s="53" customFormat="1" x14ac:dyDescent="0.2"/>
    <row r="251" s="53" customFormat="1" x14ac:dyDescent="0.2"/>
    <row r="252" s="53" customFormat="1" x14ac:dyDescent="0.2"/>
    <row r="253" s="53" customFormat="1" x14ac:dyDescent="0.2"/>
    <row r="254" s="53" customFormat="1" x14ac:dyDescent="0.2"/>
    <row r="255" s="53" customFormat="1" x14ac:dyDescent="0.2"/>
    <row r="256" s="53" customFormat="1" x14ac:dyDescent="0.2"/>
    <row r="257" s="53" customFormat="1" x14ac:dyDescent="0.2"/>
    <row r="258" s="53" customFormat="1" x14ac:dyDescent="0.2"/>
    <row r="259" s="53" customFormat="1" x14ac:dyDescent="0.2"/>
    <row r="260" s="53" customFormat="1" x14ac:dyDescent="0.2"/>
    <row r="261" s="53" customFormat="1" x14ac:dyDescent="0.2"/>
    <row r="262" s="53" customFormat="1" x14ac:dyDescent="0.2"/>
    <row r="263" s="53" customFormat="1" x14ac:dyDescent="0.2"/>
    <row r="264" s="53" customFormat="1" x14ac:dyDescent="0.2"/>
    <row r="265" s="53" customFormat="1" x14ac:dyDescent="0.2"/>
    <row r="266" s="53" customFormat="1" x14ac:dyDescent="0.2"/>
    <row r="267" s="53" customFormat="1" x14ac:dyDescent="0.2"/>
    <row r="268" s="53" customFormat="1" x14ac:dyDescent="0.2"/>
    <row r="269" s="53" customFormat="1" x14ac:dyDescent="0.2"/>
    <row r="270" s="53" customFormat="1" x14ac:dyDescent="0.2"/>
    <row r="271" s="53" customFormat="1" x14ac:dyDescent="0.2"/>
    <row r="272" s="53" customFormat="1" x14ac:dyDescent="0.2"/>
    <row r="273" s="53" customFormat="1" x14ac:dyDescent="0.2"/>
    <row r="274" s="53" customFormat="1" x14ac:dyDescent="0.2"/>
    <row r="275" s="53" customFormat="1" x14ac:dyDescent="0.2"/>
    <row r="276" s="53" customFormat="1" x14ac:dyDescent="0.2"/>
    <row r="277" s="53" customFormat="1" x14ac:dyDescent="0.2"/>
    <row r="278" s="53" customFormat="1" x14ac:dyDescent="0.2"/>
    <row r="279" s="53" customFormat="1" x14ac:dyDescent="0.2"/>
    <row r="280" s="53" customFormat="1" x14ac:dyDescent="0.2"/>
    <row r="281" s="53" customFormat="1" x14ac:dyDescent="0.2"/>
    <row r="282" s="53" customFormat="1" x14ac:dyDescent="0.2"/>
    <row r="283" s="53" customFormat="1" x14ac:dyDescent="0.2"/>
    <row r="284" s="53" customFormat="1" x14ac:dyDescent="0.2"/>
    <row r="285" s="53" customFormat="1" x14ac:dyDescent="0.2"/>
    <row r="286" s="53" customFormat="1" x14ac:dyDescent="0.2"/>
    <row r="287" s="53" customFormat="1" x14ac:dyDescent="0.2"/>
    <row r="288" s="53" customFormat="1" x14ac:dyDescent="0.2"/>
    <row r="289" s="53" customFormat="1" x14ac:dyDescent="0.2"/>
    <row r="290" s="53" customFormat="1" x14ac:dyDescent="0.2"/>
    <row r="291" s="53" customFormat="1" x14ac:dyDescent="0.2"/>
    <row r="292" s="53" customFormat="1" x14ac:dyDescent="0.2"/>
    <row r="293" s="53" customFormat="1" x14ac:dyDescent="0.2"/>
    <row r="294" s="53" customFormat="1" x14ac:dyDescent="0.2"/>
    <row r="295" s="53" customFormat="1" x14ac:dyDescent="0.2"/>
    <row r="296" s="53" customFormat="1" x14ac:dyDescent="0.2"/>
    <row r="297" s="53" customFormat="1" x14ac:dyDescent="0.2"/>
    <row r="298" s="53" customFormat="1" x14ac:dyDescent="0.2"/>
    <row r="299" s="53" customFormat="1" x14ac:dyDescent="0.2"/>
    <row r="300" s="53" customFormat="1" x14ac:dyDescent="0.2"/>
    <row r="301" s="53" customFormat="1" x14ac:dyDescent="0.2"/>
    <row r="302" s="53" customFormat="1" x14ac:dyDescent="0.2"/>
    <row r="303" s="53" customFormat="1" x14ac:dyDescent="0.2"/>
    <row r="304" s="53" customFormat="1" x14ac:dyDescent="0.2"/>
    <row r="305" s="53" customFormat="1" x14ac:dyDescent="0.2"/>
    <row r="306" s="53" customFormat="1" x14ac:dyDescent="0.2"/>
    <row r="307" s="53" customFormat="1" x14ac:dyDescent="0.2"/>
    <row r="308" s="53" customFormat="1" x14ac:dyDescent="0.2"/>
    <row r="309" s="53" customFormat="1" x14ac:dyDescent="0.2"/>
    <row r="310" s="53" customFormat="1" x14ac:dyDescent="0.2"/>
    <row r="311" s="53" customFormat="1" x14ac:dyDescent="0.2"/>
    <row r="312" s="53" customFormat="1" x14ac:dyDescent="0.2"/>
    <row r="313" s="53" customFormat="1" x14ac:dyDescent="0.2"/>
    <row r="314" s="53" customFormat="1" x14ac:dyDescent="0.2"/>
    <row r="315" s="53" customFormat="1" x14ac:dyDescent="0.2"/>
    <row r="316" s="53" customFormat="1" x14ac:dyDescent="0.2"/>
    <row r="317" s="53" customFormat="1" x14ac:dyDescent="0.2"/>
    <row r="318" s="53" customFormat="1" x14ac:dyDescent="0.2"/>
    <row r="319" s="53" customFormat="1" x14ac:dyDescent="0.2"/>
    <row r="320" s="53" customFormat="1" x14ac:dyDescent="0.2"/>
  </sheetData>
  <conditionalFormatting sqref="C6:AA6">
    <cfRule type="containsText" dxfId="11" priority="15" operator="containsText" text="below">
      <formula>NOT(ISERROR(SEARCH("below",C6)))</formula>
    </cfRule>
    <cfRule type="containsText" dxfId="10" priority="16" operator="containsText" text="above">
      <formula>NOT(ISERROR(SEARCH("above",C6)))</formula>
    </cfRule>
  </conditionalFormatting>
  <conditionalFormatting sqref="C8:AA8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AB6">
    <cfRule type="containsText" dxfId="7" priority="11" operator="containsText" text="below">
      <formula>NOT(ISERROR(SEARCH("below",AB6)))</formula>
    </cfRule>
    <cfRule type="containsText" dxfId="6" priority="12" operator="containsText" text="above">
      <formula>NOT(ISERROR(SEARCH("above",AB6)))</formula>
    </cfRule>
  </conditionalFormatting>
  <conditionalFormatting sqref="AB8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2022-02-14T23:58:54Z</dcterms:modified>
</cp:coreProperties>
</file>