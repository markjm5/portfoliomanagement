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53700" yWindow="4480" windowWidth="47920" windowHeight="24320" tabRatio="600" firstSheet="0" activeTab="4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US Indicators" sheetId="2" state="visible" r:id="rId2"/>
    <sheet xmlns:r="http://schemas.openxmlformats.org/officeDocument/2006/relationships" name="DB ISM Manufacturing Sectors" sheetId="3" state="visible" r:id="rId3"/>
    <sheet xmlns:r="http://schemas.openxmlformats.org/officeDocument/2006/relationships" name="DB ISM Services Sectors" sheetId="4" state="visible" r:id="rId4"/>
    <sheet xmlns:r="http://schemas.openxmlformats.org/officeDocument/2006/relationships" name="DB PMI Manufacturing World" sheetId="5" state="visible" r:id="rId5"/>
    <sheet xmlns:r="http://schemas.openxmlformats.org/officeDocument/2006/relationships" name="Big Picture Index" sheetId="6" state="visible" r:id="rId6"/>
    <sheet xmlns:r="http://schemas.openxmlformats.org/officeDocument/2006/relationships" name="PMI Manufacturing World" sheetId="7" state="visible" r:id="rId7"/>
  </sheets>
  <definedNames/>
  <calcPr calcId="191029" fullCalcOnLoad="1"/>
</workbook>
</file>

<file path=xl/styles.xml><?xml version="1.0" encoding="utf-8"?>
<styleSheet xmlns="http://schemas.openxmlformats.org/spreadsheetml/2006/main">
  <numFmts count="6">
    <numFmt numFmtId="164" formatCode="0.0%"/>
    <numFmt numFmtId="165" formatCode="0.0"/>
    <numFmt numFmtId="166" formatCode="#,##0.0,\ &quot;K&quot;"/>
    <numFmt numFmtId="167" formatCode="dd\-mm\-yyyy"/>
    <numFmt numFmtId="168" formatCode="dd-mm-YYYY"/>
    <numFmt numFmtId="169" formatCode="yyyy-mm-dd h:mm:ss"/>
  </numFmts>
  <fonts count="14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00B050"/>
      <sz val="11"/>
      <scheme val="minor"/>
    </font>
    <font>
      <name val="Arial"/>
      <family val="2"/>
      <color rgb="FF494444"/>
      <sz val="11"/>
    </font>
    <font>
      <name val="Calibri"/>
      <family val="2"/>
      <color rgb="FF00B0F0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color rgb="FF00B0F0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sz val="9"/>
      <scheme val="minor"/>
    </font>
  </fonts>
  <fills count="5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4" tint="0.7999816888943144"/>
        <bgColor indexed="64"/>
      </patternFill>
    </fill>
  </fills>
  <borders count="2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3" fillId="0" borderId="0"/>
    <xf numFmtId="0" fontId="2" fillId="0" borderId="0"/>
    <xf numFmtId="9" fontId="3" fillId="0" borderId="0"/>
  </cellStyleXfs>
  <cellXfs count="72">
    <xf numFmtId="0" fontId="0" fillId="0" borderId="0" pivotButton="0" quotePrefix="0" xfId="0"/>
    <xf numFmtId="10" fontId="0" fillId="2" borderId="0" pivotButton="0" quotePrefix="0" xfId="2"/>
    <xf numFmtId="10" fontId="0" fillId="2" borderId="0" pivotButton="0" quotePrefix="0" xfId="0"/>
    <xf numFmtId="0" fontId="0" fillId="2" borderId="5" pivotButton="0" quotePrefix="0" xfId="0"/>
    <xf numFmtId="0" fontId="1" fillId="2" borderId="4" applyAlignment="1" pivotButton="0" quotePrefix="0" xfId="0">
      <alignment horizontal="center"/>
    </xf>
    <xf numFmtId="0" fontId="1" fillId="2" borderId="6" applyAlignment="1" pivotButton="0" quotePrefix="0" xfId="0">
      <alignment horizontal="center"/>
    </xf>
    <xf numFmtId="0" fontId="1" fillId="2" borderId="7" pivotButton="0" quotePrefix="0" xfId="0"/>
    <xf numFmtId="0" fontId="1" fillId="2" borderId="9" pivotButton="0" quotePrefix="0" xfId="0"/>
    <xf numFmtId="10" fontId="0" fillId="2" borderId="8" applyAlignment="1" pivotButton="0" quotePrefix="0" xfId="2">
      <alignment horizontal="center"/>
    </xf>
    <xf numFmtId="10" fontId="0" fillId="2" borderId="8" applyAlignment="1" pivotButton="0" quotePrefix="0" xfId="0">
      <alignment horizontal="center"/>
    </xf>
    <xf numFmtId="0" fontId="0" fillId="2" borderId="8" applyAlignment="1" pivotButton="0" quotePrefix="0" xfId="0">
      <alignment horizontal="center"/>
    </xf>
    <xf numFmtId="0" fontId="0" fillId="2" borderId="9" pivotButton="0" quotePrefix="0" xfId="0"/>
    <xf numFmtId="0" fontId="0" fillId="2" borderId="10" pivotButton="0" quotePrefix="0" xfId="0"/>
    <xf numFmtId="0" fontId="0" fillId="2" borderId="11" pivotButton="0" quotePrefix="0" xfId="0"/>
    <xf numFmtId="0" fontId="6" fillId="0" borderId="0" pivotButton="0" quotePrefix="0" xfId="0"/>
    <xf numFmtId="0" fontId="0" fillId="2" borderId="0" applyAlignment="1" pivotButton="0" quotePrefix="0" xfId="0">
      <alignment vertical="center"/>
    </xf>
    <xf numFmtId="0" fontId="7" fillId="2" borderId="0" pivotButton="0" quotePrefix="0" xfId="0"/>
    <xf numFmtId="0" fontId="8" fillId="2" borderId="0" pivotButton="0" quotePrefix="0" xfId="0"/>
    <xf numFmtId="0" fontId="10" fillId="4" borderId="15" pivotButton="0" quotePrefix="0" xfId="0"/>
    <xf numFmtId="0" fontId="11" fillId="4" borderId="16" applyAlignment="1" pivotButton="0" quotePrefix="0" xfId="0">
      <alignment horizontal="center" textRotation="90"/>
    </xf>
    <xf numFmtId="0" fontId="11" fillId="4" borderId="16" applyAlignment="1" pivotButton="0" quotePrefix="0" xfId="0">
      <alignment horizontal="left" textRotation="90"/>
    </xf>
    <xf numFmtId="0" fontId="11" fillId="4" borderId="17" applyAlignment="1" pivotButton="0" quotePrefix="0" xfId="0">
      <alignment horizontal="center" textRotation="90"/>
    </xf>
    <xf numFmtId="14" fontId="0" fillId="2" borderId="0" pivotButton="0" quotePrefix="0" xfId="0"/>
    <xf numFmtId="0" fontId="10" fillId="0" borderId="18" pivotButton="0" quotePrefix="0" xfId="0"/>
    <xf numFmtId="0" fontId="1" fillId="4" borderId="21" pivotButton="0" quotePrefix="0" xfId="0"/>
    <xf numFmtId="0" fontId="1" fillId="4" borderId="21" applyAlignment="1" pivotButton="0" quotePrefix="0" xfId="0">
      <alignment vertical="center" wrapText="1"/>
    </xf>
    <xf numFmtId="0" fontId="1" fillId="3" borderId="18" applyAlignment="1" pivotButton="0" quotePrefix="0" xfId="0">
      <alignment horizontal="center" vertical="center" textRotation="90"/>
    </xf>
    <xf numFmtId="0" fontId="1" fillId="4" borderId="9" applyAlignment="1" pivotButton="0" quotePrefix="0" xfId="0">
      <alignment vertical="center" wrapText="1"/>
    </xf>
    <xf numFmtId="0" fontId="11" fillId="3" borderId="19" applyAlignment="1" pivotButton="0" quotePrefix="0" xfId="0">
      <alignment horizontal="center" vertical="center"/>
    </xf>
    <xf numFmtId="17" fontId="13" fillId="3" borderId="3" applyAlignment="1" pivotButton="0" quotePrefix="0" xfId="0">
      <alignment horizontal="left" vertical="top" wrapText="1"/>
    </xf>
    <xf numFmtId="0" fontId="0" fillId="0" borderId="0" pivotButton="0" quotePrefix="0" xfId="0"/>
    <xf numFmtId="164" fontId="0" fillId="2" borderId="8" applyAlignment="1" pivotButton="0" quotePrefix="0" xfId="2">
      <alignment horizontal="center"/>
    </xf>
    <xf numFmtId="165" fontId="0" fillId="2" borderId="0" applyAlignment="1" pivotButton="0" quotePrefix="0" xfId="2">
      <alignment horizontal="center"/>
    </xf>
    <xf numFmtId="164" fontId="4" fillId="2" borderId="10" applyAlignment="1" pivotButton="0" quotePrefix="0" xfId="2">
      <alignment horizontal="center"/>
    </xf>
    <xf numFmtId="165" fontId="12" fillId="3" borderId="3" applyAlignment="1" pivotButton="0" quotePrefix="0" xfId="0">
      <alignment horizontal="center" vertical="center"/>
    </xf>
    <xf numFmtId="165" fontId="12" fillId="3" borderId="20" applyAlignment="1" pivotButton="0" quotePrefix="0" xfId="0">
      <alignment horizontal="center" vertical="center"/>
    </xf>
    <xf numFmtId="165" fontId="12" fillId="3" borderId="15" applyAlignment="1" pivotButton="0" quotePrefix="0" xfId="0">
      <alignment horizontal="center" vertical="center"/>
    </xf>
    <xf numFmtId="165" fontId="12" fillId="3" borderId="18" applyAlignment="1" pivotButton="0" quotePrefix="0" xfId="0">
      <alignment horizontal="center" vertical="center"/>
    </xf>
    <xf numFmtId="165" fontId="10" fillId="0" borderId="3" applyAlignment="1" pivotButton="0" quotePrefix="0" xfId="0">
      <alignment horizontal="center" vertical="center"/>
    </xf>
    <xf numFmtId="17" fontId="9" fillId="2" borderId="0" applyAlignment="1" pivotButton="0" quotePrefix="0" xfId="0">
      <alignment horizontal="left" vertical="top" wrapText="1"/>
    </xf>
    <xf numFmtId="164" fontId="5" fillId="2" borderId="0" applyAlignment="1" pivotButton="0" quotePrefix="0" xfId="2">
      <alignment horizontal="center"/>
    </xf>
    <xf numFmtId="164" fontId="5" fillId="2" borderId="8" applyAlignment="1" pivotButton="0" quotePrefix="0" xfId="2">
      <alignment horizontal="center"/>
    </xf>
    <xf numFmtId="164" fontId="4" fillId="2" borderId="0" applyAlignment="1" pivotButton="0" quotePrefix="0" xfId="2">
      <alignment horizontal="center"/>
    </xf>
    <xf numFmtId="164" fontId="4" fillId="2" borderId="8" applyAlignment="1" pivotButton="0" quotePrefix="0" xfId="2">
      <alignment horizontal="center"/>
    </xf>
    <xf numFmtId="164" fontId="0" fillId="2" borderId="0" applyAlignment="1" pivotButton="0" quotePrefix="0" xfId="2">
      <alignment horizontal="center"/>
    </xf>
    <xf numFmtId="164" fontId="4" fillId="2" borderId="11" applyAlignment="1" pivotButton="0" quotePrefix="0" xfId="2">
      <alignment horizontal="center"/>
    </xf>
    <xf numFmtId="2" fontId="4" fillId="2" borderId="10" applyAlignment="1" pivotButton="0" quotePrefix="0" xfId="0">
      <alignment horizontal="center"/>
    </xf>
    <xf numFmtId="10" fontId="0" fillId="2" borderId="0" applyAlignment="1" pivotButton="0" quotePrefix="0" xfId="2">
      <alignment horizontal="center"/>
    </xf>
    <xf numFmtId="10" fontId="0" fillId="2" borderId="0" applyAlignment="1" pivotButton="0" quotePrefix="0" xfId="0">
      <alignment horizontal="center"/>
    </xf>
    <xf numFmtId="2" fontId="4" fillId="2" borderId="11" applyAlignment="1" pivotButton="0" quotePrefix="0" xfId="0">
      <alignment horizontal="center"/>
    </xf>
    <xf numFmtId="0" fontId="4" fillId="2" borderId="0" applyAlignment="1" pivotButton="0" quotePrefix="0" xfId="0">
      <alignment horizontal="center"/>
    </xf>
    <xf numFmtId="0" fontId="4" fillId="2" borderId="8" applyAlignment="1" pivotButton="0" quotePrefix="0" xfId="0">
      <alignment horizontal="center"/>
    </xf>
    <xf numFmtId="0" fontId="5" fillId="2" borderId="0" applyAlignment="1" pivotButton="0" quotePrefix="0" xfId="0">
      <alignment horizontal="center"/>
    </xf>
    <xf numFmtId="0" fontId="5" fillId="2" borderId="8" applyAlignment="1" pivotButton="0" quotePrefix="0" xfId="0">
      <alignment horizontal="center"/>
    </xf>
    <xf numFmtId="0" fontId="0" fillId="2" borderId="0" applyAlignment="1" pivotButton="0" quotePrefix="0" xfId="0">
      <alignment horizontal="center"/>
    </xf>
    <xf numFmtId="166" fontId="4" fillId="2" borderId="0" applyAlignment="1" pivotButton="0" quotePrefix="0" xfId="2">
      <alignment horizontal="center"/>
    </xf>
    <xf numFmtId="166" fontId="4" fillId="2" borderId="8" applyAlignment="1" pivotButton="0" quotePrefix="0" xfId="2">
      <alignment horizontal="center"/>
    </xf>
    <xf numFmtId="0" fontId="0" fillId="2" borderId="0" pivotButton="0" quotePrefix="0" xfId="0"/>
    <xf numFmtId="0" fontId="1" fillId="2" borderId="0" pivotButton="0" quotePrefix="0" xfId="0"/>
    <xf numFmtId="167" fontId="0" fillId="0" borderId="0" pivotButton="0" quotePrefix="0" xfId="0"/>
    <xf numFmtId="0" fontId="0" fillId="2" borderId="0" applyAlignment="1" pivotButton="0" quotePrefix="0" xfId="0">
      <alignment wrapText="1"/>
    </xf>
    <xf numFmtId="0" fontId="0" fillId="2" borderId="0" pivotButton="0" quotePrefix="0" xfId="0"/>
    <xf numFmtId="0" fontId="1" fillId="2" borderId="0" pivotButton="0" quotePrefix="0" xfId="0"/>
    <xf numFmtId="0" fontId="0" fillId="0" borderId="0" applyAlignment="1" pivotButton="0" quotePrefix="0" xfId="0">
      <alignment vertical="center"/>
    </xf>
    <xf numFmtId="0" fontId="1" fillId="4" borderId="3" applyAlignment="1" pivotButton="0" quotePrefix="0" xfId="0">
      <alignment horizontal="center"/>
    </xf>
    <xf numFmtId="0" fontId="0" fillId="0" borderId="1" pivotButton="0" quotePrefix="0" xfId="0"/>
    <xf numFmtId="0" fontId="0" fillId="0" borderId="2" pivotButton="0" quotePrefix="0" xfId="0"/>
    <xf numFmtId="0" fontId="1" fillId="4" borderId="12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168" fontId="0" fillId="0" borderId="0" pivotButton="0" quotePrefix="0" xfId="0"/>
    <xf numFmtId="168" fontId="0" fillId="0" borderId="0" pivotButton="0" quotePrefix="0" xfId="0"/>
  </cellXfs>
  <cellStyles count="3">
    <cellStyle name="Normal" xfId="0" builtinId="0"/>
    <cellStyle name="Normal 3" xfId="1"/>
    <cellStyle name="Per 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Manufacturing Sectors'!$E$1</f>
              <strCache>
                <ptCount val="1"/>
                <pt idx="0">
                  <v>Electrical Equipment, Appliances &amp; Components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Sectors'!$E$2:$E$7</f>
              <numCache>
                <formatCode>General</formatCode>
                <ptCount val="6"/>
                <pt idx="0">
                  <v>9</v>
                </pt>
                <pt idx="1">
                  <v>9</v>
                </pt>
                <pt idx="2">
                  <v>12</v>
                </pt>
                <pt idx="3">
                  <v>9</v>
                </pt>
                <pt idx="4">
                  <v>1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8240"/>
        <axId val="1762819888"/>
      </barChart>
      <dateAx>
        <axId val="17628182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9888"/>
        <crosses val="autoZero"/>
        <lblOffset val="100"/>
        <baseTimeUnit val="months"/>
      </dateAx>
      <valAx>
        <axId val="1762819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82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Manufacturing Sectors'!$F$1</f>
              <strCache>
                <ptCount val="1"/>
                <pt idx="0">
                  <v>Fabricated Metal Products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Sectors'!$F$2:$F$7</f>
              <numCache>
                <formatCode>General</formatCode>
                <ptCount val="6"/>
                <pt idx="0">
                  <v>5</v>
                </pt>
                <pt idx="1">
                  <v>5</v>
                </pt>
                <pt idx="2">
                  <v>7</v>
                </pt>
                <pt idx="3">
                  <v>3</v>
                </pt>
                <pt idx="4">
                  <v>5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24432"/>
        <axId val="981842800"/>
      </barChart>
      <dateAx>
        <axId val="9821244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842800"/>
        <crosses val="autoZero"/>
        <lblOffset val="100"/>
        <baseTimeUnit val="months"/>
      </dateAx>
      <valAx>
        <axId val="98184280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244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 xml:space="preserve"> &amp; Tobacco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Manufacturing Sectors'!$G$1</f>
              <strCache>
                <ptCount val="1"/>
                <pt idx="0">
                  <v>Food, Beverage &amp; Tobacco Products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Sectors'!$G$2:$G$7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13</v>
                </pt>
                <pt idx="3">
                  <v>12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399184"/>
        <axId val="982400832"/>
      </barChart>
      <dateAx>
        <axId val="9823991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00832"/>
        <crosses val="autoZero"/>
        <lblOffset val="100"/>
        <baseTimeUnit val="months"/>
      </dateAx>
      <valAx>
        <axId val="98240083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3991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Manufacturing Sectors'!$H$1</f>
              <strCache>
                <ptCount val="1"/>
                <pt idx="0">
                  <v>Furniture &amp; Related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Sectors'!$H$2:$H$7</f>
              <numCache>
                <formatCode>General</formatCode>
                <ptCount val="6"/>
                <pt idx="0">
                  <v>13</v>
                </pt>
                <pt idx="1">
                  <v>7</v>
                </pt>
                <pt idx="2">
                  <v>14</v>
                </pt>
                <pt idx="3">
                  <v>6</v>
                </pt>
                <pt idx="4">
                  <v>-1</v>
                </pt>
                <pt idx="5">
                  <v>-1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21440"/>
        <axId val="982223088"/>
      </barChart>
      <dateAx>
        <axId val="98222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3088"/>
        <crosses val="autoZero"/>
        <lblOffset val="100"/>
        <baseTimeUnit val="months"/>
      </dateAx>
      <valAx>
        <axId val="98222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2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Manufacturing Sectors'!$I$1</f>
              <strCache>
                <ptCount val="1"/>
                <pt idx="0">
                  <v>Machinery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Sectors'!$I$2:$I$7</f>
              <numCache>
                <formatCode>General</formatCode>
                <ptCount val="6"/>
                <pt idx="0">
                  <v>10</v>
                </pt>
                <pt idx="1">
                  <v>12</v>
                </pt>
                <pt idx="2">
                  <v>10</v>
                </pt>
                <pt idx="3">
                  <v>16</v>
                </pt>
                <pt idx="4">
                  <v>13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76416"/>
        <axId val="982178064"/>
      </barChart>
      <dateAx>
        <axId val="9821764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8064"/>
        <crosses val="autoZero"/>
        <lblOffset val="100"/>
        <baseTimeUnit val="months"/>
      </dateAx>
      <valAx>
        <axId val="98217806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764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Manufacturing Sectors'!$J$1</f>
              <strCache>
                <ptCount val="1"/>
                <pt idx="0">
                  <v>Miscellaneous Manufacturing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Sectors'!$J$2:$J$7</f>
              <numCache>
                <formatCode>General</formatCode>
                <ptCount val="6"/>
                <pt idx="0">
                  <v>12</v>
                </pt>
                <pt idx="1">
                  <v>11</v>
                </pt>
                <pt idx="2">
                  <v>11</v>
                </pt>
                <pt idx="3">
                  <v>2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81440"/>
        <axId val="981983088"/>
      </barChart>
      <dateAx>
        <axId val="98198144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3088"/>
        <crosses val="autoZero"/>
        <lblOffset val="100"/>
        <baseTimeUnit val="months"/>
      </dateAx>
      <valAx>
        <axId val="9819830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8144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Manufacturing Sectors'!$K$1</f>
              <strCache>
                <ptCount val="1"/>
                <pt idx="0">
                  <v>Nonmetallic Mineral Products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Sectors'!$K$2:$K$7</f>
              <numCache>
                <formatCode>General</formatCode>
                <ptCount val="6"/>
                <pt idx="0">
                  <v>11</v>
                </pt>
                <pt idx="1">
                  <v>3</v>
                </pt>
                <pt idx="2">
                  <v>3</v>
                </pt>
                <pt idx="3">
                  <v>14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508448"/>
        <axId val="345024895"/>
      </barChart>
      <dateAx>
        <axId val="98150844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24895"/>
        <crosses val="autoZero"/>
        <lblOffset val="100"/>
        <baseTimeUnit val="months"/>
      </dateAx>
      <valAx>
        <axId val="3450248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5084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Manufacturing Sectors'!$L$1</f>
              <strCache>
                <ptCount val="1"/>
                <pt idx="0">
                  <v>Paper Products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Sectors'!$L$2:$L$7</f>
              <numCache>
                <formatCode>General</formatCode>
                <ptCount val="6"/>
                <pt idx="0">
                  <v>-1</v>
                </pt>
                <pt idx="1">
                  <v>14</v>
                </pt>
                <pt idx="2">
                  <v>6</v>
                </pt>
                <pt idx="3">
                  <v>8</v>
                </pt>
                <pt idx="4">
                  <v>8</v>
                </pt>
                <pt idx="5">
                  <v>-3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004303"/>
        <axId val="345005951"/>
      </barChart>
      <dateAx>
        <axId val="345004303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5951"/>
        <crosses val="autoZero"/>
        <lblOffset val="100"/>
        <baseTimeUnit val="months"/>
      </dateAx>
      <valAx>
        <axId val="34500595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004303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Manufacturing Sectors'!$M$1</f>
              <strCache>
                <ptCount val="1"/>
                <pt idx="0">
                  <v>Petroleum &amp; Coal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Sectors'!$M$2:$M$7</f>
              <numCache>
                <formatCode>General</formatCode>
                <ptCount val="6"/>
                <pt idx="0">
                  <v>2</v>
                </pt>
                <pt idx="1">
                  <v>1</v>
                </pt>
                <pt idx="2">
                  <v>-1</v>
                </pt>
                <pt idx="3">
                  <v>-1</v>
                </pt>
                <pt idx="4">
                  <v>7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6139392"/>
        <axId val="704330896"/>
      </barChart>
      <dateAx>
        <axId val="165613939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704330896"/>
        <crosses val="autoZero"/>
        <lblOffset val="100"/>
        <baseTimeUnit val="months"/>
      </dateAx>
      <valAx>
        <axId val="70433089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613939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Manufacturing Sectors'!$N$1</f>
              <strCache>
                <ptCount val="1"/>
                <pt idx="0">
                  <v>Plastics &amp; Rubber Products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Sectors'!$N$2:$N$7</f>
              <numCache>
                <formatCode>General</formatCode>
                <ptCount val="6"/>
                <pt idx="0">
                  <v>1</v>
                </pt>
                <pt idx="1">
                  <v>6</v>
                </pt>
                <pt idx="2">
                  <v>1</v>
                </pt>
                <pt idx="3">
                  <v>15</v>
                </pt>
                <pt idx="4">
                  <v>6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719791"/>
        <axId val="1673721439"/>
      </barChart>
      <dateAx>
        <axId val="16737197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21439"/>
        <crosses val="autoZero"/>
        <lblOffset val="100"/>
        <baseTimeUnit val="months"/>
      </dateAx>
      <valAx>
        <axId val="167372143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7197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Manufacturing Sectors'!$O$1</f>
              <strCache>
                <ptCount val="1"/>
                <pt idx="0">
                  <v>Primary Metals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Sectors'!$O$2:$O$7</f>
              <numCache>
                <formatCode>General</formatCode>
                <ptCount val="6"/>
                <pt idx="0">
                  <v>6</v>
                </pt>
                <pt idx="1">
                  <v>10</v>
                </pt>
                <pt idx="2">
                  <v>2</v>
                </pt>
                <pt idx="3">
                  <v>7</v>
                </pt>
                <pt idx="4">
                  <v>2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45122175"/>
        <axId val="345123855"/>
      </barChart>
      <dateAx>
        <axId val="3451221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3855"/>
        <crosses val="autoZero"/>
        <lblOffset val="100"/>
        <baseTimeUnit val="months"/>
      </dateAx>
      <valAx>
        <axId val="34512385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451221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Manufacturing Sectors'!$P$1</f>
              <strCache>
                <ptCount val="1"/>
                <pt idx="0">
                  <v>Printing &amp; Related Support Activities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Sectors'!$P$2:$P$7</f>
              <numCache>
                <formatCode>General</formatCode>
                <ptCount val="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10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656976"/>
        <axId val="1657626272"/>
      </barChart>
      <dateAx>
        <axId val="165765697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26272"/>
        <crosses val="autoZero"/>
        <lblOffset val="100"/>
        <baseTimeUnit val="months"/>
      </dateAx>
      <valAx>
        <axId val="16576262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65697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Manufacturing Sectors'!$Q$1</f>
              <strCache>
                <ptCount val="1"/>
                <pt idx="0">
                  <v>Textile Mills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Sectors'!$Q$2:$Q$7</f>
              <numCache>
                <formatCode>General</formatCode>
                <ptCount val="6"/>
                <pt idx="0">
                  <v>0</v>
                </pt>
                <pt idx="1">
                  <v>15</v>
                </pt>
                <pt idx="2">
                  <v>9</v>
                </pt>
                <pt idx="3">
                  <v>4</v>
                </pt>
                <pt idx="4">
                  <v>0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23295"/>
        <axId val="482449247"/>
      </barChart>
      <dateAx>
        <axId val="4826232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49247"/>
        <crosses val="autoZero"/>
        <lblOffset val="100"/>
        <baseTimeUnit val="months"/>
      </dateAx>
      <valAx>
        <axId val="4824492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232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4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Manufacturing Sectors'!$R$1</f>
              <strCache>
                <ptCount val="1"/>
                <pt idx="0">
                  <v>Transportation Equipment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Sectors'!$R$2:$R$7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8</v>
                </pt>
                <pt idx="3">
                  <v>11</v>
                </pt>
                <pt idx="4">
                  <v>9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583695"/>
        <axId val="1673585343"/>
      </barChart>
      <dateAx>
        <axId val="1673583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5343"/>
        <crosses val="autoZero"/>
        <lblOffset val="100"/>
        <baseTimeUnit val="months"/>
      </dateAx>
      <valAx>
        <axId val="167358534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583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5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Manufacturing Sectors'!$S$1</f>
              <strCache>
                <ptCount val="1"/>
                <pt idx="0">
                  <v>Wood Products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Sectors'!$S$2:$S$7</f>
              <numCache>
                <formatCode>General</formatCode>
                <ptCount val="6"/>
                <pt idx="0">
                  <v>0</v>
                </pt>
                <pt idx="1">
                  <v>-1</v>
                </pt>
                <pt idx="2">
                  <v>-2</v>
                </pt>
                <pt idx="3">
                  <v>1</v>
                </pt>
                <pt idx="4">
                  <v>0</v>
                </pt>
                <pt idx="5">
                  <v>-2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464799"/>
        <axId val="482466447"/>
      </barChart>
      <dateAx>
        <axId val="48246479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6447"/>
        <crosses val="autoZero"/>
        <lblOffset val="100"/>
        <baseTimeUnit val="months"/>
      </dateAx>
      <valAx>
        <axId val="48246644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46479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6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 xml:space="preserve"> Leather &amp; Allied Products</a:t>
            </a:r>
            <a:endParaRPr lang="en-US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Manufacturing Sectors'!$B$1</f>
              <strCache>
                <ptCount val="1"/>
                <pt idx="0">
                  <v>Apparel, Leather &amp; Allied Products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Sectors'!$B$2:$B$7</f>
              <numCache>
                <formatCode>General</formatCode>
                <ptCount val="6"/>
                <pt idx="0">
                  <v>14</v>
                </pt>
                <pt idx="1">
                  <v>16</v>
                </pt>
                <pt idx="2">
                  <v>15</v>
                </pt>
                <pt idx="3">
                  <v>17</v>
                </pt>
                <pt idx="4">
                  <v>15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15391"/>
        <axId val="1673917071"/>
      </barChart>
      <dateAx>
        <axId val="167391539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7071"/>
        <crosses val="autoZero"/>
        <lblOffset val="100"/>
        <baseTimeUnit val="months"/>
      </dateAx>
      <valAx>
        <axId val="1673917071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1539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Manufacturing Sectors'!$C$1</f>
              <strCache>
                <ptCount val="1"/>
                <pt idx="0">
                  <v>Chemical Products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Sectors'!$C$2:$C$7</f>
              <numCache>
                <formatCode>General</formatCode>
                <ptCount val="6"/>
                <pt idx="0">
                  <v>3</v>
                </pt>
                <pt idx="1">
                  <v>2</v>
                </pt>
                <pt idx="2">
                  <v>5</v>
                </pt>
                <pt idx="3">
                  <v>5</v>
                </pt>
                <pt idx="4">
                  <v>4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94080"/>
        <axId val="1762827888"/>
      </barChart>
      <dateAx>
        <axId val="1762894080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27888"/>
        <crosses val="autoZero"/>
        <lblOffset val="100"/>
        <baseTimeUnit val="months"/>
      </dateAx>
      <valAx>
        <axId val="176282788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9408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Manufacturing Sectors'!$D$1</f>
              <strCache>
                <ptCount val="1"/>
                <pt idx="0">
                  <v>Computer &amp; Electronic Products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Manufacturing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Manufacturing Sectors'!$D$2:$D$7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4</v>
                </pt>
                <pt idx="3">
                  <v>13</v>
                </pt>
                <pt idx="4">
                  <v>11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62810304"/>
        <axId val="1762811952"/>
      </barChart>
      <dateAx>
        <axId val="176281030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1952"/>
        <crosses val="autoZero"/>
        <lblOffset val="100"/>
        <baseTimeUnit val="months"/>
      </dateAx>
      <valAx>
        <axId val="17628119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6281030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1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tx>
            <strRef>
              <f>'DB ISM Services Sectors'!$B$1</f>
              <strCache>
                <ptCount val="1"/>
                <pt idx="0">
                  <v>Arts, Entertainment &amp; Recreation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Sectors'!$B$2:$B$7</f>
              <numCache>
                <formatCode>General</formatCode>
                <ptCount val="6"/>
                <pt idx="0">
                  <v>17</v>
                </pt>
                <pt idx="1">
                  <v>11</v>
                </pt>
                <pt idx="2">
                  <v>9</v>
                </pt>
                <pt idx="3">
                  <v>18</v>
                </pt>
                <pt idx="4">
                  <v>18</v>
                </pt>
                <pt idx="5">
                  <v>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73923487"/>
        <axId val="1611289920"/>
      </barChart>
      <dateAx>
        <axId val="167392348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89920"/>
        <crosses val="autoZero"/>
        <lblOffset val="100"/>
        <baseTimeUnit val="months"/>
      </dateAx>
      <valAx>
        <axId val="161128992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7392348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'DB ISM Services Sectors'!$C$1</f>
              <strCache>
                <ptCount val="1"/>
                <pt idx="0">
                  <v>Other Services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Sectors'!$C$2:$C$7</f>
              <numCache>
                <formatCode>General</formatCode>
                <ptCount val="6"/>
                <pt idx="0">
                  <v>1</v>
                </pt>
                <pt idx="1">
                  <v>5</v>
                </pt>
                <pt idx="2">
                  <v>6</v>
                </pt>
                <pt idx="3">
                  <v>2</v>
                </pt>
                <pt idx="4">
                  <v>10</v>
                </pt>
                <pt idx="5">
                  <v>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234864"/>
        <axId val="982236512"/>
      </barChart>
      <dateAx>
        <axId val="98223486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6512"/>
        <crosses val="autoZero"/>
        <lblOffset val="100"/>
        <baseTimeUnit val="months"/>
      </dateAx>
      <valAx>
        <axId val="98223651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486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'DB ISM Services Sectors'!$D$1</f>
              <strCache>
                <ptCount val="1"/>
                <pt idx="0">
                  <v>Health Care &amp; Social Assistance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Sectors'!$D$2:$D$7</f>
              <numCache>
                <formatCode>General</formatCode>
                <ptCount val="6"/>
                <pt idx="0">
                  <v>5</v>
                </pt>
                <pt idx="1">
                  <v>3</v>
                </pt>
                <pt idx="2">
                  <v>2</v>
                </pt>
                <pt idx="3">
                  <v>4</v>
                </pt>
                <pt idx="4">
                  <v>3</v>
                </pt>
                <pt idx="5">
                  <v>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1993216"/>
        <axId val="982215552"/>
      </barChart>
      <dateAx>
        <axId val="981993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15552"/>
        <crosses val="autoZero"/>
        <lblOffset val="100"/>
        <baseTimeUnit val="months"/>
      </dateAx>
      <valAx>
        <axId val="98221555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1993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3"/>
          <order val="0"/>
          <tx>
            <strRef>
              <f>'DB ISM Services Sectors'!$E$1</f>
              <strCache>
                <ptCount val="1"/>
                <pt idx="0">
                  <v>Accommodation &amp; Food Services</v>
                </pt>
              </strCache>
            </strRef>
          </tx>
          <spPr>
            <a:solidFill xmlns:a="http://schemas.openxmlformats.org/drawingml/2006/main">
              <a:schemeClr val="accent4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Sectors'!$E$2:$E$7</f>
              <numCache>
                <formatCode>General</formatCode>
                <ptCount val="6"/>
                <pt idx="0">
                  <v>14</v>
                </pt>
                <pt idx="1">
                  <v>2</v>
                </pt>
                <pt idx="2">
                  <v>3</v>
                </pt>
                <pt idx="3">
                  <v>13</v>
                </pt>
                <pt idx="4">
                  <v>14</v>
                </pt>
                <pt idx="5">
                  <v>13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57006208"/>
        <axId val="1657007856"/>
      </barChart>
      <dateAx>
        <axId val="1657006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7856"/>
        <crosses val="autoZero"/>
        <lblOffset val="100"/>
        <baseTimeUnit val="months"/>
      </dateAx>
      <valAx>
        <axId val="165700785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700620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4"/>
          <order val="0"/>
          <tx>
            <strRef>
              <f>'DB ISM Services Sectors'!$F$1</f>
              <strCache>
                <ptCount val="1"/>
                <pt idx="0">
                  <v>Finance &amp; Insurance</v>
                </pt>
              </strCache>
            </strRef>
          </tx>
          <spPr>
            <a:solidFill xmlns:a="http://schemas.openxmlformats.org/drawingml/2006/main">
              <a:schemeClr val="accent5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Sectors'!$F$2:$F$7</f>
              <numCache>
                <formatCode>General</formatCode>
                <ptCount val="6"/>
                <pt idx="0">
                  <v>6</v>
                </pt>
                <pt idx="1">
                  <v>7</v>
                </pt>
                <pt idx="2">
                  <v>1</v>
                </pt>
                <pt idx="3">
                  <v>10</v>
                </pt>
                <pt idx="4">
                  <v>7</v>
                </pt>
                <pt idx="5">
                  <v>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02319"/>
        <axId val="482603967"/>
      </barChart>
      <dateAx>
        <axId val="482602319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3967"/>
        <crosses val="autoZero"/>
        <lblOffset val="100"/>
        <baseTimeUnit val="months"/>
      </dateAx>
      <valAx>
        <axId val="482603967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02319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5"/>
          <order val="0"/>
          <tx>
            <strRef>
              <f>'DB ISM Services Sectors'!$G$1</f>
              <strCache>
                <ptCount val="1"/>
                <pt idx="0">
                  <v>Real Estate, Rental &amp; Leasing</v>
                </pt>
              </strCache>
            </strRef>
          </tx>
          <spPr>
            <a:solidFill xmlns:a="http://schemas.openxmlformats.org/drawingml/2006/main">
              <a:schemeClr val="accent6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Sectors'!$G$2:$G$7</f>
              <numCache>
                <formatCode>General</formatCode>
                <ptCount val="6"/>
                <pt idx="0">
                  <v>3</v>
                </pt>
                <pt idx="1">
                  <v>6</v>
                </pt>
                <pt idx="2">
                  <v>12</v>
                </pt>
                <pt idx="3">
                  <v>16</v>
                </pt>
                <pt idx="4">
                  <v>12</v>
                </pt>
                <pt idx="5">
                  <v>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0313824"/>
        <axId val="1320315472"/>
      </barChart>
      <dateAx>
        <axId val="132031382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5472"/>
        <crosses val="autoZero"/>
        <lblOffset val="100"/>
        <baseTimeUnit val="months"/>
      </dateAx>
      <valAx>
        <axId val="1320315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031382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6"/>
          <order val="0"/>
          <tx>
            <strRef>
              <f>'DB ISM Services Sectors'!$H$1</f>
              <strCache>
                <ptCount val="1"/>
                <pt idx="0">
                  <v>Transportation &amp; Warehousing</v>
                </pt>
              </strCache>
            </strRef>
          </tx>
          <spPr>
            <a:solidFill xmlns:a="http://schemas.openxmlformats.org/drawingml/2006/main">
              <a:schemeClr val="accent1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Sectors'!$H$2:$H$7</f>
              <numCache>
                <formatCode>General</formatCode>
                <ptCount val="6"/>
                <pt idx="0">
                  <v>12</v>
                </pt>
                <pt idx="1">
                  <v>9</v>
                </pt>
                <pt idx="2">
                  <v>15</v>
                </pt>
                <pt idx="3">
                  <v>6</v>
                </pt>
                <pt idx="4">
                  <v>13</v>
                </pt>
                <pt idx="5">
                  <v>16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321133232"/>
        <axId val="1321134880"/>
      </barChart>
      <dateAx>
        <axId val="132113323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4880"/>
        <crosses val="autoZero"/>
        <lblOffset val="100"/>
        <baseTimeUnit val="months"/>
      </dateAx>
      <valAx>
        <axId val="132113488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32113323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7"/>
          <order val="0"/>
          <tx>
            <strRef>
              <f>'DB ISM Services Sectors'!$I$1</f>
              <strCache>
                <ptCount val="1"/>
                <pt idx="0">
                  <v>Mining</v>
                </pt>
              </strCache>
            </strRef>
          </tx>
          <spPr>
            <a:solidFill xmlns:a="http://schemas.openxmlformats.org/drawingml/2006/main">
              <a:schemeClr val="accent2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Sectors'!$I$2:$I$7</f>
              <numCache>
                <formatCode>General</formatCode>
                <ptCount val="6"/>
                <pt idx="0">
                  <v>9</v>
                </pt>
                <pt idx="1">
                  <v>10</v>
                </pt>
                <pt idx="2">
                  <v>16</v>
                </pt>
                <pt idx="3">
                  <v>17</v>
                </pt>
                <pt idx="4">
                  <v>17</v>
                </pt>
                <pt idx="5">
                  <v>17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614127"/>
        <axId val="482615775"/>
      </barChart>
      <dateAx>
        <axId val="48261412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5775"/>
        <crosses val="autoZero"/>
        <lblOffset val="100"/>
        <baseTimeUnit val="months"/>
      </dateAx>
      <valAx>
        <axId val="48261577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61412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7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8"/>
          <order val="0"/>
          <tx>
            <strRef>
              <f>'DB ISM Services Sectors'!$J$1</f>
              <strCache>
                <ptCount val="1"/>
                <pt idx="0">
                  <v>Construction</v>
                </pt>
              </strCache>
            </strRef>
          </tx>
          <spPr>
            <a:solidFill xmlns:a="http://schemas.openxmlformats.org/drawingml/2006/main">
              <a:schemeClr val="accent3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Sectors'!$J$2:$J$7</f>
              <numCache>
                <formatCode>General</formatCode>
                <ptCount val="6"/>
                <pt idx="0">
                  <v>16</v>
                </pt>
                <pt idx="1">
                  <v>18</v>
                </pt>
                <pt idx="2">
                  <v>18</v>
                </pt>
                <pt idx="3">
                  <v>14</v>
                </pt>
                <pt idx="4">
                  <v>16</v>
                </pt>
                <pt idx="5">
                  <v>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033552784"/>
        <axId val="404616863"/>
      </barChart>
      <dateAx>
        <axId val="2033552784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04616863"/>
        <crosses val="autoZero"/>
        <lblOffset val="100"/>
        <baseTimeUnit val="months"/>
      </dateAx>
      <valAx>
        <axId val="40461686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2033552784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8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9"/>
          <order val="0"/>
          <tx>
            <strRef>
              <f>'DB ISM Services Sectors'!$K$1</f>
              <strCache>
                <ptCount val="1"/>
                <pt idx="0">
                  <v>Wholesale Trade</v>
                </pt>
              </strCache>
            </strRef>
          </tx>
          <spPr>
            <a:solidFill xmlns:a="http://schemas.openxmlformats.org/drawingml/2006/main">
              <a:schemeClr val="accent4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Sectors'!$K$2:$K$7</f>
              <numCache>
                <formatCode>General</formatCode>
                <ptCount val="6"/>
                <pt idx="0">
                  <v>11</v>
                </pt>
                <pt idx="1">
                  <v>17</v>
                </pt>
                <pt idx="2">
                  <v>10</v>
                </pt>
                <pt idx="3">
                  <v>15</v>
                </pt>
                <pt idx="4">
                  <v>11</v>
                </pt>
                <pt idx="5">
                  <v>11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4491695"/>
        <axId val="1615687935"/>
      </barChart>
      <dateAx>
        <axId val="36449169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687935"/>
        <crosses val="autoZero"/>
        <lblOffset val="100"/>
        <baseTimeUnit val="months"/>
      </dateAx>
      <valAx>
        <axId val="161568793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449169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9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0"/>
          <order val="0"/>
          <tx>
            <strRef>
              <f>'DB ISM Services Sectors'!$L$1</f>
              <strCache>
                <ptCount val="1"/>
                <pt idx="0">
                  <v>Public Administration</v>
                </pt>
              </strCache>
            </strRef>
          </tx>
          <spPr>
            <a:solidFill xmlns:a="http://schemas.openxmlformats.org/drawingml/2006/main">
              <a:schemeClr val="accent5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Sectors'!$L$2:$L$7</f>
              <numCache>
                <formatCode>General</formatCode>
                <ptCount val="6"/>
                <pt idx="0">
                  <v>7</v>
                </pt>
                <pt idx="1">
                  <v>13</v>
                </pt>
                <pt idx="2">
                  <v>7</v>
                </pt>
                <pt idx="3">
                  <v>9</v>
                </pt>
                <pt idx="4">
                  <v>9</v>
                </pt>
                <pt idx="5">
                  <v>15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32421631"/>
        <axId val="1615471983"/>
      </barChart>
      <dateAx>
        <axId val="163242163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471983"/>
        <crosses val="autoZero"/>
        <lblOffset val="100"/>
        <baseTimeUnit val="months"/>
      </dateAx>
      <valAx>
        <axId val="161547198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3242163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0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1"/>
          <order val="0"/>
          <tx>
            <strRef>
              <f>'DB ISM Services Sectors'!$M$1</f>
              <strCache>
                <ptCount val="1"/>
                <pt idx="0">
                  <v>Professional, Scientific &amp; Technical Services</v>
                </pt>
              </strCache>
            </strRef>
          </tx>
          <spPr>
            <a:solidFill xmlns:a="http://schemas.openxmlformats.org/drawingml/2006/main">
              <a:schemeClr val="accent6">
                <a:lumMod val="6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Sectors'!$M$2:$M$7</f>
              <numCache>
                <formatCode>General</formatCode>
                <ptCount val="6"/>
                <pt idx="0">
                  <v>8</v>
                </pt>
                <pt idx="1">
                  <v>4</v>
                </pt>
                <pt idx="2">
                  <v>4</v>
                </pt>
                <pt idx="3">
                  <v>5</v>
                </pt>
                <pt idx="4">
                  <v>4</v>
                </pt>
                <pt idx="5">
                  <v>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5760607"/>
        <axId val="1615349999"/>
      </barChart>
      <dateAx>
        <axId val="1615760607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349999"/>
        <crosses val="autoZero"/>
        <lblOffset val="100"/>
        <baseTimeUnit val="months"/>
      </dateAx>
      <valAx>
        <axId val="161534999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5760607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1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2"/>
          <order val="0"/>
          <tx>
            <strRef>
              <f>'DB ISM Services Sectors'!$N$1</f>
              <strCache>
                <ptCount val="1"/>
                <pt idx="0">
                  <v>Agriculture, Forestry, Fishing &amp; Hunting</v>
                </pt>
              </strCache>
            </strRef>
          </tx>
          <spPr>
            <a:solidFill xmlns:a="http://schemas.openxmlformats.org/drawingml/2006/main">
              <a:schemeClr val="accent1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Sectors'!$N$2:$N$7</f>
              <numCache>
                <formatCode>General</formatCode>
                <ptCount val="6"/>
                <pt idx="0">
                  <v>18</v>
                </pt>
                <pt idx="1">
                  <v>12</v>
                </pt>
                <pt idx="2">
                  <v>13</v>
                </pt>
                <pt idx="3">
                  <v>1</v>
                </pt>
                <pt idx="4">
                  <v>1</v>
                </pt>
                <pt idx="5">
                  <v>1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982189728"/>
        <axId val="982190960"/>
      </barChart>
      <dateAx>
        <axId val="98218972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90960"/>
        <crosses val="autoZero"/>
        <lblOffset val="100"/>
        <baseTimeUnit val="months"/>
      </dateAx>
      <valAx>
        <axId val="98219096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18972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2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3"/>
          <order val="0"/>
          <tx>
            <strRef>
              <f>'DB ISM Services Sectors'!$O$1</f>
              <strCache>
                <ptCount val="1"/>
                <pt idx="0">
                  <v>Information</v>
                </pt>
              </strCache>
            </strRef>
          </tx>
          <spPr>
            <a:solidFill xmlns:a="http://schemas.openxmlformats.org/drawingml/2006/main">
              <a:schemeClr val="accent2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Sectors'!$O$2:$O$7</f>
              <numCache>
                <formatCode>General</formatCode>
                <ptCount val="6"/>
                <pt idx="0">
                  <v>4</v>
                </pt>
                <pt idx="1">
                  <v>8</v>
                </pt>
                <pt idx="2">
                  <v>11</v>
                </pt>
                <pt idx="3">
                  <v>7</v>
                </pt>
                <pt idx="4">
                  <v>5</v>
                </pt>
                <pt idx="5">
                  <v>10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061072"/>
        <axId val="1611225536"/>
      </barChart>
      <dateAx>
        <axId val="1611061072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225536"/>
        <crosses val="autoZero"/>
        <lblOffset val="100"/>
        <baseTimeUnit val="months"/>
      </dateAx>
      <valAx>
        <axId val="161122553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061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3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4"/>
          <order val="0"/>
          <tx>
            <strRef>
              <f>'DB ISM Services Sectors'!$P$1</f>
              <strCache>
                <ptCount val="1"/>
                <pt idx="0">
                  <v>Educational Services</v>
                </pt>
              </strCache>
            </strRef>
          </tx>
          <spPr>
            <a:solidFill xmlns:a="http://schemas.openxmlformats.org/drawingml/2006/main">
              <a:schemeClr val="accent3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Sectors'!$P$2:$P$7</f>
              <numCache>
                <formatCode>General</formatCode>
                <ptCount val="6"/>
                <pt idx="0">
                  <v>2</v>
                </pt>
                <pt idx="1">
                  <v>15</v>
                </pt>
                <pt idx="2">
                  <v>8</v>
                </pt>
                <pt idx="3">
                  <v>11</v>
                </pt>
                <pt idx="4">
                  <v>8</v>
                </pt>
                <pt idx="5">
                  <v>12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761455"/>
        <axId val="482763103"/>
      </barChart>
      <dateAx>
        <axId val="48276145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3103"/>
        <crosses val="autoZero"/>
        <lblOffset val="100"/>
        <baseTimeUnit val="months"/>
      </dateAx>
      <valAx>
        <axId val="48276310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76145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4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 xml:space="preserve"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5"/>
          <order val="0"/>
          <tx>
            <strRef>
              <f>'DB ISM Services Sectors'!$Q$1</f>
              <strCache>
                <ptCount val="1"/>
                <pt idx="0">
                  <v>Management of Companies &amp; Support Services</v>
                </pt>
              </strCache>
            </strRef>
          </tx>
          <spPr>
            <a:solidFill xmlns:a="http://schemas.openxmlformats.org/drawingml/2006/main">
              <a:schemeClr val="accent4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Sectors'!$Q$2:$Q$7</f>
              <numCache>
                <formatCode>General</formatCode>
                <ptCount val="6"/>
                <pt idx="0">
                  <v>15</v>
                </pt>
                <pt idx="1">
                  <v>16</v>
                </pt>
                <pt idx="2">
                  <v>17</v>
                </pt>
                <pt idx="3">
                  <v>12</v>
                </pt>
                <pt idx="4">
                  <v>15</v>
                </pt>
                <pt idx="5">
                  <v>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11132016"/>
        <axId val="1611132416"/>
      </barChart>
      <dateAx>
        <axId val="16111320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416"/>
        <crosses val="autoZero"/>
        <lblOffset val="100"/>
        <baseTimeUnit val="months"/>
      </dateAx>
      <valAx>
        <axId val="1611132416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111320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5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6"/>
          <order val="0"/>
          <tx>
            <strRef>
              <f>'DB ISM Services Sectors'!$R$1</f>
              <strCache>
                <ptCount val="1"/>
                <pt idx="0">
                  <v>Retail Trade</v>
                </pt>
              </strCache>
            </strRef>
          </tx>
          <spPr>
            <a:solidFill xmlns:a="http://schemas.openxmlformats.org/drawingml/2006/main">
              <a:schemeClr val="accent5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Sectors'!$R$2:$R$7</f>
              <numCache>
                <formatCode>General</formatCode>
                <ptCount val="6"/>
                <pt idx="0">
                  <v>13</v>
                </pt>
                <pt idx="1">
                  <v>1</v>
                </pt>
                <pt idx="2">
                  <v>5</v>
                </pt>
                <pt idx="3">
                  <v>3</v>
                </pt>
                <pt idx="4">
                  <v>6</v>
                </pt>
                <pt idx="5">
                  <v>14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482808975"/>
        <axId val="482810623"/>
      </barChart>
      <dateAx>
        <axId val="482808975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10623"/>
        <crosses val="autoZero"/>
        <lblOffset val="100"/>
        <baseTimeUnit val="months"/>
      </dateAx>
      <valAx>
        <axId val="482810623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482808975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6.xml><?xml version="1.0" encoding="utf-8"?>
<chartSpace xmlns="http://schemas.openxmlformats.org/drawingml/2006/chart">
  <chart>
    <title>
      <tx>
        <rich>
          <a:bodyPr xmlns:a="http://schemas.openxmlformats.org/drawingml/2006/main"/>
          <a:lstStyle xmlns:a="http://schemas.openxmlformats.org/drawingml/2006/main"/>
          <a:p xmlns:a="http://schemas.openxmlformats.org/drawingml/2006/main"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7"/>
          <order val="0"/>
          <tx>
            <strRef>
              <f>'DB ISM Services Sectors'!$S$1</f>
              <strCache>
                <ptCount val="1"/>
                <pt idx="0">
                  <v>Utilities</v>
                </pt>
              </strCache>
            </strRef>
          </tx>
          <spPr>
            <a:solidFill xmlns:a="http://schemas.openxmlformats.org/drawingml/2006/main">
              <a:schemeClr val="accent6">
                <a:lumMod val="80000"/>
                <a:lumOff val="2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'DB ISM Services Sectors'!$A$2:$A$7</f>
              <numCache>
                <formatCode>dd\-mm\-yyyy</formatCode>
                <ptCount val="6"/>
                <pt idx="0">
                  <v>44562</v>
                </pt>
                <pt idx="1">
                  <v>44593</v>
                </pt>
                <pt idx="2">
                  <v>44621</v>
                </pt>
                <pt idx="3">
                  <v>44652</v>
                </pt>
                <pt idx="4">
                  <v>44682</v>
                </pt>
                <pt idx="5">
                  <v>44713</v>
                </pt>
              </numCache>
            </numRef>
          </cat>
          <val>
            <numRef>
              <f>'DB ISM Services Sectors'!$S$2:$S$7</f>
              <numCache>
                <formatCode>General</formatCode>
                <ptCount val="6"/>
                <pt idx="0">
                  <v>10</v>
                </pt>
                <pt idx="1">
                  <v>14</v>
                </pt>
                <pt idx="2">
                  <v>14</v>
                </pt>
                <pt idx="3">
                  <v>8</v>
                </pt>
                <pt idx="4">
                  <v>2</v>
                </pt>
                <pt idx="5">
                  <v>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711384911"/>
        <axId val="1712288095"/>
      </barChart>
      <dateAx>
        <axId val="1711384911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2288095"/>
        <crosses val="autoZero"/>
        <lblOffset val="100"/>
        <baseTimeUnit val="months"/>
      </dateAx>
      <valAx>
        <axId val="1712288095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711384911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7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 xml:space="preserve"> ISM vs Eurozone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1"/>
          <order val="0"/>
          <tx>
            <strRef>
              <f>'DB PMI Manufacturing World'!$C$1</f>
              <strCache>
                <ptCount val="1"/>
                <pt idx="0">
                  <v>ISM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World'!$C$2:$C$97</f>
              <numCache>
                <formatCode>General</formatCode>
                <ptCount val="96"/>
                <pt idx="0">
                  <v>56.9</v>
                </pt>
                <pt idx="1">
                  <v>57.3</v>
                </pt>
                <pt idx="2">
                  <v>56.6</v>
                </pt>
                <pt idx="3">
                  <v>59.1</v>
                </pt>
                <pt idx="4">
                  <v>59.2</v>
                </pt>
                <pt idx="5">
                  <v>58.4</v>
                </pt>
                <pt idx="6">
                  <v>57.9</v>
                </pt>
                <pt idx="7">
                  <v>54.8</v>
                </pt>
                <pt idx="8">
                  <v>55.8</v>
                </pt>
                <pt idx="9">
                  <v>52.9</v>
                </pt>
                <pt idx="10">
                  <v>52.6</v>
                </pt>
                <pt idx="11">
                  <v>53.7</v>
                </pt>
                <pt idx="12">
                  <v>51.4</v>
                </pt>
                <pt idx="13">
                  <v>51.8</v>
                </pt>
                <pt idx="14">
                  <v>53</v>
                </pt>
                <pt idx="15">
                  <v>52.6</v>
                </pt>
                <pt idx="16">
                  <v>53.1</v>
                </pt>
                <pt idx="17">
                  <v>53.5</v>
                </pt>
                <pt idx="18">
                  <v>53.5</v>
                </pt>
                <pt idx="19">
                  <v>52.6</v>
                </pt>
                <pt idx="20">
                  <v>49.7</v>
                </pt>
                <pt idx="21">
                  <v>50</v>
                </pt>
                <pt idx="22">
                  <v>50.2</v>
                </pt>
                <pt idx="23">
                  <v>51.8</v>
                </pt>
                <pt idx="24">
                  <v>50.7</v>
                </pt>
                <pt idx="25">
                  <v>48.9</v>
                </pt>
                <pt idx="26">
                  <v>49.8</v>
                </pt>
                <pt idx="27">
                  <v>52</v>
                </pt>
                <pt idx="28">
                  <v>53.6</v>
                </pt>
                <pt idx="29">
                  <v>52</v>
                </pt>
                <pt idx="30">
                  <v>49.7</v>
                </pt>
                <pt idx="31">
                  <v>50.5</v>
                </pt>
                <pt idx="32">
                  <v>51.5</v>
                </pt>
                <pt idx="33">
                  <v>53.5</v>
                </pt>
                <pt idx="34">
                  <v>55.9</v>
                </pt>
                <pt idx="35">
                  <v>54.8</v>
                </pt>
                <pt idx="36">
                  <v>55.3</v>
                </pt>
                <pt idx="37">
                  <v>56.3</v>
                </pt>
                <pt idx="38">
                  <v>55.9</v>
                </pt>
                <pt idx="39">
                  <v>51.7</v>
                </pt>
                <pt idx="40">
                  <v>54.6</v>
                </pt>
                <pt idx="41">
                  <v>55.3</v>
                </pt>
                <pt idx="42">
                  <v>55.7</v>
                </pt>
                <pt idx="43">
                  <v>55.8</v>
                </pt>
                <pt idx="44">
                  <v>54.9</v>
                </pt>
                <pt idx="45">
                  <v>55.3</v>
                </pt>
                <pt idx="46">
                  <v>58.2</v>
                </pt>
                <pt idx="47">
                  <v>55.5</v>
                </pt>
                <pt idx="48">
                  <v>56.8</v>
                </pt>
                <pt idx="49">
                  <v>57</v>
                </pt>
                <pt idx="50">
                  <v>54.7</v>
                </pt>
                <pt idx="51">
                  <v>53.9</v>
                </pt>
                <pt idx="52">
                  <v>53</v>
                </pt>
                <pt idx="53">
                  <v>51.8</v>
                </pt>
                <pt idx="54">
                  <v>51.6</v>
                </pt>
                <pt idx="55">
                  <v>52.9</v>
                </pt>
                <pt idx="56">
                  <v>52.3</v>
                </pt>
                <pt idx="57">
                  <v>51.9</v>
                </pt>
                <pt idx="58">
                  <v>50.8</v>
                </pt>
                <pt idx="59">
                  <v>50.1</v>
                </pt>
                <pt idx="60">
                  <v>49.6</v>
                </pt>
                <pt idx="61">
                  <v>49.1</v>
                </pt>
                <pt idx="62">
                  <v>48.4</v>
                </pt>
                <pt idx="63">
                  <v>47.8</v>
                </pt>
                <pt idx="64">
                  <v>49.4</v>
                </pt>
                <pt idx="65">
                  <v>51.2</v>
                </pt>
                <pt idx="66">
                  <v>50.8</v>
                </pt>
                <pt idx="67">
                  <v>50.9</v>
                </pt>
                <pt idx="68">
                  <v>52.5</v>
                </pt>
                <pt idx="69">
                  <v>52.9</v>
                </pt>
                <pt idx="70">
                  <v>49.9</v>
                </pt>
                <pt idx="71">
                  <v>51.4</v>
                </pt>
                <pt idx="72">
                  <v>51.8</v>
                </pt>
                <pt idx="73">
                  <v>53.4</v>
                </pt>
                <pt idx="74">
                  <v>54.3</v>
                </pt>
                <pt idx="75">
                  <v>55.6</v>
                </pt>
                <pt idx="76">
                  <v>57.6</v>
                </pt>
                <pt idx="77">
                  <v>56.6</v>
                </pt>
                <pt idx="78">
                  <v>55.3</v>
                </pt>
                <pt idx="79">
                  <v>55.5</v>
                </pt>
                <pt idx="80">
                  <v>56.7</v>
                </pt>
                <pt idx="81">
                  <v>56.5</v>
                </pt>
                <pt idx="82">
                  <v>59.3</v>
                </pt>
                <pt idx="83">
                  <v>60.2</v>
                </pt>
                <pt idx="84">
                  <v>58.5</v>
                </pt>
                <pt idx="85">
                  <v>58.2</v>
                </pt>
                <pt idx="86">
                  <v>59.3</v>
                </pt>
                <pt idx="87">
                  <v>59.1</v>
                </pt>
                <pt idx="88">
                  <v>60.8</v>
                </pt>
                <pt idx="89">
                  <v>59.3</v>
                </pt>
                <pt idx="90">
                  <v>57.3</v>
                </pt>
                <pt idx="91">
                  <v>58.7</v>
                </pt>
                <pt idx="92">
                  <v>60.2</v>
                </pt>
                <pt idx="93">
                  <v>58.1</v>
                </pt>
                <pt idx="94">
                  <v>61.3</v>
                </pt>
                <pt idx="95">
                  <v>59.8</v>
                </pt>
              </numCache>
            </numRef>
          </val>
          <smooth val="0"/>
        </ser>
        <ser>
          <idx val="2"/>
          <order val="1"/>
          <tx>
            <strRef>
              <f>'DB PMI Manufacturing World'!$F$1</f>
              <strCache>
                <ptCount val="1"/>
                <pt idx="0">
                  <v>EU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'DB PMI Manufacturing World'!$A$2:$A$97</f>
              <numCache>
                <formatCode>dd\-mm\-yyyy</formatCode>
                <ptCount val="96"/>
                <pt idx="0">
                  <v>40452</v>
                </pt>
                <pt idx="1">
                  <v>40483</v>
                </pt>
                <pt idx="2">
                  <v>40513</v>
                </pt>
                <pt idx="3">
                  <v>40544</v>
                </pt>
                <pt idx="4">
                  <v>40575</v>
                </pt>
                <pt idx="5">
                  <v>40603</v>
                </pt>
                <pt idx="6">
                  <v>40634</v>
                </pt>
                <pt idx="7">
                  <v>40664</v>
                </pt>
                <pt idx="8">
                  <v>40695</v>
                </pt>
                <pt idx="9">
                  <v>40725</v>
                </pt>
                <pt idx="10">
                  <v>40756</v>
                </pt>
                <pt idx="11">
                  <v>40787</v>
                </pt>
                <pt idx="12">
                  <v>40817</v>
                </pt>
                <pt idx="13">
                  <v>40848</v>
                </pt>
                <pt idx="14">
                  <v>40878</v>
                </pt>
                <pt idx="15">
                  <v>40909</v>
                </pt>
                <pt idx="16">
                  <v>40940</v>
                </pt>
                <pt idx="17">
                  <v>40969</v>
                </pt>
                <pt idx="18">
                  <v>41000</v>
                </pt>
                <pt idx="19">
                  <v>41030</v>
                </pt>
                <pt idx="20">
                  <v>41061</v>
                </pt>
                <pt idx="21">
                  <v>41091</v>
                </pt>
                <pt idx="22">
                  <v>41122</v>
                </pt>
                <pt idx="23">
                  <v>41153</v>
                </pt>
                <pt idx="24">
                  <v>41183</v>
                </pt>
                <pt idx="25">
                  <v>41214</v>
                </pt>
                <pt idx="26">
                  <v>41244</v>
                </pt>
                <pt idx="27">
                  <v>41275</v>
                </pt>
                <pt idx="28">
                  <v>41306</v>
                </pt>
                <pt idx="29">
                  <v>41334</v>
                </pt>
                <pt idx="30">
                  <v>41365</v>
                </pt>
                <pt idx="31">
                  <v>41395</v>
                </pt>
                <pt idx="32">
                  <v>41426</v>
                </pt>
                <pt idx="33">
                  <v>41456</v>
                </pt>
                <pt idx="34">
                  <v>41487</v>
                </pt>
                <pt idx="35">
                  <v>41518</v>
                </pt>
                <pt idx="36">
                  <v>41548</v>
                </pt>
                <pt idx="37">
                  <v>41579</v>
                </pt>
                <pt idx="38">
                  <v>41609</v>
                </pt>
                <pt idx="39">
                  <v>41640</v>
                </pt>
                <pt idx="40">
                  <v>41671</v>
                </pt>
                <pt idx="41">
                  <v>41699</v>
                </pt>
                <pt idx="42">
                  <v>41730</v>
                </pt>
                <pt idx="43">
                  <v>41760</v>
                </pt>
                <pt idx="44">
                  <v>41791</v>
                </pt>
                <pt idx="45">
                  <v>41821</v>
                </pt>
                <pt idx="46">
                  <v>41852</v>
                </pt>
                <pt idx="47">
                  <v>41883</v>
                </pt>
                <pt idx="48">
                  <v>41913</v>
                </pt>
                <pt idx="49">
                  <v>41944</v>
                </pt>
                <pt idx="50">
                  <v>41974</v>
                </pt>
                <pt idx="51">
                  <v>42005</v>
                </pt>
                <pt idx="52">
                  <v>42036</v>
                </pt>
                <pt idx="53">
                  <v>42064</v>
                </pt>
                <pt idx="54">
                  <v>42095</v>
                </pt>
                <pt idx="55">
                  <v>42125</v>
                </pt>
                <pt idx="56">
                  <v>42156</v>
                </pt>
                <pt idx="57">
                  <v>42186</v>
                </pt>
                <pt idx="58">
                  <v>42217</v>
                </pt>
                <pt idx="59">
                  <v>42248</v>
                </pt>
                <pt idx="60">
                  <v>42278</v>
                </pt>
                <pt idx="61">
                  <v>42309</v>
                </pt>
                <pt idx="62">
                  <v>42339</v>
                </pt>
                <pt idx="63">
                  <v>42370</v>
                </pt>
                <pt idx="64">
                  <v>42401</v>
                </pt>
                <pt idx="65">
                  <v>42430</v>
                </pt>
                <pt idx="66">
                  <v>42461</v>
                </pt>
                <pt idx="67">
                  <v>42491</v>
                </pt>
                <pt idx="68">
                  <v>42522</v>
                </pt>
                <pt idx="69">
                  <v>42552</v>
                </pt>
                <pt idx="70">
                  <v>42583</v>
                </pt>
                <pt idx="71">
                  <v>42614</v>
                </pt>
                <pt idx="72">
                  <v>42644</v>
                </pt>
                <pt idx="73">
                  <v>42675</v>
                </pt>
                <pt idx="74">
                  <v>42705</v>
                </pt>
                <pt idx="75">
                  <v>42736</v>
                </pt>
                <pt idx="76">
                  <v>42767</v>
                </pt>
                <pt idx="77">
                  <v>42795</v>
                </pt>
                <pt idx="78">
                  <v>42826</v>
                </pt>
                <pt idx="79">
                  <v>42856</v>
                </pt>
                <pt idx="80">
                  <v>42887</v>
                </pt>
                <pt idx="81">
                  <v>42917</v>
                </pt>
                <pt idx="82">
                  <v>42948</v>
                </pt>
                <pt idx="83">
                  <v>42979</v>
                </pt>
                <pt idx="84">
                  <v>43009</v>
                </pt>
                <pt idx="85">
                  <v>43040</v>
                </pt>
                <pt idx="86">
                  <v>43070</v>
                </pt>
                <pt idx="87">
                  <v>43101</v>
                </pt>
                <pt idx="88">
                  <v>43132</v>
                </pt>
                <pt idx="89">
                  <v>43160</v>
                </pt>
                <pt idx="90">
                  <v>43191</v>
                </pt>
                <pt idx="91">
                  <v>43221</v>
                </pt>
                <pt idx="92">
                  <v>43252</v>
                </pt>
                <pt idx="93">
                  <v>43282</v>
                </pt>
                <pt idx="94">
                  <v>43313</v>
                </pt>
                <pt idx="95">
                  <v>43344</v>
                </pt>
              </numCache>
            </numRef>
          </cat>
          <val>
            <numRef>
              <f>'DB PMI Manufacturing World'!$F$2:$F$97</f>
              <numCache>
                <formatCode>General</formatCode>
                <ptCount val="96"/>
                <pt idx="6">
                  <v>58</v>
                </pt>
                <pt idx="7">
                  <v>54.6</v>
                </pt>
                <pt idx="8">
                  <v>52</v>
                </pt>
                <pt idx="9">
                  <v>50.4</v>
                </pt>
                <pt idx="10">
                  <v>49</v>
                </pt>
                <pt idx="11">
                  <v>48.5</v>
                </pt>
                <pt idx="12">
                  <v>47.1</v>
                </pt>
                <pt idx="13">
                  <v>46.4</v>
                </pt>
                <pt idx="14">
                  <v>46.9</v>
                </pt>
                <pt idx="15">
                  <v>48.8</v>
                </pt>
                <pt idx="16">
                  <v>49</v>
                </pt>
                <pt idx="17">
                  <v>47.7</v>
                </pt>
                <pt idx="18">
                  <v>45.9</v>
                </pt>
                <pt idx="19">
                  <v>45.1</v>
                </pt>
                <pt idx="20">
                  <v>45.1</v>
                </pt>
                <pt idx="21">
                  <v>44</v>
                </pt>
                <pt idx="22">
                  <v>45.1</v>
                </pt>
                <pt idx="23">
                  <v>46.1</v>
                </pt>
                <pt idx="24">
                  <v>45.4</v>
                </pt>
                <pt idx="25">
                  <v>46.2</v>
                </pt>
                <pt idx="26">
                  <v>46.1</v>
                </pt>
                <pt idx="27">
                  <v>47.9</v>
                </pt>
                <pt idx="28">
                  <v>47.9</v>
                </pt>
                <pt idx="29">
                  <v>46.8</v>
                </pt>
                <pt idx="30">
                  <v>46.7</v>
                </pt>
                <pt idx="31">
                  <v>48.3</v>
                </pt>
                <pt idx="32">
                  <v>48.8</v>
                </pt>
                <pt idx="33">
                  <v>50.3</v>
                </pt>
                <pt idx="34">
                  <v>51.4</v>
                </pt>
                <pt idx="35">
                  <v>51.1</v>
                </pt>
                <pt idx="36">
                  <v>51.3</v>
                </pt>
                <pt idx="37">
                  <v>51.6</v>
                </pt>
                <pt idx="38">
                  <v>52.7</v>
                </pt>
                <pt idx="39">
                  <v>54</v>
                </pt>
                <pt idx="40">
                  <v>53.2</v>
                </pt>
                <pt idx="41">
                  <v>53</v>
                </pt>
                <pt idx="42">
                  <v>54</v>
                </pt>
                <pt idx="43">
                  <v>52.2</v>
                </pt>
                <pt idx="44">
                  <v>51.8</v>
                </pt>
                <pt idx="45">
                  <v>51.8</v>
                </pt>
                <pt idx="46">
                  <v>50.7</v>
                </pt>
                <pt idx="47">
                  <v>50.3</v>
                </pt>
                <pt idx="48">
                  <v>50.6</v>
                </pt>
                <pt idx="49">
                  <v>50.1</v>
                </pt>
                <pt idx="50">
                  <v>50.6</v>
                </pt>
                <pt idx="51">
                  <v>51</v>
                </pt>
                <pt idx="52">
                  <v>51</v>
                </pt>
                <pt idx="53">
                  <v>52.2</v>
                </pt>
                <pt idx="54">
                  <v>52</v>
                </pt>
                <pt idx="55">
                  <v>52.2</v>
                </pt>
                <pt idx="56">
                  <v>52.5</v>
                </pt>
                <pt idx="57">
                  <v>52.4</v>
                </pt>
                <pt idx="58">
                  <v>52.3</v>
                </pt>
                <pt idx="59">
                  <v>52</v>
                </pt>
                <pt idx="60">
                  <v>52.3</v>
                </pt>
                <pt idx="61">
                  <v>52.8</v>
                </pt>
                <pt idx="62">
                  <v>53.2</v>
                </pt>
                <pt idx="63">
                  <v>52.3</v>
                </pt>
                <pt idx="64">
                  <v>51.2</v>
                </pt>
                <pt idx="65">
                  <v>51.6</v>
                </pt>
                <pt idx="66">
                  <v>51.7</v>
                </pt>
                <pt idx="67">
                  <v>51.5</v>
                </pt>
                <pt idx="68">
                  <v>52.8</v>
                </pt>
                <pt idx="69">
                  <v>52</v>
                </pt>
                <pt idx="70">
                  <v>51.7</v>
                </pt>
                <pt idx="71">
                  <v>52.6</v>
                </pt>
                <pt idx="72">
                  <v>53.5</v>
                </pt>
                <pt idx="73">
                  <v>53.7</v>
                </pt>
                <pt idx="74">
                  <v>54.9</v>
                </pt>
                <pt idx="75">
                  <v>55.2</v>
                </pt>
                <pt idx="76">
                  <v>55.4</v>
                </pt>
                <pt idx="77">
                  <v>56.2</v>
                </pt>
                <pt idx="78">
                  <v>56.7</v>
                </pt>
                <pt idx="79">
                  <v>57</v>
                </pt>
                <pt idx="80">
                  <v>57.4</v>
                </pt>
                <pt idx="81">
                  <v>56.6</v>
                </pt>
                <pt idx="82">
                  <v>57.4</v>
                </pt>
                <pt idx="83">
                  <v>58.1</v>
                </pt>
                <pt idx="84">
                  <v>58.5</v>
                </pt>
                <pt idx="85">
                  <v>60.1</v>
                </pt>
                <pt idx="86">
                  <v>60.6</v>
                </pt>
                <pt idx="87">
                  <v>59.6</v>
                </pt>
                <pt idx="88">
                  <v>58.6</v>
                </pt>
                <pt idx="89">
                  <v>56.6</v>
                </pt>
                <pt idx="90">
                  <v>56.2</v>
                </pt>
                <pt idx="91">
                  <v>55.5</v>
                </pt>
                <pt idx="92">
                  <v>54.9</v>
                </pt>
                <pt idx="93">
                  <v>55.1</v>
                </pt>
                <pt idx="94">
                  <v>54.6</v>
                </pt>
                <pt idx="95">
                  <v>53.2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82239216"/>
        <axId val="982471776"/>
      </lineChart>
      <dateAx>
        <axId val="982239216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471776"/>
        <crosses val="autoZero"/>
        <lblOffset val="100"/>
        <baseTimeUnit val="months"/>
      </dateAx>
      <valAx>
        <axId val="982471776"/>
        <scaling>
          <orientation val="minMax"/>
          <min val="3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8223921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Relationship Type="http://schemas.openxmlformats.org/officeDocument/2006/relationships/chart" Target="/xl/charts/chart8.xml" Id="rId8"/><Relationship Type="http://schemas.openxmlformats.org/officeDocument/2006/relationships/chart" Target="/xl/charts/chart9.xml" Id="rId9"/><Relationship Type="http://schemas.openxmlformats.org/officeDocument/2006/relationships/chart" Target="/xl/charts/chart10.xml" Id="rId10"/><Relationship Type="http://schemas.openxmlformats.org/officeDocument/2006/relationships/chart" Target="/xl/charts/chart11.xml" Id="rId11"/><Relationship Type="http://schemas.openxmlformats.org/officeDocument/2006/relationships/chart" Target="/xl/charts/chart12.xml" Id="rId12"/><Relationship Type="http://schemas.openxmlformats.org/officeDocument/2006/relationships/chart" Target="/xl/charts/chart13.xml" Id="rId13"/><Relationship Type="http://schemas.openxmlformats.org/officeDocument/2006/relationships/chart" Target="/xl/charts/chart14.xml" Id="rId14"/><Relationship Type="http://schemas.openxmlformats.org/officeDocument/2006/relationships/chart" Target="/xl/charts/chart15.xml" Id="rId15"/><Relationship Type="http://schemas.openxmlformats.org/officeDocument/2006/relationships/chart" Target="/xl/charts/chart16.xml" Id="rId16"/><Relationship Type="http://schemas.openxmlformats.org/officeDocument/2006/relationships/chart" Target="/xl/charts/chart17.xml" Id="rId17"/><Relationship Type="http://schemas.openxmlformats.org/officeDocument/2006/relationships/chart" Target="/xl/charts/chart18.xml" Id="rId18"/><Relationship Type="http://schemas.openxmlformats.org/officeDocument/2006/relationships/chart" Target="/xl/charts/chart19.xml" Id="rId19"/><Relationship Type="http://schemas.openxmlformats.org/officeDocument/2006/relationships/chart" Target="/xl/charts/chart20.xml" Id="rId20"/><Relationship Type="http://schemas.openxmlformats.org/officeDocument/2006/relationships/chart" Target="/xl/charts/chart21.xml" Id="rId21"/><Relationship Type="http://schemas.openxmlformats.org/officeDocument/2006/relationships/chart" Target="/xl/charts/chart22.xml" Id="rId22"/><Relationship Type="http://schemas.openxmlformats.org/officeDocument/2006/relationships/chart" Target="/xl/charts/chart23.xml" Id="rId23"/><Relationship Type="http://schemas.openxmlformats.org/officeDocument/2006/relationships/chart" Target="/xl/charts/chart24.xml" Id="rId24"/><Relationship Type="http://schemas.openxmlformats.org/officeDocument/2006/relationships/chart" Target="/xl/charts/chart25.xml" Id="rId25"/><Relationship Type="http://schemas.openxmlformats.org/officeDocument/2006/relationships/chart" Target="/xl/charts/chart26.xml" Id="rId26"/><Relationship Type="http://schemas.openxmlformats.org/officeDocument/2006/relationships/chart" Target="/xl/charts/chart27.xml" Id="rId27"/><Relationship Type="http://schemas.openxmlformats.org/officeDocument/2006/relationships/chart" Target="/xl/charts/chart28.xml" Id="rId28"/><Relationship Type="http://schemas.openxmlformats.org/officeDocument/2006/relationships/chart" Target="/xl/charts/chart29.xml" Id="rId29"/><Relationship Type="http://schemas.openxmlformats.org/officeDocument/2006/relationships/chart" Target="/xl/charts/chart30.xml" Id="rId30"/><Relationship Type="http://schemas.openxmlformats.org/officeDocument/2006/relationships/chart" Target="/xl/charts/chart31.xml" Id="rId31"/><Relationship Type="http://schemas.openxmlformats.org/officeDocument/2006/relationships/chart" Target="/xl/charts/chart32.xml" Id="rId32"/><Relationship Type="http://schemas.openxmlformats.org/officeDocument/2006/relationships/chart" Target="/xl/charts/chart33.xml" Id="rId33"/><Relationship Type="http://schemas.openxmlformats.org/officeDocument/2006/relationships/chart" Target="/xl/charts/chart34.xml" Id="rId34"/><Relationship Type="http://schemas.openxmlformats.org/officeDocument/2006/relationships/chart" Target="/xl/charts/chart35.xml" Id="rId35"/><Relationship Type="http://schemas.openxmlformats.org/officeDocument/2006/relationships/chart" Target="/xl/charts/chart36.xml" Id="rId36"/></Relationships>
</file>

<file path=xl/drawings/_rels/drawing2.xml.rels><Relationships xmlns="http://schemas.openxmlformats.org/package/2006/relationships"><Relationship Type="http://schemas.openxmlformats.org/officeDocument/2006/relationships/chart" Target="/xl/charts/chart37.xml" Id="rId1"/></Relationships>
</file>

<file path=xl/drawings/drawing1.xml><?xml version="1.0" encoding="utf-8"?>
<wsDr xmlns="http://schemas.openxmlformats.org/drawingml/2006/spreadsheetDrawing">
  <twoCellAnchor>
    <from>
      <col>18</col>
      <colOff>127000</colOff>
      <row>20</row>
      <rowOff>18144</rowOff>
    </from>
    <to>
      <col>24</col>
      <colOff>508000</colOff>
      <row>34</row>
      <rowOff>94344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2</col>
      <colOff>0</colOff>
      <row>35</row>
      <rowOff>45357</rowOff>
    </from>
    <to>
      <col>6</col>
      <colOff>625929</colOff>
      <row>49</row>
      <rowOff>121557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7</col>
      <colOff>263072</colOff>
      <row>35</row>
      <rowOff>36285</rowOff>
    </from>
    <to>
      <col>12</col>
      <colOff>381000</colOff>
      <row>49</row>
      <rowOff>112485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12</col>
      <colOff>635000</colOff>
      <row>35</row>
      <rowOff>81643</rowOff>
    </from>
    <to>
      <col>17</col>
      <colOff>635000</colOff>
      <row>49</row>
      <rowOff>157843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  <twoCellAnchor>
    <from>
      <col>18</col>
      <colOff>108857</colOff>
      <row>35</row>
      <rowOff>108857</rowOff>
    </from>
    <to>
      <col>24</col>
      <colOff>489857</colOff>
      <row>49</row>
      <rowOff>185057</rowOff>
    </to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twoCellAnchor>
  <twoCellAnchor>
    <from>
      <col>2</col>
      <colOff>9071</colOff>
      <row>50</row>
      <rowOff>63500</rowOff>
    </from>
    <to>
      <col>6</col>
      <colOff>635000</colOff>
      <row>64</row>
      <rowOff>139700</rowOff>
    </to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twoCellAnchor>
  <twoCellAnchor>
    <from>
      <col>7</col>
      <colOff>244930</colOff>
      <row>50</row>
      <rowOff>54428</rowOff>
    </from>
    <to>
      <col>12</col>
      <colOff>362858</colOff>
      <row>64</row>
      <rowOff>130628</rowOff>
    </to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twoCellAnchor>
  <twoCellAnchor>
    <from>
      <col>12</col>
      <colOff>625928</colOff>
      <row>50</row>
      <rowOff>63500</rowOff>
    </from>
    <to>
      <col>17</col>
      <colOff>625928</colOff>
      <row>64</row>
      <rowOff>139700</rowOff>
    </to>
    <graphicFrame>
      <nvGraphicFramePr>
        <cNvPr id="8" name="Chart 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graphicFrame>
    <clientData/>
  </twoCellAnchor>
  <twoCellAnchor>
    <from>
      <col>18</col>
      <colOff>108856</colOff>
      <row>50</row>
      <rowOff>81645</rowOff>
    </from>
    <to>
      <col>24</col>
      <colOff>489856</colOff>
      <row>64</row>
      <rowOff>157845</rowOff>
    </to>
    <graphicFrame>
      <nvGraphicFramePr>
        <cNvPr id="9" name="Chart 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graphicFrame>
    <clientData/>
  </twoCellAnchor>
  <twoCellAnchor>
    <from>
      <col>2</col>
      <colOff>18143</colOff>
      <row>65</row>
      <rowOff>108857</rowOff>
    </from>
    <to>
      <col>6</col>
      <colOff>644072</colOff>
      <row>79</row>
      <rowOff>185057</rowOff>
    </to>
    <graphicFrame>
      <nvGraphicFramePr>
        <cNvPr id="10" name="Chart 1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graphicFrame>
    <clientData/>
  </twoCellAnchor>
  <twoCellAnchor>
    <from>
      <col>7</col>
      <colOff>235858</colOff>
      <row>65</row>
      <rowOff>81642</rowOff>
    </from>
    <to>
      <col>12</col>
      <colOff>353786</colOff>
      <row>79</row>
      <rowOff>157842</rowOff>
    </to>
    <graphicFrame>
      <nvGraphicFramePr>
        <cNvPr id="11" name="Chart 1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graphicFrame>
    <clientData/>
  </twoCellAnchor>
  <twoCellAnchor>
    <from>
      <col>12</col>
      <colOff>616857</colOff>
      <row>65</row>
      <rowOff>90714</rowOff>
    </from>
    <to>
      <col>17</col>
      <colOff>616857</colOff>
      <row>79</row>
      <rowOff>166914</rowOff>
    </to>
    <graphicFrame>
      <nvGraphicFramePr>
        <cNvPr id="12" name="Chart 1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graphicFrame>
    <clientData/>
  </twoCellAnchor>
  <twoCellAnchor>
    <from>
      <col>18</col>
      <colOff>127000</colOff>
      <row>65</row>
      <rowOff>81644</rowOff>
    </from>
    <to>
      <col>24</col>
      <colOff>508000</colOff>
      <row>79</row>
      <rowOff>157844</rowOff>
    </to>
    <graphicFrame>
      <nvGraphicFramePr>
        <cNvPr id="13" name="Chart 1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graphicFrame>
    <clientData/>
  </twoCellAnchor>
  <twoCellAnchor>
    <from>
      <col>2</col>
      <colOff>18142</colOff>
      <row>80</row>
      <rowOff>127002</rowOff>
    </from>
    <to>
      <col>6</col>
      <colOff>644071</colOff>
      <row>95</row>
      <rowOff>12702</rowOff>
    </to>
    <graphicFrame>
      <nvGraphicFramePr>
        <cNvPr id="14" name="Chart 1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graphicFrame>
    <clientData/>
  </twoCellAnchor>
  <twoCellAnchor>
    <from>
      <col>7</col>
      <colOff>226786</colOff>
      <row>80</row>
      <rowOff>136071</rowOff>
    </from>
    <to>
      <col>12</col>
      <colOff>344714</colOff>
      <row>95</row>
      <rowOff>21771</rowOff>
    </to>
    <graphicFrame>
      <nvGraphicFramePr>
        <cNvPr id="15" name="Chart 1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graphicFrame>
    <clientData/>
  </twoCellAnchor>
  <twoCellAnchor>
    <from>
      <col>2</col>
      <colOff>0</colOff>
      <row>20</row>
      <rowOff>18142</rowOff>
    </from>
    <to>
      <col>6</col>
      <colOff>625929</colOff>
      <row>34</row>
      <rowOff>94342</rowOff>
    </to>
    <graphicFrame>
      <nvGraphicFramePr>
        <cNvPr id="16" name="Chart 1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graphicFrame>
    <clientData/>
  </twoCellAnchor>
  <twoCellAnchor>
    <from>
      <col>7</col>
      <colOff>254000</colOff>
      <row>20</row>
      <rowOff>0</rowOff>
    </from>
    <to>
      <col>12</col>
      <colOff>371928</colOff>
      <row>34</row>
      <rowOff>76200</rowOff>
    </to>
    <graphicFrame>
      <nvGraphicFramePr>
        <cNvPr id="17" name="Chart 1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graphicFrame>
    <clientData/>
  </twoCellAnchor>
  <twoCellAnchor>
    <from>
      <col>12</col>
      <colOff>653143</colOff>
      <row>20</row>
      <rowOff>9071</rowOff>
    </from>
    <to>
      <col>17</col>
      <colOff>653143</colOff>
      <row>34</row>
      <rowOff>85271</rowOff>
    </to>
    <graphicFrame>
      <nvGraphicFramePr>
        <cNvPr id="18" name="Chart 1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graphicFrame>
    <clientData/>
  </twoCellAnchor>
  <twoCellAnchor>
    <from>
      <col>2</col>
      <colOff>0</colOff>
      <row>99</row>
      <rowOff>0</rowOff>
    </from>
    <to>
      <col>6</col>
      <colOff>625929</colOff>
      <row>113</row>
      <rowOff>76200</rowOff>
    </to>
    <graphicFrame>
      <nvGraphicFramePr>
        <cNvPr id="19" name="Chart 1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graphicFrame>
    <clientData/>
  </twoCellAnchor>
  <twoCellAnchor>
    <from>
      <col>7</col>
      <colOff>145142</colOff>
      <row>99</row>
      <rowOff>9072</rowOff>
    </from>
    <to>
      <col>12</col>
      <colOff>263070</colOff>
      <row>113</row>
      <rowOff>85272</rowOff>
    </to>
    <graphicFrame>
      <nvGraphicFramePr>
        <cNvPr id="20" name="Chart 2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graphicFrame>
    <clientData/>
  </twoCellAnchor>
  <twoCellAnchor>
    <from>
      <col>12</col>
      <colOff>480785</colOff>
      <row>99</row>
      <rowOff>27215</rowOff>
    </from>
    <to>
      <col>17</col>
      <colOff>480785</colOff>
      <row>113</row>
      <rowOff>103415</rowOff>
    </to>
    <graphicFrame>
      <nvGraphicFramePr>
        <cNvPr id="21" name="Chart 2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graphicFrame>
    <clientData/>
  </twoCellAnchor>
  <twoCellAnchor>
    <from>
      <col>18</col>
      <colOff>54428</colOff>
      <row>99</row>
      <rowOff>27215</rowOff>
    </from>
    <to>
      <col>24</col>
      <colOff>435428</colOff>
      <row>113</row>
      <rowOff>103415</rowOff>
    </to>
    <graphicFrame>
      <nvGraphicFramePr>
        <cNvPr id="22" name="Chart 2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graphicFrame>
    <clientData/>
  </twoCellAnchor>
  <twoCellAnchor>
    <from>
      <col>2</col>
      <colOff>9071</colOff>
      <row>114</row>
      <rowOff>81643</rowOff>
    </from>
    <to>
      <col>6</col>
      <colOff>635000</colOff>
      <row>128</row>
      <rowOff>157843</rowOff>
    </to>
    <graphicFrame>
      <nvGraphicFramePr>
        <cNvPr id="23" name="Chart 2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graphicFrame>
    <clientData/>
  </twoCellAnchor>
  <twoCellAnchor>
    <from>
      <col>7</col>
      <colOff>136072</colOff>
      <row>114</row>
      <rowOff>81643</rowOff>
    </from>
    <to>
      <col>12</col>
      <colOff>254000</colOff>
      <row>128</row>
      <rowOff>157843</rowOff>
    </to>
    <graphicFrame>
      <nvGraphicFramePr>
        <cNvPr id="24" name="Chart 2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graphicFrame>
    <clientData/>
  </twoCellAnchor>
  <twoCellAnchor>
    <from>
      <col>12</col>
      <colOff>480784</colOff>
      <row>114</row>
      <rowOff>72572</rowOff>
    </from>
    <to>
      <col>17</col>
      <colOff>480784</colOff>
      <row>128</row>
      <rowOff>148772</rowOff>
    </to>
    <graphicFrame>
      <nvGraphicFramePr>
        <cNvPr id="25" name="Chart 2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graphicFrame>
    <clientData/>
  </twoCellAnchor>
  <twoCellAnchor>
    <from>
      <col>18</col>
      <colOff>45358</colOff>
      <row>114</row>
      <rowOff>90715</rowOff>
    </from>
    <to>
      <col>24</col>
      <colOff>426358</colOff>
      <row>128</row>
      <rowOff>166915</rowOff>
    </to>
    <graphicFrame>
      <nvGraphicFramePr>
        <cNvPr id="26" name="Chart 2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graphicFrame>
    <clientData/>
  </twoCellAnchor>
  <twoCellAnchor>
    <from>
      <col>2</col>
      <colOff>18142</colOff>
      <row>129</row>
      <rowOff>99787</rowOff>
    </from>
    <to>
      <col>6</col>
      <colOff>644071</colOff>
      <row>143</row>
      <rowOff>175987</rowOff>
    </to>
    <graphicFrame>
      <nvGraphicFramePr>
        <cNvPr id="27" name="Chart 2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graphicFrame>
    <clientData/>
  </twoCellAnchor>
  <twoCellAnchor>
    <from>
      <col>7</col>
      <colOff>117929</colOff>
      <row>129</row>
      <rowOff>99787</rowOff>
    </from>
    <to>
      <col>12</col>
      <colOff>235857</colOff>
      <row>143</row>
      <rowOff>175987</rowOff>
    </to>
    <graphicFrame>
      <nvGraphicFramePr>
        <cNvPr id="28" name="Chart 28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graphicFrame>
    <clientData/>
  </twoCellAnchor>
  <twoCellAnchor>
    <from>
      <col>12</col>
      <colOff>471714</colOff>
      <row>129</row>
      <rowOff>99787</rowOff>
    </from>
    <to>
      <col>17</col>
      <colOff>471714</colOff>
      <row>143</row>
      <rowOff>175987</rowOff>
    </to>
    <graphicFrame>
      <nvGraphicFramePr>
        <cNvPr id="29" name="Chart 29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graphicFrame>
    <clientData/>
  </twoCellAnchor>
  <twoCellAnchor>
    <from>
      <col>18</col>
      <colOff>63499</colOff>
      <row>129</row>
      <rowOff>99787</rowOff>
    </from>
    <to>
      <col>24</col>
      <colOff>444499</colOff>
      <row>143</row>
      <rowOff>175987</rowOff>
    </to>
    <graphicFrame>
      <nvGraphicFramePr>
        <cNvPr id="30" name="Chart 30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graphicFrame>
    <clientData/>
  </twoCellAnchor>
  <twoCellAnchor>
    <from>
      <col>2</col>
      <colOff>18142</colOff>
      <row>145</row>
      <rowOff>0</rowOff>
    </from>
    <to>
      <col>6</col>
      <colOff>644071</colOff>
      <row>159</row>
      <rowOff>76200</rowOff>
    </to>
    <graphicFrame>
      <nvGraphicFramePr>
        <cNvPr id="31" name="Chart 3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graphicFrame>
    <clientData/>
  </twoCellAnchor>
  <twoCellAnchor>
    <from>
      <col>7</col>
      <colOff>190501</colOff>
      <row>145</row>
      <rowOff>18143</rowOff>
    </from>
    <to>
      <col>12</col>
      <colOff>308429</colOff>
      <row>159</row>
      <rowOff>94343</rowOff>
    </to>
    <graphicFrame>
      <nvGraphicFramePr>
        <cNvPr id="32" name="Chart 3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graphicFrame>
    <clientData/>
  </twoCellAnchor>
  <twoCellAnchor>
    <from>
      <col>12</col>
      <colOff>526143</colOff>
      <row>145</row>
      <rowOff>36286</rowOff>
    </from>
    <to>
      <col>17</col>
      <colOff>526143</colOff>
      <row>159</row>
      <rowOff>112486</rowOff>
    </to>
    <graphicFrame>
      <nvGraphicFramePr>
        <cNvPr id="33" name="Chart 3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graphicFrame>
    <clientData/>
  </twoCellAnchor>
  <twoCellAnchor>
    <from>
      <col>18</col>
      <colOff>18142</colOff>
      <row>145</row>
      <rowOff>36286</rowOff>
    </from>
    <to>
      <col>24</col>
      <colOff>399142</colOff>
      <row>159</row>
      <rowOff>112486</rowOff>
    </to>
    <graphicFrame>
      <nvGraphicFramePr>
        <cNvPr id="34" name="Chart 3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graphicFrame>
    <clientData/>
  </twoCellAnchor>
  <twoCellAnchor>
    <from>
      <col>2</col>
      <colOff>0</colOff>
      <row>160</row>
      <rowOff>18143</rowOff>
    </from>
    <to>
      <col>6</col>
      <colOff>625929</colOff>
      <row>174</row>
      <rowOff>94343</rowOff>
    </to>
    <graphicFrame>
      <nvGraphicFramePr>
        <cNvPr id="35" name="Chart 3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graphicFrame>
    <clientData/>
  </twoCellAnchor>
  <twoCellAnchor>
    <from>
      <col>7</col>
      <colOff>190500</colOff>
      <row>160</row>
      <rowOff>36286</rowOff>
    </from>
    <to>
      <col>12</col>
      <colOff>308428</colOff>
      <row>174</row>
      <rowOff>112486</rowOff>
    </to>
    <graphicFrame>
      <nvGraphicFramePr>
        <cNvPr id="36" name="Chart 3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28</col>
      <colOff>279398</colOff>
      <row>42</row>
      <rowOff>118532</rowOff>
    </from>
    <to>
      <col>39</col>
      <colOff>279398</colOff>
      <row>69</row>
      <rowOff>110065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7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M11"/>
  <sheetViews>
    <sheetView zoomScale="160" zoomScaleNormal="160" workbookViewId="0">
      <selection activeCell="F16" sqref="F16"/>
    </sheetView>
  </sheetViews>
  <sheetFormatPr baseColWidth="10" defaultColWidth="9.1640625" defaultRowHeight="15"/>
  <cols>
    <col width="23.1640625" customWidth="1" style="61" min="1" max="1"/>
    <col width="12.83203125" customWidth="1" style="61" min="2" max="5"/>
    <col width="13.6640625" customWidth="1" style="61" min="6" max="6"/>
    <col width="12.83203125" customWidth="1" style="61" min="7" max="10"/>
    <col width="2" customWidth="1" style="61" min="11" max="13"/>
    <col width="9.1640625" customWidth="1" style="61" min="14" max="41"/>
    <col width="9.1640625" customWidth="1" style="61" min="42" max="16384"/>
  </cols>
  <sheetData>
    <row r="1">
      <c r="B1" s="14" t="n"/>
      <c r="C1" s="15" t="n"/>
      <c r="D1" s="15" t="n"/>
      <c r="E1" s="15" t="n"/>
    </row>
    <row r="2">
      <c r="B2" s="64" t="inlineStr">
        <is>
          <t>Process / TO DO LIST</t>
        </is>
      </c>
      <c r="C2" s="65" t="n"/>
      <c r="D2" s="65" t="n"/>
      <c r="E2" s="65" t="n"/>
      <c r="F2" s="65" t="n"/>
      <c r="G2" s="65" t="n"/>
      <c r="H2" s="65" t="n"/>
      <c r="I2" s="65" t="n"/>
      <c r="J2" s="66" t="n"/>
    </row>
    <row r="4">
      <c r="B4" s="64" t="inlineStr">
        <is>
          <t>TO DO LIST</t>
        </is>
      </c>
      <c r="C4" s="65" t="n"/>
      <c r="D4" s="65" t="n"/>
      <c r="E4" s="65" t="n"/>
      <c r="F4" s="66" t="n"/>
      <c r="G4" s="64" t="inlineStr">
        <is>
          <t>Comments</t>
        </is>
      </c>
      <c r="H4" s="65" t="n"/>
      <c r="I4" s="65" t="n"/>
      <c r="J4" s="66" t="n"/>
    </row>
    <row r="6">
      <c r="B6" s="61" t="inlineStr">
        <is>
          <t>Collect Data on one page</t>
        </is>
      </c>
      <c r="G6" s="61" t="inlineStr">
        <is>
          <t>Do for Macro Data</t>
        </is>
      </c>
    </row>
    <row r="7" ht="30.75" customHeight="1" s="30">
      <c r="G7" s="60" t="inlineStr">
        <is>
          <t>Do the same for market conditions.</t>
        </is>
      </c>
    </row>
    <row r="8">
      <c r="B8" s="60" t="n"/>
      <c r="G8" s="61" t="n"/>
    </row>
    <row r="9">
      <c r="B9" s="62" t="n"/>
    </row>
    <row r="10">
      <c r="B10" s="60" t="n"/>
    </row>
    <row r="11">
      <c r="B11" s="63" t="n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D29"/>
  <sheetViews>
    <sheetView zoomScale="190" zoomScaleNormal="190" workbookViewId="0">
      <selection activeCell="F16" sqref="F16"/>
    </sheetView>
  </sheetViews>
  <sheetFormatPr baseColWidth="10" defaultRowHeight="15"/>
  <cols>
    <col width="34.1640625" customWidth="1" style="30" min="1" max="1"/>
  </cols>
  <sheetData>
    <row r="1">
      <c r="A1" t="inlineStr">
        <is>
          <t>COL0</t>
        </is>
      </c>
      <c r="B1" t="inlineStr">
        <is>
          <t>Last</t>
        </is>
      </c>
      <c r="C1" t="inlineStr">
        <is>
          <t>6m</t>
        </is>
      </c>
      <c r="D1" t="inlineStr">
        <is>
          <t>12m</t>
        </is>
      </c>
    </row>
    <row r="2">
      <c r="A2" t="inlineStr">
        <is>
          <t>GDP qoq</t>
        </is>
      </c>
      <c r="B2" t="n">
        <v>-0.003956924795102939</v>
      </c>
      <c r="C2" t="n">
        <v>0.005709481105992145</v>
      </c>
      <c r="D2" t="n">
        <v>0.01533889627211066</v>
      </c>
    </row>
    <row r="3">
      <c r="A3" t="inlineStr">
        <is>
          <t>GDP yoy</t>
        </is>
      </c>
      <c r="B3" t="n">
        <v>0.03527892376305106</v>
      </c>
      <c r="C3" t="n">
        <v>0.04946555569288213</v>
      </c>
      <c r="D3" t="n">
        <v>0.005469768032827393</v>
      </c>
    </row>
    <row r="4">
      <c r="A4" t="inlineStr">
        <is>
          <t>Core CPI</t>
        </is>
      </c>
      <c r="B4" t="n">
        <v>0.007064925467602263</v>
      </c>
      <c r="C4" t="n">
        <v>0.005618354468375156</v>
      </c>
      <c r="D4" t="n">
        <v>0.008004642475019679</v>
      </c>
    </row>
    <row r="5">
      <c r="A5" t="inlineStr">
        <is>
          <t>Core PCE</t>
        </is>
      </c>
      <c r="B5" t="n">
        <v>0.003480745076469608</v>
      </c>
      <c r="C5" t="n">
        <v>0.004776521044443492</v>
      </c>
      <c r="D5" t="n">
        <v>0.005736434108527227</v>
      </c>
    </row>
    <row r="6">
      <c r="A6" t="inlineStr">
        <is>
          <t>Retail Sales MoM</t>
        </is>
      </c>
      <c r="B6" t="n">
        <v>0.01000071232258716</v>
      </c>
      <c r="C6" t="n">
        <v>-0.01604985567848175</v>
      </c>
      <c r="D6" t="n">
        <v>0.007761818914436983</v>
      </c>
    </row>
    <row r="7">
      <c r="A7" t="inlineStr">
        <is>
          <t>Core Retail Sales</t>
        </is>
      </c>
      <c r="B7" t="n">
        <v>0.006762505317418612</v>
      </c>
      <c r="C7" t="n">
        <v>-0.01756961840549005</v>
      </c>
      <c r="D7" t="n">
        <v>0.0164822956713775</v>
      </c>
    </row>
    <row r="8">
      <c r="A8" t="inlineStr">
        <is>
          <t>Unemployment Rate</t>
        </is>
      </c>
      <c r="B8" t="n">
        <v>0</v>
      </c>
      <c r="C8" t="n">
        <v>-0.07142857142857149</v>
      </c>
      <c r="D8" t="n">
        <v>0.01724137931034492</v>
      </c>
    </row>
    <row r="9">
      <c r="A9" t="inlineStr">
        <is>
          <t>Non-Farm Payroll</t>
        </is>
      </c>
      <c r="B9" t="n">
        <v>151980</v>
      </c>
      <c r="C9" t="n">
        <v>149240</v>
      </c>
      <c r="D9" t="n">
        <v>145698</v>
      </c>
    </row>
    <row r="10">
      <c r="A10" t="inlineStr">
        <is>
          <t>Weekly Claims</t>
        </is>
      </c>
      <c r="B10" t="n">
        <v>236000</v>
      </c>
      <c r="C10" t="n">
        <v>224000</v>
      </c>
      <c r="D10" t="n">
        <v>403000</v>
      </c>
    </row>
    <row r="11">
      <c r="A11" t="inlineStr">
        <is>
          <t>Industrial Production</t>
        </is>
      </c>
      <c r="B11" t="n">
        <v>-0.001989999321047821</v>
      </c>
      <c r="C11" t="n">
        <v>-0.001984091956728494</v>
      </c>
      <c r="D11" t="n">
        <v>0.004147186017027808</v>
      </c>
    </row>
    <row r="12">
      <c r="A12" t="inlineStr">
        <is>
          <t>Fed Funds Target Rate</t>
        </is>
      </c>
      <c r="B12" t="inlineStr">
        <is>
          <t>1.50-1.75%</t>
        </is>
      </c>
    </row>
    <row r="13">
      <c r="A13" t="inlineStr">
        <is>
          <t>Euro Futures 1m</t>
        </is>
      </c>
      <c r="B13" t="n">
        <v>0.005649999999999977</v>
      </c>
    </row>
    <row r="14">
      <c r="A14" t="inlineStr">
        <is>
          <t>Euro Futures 6m</t>
        </is>
      </c>
      <c r="B14" t="n">
        <v>0.007424999999999926</v>
      </c>
    </row>
    <row r="15">
      <c r="A15" t="inlineStr">
        <is>
          <t>Euro Futures 12m</t>
        </is>
      </c>
      <c r="B15" t="n">
        <v>-0.0004000000000000625</v>
      </c>
    </row>
    <row r="16">
      <c r="A16" t="inlineStr">
        <is>
          <t>3M</t>
        </is>
      </c>
      <c r="B16" t="n">
        <v>1.73</v>
      </c>
    </row>
    <row r="17">
      <c r="A17" t="inlineStr">
        <is>
          <t>2Y</t>
        </is>
      </c>
      <c r="B17" t="n">
        <v>2.84</v>
      </c>
      <c r="C17" t="n">
        <v>0.1742</v>
      </c>
      <c r="D17" t="n">
        <v>0.2547</v>
      </c>
    </row>
    <row r="18">
      <c r="A18" t="inlineStr">
        <is>
          <t>10Y</t>
        </is>
      </c>
      <c r="B18" t="n">
        <v>2.88</v>
      </c>
      <c r="C18" t="n">
        <v>1.179</v>
      </c>
      <c r="D18" t="n">
        <v>1.459</v>
      </c>
    </row>
    <row r="19">
      <c r="A19" t="inlineStr">
        <is>
          <t>30Y</t>
        </is>
      </c>
      <c r="B19" t="n">
        <v>3.11</v>
      </c>
    </row>
    <row r="20">
      <c r="A20" t="inlineStr">
        <is>
          <t>DXY</t>
        </is>
      </c>
      <c r="B20" t="n">
        <v>105.1399993896484</v>
      </c>
      <c r="C20" t="n">
        <v>96.23999786376953</v>
      </c>
      <c r="D20" t="n">
        <v>92.59999847412109</v>
      </c>
    </row>
    <row r="21">
      <c r="A21" t="inlineStr">
        <is>
          <t>UMCSI Index</t>
        </is>
      </c>
      <c r="B21" t="n">
        <v>50</v>
      </c>
      <c r="C21" t="n">
        <v>70.59999999999999</v>
      </c>
      <c r="D21" t="n">
        <v>85.5</v>
      </c>
    </row>
    <row r="22">
      <c r="A22" t="inlineStr">
        <is>
          <t>UMCSI Exp</t>
        </is>
      </c>
      <c r="B22" t="n">
        <v>47.5</v>
      </c>
      <c r="C22" t="n">
        <v>68.3</v>
      </c>
      <c r="D22" t="n">
        <v>83.5</v>
      </c>
    </row>
    <row r="23">
      <c r="A23" t="inlineStr">
        <is>
          <t>Conference Board LEI</t>
        </is>
      </c>
      <c r="B23" t="n">
        <v>118.3</v>
      </c>
      <c r="C23" t="n">
        <v>119.9</v>
      </c>
      <c r="D23" t="n">
        <v>114.5</v>
      </c>
    </row>
    <row r="24">
      <c r="A24" t="inlineStr">
        <is>
          <t>Building Permits</t>
        </is>
      </c>
      <c r="B24" t="n">
        <v>1696</v>
      </c>
      <c r="C24" t="n">
        <v>1896</v>
      </c>
      <c r="D24" t="n">
        <v>1661</v>
      </c>
    </row>
    <row r="25">
      <c r="A25" t="inlineStr">
        <is>
          <t>ISM Manufacturing</t>
        </is>
      </c>
      <c r="B25" t="n">
        <v>53</v>
      </c>
      <c r="C25" t="n">
        <v>58.7</v>
      </c>
      <c r="D25" t="n">
        <v>60.6</v>
      </c>
    </row>
    <row r="26">
      <c r="A26" t="inlineStr">
        <is>
          <t>ISM Manuf New orders</t>
        </is>
      </c>
      <c r="B26" t="n">
        <v>49.2</v>
      </c>
      <c r="C26" t="n">
        <v>60.4</v>
      </c>
      <c r="D26" t="n">
        <v>66</v>
      </c>
    </row>
    <row r="27">
      <c r="A27" t="inlineStr">
        <is>
          <t>ISM Services</t>
        </is>
      </c>
      <c r="B27" t="n">
        <v>55.3</v>
      </c>
      <c r="C27" t="n">
        <v>62</v>
      </c>
      <c r="D27" t="n">
        <v>60.1</v>
      </c>
    </row>
    <row r="28">
      <c r="A28" t="inlineStr">
        <is>
          <t>Money Supply M1</t>
        </is>
      </c>
      <c r="B28" t="n">
        <v>-0.01665111808441469</v>
      </c>
      <c r="C28" t="n">
        <v>0.001675547986595591</v>
      </c>
      <c r="D28" t="n">
        <v>-0.005606381791810753</v>
      </c>
    </row>
    <row r="29">
      <c r="A29" t="inlineStr">
        <is>
          <t>Money Supply M2</t>
        </is>
      </c>
      <c r="B29" t="n">
        <v>-0.01381794720146247</v>
      </c>
      <c r="C29" t="n">
        <v>0.0008218963627824691</v>
      </c>
      <c r="D29" t="n">
        <v>-0.006682539891342858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W14" sqref="W14"/>
    </sheetView>
  </sheetViews>
  <sheetFormatPr baseColWidth="10" defaultRowHeight="15"/>
  <cols>
    <col width="23.1640625" customWidth="1" style="30" min="1" max="1"/>
    <col width="10.83203125" customWidth="1" style="30" min="2" max="28"/>
    <col width="10.83203125" customWidth="1" style="30" min="29" max="16384"/>
  </cols>
  <sheetData>
    <row r="1">
      <c r="A1" t="inlineStr">
        <is>
          <t>DATE</t>
        </is>
      </c>
      <c r="B1" t="inlineStr">
        <is>
          <t>Apparel, Leather &amp; Allied Products</t>
        </is>
      </c>
      <c r="C1" t="inlineStr">
        <is>
          <t>Chemical Products</t>
        </is>
      </c>
      <c r="D1" t="inlineStr">
        <is>
          <t>Computer &amp; Electronic Products</t>
        </is>
      </c>
      <c r="E1" t="inlineStr">
        <is>
          <t>Electrical Equipment, Appliances &amp; Components</t>
        </is>
      </c>
      <c r="F1" t="inlineStr">
        <is>
          <t>Fabricated Metal Products</t>
        </is>
      </c>
      <c r="G1" t="inlineStr">
        <is>
          <t>Food, Beverage &amp; Tobacco Products</t>
        </is>
      </c>
      <c r="H1" t="inlineStr">
        <is>
          <t>Furniture &amp; Related Products</t>
        </is>
      </c>
      <c r="I1" t="inlineStr">
        <is>
          <t>Machinery</t>
        </is>
      </c>
      <c r="J1" t="inlineStr">
        <is>
          <t>Miscellaneous Manufacturing</t>
        </is>
      </c>
      <c r="K1" t="inlineStr">
        <is>
          <t>Nonmetallic Mineral Products</t>
        </is>
      </c>
      <c r="L1" t="inlineStr">
        <is>
          <t>Paper Products</t>
        </is>
      </c>
      <c r="M1" t="inlineStr">
        <is>
          <t>Petroleum &amp; Coal Products</t>
        </is>
      </c>
      <c r="N1" t="inlineStr">
        <is>
          <t>Plastics &amp; Rubber Products</t>
        </is>
      </c>
      <c r="O1" t="inlineStr">
        <is>
          <t>Primary Metals</t>
        </is>
      </c>
      <c r="P1" t="inlineStr">
        <is>
          <t>Printing &amp; Related Support Activities</t>
        </is>
      </c>
      <c r="Q1" t="inlineStr">
        <is>
          <t>Textile Mills</t>
        </is>
      </c>
      <c r="R1" t="inlineStr">
        <is>
          <t>Transportation Equipment</t>
        </is>
      </c>
      <c r="S1" t="inlineStr">
        <is>
          <t>Wood Products</t>
        </is>
      </c>
    </row>
    <row r="2">
      <c r="A2" s="71" t="n">
        <v>44562</v>
      </c>
      <c r="B2" t="n">
        <v>14</v>
      </c>
      <c r="C2" t="n">
        <v>3</v>
      </c>
      <c r="D2" t="n">
        <v>4</v>
      </c>
      <c r="E2" t="n">
        <v>9</v>
      </c>
      <c r="F2" t="n">
        <v>5</v>
      </c>
      <c r="G2" t="n">
        <v>8</v>
      </c>
      <c r="H2" t="n">
        <v>13</v>
      </c>
      <c r="I2" t="n">
        <v>10</v>
      </c>
      <c r="J2" t="n">
        <v>12</v>
      </c>
      <c r="K2" t="n">
        <v>11</v>
      </c>
      <c r="L2" t="n">
        <v>-1</v>
      </c>
      <c r="M2" t="n">
        <v>2</v>
      </c>
      <c r="N2" t="n">
        <v>1</v>
      </c>
      <c r="O2" t="n">
        <v>6</v>
      </c>
      <c r="P2" t="n">
        <v>0</v>
      </c>
      <c r="Q2" t="n">
        <v>0</v>
      </c>
      <c r="R2" t="n">
        <v>7</v>
      </c>
      <c r="S2" t="n">
        <v>0</v>
      </c>
    </row>
    <row r="3">
      <c r="A3" s="71" t="n">
        <v>44593</v>
      </c>
      <c r="B3" t="n">
        <v>16</v>
      </c>
      <c r="C3" t="n">
        <v>2</v>
      </c>
      <c r="D3" t="n">
        <v>8</v>
      </c>
      <c r="E3" t="n">
        <v>9</v>
      </c>
      <c r="F3" t="n">
        <v>5</v>
      </c>
      <c r="G3" t="n">
        <v>4</v>
      </c>
      <c r="H3" t="n">
        <v>7</v>
      </c>
      <c r="I3" t="n">
        <v>12</v>
      </c>
      <c r="J3" t="n">
        <v>11</v>
      </c>
      <c r="K3" t="n">
        <v>3</v>
      </c>
      <c r="L3" t="n">
        <v>14</v>
      </c>
      <c r="M3" t="n">
        <v>1</v>
      </c>
      <c r="N3" t="n">
        <v>6</v>
      </c>
      <c r="O3" t="n">
        <v>10</v>
      </c>
      <c r="P3" t="n">
        <v>0</v>
      </c>
      <c r="Q3" t="n">
        <v>15</v>
      </c>
      <c r="R3" t="n">
        <v>13</v>
      </c>
      <c r="S3" t="n">
        <v>-1</v>
      </c>
    </row>
    <row r="4">
      <c r="A4" s="71" t="n">
        <v>44621</v>
      </c>
      <c r="B4" t="n">
        <v>15</v>
      </c>
      <c r="C4" t="n">
        <v>5</v>
      </c>
      <c r="D4" t="n">
        <v>4</v>
      </c>
      <c r="E4" t="n">
        <v>12</v>
      </c>
      <c r="F4" t="n">
        <v>7</v>
      </c>
      <c r="G4" t="n">
        <v>13</v>
      </c>
      <c r="H4" t="n">
        <v>14</v>
      </c>
      <c r="I4" t="n">
        <v>10</v>
      </c>
      <c r="J4" t="n">
        <v>11</v>
      </c>
      <c r="K4" t="n">
        <v>3</v>
      </c>
      <c r="L4" t="n">
        <v>6</v>
      </c>
      <c r="M4" t="n">
        <v>-1</v>
      </c>
      <c r="N4" t="n">
        <v>1</v>
      </c>
      <c r="O4" t="n">
        <v>2</v>
      </c>
      <c r="P4" t="n">
        <v>0</v>
      </c>
      <c r="Q4" t="n">
        <v>9</v>
      </c>
      <c r="R4" t="n">
        <v>8</v>
      </c>
      <c r="S4" t="n">
        <v>-2</v>
      </c>
    </row>
    <row r="5">
      <c r="A5" s="71" t="n">
        <v>44652</v>
      </c>
      <c r="B5" t="n">
        <v>17</v>
      </c>
      <c r="C5" t="n">
        <v>5</v>
      </c>
      <c r="D5" t="n">
        <v>13</v>
      </c>
      <c r="E5" t="n">
        <v>9</v>
      </c>
      <c r="F5" t="n">
        <v>3</v>
      </c>
      <c r="G5" t="n">
        <v>12</v>
      </c>
      <c r="H5" t="n">
        <v>6</v>
      </c>
      <c r="I5" t="n">
        <v>16</v>
      </c>
      <c r="J5" t="n">
        <v>2</v>
      </c>
      <c r="K5" t="n">
        <v>14</v>
      </c>
      <c r="L5" t="n">
        <v>8</v>
      </c>
      <c r="M5" t="n">
        <v>-1</v>
      </c>
      <c r="N5" t="n">
        <v>15</v>
      </c>
      <c r="O5" t="n">
        <v>7</v>
      </c>
      <c r="P5" t="n">
        <v>10</v>
      </c>
      <c r="Q5" t="n">
        <v>4</v>
      </c>
      <c r="R5" t="n">
        <v>11</v>
      </c>
      <c r="S5" t="n">
        <v>1</v>
      </c>
    </row>
    <row r="6">
      <c r="A6" s="71" t="n">
        <v>44682</v>
      </c>
      <c r="B6" t="n">
        <v>15</v>
      </c>
      <c r="C6" t="n">
        <v>4</v>
      </c>
      <c r="D6" t="n">
        <v>11</v>
      </c>
      <c r="E6" t="n">
        <v>1</v>
      </c>
      <c r="F6" t="n">
        <v>5</v>
      </c>
      <c r="G6" t="n">
        <v>10</v>
      </c>
      <c r="H6" t="n">
        <v>-1</v>
      </c>
      <c r="I6" t="n">
        <v>13</v>
      </c>
      <c r="J6" t="n">
        <v>3</v>
      </c>
      <c r="K6" t="n">
        <v>12</v>
      </c>
      <c r="L6" t="n">
        <v>8</v>
      </c>
      <c r="M6" t="n">
        <v>7</v>
      </c>
      <c r="N6" t="n">
        <v>6</v>
      </c>
      <c r="O6" t="n">
        <v>2</v>
      </c>
      <c r="P6" t="n">
        <v>14</v>
      </c>
      <c r="Q6" t="n">
        <v>0</v>
      </c>
      <c r="R6" t="n">
        <v>9</v>
      </c>
      <c r="S6" t="n">
        <v>0</v>
      </c>
    </row>
    <row r="7">
      <c r="A7" s="71" t="n">
        <v>44713</v>
      </c>
      <c r="B7" t="n">
        <v>15</v>
      </c>
      <c r="C7" t="n">
        <v>1</v>
      </c>
      <c r="D7" t="n">
        <v>12</v>
      </c>
      <c r="E7" t="n">
        <v>10</v>
      </c>
      <c r="F7" t="n">
        <v>5</v>
      </c>
      <c r="G7" t="n">
        <v>2</v>
      </c>
      <c r="H7" t="n">
        <v>-1</v>
      </c>
      <c r="I7" t="n">
        <v>11</v>
      </c>
      <c r="J7" t="n">
        <v>4</v>
      </c>
      <c r="K7" t="n">
        <v>8</v>
      </c>
      <c r="L7" t="n">
        <v>-3</v>
      </c>
      <c r="M7" t="n">
        <v>3</v>
      </c>
      <c r="N7" t="n">
        <v>7</v>
      </c>
      <c r="O7" t="n">
        <v>9</v>
      </c>
      <c r="P7" t="n">
        <v>13</v>
      </c>
      <c r="Q7" t="n">
        <v>14</v>
      </c>
      <c r="R7" t="n">
        <v>6</v>
      </c>
      <c r="S7" t="n">
        <v>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S7"/>
  <sheetViews>
    <sheetView zoomScale="190" zoomScaleNormal="190" workbookViewId="0">
      <selection activeCell="P35" sqref="P35"/>
    </sheetView>
  </sheetViews>
  <sheetFormatPr baseColWidth="10" defaultRowHeight="15"/>
  <cols>
    <col width="23.1640625" customWidth="1" style="30" min="1" max="1"/>
    <col width="10.83203125" customWidth="1" style="30" min="2" max="19"/>
    <col width="10.83203125" customWidth="1" style="30" min="20" max="16384"/>
  </cols>
  <sheetData>
    <row r="1">
      <c r="A1" t="inlineStr">
        <is>
          <t>DATE</t>
        </is>
      </c>
      <c r="B1" t="inlineStr">
        <is>
          <t>Arts, Entertainment &amp; Recreation</t>
        </is>
      </c>
      <c r="C1" t="inlineStr">
        <is>
          <t>Other Services</t>
        </is>
      </c>
      <c r="D1" t="inlineStr">
        <is>
          <t>Health Care &amp; Social Assistance</t>
        </is>
      </c>
      <c r="E1" t="inlineStr">
        <is>
          <t>Accommodation &amp; Food Services</t>
        </is>
      </c>
      <c r="F1" t="inlineStr">
        <is>
          <t>Finance &amp; Insurance</t>
        </is>
      </c>
      <c r="G1" t="inlineStr">
        <is>
          <t>Real Estate, Rental &amp; Leasing</t>
        </is>
      </c>
      <c r="H1" t="inlineStr">
        <is>
          <t>Transportation &amp; Warehousing</t>
        </is>
      </c>
      <c r="I1" t="inlineStr">
        <is>
          <t>Mining</t>
        </is>
      </c>
      <c r="J1" t="inlineStr">
        <is>
          <t>Construction</t>
        </is>
      </c>
      <c r="K1" t="inlineStr">
        <is>
          <t>Wholesale Trade</t>
        </is>
      </c>
      <c r="L1" t="inlineStr">
        <is>
          <t>Public Administration</t>
        </is>
      </c>
      <c r="M1" t="inlineStr">
        <is>
          <t>Professional, Scientific &amp; Technical Services</t>
        </is>
      </c>
      <c r="N1" t="inlineStr">
        <is>
          <t>Agriculture, Forestry, Fishing &amp; Hunting</t>
        </is>
      </c>
      <c r="O1" t="inlineStr">
        <is>
          <t>Information</t>
        </is>
      </c>
      <c r="P1" t="inlineStr">
        <is>
          <t>Educational Services</t>
        </is>
      </c>
      <c r="Q1" t="inlineStr">
        <is>
          <t>Management of Companies &amp; Support Services</t>
        </is>
      </c>
      <c r="R1" t="inlineStr">
        <is>
          <t>Retail Trade</t>
        </is>
      </c>
      <c r="S1" t="inlineStr">
        <is>
          <t>Utilities</t>
        </is>
      </c>
    </row>
    <row r="2">
      <c r="A2" s="71" t="n">
        <v>44562</v>
      </c>
      <c r="B2" t="n">
        <v>17</v>
      </c>
      <c r="C2" t="n">
        <v>1</v>
      </c>
      <c r="D2" t="n">
        <v>5</v>
      </c>
      <c r="E2" t="n">
        <v>14</v>
      </c>
      <c r="F2" t="n">
        <v>6</v>
      </c>
      <c r="G2" t="n">
        <v>3</v>
      </c>
      <c r="H2" t="n">
        <v>12</v>
      </c>
      <c r="I2" t="n">
        <v>9</v>
      </c>
      <c r="J2" t="n">
        <v>16</v>
      </c>
      <c r="K2" t="n">
        <v>11</v>
      </c>
      <c r="L2" t="n">
        <v>7</v>
      </c>
      <c r="M2" t="n">
        <v>8</v>
      </c>
      <c r="N2" t="n">
        <v>18</v>
      </c>
      <c r="O2" t="n">
        <v>4</v>
      </c>
      <c r="P2" t="n">
        <v>2</v>
      </c>
      <c r="Q2" t="n">
        <v>15</v>
      </c>
      <c r="R2" t="n">
        <v>13</v>
      </c>
      <c r="S2" t="n">
        <v>10</v>
      </c>
    </row>
    <row r="3">
      <c r="A3" s="71" t="n">
        <v>44593</v>
      </c>
      <c r="B3" t="n">
        <v>11</v>
      </c>
      <c r="C3" t="n">
        <v>5</v>
      </c>
      <c r="D3" t="n">
        <v>3</v>
      </c>
      <c r="E3" t="n">
        <v>2</v>
      </c>
      <c r="F3" t="n">
        <v>7</v>
      </c>
      <c r="G3" t="n">
        <v>6</v>
      </c>
      <c r="H3" t="n">
        <v>9</v>
      </c>
      <c r="I3" t="n">
        <v>10</v>
      </c>
      <c r="J3" t="n">
        <v>18</v>
      </c>
      <c r="K3" t="n">
        <v>17</v>
      </c>
      <c r="L3" t="n">
        <v>13</v>
      </c>
      <c r="M3" t="n">
        <v>4</v>
      </c>
      <c r="N3" t="n">
        <v>12</v>
      </c>
      <c r="O3" t="n">
        <v>8</v>
      </c>
      <c r="P3" t="n">
        <v>15</v>
      </c>
      <c r="Q3" t="n">
        <v>16</v>
      </c>
      <c r="R3" t="n">
        <v>1</v>
      </c>
      <c r="S3" t="n">
        <v>14</v>
      </c>
    </row>
    <row r="4">
      <c r="A4" s="71" t="n">
        <v>44621</v>
      </c>
      <c r="B4" t="n">
        <v>9</v>
      </c>
      <c r="C4" t="n">
        <v>6</v>
      </c>
      <c r="D4" t="n">
        <v>2</v>
      </c>
      <c r="E4" t="n">
        <v>3</v>
      </c>
      <c r="F4" t="n">
        <v>1</v>
      </c>
      <c r="G4" t="n">
        <v>12</v>
      </c>
      <c r="H4" t="n">
        <v>15</v>
      </c>
      <c r="I4" t="n">
        <v>16</v>
      </c>
      <c r="J4" t="n">
        <v>18</v>
      </c>
      <c r="K4" t="n">
        <v>10</v>
      </c>
      <c r="L4" t="n">
        <v>7</v>
      </c>
      <c r="M4" t="n">
        <v>4</v>
      </c>
      <c r="N4" t="n">
        <v>13</v>
      </c>
      <c r="O4" t="n">
        <v>11</v>
      </c>
      <c r="P4" t="n">
        <v>8</v>
      </c>
      <c r="Q4" t="n">
        <v>17</v>
      </c>
      <c r="R4" t="n">
        <v>5</v>
      </c>
      <c r="S4" t="n">
        <v>14</v>
      </c>
    </row>
    <row r="5">
      <c r="A5" s="71" t="n">
        <v>44652</v>
      </c>
      <c r="B5" t="n">
        <v>18</v>
      </c>
      <c r="C5" t="n">
        <v>2</v>
      </c>
      <c r="D5" t="n">
        <v>4</v>
      </c>
      <c r="E5" t="n">
        <v>13</v>
      </c>
      <c r="F5" t="n">
        <v>10</v>
      </c>
      <c r="G5" t="n">
        <v>16</v>
      </c>
      <c r="H5" t="n">
        <v>6</v>
      </c>
      <c r="I5" t="n">
        <v>17</v>
      </c>
      <c r="J5" t="n">
        <v>14</v>
      </c>
      <c r="K5" t="n">
        <v>15</v>
      </c>
      <c r="L5" t="n">
        <v>9</v>
      </c>
      <c r="M5" t="n">
        <v>5</v>
      </c>
      <c r="N5" t="n">
        <v>1</v>
      </c>
      <c r="O5" t="n">
        <v>7</v>
      </c>
      <c r="P5" t="n">
        <v>11</v>
      </c>
      <c r="Q5" t="n">
        <v>12</v>
      </c>
      <c r="R5" t="n">
        <v>3</v>
      </c>
      <c r="S5" t="n">
        <v>8</v>
      </c>
    </row>
    <row r="6">
      <c r="A6" s="71" t="n">
        <v>44682</v>
      </c>
      <c r="B6" t="n">
        <v>18</v>
      </c>
      <c r="C6" t="n">
        <v>10</v>
      </c>
      <c r="D6" t="n">
        <v>3</v>
      </c>
      <c r="E6" t="n">
        <v>14</v>
      </c>
      <c r="F6" t="n">
        <v>7</v>
      </c>
      <c r="G6" t="n">
        <v>12</v>
      </c>
      <c r="H6" t="n">
        <v>13</v>
      </c>
      <c r="I6" t="n">
        <v>17</v>
      </c>
      <c r="J6" t="n">
        <v>16</v>
      </c>
      <c r="K6" t="n">
        <v>11</v>
      </c>
      <c r="L6" t="n">
        <v>9</v>
      </c>
      <c r="M6" t="n">
        <v>4</v>
      </c>
      <c r="N6" t="n">
        <v>1</v>
      </c>
      <c r="O6" t="n">
        <v>5</v>
      </c>
      <c r="P6" t="n">
        <v>8</v>
      </c>
      <c r="Q6" t="n">
        <v>15</v>
      </c>
      <c r="R6" t="n">
        <v>6</v>
      </c>
      <c r="S6" t="n">
        <v>2</v>
      </c>
    </row>
    <row r="7">
      <c r="A7" s="71" t="n">
        <v>44713</v>
      </c>
      <c r="B7" t="n">
        <v>18</v>
      </c>
      <c r="C7" t="n">
        <v>2</v>
      </c>
      <c r="D7" t="n">
        <v>4</v>
      </c>
      <c r="E7" t="n">
        <v>13</v>
      </c>
      <c r="F7" t="n">
        <v>7</v>
      </c>
      <c r="G7" t="n">
        <v>8</v>
      </c>
      <c r="H7" t="n">
        <v>16</v>
      </c>
      <c r="I7" t="n">
        <v>17</v>
      </c>
      <c r="J7" t="n">
        <v>6</v>
      </c>
      <c r="K7" t="n">
        <v>11</v>
      </c>
      <c r="L7" t="n">
        <v>15</v>
      </c>
      <c r="M7" t="n">
        <v>9</v>
      </c>
      <c r="N7" t="n">
        <v>1</v>
      </c>
      <c r="O7" t="n">
        <v>10</v>
      </c>
      <c r="P7" t="n">
        <v>12</v>
      </c>
      <c r="Q7" t="n">
        <v>3</v>
      </c>
      <c r="R7" t="n">
        <v>14</v>
      </c>
      <c r="S7" t="n">
        <v>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6"/>
    <outlinePr summaryBelow="1" summaryRight="1"/>
    <pageSetUpPr/>
  </sheetPr>
  <dimension ref="A1:AA142"/>
  <sheetViews>
    <sheetView zoomScale="170" zoomScaleNormal="170" workbookViewId="0">
      <pane ySplit="1" topLeftCell="A128" activePane="bottomLeft" state="frozen"/>
      <selection activeCell="F16" sqref="F16"/>
      <selection pane="bottomLeft" activeCell="F16" sqref="F16"/>
    </sheetView>
  </sheetViews>
  <sheetFormatPr baseColWidth="10" defaultRowHeight="15"/>
  <sheetData>
    <row r="1">
      <c r="A1" t="inlineStr">
        <is>
          <t>DATE</t>
        </is>
      </c>
      <c r="B1" t="inlineStr">
        <is>
          <t>Global</t>
        </is>
      </c>
      <c r="C1" t="inlineStr">
        <is>
          <t>ISM</t>
        </is>
      </c>
      <c r="D1" t="inlineStr">
        <is>
          <t>US</t>
        </is>
      </c>
      <c r="E1" t="inlineStr">
        <is>
          <t>CHN</t>
        </is>
      </c>
      <c r="F1" t="inlineStr">
        <is>
          <t>EU</t>
        </is>
      </c>
      <c r="G1" t="inlineStr">
        <is>
          <t>JPN</t>
        </is>
      </c>
      <c r="H1" t="inlineStr">
        <is>
          <t>DEU</t>
        </is>
      </c>
      <c r="I1" t="inlineStr">
        <is>
          <t>FRA</t>
        </is>
      </c>
      <c r="J1" t="inlineStr">
        <is>
          <t>UK</t>
        </is>
      </c>
      <c r="K1" t="inlineStr">
        <is>
          <t>ITA</t>
        </is>
      </c>
      <c r="L1" t="inlineStr">
        <is>
          <t>ESP</t>
        </is>
      </c>
      <c r="M1" t="inlineStr">
        <is>
          <t>BRA</t>
        </is>
      </c>
      <c r="N1" t="inlineStr">
        <is>
          <t>MEX</t>
        </is>
      </c>
      <c r="O1" t="inlineStr">
        <is>
          <t>RUS</t>
        </is>
      </c>
      <c r="P1" t="inlineStr">
        <is>
          <t>IND</t>
        </is>
      </c>
      <c r="Q1" t="inlineStr">
        <is>
          <t>CAN</t>
        </is>
      </c>
      <c r="R1" t="inlineStr">
        <is>
          <t>AUS</t>
        </is>
      </c>
      <c r="S1" t="inlineStr">
        <is>
          <t>IDN</t>
        </is>
      </c>
      <c r="T1" t="inlineStr">
        <is>
          <t>KOR</t>
        </is>
      </c>
      <c r="U1" t="inlineStr">
        <is>
          <t>TAI</t>
        </is>
      </c>
      <c r="V1" t="inlineStr">
        <is>
          <t>GRE</t>
        </is>
      </c>
      <c r="W1" t="inlineStr">
        <is>
          <t>IRE</t>
        </is>
      </c>
      <c r="X1" t="inlineStr">
        <is>
          <t>TUR</t>
        </is>
      </c>
      <c r="Y1" t="inlineStr">
        <is>
          <t>CZE</t>
        </is>
      </c>
      <c r="Z1" t="inlineStr">
        <is>
          <t>POL</t>
        </is>
      </c>
      <c r="AA1" t="inlineStr">
        <is>
          <t>DEN</t>
        </is>
      </c>
    </row>
    <row r="2">
      <c r="A2" s="71" t="n">
        <v>40452</v>
      </c>
      <c r="B2" t="n">
        <v>53.7</v>
      </c>
      <c r="C2" t="n">
        <v>56.9</v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</row>
    <row r="3">
      <c r="A3" s="71" t="n">
        <v>40483</v>
      </c>
      <c r="B3" t="n">
        <v>54</v>
      </c>
      <c r="C3" t="n">
        <v>57.3</v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</row>
    <row r="4">
      <c r="A4" s="71" t="n">
        <v>40513</v>
      </c>
      <c r="B4" t="n">
        <v>54.9</v>
      </c>
      <c r="C4" t="n">
        <v>56.6</v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</row>
    <row r="5">
      <c r="A5" s="71" t="n">
        <v>40544</v>
      </c>
      <c r="B5" t="n">
        <v>57.2</v>
      </c>
      <c r="C5" t="n">
        <v>59.1</v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</row>
    <row r="6">
      <c r="A6" s="71" t="n">
        <v>40575</v>
      </c>
      <c r="B6" t="n">
        <v>58.2</v>
      </c>
      <c r="C6" t="n">
        <v>59.2</v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</row>
    <row r="7">
      <c r="A7" s="71" t="n">
        <v>40603</v>
      </c>
      <c r="B7" t="n">
        <v>56</v>
      </c>
      <c r="C7" t="n">
        <v>58.4</v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</row>
    <row r="8">
      <c r="A8" s="71" t="n">
        <v>40634</v>
      </c>
      <c r="B8" t="n">
        <v>55.5</v>
      </c>
      <c r="C8" t="n">
        <v>57.9</v>
      </c>
      <c r="D8" t="n">
        <v>60.4</v>
      </c>
      <c r="E8" t="n">
        <v>51.8</v>
      </c>
      <c r="F8" t="n">
        <v>58</v>
      </c>
      <c r="G8" t="n">
        <v>45.7</v>
      </c>
      <c r="H8" t="n">
        <v>62</v>
      </c>
      <c r="I8" t="n">
        <v>57.5</v>
      </c>
      <c r="J8" t="n">
        <v>54.6</v>
      </c>
      <c r="K8" t="n">
        <v>55.5</v>
      </c>
      <c r="L8" t="n">
        <v>50.6</v>
      </c>
      <c r="M8" t="n">
        <v>52.5</v>
      </c>
      <c r="N8" t="n">
        <v>56.1</v>
      </c>
      <c r="O8" t="n">
        <v>52.1</v>
      </c>
      <c r="P8" t="n">
        <v>58</v>
      </c>
      <c r="Q8" t="n">
        <v>56.3</v>
      </c>
      <c r="R8" t="n">
        <v>48.4</v>
      </c>
      <c r="S8" t="n">
        <v>48.1</v>
      </c>
      <c r="T8" t="n">
        <v>51.7</v>
      </c>
      <c r="U8" t="n">
        <v>58.2</v>
      </c>
      <c r="V8" t="n">
        <v>46.8</v>
      </c>
      <c r="W8" t="n">
        <v>56</v>
      </c>
      <c r="X8" t="n">
        <v>52.7</v>
      </c>
      <c r="Y8" t="n">
        <v>59</v>
      </c>
      <c r="Z8" t="n">
        <v>54.4</v>
      </c>
      <c r="AA8" t="n">
        <v>63.05</v>
      </c>
    </row>
    <row r="9">
      <c r="A9" s="71" t="n">
        <v>40664</v>
      </c>
      <c r="B9" t="n">
        <v>53.1</v>
      </c>
      <c r="C9" t="n">
        <v>54.8</v>
      </c>
      <c r="D9" t="n">
        <v>53.5</v>
      </c>
      <c r="E9" t="n">
        <v>51.6</v>
      </c>
      <c r="F9" t="n">
        <v>54.6</v>
      </c>
      <c r="G9" t="n">
        <v>51.3</v>
      </c>
      <c r="H9" t="n">
        <v>57.7</v>
      </c>
      <c r="I9" t="n">
        <v>54.9</v>
      </c>
      <c r="J9" t="n">
        <v>52.1</v>
      </c>
      <c r="K9" t="n">
        <v>52.8</v>
      </c>
      <c r="L9" t="n">
        <v>48.2</v>
      </c>
      <c r="M9" t="n">
        <v>53</v>
      </c>
      <c r="N9" t="n">
        <v>54.5</v>
      </c>
      <c r="O9" t="n">
        <v>50.9</v>
      </c>
      <c r="P9" t="n">
        <v>57.5</v>
      </c>
      <c r="Q9" t="n">
        <v>54.8</v>
      </c>
      <c r="R9" t="n">
        <v>47.7</v>
      </c>
      <c r="S9" t="n">
        <v>48</v>
      </c>
      <c r="T9" t="n">
        <v>51.2</v>
      </c>
      <c r="U9" t="n">
        <v>54.9</v>
      </c>
      <c r="V9" t="n">
        <v>44.5</v>
      </c>
      <c r="W9" t="n">
        <v>51.8</v>
      </c>
      <c r="X9" t="n">
        <v>50.6</v>
      </c>
      <c r="Y9" t="n">
        <v>55.9</v>
      </c>
      <c r="Z9" t="n">
        <v>52.6</v>
      </c>
      <c r="AA9" t="n">
        <v>58.59</v>
      </c>
    </row>
    <row r="10">
      <c r="A10" s="71" t="n">
        <v>40695</v>
      </c>
      <c r="B10" t="n">
        <v>52.8</v>
      </c>
      <c r="C10" t="n">
        <v>55.8</v>
      </c>
      <c r="D10" t="n">
        <v>55.3</v>
      </c>
      <c r="E10" t="n">
        <v>50.1</v>
      </c>
      <c r="F10" t="n">
        <v>52</v>
      </c>
      <c r="G10" t="n">
        <v>50.7</v>
      </c>
      <c r="H10" t="n">
        <v>54.9</v>
      </c>
      <c r="I10" t="n">
        <v>50.1</v>
      </c>
      <c r="J10" t="n">
        <v>51.3</v>
      </c>
      <c r="K10" t="n">
        <v>49.9</v>
      </c>
      <c r="L10" t="n">
        <v>47.3</v>
      </c>
      <c r="M10" t="n">
        <v>49</v>
      </c>
      <c r="N10" t="n">
        <v>55.1</v>
      </c>
      <c r="O10" t="n">
        <v>50.6</v>
      </c>
      <c r="P10" t="n">
        <v>55.3</v>
      </c>
      <c r="Q10" t="n">
        <v>52.8</v>
      </c>
      <c r="R10" t="n">
        <v>52.9</v>
      </c>
      <c r="S10" t="n">
        <v>50.5</v>
      </c>
      <c r="T10" t="n">
        <v>51.2</v>
      </c>
      <c r="U10" t="n">
        <v>49.9</v>
      </c>
      <c r="V10" t="n">
        <v>45.5</v>
      </c>
      <c r="W10" t="n">
        <v>49.8</v>
      </c>
      <c r="X10" t="n">
        <v>52.3</v>
      </c>
      <c r="Y10" t="n">
        <v>55.1</v>
      </c>
      <c r="Z10" t="n">
        <v>51.2</v>
      </c>
      <c r="AA10" t="n">
        <v>58.05</v>
      </c>
    </row>
    <row r="11">
      <c r="A11" s="71" t="n">
        <v>40725</v>
      </c>
      <c r="B11" t="n">
        <v>50.9</v>
      </c>
      <c r="C11" t="n">
        <v>52.9</v>
      </c>
      <c r="D11" t="n">
        <v>50.9</v>
      </c>
      <c r="E11" t="n">
        <v>49.3</v>
      </c>
      <c r="F11" t="n">
        <v>50.4</v>
      </c>
      <c r="G11" t="n">
        <v>52.1</v>
      </c>
      <c r="H11" t="n">
        <v>52</v>
      </c>
      <c r="I11" t="n">
        <v>50.5</v>
      </c>
      <c r="J11" t="n">
        <v>49.1</v>
      </c>
      <c r="K11" t="n">
        <v>50.1</v>
      </c>
      <c r="L11" t="n">
        <v>45.6</v>
      </c>
      <c r="M11" t="n">
        <v>47.8</v>
      </c>
      <c r="N11" t="n">
        <v>54.8</v>
      </c>
      <c r="O11" t="n">
        <v>49.8</v>
      </c>
      <c r="P11" t="n">
        <v>56.3</v>
      </c>
      <c r="Q11" t="n">
        <v>53.1</v>
      </c>
      <c r="R11" t="n">
        <v>43.4</v>
      </c>
      <c r="S11" t="n">
        <v>51</v>
      </c>
      <c r="T11" t="n">
        <v>51.1</v>
      </c>
      <c r="U11" t="n">
        <v>46.1</v>
      </c>
      <c r="V11" t="n">
        <v>45.2</v>
      </c>
      <c r="W11" t="n">
        <v>48.2</v>
      </c>
      <c r="X11" t="n">
        <v>52.3</v>
      </c>
      <c r="Y11" t="n">
        <v>53.4</v>
      </c>
      <c r="Z11" t="n">
        <v>52.9</v>
      </c>
      <c r="AA11" t="n">
        <v>58.37</v>
      </c>
    </row>
    <row r="12">
      <c r="A12" s="71" t="n">
        <v>40756</v>
      </c>
      <c r="B12" t="n">
        <v>50.4</v>
      </c>
      <c r="C12" t="n">
        <v>52.6</v>
      </c>
      <c r="D12" t="n">
        <v>50.6</v>
      </c>
      <c r="E12" t="n">
        <v>49.9</v>
      </c>
      <c r="F12" t="n">
        <v>49</v>
      </c>
      <c r="G12" t="n">
        <v>51.9</v>
      </c>
      <c r="H12" t="n">
        <v>50.9</v>
      </c>
      <c r="I12" t="n">
        <v>49.1</v>
      </c>
      <c r="J12" t="n">
        <v>49</v>
      </c>
      <c r="K12" t="n">
        <v>47</v>
      </c>
      <c r="L12" t="n">
        <v>45.3</v>
      </c>
      <c r="M12" t="n">
        <v>46</v>
      </c>
      <c r="N12" t="n">
        <v>51.7</v>
      </c>
      <c r="O12" t="n">
        <v>49.9</v>
      </c>
      <c r="P12" t="n">
        <v>52.6</v>
      </c>
      <c r="Q12" t="n">
        <v>54.9</v>
      </c>
      <c r="R12" t="n">
        <v>43.3</v>
      </c>
      <c r="S12" t="n">
        <v>50.9</v>
      </c>
      <c r="T12" t="n">
        <v>51.3</v>
      </c>
      <c r="U12" t="n">
        <v>45.2</v>
      </c>
      <c r="V12" t="n">
        <v>43.3</v>
      </c>
      <c r="W12" t="n">
        <v>49.7</v>
      </c>
      <c r="X12" t="n">
        <v>49.8</v>
      </c>
      <c r="Y12" t="n">
        <v>53.4</v>
      </c>
      <c r="Z12" t="n">
        <v>51.8</v>
      </c>
      <c r="AA12" t="n">
        <v>55.07</v>
      </c>
    </row>
    <row r="13">
      <c r="A13" s="71" t="n">
        <v>40787</v>
      </c>
      <c r="B13" t="n">
        <v>50.1</v>
      </c>
      <c r="C13" t="n">
        <v>53.7</v>
      </c>
      <c r="D13" t="n">
        <v>51.6</v>
      </c>
      <c r="E13" t="n">
        <v>49.9</v>
      </c>
      <c r="F13" t="n">
        <v>48.5</v>
      </c>
      <c r="G13" t="n">
        <v>49.3</v>
      </c>
      <c r="H13" t="n">
        <v>50.3</v>
      </c>
      <c r="I13" t="n">
        <v>48.2</v>
      </c>
      <c r="J13" t="n">
        <v>51.1</v>
      </c>
      <c r="K13" t="n">
        <v>48.3</v>
      </c>
      <c r="L13" t="n">
        <v>43.7</v>
      </c>
      <c r="M13" t="n">
        <v>45.5</v>
      </c>
      <c r="N13" t="n">
        <v>53.2</v>
      </c>
      <c r="O13" t="n">
        <v>50</v>
      </c>
      <c r="P13" t="n">
        <v>50.4</v>
      </c>
      <c r="Q13" t="n">
        <v>55</v>
      </c>
      <c r="R13" t="n">
        <v>42.3</v>
      </c>
      <c r="S13" t="n">
        <v>49.8</v>
      </c>
      <c r="T13" t="n">
        <v>49.7</v>
      </c>
      <c r="U13" t="n">
        <v>44.5</v>
      </c>
      <c r="V13" t="n">
        <v>43.2</v>
      </c>
      <c r="W13" t="n">
        <v>47.3</v>
      </c>
      <c r="X13" t="n">
        <v>51.5</v>
      </c>
      <c r="Y13" t="n">
        <v>52.3</v>
      </c>
      <c r="Z13" t="n">
        <v>50.2</v>
      </c>
      <c r="AA13" t="n">
        <v>64.40000000000001</v>
      </c>
    </row>
    <row r="14">
      <c r="A14" s="71" t="n">
        <v>40817</v>
      </c>
      <c r="B14" t="n">
        <v>49.5</v>
      </c>
      <c r="C14" t="n">
        <v>51.4</v>
      </c>
      <c r="D14" t="n">
        <v>50.8</v>
      </c>
      <c r="E14" t="n">
        <v>51</v>
      </c>
      <c r="F14" t="n">
        <v>47.1</v>
      </c>
      <c r="G14" t="n">
        <v>50.6</v>
      </c>
      <c r="H14" t="n">
        <v>49.1</v>
      </c>
      <c r="I14" t="n">
        <v>48.5</v>
      </c>
      <c r="J14" t="n">
        <v>47.4</v>
      </c>
      <c r="K14" t="n">
        <v>43.3</v>
      </c>
      <c r="L14" t="n">
        <v>43.9</v>
      </c>
      <c r="M14" t="n">
        <v>46.5</v>
      </c>
      <c r="N14" t="n">
        <v>54.8</v>
      </c>
      <c r="O14" t="n">
        <v>50.4</v>
      </c>
      <c r="P14" t="n">
        <v>51</v>
      </c>
      <c r="Q14" t="n">
        <v>53.7</v>
      </c>
      <c r="R14" t="n">
        <v>47.4</v>
      </c>
      <c r="S14" t="n">
        <v>51.3</v>
      </c>
      <c r="T14" t="n">
        <v>47.4</v>
      </c>
      <c r="U14" t="n">
        <v>48</v>
      </c>
      <c r="V14" t="n">
        <v>40.5</v>
      </c>
      <c r="W14" t="n">
        <v>50.1</v>
      </c>
      <c r="X14" t="n">
        <v>53.3</v>
      </c>
      <c r="Y14" t="n">
        <v>51.7</v>
      </c>
      <c r="Z14" t="n">
        <v>51.7</v>
      </c>
      <c r="AA14" t="n">
        <v>43.91</v>
      </c>
    </row>
    <row r="15">
      <c r="A15" s="71" t="n">
        <v>40848</v>
      </c>
      <c r="B15" t="n">
        <v>49.6</v>
      </c>
      <c r="C15" t="n">
        <v>51.8</v>
      </c>
      <c r="D15" t="n">
        <v>52.7</v>
      </c>
      <c r="E15" t="n">
        <v>47.7</v>
      </c>
      <c r="F15" t="n">
        <v>46.4</v>
      </c>
      <c r="G15" t="n">
        <v>49.1</v>
      </c>
      <c r="H15" t="n">
        <v>47.9</v>
      </c>
      <c r="I15" t="n">
        <v>47.3</v>
      </c>
      <c r="J15" t="n">
        <v>47.6</v>
      </c>
      <c r="K15" t="n">
        <v>44</v>
      </c>
      <c r="L15" t="n">
        <v>43.8</v>
      </c>
      <c r="M15" t="n">
        <v>48.7</v>
      </c>
      <c r="N15" t="n">
        <v>53.9</v>
      </c>
      <c r="O15" t="n">
        <v>52.6</v>
      </c>
      <c r="P15" t="n">
        <v>52</v>
      </c>
      <c r="Q15" t="n">
        <v>53.3</v>
      </c>
      <c r="R15" t="n">
        <v>47.8</v>
      </c>
      <c r="S15" t="n">
        <v>50.1</v>
      </c>
      <c r="T15" t="n">
        <v>48</v>
      </c>
      <c r="U15" t="n">
        <v>47.1</v>
      </c>
      <c r="V15" t="n">
        <v>40.9</v>
      </c>
      <c r="W15" t="n">
        <v>48.5</v>
      </c>
      <c r="X15" t="n">
        <v>52.3</v>
      </c>
      <c r="Y15" t="n">
        <v>48.6</v>
      </c>
      <c r="Z15" t="n">
        <v>49.5</v>
      </c>
      <c r="AA15" t="n">
        <v>47.79</v>
      </c>
    </row>
    <row r="16">
      <c r="A16" s="71" t="n">
        <v>40878</v>
      </c>
      <c r="B16" t="n">
        <v>50.4</v>
      </c>
      <c r="C16" t="n">
        <v>53</v>
      </c>
      <c r="D16" t="n">
        <v>53.2</v>
      </c>
      <c r="E16" t="n">
        <v>48.7</v>
      </c>
      <c r="F16" t="n">
        <v>46.9</v>
      </c>
      <c r="G16" t="n">
        <v>50.2</v>
      </c>
      <c r="H16" t="n">
        <v>48.4</v>
      </c>
      <c r="I16" t="n">
        <v>48.9</v>
      </c>
      <c r="J16" t="n">
        <v>49.6</v>
      </c>
      <c r="K16" t="n">
        <v>44.3</v>
      </c>
      <c r="L16" t="n">
        <v>43.7</v>
      </c>
      <c r="M16" t="n">
        <v>49.3</v>
      </c>
      <c r="N16" t="n">
        <v>53.1</v>
      </c>
      <c r="O16" t="n">
        <v>51.6</v>
      </c>
      <c r="P16" t="n">
        <v>57</v>
      </c>
      <c r="Q16" t="n">
        <v>54</v>
      </c>
      <c r="R16" t="n">
        <v>50.2</v>
      </c>
      <c r="S16" t="n">
        <v>48.1</v>
      </c>
      <c r="T16" t="n">
        <v>47.1</v>
      </c>
      <c r="U16" t="n">
        <v>47.1</v>
      </c>
      <c r="V16" t="n">
        <v>42</v>
      </c>
      <c r="W16" t="n">
        <v>49.8</v>
      </c>
      <c r="X16" t="n">
        <v>52</v>
      </c>
      <c r="Y16" t="n">
        <v>49.2</v>
      </c>
      <c r="Z16" t="n">
        <v>48.8</v>
      </c>
      <c r="AA16" t="n">
        <v>58.44</v>
      </c>
    </row>
    <row r="17">
      <c r="A17" s="71" t="n">
        <v>40909</v>
      </c>
      <c r="B17" t="n">
        <v>51</v>
      </c>
      <c r="C17" t="n">
        <v>52.6</v>
      </c>
      <c r="D17" t="n">
        <v>54.3</v>
      </c>
      <c r="E17" t="n">
        <v>48.8</v>
      </c>
      <c r="F17" t="n">
        <v>48.8</v>
      </c>
      <c r="G17" t="n">
        <v>50.7</v>
      </c>
      <c r="H17" t="n">
        <v>51</v>
      </c>
      <c r="I17" t="n">
        <v>48.5</v>
      </c>
      <c r="J17" t="n">
        <v>50.8</v>
      </c>
      <c r="K17" t="n">
        <v>46.8</v>
      </c>
      <c r="L17" t="n">
        <v>45.1</v>
      </c>
      <c r="M17" t="n">
        <v>50.6</v>
      </c>
      <c r="N17" t="n">
        <v>52.2</v>
      </c>
      <c r="O17" t="n">
        <v>50.8</v>
      </c>
      <c r="P17" t="n">
        <v>57.5</v>
      </c>
      <c r="Q17" t="n">
        <v>50.6</v>
      </c>
      <c r="R17" t="n">
        <v>51.6</v>
      </c>
      <c r="S17" t="n">
        <v>48.5</v>
      </c>
      <c r="T17" t="n">
        <v>49.2</v>
      </c>
      <c r="U17" t="n">
        <v>47.1</v>
      </c>
      <c r="V17" t="n">
        <v>41</v>
      </c>
      <c r="W17" t="n">
        <v>49.3</v>
      </c>
      <c r="X17" t="n">
        <v>51.7</v>
      </c>
      <c r="Y17" t="n">
        <v>48.8</v>
      </c>
      <c r="Z17" t="n">
        <v>52.2</v>
      </c>
      <c r="AA17" t="n">
        <v>52.12</v>
      </c>
    </row>
    <row r="18">
      <c r="A18" s="71" t="n">
        <v>40940</v>
      </c>
      <c r="B18" t="n">
        <v>51.2</v>
      </c>
      <c r="C18" t="n">
        <v>53.1</v>
      </c>
      <c r="D18" t="n">
        <v>53.6</v>
      </c>
      <c r="E18" t="n">
        <v>49.6</v>
      </c>
      <c r="F18" t="n">
        <v>49</v>
      </c>
      <c r="G18" t="n">
        <v>50.5</v>
      </c>
      <c r="H18" t="n">
        <v>50.2</v>
      </c>
      <c r="I18" t="n">
        <v>50</v>
      </c>
      <c r="J18" t="n">
        <v>51.1</v>
      </c>
      <c r="K18" t="n">
        <v>47.8</v>
      </c>
      <c r="L18" t="n">
        <v>45</v>
      </c>
      <c r="M18" t="n">
        <v>51.4</v>
      </c>
      <c r="N18" t="n">
        <v>53.7</v>
      </c>
      <c r="O18" t="n">
        <v>50.7</v>
      </c>
      <c r="P18" t="n">
        <v>56.6</v>
      </c>
      <c r="Q18" t="n">
        <v>51.8</v>
      </c>
      <c r="R18" t="n">
        <v>51.3</v>
      </c>
      <c r="S18" t="n">
        <v>50.6</v>
      </c>
      <c r="T18" t="n">
        <v>50.7</v>
      </c>
      <c r="U18" t="n">
        <v>48.9</v>
      </c>
      <c r="V18" t="n">
        <v>37.7</v>
      </c>
      <c r="W18" t="n">
        <v>49.7</v>
      </c>
      <c r="X18" t="n">
        <v>49.6</v>
      </c>
      <c r="Y18" t="n">
        <v>50.5</v>
      </c>
      <c r="Z18" t="n">
        <v>50</v>
      </c>
      <c r="AA18" t="n">
        <v>53.88</v>
      </c>
    </row>
    <row r="19">
      <c r="A19" s="71" t="n">
        <v>40969</v>
      </c>
      <c r="B19" t="n">
        <v>51.6</v>
      </c>
      <c r="C19" t="n">
        <v>53.5</v>
      </c>
      <c r="D19" t="n">
        <v>56</v>
      </c>
      <c r="E19" t="n">
        <v>48.3</v>
      </c>
      <c r="F19" t="n">
        <v>47.7</v>
      </c>
      <c r="G19" t="n">
        <v>51.1</v>
      </c>
      <c r="H19" t="n">
        <v>48.4</v>
      </c>
      <c r="I19" t="n">
        <v>46.7</v>
      </c>
      <c r="J19" t="n">
        <v>52</v>
      </c>
      <c r="K19" t="n">
        <v>47.9</v>
      </c>
      <c r="L19" t="n">
        <v>44.5</v>
      </c>
      <c r="M19" t="n">
        <v>51.1</v>
      </c>
      <c r="N19" t="n">
        <v>53.8</v>
      </c>
      <c r="O19" t="n">
        <v>50.8</v>
      </c>
      <c r="P19" t="n">
        <v>54.7</v>
      </c>
      <c r="Q19" t="n">
        <v>52.4</v>
      </c>
      <c r="R19" t="n">
        <v>49.5</v>
      </c>
      <c r="S19" t="n">
        <v>50.8</v>
      </c>
      <c r="T19" t="n">
        <v>52</v>
      </c>
      <c r="U19" t="n">
        <v>52.7</v>
      </c>
      <c r="V19" t="n">
        <v>41.3</v>
      </c>
      <c r="W19" t="n">
        <v>51.5</v>
      </c>
      <c r="X19" t="n">
        <v>49.6</v>
      </c>
      <c r="Y19" t="n">
        <v>52.1</v>
      </c>
      <c r="Z19" t="n">
        <v>50.1</v>
      </c>
      <c r="AA19" t="n">
        <v>50.34</v>
      </c>
    </row>
    <row r="20">
      <c r="A20" s="71" t="n">
        <v>41000</v>
      </c>
      <c r="B20" t="n">
        <v>51.3</v>
      </c>
      <c r="C20" t="n">
        <v>53.5</v>
      </c>
      <c r="D20" t="n">
        <v>56</v>
      </c>
      <c r="E20" t="n">
        <v>49.3</v>
      </c>
      <c r="F20" t="n">
        <v>45.9</v>
      </c>
      <c r="G20" t="n">
        <v>50.7</v>
      </c>
      <c r="H20" t="n">
        <v>46.2</v>
      </c>
      <c r="I20" t="n">
        <v>46.9</v>
      </c>
      <c r="J20" t="n">
        <v>50.2</v>
      </c>
      <c r="K20" t="n">
        <v>43.8</v>
      </c>
      <c r="L20" t="n">
        <v>43.5</v>
      </c>
      <c r="M20" t="n">
        <v>49.3</v>
      </c>
      <c r="N20" t="n">
        <v>56.3</v>
      </c>
      <c r="O20" t="n">
        <v>52.9</v>
      </c>
      <c r="P20" t="n">
        <v>54.9</v>
      </c>
      <c r="Q20" t="n">
        <v>53.3</v>
      </c>
      <c r="R20" t="n">
        <v>43.9</v>
      </c>
      <c r="S20" t="n">
        <v>50.5</v>
      </c>
      <c r="T20" t="n">
        <v>51.9</v>
      </c>
      <c r="U20" t="n">
        <v>54.1</v>
      </c>
      <c r="V20" t="n">
        <v>40.7</v>
      </c>
      <c r="W20" t="n">
        <v>50.1</v>
      </c>
      <c r="X20" t="n">
        <v>52.3</v>
      </c>
      <c r="Y20" t="n">
        <v>49.7</v>
      </c>
      <c r="Z20" t="n">
        <v>49.2</v>
      </c>
      <c r="AA20" t="n">
        <v>63.6</v>
      </c>
    </row>
    <row r="21">
      <c r="A21" s="71" t="n">
        <v>41030</v>
      </c>
      <c r="B21" t="n">
        <v>50.3</v>
      </c>
      <c r="C21" t="n">
        <v>52.6</v>
      </c>
      <c r="D21" t="n">
        <v>54</v>
      </c>
      <c r="E21" t="n">
        <v>48.4</v>
      </c>
      <c r="F21" t="n">
        <v>45.1</v>
      </c>
      <c r="G21" t="n">
        <v>50.7</v>
      </c>
      <c r="H21" t="n">
        <v>45.2</v>
      </c>
      <c r="I21" t="n">
        <v>44.7</v>
      </c>
      <c r="J21" t="n">
        <v>46.8</v>
      </c>
      <c r="K21" t="n">
        <v>44.8</v>
      </c>
      <c r="L21" t="n">
        <v>42</v>
      </c>
      <c r="M21" t="n">
        <v>49.3</v>
      </c>
      <c r="N21" t="n">
        <v>55.2</v>
      </c>
      <c r="O21" t="n">
        <v>53.2</v>
      </c>
      <c r="P21" t="n">
        <v>54.8</v>
      </c>
      <c r="Q21" t="n">
        <v>54.7</v>
      </c>
      <c r="R21" t="n">
        <v>42.4</v>
      </c>
      <c r="S21" t="n">
        <v>48.1</v>
      </c>
      <c r="T21" t="n">
        <v>51</v>
      </c>
      <c r="U21" t="n">
        <v>51.2</v>
      </c>
      <c r="V21" t="n">
        <v>43.1</v>
      </c>
      <c r="W21" t="n">
        <v>51.2</v>
      </c>
      <c r="X21" t="n">
        <v>50.2</v>
      </c>
      <c r="Y21" t="n">
        <v>47.6</v>
      </c>
      <c r="Z21" t="n">
        <v>48.9</v>
      </c>
      <c r="AA21" t="n">
        <v>51.42</v>
      </c>
    </row>
    <row r="22">
      <c r="A22" s="71" t="n">
        <v>41061</v>
      </c>
      <c r="B22" t="n">
        <v>49.7</v>
      </c>
      <c r="C22" t="n">
        <v>49.7</v>
      </c>
      <c r="D22" t="n">
        <v>52.5</v>
      </c>
      <c r="E22" t="n">
        <v>48.2</v>
      </c>
      <c r="F22" t="n">
        <v>45.1</v>
      </c>
      <c r="G22" t="n">
        <v>52.6</v>
      </c>
      <c r="H22" t="n">
        <v>45</v>
      </c>
      <c r="I22" t="n">
        <v>45.2</v>
      </c>
      <c r="J22" t="n">
        <v>48.8</v>
      </c>
      <c r="K22" t="n">
        <v>44.6</v>
      </c>
      <c r="L22" t="n">
        <v>41.1</v>
      </c>
      <c r="M22" t="n">
        <v>48.5</v>
      </c>
      <c r="N22" t="n">
        <v>55.9</v>
      </c>
      <c r="O22" t="n">
        <v>51</v>
      </c>
      <c r="P22" t="n">
        <v>55</v>
      </c>
      <c r="Q22" t="n">
        <v>54.8</v>
      </c>
      <c r="R22" t="n">
        <v>47.2</v>
      </c>
      <c r="S22" t="n">
        <v>50.2</v>
      </c>
      <c r="T22" t="n">
        <v>49.4</v>
      </c>
      <c r="U22" t="n">
        <v>50.5</v>
      </c>
      <c r="V22" t="n">
        <v>40.1</v>
      </c>
      <c r="W22" t="n">
        <v>53.1</v>
      </c>
      <c r="X22" t="n">
        <v>51.4</v>
      </c>
      <c r="Y22" t="n">
        <v>49.4</v>
      </c>
      <c r="Z22" t="n">
        <v>48</v>
      </c>
      <c r="AA22" t="n">
        <v>52.69</v>
      </c>
    </row>
    <row r="23">
      <c r="A23" s="71" t="n">
        <v>41091</v>
      </c>
      <c r="B23" t="n">
        <v>48.8</v>
      </c>
      <c r="C23" t="n">
        <v>50</v>
      </c>
      <c r="D23" t="n">
        <v>51.4</v>
      </c>
      <c r="E23" t="n">
        <v>49.3</v>
      </c>
      <c r="F23" t="n">
        <v>44</v>
      </c>
      <c r="G23" t="n">
        <v>52</v>
      </c>
      <c r="H23" t="n">
        <v>43</v>
      </c>
      <c r="I23" t="n">
        <v>43.4</v>
      </c>
      <c r="J23" t="n">
        <v>45.5</v>
      </c>
      <c r="K23" t="n">
        <v>44.3</v>
      </c>
      <c r="L23" t="n">
        <v>42.3</v>
      </c>
      <c r="M23" t="n">
        <v>48.7</v>
      </c>
      <c r="N23" t="n">
        <v>55.2</v>
      </c>
      <c r="O23" t="n">
        <v>52</v>
      </c>
      <c r="P23" t="n">
        <v>52.9</v>
      </c>
      <c r="Q23" t="n">
        <v>53</v>
      </c>
      <c r="R23" t="n">
        <v>40.3</v>
      </c>
      <c r="S23" t="n">
        <v>51.3</v>
      </c>
      <c r="T23" t="n">
        <v>47.2</v>
      </c>
      <c r="U23" t="n">
        <v>49.2</v>
      </c>
      <c r="V23" t="n">
        <v>41.9</v>
      </c>
      <c r="W23" t="n">
        <v>53.9</v>
      </c>
      <c r="X23" t="n">
        <v>49.4</v>
      </c>
      <c r="Y23" t="n">
        <v>49.5</v>
      </c>
      <c r="Z23" t="n">
        <v>49.7</v>
      </c>
      <c r="AA23" t="n">
        <v>47.21</v>
      </c>
    </row>
    <row r="24">
      <c r="A24" s="71" t="n">
        <v>41122</v>
      </c>
      <c r="B24" t="n">
        <v>48.7</v>
      </c>
      <c r="C24" t="n">
        <v>50.2</v>
      </c>
      <c r="D24" t="n">
        <v>51.5</v>
      </c>
      <c r="E24" t="n">
        <v>47.7</v>
      </c>
      <c r="F24" t="n">
        <v>45.1</v>
      </c>
      <c r="G24" t="n">
        <v>52.1</v>
      </c>
      <c r="H24" t="n">
        <v>44.7</v>
      </c>
      <c r="I24" t="n">
        <v>46</v>
      </c>
      <c r="J24" t="n">
        <v>49.1</v>
      </c>
      <c r="K24" t="n">
        <v>43.6</v>
      </c>
      <c r="L24" t="n">
        <v>44</v>
      </c>
      <c r="M24" t="n">
        <v>49.3</v>
      </c>
      <c r="N24" t="n">
        <v>55.1</v>
      </c>
      <c r="O24" t="n">
        <v>51</v>
      </c>
      <c r="P24" t="n">
        <v>52.8</v>
      </c>
      <c r="Q24" t="n">
        <v>53</v>
      </c>
      <c r="R24" t="n">
        <v>45.3</v>
      </c>
      <c r="S24" t="n">
        <v>51.4</v>
      </c>
      <c r="T24" t="n">
        <v>47.5</v>
      </c>
      <c r="U24" t="n">
        <v>47.5</v>
      </c>
      <c r="V24" t="n">
        <v>42.1</v>
      </c>
      <c r="W24" t="n">
        <v>50.9</v>
      </c>
      <c r="X24" t="n">
        <v>50</v>
      </c>
      <c r="Y24" t="n">
        <v>48.7</v>
      </c>
      <c r="Z24" t="n">
        <v>48.3</v>
      </c>
      <c r="AA24" t="n">
        <v>51.06</v>
      </c>
    </row>
    <row r="25">
      <c r="A25" s="71" t="n">
        <v>41153</v>
      </c>
      <c r="B25" t="n">
        <v>48.7</v>
      </c>
      <c r="C25" t="n">
        <v>51.8</v>
      </c>
      <c r="D25" t="n">
        <v>51.1</v>
      </c>
      <c r="E25" t="n">
        <v>47.9</v>
      </c>
      <c r="F25" t="n">
        <v>46.1</v>
      </c>
      <c r="G25" t="n">
        <v>48</v>
      </c>
      <c r="H25" t="n">
        <v>47.4</v>
      </c>
      <c r="I25" t="n">
        <v>42.7</v>
      </c>
      <c r="J25" t="n">
        <v>48.2</v>
      </c>
      <c r="K25" t="n">
        <v>45.7</v>
      </c>
      <c r="L25" t="n">
        <v>44.5</v>
      </c>
      <c r="M25" t="n">
        <v>49.8</v>
      </c>
      <c r="N25" t="n">
        <v>54.4</v>
      </c>
      <c r="O25" t="n">
        <v>52.4</v>
      </c>
      <c r="P25" t="n">
        <v>52.8</v>
      </c>
      <c r="Q25" t="n">
        <v>52.4</v>
      </c>
      <c r="R25" t="n">
        <v>44.1</v>
      </c>
      <c r="S25" t="n">
        <v>51.6</v>
      </c>
      <c r="T25" t="n">
        <v>45.7</v>
      </c>
      <c r="U25" t="n">
        <v>46.1</v>
      </c>
      <c r="V25" t="n">
        <v>42.2</v>
      </c>
      <c r="W25" t="n">
        <v>51.8</v>
      </c>
      <c r="X25" t="n">
        <v>52.2</v>
      </c>
      <c r="Y25" t="n">
        <v>48</v>
      </c>
      <c r="Z25" t="n">
        <v>47</v>
      </c>
      <c r="AA25" t="n">
        <v>52.09</v>
      </c>
    </row>
    <row r="26">
      <c r="A26" s="71" t="n">
        <v>41183</v>
      </c>
      <c r="B26" t="n">
        <v>48.9</v>
      </c>
      <c r="C26" t="n">
        <v>50.7</v>
      </c>
      <c r="D26" t="n">
        <v>51</v>
      </c>
      <c r="E26" t="n">
        <v>49.5</v>
      </c>
      <c r="F26" t="n">
        <v>45.4</v>
      </c>
      <c r="G26" t="n">
        <v>46.9</v>
      </c>
      <c r="H26" t="n">
        <v>46</v>
      </c>
      <c r="I26" t="n">
        <v>43.7</v>
      </c>
      <c r="J26" t="n">
        <v>48</v>
      </c>
      <c r="K26" t="n">
        <v>45.5</v>
      </c>
      <c r="L26" t="n">
        <v>43.5</v>
      </c>
      <c r="M26" t="n">
        <v>50.2</v>
      </c>
      <c r="N26" t="n">
        <v>55.5</v>
      </c>
      <c r="O26" t="n">
        <v>52.9</v>
      </c>
      <c r="P26" t="n">
        <v>52.9</v>
      </c>
      <c r="Q26" t="n">
        <v>51.4</v>
      </c>
      <c r="R26" t="n">
        <v>45.2</v>
      </c>
      <c r="S26" t="n">
        <v>50.5</v>
      </c>
      <c r="T26" t="n">
        <v>47.4</v>
      </c>
      <c r="U26" t="n">
        <v>45.6</v>
      </c>
      <c r="V26" t="n">
        <v>41</v>
      </c>
      <c r="W26" t="n">
        <v>52.1</v>
      </c>
      <c r="X26" t="n">
        <v>52.5</v>
      </c>
      <c r="Y26" t="n">
        <v>47.2</v>
      </c>
      <c r="Z26" t="n">
        <v>47.3</v>
      </c>
      <c r="AA26" t="n">
        <v>57.41</v>
      </c>
    </row>
    <row r="27">
      <c r="A27" s="71" t="n">
        <v>41214</v>
      </c>
      <c r="B27" t="n">
        <v>49.6</v>
      </c>
      <c r="C27" t="n">
        <v>48.9</v>
      </c>
      <c r="D27" t="n">
        <v>52.8</v>
      </c>
      <c r="E27" t="n">
        <v>50.5</v>
      </c>
      <c r="F27" t="n">
        <v>46.2</v>
      </c>
      <c r="G27" t="n">
        <v>46.5</v>
      </c>
      <c r="H27" t="n">
        <v>46.8</v>
      </c>
      <c r="I27" t="n">
        <v>44.5</v>
      </c>
      <c r="J27" t="n">
        <v>48.4</v>
      </c>
      <c r="K27" t="n">
        <v>45.1</v>
      </c>
      <c r="L27" t="n">
        <v>45.3</v>
      </c>
      <c r="M27" t="n">
        <v>52.2</v>
      </c>
      <c r="N27" t="n">
        <v>55.6</v>
      </c>
      <c r="O27" t="n">
        <v>52.2</v>
      </c>
      <c r="P27" t="n">
        <v>53.7</v>
      </c>
      <c r="Q27" t="n">
        <v>50.4</v>
      </c>
      <c r="R27" t="n">
        <v>43.6</v>
      </c>
      <c r="S27" t="n">
        <v>51.9</v>
      </c>
      <c r="T27" t="n">
        <v>48.2</v>
      </c>
      <c r="U27" t="n">
        <v>47.8</v>
      </c>
      <c r="V27" t="n">
        <v>41.8</v>
      </c>
      <c r="W27" t="n">
        <v>52.4</v>
      </c>
      <c r="X27" t="n">
        <v>51.6</v>
      </c>
      <c r="Y27" t="n">
        <v>48.2</v>
      </c>
      <c r="Z27" t="n">
        <v>48.2</v>
      </c>
      <c r="AA27" t="n">
        <v>56.29</v>
      </c>
    </row>
    <row r="28">
      <c r="A28" s="71" t="n">
        <v>41244</v>
      </c>
      <c r="B28" t="n">
        <v>50</v>
      </c>
      <c r="C28" t="n">
        <v>49.8</v>
      </c>
      <c r="D28" t="n">
        <v>54</v>
      </c>
      <c r="E28" t="n">
        <v>51.5</v>
      </c>
      <c r="F28" t="n">
        <v>46.1</v>
      </c>
      <c r="G28" t="n">
        <v>45</v>
      </c>
      <c r="H28" t="n">
        <v>46</v>
      </c>
      <c r="I28" t="n">
        <v>44.6</v>
      </c>
      <c r="J28" t="n">
        <v>50.7</v>
      </c>
      <c r="K28" t="n">
        <v>46.7</v>
      </c>
      <c r="L28" t="n">
        <v>44.6</v>
      </c>
      <c r="M28" t="n">
        <v>51.1</v>
      </c>
      <c r="N28" t="n">
        <v>57.1</v>
      </c>
      <c r="O28" t="n">
        <v>50</v>
      </c>
      <c r="P28" t="n">
        <v>54.7</v>
      </c>
      <c r="Q28" t="n">
        <v>50.4</v>
      </c>
      <c r="R28" t="n">
        <v>44.3</v>
      </c>
      <c r="S28" t="n">
        <v>51.5</v>
      </c>
      <c r="T28" t="n">
        <v>50.1</v>
      </c>
      <c r="U28" t="n">
        <v>47.4</v>
      </c>
      <c r="V28" t="n">
        <v>41.4</v>
      </c>
      <c r="W28" t="n">
        <v>51.4</v>
      </c>
      <c r="X28" t="n">
        <v>53.1</v>
      </c>
      <c r="Y28" t="n">
        <v>46</v>
      </c>
      <c r="Z28" t="n">
        <v>48.3</v>
      </c>
      <c r="AA28" t="n">
        <v>57.62</v>
      </c>
    </row>
    <row r="29">
      <c r="A29" s="71" t="n">
        <v>41275</v>
      </c>
      <c r="B29" t="n">
        <v>51.5</v>
      </c>
      <c r="C29" t="n">
        <v>52</v>
      </c>
      <c r="D29" t="n">
        <v>55.8</v>
      </c>
      <c r="E29" t="n">
        <v>52.3</v>
      </c>
      <c r="F29" t="n">
        <v>47.9</v>
      </c>
      <c r="G29" t="n">
        <v>47.7</v>
      </c>
      <c r="H29" t="n">
        <v>49.8</v>
      </c>
      <c r="I29" t="n">
        <v>42.9</v>
      </c>
      <c r="J29" t="n">
        <v>50.9</v>
      </c>
      <c r="K29" t="n">
        <v>47.8</v>
      </c>
      <c r="L29" t="n">
        <v>46.1</v>
      </c>
      <c r="M29" t="n">
        <v>53.2</v>
      </c>
      <c r="N29" t="n">
        <v>55</v>
      </c>
      <c r="O29" t="n">
        <v>52</v>
      </c>
      <c r="P29" t="n">
        <v>53.2</v>
      </c>
      <c r="Q29" t="n">
        <v>50.5</v>
      </c>
      <c r="R29" t="n">
        <v>40.2</v>
      </c>
      <c r="S29" t="n">
        <v>49.7</v>
      </c>
      <c r="T29" t="n">
        <v>49.9</v>
      </c>
      <c r="U29" t="n">
        <v>51.5</v>
      </c>
      <c r="V29" t="n">
        <v>41.7</v>
      </c>
      <c r="W29" t="n">
        <v>50.3</v>
      </c>
      <c r="X29" t="n">
        <v>54</v>
      </c>
      <c r="Y29" t="n">
        <v>48.3</v>
      </c>
      <c r="Z29" t="n">
        <v>48.6</v>
      </c>
      <c r="AA29" t="n">
        <v>55.27</v>
      </c>
    </row>
    <row r="30">
      <c r="A30" s="71" t="n">
        <v>41306</v>
      </c>
      <c r="B30" t="n">
        <v>50.9</v>
      </c>
      <c r="C30" t="n">
        <v>53.6</v>
      </c>
      <c r="D30" t="n">
        <v>54.3</v>
      </c>
      <c r="E30" t="n">
        <v>50.4</v>
      </c>
      <c r="F30" t="n">
        <v>47.9</v>
      </c>
      <c r="G30" t="n">
        <v>48.5</v>
      </c>
      <c r="H30" t="n">
        <v>50.3</v>
      </c>
      <c r="I30" t="n">
        <v>43.9</v>
      </c>
      <c r="J30" t="n">
        <v>48.2</v>
      </c>
      <c r="K30" t="n">
        <v>45.8</v>
      </c>
      <c r="L30" t="n">
        <v>46.8</v>
      </c>
      <c r="M30" t="n">
        <v>52.5</v>
      </c>
      <c r="N30" t="n">
        <v>53.4</v>
      </c>
      <c r="O30" t="n">
        <v>52</v>
      </c>
      <c r="P30" t="n">
        <v>54.2</v>
      </c>
      <c r="Q30" t="n">
        <v>51.7</v>
      </c>
      <c r="R30" t="n">
        <v>45.6</v>
      </c>
      <c r="S30" t="n">
        <v>50.5</v>
      </c>
      <c r="T30" t="n">
        <v>50.9</v>
      </c>
      <c r="U30" t="n">
        <v>51.5</v>
      </c>
      <c r="V30" t="n">
        <v>43</v>
      </c>
      <c r="W30" t="n">
        <v>51.5</v>
      </c>
      <c r="X30" t="n">
        <v>53.5</v>
      </c>
      <c r="Y30" t="n">
        <v>49.9</v>
      </c>
      <c r="Z30" t="n">
        <v>48.9</v>
      </c>
      <c r="AA30" t="n">
        <v>61.23</v>
      </c>
    </row>
    <row r="31">
      <c r="A31" s="71" t="n">
        <v>41334</v>
      </c>
      <c r="B31" t="n">
        <v>51.2</v>
      </c>
      <c r="C31" t="n">
        <v>52</v>
      </c>
      <c r="D31" t="n">
        <v>54.6</v>
      </c>
      <c r="E31" t="n">
        <v>51.6</v>
      </c>
      <c r="F31" t="n">
        <v>46.8</v>
      </c>
      <c r="G31" t="n">
        <v>50.4</v>
      </c>
      <c r="H31" t="n">
        <v>49</v>
      </c>
      <c r="I31" t="n">
        <v>44</v>
      </c>
      <c r="J31" t="n">
        <v>49.3</v>
      </c>
      <c r="K31" t="n">
        <v>44.5</v>
      </c>
      <c r="L31" t="n">
        <v>44.2</v>
      </c>
      <c r="M31" t="n">
        <v>51.8</v>
      </c>
      <c r="N31" t="n">
        <v>52.2</v>
      </c>
      <c r="O31" t="n">
        <v>50.8</v>
      </c>
      <c r="P31" t="n">
        <v>52</v>
      </c>
      <c r="Q31" t="n">
        <v>49.3</v>
      </c>
      <c r="R31" t="n">
        <v>44.4</v>
      </c>
      <c r="S31" t="n">
        <v>51.3</v>
      </c>
      <c r="T31" t="n">
        <v>52</v>
      </c>
      <c r="U31" t="n">
        <v>50.2</v>
      </c>
      <c r="V31" t="n">
        <v>42.1</v>
      </c>
      <c r="W31" t="n">
        <v>48.6</v>
      </c>
      <c r="X31" t="n">
        <v>52.3</v>
      </c>
      <c r="Y31" t="n">
        <v>49.1</v>
      </c>
      <c r="Z31" t="n">
        <v>48</v>
      </c>
      <c r="AA31" t="n">
        <v>49.81</v>
      </c>
    </row>
    <row r="32">
      <c r="A32" s="71" t="n">
        <v>41365</v>
      </c>
      <c r="B32" t="n">
        <v>50.4</v>
      </c>
      <c r="C32" t="n">
        <v>49.7</v>
      </c>
      <c r="D32" t="n">
        <v>52.1</v>
      </c>
      <c r="E32" t="n">
        <v>50.4</v>
      </c>
      <c r="F32" t="n">
        <v>46.7</v>
      </c>
      <c r="G32" t="n">
        <v>51.1</v>
      </c>
      <c r="H32" t="n">
        <v>48.1</v>
      </c>
      <c r="I32" t="n">
        <v>44.4</v>
      </c>
      <c r="J32" t="n">
        <v>50.6</v>
      </c>
      <c r="K32" t="n">
        <v>45.5</v>
      </c>
      <c r="L32" t="n">
        <v>44.7</v>
      </c>
      <c r="M32" t="n">
        <v>50.8</v>
      </c>
      <c r="N32" t="n">
        <v>51.7</v>
      </c>
      <c r="O32" t="n">
        <v>50.6</v>
      </c>
      <c r="P32" t="n">
        <v>51</v>
      </c>
      <c r="Q32" t="n">
        <v>50.1</v>
      </c>
      <c r="R32" t="n">
        <v>36.7</v>
      </c>
      <c r="S32" t="n">
        <v>51.7</v>
      </c>
      <c r="T32" t="n">
        <v>52.6</v>
      </c>
      <c r="U32" t="n">
        <v>51.2</v>
      </c>
      <c r="V32" t="n">
        <v>45</v>
      </c>
      <c r="W32" t="n">
        <v>48</v>
      </c>
      <c r="X32" t="n">
        <v>51.3</v>
      </c>
      <c r="Y32" t="n">
        <v>49.5</v>
      </c>
      <c r="Z32" t="n">
        <v>48</v>
      </c>
      <c r="AA32" t="n">
        <v>49.29</v>
      </c>
    </row>
    <row r="33">
      <c r="A33" s="71" t="n">
        <v>41395</v>
      </c>
      <c r="B33" t="n">
        <v>50.6</v>
      </c>
      <c r="C33" t="n">
        <v>50.5</v>
      </c>
      <c r="D33" t="n">
        <v>52.3</v>
      </c>
      <c r="E33" t="n">
        <v>49.2</v>
      </c>
      <c r="F33" t="n">
        <v>48.3</v>
      </c>
      <c r="G33" t="n">
        <v>51.5</v>
      </c>
      <c r="H33" t="n">
        <v>49.4</v>
      </c>
      <c r="I33" t="n">
        <v>46.4</v>
      </c>
      <c r="J33" t="n">
        <v>52.1</v>
      </c>
      <c r="K33" t="n">
        <v>47.3</v>
      </c>
      <c r="L33" t="n">
        <v>48.1</v>
      </c>
      <c r="M33" t="n">
        <v>50.4</v>
      </c>
      <c r="N33" t="n">
        <v>51.8</v>
      </c>
      <c r="O33" t="n">
        <v>50.4</v>
      </c>
      <c r="P33" t="n">
        <v>50.1</v>
      </c>
      <c r="Q33" t="n">
        <v>53.2</v>
      </c>
      <c r="R33" t="n">
        <v>43.8</v>
      </c>
      <c r="S33" t="n">
        <v>51.6</v>
      </c>
      <c r="T33" t="n">
        <v>51.1</v>
      </c>
      <c r="U33" t="n">
        <v>50.7</v>
      </c>
      <c r="V33" t="n">
        <v>45.3</v>
      </c>
      <c r="W33" t="n">
        <v>49.7</v>
      </c>
      <c r="X33" t="n">
        <v>51.1</v>
      </c>
      <c r="Y33" t="n">
        <v>50.1</v>
      </c>
      <c r="Z33" t="n">
        <v>46.9</v>
      </c>
      <c r="AA33" t="n">
        <v>54.75</v>
      </c>
    </row>
    <row r="34">
      <c r="A34" s="71" t="n">
        <v>41426</v>
      </c>
      <c r="B34" t="n">
        <v>50.6</v>
      </c>
      <c r="C34" t="n">
        <v>51.5</v>
      </c>
      <c r="D34" t="n">
        <v>51.9</v>
      </c>
      <c r="E34" t="n">
        <v>48.2</v>
      </c>
      <c r="F34" t="n">
        <v>48.8</v>
      </c>
      <c r="G34" t="n">
        <v>52.3</v>
      </c>
      <c r="H34" t="n">
        <v>48.6</v>
      </c>
      <c r="I34" t="n">
        <v>48.4</v>
      </c>
      <c r="J34" t="n">
        <v>53</v>
      </c>
      <c r="K34" t="n">
        <v>49.1</v>
      </c>
      <c r="L34" t="n">
        <v>50</v>
      </c>
      <c r="M34" t="n">
        <v>50.4</v>
      </c>
      <c r="N34" t="n">
        <v>51.3</v>
      </c>
      <c r="O34" t="n">
        <v>51.7</v>
      </c>
      <c r="P34" t="n">
        <v>50.3</v>
      </c>
      <c r="Q34" t="n">
        <v>52.4</v>
      </c>
      <c r="R34" t="n">
        <v>49.6</v>
      </c>
      <c r="S34" t="n">
        <v>51</v>
      </c>
      <c r="T34" t="n">
        <v>49.4</v>
      </c>
      <c r="U34" t="n">
        <v>47.1</v>
      </c>
      <c r="V34" t="n">
        <v>45.4</v>
      </c>
      <c r="W34" t="n">
        <v>50.3</v>
      </c>
      <c r="X34" t="n">
        <v>51.2</v>
      </c>
      <c r="Y34" t="n">
        <v>51</v>
      </c>
      <c r="Z34" t="n">
        <v>48</v>
      </c>
      <c r="AA34" t="n">
        <v>57.73</v>
      </c>
    </row>
    <row r="35">
      <c r="A35" s="71" t="n">
        <v>41456</v>
      </c>
      <c r="B35" t="n">
        <v>50.8</v>
      </c>
      <c r="C35" t="n">
        <v>53.5</v>
      </c>
      <c r="D35" t="n">
        <v>53.7</v>
      </c>
      <c r="E35" t="n">
        <v>47.7</v>
      </c>
      <c r="F35" t="n">
        <v>50.3</v>
      </c>
      <c r="G35" t="n">
        <v>50.7</v>
      </c>
      <c r="H35" t="n">
        <v>50.7</v>
      </c>
      <c r="I35" t="n">
        <v>49.7</v>
      </c>
      <c r="J35" t="n">
        <v>54.7</v>
      </c>
      <c r="K35" t="n">
        <v>50.4</v>
      </c>
      <c r="L35" t="n">
        <v>49.8</v>
      </c>
      <c r="M35" t="n">
        <v>48.5</v>
      </c>
      <c r="N35" t="n">
        <v>49.7</v>
      </c>
      <c r="O35" t="n">
        <v>49.2</v>
      </c>
      <c r="P35" t="n">
        <v>50.1</v>
      </c>
      <c r="Q35" t="n">
        <v>52</v>
      </c>
      <c r="R35" t="n">
        <v>42</v>
      </c>
      <c r="S35" t="n">
        <v>50.7</v>
      </c>
      <c r="T35" t="n">
        <v>47.2</v>
      </c>
      <c r="U35" t="n">
        <v>49.5</v>
      </c>
      <c r="V35" t="n">
        <v>47</v>
      </c>
      <c r="W35" t="n">
        <v>51</v>
      </c>
      <c r="X35" t="n">
        <v>49.8</v>
      </c>
      <c r="Y35" t="n">
        <v>52</v>
      </c>
      <c r="Z35" t="n">
        <v>49.3</v>
      </c>
      <c r="AA35" t="n">
        <v>59.18</v>
      </c>
    </row>
    <row r="36">
      <c r="A36" s="71" t="n">
        <v>41487</v>
      </c>
      <c r="B36" t="n">
        <v>51.6</v>
      </c>
      <c r="C36" t="n">
        <v>55.9</v>
      </c>
      <c r="D36" t="n">
        <v>53.7</v>
      </c>
      <c r="E36" t="n">
        <v>50.1</v>
      </c>
      <c r="F36" t="n">
        <v>51.4</v>
      </c>
      <c r="G36" t="n">
        <v>52.2</v>
      </c>
      <c r="H36" t="n">
        <v>51.8</v>
      </c>
      <c r="I36" t="n">
        <v>49.7</v>
      </c>
      <c r="J36" t="n">
        <v>57.3</v>
      </c>
      <c r="K36" t="n">
        <v>51.3</v>
      </c>
      <c r="L36" t="n">
        <v>51.1</v>
      </c>
      <c r="M36" t="n">
        <v>49.4</v>
      </c>
      <c r="N36" t="n">
        <v>50.8</v>
      </c>
      <c r="O36" t="n">
        <v>49.4</v>
      </c>
      <c r="P36" t="n">
        <v>48.5</v>
      </c>
      <c r="Q36" t="n">
        <v>52.1</v>
      </c>
      <c r="R36" t="n">
        <v>46.4</v>
      </c>
      <c r="S36" t="n">
        <v>48.5</v>
      </c>
      <c r="T36" t="n">
        <v>47.5</v>
      </c>
      <c r="U36" t="n">
        <v>48.6</v>
      </c>
      <c r="V36" t="n">
        <v>48.7</v>
      </c>
      <c r="W36" t="n">
        <v>52</v>
      </c>
      <c r="X36" t="n">
        <v>50.9</v>
      </c>
      <c r="Y36" t="n">
        <v>53.9</v>
      </c>
      <c r="Z36" t="n">
        <v>51.1</v>
      </c>
      <c r="AA36" t="n">
        <v>60.29</v>
      </c>
    </row>
    <row r="37">
      <c r="A37" s="71" t="n">
        <v>41518</v>
      </c>
      <c r="B37" t="n">
        <v>51.8</v>
      </c>
      <c r="C37" t="n">
        <v>54.8</v>
      </c>
      <c r="D37" t="n">
        <v>52.8</v>
      </c>
      <c r="E37" t="n">
        <v>50.2</v>
      </c>
      <c r="F37" t="n">
        <v>51.1</v>
      </c>
      <c r="G37" t="n">
        <v>52.5</v>
      </c>
      <c r="H37" t="n">
        <v>51.1</v>
      </c>
      <c r="I37" t="n">
        <v>49.8</v>
      </c>
      <c r="J37" t="n">
        <v>56.7</v>
      </c>
      <c r="K37" t="n">
        <v>50.8</v>
      </c>
      <c r="L37" t="n">
        <v>50.7</v>
      </c>
      <c r="M37" t="n">
        <v>49.9</v>
      </c>
      <c r="N37" t="n">
        <v>50</v>
      </c>
      <c r="O37" t="n">
        <v>49.4</v>
      </c>
      <c r="P37" t="n">
        <v>49.6</v>
      </c>
      <c r="Q37" t="n">
        <v>54.2</v>
      </c>
      <c r="R37" t="n">
        <v>51.7</v>
      </c>
      <c r="S37" t="n">
        <v>50.2</v>
      </c>
      <c r="T37" t="n">
        <v>49.7</v>
      </c>
      <c r="U37" t="n">
        <v>50</v>
      </c>
      <c r="V37" t="n">
        <v>47.5</v>
      </c>
      <c r="W37" t="n">
        <v>52.7</v>
      </c>
      <c r="X37" t="n">
        <v>54</v>
      </c>
      <c r="Y37" t="n">
        <v>53.4</v>
      </c>
      <c r="Z37" t="n">
        <v>52.6</v>
      </c>
      <c r="AA37" t="n">
        <v>55.74</v>
      </c>
    </row>
    <row r="38">
      <c r="A38" s="71" t="n">
        <v>41548</v>
      </c>
      <c r="B38" t="n">
        <v>52.1</v>
      </c>
      <c r="C38" t="n">
        <v>55.3</v>
      </c>
      <c r="D38" t="n">
        <v>51.8</v>
      </c>
      <c r="E38" t="n">
        <v>50.9</v>
      </c>
      <c r="F38" t="n">
        <v>51.3</v>
      </c>
      <c r="G38" t="n">
        <v>54.2</v>
      </c>
      <c r="H38" t="n">
        <v>51.7</v>
      </c>
      <c r="I38" t="n">
        <v>49.1</v>
      </c>
      <c r="J38" t="n">
        <v>56.5</v>
      </c>
      <c r="K38" t="n">
        <v>50.7</v>
      </c>
      <c r="L38" t="n">
        <v>50.9</v>
      </c>
      <c r="M38" t="n">
        <v>50.2</v>
      </c>
      <c r="N38" t="n">
        <v>50.2</v>
      </c>
      <c r="O38" t="n">
        <v>51.8</v>
      </c>
      <c r="P38" t="n">
        <v>49.6</v>
      </c>
      <c r="Q38" t="n">
        <v>55.6</v>
      </c>
      <c r="R38" t="n">
        <v>53.2</v>
      </c>
      <c r="S38" t="n">
        <v>50.9</v>
      </c>
      <c r="T38" t="n">
        <v>50.2</v>
      </c>
      <c r="U38" t="n">
        <v>52</v>
      </c>
      <c r="V38" t="n">
        <v>47.3</v>
      </c>
      <c r="W38" t="n">
        <v>54.9</v>
      </c>
      <c r="X38" t="n">
        <v>53.3</v>
      </c>
      <c r="Y38" t="n">
        <v>54.5</v>
      </c>
      <c r="Z38" t="n">
        <v>53.4</v>
      </c>
      <c r="AA38" t="n">
        <v>55.71</v>
      </c>
    </row>
    <row r="39">
      <c r="A39" s="71" t="n">
        <v>41579</v>
      </c>
      <c r="B39" t="n">
        <v>53.1</v>
      </c>
      <c r="C39" t="n">
        <v>56.3</v>
      </c>
      <c r="D39" t="n">
        <v>54.7</v>
      </c>
      <c r="E39" t="n">
        <v>50.8</v>
      </c>
      <c r="F39" t="n">
        <v>51.6</v>
      </c>
      <c r="G39" t="n">
        <v>55.1</v>
      </c>
      <c r="H39" t="n">
        <v>52.7</v>
      </c>
      <c r="I39" t="n">
        <v>48.4</v>
      </c>
      <c r="J39" t="n">
        <v>58.1</v>
      </c>
      <c r="K39" t="n">
        <v>51.4</v>
      </c>
      <c r="L39" t="n">
        <v>48.6</v>
      </c>
      <c r="M39" t="n">
        <v>49.7</v>
      </c>
      <c r="N39" t="n">
        <v>51.9</v>
      </c>
      <c r="O39" t="n">
        <v>49.4</v>
      </c>
      <c r="P39" t="n">
        <v>51.3</v>
      </c>
      <c r="Q39" t="n">
        <v>55.3</v>
      </c>
      <c r="R39" t="n">
        <v>47.7</v>
      </c>
      <c r="S39" t="n">
        <v>50.3</v>
      </c>
      <c r="T39" t="n">
        <v>50.4</v>
      </c>
      <c r="U39" t="n">
        <v>53</v>
      </c>
      <c r="V39" t="n">
        <v>49.2</v>
      </c>
      <c r="W39" t="n">
        <v>52.4</v>
      </c>
      <c r="X39" t="n">
        <v>55</v>
      </c>
      <c r="Y39" t="n">
        <v>55.4</v>
      </c>
      <c r="Z39" t="n">
        <v>54.4</v>
      </c>
      <c r="AA39" t="n">
        <v>57.85</v>
      </c>
    </row>
    <row r="40">
      <c r="A40" s="71" t="n">
        <v>41609</v>
      </c>
      <c r="B40" t="n">
        <v>53.3</v>
      </c>
      <c r="C40" t="n">
        <v>55.9</v>
      </c>
      <c r="D40" t="n">
        <v>55</v>
      </c>
      <c r="E40" t="n">
        <v>50.5</v>
      </c>
      <c r="F40" t="n">
        <v>52.7</v>
      </c>
      <c r="G40" t="n">
        <v>55.2</v>
      </c>
      <c r="H40" t="n">
        <v>54.3</v>
      </c>
      <c r="I40" t="n">
        <v>47</v>
      </c>
      <c r="J40" t="n">
        <v>57.3</v>
      </c>
      <c r="K40" t="n">
        <v>53.3</v>
      </c>
      <c r="L40" t="n">
        <v>50.8</v>
      </c>
      <c r="M40" t="n">
        <v>50.5</v>
      </c>
      <c r="N40" t="n">
        <v>52.6</v>
      </c>
      <c r="O40" t="n">
        <v>48.8</v>
      </c>
      <c r="P40" t="n">
        <v>50.7</v>
      </c>
      <c r="Q40" t="n">
        <v>53.5</v>
      </c>
      <c r="R40" t="n">
        <v>47.6</v>
      </c>
      <c r="S40" t="n">
        <v>50.9</v>
      </c>
      <c r="T40" t="n">
        <v>50.8</v>
      </c>
      <c r="U40" t="n">
        <v>53.4</v>
      </c>
      <c r="V40" t="n">
        <v>49.6</v>
      </c>
      <c r="W40" t="n">
        <v>53.5</v>
      </c>
      <c r="X40" t="n">
        <v>53.5</v>
      </c>
      <c r="Y40" t="n">
        <v>54.9</v>
      </c>
      <c r="Z40" t="n">
        <v>53.2</v>
      </c>
      <c r="AA40" t="n">
        <v>53.45</v>
      </c>
    </row>
    <row r="41">
      <c r="A41" s="71" t="n">
        <v>41640</v>
      </c>
      <c r="B41" t="n">
        <v>52.9</v>
      </c>
      <c r="C41" t="n">
        <v>51.7</v>
      </c>
      <c r="D41" t="n">
        <v>53.7</v>
      </c>
      <c r="E41" t="n">
        <v>49.5</v>
      </c>
      <c r="F41" t="n">
        <v>54</v>
      </c>
      <c r="G41" t="n">
        <v>56.6</v>
      </c>
      <c r="H41" t="n">
        <v>56.6</v>
      </c>
      <c r="I41" t="n">
        <v>49.3</v>
      </c>
      <c r="J41" t="n">
        <v>56.7</v>
      </c>
      <c r="K41" t="n">
        <v>53.1</v>
      </c>
      <c r="L41" t="n">
        <v>52.2</v>
      </c>
      <c r="M41" t="n">
        <v>51.7</v>
      </c>
      <c r="N41" t="n">
        <v>54</v>
      </c>
      <c r="O41" t="n">
        <v>48</v>
      </c>
      <c r="P41" t="n">
        <v>51.4</v>
      </c>
      <c r="Q41" t="n">
        <v>51.7</v>
      </c>
      <c r="R41" t="n">
        <v>46.7</v>
      </c>
      <c r="S41" t="n">
        <v>51</v>
      </c>
      <c r="T41" t="n">
        <v>50.9</v>
      </c>
      <c r="U41" t="n">
        <v>55.5</v>
      </c>
      <c r="V41" t="n">
        <v>51.2</v>
      </c>
      <c r="W41" t="n">
        <v>52.8</v>
      </c>
      <c r="X41" t="n">
        <v>52.7</v>
      </c>
      <c r="Y41" t="n">
        <v>55.9</v>
      </c>
      <c r="Z41" t="n">
        <v>55.4</v>
      </c>
      <c r="AA41" t="n">
        <v>55.6</v>
      </c>
    </row>
    <row r="42">
      <c r="A42" s="71" t="n">
        <v>41671</v>
      </c>
      <c r="B42" t="n">
        <v>53.3</v>
      </c>
      <c r="C42" t="n">
        <v>54.6</v>
      </c>
      <c r="D42" t="n">
        <v>57.1</v>
      </c>
      <c r="E42" t="n">
        <v>48.5</v>
      </c>
      <c r="F42" t="n">
        <v>53.2</v>
      </c>
      <c r="G42" t="n">
        <v>55.5</v>
      </c>
      <c r="H42" t="n">
        <v>54.8</v>
      </c>
      <c r="I42" t="n">
        <v>49.7</v>
      </c>
      <c r="J42" t="n">
        <v>56.9</v>
      </c>
      <c r="K42" t="n">
        <v>52.3</v>
      </c>
      <c r="L42" t="n">
        <v>52.5</v>
      </c>
      <c r="M42" t="n">
        <v>50.4</v>
      </c>
      <c r="N42" t="n">
        <v>52</v>
      </c>
      <c r="O42" t="n">
        <v>48.5</v>
      </c>
      <c r="P42" t="n">
        <v>52.5</v>
      </c>
      <c r="Q42" t="n">
        <v>52.9</v>
      </c>
      <c r="R42" t="n">
        <v>48.6</v>
      </c>
      <c r="S42" t="n">
        <v>50.5</v>
      </c>
      <c r="T42" t="n">
        <v>49.8</v>
      </c>
      <c r="U42" t="n">
        <v>54.7</v>
      </c>
      <c r="V42" t="n">
        <v>51.3</v>
      </c>
      <c r="W42" t="n">
        <v>52.9</v>
      </c>
      <c r="X42" t="n">
        <v>53.4</v>
      </c>
      <c r="Y42" t="n">
        <v>56.5</v>
      </c>
      <c r="Z42" t="n">
        <v>55.9</v>
      </c>
      <c r="AA42" t="n">
        <v>56.77</v>
      </c>
    </row>
    <row r="43">
      <c r="A43" s="71" t="n">
        <v>41699</v>
      </c>
      <c r="B43" t="n">
        <v>52.4</v>
      </c>
      <c r="C43" t="n">
        <v>55.3</v>
      </c>
      <c r="D43" t="n">
        <v>55.5</v>
      </c>
      <c r="E43" t="n">
        <v>48</v>
      </c>
      <c r="F43" t="n">
        <v>53</v>
      </c>
      <c r="G43" t="n">
        <v>53.9</v>
      </c>
      <c r="H43" t="n">
        <v>53.7</v>
      </c>
      <c r="I43" t="n">
        <v>52.1</v>
      </c>
      <c r="J43" t="n">
        <v>55.3</v>
      </c>
      <c r="K43" t="n">
        <v>52.4</v>
      </c>
      <c r="L43" t="n">
        <v>52.8</v>
      </c>
      <c r="M43" t="n">
        <v>50.6</v>
      </c>
      <c r="N43" t="n">
        <v>51.7</v>
      </c>
      <c r="O43" t="n">
        <v>48.3</v>
      </c>
      <c r="P43" t="n">
        <v>51.3</v>
      </c>
      <c r="Q43" t="n">
        <v>53.3</v>
      </c>
      <c r="R43" t="n">
        <v>49.7</v>
      </c>
      <c r="S43" t="n">
        <v>50.1</v>
      </c>
      <c r="T43" t="n">
        <v>50.4</v>
      </c>
      <c r="U43" t="n">
        <v>52.7</v>
      </c>
      <c r="V43" t="n">
        <v>49.7</v>
      </c>
      <c r="W43" t="n">
        <v>55.5</v>
      </c>
      <c r="X43" t="n">
        <v>51.7</v>
      </c>
      <c r="Y43" t="n">
        <v>55.5</v>
      </c>
      <c r="Z43" t="n">
        <v>54</v>
      </c>
      <c r="AA43" t="n">
        <v>60.3</v>
      </c>
    </row>
    <row r="44">
      <c r="A44" s="71" t="n">
        <v>41730</v>
      </c>
      <c r="B44" t="n">
        <v>51.9</v>
      </c>
      <c r="C44" t="n">
        <v>55.7</v>
      </c>
      <c r="D44" t="n">
        <v>55.4</v>
      </c>
      <c r="E44" t="n">
        <v>48.1</v>
      </c>
      <c r="F44" t="n">
        <v>54</v>
      </c>
      <c r="G44" t="n">
        <v>49.4</v>
      </c>
      <c r="H44" t="n">
        <v>54.1</v>
      </c>
      <c r="I44" t="n">
        <v>51.2</v>
      </c>
      <c r="J44" t="n">
        <v>57.3</v>
      </c>
      <c r="K44" t="n">
        <v>54</v>
      </c>
      <c r="L44" t="n">
        <v>52.7</v>
      </c>
      <c r="M44" t="n">
        <v>49.3</v>
      </c>
      <c r="N44" t="n">
        <v>51.8</v>
      </c>
      <c r="O44" t="n">
        <v>48.5</v>
      </c>
      <c r="P44" t="n">
        <v>51.3</v>
      </c>
      <c r="Q44" t="n">
        <v>52.9</v>
      </c>
      <c r="R44" t="n">
        <v>44.8</v>
      </c>
      <c r="S44" t="n">
        <v>51.1</v>
      </c>
      <c r="T44" t="n">
        <v>50.2</v>
      </c>
      <c r="U44" t="n">
        <v>52.3</v>
      </c>
      <c r="V44" t="n">
        <v>51.1</v>
      </c>
      <c r="W44" t="n">
        <v>56.1</v>
      </c>
      <c r="X44" t="n">
        <v>51.1</v>
      </c>
      <c r="Y44" t="n">
        <v>56.5</v>
      </c>
      <c r="Z44" t="n">
        <v>51.1</v>
      </c>
      <c r="AA44" t="n">
        <v>60.5</v>
      </c>
    </row>
    <row r="45">
      <c r="A45" s="71" t="n">
        <v>41760</v>
      </c>
      <c r="B45" t="n">
        <v>52.2</v>
      </c>
      <c r="C45" t="n">
        <v>55.8</v>
      </c>
      <c r="D45" t="n">
        <v>56.4</v>
      </c>
      <c r="E45" t="n">
        <v>49.4</v>
      </c>
      <c r="F45" t="n">
        <v>52.2</v>
      </c>
      <c r="G45" t="n">
        <v>49.9</v>
      </c>
      <c r="H45" t="n">
        <v>52.3</v>
      </c>
      <c r="I45" t="n">
        <v>49.6</v>
      </c>
      <c r="J45" t="n">
        <v>57</v>
      </c>
      <c r="K45" t="n">
        <v>53.2</v>
      </c>
      <c r="L45" t="n">
        <v>52.9</v>
      </c>
      <c r="M45" t="n">
        <v>48.8</v>
      </c>
      <c r="N45" t="n">
        <v>51.9</v>
      </c>
      <c r="O45" t="n">
        <v>48.9</v>
      </c>
      <c r="P45" t="n">
        <v>51.4</v>
      </c>
      <c r="Q45" t="n">
        <v>52.2</v>
      </c>
      <c r="R45" t="n">
        <v>49.2</v>
      </c>
      <c r="S45" t="n">
        <v>52.4</v>
      </c>
      <c r="T45" t="n">
        <v>49.5</v>
      </c>
      <c r="U45" t="n">
        <v>52.4</v>
      </c>
      <c r="V45" t="n">
        <v>51</v>
      </c>
      <c r="W45" t="n">
        <v>55</v>
      </c>
      <c r="X45" t="n">
        <v>50.1</v>
      </c>
      <c r="Y45" t="n">
        <v>57.3</v>
      </c>
      <c r="Z45" t="n">
        <v>50.8</v>
      </c>
      <c r="AA45" t="n">
        <v>58.71</v>
      </c>
    </row>
    <row r="46">
      <c r="A46" s="71" t="n">
        <v>41791</v>
      </c>
      <c r="B46" t="n">
        <v>52.6</v>
      </c>
      <c r="C46" t="n">
        <v>54.9</v>
      </c>
      <c r="D46" t="n">
        <v>57.3</v>
      </c>
      <c r="E46" t="n">
        <v>50.7</v>
      </c>
      <c r="F46" t="n">
        <v>51.8</v>
      </c>
      <c r="G46" t="n">
        <v>51.5</v>
      </c>
      <c r="H46" t="n">
        <v>52</v>
      </c>
      <c r="I46" t="n">
        <v>48.2</v>
      </c>
      <c r="J46" t="n">
        <v>57.5</v>
      </c>
      <c r="K46" t="n">
        <v>52.6</v>
      </c>
      <c r="L46" t="n">
        <v>54.6</v>
      </c>
      <c r="M46" t="n">
        <v>48.7</v>
      </c>
      <c r="N46" t="n">
        <v>51.8</v>
      </c>
      <c r="O46" t="n">
        <v>49.1</v>
      </c>
      <c r="P46" t="n">
        <v>51.5</v>
      </c>
      <c r="Q46" t="n">
        <v>53.5</v>
      </c>
      <c r="R46" t="n">
        <v>48.9</v>
      </c>
      <c r="S46" t="n">
        <v>52.7</v>
      </c>
      <c r="T46" t="n">
        <v>48.4</v>
      </c>
      <c r="U46" t="n">
        <v>54</v>
      </c>
      <c r="V46" t="n">
        <v>49.4</v>
      </c>
      <c r="W46" t="n">
        <v>55.3</v>
      </c>
      <c r="X46" t="n">
        <v>48.8</v>
      </c>
      <c r="Y46" t="n">
        <v>54.7</v>
      </c>
      <c r="Z46" t="n">
        <v>50.3</v>
      </c>
      <c r="AA46" t="n">
        <v>51.76</v>
      </c>
    </row>
    <row r="47">
      <c r="A47" s="71" t="n">
        <v>41821</v>
      </c>
      <c r="B47" t="n">
        <v>52.5</v>
      </c>
      <c r="C47" t="n">
        <v>55.3</v>
      </c>
      <c r="D47" t="n">
        <v>55.8</v>
      </c>
      <c r="E47" t="n">
        <v>51.7</v>
      </c>
      <c r="F47" t="n">
        <v>51.8</v>
      </c>
      <c r="G47" t="n">
        <v>50.5</v>
      </c>
      <c r="H47" t="n">
        <v>52.4</v>
      </c>
      <c r="I47" t="n">
        <v>47.8</v>
      </c>
      <c r="J47" t="n">
        <v>55.4</v>
      </c>
      <c r="K47" t="n">
        <v>51.9</v>
      </c>
      <c r="L47" t="n">
        <v>53.9</v>
      </c>
      <c r="M47" t="n">
        <v>49.1</v>
      </c>
      <c r="N47" t="n">
        <v>51.5</v>
      </c>
      <c r="O47" t="n">
        <v>51</v>
      </c>
      <c r="P47" t="n">
        <v>53</v>
      </c>
      <c r="Q47" t="n">
        <v>54.3</v>
      </c>
      <c r="R47" t="n">
        <v>50.7</v>
      </c>
      <c r="S47" t="n">
        <v>52.4</v>
      </c>
      <c r="T47" t="n">
        <v>48.5066666666667</v>
      </c>
      <c r="U47" t="n">
        <v>55.8</v>
      </c>
      <c r="V47" t="n">
        <v>48.7</v>
      </c>
      <c r="W47" t="n">
        <v>55.4</v>
      </c>
      <c r="X47" t="n">
        <v>48.5</v>
      </c>
      <c r="Y47" t="n">
        <v>56.4638888888889</v>
      </c>
      <c r="Z47" t="n">
        <v>49.4</v>
      </c>
      <c r="AA47" t="n">
        <v>49.75</v>
      </c>
    </row>
    <row r="48">
      <c r="A48" s="71" t="n">
        <v>41852</v>
      </c>
      <c r="B48" t="n">
        <v>52.6</v>
      </c>
      <c r="C48" t="n">
        <v>58.2</v>
      </c>
      <c r="D48" t="n">
        <v>57.9</v>
      </c>
      <c r="E48" t="n">
        <v>50.2</v>
      </c>
      <c r="F48" t="n">
        <v>50.7</v>
      </c>
      <c r="G48" t="n">
        <v>52.2</v>
      </c>
      <c r="H48" t="n">
        <v>51.4</v>
      </c>
      <c r="I48" t="n">
        <v>46.9</v>
      </c>
      <c r="J48" t="n">
        <v>52.5</v>
      </c>
      <c r="K48" t="n">
        <v>49.8</v>
      </c>
      <c r="L48" t="n">
        <v>52.8</v>
      </c>
      <c r="M48" t="n">
        <v>50.2</v>
      </c>
      <c r="N48" t="n">
        <v>52.1</v>
      </c>
      <c r="O48" t="n">
        <v>51</v>
      </c>
      <c r="P48" t="n">
        <v>52.4</v>
      </c>
      <c r="Q48" t="n">
        <v>54.8</v>
      </c>
      <c r="R48" t="n">
        <v>47.3</v>
      </c>
      <c r="S48" t="n">
        <v>49.5</v>
      </c>
      <c r="T48" t="n">
        <v>50.3</v>
      </c>
      <c r="U48" t="n">
        <v>56.1</v>
      </c>
      <c r="V48" t="n">
        <v>50.1</v>
      </c>
      <c r="W48" t="n">
        <v>57.3</v>
      </c>
      <c r="X48" t="n">
        <v>50</v>
      </c>
      <c r="Y48" t="n">
        <v>54.3</v>
      </c>
      <c r="Z48" t="n">
        <v>49</v>
      </c>
      <c r="AA48" t="n">
        <v>48.13</v>
      </c>
    </row>
    <row r="49">
      <c r="A49" s="71" t="n">
        <v>41883</v>
      </c>
      <c r="B49" t="n">
        <v>52.2</v>
      </c>
      <c r="C49" t="n">
        <v>55.5</v>
      </c>
      <c r="D49" t="n">
        <v>57.5</v>
      </c>
      <c r="E49" t="n">
        <v>51.1</v>
      </c>
      <c r="F49" t="n">
        <v>50.3</v>
      </c>
      <c r="G49" t="n">
        <v>51.7</v>
      </c>
      <c r="H49" t="n">
        <v>49.9</v>
      </c>
      <c r="I49" t="n">
        <v>48.8</v>
      </c>
      <c r="J49" t="n">
        <v>51.6</v>
      </c>
      <c r="K49" t="n">
        <v>50.7</v>
      </c>
      <c r="L49" t="n">
        <v>52.6</v>
      </c>
      <c r="M49" t="n">
        <v>49.3</v>
      </c>
      <c r="N49" t="n">
        <v>52.6</v>
      </c>
      <c r="O49" t="n">
        <v>50.4</v>
      </c>
      <c r="P49" t="n">
        <v>51</v>
      </c>
      <c r="Q49" t="n">
        <v>53.5</v>
      </c>
      <c r="R49" t="n">
        <v>46.5</v>
      </c>
      <c r="S49" t="n">
        <v>50.7</v>
      </c>
      <c r="T49" t="n">
        <v>48.8</v>
      </c>
      <c r="U49" t="n">
        <v>53.3</v>
      </c>
      <c r="V49" t="n">
        <v>48.4</v>
      </c>
      <c r="W49" t="n">
        <v>55.7</v>
      </c>
      <c r="X49" t="n">
        <v>50.4</v>
      </c>
      <c r="Y49" t="n">
        <v>55.6</v>
      </c>
      <c r="Z49" t="n">
        <v>49.5</v>
      </c>
      <c r="AA49" t="n">
        <v>51.33</v>
      </c>
    </row>
    <row r="50">
      <c r="A50" s="71" t="n">
        <v>41913</v>
      </c>
      <c r="B50" t="n">
        <v>52.2</v>
      </c>
      <c r="C50" t="n">
        <v>56.8</v>
      </c>
      <c r="D50" t="n">
        <v>55.9</v>
      </c>
      <c r="E50" t="n">
        <v>50.8</v>
      </c>
      <c r="F50" t="n">
        <v>50.6</v>
      </c>
      <c r="G50" t="n">
        <v>52.4</v>
      </c>
      <c r="H50" t="n">
        <v>51.4</v>
      </c>
      <c r="I50" t="n">
        <v>48.5</v>
      </c>
      <c r="J50" t="n">
        <v>53.2</v>
      </c>
      <c r="K50" t="n">
        <v>49</v>
      </c>
      <c r="L50" t="n">
        <v>52.6</v>
      </c>
      <c r="M50" t="n">
        <v>49.1</v>
      </c>
      <c r="N50" t="n">
        <v>53.3</v>
      </c>
      <c r="O50" t="n">
        <v>50.3</v>
      </c>
      <c r="P50" t="n">
        <v>51.6</v>
      </c>
      <c r="Q50" t="n">
        <v>55.3</v>
      </c>
      <c r="R50" t="n">
        <v>49.42</v>
      </c>
      <c r="S50" t="n">
        <v>49.2</v>
      </c>
      <c r="T50" t="n">
        <v>48.7</v>
      </c>
      <c r="U50" t="n">
        <v>52</v>
      </c>
      <c r="V50" t="n">
        <v>48.8</v>
      </c>
      <c r="W50" t="n">
        <v>56.6</v>
      </c>
      <c r="X50" t="n">
        <v>51.5</v>
      </c>
      <c r="Y50" t="n">
        <v>54.4</v>
      </c>
      <c r="Z50" t="n">
        <v>51.2</v>
      </c>
      <c r="AA50" t="n">
        <v>54.04</v>
      </c>
    </row>
    <row r="51">
      <c r="A51" s="71" t="n">
        <v>41944</v>
      </c>
      <c r="B51" t="n">
        <v>51.8</v>
      </c>
      <c r="C51" t="n">
        <v>57</v>
      </c>
      <c r="D51" t="n">
        <v>54.8</v>
      </c>
      <c r="E51" t="n">
        <v>50.3</v>
      </c>
      <c r="F51" t="n">
        <v>50.1</v>
      </c>
      <c r="G51" t="n">
        <v>52</v>
      </c>
      <c r="H51" t="n">
        <v>49.5</v>
      </c>
      <c r="I51" t="n">
        <v>48.4</v>
      </c>
      <c r="J51" t="n">
        <v>53.5</v>
      </c>
      <c r="K51" t="n">
        <v>49</v>
      </c>
      <c r="L51" t="n">
        <v>54.7</v>
      </c>
      <c r="M51" t="n">
        <v>48.7</v>
      </c>
      <c r="N51" t="n">
        <v>54.3</v>
      </c>
      <c r="O51" t="n">
        <v>51.7</v>
      </c>
      <c r="P51" t="n">
        <v>53.3</v>
      </c>
      <c r="Q51" t="n">
        <v>55.3</v>
      </c>
      <c r="R51" t="n">
        <v>50.1</v>
      </c>
      <c r="S51" t="n">
        <v>48</v>
      </c>
      <c r="T51" t="n">
        <v>49</v>
      </c>
      <c r="U51" t="n">
        <v>51.4</v>
      </c>
      <c r="V51" t="n">
        <v>49.1</v>
      </c>
      <c r="W51" t="n">
        <v>56.2</v>
      </c>
      <c r="X51" t="n">
        <v>52.2</v>
      </c>
      <c r="Y51" t="n">
        <v>55.6</v>
      </c>
      <c r="Z51" t="n">
        <v>53.2</v>
      </c>
      <c r="AA51" t="n">
        <v>51.5</v>
      </c>
    </row>
    <row r="52">
      <c r="A52" s="71" t="n">
        <v>41974</v>
      </c>
      <c r="B52" t="n">
        <v>51.6</v>
      </c>
      <c r="C52" t="n">
        <v>54.7</v>
      </c>
      <c r="D52" t="n">
        <v>53.9</v>
      </c>
      <c r="E52" t="n">
        <v>50.1</v>
      </c>
      <c r="F52" t="n">
        <v>50.6</v>
      </c>
      <c r="G52" t="n">
        <v>52</v>
      </c>
      <c r="H52" t="n">
        <v>51.2</v>
      </c>
      <c r="I52" t="n">
        <v>47.5</v>
      </c>
      <c r="J52" t="n">
        <v>52.5</v>
      </c>
      <c r="K52" t="n">
        <v>48.4</v>
      </c>
      <c r="L52" t="n">
        <v>53.8</v>
      </c>
      <c r="M52" t="n">
        <v>50.2</v>
      </c>
      <c r="N52" t="n">
        <v>55.3</v>
      </c>
      <c r="O52" t="n">
        <v>48.9</v>
      </c>
      <c r="P52" t="n">
        <v>54.5</v>
      </c>
      <c r="Q52" t="n">
        <v>53.9</v>
      </c>
      <c r="R52" t="n">
        <v>46.9</v>
      </c>
      <c r="S52" t="n">
        <v>47.6</v>
      </c>
      <c r="T52" t="n">
        <v>49.9</v>
      </c>
      <c r="U52" t="n">
        <v>50</v>
      </c>
      <c r="V52" t="n">
        <v>49.4</v>
      </c>
      <c r="W52" t="n">
        <v>56.9</v>
      </c>
      <c r="X52" t="n">
        <v>51.4</v>
      </c>
      <c r="Y52" t="n">
        <v>53.3</v>
      </c>
      <c r="Z52" t="n">
        <v>52.8</v>
      </c>
      <c r="AA52" t="n">
        <v>53.85</v>
      </c>
    </row>
    <row r="53">
      <c r="A53" s="71" t="n">
        <v>42005</v>
      </c>
      <c r="B53" t="n">
        <v>51.7</v>
      </c>
      <c r="C53" t="n">
        <v>53.9</v>
      </c>
      <c r="D53" t="n">
        <v>53.7</v>
      </c>
      <c r="E53" t="n">
        <v>49.8</v>
      </c>
      <c r="F53" t="n">
        <v>51</v>
      </c>
      <c r="G53" t="n">
        <v>52.2</v>
      </c>
      <c r="H53" t="n">
        <v>50.9</v>
      </c>
      <c r="I53" t="n">
        <v>49.2</v>
      </c>
      <c r="J53" t="n">
        <v>53</v>
      </c>
      <c r="K53" t="n">
        <v>49.9</v>
      </c>
      <c r="L53" t="n">
        <v>54.7</v>
      </c>
      <c r="M53" t="n">
        <v>50.7</v>
      </c>
      <c r="N53" t="n">
        <v>55.6</v>
      </c>
      <c r="O53" t="n">
        <v>47.6</v>
      </c>
      <c r="P53" t="n">
        <v>52.9</v>
      </c>
      <c r="Q53" t="n">
        <v>51</v>
      </c>
      <c r="R53" t="n">
        <v>49</v>
      </c>
      <c r="S53" t="n">
        <v>48.5</v>
      </c>
      <c r="T53" t="n">
        <v>51.1</v>
      </c>
      <c r="U53" t="n">
        <v>51.7</v>
      </c>
      <c r="V53" t="n">
        <v>48.3</v>
      </c>
      <c r="W53" t="n">
        <v>55.1</v>
      </c>
      <c r="X53" t="n">
        <v>49.8</v>
      </c>
      <c r="Y53" t="n">
        <v>56.1</v>
      </c>
      <c r="Z53" t="n">
        <v>55.2</v>
      </c>
      <c r="AA53" t="n">
        <v>55.25</v>
      </c>
    </row>
    <row r="54">
      <c r="A54" s="71" t="n">
        <v>42036</v>
      </c>
      <c r="B54" t="n">
        <v>52</v>
      </c>
      <c r="C54" t="n">
        <v>53</v>
      </c>
      <c r="D54" t="n">
        <v>54.3</v>
      </c>
      <c r="E54" t="n">
        <v>49.9</v>
      </c>
      <c r="F54" t="n">
        <v>51</v>
      </c>
      <c r="G54" t="n">
        <v>51.6</v>
      </c>
      <c r="H54" t="n">
        <v>51.1</v>
      </c>
      <c r="I54" t="n">
        <v>47.6</v>
      </c>
      <c r="J54" t="n">
        <v>54.1</v>
      </c>
      <c r="K54" t="n">
        <v>51.9</v>
      </c>
      <c r="L54" t="n">
        <v>54.2</v>
      </c>
      <c r="M54" t="n">
        <v>49.6</v>
      </c>
      <c r="N54" t="n">
        <v>54.4</v>
      </c>
      <c r="O54" t="n">
        <v>49.7</v>
      </c>
      <c r="P54" t="n">
        <v>51.2</v>
      </c>
      <c r="Q54" t="n">
        <v>48.7</v>
      </c>
      <c r="R54" t="n">
        <v>45.4</v>
      </c>
      <c r="S54" t="n">
        <v>47.5</v>
      </c>
      <c r="T54" t="n">
        <v>51.1</v>
      </c>
      <c r="U54" t="n">
        <v>52.1</v>
      </c>
      <c r="V54" t="n">
        <v>48.4</v>
      </c>
      <c r="W54" t="n">
        <v>57.5</v>
      </c>
      <c r="X54" t="n">
        <v>49.6</v>
      </c>
      <c r="Y54" t="n">
        <v>55.6</v>
      </c>
      <c r="Z54" t="n">
        <v>55.1</v>
      </c>
      <c r="AA54" t="n">
        <v>57.96</v>
      </c>
    </row>
    <row r="55">
      <c r="A55" s="71" t="n">
        <v>42064</v>
      </c>
      <c r="B55" t="n">
        <v>51.8</v>
      </c>
      <c r="C55" t="n">
        <v>51.8</v>
      </c>
      <c r="D55" t="n">
        <v>55.3</v>
      </c>
      <c r="E55" t="n">
        <v>50.1</v>
      </c>
      <c r="F55" t="n">
        <v>52.2</v>
      </c>
      <c r="G55" t="n">
        <v>50.3</v>
      </c>
      <c r="H55" t="n">
        <v>52.8</v>
      </c>
      <c r="I55" t="n">
        <v>48.8</v>
      </c>
      <c r="J55" t="n">
        <v>54.4</v>
      </c>
      <c r="K55" t="n">
        <v>53.3</v>
      </c>
      <c r="L55" t="n">
        <v>54.3</v>
      </c>
      <c r="M55" t="n">
        <v>46.2</v>
      </c>
      <c r="N55" t="n">
        <v>53.8</v>
      </c>
      <c r="O55" t="n">
        <v>48.1</v>
      </c>
      <c r="P55" t="n">
        <v>52.1</v>
      </c>
      <c r="Q55" t="n">
        <v>48.9</v>
      </c>
      <c r="R55" t="n">
        <v>46.3</v>
      </c>
      <c r="S55" t="n">
        <v>46.4</v>
      </c>
      <c r="T55" t="n">
        <v>49.2</v>
      </c>
      <c r="U55" t="n">
        <v>51</v>
      </c>
      <c r="V55" t="n">
        <v>48.9</v>
      </c>
      <c r="W55" t="n">
        <v>56.8</v>
      </c>
      <c r="X55" t="n">
        <v>48</v>
      </c>
      <c r="Y55" t="n">
        <v>56.1</v>
      </c>
      <c r="Z55" t="n">
        <v>54.8</v>
      </c>
      <c r="AA55" t="n">
        <v>58.54</v>
      </c>
    </row>
    <row r="56">
      <c r="A56" s="71" t="n">
        <v>42095</v>
      </c>
      <c r="B56" t="n">
        <v>51</v>
      </c>
      <c r="C56" t="n">
        <v>51.6</v>
      </c>
      <c r="D56" t="n">
        <v>54.1</v>
      </c>
      <c r="E56" t="n">
        <v>50.1</v>
      </c>
      <c r="F56" t="n">
        <v>52</v>
      </c>
      <c r="G56" t="n">
        <v>49.9</v>
      </c>
      <c r="H56" t="n">
        <v>52.1</v>
      </c>
      <c r="I56" t="n">
        <v>48</v>
      </c>
      <c r="J56" t="n">
        <v>51.9</v>
      </c>
      <c r="K56" t="n">
        <v>53.8</v>
      </c>
      <c r="L56" t="n">
        <v>54.2</v>
      </c>
      <c r="M56" t="n">
        <v>46</v>
      </c>
      <c r="N56" t="n">
        <v>53.8</v>
      </c>
      <c r="O56" t="n">
        <v>48.9</v>
      </c>
      <c r="P56" t="n">
        <v>51.3</v>
      </c>
      <c r="Q56" t="n">
        <v>49</v>
      </c>
      <c r="R56" t="n">
        <v>48</v>
      </c>
      <c r="S56" t="n">
        <v>46.7</v>
      </c>
      <c r="T56" t="n">
        <v>48.8</v>
      </c>
      <c r="U56" t="n">
        <v>49.2</v>
      </c>
      <c r="V56" t="n">
        <v>46.5</v>
      </c>
      <c r="W56" t="n">
        <v>55.8</v>
      </c>
      <c r="X56" t="n">
        <v>48.5</v>
      </c>
      <c r="Y56" t="n">
        <v>54.7</v>
      </c>
      <c r="Z56" t="n">
        <v>54</v>
      </c>
      <c r="AA56" t="n">
        <v>53.3</v>
      </c>
    </row>
    <row r="57">
      <c r="A57" s="71" t="n">
        <v>42125</v>
      </c>
      <c r="B57" t="n">
        <v>51.2</v>
      </c>
      <c r="C57" t="n">
        <v>52.9</v>
      </c>
      <c r="D57" t="n">
        <v>53.8</v>
      </c>
      <c r="E57" t="n">
        <v>50.2</v>
      </c>
      <c r="F57" t="n">
        <v>52.2</v>
      </c>
      <c r="G57" t="n">
        <v>50.9</v>
      </c>
      <c r="H57" t="n">
        <v>51.1</v>
      </c>
      <c r="I57" t="n">
        <v>49.4</v>
      </c>
      <c r="J57" t="n">
        <v>52.2</v>
      </c>
      <c r="K57" t="n">
        <v>54.8</v>
      </c>
      <c r="L57" t="n">
        <v>55.8</v>
      </c>
      <c r="M57" t="n">
        <v>45.9</v>
      </c>
      <c r="N57" t="n">
        <v>53.3</v>
      </c>
      <c r="O57" t="n">
        <v>47.6</v>
      </c>
      <c r="P57" t="n">
        <v>52.6</v>
      </c>
      <c r="Q57" t="n">
        <v>49.8</v>
      </c>
      <c r="R57" t="n">
        <v>52.29</v>
      </c>
      <c r="S57" t="n">
        <v>47.1</v>
      </c>
      <c r="T57" t="n">
        <v>47.8</v>
      </c>
      <c r="U57" t="n">
        <v>49.3</v>
      </c>
      <c r="V57" t="n">
        <v>48</v>
      </c>
      <c r="W57" t="n">
        <v>57.1</v>
      </c>
      <c r="X57" t="n">
        <v>50.2</v>
      </c>
      <c r="Y57" t="n">
        <v>55.5</v>
      </c>
      <c r="Z57" t="n">
        <v>52.4</v>
      </c>
      <c r="AA57" t="n">
        <v>52.73</v>
      </c>
    </row>
    <row r="58">
      <c r="A58" s="71" t="n">
        <v>42156</v>
      </c>
      <c r="B58" t="n">
        <v>51</v>
      </c>
      <c r="C58" t="n">
        <v>52.3</v>
      </c>
      <c r="D58" t="n">
        <v>53.6</v>
      </c>
      <c r="E58" t="n">
        <v>50.2</v>
      </c>
      <c r="F58" t="n">
        <v>52.5</v>
      </c>
      <c r="G58" t="n">
        <v>50.1</v>
      </c>
      <c r="H58" t="n">
        <v>51.9</v>
      </c>
      <c r="I58" t="n">
        <v>50.7</v>
      </c>
      <c r="J58" t="n">
        <v>51.9</v>
      </c>
      <c r="K58" t="n">
        <v>54.1</v>
      </c>
      <c r="L58" t="n">
        <v>54.5</v>
      </c>
      <c r="M58" t="n">
        <v>46.5</v>
      </c>
      <c r="N58" t="n">
        <v>52</v>
      </c>
      <c r="O58" t="n">
        <v>48.7</v>
      </c>
      <c r="P58" t="n">
        <v>51.3</v>
      </c>
      <c r="Q58" t="n">
        <v>51.3</v>
      </c>
      <c r="R58" t="n">
        <v>44.2</v>
      </c>
      <c r="S58" t="n">
        <v>47.8</v>
      </c>
      <c r="T58" t="n">
        <v>46.1</v>
      </c>
      <c r="U58" t="n">
        <v>46.3</v>
      </c>
      <c r="V58" t="n">
        <v>46.9</v>
      </c>
      <c r="W58" t="n">
        <v>54.6</v>
      </c>
      <c r="X58" t="n">
        <v>49</v>
      </c>
      <c r="Y58" t="n">
        <v>56.9</v>
      </c>
      <c r="Z58" t="n">
        <v>54.3</v>
      </c>
      <c r="AA58" t="n">
        <v>54.46</v>
      </c>
    </row>
    <row r="59">
      <c r="A59" s="71" t="n">
        <v>42186</v>
      </c>
      <c r="B59" t="n">
        <v>51</v>
      </c>
      <c r="C59" t="n">
        <v>51.9</v>
      </c>
      <c r="D59" t="n">
        <v>53.8</v>
      </c>
      <c r="E59" t="n">
        <v>50</v>
      </c>
      <c r="F59" t="n">
        <v>52.4</v>
      </c>
      <c r="G59" t="n">
        <v>51.2</v>
      </c>
      <c r="H59" t="n">
        <v>51.8</v>
      </c>
      <c r="I59" t="n">
        <v>49.6</v>
      </c>
      <c r="J59" t="n">
        <v>52.5</v>
      </c>
      <c r="K59" t="n">
        <v>55.3</v>
      </c>
      <c r="L59" t="n">
        <v>53.6</v>
      </c>
      <c r="M59" t="n">
        <v>47.2</v>
      </c>
      <c r="N59" t="n">
        <v>52.9</v>
      </c>
      <c r="O59" t="n">
        <v>48.3</v>
      </c>
      <c r="P59" t="n">
        <v>52.7</v>
      </c>
      <c r="Q59" t="n">
        <v>50.8</v>
      </c>
      <c r="R59" t="n">
        <v>50.4</v>
      </c>
      <c r="S59" t="n">
        <v>47.3</v>
      </c>
      <c r="T59" t="n">
        <v>47.6</v>
      </c>
      <c r="U59" t="n">
        <v>47.1</v>
      </c>
      <c r="V59" t="n">
        <v>30.2</v>
      </c>
      <c r="W59" t="n">
        <v>56.7</v>
      </c>
      <c r="X59" t="n">
        <v>50.1</v>
      </c>
      <c r="Y59" t="n">
        <v>57.5</v>
      </c>
      <c r="Z59" t="n">
        <v>54.5</v>
      </c>
      <c r="AA59" t="n">
        <v>52.31</v>
      </c>
    </row>
    <row r="60">
      <c r="A60" s="71" t="n">
        <v>42217</v>
      </c>
      <c r="B60" t="n">
        <v>50.7</v>
      </c>
      <c r="C60" t="n">
        <v>50.8</v>
      </c>
      <c r="D60" t="n">
        <v>53</v>
      </c>
      <c r="E60" t="n">
        <v>47.3</v>
      </c>
      <c r="F60" t="n">
        <v>52.3</v>
      </c>
      <c r="G60" t="n">
        <v>51.7</v>
      </c>
      <c r="H60" t="n">
        <v>53.3</v>
      </c>
      <c r="I60" t="n">
        <v>48.3</v>
      </c>
      <c r="J60" t="n">
        <v>51.6</v>
      </c>
      <c r="K60" t="n">
        <v>53.8</v>
      </c>
      <c r="L60" t="n">
        <v>53.2</v>
      </c>
      <c r="M60" t="n">
        <v>45.8</v>
      </c>
      <c r="N60" t="n">
        <v>52.4</v>
      </c>
      <c r="O60" t="n">
        <v>47.9</v>
      </c>
      <c r="P60" t="n">
        <v>52.3</v>
      </c>
      <c r="Q60" t="n">
        <v>49.4</v>
      </c>
      <c r="R60" t="n">
        <v>51.7</v>
      </c>
      <c r="S60" t="n">
        <v>48.4</v>
      </c>
      <c r="T60" t="n">
        <v>47.9</v>
      </c>
      <c r="U60" t="n">
        <v>46.1</v>
      </c>
      <c r="V60" t="n">
        <v>39.1</v>
      </c>
      <c r="W60" t="n">
        <v>53.6</v>
      </c>
      <c r="X60" t="n">
        <v>49.3</v>
      </c>
      <c r="Y60" t="n">
        <v>56.6</v>
      </c>
      <c r="Z60" t="n">
        <v>51.1</v>
      </c>
      <c r="AA60" t="n">
        <v>62.51</v>
      </c>
    </row>
    <row r="61">
      <c r="A61" s="71" t="n">
        <v>42248</v>
      </c>
      <c r="B61" t="n">
        <v>50.6</v>
      </c>
      <c r="C61" t="n">
        <v>50.1</v>
      </c>
      <c r="D61" t="n">
        <v>53.1</v>
      </c>
      <c r="E61" t="n">
        <v>47.2</v>
      </c>
      <c r="F61" t="n">
        <v>52</v>
      </c>
      <c r="G61" t="n">
        <v>51</v>
      </c>
      <c r="H61" t="n">
        <v>52.3</v>
      </c>
      <c r="I61" t="n">
        <v>50.6</v>
      </c>
      <c r="J61" t="n">
        <v>51.6</v>
      </c>
      <c r="K61" t="n">
        <v>52.7</v>
      </c>
      <c r="L61" t="n">
        <v>51.7</v>
      </c>
      <c r="M61" t="n">
        <v>47</v>
      </c>
      <c r="N61" t="n">
        <v>52.1</v>
      </c>
      <c r="O61" t="n">
        <v>49.1</v>
      </c>
      <c r="P61" t="n">
        <v>51.2</v>
      </c>
      <c r="Q61" t="n">
        <v>48.6</v>
      </c>
      <c r="R61" t="n">
        <v>52.1</v>
      </c>
      <c r="S61" t="n">
        <v>47.4</v>
      </c>
      <c r="T61" t="n">
        <v>49.2</v>
      </c>
      <c r="U61" t="n">
        <v>46.9</v>
      </c>
      <c r="V61" t="n">
        <v>43.3</v>
      </c>
      <c r="W61" t="n">
        <v>53.8</v>
      </c>
      <c r="X61" t="n">
        <v>48.8</v>
      </c>
      <c r="Y61" t="n">
        <v>55.5</v>
      </c>
      <c r="Z61" t="n">
        <v>50.9</v>
      </c>
      <c r="AA61" t="n">
        <v>69.37</v>
      </c>
    </row>
    <row r="62">
      <c r="A62" s="71" t="n">
        <v>42278</v>
      </c>
      <c r="B62" t="n">
        <v>51.4</v>
      </c>
      <c r="C62" t="n">
        <v>49.6</v>
      </c>
      <c r="D62" t="n">
        <v>54.1</v>
      </c>
      <c r="E62" t="n">
        <v>48.3</v>
      </c>
      <c r="F62" t="n">
        <v>52.3</v>
      </c>
      <c r="G62" t="n">
        <v>52.4</v>
      </c>
      <c r="H62" t="n">
        <v>52.1</v>
      </c>
      <c r="I62" t="n">
        <v>50.6</v>
      </c>
      <c r="J62" t="n">
        <v>54.3</v>
      </c>
      <c r="K62" t="n">
        <v>54.1</v>
      </c>
      <c r="L62" t="n">
        <v>51.3</v>
      </c>
      <c r="M62" t="n">
        <v>44.1</v>
      </c>
      <c r="N62" t="n">
        <v>53</v>
      </c>
      <c r="O62" t="n">
        <v>50.2</v>
      </c>
      <c r="P62" t="n">
        <v>50.7</v>
      </c>
      <c r="Q62" t="n">
        <v>48</v>
      </c>
      <c r="R62" t="n">
        <v>50.2</v>
      </c>
      <c r="S62" t="n">
        <v>47.8</v>
      </c>
      <c r="T62" t="n">
        <v>49.1</v>
      </c>
      <c r="U62" t="n">
        <v>47.8</v>
      </c>
      <c r="V62" t="n">
        <v>47.3</v>
      </c>
      <c r="W62" t="n">
        <v>53.6</v>
      </c>
      <c r="X62" t="n">
        <v>49.5</v>
      </c>
      <c r="Y62" t="n">
        <v>54</v>
      </c>
      <c r="Z62" t="n">
        <v>52.2</v>
      </c>
      <c r="AA62" t="n">
        <v>55.62</v>
      </c>
    </row>
    <row r="63">
      <c r="A63" s="71" t="n">
        <v>42309</v>
      </c>
      <c r="B63" t="n">
        <v>51.2</v>
      </c>
      <c r="C63" t="n">
        <v>49.1</v>
      </c>
      <c r="D63" t="n">
        <v>52.8</v>
      </c>
      <c r="E63" t="n">
        <v>48.6</v>
      </c>
      <c r="F63" t="n">
        <v>52.8</v>
      </c>
      <c r="G63" t="n">
        <v>52.6</v>
      </c>
      <c r="H63" t="n">
        <v>52.9</v>
      </c>
      <c r="I63" t="n">
        <v>50.6</v>
      </c>
      <c r="J63" t="n">
        <v>52.3</v>
      </c>
      <c r="K63" t="n">
        <v>54.9</v>
      </c>
      <c r="L63" t="n">
        <v>53.1</v>
      </c>
      <c r="M63" t="n">
        <v>43.8</v>
      </c>
      <c r="N63" t="n">
        <v>53</v>
      </c>
      <c r="O63" t="n">
        <v>50.1</v>
      </c>
      <c r="P63" t="n">
        <v>50.3</v>
      </c>
      <c r="Q63" t="n">
        <v>48.6</v>
      </c>
      <c r="R63" t="n">
        <v>52.5</v>
      </c>
      <c r="S63" t="n">
        <v>46.9</v>
      </c>
      <c r="T63" t="n">
        <v>49.1</v>
      </c>
      <c r="U63" t="n">
        <v>49.5</v>
      </c>
      <c r="V63" t="n">
        <v>48.1</v>
      </c>
      <c r="W63" t="n">
        <v>53.3</v>
      </c>
      <c r="X63" t="n">
        <v>50.9</v>
      </c>
      <c r="Y63" t="n">
        <v>54.2</v>
      </c>
      <c r="Z63" t="n">
        <v>52.1</v>
      </c>
      <c r="AA63" t="n">
        <v>61.47</v>
      </c>
    </row>
    <row r="64">
      <c r="A64" s="71" t="n">
        <v>42339</v>
      </c>
      <c r="B64" t="n">
        <v>50.9</v>
      </c>
      <c r="C64" t="n">
        <v>48.4</v>
      </c>
      <c r="D64" t="n">
        <v>51.2</v>
      </c>
      <c r="E64" t="n">
        <v>48.2</v>
      </c>
      <c r="F64" t="n">
        <v>53.2</v>
      </c>
      <c r="G64" t="n">
        <v>52.6</v>
      </c>
      <c r="H64" t="n">
        <v>53.2</v>
      </c>
      <c r="I64" t="n">
        <v>51.4</v>
      </c>
      <c r="J64" t="n">
        <v>51</v>
      </c>
      <c r="K64" t="n">
        <v>55.6</v>
      </c>
      <c r="L64" t="n">
        <v>53</v>
      </c>
      <c r="M64" t="n">
        <v>45.6</v>
      </c>
      <c r="N64" t="n">
        <v>52.4</v>
      </c>
      <c r="O64" t="n">
        <v>48.7</v>
      </c>
      <c r="P64" t="n">
        <v>49.1</v>
      </c>
      <c r="Q64" t="n">
        <v>47.5</v>
      </c>
      <c r="R64" t="n">
        <v>51.9</v>
      </c>
      <c r="S64" t="n">
        <v>47.8</v>
      </c>
      <c r="T64" t="n">
        <v>50.7</v>
      </c>
      <c r="U64" t="n">
        <v>51.7</v>
      </c>
      <c r="V64" t="n">
        <v>50.2</v>
      </c>
      <c r="W64" t="n">
        <v>54.2</v>
      </c>
      <c r="X64" t="n">
        <v>52.2</v>
      </c>
      <c r="Y64" t="n">
        <v>55.6</v>
      </c>
      <c r="Z64" t="n">
        <v>52.1</v>
      </c>
      <c r="AA64" t="n">
        <v>54.76</v>
      </c>
    </row>
    <row r="65">
      <c r="A65" s="71" t="n">
        <v>42370</v>
      </c>
      <c r="B65" t="n">
        <v>50.9</v>
      </c>
      <c r="C65" t="n">
        <v>47.8</v>
      </c>
      <c r="D65" t="n">
        <v>52.4</v>
      </c>
      <c r="E65" t="n">
        <v>48.4</v>
      </c>
      <c r="F65" t="n">
        <v>52.3</v>
      </c>
      <c r="G65" t="n">
        <v>52.3</v>
      </c>
      <c r="H65" t="n">
        <v>52.3</v>
      </c>
      <c r="I65" t="n">
        <v>50</v>
      </c>
      <c r="J65" t="n">
        <v>52.2</v>
      </c>
      <c r="K65" t="n">
        <v>53.2</v>
      </c>
      <c r="L65" t="n">
        <v>55.4</v>
      </c>
      <c r="M65" t="n">
        <v>47.4</v>
      </c>
      <c r="N65" t="n">
        <v>52.2</v>
      </c>
      <c r="O65" t="n">
        <v>49.8</v>
      </c>
      <c r="P65" t="n">
        <v>51.1</v>
      </c>
      <c r="Q65" t="n">
        <v>49.3</v>
      </c>
      <c r="R65" t="n">
        <v>51.5</v>
      </c>
      <c r="S65" t="n">
        <v>48.9</v>
      </c>
      <c r="T65" t="n">
        <v>49.5</v>
      </c>
      <c r="U65" t="n">
        <v>50.6</v>
      </c>
      <c r="V65" t="n">
        <v>50</v>
      </c>
      <c r="W65" t="n">
        <v>54.3</v>
      </c>
      <c r="X65" t="n">
        <v>50.9</v>
      </c>
      <c r="Y65" t="n">
        <v>56.9</v>
      </c>
      <c r="Z65" t="n">
        <v>50.9</v>
      </c>
      <c r="AA65" t="n">
        <v>54.46</v>
      </c>
    </row>
    <row r="66">
      <c r="A66" s="71" t="n">
        <v>42401</v>
      </c>
      <c r="B66" t="n">
        <v>50</v>
      </c>
      <c r="C66" t="n">
        <v>49.4</v>
      </c>
      <c r="D66" t="n">
        <v>51.3</v>
      </c>
      <c r="E66" t="n">
        <v>48</v>
      </c>
      <c r="F66" t="n">
        <v>51.2</v>
      </c>
      <c r="G66" t="n">
        <v>50.1</v>
      </c>
      <c r="H66" t="n">
        <v>50.5</v>
      </c>
      <c r="I66" t="n">
        <v>50.2</v>
      </c>
      <c r="J66" t="n">
        <v>50.8</v>
      </c>
      <c r="K66" t="n">
        <v>52.2</v>
      </c>
      <c r="L66" t="n">
        <v>54.1</v>
      </c>
      <c r="M66" t="n">
        <v>44.5</v>
      </c>
      <c r="N66" t="n">
        <v>53.1</v>
      </c>
      <c r="O66" t="n">
        <v>49.3</v>
      </c>
      <c r="P66" t="n">
        <v>51.1</v>
      </c>
      <c r="Q66" t="n">
        <v>49.4</v>
      </c>
      <c r="R66" t="n">
        <v>53.5</v>
      </c>
      <c r="S66" t="n">
        <v>48.7</v>
      </c>
      <c r="T66" t="n">
        <v>48.7</v>
      </c>
      <c r="U66" t="n">
        <v>49.4</v>
      </c>
      <c r="V66" t="n">
        <v>48.4</v>
      </c>
      <c r="W66" t="n">
        <v>52.9</v>
      </c>
      <c r="X66" t="n">
        <v>50.3</v>
      </c>
      <c r="Y66" t="n">
        <v>55.5</v>
      </c>
      <c r="Z66" t="n">
        <v>52.8</v>
      </c>
      <c r="AA66" t="n">
        <v>50.93</v>
      </c>
    </row>
    <row r="67">
      <c r="A67" s="71" t="n">
        <v>42430</v>
      </c>
      <c r="B67" t="n">
        <v>50.5</v>
      </c>
      <c r="C67" t="n">
        <v>51.2</v>
      </c>
      <c r="D67" t="n">
        <v>51.5</v>
      </c>
      <c r="E67" t="n">
        <v>49.7</v>
      </c>
      <c r="F67" t="n">
        <v>51.6</v>
      </c>
      <c r="G67" t="n">
        <v>49.1</v>
      </c>
      <c r="H67" t="n">
        <v>50.7</v>
      </c>
      <c r="I67" t="n">
        <v>49.6</v>
      </c>
      <c r="J67" t="n">
        <v>51.1</v>
      </c>
      <c r="K67" t="n">
        <v>53.5</v>
      </c>
      <c r="L67" t="n">
        <v>53.4</v>
      </c>
      <c r="M67" t="n">
        <v>46</v>
      </c>
      <c r="N67" t="n">
        <v>53.2</v>
      </c>
      <c r="O67" t="n">
        <v>48.3</v>
      </c>
      <c r="P67" t="n">
        <v>52.4</v>
      </c>
      <c r="Q67" t="n">
        <v>51.5</v>
      </c>
      <c r="R67" t="n">
        <v>58.1</v>
      </c>
      <c r="S67" t="n">
        <v>50.6</v>
      </c>
      <c r="T67" t="n">
        <v>49.5</v>
      </c>
      <c r="U67" t="n">
        <v>51.1</v>
      </c>
      <c r="V67" t="n">
        <v>49</v>
      </c>
      <c r="W67" t="n">
        <v>54.9</v>
      </c>
      <c r="X67" t="n">
        <v>49.2</v>
      </c>
      <c r="Y67" t="n">
        <v>54.3</v>
      </c>
      <c r="Z67" t="n">
        <v>53.8</v>
      </c>
      <c r="AA67" t="n">
        <v>55.11</v>
      </c>
    </row>
    <row r="68">
      <c r="A68" s="71" t="n">
        <v>42461</v>
      </c>
      <c r="B68" t="n">
        <v>50.1</v>
      </c>
      <c r="C68" t="n">
        <v>50.8</v>
      </c>
      <c r="D68" t="n">
        <v>50.8</v>
      </c>
      <c r="E68" t="n">
        <v>49.4</v>
      </c>
      <c r="F68" t="n">
        <v>51.7</v>
      </c>
      <c r="G68" t="n">
        <v>48.2</v>
      </c>
      <c r="H68" t="n">
        <v>51.8</v>
      </c>
      <c r="I68" t="n">
        <v>48</v>
      </c>
      <c r="J68" t="n">
        <v>50</v>
      </c>
      <c r="K68" t="n">
        <v>53.9</v>
      </c>
      <c r="L68" t="n">
        <v>53.5</v>
      </c>
      <c r="M68" t="n">
        <v>42.6</v>
      </c>
      <c r="N68" t="n">
        <v>52.4</v>
      </c>
      <c r="O68" t="n">
        <v>48</v>
      </c>
      <c r="P68" t="n">
        <v>50.5</v>
      </c>
      <c r="Q68" t="n">
        <v>52.2</v>
      </c>
      <c r="R68" t="n">
        <v>53.4</v>
      </c>
      <c r="S68" t="n">
        <v>50.9</v>
      </c>
      <c r="T68" t="n">
        <v>50</v>
      </c>
      <c r="U68" t="n">
        <v>49.7</v>
      </c>
      <c r="V68" t="n">
        <v>49.7</v>
      </c>
      <c r="W68" t="n">
        <v>52.6</v>
      </c>
      <c r="X68" t="n">
        <v>48.9</v>
      </c>
      <c r="Y68" t="n">
        <v>53.6</v>
      </c>
      <c r="Z68" t="n">
        <v>51</v>
      </c>
      <c r="AA68" t="n">
        <v>63.28</v>
      </c>
    </row>
    <row r="69">
      <c r="A69" s="71" t="n">
        <v>42491</v>
      </c>
      <c r="B69" t="n">
        <v>50</v>
      </c>
      <c r="C69" t="n">
        <v>50.9</v>
      </c>
      <c r="D69" t="n">
        <v>50.7</v>
      </c>
      <c r="E69" t="n">
        <v>49.2</v>
      </c>
      <c r="F69" t="n">
        <v>51.5</v>
      </c>
      <c r="G69" t="n">
        <v>47.7</v>
      </c>
      <c r="H69" t="n">
        <v>52.1</v>
      </c>
      <c r="I69" t="n">
        <v>48.4</v>
      </c>
      <c r="J69" t="n">
        <v>50.7</v>
      </c>
      <c r="K69" t="n">
        <v>52.4</v>
      </c>
      <c r="L69" t="n">
        <v>51.8</v>
      </c>
      <c r="M69" t="n">
        <v>41.6</v>
      </c>
      <c r="N69" t="n">
        <v>53.6</v>
      </c>
      <c r="O69" t="n">
        <v>49.6</v>
      </c>
      <c r="P69" t="n">
        <v>50.7</v>
      </c>
      <c r="Q69" t="n">
        <v>52.1</v>
      </c>
      <c r="R69" t="n">
        <v>51</v>
      </c>
      <c r="S69" t="n">
        <v>50.6</v>
      </c>
      <c r="T69" t="n">
        <v>50.1</v>
      </c>
      <c r="U69" t="n">
        <v>48.5</v>
      </c>
      <c r="V69" t="n">
        <v>48.4</v>
      </c>
      <c r="W69" t="n">
        <v>51.5</v>
      </c>
      <c r="X69" t="n">
        <v>49.4</v>
      </c>
      <c r="Y69" t="n">
        <v>53.3</v>
      </c>
      <c r="Z69" t="n">
        <v>52.1</v>
      </c>
      <c r="AA69" t="n">
        <v>61.65</v>
      </c>
    </row>
    <row r="70">
      <c r="A70" s="71" t="n">
        <v>42522</v>
      </c>
      <c r="B70" t="n">
        <v>50.9</v>
      </c>
      <c r="C70" t="n">
        <v>52.5</v>
      </c>
      <c r="D70" t="n">
        <v>51.3</v>
      </c>
      <c r="E70" t="n">
        <v>48.6</v>
      </c>
      <c r="F70" t="n">
        <v>52.8</v>
      </c>
      <c r="G70" t="n">
        <v>48.1</v>
      </c>
      <c r="H70" t="n">
        <v>54.5</v>
      </c>
      <c r="I70" t="n">
        <v>48.3</v>
      </c>
      <c r="J70" t="n">
        <v>53.2</v>
      </c>
      <c r="K70" t="n">
        <v>53.5</v>
      </c>
      <c r="L70" t="n">
        <v>52.2</v>
      </c>
      <c r="M70" t="n">
        <v>43.2</v>
      </c>
      <c r="N70" t="n">
        <v>51.1</v>
      </c>
      <c r="O70" t="n">
        <v>51.5</v>
      </c>
      <c r="P70" t="n">
        <v>51.7</v>
      </c>
      <c r="Q70" t="n">
        <v>51.8</v>
      </c>
      <c r="R70" t="n">
        <v>51.8</v>
      </c>
      <c r="S70" t="n">
        <v>51.9</v>
      </c>
      <c r="T70" t="n">
        <v>50.5</v>
      </c>
      <c r="U70" t="n">
        <v>50.5</v>
      </c>
      <c r="V70" t="n">
        <v>50.4</v>
      </c>
      <c r="W70" t="n">
        <v>53</v>
      </c>
      <c r="X70" t="n">
        <v>47.4</v>
      </c>
      <c r="Y70" t="n">
        <v>51.8</v>
      </c>
      <c r="Z70" t="n">
        <v>51.8</v>
      </c>
      <c r="AA70" t="n">
        <v>59.75</v>
      </c>
    </row>
    <row r="71">
      <c r="A71" s="71" t="n">
        <v>42552</v>
      </c>
      <c r="B71" t="n">
        <v>51</v>
      </c>
      <c r="C71" t="n">
        <v>52.9</v>
      </c>
      <c r="D71" t="n">
        <v>52.9</v>
      </c>
      <c r="E71" t="n">
        <v>50.6</v>
      </c>
      <c r="F71" t="n">
        <v>52</v>
      </c>
      <c r="G71" t="n">
        <v>49.3</v>
      </c>
      <c r="H71" t="n">
        <v>53.8</v>
      </c>
      <c r="I71" t="n">
        <v>48.6</v>
      </c>
      <c r="J71" t="n">
        <v>48.5</v>
      </c>
      <c r="K71" t="n">
        <v>51.2</v>
      </c>
      <c r="L71" t="n">
        <v>51</v>
      </c>
      <c r="M71" t="n">
        <v>46</v>
      </c>
      <c r="N71" t="n">
        <v>50.6</v>
      </c>
      <c r="O71" t="n">
        <v>49.5</v>
      </c>
      <c r="P71" t="n">
        <v>51.8</v>
      </c>
      <c r="Q71" t="n">
        <v>51.9</v>
      </c>
      <c r="R71" t="n">
        <v>56.4</v>
      </c>
      <c r="S71" t="n">
        <v>48.4</v>
      </c>
      <c r="T71" t="n">
        <v>50.1</v>
      </c>
      <c r="U71" t="n">
        <v>51</v>
      </c>
      <c r="V71" t="n">
        <v>48.7</v>
      </c>
      <c r="W71" t="n">
        <v>50.2</v>
      </c>
      <c r="X71" t="n">
        <v>47.6</v>
      </c>
      <c r="Y71" t="n">
        <v>49.3</v>
      </c>
      <c r="Z71" t="n">
        <v>50.3</v>
      </c>
      <c r="AA71" t="n">
        <v>59.53</v>
      </c>
    </row>
    <row r="72">
      <c r="A72" s="71" t="n">
        <v>42583</v>
      </c>
      <c r="B72" t="n">
        <v>50.9</v>
      </c>
      <c r="C72" t="n">
        <v>49.9</v>
      </c>
      <c r="D72" t="n">
        <v>52</v>
      </c>
      <c r="E72" t="n">
        <v>50</v>
      </c>
      <c r="F72" t="n">
        <v>51.7</v>
      </c>
      <c r="G72" t="n">
        <v>49.5</v>
      </c>
      <c r="H72" t="n">
        <v>53.6</v>
      </c>
      <c r="I72" t="n">
        <v>48.3</v>
      </c>
      <c r="J72" t="n">
        <v>53.2</v>
      </c>
      <c r="K72" t="n">
        <v>49.8</v>
      </c>
      <c r="L72" t="n">
        <v>51</v>
      </c>
      <c r="M72" t="n">
        <v>45.7</v>
      </c>
      <c r="N72" t="n">
        <v>50.9</v>
      </c>
      <c r="O72" t="n">
        <v>50.8</v>
      </c>
      <c r="P72" t="n">
        <v>52.6</v>
      </c>
      <c r="Q72" t="n">
        <v>51.1</v>
      </c>
      <c r="R72" t="n">
        <v>46.9</v>
      </c>
      <c r="S72" t="n">
        <v>50.4</v>
      </c>
      <c r="T72" t="n">
        <v>48.6</v>
      </c>
      <c r="U72" t="n">
        <v>51.8</v>
      </c>
      <c r="V72" t="n">
        <v>50.4</v>
      </c>
      <c r="W72" t="n">
        <v>51.7</v>
      </c>
      <c r="X72" t="n">
        <v>47</v>
      </c>
      <c r="Y72" t="n">
        <v>50.1</v>
      </c>
      <c r="Z72" t="n">
        <v>51.5</v>
      </c>
      <c r="AA72" t="n">
        <v>53.62</v>
      </c>
    </row>
    <row r="73">
      <c r="A73" s="71" t="n">
        <v>42614</v>
      </c>
      <c r="B73" t="n">
        <v>51</v>
      </c>
      <c r="C73" t="n">
        <v>51.4</v>
      </c>
      <c r="D73" t="n">
        <v>51.5</v>
      </c>
      <c r="E73" t="n">
        <v>50.1</v>
      </c>
      <c r="F73" t="n">
        <v>52.6</v>
      </c>
      <c r="G73" t="n">
        <v>50.4</v>
      </c>
      <c r="H73" t="n">
        <v>54.3</v>
      </c>
      <c r="I73" t="n">
        <v>49.7</v>
      </c>
      <c r="J73" t="n">
        <v>55.6</v>
      </c>
      <c r="K73" t="n">
        <v>51</v>
      </c>
      <c r="L73" t="n">
        <v>52.3</v>
      </c>
      <c r="M73" t="n">
        <v>46</v>
      </c>
      <c r="N73" t="n">
        <v>51.9</v>
      </c>
      <c r="O73" t="n">
        <v>51.1</v>
      </c>
      <c r="P73" t="n">
        <v>52.1</v>
      </c>
      <c r="Q73" t="n">
        <v>50.3</v>
      </c>
      <c r="R73" t="n">
        <v>49.8</v>
      </c>
      <c r="S73" t="n">
        <v>50.9</v>
      </c>
      <c r="T73" t="n">
        <v>47.6</v>
      </c>
      <c r="U73" t="n">
        <v>52.2</v>
      </c>
      <c r="V73" t="n">
        <v>49.2</v>
      </c>
      <c r="W73" t="n">
        <v>51.3</v>
      </c>
      <c r="X73" t="n">
        <v>48.3</v>
      </c>
      <c r="Y73" t="n">
        <v>52</v>
      </c>
      <c r="Z73" t="n">
        <v>52.2</v>
      </c>
      <c r="AA73" t="n">
        <v>58.98</v>
      </c>
    </row>
    <row r="74">
      <c r="A74" s="71" t="n">
        <v>42644</v>
      </c>
      <c r="B74" t="n">
        <v>52</v>
      </c>
      <c r="C74" t="n">
        <v>51.8</v>
      </c>
      <c r="D74" t="n">
        <v>53.4</v>
      </c>
      <c r="E74" t="n">
        <v>51.2</v>
      </c>
      <c r="F74" t="n">
        <v>53.5</v>
      </c>
      <c r="G74" t="n">
        <v>51.4</v>
      </c>
      <c r="H74" t="n">
        <v>55</v>
      </c>
      <c r="I74" t="n">
        <v>51.8</v>
      </c>
      <c r="J74" t="n">
        <v>53.8</v>
      </c>
      <c r="K74" t="n">
        <v>50.9</v>
      </c>
      <c r="L74" t="n">
        <v>53.3</v>
      </c>
      <c r="M74" t="n">
        <v>46.3</v>
      </c>
      <c r="N74" t="n">
        <v>51.8</v>
      </c>
      <c r="O74" t="n">
        <v>52.4</v>
      </c>
      <c r="P74" t="n">
        <v>54.4</v>
      </c>
      <c r="Q74" t="n">
        <v>51.1</v>
      </c>
      <c r="R74" t="n">
        <v>50.9</v>
      </c>
      <c r="S74" t="n">
        <v>48.7</v>
      </c>
      <c r="T74" t="n">
        <v>48</v>
      </c>
      <c r="U74" t="n">
        <v>52.7</v>
      </c>
      <c r="V74" t="n">
        <v>48.6</v>
      </c>
      <c r="W74" t="n">
        <v>52.1</v>
      </c>
      <c r="X74" t="n">
        <v>49.8</v>
      </c>
      <c r="Y74" t="n">
        <v>53.3</v>
      </c>
      <c r="Z74" t="n">
        <v>50.2</v>
      </c>
      <c r="AA74" t="n">
        <v>57.31</v>
      </c>
    </row>
    <row r="75">
      <c r="A75" s="71" t="n">
        <v>42675</v>
      </c>
      <c r="B75" t="n">
        <v>52.1</v>
      </c>
      <c r="C75" t="n">
        <v>53.4</v>
      </c>
      <c r="D75" t="n">
        <v>54.1</v>
      </c>
      <c r="E75" t="n">
        <v>50.9</v>
      </c>
      <c r="F75" t="n">
        <v>53.7</v>
      </c>
      <c r="G75" t="n">
        <v>51.3</v>
      </c>
      <c r="H75" t="n">
        <v>54.3</v>
      </c>
      <c r="I75" t="n">
        <v>51.7</v>
      </c>
      <c r="J75" t="n">
        <v>53.2</v>
      </c>
      <c r="K75" t="n">
        <v>52.2</v>
      </c>
      <c r="L75" t="n">
        <v>54.5</v>
      </c>
      <c r="M75" t="n">
        <v>46.2</v>
      </c>
      <c r="N75" t="n">
        <v>51.1</v>
      </c>
      <c r="O75" t="n">
        <v>53.6</v>
      </c>
      <c r="P75" t="n">
        <v>52.3</v>
      </c>
      <c r="Q75" t="n">
        <v>51.5</v>
      </c>
      <c r="R75" t="n">
        <v>54.2</v>
      </c>
      <c r="S75" t="n">
        <v>49.7</v>
      </c>
      <c r="T75" t="n">
        <v>48</v>
      </c>
      <c r="U75" t="n">
        <v>54.7</v>
      </c>
      <c r="V75" t="n">
        <v>48.3</v>
      </c>
      <c r="W75" t="n">
        <v>53.7</v>
      </c>
      <c r="X75" t="n">
        <v>48.8</v>
      </c>
      <c r="Y75" t="n">
        <v>52.2</v>
      </c>
      <c r="Z75" t="n">
        <v>51.9</v>
      </c>
      <c r="AA75" t="n">
        <v>57.22</v>
      </c>
    </row>
    <row r="76">
      <c r="A76" s="71" t="n">
        <v>42705</v>
      </c>
      <c r="B76" t="n">
        <v>52.7</v>
      </c>
      <c r="C76" t="n">
        <v>54.3</v>
      </c>
      <c r="D76" t="n">
        <v>54.3</v>
      </c>
      <c r="E76" t="n">
        <v>51.9</v>
      </c>
      <c r="F76" t="n">
        <v>54.9</v>
      </c>
      <c r="G76" t="n">
        <v>52.4</v>
      </c>
      <c r="H76" t="n">
        <v>55.6</v>
      </c>
      <c r="I76" t="n">
        <v>53.5</v>
      </c>
      <c r="J76" t="n">
        <v>55.6</v>
      </c>
      <c r="K76" t="n">
        <v>53.2</v>
      </c>
      <c r="L76" t="n">
        <v>55.3</v>
      </c>
      <c r="M76" t="n">
        <v>45.2</v>
      </c>
      <c r="N76" t="n">
        <v>50.2</v>
      </c>
      <c r="O76" t="n">
        <v>53.7</v>
      </c>
      <c r="P76" t="n">
        <v>49.6</v>
      </c>
      <c r="Q76" t="n">
        <v>51.8</v>
      </c>
      <c r="R76" t="n">
        <v>55.4</v>
      </c>
      <c r="S76" t="n">
        <v>49</v>
      </c>
      <c r="T76" t="n">
        <v>49.4</v>
      </c>
      <c r="U76" t="n">
        <v>56.2</v>
      </c>
      <c r="V76" t="n">
        <v>49.3</v>
      </c>
      <c r="W76" t="n">
        <v>55.7</v>
      </c>
      <c r="X76" t="n">
        <v>47.7</v>
      </c>
      <c r="Y76" t="n">
        <v>53.8</v>
      </c>
      <c r="Z76" t="n">
        <v>54.3</v>
      </c>
      <c r="AA76" t="n">
        <v>62.52</v>
      </c>
    </row>
    <row r="77">
      <c r="A77" s="71" t="n">
        <v>42736</v>
      </c>
      <c r="B77" t="n">
        <v>52.7</v>
      </c>
      <c r="C77" t="n">
        <v>55.6</v>
      </c>
      <c r="D77" t="n">
        <v>55</v>
      </c>
      <c r="E77" t="n">
        <v>51</v>
      </c>
      <c r="F77" t="n">
        <v>55.2</v>
      </c>
      <c r="G77" t="n">
        <v>52.7</v>
      </c>
      <c r="H77" t="n">
        <v>56.4</v>
      </c>
      <c r="I77" t="n">
        <v>53.6</v>
      </c>
      <c r="J77" t="n">
        <v>55.2</v>
      </c>
      <c r="K77" t="n">
        <v>53</v>
      </c>
      <c r="L77" t="n">
        <v>55.6</v>
      </c>
      <c r="M77" t="n">
        <v>44</v>
      </c>
      <c r="N77" t="n">
        <v>50.8</v>
      </c>
      <c r="O77" t="n">
        <v>54.7</v>
      </c>
      <c r="P77" t="n">
        <v>50.4</v>
      </c>
      <c r="Q77" t="n">
        <v>53.5</v>
      </c>
      <c r="R77" t="n">
        <v>51.2</v>
      </c>
      <c r="S77" t="n">
        <v>50.4</v>
      </c>
      <c r="T77" t="n">
        <v>49</v>
      </c>
      <c r="U77" t="n">
        <v>55.6</v>
      </c>
      <c r="V77" t="n">
        <v>46.6</v>
      </c>
      <c r="W77" t="n">
        <v>55.5</v>
      </c>
      <c r="X77" t="n">
        <v>48.7</v>
      </c>
      <c r="Y77" t="n">
        <v>55.7</v>
      </c>
      <c r="Z77" t="n">
        <v>54.8</v>
      </c>
      <c r="AA77" t="n">
        <v>57.57</v>
      </c>
    </row>
    <row r="78">
      <c r="A78" s="71" t="n">
        <v>42767</v>
      </c>
      <c r="B78" t="n">
        <v>53</v>
      </c>
      <c r="C78" t="n">
        <v>57.6</v>
      </c>
      <c r="D78" t="n">
        <v>54.2</v>
      </c>
      <c r="E78" t="n">
        <v>51.7</v>
      </c>
      <c r="F78" t="n">
        <v>55.4</v>
      </c>
      <c r="G78" t="n">
        <v>53.3</v>
      </c>
      <c r="H78" t="n">
        <v>56.8</v>
      </c>
      <c r="I78" t="n">
        <v>52.2</v>
      </c>
      <c r="J78" t="n">
        <v>54.5</v>
      </c>
      <c r="K78" t="n">
        <v>55</v>
      </c>
      <c r="L78" t="n">
        <v>54.8</v>
      </c>
      <c r="M78" t="n">
        <v>46.9</v>
      </c>
      <c r="N78" t="n">
        <v>50.6</v>
      </c>
      <c r="O78" t="n">
        <v>52.5</v>
      </c>
      <c r="P78" t="n">
        <v>50.7</v>
      </c>
      <c r="Q78" t="n">
        <v>54.7</v>
      </c>
      <c r="R78" t="n">
        <v>59.3</v>
      </c>
      <c r="S78" t="n">
        <v>49.3</v>
      </c>
      <c r="T78" t="n">
        <v>49.2</v>
      </c>
      <c r="U78" t="n">
        <v>54.5</v>
      </c>
      <c r="V78" t="n">
        <v>47.7</v>
      </c>
      <c r="W78" t="n">
        <v>53.8</v>
      </c>
      <c r="X78" t="n">
        <v>49.7</v>
      </c>
      <c r="Y78" t="n">
        <v>57.6</v>
      </c>
      <c r="Z78" t="n">
        <v>54.2</v>
      </c>
      <c r="AA78" t="n">
        <v>56.51</v>
      </c>
    </row>
    <row r="79">
      <c r="A79" s="71" t="n">
        <v>42795</v>
      </c>
      <c r="B79" t="n">
        <v>53</v>
      </c>
      <c r="C79" t="n">
        <v>56.6</v>
      </c>
      <c r="D79" t="n">
        <v>53.3</v>
      </c>
      <c r="E79" t="n">
        <v>51.2</v>
      </c>
      <c r="F79" t="n">
        <v>56.2</v>
      </c>
      <c r="G79" t="n">
        <v>52.4</v>
      </c>
      <c r="H79" t="n">
        <v>58.3</v>
      </c>
      <c r="I79" t="n">
        <v>53.3</v>
      </c>
      <c r="J79" t="n">
        <v>54.1</v>
      </c>
      <c r="K79" t="n">
        <v>55.7</v>
      </c>
      <c r="L79" t="n">
        <v>53.9</v>
      </c>
      <c r="M79" t="n">
        <v>49.6</v>
      </c>
      <c r="N79" t="n">
        <v>51.5</v>
      </c>
      <c r="O79" t="n">
        <v>52.4</v>
      </c>
      <c r="P79" t="n">
        <v>52.5</v>
      </c>
      <c r="Q79" t="n">
        <v>55.5</v>
      </c>
      <c r="R79" t="n">
        <v>57.5</v>
      </c>
      <c r="S79" t="n">
        <v>50.5</v>
      </c>
      <c r="T79" t="n">
        <v>48.4</v>
      </c>
      <c r="U79" t="n">
        <v>56.2</v>
      </c>
      <c r="V79" t="n">
        <v>46.7</v>
      </c>
      <c r="W79" t="n">
        <v>53.6</v>
      </c>
      <c r="X79" t="n">
        <v>52.3</v>
      </c>
      <c r="Y79" t="n">
        <v>57.5</v>
      </c>
      <c r="Z79" t="n">
        <v>53.5</v>
      </c>
      <c r="AA79" t="n">
        <v>56.62</v>
      </c>
    </row>
    <row r="80">
      <c r="A80" s="71" t="n">
        <v>42826</v>
      </c>
      <c r="B80" t="n">
        <v>52.7</v>
      </c>
      <c r="C80" t="n">
        <v>55.3</v>
      </c>
      <c r="D80" t="n">
        <v>52.8</v>
      </c>
      <c r="E80" t="n">
        <v>50.3</v>
      </c>
      <c r="F80" t="n">
        <v>56.7</v>
      </c>
      <c r="G80" t="n">
        <v>52.7</v>
      </c>
      <c r="H80" t="n">
        <v>58.2</v>
      </c>
      <c r="I80" t="n">
        <v>55.1</v>
      </c>
      <c r="J80" t="n">
        <v>57.8</v>
      </c>
      <c r="K80" t="n">
        <v>56.2</v>
      </c>
      <c r="L80" t="n">
        <v>54.5</v>
      </c>
      <c r="M80" t="n">
        <v>50.1</v>
      </c>
      <c r="N80" t="n">
        <v>50.7</v>
      </c>
      <c r="O80" t="n">
        <v>50.8</v>
      </c>
      <c r="P80" t="n">
        <v>52.5</v>
      </c>
      <c r="Q80" t="n">
        <v>55.9</v>
      </c>
      <c r="R80" t="n">
        <v>59.2</v>
      </c>
      <c r="S80" t="n">
        <v>51.2</v>
      </c>
      <c r="T80" t="n">
        <v>49.4</v>
      </c>
      <c r="U80" t="n">
        <v>54.4</v>
      </c>
      <c r="V80" t="n">
        <v>48.2</v>
      </c>
      <c r="W80" t="n">
        <v>55</v>
      </c>
      <c r="X80" t="n">
        <v>51.7</v>
      </c>
      <c r="Y80" t="n">
        <v>57.5</v>
      </c>
      <c r="Z80" t="n">
        <v>54.1</v>
      </c>
      <c r="AA80" t="n">
        <v>49.11</v>
      </c>
    </row>
    <row r="81">
      <c r="A81" s="71" t="n">
        <v>42856</v>
      </c>
      <c r="B81" t="n">
        <v>52.6</v>
      </c>
      <c r="C81" t="n">
        <v>55.5</v>
      </c>
      <c r="D81" t="n">
        <v>52.7</v>
      </c>
      <c r="E81" t="n">
        <v>49.6</v>
      </c>
      <c r="F81" t="n">
        <v>57</v>
      </c>
      <c r="G81" t="n">
        <v>53.1</v>
      </c>
      <c r="H81" t="n">
        <v>59.5</v>
      </c>
      <c r="I81" t="n">
        <v>53.8</v>
      </c>
      <c r="J81" t="n">
        <v>56.6</v>
      </c>
      <c r="K81" t="n">
        <v>55.1</v>
      </c>
      <c r="L81" t="n">
        <v>55.4</v>
      </c>
      <c r="M81" t="n">
        <v>52</v>
      </c>
      <c r="N81" t="n">
        <v>51.2</v>
      </c>
      <c r="O81" t="n">
        <v>52.4</v>
      </c>
      <c r="P81" t="n">
        <v>51.6</v>
      </c>
      <c r="Q81" t="n">
        <v>55.1</v>
      </c>
      <c r="R81" t="n">
        <v>54.8</v>
      </c>
      <c r="S81" t="n">
        <v>50.6</v>
      </c>
      <c r="T81" t="n">
        <v>49.2</v>
      </c>
      <c r="U81" t="n">
        <v>53.1</v>
      </c>
      <c r="V81" t="n">
        <v>49.6</v>
      </c>
      <c r="W81" t="n">
        <v>55.9</v>
      </c>
      <c r="X81" t="n">
        <v>53.5</v>
      </c>
      <c r="Y81" t="n">
        <v>56.4</v>
      </c>
      <c r="Z81" t="n">
        <v>52.7</v>
      </c>
      <c r="AA81" t="n">
        <v>57.99</v>
      </c>
    </row>
    <row r="82">
      <c r="A82" s="71" t="n">
        <v>42887</v>
      </c>
      <c r="B82" t="n">
        <v>52.6</v>
      </c>
      <c r="C82" t="n">
        <v>56.7</v>
      </c>
      <c r="D82" t="n">
        <v>52</v>
      </c>
      <c r="E82" t="n">
        <v>50.4</v>
      </c>
      <c r="F82" t="n">
        <v>57.4</v>
      </c>
      <c r="G82" t="n">
        <v>52.4</v>
      </c>
      <c r="H82" t="n">
        <v>59.6</v>
      </c>
      <c r="I82" t="n">
        <v>54.8</v>
      </c>
      <c r="J82" t="n">
        <v>54.4</v>
      </c>
      <c r="K82" t="n">
        <v>55.2</v>
      </c>
      <c r="L82" t="n">
        <v>54.7</v>
      </c>
      <c r="M82" t="n">
        <v>50.5</v>
      </c>
      <c r="N82" t="n">
        <v>52.3</v>
      </c>
      <c r="O82" t="n">
        <v>50.3</v>
      </c>
      <c r="P82" t="n">
        <v>50.9</v>
      </c>
      <c r="Q82" t="n">
        <v>54.7</v>
      </c>
      <c r="R82" t="n">
        <v>55</v>
      </c>
      <c r="S82" t="n">
        <v>49.5</v>
      </c>
      <c r="T82" t="n">
        <v>50.1</v>
      </c>
      <c r="U82" t="n">
        <v>53.3</v>
      </c>
      <c r="V82" t="n">
        <v>50.5</v>
      </c>
      <c r="W82" t="n">
        <v>56</v>
      </c>
      <c r="X82" t="n">
        <v>54.7</v>
      </c>
      <c r="Y82" t="n">
        <v>56.4</v>
      </c>
      <c r="Z82" t="n">
        <v>53.1</v>
      </c>
      <c r="AA82" t="n">
        <v>63.61</v>
      </c>
    </row>
    <row r="83">
      <c r="A83" s="71" t="n">
        <v>42917</v>
      </c>
      <c r="B83" t="n">
        <v>52.8</v>
      </c>
      <c r="C83" t="n">
        <v>56.5</v>
      </c>
      <c r="D83" t="n">
        <v>53.3</v>
      </c>
      <c r="E83" t="n">
        <v>51.1</v>
      </c>
      <c r="F83" t="n">
        <v>56.6</v>
      </c>
      <c r="G83" t="n">
        <v>52.1</v>
      </c>
      <c r="H83" t="n">
        <v>58.1</v>
      </c>
      <c r="I83" t="n">
        <v>54.9</v>
      </c>
      <c r="J83" t="n">
        <v>55.3</v>
      </c>
      <c r="K83" t="n">
        <v>55.1</v>
      </c>
      <c r="L83" t="n">
        <v>54</v>
      </c>
      <c r="M83" t="n">
        <v>50</v>
      </c>
      <c r="N83" t="n">
        <v>51.2</v>
      </c>
      <c r="O83" t="n">
        <v>52.7</v>
      </c>
      <c r="P83" t="n">
        <v>47.9</v>
      </c>
      <c r="Q83" t="n">
        <v>55.5</v>
      </c>
      <c r="R83" t="n">
        <v>56</v>
      </c>
      <c r="S83" t="n">
        <v>48.6</v>
      </c>
      <c r="T83" t="n">
        <v>49.1</v>
      </c>
      <c r="U83" t="n">
        <v>53.6</v>
      </c>
      <c r="V83" t="n">
        <v>50.5</v>
      </c>
      <c r="W83" t="n">
        <v>54.6</v>
      </c>
      <c r="X83" t="n">
        <v>53.6</v>
      </c>
      <c r="Y83" t="n">
        <v>55.3</v>
      </c>
      <c r="Z83" t="n">
        <v>52.3</v>
      </c>
      <c r="AA83" t="n">
        <v>63.72</v>
      </c>
    </row>
    <row r="84">
      <c r="A84" s="71" t="n">
        <v>42948</v>
      </c>
      <c r="B84" t="n">
        <v>53.2</v>
      </c>
      <c r="C84" t="n">
        <v>59.3</v>
      </c>
      <c r="D84" t="n">
        <v>52.8</v>
      </c>
      <c r="E84" t="n">
        <v>51.6</v>
      </c>
      <c r="F84" t="n">
        <v>57.4</v>
      </c>
      <c r="G84" t="n">
        <v>52.2</v>
      </c>
      <c r="H84" t="n">
        <v>59.3</v>
      </c>
      <c r="I84" t="n">
        <v>55.8</v>
      </c>
      <c r="J84" t="n">
        <v>56.8</v>
      </c>
      <c r="K84" t="n">
        <v>56.3</v>
      </c>
      <c r="L84" t="n">
        <v>52.4</v>
      </c>
      <c r="M84" t="n">
        <v>50.9</v>
      </c>
      <c r="N84" t="n">
        <v>52.2</v>
      </c>
      <c r="O84" t="n">
        <v>51.6</v>
      </c>
      <c r="P84" t="n">
        <v>51.2</v>
      </c>
      <c r="Q84" t="n">
        <v>54.6</v>
      </c>
      <c r="R84" t="n">
        <v>59.8</v>
      </c>
      <c r="S84" t="n">
        <v>50.7</v>
      </c>
      <c r="T84" t="n">
        <v>49.9</v>
      </c>
      <c r="U84" t="n">
        <v>54.3</v>
      </c>
      <c r="V84" t="n">
        <v>52.2</v>
      </c>
      <c r="W84" t="n">
        <v>56.1</v>
      </c>
      <c r="X84" t="n">
        <v>55.3</v>
      </c>
      <c r="Y84" t="n">
        <v>54.9</v>
      </c>
      <c r="Z84" t="n">
        <v>52.5</v>
      </c>
      <c r="AA84" t="n">
        <v>60.57</v>
      </c>
    </row>
    <row r="85">
      <c r="A85" s="71" t="n">
        <v>42979</v>
      </c>
      <c r="B85" t="n">
        <v>53.3</v>
      </c>
      <c r="C85" t="n">
        <v>60.2</v>
      </c>
      <c r="D85" t="n">
        <v>53.1</v>
      </c>
      <c r="E85" t="n">
        <v>51</v>
      </c>
      <c r="F85" t="n">
        <v>58.1</v>
      </c>
      <c r="G85" t="n">
        <v>52.9</v>
      </c>
      <c r="H85" t="n">
        <v>60.6</v>
      </c>
      <c r="I85" t="n">
        <v>56.1</v>
      </c>
      <c r="J85" t="n">
        <v>56</v>
      </c>
      <c r="K85" t="n">
        <v>56.3</v>
      </c>
      <c r="L85" t="n">
        <v>54.3</v>
      </c>
      <c r="M85" t="n">
        <v>50.9</v>
      </c>
      <c r="N85" t="n">
        <v>52.8</v>
      </c>
      <c r="O85" t="n">
        <v>51.9</v>
      </c>
      <c r="P85" t="n">
        <v>51.2</v>
      </c>
      <c r="Q85" t="n">
        <v>55</v>
      </c>
      <c r="R85" t="n">
        <v>54.2</v>
      </c>
      <c r="S85" t="n">
        <v>50.4</v>
      </c>
      <c r="T85" t="n">
        <v>50.6</v>
      </c>
      <c r="U85" t="n">
        <v>54.2</v>
      </c>
      <c r="V85" t="n">
        <v>52.8</v>
      </c>
      <c r="W85" t="n">
        <v>55.4</v>
      </c>
      <c r="X85" t="n">
        <v>53.5</v>
      </c>
      <c r="Y85" t="n">
        <v>56.6</v>
      </c>
      <c r="Z85" t="n">
        <v>53.7</v>
      </c>
      <c r="AA85" t="n">
        <v>61.78</v>
      </c>
    </row>
    <row r="86">
      <c r="A86" s="71" t="n">
        <v>43009</v>
      </c>
      <c r="B86" t="n">
        <v>53.5</v>
      </c>
      <c r="C86" t="n">
        <v>58.5</v>
      </c>
      <c r="D86" t="n">
        <v>54.6</v>
      </c>
      <c r="E86" t="n">
        <v>51</v>
      </c>
      <c r="F86" t="n">
        <v>58.5</v>
      </c>
      <c r="G86" t="n">
        <v>52.8</v>
      </c>
      <c r="H86" t="n">
        <v>60.6</v>
      </c>
      <c r="I86" t="n">
        <v>56.1</v>
      </c>
      <c r="J86" t="n">
        <v>56.2</v>
      </c>
      <c r="K86" t="n">
        <v>57.8</v>
      </c>
      <c r="L86" t="n">
        <v>55.8</v>
      </c>
      <c r="M86" t="n">
        <v>51.2</v>
      </c>
      <c r="N86" t="n">
        <v>49.2</v>
      </c>
      <c r="O86" t="n">
        <v>51.1</v>
      </c>
      <c r="P86" t="n">
        <v>50.3</v>
      </c>
      <c r="Q86" t="n">
        <v>54.3</v>
      </c>
      <c r="R86" t="n">
        <v>51.1</v>
      </c>
      <c r="S86" t="n">
        <v>50.1</v>
      </c>
      <c r="T86" t="n">
        <v>50.2</v>
      </c>
      <c r="U86" t="n">
        <v>53.6</v>
      </c>
      <c r="V86" t="n">
        <v>52.1</v>
      </c>
      <c r="W86" t="n">
        <v>54.4</v>
      </c>
      <c r="X86" t="n">
        <v>52.8</v>
      </c>
      <c r="Y86" t="n">
        <v>58.5</v>
      </c>
      <c r="Z86" t="n">
        <v>53.4</v>
      </c>
      <c r="AA86" t="n">
        <v>58.57</v>
      </c>
    </row>
    <row r="87">
      <c r="A87" s="71" t="n">
        <v>43040</v>
      </c>
      <c r="B87" t="n">
        <v>54.1</v>
      </c>
      <c r="C87" t="n">
        <v>58.2</v>
      </c>
      <c r="D87" t="n">
        <v>53.9</v>
      </c>
      <c r="E87" t="n">
        <v>50.8</v>
      </c>
      <c r="F87" t="n">
        <v>60.1</v>
      </c>
      <c r="G87" t="n">
        <v>53.6</v>
      </c>
      <c r="H87" t="n">
        <v>62.5</v>
      </c>
      <c r="I87" t="n">
        <v>57.7</v>
      </c>
      <c r="J87" t="n">
        <v>58.3</v>
      </c>
      <c r="K87" t="n">
        <v>58.3</v>
      </c>
      <c r="L87" t="n">
        <v>56.1</v>
      </c>
      <c r="M87" t="n">
        <v>53.5</v>
      </c>
      <c r="N87" t="n">
        <v>52.4</v>
      </c>
      <c r="O87" t="n">
        <v>51.5</v>
      </c>
      <c r="P87" t="n">
        <v>52.6</v>
      </c>
      <c r="Q87" t="n">
        <v>54.4</v>
      </c>
      <c r="R87" t="n">
        <v>57.3</v>
      </c>
      <c r="S87" t="n">
        <v>50.4</v>
      </c>
      <c r="T87" t="n">
        <v>51.2</v>
      </c>
      <c r="U87" t="n">
        <v>56.3</v>
      </c>
      <c r="V87" t="n">
        <v>52.2</v>
      </c>
      <c r="W87" t="n">
        <v>58.1</v>
      </c>
      <c r="X87" t="n">
        <v>52.9</v>
      </c>
      <c r="Y87" t="n">
        <v>58.7</v>
      </c>
      <c r="Z87" t="n">
        <v>54.2</v>
      </c>
      <c r="AA87" t="n">
        <v>58.31</v>
      </c>
    </row>
    <row r="88">
      <c r="A88" s="71" t="n">
        <v>43070</v>
      </c>
      <c r="B88" t="n">
        <v>54.5</v>
      </c>
      <c r="C88" t="n">
        <v>59.3</v>
      </c>
      <c r="D88" t="n">
        <v>55.1</v>
      </c>
      <c r="E88" t="n">
        <v>51.5</v>
      </c>
      <c r="F88" t="n">
        <v>60.6</v>
      </c>
      <c r="G88" t="n">
        <v>54</v>
      </c>
      <c r="H88" t="n">
        <v>63.3</v>
      </c>
      <c r="I88" t="n">
        <v>58.8</v>
      </c>
      <c r="J88" t="n">
        <v>56</v>
      </c>
      <c r="K88" t="n">
        <v>57.4</v>
      </c>
      <c r="L88" t="n">
        <v>55.8</v>
      </c>
      <c r="M88" t="n">
        <v>52.4</v>
      </c>
      <c r="N88" t="n">
        <v>51.7</v>
      </c>
      <c r="O88" t="n">
        <v>52</v>
      </c>
      <c r="P88" t="n">
        <v>54.7</v>
      </c>
      <c r="Q88" t="n">
        <v>54.7</v>
      </c>
      <c r="R88" t="n">
        <v>56.2</v>
      </c>
      <c r="S88" t="n">
        <v>49.3</v>
      </c>
      <c r="T88" t="n">
        <v>49.9</v>
      </c>
      <c r="U88" t="n">
        <v>56.6</v>
      </c>
      <c r="V88" t="n">
        <v>53.1</v>
      </c>
      <c r="W88" t="n">
        <v>59.1</v>
      </c>
      <c r="X88" t="n">
        <v>54.9</v>
      </c>
      <c r="Y88" t="n">
        <v>59.8</v>
      </c>
      <c r="Z88" t="n">
        <v>55</v>
      </c>
      <c r="AA88" t="n">
        <v>61.04</v>
      </c>
    </row>
    <row r="89">
      <c r="A89" s="71" t="n">
        <v>43101</v>
      </c>
      <c r="B89" t="n">
        <v>54.4</v>
      </c>
      <c r="C89" t="n">
        <v>59.1</v>
      </c>
      <c r="D89" t="n">
        <v>55.5</v>
      </c>
      <c r="E89" t="n">
        <v>51.6</v>
      </c>
      <c r="F89" t="n">
        <v>59.6</v>
      </c>
      <c r="G89" t="n">
        <v>54.8</v>
      </c>
      <c r="H89" t="n">
        <v>61.1</v>
      </c>
      <c r="I89" t="n">
        <v>58.4</v>
      </c>
      <c r="J89" t="n">
        <v>55</v>
      </c>
      <c r="K89" t="n">
        <v>59</v>
      </c>
      <c r="L89" t="n">
        <v>55.2</v>
      </c>
      <c r="M89" t="n">
        <v>51.2</v>
      </c>
      <c r="N89" t="n">
        <v>52.6</v>
      </c>
      <c r="O89" t="n">
        <v>52.1</v>
      </c>
      <c r="P89" t="n">
        <v>52.4</v>
      </c>
      <c r="Q89" t="n">
        <v>55.9</v>
      </c>
      <c r="R89" t="n">
        <v>58.7</v>
      </c>
      <c r="S89" t="n">
        <v>49.9</v>
      </c>
      <c r="T89" t="n">
        <v>50.7</v>
      </c>
      <c r="U89" t="n">
        <v>56.9</v>
      </c>
      <c r="V89" t="n">
        <v>55.2</v>
      </c>
      <c r="W89" t="n">
        <v>57.6</v>
      </c>
      <c r="X89" t="n">
        <v>55.7</v>
      </c>
      <c r="Y89" t="n">
        <v>59.8</v>
      </c>
      <c r="Z89" t="n">
        <v>54.6</v>
      </c>
      <c r="AA89" t="n">
        <v>66.65000000000001</v>
      </c>
    </row>
    <row r="90">
      <c r="A90" s="71" t="n">
        <v>43132</v>
      </c>
      <c r="B90" t="n">
        <v>54.1</v>
      </c>
      <c r="C90" t="n">
        <v>60.8</v>
      </c>
      <c r="D90" t="n">
        <v>55.3</v>
      </c>
      <c r="E90" t="n">
        <v>51.5</v>
      </c>
      <c r="F90" t="n">
        <v>58.6</v>
      </c>
      <c r="G90" t="n">
        <v>54.1</v>
      </c>
      <c r="H90" t="n">
        <v>60.6</v>
      </c>
      <c r="I90" t="n">
        <v>55.9</v>
      </c>
      <c r="J90" t="n">
        <v>54.9</v>
      </c>
      <c r="K90" t="n">
        <v>56.8</v>
      </c>
      <c r="L90" t="n">
        <v>56</v>
      </c>
      <c r="M90" t="n">
        <v>53.2</v>
      </c>
      <c r="N90" t="n">
        <v>51.6</v>
      </c>
      <c r="O90" t="n">
        <v>50.2</v>
      </c>
      <c r="P90" t="n">
        <v>52.1</v>
      </c>
      <c r="Q90" t="n">
        <v>55.6</v>
      </c>
      <c r="R90" t="n">
        <v>57.5</v>
      </c>
      <c r="S90" t="n">
        <v>51.4</v>
      </c>
      <c r="T90" t="n">
        <v>50.3</v>
      </c>
      <c r="U90" t="n">
        <v>56</v>
      </c>
      <c r="V90" t="n">
        <v>56.1</v>
      </c>
      <c r="W90" t="n">
        <v>56.2</v>
      </c>
      <c r="X90" t="n">
        <v>55.6</v>
      </c>
      <c r="Y90" t="n">
        <v>58.8</v>
      </c>
      <c r="Z90" t="n">
        <v>53.7</v>
      </c>
      <c r="AA90" t="n">
        <v>70.75</v>
      </c>
    </row>
    <row r="91">
      <c r="A91" s="71" t="n">
        <v>43160</v>
      </c>
      <c r="B91" t="n">
        <v>53.3</v>
      </c>
      <c r="C91" t="n">
        <v>59.3</v>
      </c>
      <c r="D91" t="n">
        <v>55.6</v>
      </c>
      <c r="E91" t="n">
        <v>51</v>
      </c>
      <c r="F91" t="n">
        <v>56.6</v>
      </c>
      <c r="G91" t="n">
        <v>53.2</v>
      </c>
      <c r="H91" t="n">
        <v>58.4</v>
      </c>
      <c r="I91" t="n">
        <v>53.7</v>
      </c>
      <c r="J91" t="n">
        <v>54.9</v>
      </c>
      <c r="K91" t="n">
        <v>55.1</v>
      </c>
      <c r="L91" t="n">
        <v>54.8</v>
      </c>
      <c r="M91" t="n">
        <v>53.4</v>
      </c>
      <c r="N91" t="n">
        <v>52.4</v>
      </c>
      <c r="O91" t="n">
        <v>50.6</v>
      </c>
      <c r="P91" t="n">
        <v>51</v>
      </c>
      <c r="Q91" t="n">
        <v>55.7</v>
      </c>
      <c r="R91" t="n">
        <v>63.1</v>
      </c>
      <c r="S91" t="n">
        <v>50.7</v>
      </c>
      <c r="T91" t="n">
        <v>49.1</v>
      </c>
      <c r="U91" t="n">
        <v>55.3</v>
      </c>
      <c r="V91" t="n">
        <v>55</v>
      </c>
      <c r="W91" t="n">
        <v>54.1</v>
      </c>
      <c r="X91" t="n">
        <v>51.8</v>
      </c>
      <c r="Y91" t="n">
        <v>57.3</v>
      </c>
      <c r="Z91" t="n">
        <v>53.7</v>
      </c>
      <c r="AA91" t="n">
        <v>61.05</v>
      </c>
    </row>
    <row r="92">
      <c r="A92" s="71" t="n">
        <v>43191</v>
      </c>
      <c r="B92" t="n">
        <v>53.5</v>
      </c>
      <c r="C92" t="n">
        <v>57.3</v>
      </c>
      <c r="D92" t="n">
        <v>56.5</v>
      </c>
      <c r="E92" t="n">
        <v>51.1</v>
      </c>
      <c r="F92" t="n">
        <v>56.2</v>
      </c>
      <c r="G92" t="n">
        <v>53.8</v>
      </c>
      <c r="H92" t="n">
        <v>58.1</v>
      </c>
      <c r="I92" t="n">
        <v>53.8</v>
      </c>
      <c r="J92" t="n">
        <v>53.9</v>
      </c>
      <c r="K92" t="n">
        <v>53.5</v>
      </c>
      <c r="L92" t="n">
        <v>54.4</v>
      </c>
      <c r="M92" t="n">
        <v>52.3</v>
      </c>
      <c r="N92" t="n">
        <v>51.6</v>
      </c>
      <c r="O92" t="n">
        <v>51.3</v>
      </c>
      <c r="P92" t="n">
        <v>51.6</v>
      </c>
      <c r="Q92" t="n">
        <v>55.5</v>
      </c>
      <c r="R92" t="n">
        <v>58.3</v>
      </c>
      <c r="S92" t="n">
        <v>51.6</v>
      </c>
      <c r="T92" t="n">
        <v>48.4</v>
      </c>
      <c r="U92" t="n">
        <v>54.8</v>
      </c>
      <c r="V92" t="n">
        <v>52.9</v>
      </c>
      <c r="W92" t="n">
        <v>55.3</v>
      </c>
      <c r="X92" t="n">
        <v>48.9</v>
      </c>
      <c r="Y92" t="n">
        <v>57.2</v>
      </c>
      <c r="Z92" t="n">
        <v>53.9</v>
      </c>
      <c r="AA92" t="n">
        <v>54.24</v>
      </c>
    </row>
    <row r="93">
      <c r="A93" s="71" t="n">
        <v>43221</v>
      </c>
      <c r="B93" t="n">
        <v>53.1</v>
      </c>
      <c r="C93" t="n">
        <v>58.7</v>
      </c>
      <c r="D93" t="n">
        <v>56.4</v>
      </c>
      <c r="E93" t="n">
        <v>51.1</v>
      </c>
      <c r="F93" t="n">
        <v>55.5</v>
      </c>
      <c r="G93" t="n">
        <v>52.8</v>
      </c>
      <c r="H93" t="n">
        <v>56.9</v>
      </c>
      <c r="I93" t="n">
        <v>55.1</v>
      </c>
      <c r="J93" t="n">
        <v>54.4</v>
      </c>
      <c r="K93" t="n">
        <v>52.7</v>
      </c>
      <c r="L93" t="n">
        <v>53.4</v>
      </c>
      <c r="M93" t="n">
        <v>50.7</v>
      </c>
      <c r="N93" t="n">
        <v>51</v>
      </c>
      <c r="O93" t="n">
        <v>49.8</v>
      </c>
      <c r="P93" t="n">
        <v>51.2</v>
      </c>
      <c r="Q93" t="n">
        <v>56.2</v>
      </c>
      <c r="R93" t="n">
        <v>57.5</v>
      </c>
      <c r="S93" t="n">
        <v>51.7</v>
      </c>
      <c r="T93" t="n">
        <v>48.9</v>
      </c>
      <c r="U93" t="n">
        <v>53.4</v>
      </c>
      <c r="V93" t="n">
        <v>54.2</v>
      </c>
      <c r="W93" t="n">
        <v>55.4</v>
      </c>
      <c r="X93" t="n">
        <v>46.4</v>
      </c>
      <c r="Y93" t="n">
        <v>56.5</v>
      </c>
      <c r="Z93" t="n">
        <v>53.3</v>
      </c>
      <c r="AA93" t="n">
        <v>47.78</v>
      </c>
    </row>
    <row r="94">
      <c r="A94" s="71" t="n">
        <v>43252</v>
      </c>
      <c r="B94" t="n">
        <v>53</v>
      </c>
      <c r="C94" t="n">
        <v>60.2</v>
      </c>
      <c r="D94" t="n">
        <v>55.4</v>
      </c>
      <c r="E94" t="n">
        <v>51</v>
      </c>
      <c r="F94" t="n">
        <v>54.9</v>
      </c>
      <c r="G94" t="n">
        <v>53</v>
      </c>
      <c r="H94" t="n">
        <v>55.9</v>
      </c>
      <c r="I94" t="n">
        <v>52.5</v>
      </c>
      <c r="J94" t="n">
        <v>54.4</v>
      </c>
      <c r="K94" t="n">
        <v>53.3</v>
      </c>
      <c r="L94" t="n">
        <v>53.4</v>
      </c>
      <c r="M94" t="n">
        <v>49.8</v>
      </c>
      <c r="N94" t="n">
        <v>52.1</v>
      </c>
      <c r="O94" t="n">
        <v>49.5</v>
      </c>
      <c r="P94" t="n">
        <v>53.1</v>
      </c>
      <c r="Q94" t="n">
        <v>57.1</v>
      </c>
      <c r="R94" t="n">
        <v>57.4</v>
      </c>
      <c r="S94" t="n">
        <v>50.3</v>
      </c>
      <c r="T94" t="n">
        <v>49.8</v>
      </c>
      <c r="U94" t="n">
        <v>54.5</v>
      </c>
      <c r="V94" t="n">
        <v>53.5</v>
      </c>
      <c r="W94" t="n">
        <v>56.6</v>
      </c>
      <c r="X94" t="n">
        <v>46.8</v>
      </c>
      <c r="Y94" t="n">
        <v>56.8</v>
      </c>
      <c r="Z94" t="n">
        <v>54.2</v>
      </c>
      <c r="AA94" t="n">
        <v>49.8</v>
      </c>
    </row>
    <row r="95">
      <c r="A95" s="71" t="n">
        <v>43282</v>
      </c>
      <c r="B95" t="n">
        <v>52.8</v>
      </c>
      <c r="C95" t="n">
        <v>58.1</v>
      </c>
      <c r="D95" t="n">
        <v>55.3</v>
      </c>
      <c r="E95" t="n">
        <v>50.8</v>
      </c>
      <c r="F95" t="n">
        <v>55.1</v>
      </c>
      <c r="G95" t="n">
        <v>52.3</v>
      </c>
      <c r="H95" t="n">
        <v>56.9</v>
      </c>
      <c r="I95" t="n">
        <v>53.3</v>
      </c>
      <c r="J95" t="n">
        <v>54</v>
      </c>
      <c r="K95" t="n">
        <v>51.5</v>
      </c>
      <c r="L95" t="n">
        <v>52.9</v>
      </c>
      <c r="M95" t="n">
        <v>50.5</v>
      </c>
      <c r="N95" t="n">
        <v>52.1</v>
      </c>
      <c r="O95" t="n">
        <v>48.1</v>
      </c>
      <c r="P95" t="n">
        <v>52.3</v>
      </c>
      <c r="Q95" t="n">
        <v>56.9</v>
      </c>
      <c r="R95" t="n">
        <v>52</v>
      </c>
      <c r="S95" t="n">
        <v>50.5</v>
      </c>
      <c r="T95" t="n">
        <v>48.3</v>
      </c>
      <c r="U95" t="n">
        <v>53.1</v>
      </c>
      <c r="V95" t="n">
        <v>53.5</v>
      </c>
      <c r="W95" t="n">
        <v>56.3</v>
      </c>
      <c r="X95" t="n">
        <v>49</v>
      </c>
      <c r="Y95" t="n">
        <v>55.4</v>
      </c>
      <c r="Z95" t="n">
        <v>52.9</v>
      </c>
      <c r="AA95" t="n">
        <v>55.7</v>
      </c>
    </row>
    <row r="96">
      <c r="A96" s="71" t="n">
        <v>43313</v>
      </c>
      <c r="B96" t="n">
        <v>52.6</v>
      </c>
      <c r="C96" t="n">
        <v>61.3</v>
      </c>
      <c r="D96" t="n">
        <v>54.5</v>
      </c>
      <c r="E96" t="n">
        <v>50.6</v>
      </c>
      <c r="F96" t="n">
        <v>54.6</v>
      </c>
      <c r="G96" t="n">
        <v>52.5</v>
      </c>
      <c r="H96" t="n">
        <v>55.9</v>
      </c>
      <c r="I96" t="n">
        <v>53.5</v>
      </c>
      <c r="J96" t="n">
        <v>52.8</v>
      </c>
      <c r="K96" t="n">
        <v>50.1</v>
      </c>
      <c r="L96" t="n">
        <v>53</v>
      </c>
      <c r="M96" t="n">
        <v>51.1</v>
      </c>
      <c r="N96" t="n">
        <v>50.7</v>
      </c>
      <c r="O96" t="n">
        <v>48.9</v>
      </c>
      <c r="P96" t="n">
        <v>51.7</v>
      </c>
      <c r="Q96" t="n">
        <v>56.8</v>
      </c>
      <c r="R96" t="n">
        <v>56.7</v>
      </c>
      <c r="S96" t="n">
        <v>51.9</v>
      </c>
      <c r="T96" t="n">
        <v>49.9</v>
      </c>
      <c r="U96" t="n">
        <v>53</v>
      </c>
      <c r="V96" t="n">
        <v>53.9</v>
      </c>
      <c r="W96" t="n">
        <v>57.5</v>
      </c>
      <c r="X96" t="n">
        <v>46.4</v>
      </c>
      <c r="Y96" t="n">
        <v>54.9</v>
      </c>
      <c r="Z96" t="n">
        <v>51.4</v>
      </c>
      <c r="AA96" t="n">
        <v>59.15</v>
      </c>
    </row>
    <row r="97">
      <c r="A97" s="71" t="n">
        <v>43344</v>
      </c>
      <c r="B97" t="n">
        <v>52.2</v>
      </c>
      <c r="C97" t="n">
        <v>59.8</v>
      </c>
      <c r="D97" t="n">
        <v>55.6</v>
      </c>
      <c r="E97" t="n">
        <v>50</v>
      </c>
      <c r="F97" t="n">
        <v>53.2</v>
      </c>
      <c r="G97" t="n">
        <v>52.5</v>
      </c>
      <c r="H97" t="n">
        <v>53.7</v>
      </c>
      <c r="I97" t="n">
        <v>52.5</v>
      </c>
      <c r="J97" t="n">
        <v>53.8</v>
      </c>
      <c r="K97" t="n">
        <v>50</v>
      </c>
      <c r="L97" t="n">
        <v>51.4</v>
      </c>
      <c r="M97" t="n">
        <v>50.9</v>
      </c>
      <c r="N97" t="n">
        <v>51.7</v>
      </c>
      <c r="O97" t="n">
        <v>50</v>
      </c>
      <c r="P97" t="n">
        <v>52.2</v>
      </c>
      <c r="Q97" t="n">
        <v>54.8</v>
      </c>
      <c r="R97" t="n">
        <v>59</v>
      </c>
      <c r="S97" t="n">
        <v>50.7</v>
      </c>
      <c r="T97" t="n">
        <v>51.3</v>
      </c>
      <c r="U97" t="n">
        <v>50.8</v>
      </c>
      <c r="V97" t="n">
        <v>53.6</v>
      </c>
      <c r="W97" t="n">
        <v>56.3</v>
      </c>
      <c r="X97" t="n">
        <v>42.7</v>
      </c>
      <c r="Y97" t="n">
        <v>53.4</v>
      </c>
      <c r="Z97" t="n">
        <v>50.5</v>
      </c>
      <c r="AA97" t="n">
        <v>53.7</v>
      </c>
    </row>
    <row r="98">
      <c r="A98" s="71" t="n">
        <v>43374</v>
      </c>
      <c r="B98" t="n">
        <v>52</v>
      </c>
      <c r="C98" t="n">
        <v>57.7</v>
      </c>
      <c r="D98" t="n">
        <v>55.7</v>
      </c>
      <c r="E98" t="n">
        <v>50.1</v>
      </c>
      <c r="F98" t="n">
        <v>52</v>
      </c>
      <c r="G98" t="n">
        <v>52.9</v>
      </c>
      <c r="H98" t="n">
        <v>52.2</v>
      </c>
      <c r="I98" t="n">
        <v>51.2</v>
      </c>
      <c r="J98" t="n">
        <v>51.1</v>
      </c>
      <c r="K98" t="n">
        <v>49.2</v>
      </c>
      <c r="L98" t="n">
        <v>51.8</v>
      </c>
      <c r="M98" t="n">
        <v>51.1</v>
      </c>
      <c r="N98" t="n">
        <v>50.7</v>
      </c>
      <c r="O98" t="n">
        <v>51.3</v>
      </c>
      <c r="P98" t="n">
        <v>53.1</v>
      </c>
      <c r="Q98" t="n">
        <v>53.9</v>
      </c>
      <c r="R98" t="n">
        <v>58.3</v>
      </c>
      <c r="S98" t="n">
        <v>50.5</v>
      </c>
      <c r="T98" t="n">
        <v>51</v>
      </c>
      <c r="U98" t="n">
        <v>48.7</v>
      </c>
      <c r="V98" t="n">
        <v>53.1</v>
      </c>
      <c r="W98" t="n">
        <v>54.9</v>
      </c>
      <c r="X98" t="n">
        <v>44.3</v>
      </c>
      <c r="Y98" t="n">
        <v>52.5</v>
      </c>
      <c r="Z98" t="n">
        <v>50.4</v>
      </c>
      <c r="AA98" t="n">
        <v>66.8</v>
      </c>
    </row>
    <row r="99">
      <c r="A99" s="71" t="n">
        <v>43405</v>
      </c>
      <c r="B99" t="n">
        <v>52</v>
      </c>
      <c r="C99" t="n">
        <v>59.3</v>
      </c>
      <c r="D99" t="n">
        <v>55.3</v>
      </c>
      <c r="E99" t="n">
        <v>50.2</v>
      </c>
      <c r="F99" t="n">
        <v>51.8</v>
      </c>
      <c r="G99" t="n">
        <v>52.2</v>
      </c>
      <c r="H99" t="n">
        <v>51.8</v>
      </c>
      <c r="I99" t="n">
        <v>50.8</v>
      </c>
      <c r="J99" t="n">
        <v>53.1</v>
      </c>
      <c r="K99" t="n">
        <v>48.6</v>
      </c>
      <c r="L99" t="n">
        <v>52.6</v>
      </c>
      <c r="M99" t="n">
        <v>52.7</v>
      </c>
      <c r="N99" t="n">
        <v>49.7</v>
      </c>
      <c r="O99" t="n">
        <v>52.6</v>
      </c>
      <c r="P99" t="n">
        <v>54</v>
      </c>
      <c r="Q99" t="n">
        <v>54.9</v>
      </c>
      <c r="R99" t="n">
        <v>51.3</v>
      </c>
      <c r="S99" t="n">
        <v>50.4</v>
      </c>
      <c r="T99" t="n">
        <v>48.6</v>
      </c>
      <c r="U99" t="n">
        <v>48.4</v>
      </c>
      <c r="V99" t="n">
        <v>54</v>
      </c>
      <c r="W99" t="n">
        <v>55.4</v>
      </c>
      <c r="X99" t="n">
        <v>44.7</v>
      </c>
      <c r="Y99" t="n">
        <v>51.8</v>
      </c>
      <c r="Z99" t="n">
        <v>49.5</v>
      </c>
      <c r="AA99" t="n">
        <v>58.2</v>
      </c>
    </row>
    <row r="100">
      <c r="A100" s="71" t="n">
        <v>43435</v>
      </c>
      <c r="B100" t="n">
        <v>51.5</v>
      </c>
      <c r="C100" t="n">
        <v>54.3</v>
      </c>
      <c r="D100" t="n">
        <v>53.8</v>
      </c>
      <c r="E100" t="n">
        <v>49.7</v>
      </c>
      <c r="F100" t="n">
        <v>51.4</v>
      </c>
      <c r="G100" t="n">
        <v>52.4</v>
      </c>
      <c r="H100" t="n">
        <v>51.5</v>
      </c>
      <c r="I100" t="n">
        <v>49.7</v>
      </c>
      <c r="J100" t="n">
        <v>54.2</v>
      </c>
      <c r="K100" t="n">
        <v>49.2</v>
      </c>
      <c r="L100" t="n">
        <v>51.1</v>
      </c>
      <c r="M100" t="n">
        <v>52.6</v>
      </c>
      <c r="N100" t="n">
        <v>49.7</v>
      </c>
      <c r="O100" t="n">
        <v>51.7</v>
      </c>
      <c r="P100" t="n">
        <v>53.2</v>
      </c>
      <c r="Q100" t="n">
        <v>53.6</v>
      </c>
      <c r="R100" t="n">
        <v>49.5</v>
      </c>
      <c r="S100" t="n">
        <v>51.2</v>
      </c>
      <c r="T100" t="n">
        <v>49.8</v>
      </c>
      <c r="U100" t="n">
        <v>47.7</v>
      </c>
      <c r="V100" t="n">
        <v>53.8</v>
      </c>
      <c r="W100" t="n">
        <v>54.5</v>
      </c>
      <c r="X100" t="n">
        <v>44.2</v>
      </c>
      <c r="Y100" t="n">
        <v>49.7</v>
      </c>
      <c r="Z100" t="n">
        <v>47.6</v>
      </c>
      <c r="AA100" t="n">
        <v>57.5</v>
      </c>
    </row>
    <row r="101">
      <c r="A101" s="71" t="n">
        <v>43466</v>
      </c>
      <c r="B101" t="n">
        <v>50.7</v>
      </c>
      <c r="C101" t="n">
        <v>56.6</v>
      </c>
      <c r="D101" t="n">
        <v>54.9</v>
      </c>
      <c r="E101" t="n">
        <v>48.3</v>
      </c>
      <c r="F101" t="n">
        <v>50.5</v>
      </c>
      <c r="G101" t="n">
        <v>50.3</v>
      </c>
      <c r="H101" t="n">
        <v>49.7</v>
      </c>
      <c r="I101" t="n">
        <v>51.2</v>
      </c>
      <c r="J101" t="n">
        <v>52.8</v>
      </c>
      <c r="K101" t="n">
        <v>47.8</v>
      </c>
      <c r="L101" t="n">
        <v>52.4</v>
      </c>
      <c r="M101" t="n">
        <v>52.7</v>
      </c>
      <c r="N101" t="n">
        <v>50.9</v>
      </c>
      <c r="O101" t="n">
        <v>50.9</v>
      </c>
      <c r="P101" t="n">
        <v>53.9</v>
      </c>
      <c r="Q101" t="n">
        <v>53</v>
      </c>
      <c r="R101" t="n">
        <v>52.5</v>
      </c>
      <c r="S101" t="n">
        <v>49.9</v>
      </c>
      <c r="T101" t="n">
        <v>48.3</v>
      </c>
      <c r="U101" t="n">
        <v>47.5</v>
      </c>
      <c r="V101" t="n">
        <v>53.7</v>
      </c>
      <c r="W101" t="n">
        <v>52.6</v>
      </c>
      <c r="X101" t="n">
        <v>44.2</v>
      </c>
      <c r="Y101" t="n">
        <v>49</v>
      </c>
      <c r="Z101" t="n">
        <v>48.2</v>
      </c>
      <c r="AA101" t="n">
        <v>51.1</v>
      </c>
    </row>
    <row r="102">
      <c r="A102" s="71" t="n">
        <v>43497</v>
      </c>
      <c r="B102" t="n">
        <v>50.6</v>
      </c>
      <c r="C102" t="n">
        <v>54.3</v>
      </c>
      <c r="D102" t="n">
        <v>53</v>
      </c>
      <c r="E102" t="n">
        <v>49.9</v>
      </c>
      <c r="F102" t="n">
        <v>49.3</v>
      </c>
      <c r="G102" t="n">
        <v>48.9</v>
      </c>
      <c r="H102" t="n">
        <v>47.6</v>
      </c>
      <c r="I102" t="n">
        <v>51.5</v>
      </c>
      <c r="J102" t="n">
        <v>52</v>
      </c>
      <c r="K102" t="n">
        <v>47.7</v>
      </c>
      <c r="L102" t="n">
        <v>49.9</v>
      </c>
      <c r="M102" t="n">
        <v>53.4</v>
      </c>
      <c r="N102" t="n">
        <v>52.6</v>
      </c>
      <c r="O102" t="n">
        <v>50.1</v>
      </c>
      <c r="P102" t="n">
        <v>54.3</v>
      </c>
      <c r="Q102" t="n">
        <v>52.6</v>
      </c>
      <c r="R102" t="n">
        <v>54</v>
      </c>
      <c r="S102" t="n">
        <v>50.1</v>
      </c>
      <c r="T102" t="n">
        <v>47.2</v>
      </c>
      <c r="U102" t="n">
        <v>46.3</v>
      </c>
      <c r="V102" t="n">
        <v>54.2</v>
      </c>
      <c r="W102" t="n">
        <v>54</v>
      </c>
      <c r="X102" t="n">
        <v>46.4</v>
      </c>
      <c r="Y102" t="n">
        <v>48.6</v>
      </c>
      <c r="Z102" t="n">
        <v>47.6</v>
      </c>
      <c r="AA102" t="n">
        <v>61.6</v>
      </c>
    </row>
    <row r="103">
      <c r="A103" s="71" t="n">
        <v>43525</v>
      </c>
      <c r="B103" t="n">
        <v>50.5</v>
      </c>
      <c r="C103" t="n">
        <v>54.3</v>
      </c>
      <c r="D103" t="n">
        <v>52.4</v>
      </c>
      <c r="E103" t="n">
        <v>50.8</v>
      </c>
      <c r="F103" t="n">
        <v>47.5</v>
      </c>
      <c r="G103" t="n">
        <v>49.2</v>
      </c>
      <c r="H103" t="n">
        <v>44.1</v>
      </c>
      <c r="I103" t="n">
        <v>49.7</v>
      </c>
      <c r="J103" t="n">
        <v>55.1</v>
      </c>
      <c r="K103" t="n">
        <v>47.4</v>
      </c>
      <c r="L103" t="n">
        <v>50.9</v>
      </c>
      <c r="M103" t="n">
        <v>52.8</v>
      </c>
      <c r="N103" t="n">
        <v>49.8</v>
      </c>
      <c r="O103" t="n">
        <v>52.8</v>
      </c>
      <c r="P103" t="n">
        <v>52.6</v>
      </c>
      <c r="Q103" t="n">
        <v>50.5</v>
      </c>
      <c r="R103" t="n">
        <v>51</v>
      </c>
      <c r="S103" t="n">
        <v>51.2</v>
      </c>
      <c r="T103" t="n">
        <v>48.8</v>
      </c>
      <c r="U103" t="n">
        <v>49</v>
      </c>
      <c r="V103" t="n">
        <v>54.7</v>
      </c>
      <c r="W103" t="n">
        <v>53.9</v>
      </c>
      <c r="X103" t="n">
        <v>47.2</v>
      </c>
      <c r="Y103" t="n">
        <v>47.3</v>
      </c>
      <c r="Z103" t="n">
        <v>48.7</v>
      </c>
      <c r="AA103" t="n">
        <v>56.6</v>
      </c>
    </row>
    <row r="104">
      <c r="A104" s="71" t="n">
        <v>43556</v>
      </c>
      <c r="B104" t="n">
        <v>50.4</v>
      </c>
      <c r="C104" t="n">
        <v>52.8</v>
      </c>
      <c r="D104" t="n">
        <v>52.6</v>
      </c>
      <c r="E104" t="n">
        <v>50.2</v>
      </c>
      <c r="F104" t="n">
        <v>47.9</v>
      </c>
      <c r="G104" t="n">
        <v>49.5</v>
      </c>
      <c r="H104" t="n">
        <v>44.4</v>
      </c>
      <c r="I104" t="n">
        <v>50</v>
      </c>
      <c r="J104" t="n">
        <v>53.1</v>
      </c>
      <c r="K104" t="n">
        <v>49.1</v>
      </c>
      <c r="L104" t="n">
        <v>51.8</v>
      </c>
      <c r="M104" t="n">
        <v>51.5</v>
      </c>
      <c r="N104" t="n">
        <v>50.1</v>
      </c>
      <c r="O104" t="n">
        <v>51.8</v>
      </c>
      <c r="P104" t="n">
        <v>51.8</v>
      </c>
      <c r="Q104" t="n">
        <v>49.7</v>
      </c>
      <c r="R104" t="n">
        <v>54.8</v>
      </c>
      <c r="S104" t="n">
        <v>50.4</v>
      </c>
      <c r="T104" t="n">
        <v>50.2</v>
      </c>
      <c r="U104" t="n">
        <v>48.2</v>
      </c>
      <c r="V104" t="n">
        <v>56.6</v>
      </c>
      <c r="W104" t="n">
        <v>52.5</v>
      </c>
      <c r="X104" t="n">
        <v>46.8</v>
      </c>
      <c r="Y104" t="n">
        <v>46.6</v>
      </c>
      <c r="Z104" t="n">
        <v>49</v>
      </c>
      <c r="AA104" t="n">
        <v>59.6</v>
      </c>
    </row>
    <row r="105">
      <c r="A105" s="71" t="n">
        <v>43586</v>
      </c>
      <c r="B105" t="n">
        <v>49.8</v>
      </c>
      <c r="C105" t="n">
        <v>52.1</v>
      </c>
      <c r="D105" t="n">
        <v>50.5</v>
      </c>
      <c r="E105" t="n">
        <v>50.2</v>
      </c>
      <c r="F105" t="n">
        <v>47.7</v>
      </c>
      <c r="G105" t="n">
        <v>49.8</v>
      </c>
      <c r="H105" t="n">
        <v>44.3</v>
      </c>
      <c r="I105" t="n">
        <v>50.6</v>
      </c>
      <c r="J105" t="n">
        <v>49.4</v>
      </c>
      <c r="K105" t="n">
        <v>49.7</v>
      </c>
      <c r="L105" t="n">
        <v>50.1</v>
      </c>
      <c r="M105" t="n">
        <v>50.2</v>
      </c>
      <c r="N105" t="n">
        <v>50</v>
      </c>
      <c r="O105" t="n">
        <v>49.8</v>
      </c>
      <c r="P105" t="n">
        <v>52.7</v>
      </c>
      <c r="Q105" t="n">
        <v>49.1</v>
      </c>
      <c r="R105" t="n">
        <v>52.7</v>
      </c>
      <c r="S105" t="n">
        <v>51.6</v>
      </c>
      <c r="T105" t="n">
        <v>48.4</v>
      </c>
      <c r="U105" t="n">
        <v>48.4</v>
      </c>
      <c r="V105" t="n">
        <v>54.2</v>
      </c>
      <c r="W105" t="n">
        <v>50.4</v>
      </c>
      <c r="X105" t="n">
        <v>45.3</v>
      </c>
      <c r="Y105" t="n">
        <v>46.6</v>
      </c>
      <c r="Z105" t="n">
        <v>48.8</v>
      </c>
      <c r="AA105" t="n">
        <v>47.6</v>
      </c>
    </row>
    <row r="106">
      <c r="A106" s="71" t="n">
        <v>43617</v>
      </c>
      <c r="B106" t="n">
        <v>49.4</v>
      </c>
      <c r="C106" t="n">
        <v>51.7</v>
      </c>
      <c r="D106" t="n">
        <v>50.6</v>
      </c>
      <c r="E106" t="n">
        <v>49.4</v>
      </c>
      <c r="F106" t="n">
        <v>47.6</v>
      </c>
      <c r="G106" t="n">
        <v>49.3</v>
      </c>
      <c r="H106" t="n">
        <v>45</v>
      </c>
      <c r="I106" t="n">
        <v>51.9</v>
      </c>
      <c r="J106" t="n">
        <v>48</v>
      </c>
      <c r="K106" t="n">
        <v>48.4</v>
      </c>
      <c r="L106" t="n">
        <v>47.9</v>
      </c>
      <c r="M106" t="n">
        <v>51</v>
      </c>
      <c r="N106" t="n">
        <v>49.2</v>
      </c>
      <c r="O106" t="n">
        <v>48.6</v>
      </c>
      <c r="P106" t="n">
        <v>52.1</v>
      </c>
      <c r="Q106" t="n">
        <v>49.2</v>
      </c>
      <c r="R106" t="n">
        <v>49.4</v>
      </c>
      <c r="S106" t="n">
        <v>50.6</v>
      </c>
      <c r="T106" t="n">
        <v>47.5</v>
      </c>
      <c r="U106" t="n">
        <v>45.5</v>
      </c>
      <c r="V106" t="n">
        <v>52.4</v>
      </c>
      <c r="W106" t="n">
        <v>49.8</v>
      </c>
      <c r="X106" t="n">
        <v>47.9</v>
      </c>
      <c r="Y106" t="n">
        <v>45.9</v>
      </c>
      <c r="Z106" t="n">
        <v>48.4</v>
      </c>
      <c r="AA106" t="n">
        <v>45</v>
      </c>
    </row>
    <row r="107">
      <c r="A107" s="71" t="n">
        <v>43647</v>
      </c>
      <c r="B107" t="n">
        <v>49.3</v>
      </c>
      <c r="C107" t="n">
        <v>51.2</v>
      </c>
      <c r="D107" t="n">
        <v>50</v>
      </c>
      <c r="E107" t="n">
        <v>49.9</v>
      </c>
      <c r="F107" t="n">
        <v>46.5</v>
      </c>
      <c r="G107" t="n">
        <v>49.4</v>
      </c>
      <c r="H107" t="n">
        <v>43.2</v>
      </c>
      <c r="I107" t="n">
        <v>49.7</v>
      </c>
      <c r="J107" t="n">
        <v>48</v>
      </c>
      <c r="K107" t="n">
        <v>48.5</v>
      </c>
      <c r="L107" t="n">
        <v>48.2</v>
      </c>
      <c r="M107" t="n">
        <v>49.9</v>
      </c>
      <c r="N107" t="n">
        <v>49.8</v>
      </c>
      <c r="O107" t="n">
        <v>49.3</v>
      </c>
      <c r="P107" t="n">
        <v>52.5</v>
      </c>
      <c r="Q107" t="n">
        <v>50.2</v>
      </c>
      <c r="R107" t="n">
        <v>51.3</v>
      </c>
      <c r="S107" t="n">
        <v>49.6</v>
      </c>
      <c r="T107" t="n">
        <v>47.3</v>
      </c>
      <c r="U107" t="n">
        <v>48.1</v>
      </c>
      <c r="V107" t="n">
        <v>54.6</v>
      </c>
      <c r="W107" t="n">
        <v>48.7</v>
      </c>
      <c r="X107" t="n">
        <v>46.7</v>
      </c>
      <c r="Y107" t="n">
        <v>43.1</v>
      </c>
      <c r="Z107" t="n">
        <v>47.4</v>
      </c>
      <c r="AA107" t="n">
        <v>49.5</v>
      </c>
    </row>
    <row r="108">
      <c r="A108" s="71" t="n">
        <v>43678</v>
      </c>
      <c r="B108" t="n">
        <v>49.5</v>
      </c>
      <c r="C108" t="n">
        <v>49.1</v>
      </c>
      <c r="D108" t="n">
        <v>50.3</v>
      </c>
      <c r="E108" t="n">
        <v>50.4</v>
      </c>
      <c r="F108" t="n">
        <v>47</v>
      </c>
      <c r="G108" t="n">
        <v>49.3</v>
      </c>
      <c r="H108" t="n">
        <v>43.5</v>
      </c>
      <c r="I108" t="n">
        <v>51.1</v>
      </c>
      <c r="J108" t="n">
        <v>47.4</v>
      </c>
      <c r="K108" t="n">
        <v>48.7</v>
      </c>
      <c r="L108" t="n">
        <v>48.8</v>
      </c>
      <c r="M108" t="n">
        <v>52.5</v>
      </c>
      <c r="N108" t="n">
        <v>49</v>
      </c>
      <c r="O108" t="n">
        <v>49.1</v>
      </c>
      <c r="P108" t="n">
        <v>51.4</v>
      </c>
      <c r="Q108" t="n">
        <v>49.1</v>
      </c>
      <c r="R108" t="n">
        <v>53.1</v>
      </c>
      <c r="S108" t="n">
        <v>49</v>
      </c>
      <c r="T108" t="n">
        <v>49</v>
      </c>
      <c r="U108" t="n">
        <v>47.9</v>
      </c>
      <c r="V108" t="n">
        <v>54.9</v>
      </c>
      <c r="W108" t="n">
        <v>48.6</v>
      </c>
      <c r="X108" t="n">
        <v>48</v>
      </c>
      <c r="Y108" t="n">
        <v>44.9</v>
      </c>
      <c r="Z108" t="n">
        <v>48.8</v>
      </c>
      <c r="AA108" t="n">
        <v>48.7</v>
      </c>
    </row>
    <row r="109">
      <c r="A109" s="71" t="n">
        <v>43709</v>
      </c>
      <c r="B109" t="n">
        <v>49.7</v>
      </c>
      <c r="C109" t="n">
        <v>47.8</v>
      </c>
      <c r="D109" t="n">
        <v>51.1</v>
      </c>
      <c r="E109" t="n">
        <v>51.4</v>
      </c>
      <c r="F109" t="n">
        <v>45.7</v>
      </c>
      <c r="G109" t="n">
        <v>48.9</v>
      </c>
      <c r="H109" t="n">
        <v>41.7</v>
      </c>
      <c r="I109" t="n">
        <v>50.1</v>
      </c>
      <c r="J109" t="n">
        <v>48.3</v>
      </c>
      <c r="K109" t="n">
        <v>47.8</v>
      </c>
      <c r="L109" t="n">
        <v>47.7</v>
      </c>
      <c r="M109" t="n">
        <v>53.4</v>
      </c>
      <c r="N109" t="n">
        <v>49.1</v>
      </c>
      <c r="O109" t="n">
        <v>46.3</v>
      </c>
      <c r="P109" t="n">
        <v>51.4</v>
      </c>
      <c r="Q109" t="n">
        <v>51</v>
      </c>
      <c r="R109" t="n">
        <v>54.7</v>
      </c>
      <c r="S109" t="n">
        <v>49.1</v>
      </c>
      <c r="T109" t="n">
        <v>48</v>
      </c>
      <c r="U109" t="n">
        <v>50</v>
      </c>
      <c r="V109" t="n">
        <v>53.6</v>
      </c>
      <c r="W109" t="n">
        <v>48.7</v>
      </c>
      <c r="X109" t="n">
        <v>50</v>
      </c>
      <c r="Y109" t="n">
        <v>44.9</v>
      </c>
      <c r="Z109" t="n">
        <v>47.8</v>
      </c>
      <c r="AA109" t="n">
        <v>50.2</v>
      </c>
    </row>
    <row r="110">
      <c r="A110" s="71" t="n">
        <v>43739</v>
      </c>
      <c r="B110" t="n">
        <v>49.8</v>
      </c>
      <c r="C110" t="n">
        <v>48.3</v>
      </c>
      <c r="D110" t="n">
        <v>51.3</v>
      </c>
      <c r="E110" t="n">
        <v>51.7</v>
      </c>
      <c r="F110" t="n">
        <v>45.9</v>
      </c>
      <c r="G110" t="n">
        <v>48.4</v>
      </c>
      <c r="H110" t="n">
        <v>42.1</v>
      </c>
      <c r="I110" t="n">
        <v>50.7</v>
      </c>
      <c r="J110" t="n">
        <v>49.6</v>
      </c>
      <c r="K110" t="n">
        <v>47.7</v>
      </c>
      <c r="L110" t="n">
        <v>46.8</v>
      </c>
      <c r="M110" t="n">
        <v>52.2</v>
      </c>
      <c r="N110" t="n">
        <v>50.4</v>
      </c>
      <c r="O110" t="n">
        <v>47.2</v>
      </c>
      <c r="P110" t="n">
        <v>50.6</v>
      </c>
      <c r="Q110" t="n">
        <v>51.2</v>
      </c>
      <c r="R110" t="n">
        <v>51.6</v>
      </c>
      <c r="S110" t="n">
        <v>47.7</v>
      </c>
      <c r="T110" t="n">
        <v>48.4</v>
      </c>
      <c r="U110" t="n">
        <v>49.8</v>
      </c>
      <c r="V110" t="n">
        <v>53.5</v>
      </c>
      <c r="W110" t="n">
        <v>50.7</v>
      </c>
      <c r="X110" t="n">
        <v>49</v>
      </c>
      <c r="Y110" t="n">
        <v>45</v>
      </c>
      <c r="Z110" t="n">
        <v>45.6</v>
      </c>
      <c r="AA110" t="n">
        <v>49.5</v>
      </c>
    </row>
    <row r="111">
      <c r="A111" s="71" t="n">
        <v>43770</v>
      </c>
      <c r="B111" t="n">
        <v>50.3</v>
      </c>
      <c r="C111" t="n">
        <v>48.1</v>
      </c>
      <c r="D111" t="n">
        <v>52.6</v>
      </c>
      <c r="E111" t="n">
        <v>51.8</v>
      </c>
      <c r="F111" t="n">
        <v>46.9</v>
      </c>
      <c r="G111" t="n">
        <v>48.9</v>
      </c>
      <c r="H111" t="n">
        <v>44.1</v>
      </c>
      <c r="I111" t="n">
        <v>51.7</v>
      </c>
      <c r="J111" t="n">
        <v>48.9</v>
      </c>
      <c r="K111" t="n">
        <v>47.6</v>
      </c>
      <c r="L111" t="n">
        <v>47.5</v>
      </c>
      <c r="M111" t="n">
        <v>52.9</v>
      </c>
      <c r="N111" t="n">
        <v>48</v>
      </c>
      <c r="O111" t="n">
        <v>45.6</v>
      </c>
      <c r="P111" t="n">
        <v>51.2</v>
      </c>
      <c r="Q111" t="n">
        <v>51.4</v>
      </c>
      <c r="R111" t="n">
        <v>48.1</v>
      </c>
      <c r="S111" t="n">
        <v>48.2</v>
      </c>
      <c r="T111" t="n">
        <v>49.4</v>
      </c>
      <c r="U111" t="n">
        <v>49.8</v>
      </c>
      <c r="V111" t="n">
        <v>54.1</v>
      </c>
      <c r="W111" t="n">
        <v>49.7</v>
      </c>
      <c r="X111" t="n">
        <v>49.5</v>
      </c>
      <c r="Y111" t="n">
        <v>43.5</v>
      </c>
      <c r="Z111" t="n">
        <v>46.7</v>
      </c>
      <c r="AA111" t="n">
        <v>53</v>
      </c>
    </row>
    <row r="112">
      <c r="A112" s="71" t="n">
        <v>43800</v>
      </c>
      <c r="B112" t="n">
        <v>50.1</v>
      </c>
      <c r="C112" t="n">
        <v>47.8</v>
      </c>
      <c r="D112" t="n">
        <v>52.4</v>
      </c>
      <c r="E112" t="n">
        <v>51.5</v>
      </c>
      <c r="F112" t="n">
        <v>46.3</v>
      </c>
      <c r="G112" t="n">
        <v>48.4</v>
      </c>
      <c r="H112" t="n">
        <v>43.7</v>
      </c>
      <c r="I112" t="n">
        <v>50.4</v>
      </c>
      <c r="J112" t="n">
        <v>47.5</v>
      </c>
      <c r="K112" t="n">
        <v>46.2</v>
      </c>
      <c r="L112" t="n">
        <v>47.4</v>
      </c>
      <c r="M112" t="n">
        <v>50.2</v>
      </c>
      <c r="N112" t="n">
        <v>47.1</v>
      </c>
      <c r="O112" t="n">
        <v>47.5</v>
      </c>
      <c r="P112" t="n">
        <v>52.7</v>
      </c>
      <c r="Q112" t="n">
        <v>50.4</v>
      </c>
      <c r="R112" t="n">
        <v>48.3</v>
      </c>
      <c r="S112" t="n">
        <v>49.5</v>
      </c>
      <c r="T112" t="n">
        <v>50.1</v>
      </c>
      <c r="U112" t="n">
        <v>50.8</v>
      </c>
      <c r="V112" t="n">
        <v>53.9</v>
      </c>
      <c r="W112" t="n">
        <v>49.5</v>
      </c>
      <c r="X112" t="n">
        <v>49.5</v>
      </c>
      <c r="Y112" t="n">
        <v>43.6</v>
      </c>
      <c r="Z112" t="n">
        <v>48</v>
      </c>
      <c r="AA112" t="n">
        <v>50.7</v>
      </c>
    </row>
    <row r="113">
      <c r="A113" s="71" t="n">
        <v>43831</v>
      </c>
      <c r="B113" t="n">
        <v>50.4</v>
      </c>
      <c r="C113" t="n">
        <v>50.9</v>
      </c>
      <c r="D113" t="n">
        <v>51.9</v>
      </c>
      <c r="E113" t="n">
        <v>51.1</v>
      </c>
      <c r="F113" t="n">
        <v>47.9</v>
      </c>
      <c r="G113" t="n">
        <v>48.8</v>
      </c>
      <c r="H113" t="n">
        <v>45.3</v>
      </c>
      <c r="I113" t="n">
        <v>51.1</v>
      </c>
      <c r="J113" t="n">
        <v>50</v>
      </c>
      <c r="K113" t="n">
        <v>48.9</v>
      </c>
      <c r="L113" t="n">
        <v>48.5</v>
      </c>
      <c r="M113" t="n">
        <v>51</v>
      </c>
      <c r="N113" t="n">
        <v>49</v>
      </c>
      <c r="O113" t="n">
        <v>47.9</v>
      </c>
      <c r="P113" t="n">
        <v>55.3</v>
      </c>
      <c r="Q113" t="n">
        <v>50.6</v>
      </c>
      <c r="R113" t="n">
        <v>45.4</v>
      </c>
      <c r="S113" t="n">
        <v>49.3</v>
      </c>
      <c r="T113" t="n">
        <v>49.8</v>
      </c>
      <c r="U113" t="n">
        <v>51.8</v>
      </c>
      <c r="V113" t="n">
        <v>54.4</v>
      </c>
      <c r="W113" t="n">
        <v>51.4</v>
      </c>
      <c r="X113" t="n">
        <v>51.3</v>
      </c>
      <c r="Y113" t="n">
        <v>45.2</v>
      </c>
      <c r="Z113" t="n">
        <v>47.4</v>
      </c>
      <c r="AA113" t="n">
        <v>53.2</v>
      </c>
    </row>
    <row r="114">
      <c r="A114" s="71" t="n">
        <v>43862</v>
      </c>
      <c r="B114" t="n">
        <v>47.1</v>
      </c>
      <c r="C114" t="n">
        <v>50.1</v>
      </c>
      <c r="D114" t="n">
        <v>50.7</v>
      </c>
      <c r="E114" t="n">
        <v>40.3</v>
      </c>
      <c r="F114" t="n">
        <v>49.2</v>
      </c>
      <c r="G114" t="n">
        <v>47.8</v>
      </c>
      <c r="H114" t="n">
        <v>48</v>
      </c>
      <c r="I114" t="n">
        <v>49.8</v>
      </c>
      <c r="J114" t="n">
        <v>51.7</v>
      </c>
      <c r="K114" t="n">
        <v>48.7</v>
      </c>
      <c r="L114" t="n">
        <v>50.4</v>
      </c>
      <c r="M114" t="n">
        <v>52.3</v>
      </c>
      <c r="N114" t="n">
        <v>50</v>
      </c>
      <c r="O114" t="n">
        <v>48.2</v>
      </c>
      <c r="P114" t="n">
        <v>54.5</v>
      </c>
      <c r="Q114" t="n">
        <v>51.8</v>
      </c>
      <c r="R114" t="n">
        <v>44.3</v>
      </c>
      <c r="S114" t="n">
        <v>51.9</v>
      </c>
      <c r="T114" t="n">
        <v>48.7</v>
      </c>
      <c r="U114" t="n">
        <v>49.9</v>
      </c>
      <c r="V114" t="n">
        <v>56.2</v>
      </c>
      <c r="W114" t="n">
        <v>51.2</v>
      </c>
      <c r="X114" t="n">
        <v>52.4</v>
      </c>
      <c r="Y114" t="n">
        <v>46.5</v>
      </c>
      <c r="Z114" t="n">
        <v>48.2</v>
      </c>
      <c r="AA114" t="n">
        <v>49.2</v>
      </c>
    </row>
    <row r="115">
      <c r="A115" s="71" t="n">
        <v>43891</v>
      </c>
      <c r="B115" t="n">
        <v>47.3</v>
      </c>
      <c r="C115" t="n">
        <v>49.1</v>
      </c>
      <c r="D115" t="n">
        <v>48.5</v>
      </c>
      <c r="E115" t="n">
        <v>50.1</v>
      </c>
      <c r="F115" t="n">
        <v>44.5</v>
      </c>
      <c r="G115" t="n">
        <v>44.2</v>
      </c>
      <c r="H115" t="n">
        <v>45.4</v>
      </c>
      <c r="I115" t="n">
        <v>43.2</v>
      </c>
      <c r="J115" t="n">
        <v>47.8</v>
      </c>
      <c r="K115" t="n">
        <v>40.3</v>
      </c>
      <c r="L115" t="n">
        <v>45.7</v>
      </c>
      <c r="M115" t="n">
        <v>48.4</v>
      </c>
      <c r="N115" t="n">
        <v>46.9</v>
      </c>
      <c r="O115" t="n">
        <v>47.5</v>
      </c>
      <c r="P115" t="n">
        <v>51.8</v>
      </c>
      <c r="Q115" t="n">
        <v>46.1</v>
      </c>
      <c r="R115" t="n">
        <v>53.7</v>
      </c>
      <c r="S115" t="n">
        <v>45.3</v>
      </c>
      <c r="T115" t="n">
        <v>44.2</v>
      </c>
      <c r="U115" t="n">
        <v>50.4</v>
      </c>
      <c r="V115" t="n">
        <v>42.5</v>
      </c>
      <c r="W115" t="n">
        <v>45.1</v>
      </c>
      <c r="X115" t="n">
        <v>48.1</v>
      </c>
      <c r="Y115" t="n">
        <v>41.3</v>
      </c>
      <c r="Z115" t="n">
        <v>42.4</v>
      </c>
      <c r="AA115" t="n">
        <v>46.8</v>
      </c>
    </row>
    <row r="116">
      <c r="A116" s="71" t="n">
        <v>43922</v>
      </c>
      <c r="B116" t="n">
        <v>39.6</v>
      </c>
      <c r="C116" t="n">
        <v>41.5</v>
      </c>
      <c r="D116" t="n">
        <v>36.1</v>
      </c>
      <c r="E116" t="n">
        <v>49.4</v>
      </c>
      <c r="F116" t="n">
        <v>33.4</v>
      </c>
      <c r="G116" t="n">
        <v>41.9</v>
      </c>
      <c r="H116" t="n">
        <v>34.5</v>
      </c>
      <c r="I116" t="n">
        <v>31.5</v>
      </c>
      <c r="J116" t="n">
        <v>32.6</v>
      </c>
      <c r="K116" t="n">
        <v>31.1</v>
      </c>
      <c r="L116" t="n">
        <v>30.8</v>
      </c>
      <c r="M116" t="n">
        <v>36</v>
      </c>
      <c r="N116" t="n">
        <v>35</v>
      </c>
      <c r="O116" t="n">
        <v>31.3</v>
      </c>
      <c r="P116" t="n">
        <v>27.4</v>
      </c>
      <c r="Q116" t="n">
        <v>33</v>
      </c>
      <c r="R116" t="n">
        <v>35.8</v>
      </c>
      <c r="S116" t="n">
        <v>27.5</v>
      </c>
      <c r="T116" t="n">
        <v>41.6</v>
      </c>
      <c r="U116" t="n">
        <v>42.2</v>
      </c>
      <c r="V116" t="n">
        <v>29.5</v>
      </c>
      <c r="W116" t="n">
        <v>36</v>
      </c>
      <c r="X116" t="n">
        <v>33.4</v>
      </c>
      <c r="Y116" t="n">
        <v>35.1</v>
      </c>
      <c r="Z116" t="n">
        <v>31.9</v>
      </c>
      <c r="AA116" t="n">
        <v>38.6</v>
      </c>
    </row>
    <row r="117">
      <c r="A117" s="71" t="n">
        <v>43952</v>
      </c>
      <c r="B117" t="n">
        <v>42.4</v>
      </c>
      <c r="C117" t="n">
        <v>43.1</v>
      </c>
      <c r="D117" t="n">
        <v>39.8</v>
      </c>
      <c r="E117" t="n">
        <v>50.7</v>
      </c>
      <c r="F117" t="n">
        <v>39.4</v>
      </c>
      <c r="G117" t="n">
        <v>38.4</v>
      </c>
      <c r="H117" t="n">
        <v>36.6</v>
      </c>
      <c r="I117" t="n">
        <v>40.6</v>
      </c>
      <c r="J117" t="n">
        <v>40.7</v>
      </c>
      <c r="K117" t="n">
        <v>45.4</v>
      </c>
      <c r="L117" t="n">
        <v>38.3</v>
      </c>
      <c r="M117" t="n">
        <v>38.3</v>
      </c>
      <c r="N117" t="n">
        <v>38.3</v>
      </c>
      <c r="O117" t="n">
        <v>36.2</v>
      </c>
      <c r="P117" t="n">
        <v>30.8</v>
      </c>
      <c r="Q117" t="n">
        <v>40.6</v>
      </c>
      <c r="R117" t="n">
        <v>41.6</v>
      </c>
      <c r="S117" t="n">
        <v>28.6</v>
      </c>
      <c r="T117" t="n">
        <v>41.3</v>
      </c>
      <c r="U117" t="n">
        <v>41.9</v>
      </c>
      <c r="V117" t="n">
        <v>41.1</v>
      </c>
      <c r="W117" t="n">
        <v>39.2</v>
      </c>
      <c r="X117" t="n">
        <v>40.9</v>
      </c>
      <c r="Y117" t="n">
        <v>39.6</v>
      </c>
      <c r="Z117" t="n">
        <v>40.6</v>
      </c>
      <c r="AA117" t="n">
        <v>54</v>
      </c>
    </row>
    <row r="118">
      <c r="A118" s="71" t="n">
        <v>43983</v>
      </c>
      <c r="B118" t="n">
        <v>47.8</v>
      </c>
      <c r="C118" t="n">
        <v>52.6</v>
      </c>
      <c r="D118" t="n">
        <v>49.8</v>
      </c>
      <c r="E118" t="n">
        <v>51.2</v>
      </c>
      <c r="F118" t="n">
        <v>47.4</v>
      </c>
      <c r="G118" t="n">
        <v>40.1</v>
      </c>
      <c r="H118" t="n">
        <v>45.2</v>
      </c>
      <c r="I118" t="n">
        <v>52.3</v>
      </c>
      <c r="J118" t="n">
        <v>50.1</v>
      </c>
      <c r="K118" t="n">
        <v>47.5</v>
      </c>
      <c r="L118" t="n">
        <v>49</v>
      </c>
      <c r="M118" t="n">
        <v>51.6</v>
      </c>
      <c r="N118" t="n">
        <v>38.6</v>
      </c>
      <c r="O118" t="n">
        <v>49.4</v>
      </c>
      <c r="P118" t="n">
        <v>47.2</v>
      </c>
      <c r="Q118" t="n">
        <v>47.8</v>
      </c>
      <c r="R118" t="n">
        <v>51.5</v>
      </c>
      <c r="S118" t="n">
        <v>39.1</v>
      </c>
      <c r="T118" t="n">
        <v>43.4</v>
      </c>
      <c r="U118" t="n">
        <v>46.2</v>
      </c>
      <c r="V118" t="n">
        <v>49.4</v>
      </c>
      <c r="W118" t="n">
        <v>51</v>
      </c>
      <c r="X118" t="n">
        <v>53.9</v>
      </c>
      <c r="Y118" t="n">
        <v>44.9</v>
      </c>
      <c r="Z118" t="n">
        <v>47.2</v>
      </c>
      <c r="AA118" t="n">
        <v>52.2</v>
      </c>
    </row>
    <row r="119">
      <c r="A119" s="71" t="n">
        <v>44013</v>
      </c>
      <c r="B119" t="n">
        <v>50.6</v>
      </c>
      <c r="C119" t="n">
        <v>54.2</v>
      </c>
      <c r="D119" t="n">
        <v>50.9</v>
      </c>
      <c r="E119" t="n">
        <v>52.8</v>
      </c>
      <c r="F119" t="n">
        <v>51.8</v>
      </c>
      <c r="G119" t="n">
        <v>45.2</v>
      </c>
      <c r="H119" t="n">
        <v>51</v>
      </c>
      <c r="I119" t="n">
        <v>52.4</v>
      </c>
      <c r="J119" t="n">
        <v>53.3</v>
      </c>
      <c r="K119" t="n">
        <v>51.9</v>
      </c>
      <c r="L119" t="n">
        <v>53.5</v>
      </c>
      <c r="M119" t="n">
        <v>58.2</v>
      </c>
      <c r="N119" t="n">
        <v>40.4</v>
      </c>
      <c r="O119" t="n">
        <v>48.4</v>
      </c>
      <c r="P119" t="n">
        <v>46</v>
      </c>
      <c r="Q119" t="n">
        <v>52.9</v>
      </c>
      <c r="R119" t="n">
        <v>53.5</v>
      </c>
      <c r="S119" t="n">
        <v>46.9</v>
      </c>
      <c r="T119" t="n">
        <v>46.9</v>
      </c>
      <c r="U119" t="n">
        <v>50.6</v>
      </c>
      <c r="V119" t="n">
        <v>48.6</v>
      </c>
      <c r="W119" t="n">
        <v>57.3</v>
      </c>
      <c r="X119" t="n">
        <v>56.9</v>
      </c>
      <c r="Y119" t="n">
        <v>47</v>
      </c>
      <c r="Z119" t="n">
        <v>52.8</v>
      </c>
      <c r="AA119" t="n">
        <v>57.4</v>
      </c>
    </row>
    <row r="120">
      <c r="A120" s="71" t="n">
        <v>44044</v>
      </c>
      <c r="B120" t="n">
        <v>51.8</v>
      </c>
      <c r="C120" t="n">
        <v>56</v>
      </c>
      <c r="D120" t="n">
        <v>53.1</v>
      </c>
      <c r="E120" t="n">
        <v>53.1</v>
      </c>
      <c r="F120" t="n">
        <v>51.7</v>
      </c>
      <c r="G120" t="n">
        <v>47.2</v>
      </c>
      <c r="H120" t="n">
        <v>52.2</v>
      </c>
      <c r="I120" t="n">
        <v>49.8</v>
      </c>
      <c r="J120" t="n">
        <v>55.2</v>
      </c>
      <c r="K120" t="n">
        <v>53.1</v>
      </c>
      <c r="L120" t="n">
        <v>49.9</v>
      </c>
      <c r="M120" t="n">
        <v>64.7</v>
      </c>
      <c r="N120" t="n">
        <v>41.3</v>
      </c>
      <c r="O120" t="n">
        <v>51.1</v>
      </c>
      <c r="P120" t="n">
        <v>52</v>
      </c>
      <c r="Q120" t="n">
        <v>55.1</v>
      </c>
      <c r="R120" t="n">
        <v>49.3</v>
      </c>
      <c r="S120" t="n">
        <v>50.8</v>
      </c>
      <c r="T120" t="n">
        <v>48.5</v>
      </c>
      <c r="U120" t="n">
        <v>52.2</v>
      </c>
      <c r="V120" t="n">
        <v>49.4</v>
      </c>
      <c r="W120" t="n">
        <v>52.3</v>
      </c>
      <c r="X120" t="n">
        <v>54.3</v>
      </c>
      <c r="Y120" t="n">
        <v>49.1</v>
      </c>
      <c r="Z120" t="n">
        <v>50.6</v>
      </c>
      <c r="AA120" t="n">
        <v>52.3</v>
      </c>
    </row>
    <row r="121">
      <c r="A121" s="71" t="n">
        <v>44075</v>
      </c>
      <c r="B121" t="n">
        <v>52.4</v>
      </c>
      <c r="C121" t="n">
        <v>57.8</v>
      </c>
      <c r="D121" t="n">
        <v>53.2</v>
      </c>
      <c r="E121" t="n">
        <v>53</v>
      </c>
      <c r="F121" t="n">
        <v>53.7</v>
      </c>
      <c r="G121" t="n">
        <v>47.7</v>
      </c>
      <c r="H121" t="n">
        <v>56.4</v>
      </c>
      <c r="I121" t="n">
        <v>51.2</v>
      </c>
      <c r="J121" t="n">
        <v>54.1</v>
      </c>
      <c r="K121" t="n">
        <v>53.2</v>
      </c>
      <c r="L121" t="n">
        <v>50.8</v>
      </c>
      <c r="M121" t="n">
        <v>64.90000000000001</v>
      </c>
      <c r="N121" t="n">
        <v>42.1</v>
      </c>
      <c r="O121" t="n">
        <v>48.9</v>
      </c>
      <c r="P121" t="n">
        <v>56.8</v>
      </c>
      <c r="Q121" t="n">
        <v>56</v>
      </c>
      <c r="R121" t="n">
        <v>46.7</v>
      </c>
      <c r="S121" t="n">
        <v>47.2</v>
      </c>
      <c r="T121" t="n">
        <v>49.8</v>
      </c>
      <c r="U121" t="n">
        <v>55.2</v>
      </c>
      <c r="V121" t="n">
        <v>50</v>
      </c>
      <c r="W121" t="n">
        <v>50</v>
      </c>
      <c r="X121" t="n">
        <v>52.8</v>
      </c>
      <c r="Y121" t="n">
        <v>50.7</v>
      </c>
      <c r="Z121" t="n">
        <v>50.8</v>
      </c>
      <c r="AA121" t="n">
        <v>54.4</v>
      </c>
    </row>
    <row r="122">
      <c r="A122" s="71" t="n">
        <v>44105</v>
      </c>
      <c r="B122" t="n">
        <v>53</v>
      </c>
      <c r="C122" t="n">
        <v>59.3</v>
      </c>
      <c r="D122" t="n">
        <v>53.4</v>
      </c>
      <c r="E122" t="n">
        <v>53.6</v>
      </c>
      <c r="F122" t="n">
        <v>54.8</v>
      </c>
      <c r="G122" t="n">
        <v>48.7</v>
      </c>
      <c r="H122" t="n">
        <v>58.2</v>
      </c>
      <c r="I122" t="n">
        <v>51.3</v>
      </c>
      <c r="J122" t="n">
        <v>53.7</v>
      </c>
      <c r="K122" t="n">
        <v>53.8</v>
      </c>
      <c r="L122" t="n">
        <v>52.5</v>
      </c>
      <c r="M122" t="n">
        <v>66.7</v>
      </c>
      <c r="N122" t="n">
        <v>43.6</v>
      </c>
      <c r="O122" t="n">
        <v>46.9</v>
      </c>
      <c r="P122" t="n">
        <v>58.9</v>
      </c>
      <c r="Q122" t="n">
        <v>55.5</v>
      </c>
      <c r="R122" t="n">
        <v>56.3</v>
      </c>
      <c r="S122" t="n">
        <v>47.8</v>
      </c>
      <c r="T122" t="n">
        <v>51.2</v>
      </c>
      <c r="U122" t="n">
        <v>55.1</v>
      </c>
      <c r="V122" t="n">
        <v>48.7</v>
      </c>
      <c r="W122" t="n">
        <v>50.3</v>
      </c>
      <c r="X122" t="n">
        <v>53.9</v>
      </c>
      <c r="Y122" t="n">
        <v>51.9</v>
      </c>
      <c r="Z122" t="n">
        <v>50.8</v>
      </c>
      <c r="AA122" t="n">
        <v>61.8</v>
      </c>
    </row>
    <row r="123">
      <c r="A123" s="71" t="n">
        <v>44136</v>
      </c>
      <c r="B123" t="n">
        <v>53.8</v>
      </c>
      <c r="C123" t="n">
        <v>57.5</v>
      </c>
      <c r="D123" t="n">
        <v>56.7</v>
      </c>
      <c r="E123" t="n">
        <v>54.9</v>
      </c>
      <c r="F123" t="n">
        <v>53.8</v>
      </c>
      <c r="G123" t="n">
        <v>49</v>
      </c>
      <c r="H123" t="n">
        <v>57.8</v>
      </c>
      <c r="I123" t="n">
        <v>49.6</v>
      </c>
      <c r="J123" t="n">
        <v>55.6</v>
      </c>
      <c r="K123" t="n">
        <v>51.5</v>
      </c>
      <c r="L123" t="n">
        <v>49.8</v>
      </c>
      <c r="M123" t="n">
        <v>64</v>
      </c>
      <c r="N123" t="n">
        <v>43.7</v>
      </c>
      <c r="O123" t="n">
        <v>46.3</v>
      </c>
      <c r="P123" t="n">
        <v>56.3</v>
      </c>
      <c r="Q123" t="n">
        <v>55.8</v>
      </c>
      <c r="R123" t="n">
        <v>52.1</v>
      </c>
      <c r="S123" t="n">
        <v>50.6</v>
      </c>
      <c r="T123" t="n">
        <v>52.9</v>
      </c>
      <c r="U123" t="n">
        <v>56.9</v>
      </c>
      <c r="V123" t="n">
        <v>42.3</v>
      </c>
      <c r="W123" t="n">
        <v>52.2</v>
      </c>
      <c r="X123" t="n">
        <v>51.4</v>
      </c>
      <c r="Y123" t="n">
        <v>53.9</v>
      </c>
      <c r="Z123" t="n">
        <v>50.8</v>
      </c>
      <c r="AA123" t="n">
        <v>47.7</v>
      </c>
    </row>
    <row r="124">
      <c r="A124" s="71" t="n">
        <v>44166</v>
      </c>
      <c r="B124" t="n">
        <v>53.8</v>
      </c>
      <c r="C124" t="n">
        <v>60.5</v>
      </c>
      <c r="D124" t="n">
        <v>57.1</v>
      </c>
      <c r="E124" t="n">
        <v>53</v>
      </c>
      <c r="F124" t="n">
        <v>55.2</v>
      </c>
      <c r="G124" t="n">
        <v>50</v>
      </c>
      <c r="H124" t="n">
        <v>58.3</v>
      </c>
      <c r="I124" t="n">
        <v>51.1</v>
      </c>
      <c r="J124" t="n">
        <v>57.5</v>
      </c>
      <c r="K124" t="n">
        <v>52.8</v>
      </c>
      <c r="L124" t="n">
        <v>51</v>
      </c>
      <c r="M124" t="n">
        <v>61.5</v>
      </c>
      <c r="N124" t="n">
        <v>42.4</v>
      </c>
      <c r="O124" t="n">
        <v>49.7</v>
      </c>
      <c r="P124" t="n">
        <v>56.4</v>
      </c>
      <c r="Q124" t="n">
        <v>57.9</v>
      </c>
      <c r="R124" t="n">
        <v>55.3</v>
      </c>
      <c r="S124" t="n">
        <v>51.3</v>
      </c>
      <c r="T124" t="n">
        <v>52.9</v>
      </c>
      <c r="U124" t="n">
        <v>59.4</v>
      </c>
      <c r="V124" t="n">
        <v>46.9</v>
      </c>
      <c r="W124" t="n">
        <v>57.2</v>
      </c>
      <c r="X124" t="n">
        <v>50.8</v>
      </c>
      <c r="Y124" t="n">
        <v>57</v>
      </c>
      <c r="Z124" t="n">
        <v>51.7</v>
      </c>
      <c r="AA124" t="n">
        <v>41.9</v>
      </c>
    </row>
    <row r="125">
      <c r="A125" s="71" t="n">
        <v>44197</v>
      </c>
      <c r="B125" t="n">
        <v>53.6</v>
      </c>
      <c r="C125" t="n">
        <v>58.7</v>
      </c>
      <c r="D125" t="n">
        <v>59.2</v>
      </c>
      <c r="E125" t="n">
        <v>51.5</v>
      </c>
      <c r="F125" t="n">
        <v>54.8</v>
      </c>
      <c r="G125" t="n">
        <v>49.8</v>
      </c>
      <c r="H125" t="n">
        <v>57.1</v>
      </c>
      <c r="I125" t="n">
        <v>51.6</v>
      </c>
      <c r="J125" t="n">
        <v>54.1</v>
      </c>
      <c r="K125" t="n">
        <v>55.1</v>
      </c>
      <c r="L125" t="n">
        <v>49.3</v>
      </c>
      <c r="M125" t="n">
        <v>56.5</v>
      </c>
      <c r="N125" t="n">
        <v>43</v>
      </c>
      <c r="O125" t="n">
        <v>50.9</v>
      </c>
      <c r="P125" t="n">
        <v>57.7</v>
      </c>
      <c r="Q125" t="n">
        <v>54.4</v>
      </c>
      <c r="R125" t="n">
        <v>55.3</v>
      </c>
      <c r="S125" t="n">
        <v>52.2</v>
      </c>
      <c r="T125" t="n">
        <v>53.2</v>
      </c>
      <c r="U125" t="n">
        <v>60.2</v>
      </c>
      <c r="V125" t="n">
        <v>50</v>
      </c>
      <c r="W125" t="n">
        <v>51.8</v>
      </c>
      <c r="X125" t="n">
        <v>54.4</v>
      </c>
      <c r="Y125" t="n">
        <v>57</v>
      </c>
      <c r="Z125" t="n">
        <v>51.9</v>
      </c>
      <c r="AA125" t="n">
        <v>42.1</v>
      </c>
    </row>
    <row r="126">
      <c r="A126" s="71" t="n">
        <v>44228</v>
      </c>
      <c r="B126" t="n">
        <v>53.9</v>
      </c>
      <c r="C126" t="n">
        <v>60.8</v>
      </c>
      <c r="D126" t="n">
        <v>58.6</v>
      </c>
      <c r="E126" t="n">
        <v>50.9</v>
      </c>
      <c r="F126" t="n">
        <v>57.9</v>
      </c>
      <c r="G126" t="n">
        <v>51.4</v>
      </c>
      <c r="H126" t="n">
        <v>60.7</v>
      </c>
      <c r="I126" t="n">
        <v>56.1</v>
      </c>
      <c r="J126" t="n">
        <v>55.1</v>
      </c>
      <c r="K126" t="n">
        <v>56.9</v>
      </c>
      <c r="L126" t="n">
        <v>52.9</v>
      </c>
      <c r="M126" t="n">
        <v>58.4</v>
      </c>
      <c r="N126" t="n">
        <v>44.2</v>
      </c>
      <c r="O126" t="n">
        <v>51.5</v>
      </c>
      <c r="P126" t="n">
        <v>57.5</v>
      </c>
      <c r="Q126" t="n">
        <v>54.8</v>
      </c>
      <c r="R126" t="n">
        <v>58.8</v>
      </c>
      <c r="S126" t="n">
        <v>50.9</v>
      </c>
      <c r="T126" t="n">
        <v>55.3</v>
      </c>
      <c r="U126" t="n">
        <v>60.4</v>
      </c>
      <c r="V126" t="n">
        <v>49.4</v>
      </c>
      <c r="W126" t="n">
        <v>52</v>
      </c>
      <c r="X126" t="n">
        <v>51.7</v>
      </c>
      <c r="Y126" t="n">
        <v>56.5</v>
      </c>
      <c r="Z126" t="n">
        <v>53.4</v>
      </c>
      <c r="AA126" t="n">
        <v>40.8</v>
      </c>
    </row>
    <row r="127">
      <c r="A127" s="71" t="n">
        <v>44256</v>
      </c>
      <c r="B127" t="n">
        <v>55</v>
      </c>
      <c r="C127" t="n">
        <v>64.7</v>
      </c>
      <c r="D127" t="n">
        <v>59.1</v>
      </c>
      <c r="E127" t="n">
        <v>50.6</v>
      </c>
      <c r="F127" t="n">
        <v>62.5</v>
      </c>
      <c r="G127" t="n">
        <v>52.7</v>
      </c>
      <c r="H127" t="n">
        <v>66.59999999999999</v>
      </c>
      <c r="I127" t="n">
        <v>59.3</v>
      </c>
      <c r="J127" t="n">
        <v>58.9</v>
      </c>
      <c r="K127" t="n">
        <v>59.8</v>
      </c>
      <c r="L127" t="n">
        <v>56.9</v>
      </c>
      <c r="M127" t="n">
        <v>52.8</v>
      </c>
      <c r="N127" t="n">
        <v>45.6</v>
      </c>
      <c r="O127" t="n">
        <v>51.1</v>
      </c>
      <c r="P127" t="n">
        <v>55.4</v>
      </c>
      <c r="Q127" t="n">
        <v>58.5</v>
      </c>
      <c r="R127" t="n">
        <v>59.9</v>
      </c>
      <c r="S127" t="n">
        <v>53.2</v>
      </c>
      <c r="T127" t="n">
        <v>55.3</v>
      </c>
      <c r="U127" t="n">
        <v>60.8</v>
      </c>
      <c r="V127" t="n">
        <v>51.8</v>
      </c>
      <c r="W127" t="n">
        <v>57.1</v>
      </c>
      <c r="X127" t="n">
        <v>52.6</v>
      </c>
      <c r="Y127" t="n">
        <v>58</v>
      </c>
      <c r="Z127" t="n">
        <v>54.3</v>
      </c>
      <c r="AA127" t="n">
        <v>67.59999999999999</v>
      </c>
    </row>
    <row r="128">
      <c r="A128" s="71" t="n">
        <v>44287</v>
      </c>
      <c r="B128" t="n">
        <v>55.9</v>
      </c>
      <c r="C128" t="n">
        <v>60.7</v>
      </c>
      <c r="D128" t="n">
        <v>60.5</v>
      </c>
      <c r="E128" t="n">
        <v>51.9</v>
      </c>
      <c r="F128" t="n">
        <v>62.9</v>
      </c>
      <c r="G128" t="n">
        <v>53.6</v>
      </c>
      <c r="H128" t="n">
        <v>66.2</v>
      </c>
      <c r="I128" t="n">
        <v>58.9</v>
      </c>
      <c r="J128" t="n">
        <v>60.9</v>
      </c>
      <c r="K128" t="n">
        <v>60.7</v>
      </c>
      <c r="L128" t="n">
        <v>57.7</v>
      </c>
      <c r="M128" t="n">
        <v>52.3</v>
      </c>
      <c r="N128" t="n">
        <v>48.4</v>
      </c>
      <c r="O128" t="n">
        <v>50.4</v>
      </c>
      <c r="P128" t="n">
        <v>55.5</v>
      </c>
      <c r="Q128" t="n">
        <v>57.2</v>
      </c>
      <c r="R128" t="n">
        <v>61.7</v>
      </c>
      <c r="S128" t="n">
        <v>54.6</v>
      </c>
      <c r="T128" t="n">
        <v>54.6</v>
      </c>
      <c r="U128" t="n">
        <v>62.4</v>
      </c>
      <c r="V128" t="n">
        <v>54.4</v>
      </c>
      <c r="W128" t="n">
        <v>60.8</v>
      </c>
      <c r="X128" t="n">
        <v>50.4</v>
      </c>
      <c r="Y128" t="n">
        <v>58.9</v>
      </c>
      <c r="Z128" t="n">
        <v>53.7</v>
      </c>
      <c r="AA128" t="n">
        <v>72</v>
      </c>
    </row>
    <row r="129">
      <c r="A129" s="71" t="n">
        <v>44317</v>
      </c>
      <c r="B129" t="n">
        <v>56</v>
      </c>
      <c r="C129" t="n">
        <v>61.2</v>
      </c>
      <c r="D129" t="n">
        <v>62.6</v>
      </c>
      <c r="E129" t="n">
        <v>52</v>
      </c>
      <c r="F129" t="n">
        <v>63.1</v>
      </c>
      <c r="G129" t="n">
        <v>53</v>
      </c>
      <c r="H129" t="n">
        <v>64.40000000000001</v>
      </c>
      <c r="I129" t="n">
        <v>59.4</v>
      </c>
      <c r="J129" t="n">
        <v>65.59999999999999</v>
      </c>
      <c r="K129" t="n">
        <v>62.3</v>
      </c>
      <c r="L129" t="n">
        <v>59.4</v>
      </c>
      <c r="M129" t="n">
        <v>53.7</v>
      </c>
      <c r="N129" t="n">
        <v>47.6</v>
      </c>
      <c r="O129" t="n">
        <v>51.9</v>
      </c>
      <c r="P129" t="n">
        <v>50.8</v>
      </c>
      <c r="Q129" t="n">
        <v>57</v>
      </c>
      <c r="R129" t="n">
        <v>61.8</v>
      </c>
      <c r="S129" t="n">
        <v>55.3</v>
      </c>
      <c r="T129" t="n">
        <v>53.7</v>
      </c>
      <c r="U129" t="n">
        <v>62</v>
      </c>
      <c r="V129" t="n">
        <v>58</v>
      </c>
      <c r="W129" t="n">
        <v>64.09999999999999</v>
      </c>
      <c r="X129" t="n">
        <v>49.3</v>
      </c>
      <c r="Y129" t="n">
        <v>61.8</v>
      </c>
      <c r="Z129" t="n">
        <v>57.2</v>
      </c>
      <c r="AA129" t="n">
        <v>67.7</v>
      </c>
    </row>
    <row r="130">
      <c r="A130" s="71" t="n">
        <v>44348</v>
      </c>
      <c r="B130" t="n">
        <v>55.5</v>
      </c>
      <c r="C130" t="n">
        <v>60.6</v>
      </c>
      <c r="D130" t="n">
        <v>62.1</v>
      </c>
      <c r="E130" t="n">
        <v>51.3</v>
      </c>
      <c r="F130" t="n">
        <v>63.4</v>
      </c>
      <c r="G130" t="n">
        <v>52.4</v>
      </c>
      <c r="H130" t="n">
        <v>65.09999999999999</v>
      </c>
      <c r="I130" t="n">
        <v>59</v>
      </c>
      <c r="J130" t="n">
        <v>63.9</v>
      </c>
      <c r="K130" t="n">
        <v>62.2</v>
      </c>
      <c r="L130" t="n">
        <v>60.4</v>
      </c>
      <c r="M130" t="n">
        <v>56.4</v>
      </c>
      <c r="N130" t="n">
        <v>48.8</v>
      </c>
      <c r="O130" t="n">
        <v>49.2</v>
      </c>
      <c r="P130" t="n">
        <v>48.1</v>
      </c>
      <c r="Q130" t="n">
        <v>56.5</v>
      </c>
      <c r="R130" t="n">
        <v>63.2</v>
      </c>
      <c r="S130" t="n">
        <v>53.5</v>
      </c>
      <c r="T130" t="n">
        <v>53.9</v>
      </c>
      <c r="U130" t="n">
        <v>57.6</v>
      </c>
      <c r="V130" t="n">
        <v>58.6</v>
      </c>
      <c r="W130" t="n">
        <v>64</v>
      </c>
      <c r="X130" t="n">
        <v>51.3</v>
      </c>
      <c r="Y130" t="n">
        <v>62.7</v>
      </c>
      <c r="Z130" t="n">
        <v>59.4</v>
      </c>
      <c r="AA130" t="n">
        <v>62.1</v>
      </c>
    </row>
    <row r="131">
      <c r="A131" s="71" t="n">
        <v>44378</v>
      </c>
      <c r="B131" t="n">
        <v>55.4</v>
      </c>
      <c r="C131" t="n">
        <v>59.5</v>
      </c>
      <c r="D131" t="n">
        <v>63.4</v>
      </c>
      <c r="E131" t="n">
        <v>50.3</v>
      </c>
      <c r="F131" t="n">
        <v>62.8</v>
      </c>
      <c r="G131" t="n">
        <v>53</v>
      </c>
      <c r="H131" t="n">
        <v>65.90000000000001</v>
      </c>
      <c r="I131" t="n">
        <v>58</v>
      </c>
      <c r="J131" t="n">
        <v>60.4</v>
      </c>
      <c r="K131" t="n">
        <v>60.3</v>
      </c>
      <c r="L131" t="n">
        <v>59</v>
      </c>
      <c r="M131" t="n">
        <v>56.7</v>
      </c>
      <c r="N131" t="n">
        <v>49.6</v>
      </c>
      <c r="O131" t="n">
        <v>47.5</v>
      </c>
      <c r="P131" t="n">
        <v>55.3</v>
      </c>
      <c r="Q131" t="n">
        <v>56.2</v>
      </c>
      <c r="R131" t="n">
        <v>60.8</v>
      </c>
      <c r="S131" t="n">
        <v>40.1</v>
      </c>
      <c r="T131" t="n">
        <v>53</v>
      </c>
      <c r="U131" t="n">
        <v>59.7</v>
      </c>
      <c r="V131" t="n">
        <v>57.4</v>
      </c>
      <c r="W131" t="n">
        <v>63.3</v>
      </c>
      <c r="X131" t="n">
        <v>54</v>
      </c>
      <c r="Y131" t="n">
        <v>62</v>
      </c>
      <c r="Z131" t="n">
        <v>57.6</v>
      </c>
      <c r="AA131" t="n">
        <v>69.8</v>
      </c>
    </row>
    <row r="132">
      <c r="A132" s="71" t="n">
        <v>44409</v>
      </c>
      <c r="B132" t="n">
        <v>54.1</v>
      </c>
      <c r="C132" t="n">
        <v>59.9</v>
      </c>
      <c r="D132" t="n">
        <v>61.1</v>
      </c>
      <c r="E132" t="n">
        <v>49.2</v>
      </c>
      <c r="F132" t="n">
        <v>61.4</v>
      </c>
      <c r="G132" t="n">
        <v>52.7</v>
      </c>
      <c r="H132" t="n">
        <v>62.6</v>
      </c>
      <c r="I132" t="n">
        <v>57.5</v>
      </c>
      <c r="J132" t="n">
        <v>60.3</v>
      </c>
      <c r="K132" t="n">
        <v>60.9</v>
      </c>
      <c r="L132" t="n">
        <v>59.5</v>
      </c>
      <c r="M132" t="n">
        <v>53.6</v>
      </c>
      <c r="N132" t="n">
        <v>47.1</v>
      </c>
      <c r="O132" t="n">
        <v>46.5</v>
      </c>
      <c r="P132" t="n">
        <v>52.3</v>
      </c>
      <c r="Q132" t="n">
        <v>57.2</v>
      </c>
      <c r="R132" t="n">
        <v>51.6</v>
      </c>
      <c r="S132" t="n">
        <v>43.7</v>
      </c>
      <c r="T132" t="n">
        <v>51.2</v>
      </c>
      <c r="U132" t="n">
        <v>58.5</v>
      </c>
      <c r="V132" t="n">
        <v>59.3</v>
      </c>
      <c r="W132" t="n">
        <v>62.8</v>
      </c>
      <c r="X132" t="n">
        <v>54.1</v>
      </c>
      <c r="Y132" t="n">
        <v>61</v>
      </c>
      <c r="Z132" t="n">
        <v>56</v>
      </c>
      <c r="AA132" t="n">
        <v>67.3</v>
      </c>
    </row>
    <row r="133">
      <c r="A133" s="71" t="n">
        <v>44440</v>
      </c>
      <c r="B133" t="n">
        <v>54.1</v>
      </c>
      <c r="C133" t="n">
        <v>60.3</v>
      </c>
      <c r="D133" t="n">
        <v>60.7</v>
      </c>
      <c r="E133" t="n">
        <v>50</v>
      </c>
      <c r="F133" t="n">
        <v>58.6</v>
      </c>
      <c r="G133" t="n">
        <v>51.5</v>
      </c>
      <c r="H133" t="n">
        <v>58.4</v>
      </c>
      <c r="I133" t="n">
        <v>55</v>
      </c>
      <c r="J133" t="n">
        <v>57.1</v>
      </c>
      <c r="K133" t="n">
        <v>59.7</v>
      </c>
      <c r="L133" t="n">
        <v>58.1</v>
      </c>
      <c r="M133" t="n">
        <v>54.4</v>
      </c>
      <c r="N133" t="n">
        <v>48.6</v>
      </c>
      <c r="O133" t="n">
        <v>49.8</v>
      </c>
      <c r="P133" t="n">
        <v>53.7</v>
      </c>
      <c r="Q133" t="n">
        <v>57</v>
      </c>
      <c r="R133" t="n">
        <v>51.2</v>
      </c>
      <c r="S133" t="n">
        <v>52.2</v>
      </c>
      <c r="T133" t="n">
        <v>52.4</v>
      </c>
      <c r="U133" t="n">
        <v>54.7</v>
      </c>
      <c r="V133" t="n">
        <v>58.4</v>
      </c>
      <c r="W133" t="n">
        <v>60.3</v>
      </c>
      <c r="X133" t="n">
        <v>52.5</v>
      </c>
      <c r="Y133" t="n">
        <v>58</v>
      </c>
      <c r="Z133" t="n">
        <v>53.4</v>
      </c>
      <c r="AA133" t="n">
        <v>65.2</v>
      </c>
    </row>
    <row r="134">
      <c r="A134" s="71" t="n">
        <v>44470</v>
      </c>
      <c r="B134" t="n">
        <v>54.2</v>
      </c>
      <c r="C134" t="n">
        <v>60.7</v>
      </c>
      <c r="D134" t="n">
        <v>58.4</v>
      </c>
      <c r="E134" t="n">
        <v>50.6</v>
      </c>
      <c r="F134" t="n">
        <v>58.3</v>
      </c>
      <c r="G134" t="n">
        <v>53.2</v>
      </c>
      <c r="H134" t="n">
        <v>57.8</v>
      </c>
      <c r="I134" t="n">
        <v>53.6</v>
      </c>
      <c r="J134" t="n">
        <v>57.8</v>
      </c>
      <c r="K134" t="n">
        <v>61.1</v>
      </c>
      <c r="L134" t="n">
        <v>57.4</v>
      </c>
      <c r="M134" t="n">
        <v>51.7</v>
      </c>
      <c r="N134" t="n">
        <v>49.3</v>
      </c>
      <c r="O134" t="n">
        <v>51.6</v>
      </c>
      <c r="P134" t="n">
        <v>55.9</v>
      </c>
      <c r="Q134" t="n">
        <v>57.7</v>
      </c>
      <c r="R134" t="n">
        <v>50.4</v>
      </c>
      <c r="S134" t="n">
        <v>57.2</v>
      </c>
      <c r="T134" t="n">
        <v>50.2</v>
      </c>
      <c r="U134" t="n">
        <v>55.2</v>
      </c>
      <c r="V134" t="n">
        <v>58.9</v>
      </c>
      <c r="W134" t="n">
        <v>62.1</v>
      </c>
      <c r="X134" t="n">
        <v>51.2</v>
      </c>
      <c r="Y134" t="n">
        <v>55.1</v>
      </c>
      <c r="Z134" t="n">
        <v>53.8</v>
      </c>
      <c r="AA134" t="n">
        <v>71.90000000000001</v>
      </c>
    </row>
    <row r="135">
      <c r="A135" s="71" t="n">
        <v>44501</v>
      </c>
      <c r="B135" t="n">
        <v>54.2</v>
      </c>
      <c r="C135" t="n">
        <v>61.1</v>
      </c>
      <c r="D135" t="n">
        <v>58.3</v>
      </c>
      <c r="E135" t="n">
        <v>49.9</v>
      </c>
      <c r="F135" t="n">
        <v>58.4</v>
      </c>
      <c r="G135" t="n">
        <v>54.5</v>
      </c>
      <c r="H135" t="n">
        <v>57.4</v>
      </c>
      <c r="I135" t="n">
        <v>55.9</v>
      </c>
      <c r="J135" t="n">
        <v>58.1</v>
      </c>
      <c r="K135" t="n">
        <v>62.8</v>
      </c>
      <c r="L135" t="n">
        <v>57.1</v>
      </c>
      <c r="M135" t="n">
        <v>49.8</v>
      </c>
      <c r="N135" t="n">
        <v>49.4</v>
      </c>
      <c r="O135" t="n">
        <v>51.7</v>
      </c>
      <c r="P135" t="n">
        <v>57.6</v>
      </c>
      <c r="Q135" t="n">
        <v>57.2</v>
      </c>
      <c r="R135" t="n">
        <v>54.8</v>
      </c>
      <c r="S135" t="n">
        <v>53.9</v>
      </c>
      <c r="T135" t="n">
        <v>50.9</v>
      </c>
      <c r="U135" t="n">
        <v>54.9</v>
      </c>
      <c r="V135" t="n">
        <v>58.8</v>
      </c>
      <c r="W135" t="n">
        <v>59.9</v>
      </c>
      <c r="X135" t="n">
        <v>52</v>
      </c>
      <c r="Y135" t="n">
        <v>57.1</v>
      </c>
      <c r="Z135" t="n">
        <v>54.4</v>
      </c>
      <c r="AA135" t="n">
        <v>68.2</v>
      </c>
    </row>
    <row r="136">
      <c r="A136" s="71" t="n">
        <v>44531</v>
      </c>
      <c r="B136" t="n">
        <v>54.3</v>
      </c>
      <c r="C136" t="n">
        <v>61.5</v>
      </c>
      <c r="D136" t="n">
        <v>57.7</v>
      </c>
      <c r="E136" t="n">
        <v>50.9</v>
      </c>
      <c r="F136" t="n">
        <v>58</v>
      </c>
      <c r="G136" t="n">
        <v>54.3</v>
      </c>
      <c r="H136" t="n">
        <v>57.4</v>
      </c>
      <c r="I136" t="n">
        <v>55.6</v>
      </c>
      <c r="J136" t="n">
        <v>57.9</v>
      </c>
      <c r="K136" t="n">
        <v>62</v>
      </c>
      <c r="L136" t="n">
        <v>56.2</v>
      </c>
      <c r="M136" t="n">
        <v>49.8</v>
      </c>
      <c r="N136" t="n">
        <v>49.4</v>
      </c>
      <c r="O136" t="n">
        <v>51.6</v>
      </c>
      <c r="P136" t="n">
        <v>55.5</v>
      </c>
      <c r="Q136" t="n">
        <v>55.5</v>
      </c>
      <c r="R136" t="n">
        <v>48.4</v>
      </c>
      <c r="S136" t="n">
        <v>53.5</v>
      </c>
      <c r="T136" t="n">
        <v>51.9</v>
      </c>
      <c r="U136" t="n">
        <v>55.5</v>
      </c>
      <c r="V136" t="n">
        <v>59</v>
      </c>
      <c r="W136" t="n">
        <v>58.3</v>
      </c>
      <c r="X136" t="n">
        <v>52.1</v>
      </c>
      <c r="Y136" t="n">
        <v>59.1</v>
      </c>
      <c r="Z136" t="n">
        <v>56.1</v>
      </c>
      <c r="AA136" t="n">
        <v>64.40000000000001</v>
      </c>
    </row>
    <row r="137">
      <c r="A137" s="71" t="n">
        <v>44562</v>
      </c>
      <c r="B137" t="n">
        <v>53.2</v>
      </c>
      <c r="C137" t="n">
        <v>57.6</v>
      </c>
      <c r="D137" t="n">
        <v>55</v>
      </c>
      <c r="E137" t="n">
        <v>49.1</v>
      </c>
      <c r="F137" t="n">
        <v>59</v>
      </c>
      <c r="G137" t="n">
        <v>55.4</v>
      </c>
      <c r="H137" t="n">
        <v>60.5</v>
      </c>
      <c r="I137" t="n">
        <v>55.5</v>
      </c>
      <c r="J137" t="n">
        <v>56.9</v>
      </c>
      <c r="K137" t="n">
        <v>58.3</v>
      </c>
      <c r="L137" t="n">
        <v>56.2</v>
      </c>
      <c r="M137" t="n">
        <v>47.8</v>
      </c>
      <c r="N137" t="n">
        <v>46.1</v>
      </c>
      <c r="O137" t="n">
        <v>51.8</v>
      </c>
      <c r="P137" t="n">
        <v>54</v>
      </c>
      <c r="Q137" t="n">
        <v>56.2</v>
      </c>
      <c r="R137" t="n">
        <v>48.4</v>
      </c>
      <c r="S137" t="n">
        <v>53.7</v>
      </c>
      <c r="T137" t="n">
        <v>52.8</v>
      </c>
      <c r="U137" t="n">
        <v>55.1</v>
      </c>
      <c r="V137" t="n">
        <v>57.9</v>
      </c>
      <c r="W137" t="n">
        <v>59.4</v>
      </c>
      <c r="X137" t="n">
        <v>50.5</v>
      </c>
      <c r="Y137" t="n">
        <v>59</v>
      </c>
      <c r="Z137" t="n">
        <v>54.5</v>
      </c>
      <c r="AA137" t="n">
        <v>60.9</v>
      </c>
    </row>
    <row r="138">
      <c r="A138" s="71" t="n">
        <v>44593</v>
      </c>
      <c r="B138" t="n">
        <v>53.6</v>
      </c>
      <c r="C138" t="n">
        <v>58.6</v>
      </c>
      <c r="D138" t="n">
        <v>57.5</v>
      </c>
      <c r="E138" t="n">
        <v>50.4</v>
      </c>
      <c r="F138" t="n">
        <v>58.4</v>
      </c>
      <c r="G138" t="n">
        <v>52.9</v>
      </c>
      <c r="H138" t="n">
        <v>58.5</v>
      </c>
      <c r="I138" t="n">
        <v>57.6</v>
      </c>
      <c r="J138" t="n">
        <v>57.3</v>
      </c>
      <c r="K138" t="n">
        <v>58.3</v>
      </c>
      <c r="L138" t="n">
        <v>56.9</v>
      </c>
      <c r="M138" t="n">
        <v>49.6</v>
      </c>
      <c r="N138" t="n">
        <v>48</v>
      </c>
      <c r="O138" t="n">
        <v>48.6</v>
      </c>
      <c r="P138" t="n">
        <v>54.9</v>
      </c>
      <c r="Q138" t="n">
        <v>56.6</v>
      </c>
      <c r="R138" t="n">
        <v>53.2</v>
      </c>
      <c r="S138" t="n">
        <v>51.2</v>
      </c>
      <c r="T138" t="n">
        <v>53.8</v>
      </c>
      <c r="U138" t="n">
        <v>54.3</v>
      </c>
      <c r="V138" t="n">
        <v>57.8</v>
      </c>
      <c r="W138" t="n">
        <v>57.8</v>
      </c>
      <c r="X138" t="n">
        <v>50.4</v>
      </c>
      <c r="Y138" t="n">
        <v>56.5</v>
      </c>
      <c r="Z138" t="n">
        <v>54.7</v>
      </c>
      <c r="AA138" t="n">
        <v>50.66</v>
      </c>
    </row>
    <row r="139">
      <c r="A139" s="71" t="n">
        <v>44621</v>
      </c>
      <c r="B139" t="n">
        <v>52.9</v>
      </c>
      <c r="C139" t="n">
        <v>57.1</v>
      </c>
      <c r="D139" t="n">
        <v>58.5</v>
      </c>
      <c r="E139" t="n">
        <v>48.1</v>
      </c>
      <c r="F139" t="n">
        <v>57</v>
      </c>
      <c r="G139" t="n">
        <v>53.2</v>
      </c>
      <c r="H139" t="n">
        <v>57.6</v>
      </c>
      <c r="I139" t="n">
        <v>54.8</v>
      </c>
      <c r="J139" t="n">
        <v>55.5</v>
      </c>
      <c r="K139" t="n">
        <v>55.8</v>
      </c>
      <c r="L139" t="n">
        <v>54.2</v>
      </c>
      <c r="M139" t="n">
        <v>52.3</v>
      </c>
      <c r="N139" t="n">
        <v>49.2</v>
      </c>
      <c r="O139" t="n">
        <v>44.1</v>
      </c>
      <c r="P139" t="n">
        <v>54</v>
      </c>
      <c r="Q139" t="n">
        <v>58.9</v>
      </c>
      <c r="R139" t="n">
        <v>55.7</v>
      </c>
      <c r="S139" t="n">
        <v>51.3</v>
      </c>
      <c r="T139" t="n">
        <v>51.2</v>
      </c>
      <c r="U139" t="n">
        <v>54.1</v>
      </c>
      <c r="V139" t="n">
        <v>54.6</v>
      </c>
      <c r="W139" t="n">
        <v>59.4</v>
      </c>
      <c r="X139" t="n">
        <v>49.4</v>
      </c>
      <c r="Y139" t="n">
        <v>54.7</v>
      </c>
      <c r="Z139" t="n">
        <v>52.7</v>
      </c>
      <c r="AA139" t="n">
        <v>62.1</v>
      </c>
    </row>
    <row r="140">
      <c r="A140" s="71" t="n">
        <v>44652</v>
      </c>
      <c r="B140" t="n">
        <v>52.2</v>
      </c>
      <c r="C140" t="n">
        <v>55.4</v>
      </c>
      <c r="D140" t="n">
        <v>59.2</v>
      </c>
      <c r="E140" t="n">
        <v>46</v>
      </c>
      <c r="F140" t="n">
        <v>55.5</v>
      </c>
      <c r="G140" t="n">
        <v>53.5</v>
      </c>
      <c r="H140" t="n">
        <v>54.6</v>
      </c>
      <c r="I140" t="n">
        <v>55.7</v>
      </c>
      <c r="J140" t="n">
        <v>55.3</v>
      </c>
      <c r="K140" t="n">
        <v>54.5</v>
      </c>
      <c r="L140" t="n">
        <v>53.3</v>
      </c>
      <c r="M140" t="n">
        <v>51.8</v>
      </c>
      <c r="N140" t="n">
        <v>49.3</v>
      </c>
      <c r="O140" t="n">
        <v>48.2</v>
      </c>
      <c r="P140" t="n">
        <v>54.7</v>
      </c>
      <c r="Q140" t="n">
        <v>56.2</v>
      </c>
      <c r="R140" t="n">
        <v>58.5</v>
      </c>
      <c r="S140" t="n">
        <v>51.9</v>
      </c>
      <c r="T140" t="n">
        <v>52.1</v>
      </c>
      <c r="U140" t="n">
        <v>51.7</v>
      </c>
      <c r="V140" t="n">
        <v>54.8</v>
      </c>
      <c r="W140" t="n">
        <v>59.1</v>
      </c>
      <c r="X140" t="n">
        <v>49.2</v>
      </c>
      <c r="Y140" t="n">
        <v>54.4</v>
      </c>
      <c r="Z140" t="n">
        <v>52.4</v>
      </c>
      <c r="AA140" t="n">
        <v>63</v>
      </c>
    </row>
    <row r="141">
      <c r="A141" s="71" t="n">
        <v>44682</v>
      </c>
      <c r="B141" t="n">
        <v>52.3</v>
      </c>
      <c r="C141" t="n">
        <v>56.1</v>
      </c>
      <c r="D141" t="n">
        <v>57.5</v>
      </c>
      <c r="E141" t="n">
        <v>48.1</v>
      </c>
      <c r="F141" t="n">
        <v>54.4</v>
      </c>
      <c r="G141" t="n">
        <v>53.2</v>
      </c>
      <c r="H141" t="n">
        <v>54.7</v>
      </c>
      <c r="I141" t="n">
        <v>54.5</v>
      </c>
      <c r="J141" t="n">
        <v>54.6</v>
      </c>
      <c r="K141" t="n">
        <v>51.9</v>
      </c>
      <c r="L141" t="n">
        <v>53.8</v>
      </c>
      <c r="M141" t="n">
        <v>54.2</v>
      </c>
      <c r="N141" t="n">
        <v>50.6</v>
      </c>
      <c r="O141" t="n">
        <v>50.8</v>
      </c>
      <c r="P141" t="n">
        <v>54.6</v>
      </c>
      <c r="Q141" t="n">
        <v>56.8</v>
      </c>
      <c r="R141" t="n">
        <v>52.4</v>
      </c>
      <c r="S141" t="n">
        <v>50.8</v>
      </c>
      <c r="T141" t="n">
        <v>51.8</v>
      </c>
      <c r="U141" t="n">
        <v>50</v>
      </c>
      <c r="V141" t="n">
        <v>53.8</v>
      </c>
      <c r="W141" t="n">
        <v>56.4</v>
      </c>
      <c r="X141" t="n">
        <v>49.2</v>
      </c>
      <c r="Y141" t="n">
        <v>52.3</v>
      </c>
      <c r="Z141" t="n">
        <v>48.5</v>
      </c>
      <c r="AA141" t="n">
        <v>60.7</v>
      </c>
    </row>
    <row r="142">
      <c r="A142" s="71" t="n">
        <v>44713</v>
      </c>
      <c r="B142" t="n">
        <v>52.2</v>
      </c>
      <c r="C142" t="n">
        <v>53</v>
      </c>
      <c r="D142" t="n">
        <v>52.4</v>
      </c>
      <c r="E142" t="n">
        <v>51.7</v>
      </c>
      <c r="F142" t="n">
        <v>52</v>
      </c>
      <c r="G142" t="n">
        <v>52.7</v>
      </c>
      <c r="H142" t="n">
        <v>52</v>
      </c>
      <c r="I142" t="n">
        <v>51</v>
      </c>
      <c r="J142" t="n">
        <v>53.4</v>
      </c>
      <c r="K142" t="n">
        <v>50.9</v>
      </c>
      <c r="L142" t="n">
        <v>52.6</v>
      </c>
      <c r="M142" t="n">
        <v>54.1</v>
      </c>
      <c r="N142" t="n">
        <v>52.2</v>
      </c>
      <c r="O142" t="n">
        <v>50.9</v>
      </c>
      <c r="P142" t="n">
        <v>53.9</v>
      </c>
      <c r="Q142" t="n">
        <v>54.6</v>
      </c>
      <c r="R142" t="n">
        <v>54</v>
      </c>
      <c r="S142" t="n">
        <v>50.2</v>
      </c>
      <c r="T142" t="n">
        <v>51.3</v>
      </c>
      <c r="U142" t="n">
        <v>49.8</v>
      </c>
      <c r="V142" t="n">
        <v>51.1</v>
      </c>
      <c r="W142" t="n">
        <v>53.1</v>
      </c>
      <c r="X142" t="n">
        <v>48.1</v>
      </c>
      <c r="Y142" t="n">
        <v>49</v>
      </c>
      <c r="Z142" t="n">
        <v>44.4</v>
      </c>
      <c r="AA142" t="n">
        <v>71.3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8">
    <outlinePr summaryBelow="1" summaryRight="1"/>
    <pageSetUpPr/>
  </sheetPr>
  <dimension ref="C2:P98"/>
  <sheetViews>
    <sheetView topLeftCell="C6" zoomScale="140" zoomScaleNormal="140" workbookViewId="0">
      <selection activeCell="F16" sqref="F16"/>
    </sheetView>
  </sheetViews>
  <sheetFormatPr baseColWidth="10" defaultColWidth="9.1640625" defaultRowHeight="15"/>
  <cols>
    <col width="9.1640625" customWidth="1" style="61" min="1" max="2"/>
    <col width="24.33203125" customWidth="1" style="61" min="3" max="3"/>
    <col width="9.1640625" customWidth="1" style="61" min="4" max="7"/>
    <col width="21.33203125" customWidth="1" style="61" min="8" max="8"/>
    <col width="9.33203125" customWidth="1" style="61" min="9" max="12"/>
    <col width="23.33203125" customWidth="1" style="61" min="13" max="13"/>
    <col width="9.1640625" customWidth="1" style="61" min="14" max="41"/>
    <col width="9.1640625" customWidth="1" style="61" min="42" max="16384"/>
  </cols>
  <sheetData>
    <row r="1" ht="16" customHeight="1" s="30" thickBot="1"/>
    <row r="2" ht="16" customHeight="1" s="30" thickBot="1">
      <c r="C2" s="67" t="inlineStr">
        <is>
          <t>United - States</t>
        </is>
      </c>
      <c r="D2" s="68" t="n"/>
      <c r="E2" s="68" t="n"/>
      <c r="F2" s="68" t="n"/>
      <c r="G2" s="68" t="n"/>
      <c r="H2" s="68" t="n"/>
      <c r="I2" s="68" t="n"/>
      <c r="J2" s="68" t="n"/>
      <c r="K2" s="68" t="n"/>
      <c r="L2" s="68" t="n"/>
      <c r="M2" s="68" t="n"/>
      <c r="N2" s="68" t="n"/>
      <c r="O2" s="68" t="n"/>
      <c r="P2" s="69" t="n"/>
    </row>
    <row r="3" ht="16" customHeight="1" s="30" thickBot="1"/>
    <row r="4" ht="16" customHeight="1" s="30" thickBot="1">
      <c r="C4" s="67" t="inlineStr">
        <is>
          <t>Lagging - Coincident</t>
        </is>
      </c>
      <c r="D4" s="68" t="n"/>
      <c r="E4" s="68" t="n"/>
      <c r="F4" s="69" t="n"/>
      <c r="H4" s="67" t="inlineStr">
        <is>
          <t>Rates - Currency</t>
        </is>
      </c>
      <c r="I4" s="68" t="n"/>
      <c r="J4" s="68" t="n"/>
      <c r="K4" s="69" t="n"/>
      <c r="M4" s="67" t="inlineStr">
        <is>
          <t>Leading</t>
        </is>
      </c>
      <c r="N4" s="68" t="n"/>
      <c r="O4" s="68" t="n"/>
      <c r="P4" s="69" t="n"/>
    </row>
    <row r="5" ht="16" customHeight="1" s="30" thickBot="1"/>
    <row r="6">
      <c r="C6" s="3" t="n"/>
      <c r="D6" s="4" t="inlineStr">
        <is>
          <t>Last</t>
        </is>
      </c>
      <c r="E6" s="4" t="inlineStr">
        <is>
          <t>6m</t>
        </is>
      </c>
      <c r="F6" s="5" t="inlineStr">
        <is>
          <t>12m</t>
        </is>
      </c>
      <c r="H6" s="3" t="n"/>
      <c r="I6" s="4" t="inlineStr">
        <is>
          <t>Last</t>
        </is>
      </c>
      <c r="J6" s="4" t="inlineStr">
        <is>
          <t>6m</t>
        </is>
      </c>
      <c r="K6" s="5" t="inlineStr">
        <is>
          <t>12m</t>
        </is>
      </c>
      <c r="M6" s="3" t="n"/>
      <c r="N6" s="4" t="inlineStr">
        <is>
          <t>Last</t>
        </is>
      </c>
      <c r="O6" s="4" t="inlineStr">
        <is>
          <t>6m</t>
        </is>
      </c>
      <c r="P6" s="5" t="inlineStr">
        <is>
          <t>12m</t>
        </is>
      </c>
    </row>
    <row r="7">
      <c r="C7" s="6" t="inlineStr">
        <is>
          <t>GDP qoq</t>
        </is>
      </c>
      <c r="D7" s="40">
        <f>VLOOKUP($C$7,'DB US Indicators'!$A:$D,MATCH(D$6,'DB US Indicators'!$A$1:$S$1,0),0)</f>
        <v/>
      </c>
      <c r="E7" s="40">
        <f>VLOOKUP($C$7,'DB US Indicators'!$A:$D,MATCH(E$6,'DB US Indicators'!$A$1:$S$1,0),0)</f>
        <v/>
      </c>
      <c r="F7" s="41">
        <f>VLOOKUP($C$7,'DB US Indicators'!$A:$D,MATCH(F$6,'DB US Indicators'!$A$1:$S$1,0),0)</f>
        <v/>
      </c>
      <c r="G7" s="44" t="n"/>
      <c r="H7" s="6" t="inlineStr">
        <is>
          <t>Fed Funds Target rate</t>
        </is>
      </c>
      <c r="I7" s="47">
        <f>VLOOKUP($H$7,'DB US Indicators'!$A:$D,MATCH(I$6,'DB US Indicators'!$A$1:$S$1,0),0)</f>
        <v/>
      </c>
      <c r="J7" s="47" t="n"/>
      <c r="K7" s="8" t="n"/>
      <c r="L7" s="1" t="n"/>
      <c r="M7" s="6" t="inlineStr">
        <is>
          <t>UMCSI Index</t>
        </is>
      </c>
      <c r="N7" s="50">
        <f>IF(VLOOKUP($M$7,'DB US Indicators'!$A:$D,MATCH(N$6,'DB US Indicators'!$A$1:$S$1,0),0)="","",VLOOKUP($M$7,'DB US Indicators'!$A:$D,MATCH(N$6,'DB US Indicators'!$A$1:$S$1,0),0))</f>
        <v/>
      </c>
      <c r="O7" s="50">
        <f>IF(VLOOKUP($M$7,'DB US Indicators'!$A:$D,MATCH(O$6,'DB US Indicators'!$A$1:$S$1,0),0)="","",VLOOKUP($M$7,'DB US Indicators'!$A:$D,MATCH(O$6,'DB US Indicators'!$A$1:$S$1,0),0))</f>
        <v/>
      </c>
      <c r="P7" s="51">
        <f>IF(VLOOKUP($M$7,'DB US Indicators'!$A:$D,MATCH(P$6,'DB US Indicators'!$A$1:$S$1,0),0)="","",VLOOKUP($M$7,'DB US Indicators'!$A:$D,MATCH(P$6,'DB US Indicators'!$A$1:$S$1,0),0))</f>
        <v/>
      </c>
    </row>
    <row r="8">
      <c r="C8" s="6" t="inlineStr">
        <is>
          <t>GDP yoy</t>
        </is>
      </c>
      <c r="D8" s="42">
        <f>VLOOKUP($C$8,'DB US Indicators'!$A:$D,MATCH(D$6,'DB US Indicators'!$A$1:$S$1,0),0)</f>
        <v/>
      </c>
      <c r="E8" s="42">
        <f>VLOOKUP($C$8,'DB US Indicators'!$A:$D,MATCH(E$6,'DB US Indicators'!$A$1:$S$1,0),0)</f>
        <v/>
      </c>
      <c r="F8" s="43">
        <f>VLOOKUP($C$8,'DB US Indicators'!$A:$D,MATCH(F$6,'DB US Indicators'!$A$1:$S$1,0),0)</f>
        <v/>
      </c>
      <c r="G8" s="44" t="n"/>
      <c r="H8" s="6" t="inlineStr">
        <is>
          <t>Euro Futures 1m</t>
        </is>
      </c>
      <c r="I8" s="48">
        <f>VLOOKUP($H$8,'DB US Indicators'!$A:$D,MATCH(I$6,'DB US Indicators'!$A$1:$S$1,0),0)</f>
        <v/>
      </c>
      <c r="J8" s="48" t="n"/>
      <c r="K8" s="9" t="n"/>
      <c r="L8" s="2" t="n"/>
      <c r="M8" s="6" t="inlineStr">
        <is>
          <t>UMCSI Exp</t>
        </is>
      </c>
      <c r="N8" s="50">
        <f>IF(VLOOKUP($M$8,'DB US Indicators'!$A:$D,MATCH(N$6,'DB US Indicators'!$A$1:$S$1,0),0)="","",VLOOKUP($M$8,'DB US Indicators'!$A:$D,MATCH(N$6,'DB US Indicators'!$A$1:$S$1,0),0))</f>
        <v/>
      </c>
      <c r="O8" s="50">
        <f>IF(VLOOKUP($M$8,'DB US Indicators'!$A:$D,MATCH(O$6,'DB US Indicators'!$A$1:$S$1,0),0)="","",VLOOKUP($M$8,'DB US Indicators'!$A:$D,MATCH(O$6,'DB US Indicators'!$A$1:$S$1,0),0))</f>
        <v/>
      </c>
      <c r="P8" s="51">
        <f>IF(VLOOKUP($M$8,'DB US Indicators'!$A:$D,MATCH(P$6,'DB US Indicators'!$A$1:$S$1,0),0)="","",VLOOKUP($M$8,'DB US Indicators'!$A:$D,MATCH(P$6,'DB US Indicators'!$A$1:$S$1,0),0))</f>
        <v/>
      </c>
    </row>
    <row r="9">
      <c r="C9" s="6" t="inlineStr">
        <is>
          <t>Core CPI</t>
        </is>
      </c>
      <c r="D9" s="44">
        <f>VLOOKUP($C$9,'DB US Indicators'!$A:$D,MATCH(D$6,'DB US Indicators'!$A$1:$S$1,0),0)</f>
        <v/>
      </c>
      <c r="E9" s="44">
        <f>VLOOKUP($C$9,'DB US Indicators'!$A:$D,MATCH(E$6,'DB US Indicators'!$A$1:$S$1,0),0)</f>
        <v/>
      </c>
      <c r="F9" s="31">
        <f>VLOOKUP($C$9,'DB US Indicators'!$A:$D,MATCH(F$6,'DB US Indicators'!$A$1:$S$1,0),0)</f>
        <v/>
      </c>
      <c r="G9" s="44" t="n"/>
      <c r="H9" s="6" t="inlineStr">
        <is>
          <t>Euro Futures 6m</t>
        </is>
      </c>
      <c r="I9" s="48">
        <f>VLOOKUP($H$9,'DB US Indicators'!$A:$D,MATCH(I$6,'DB US Indicators'!$A$1:$S$1,0),0)</f>
        <v/>
      </c>
      <c r="J9" s="48" t="n"/>
      <c r="K9" s="9" t="n"/>
      <c r="L9" s="2" t="n"/>
      <c r="M9" s="6" t="inlineStr">
        <is>
          <t>Conference Board LEI</t>
        </is>
      </c>
      <c r="N9" s="52">
        <f>IF(VLOOKUP($M$9,'DB US Indicators'!$A:$D,MATCH(N$6,'DB US Indicators'!$A$1:$S$1,0),0)="","",VLOOKUP($M$9,'DB US Indicators'!$A:$D,MATCH(N$6,'DB US Indicators'!$A$1:$S$1,0),0))</f>
        <v/>
      </c>
      <c r="O9" s="52">
        <f>IF(VLOOKUP($M$9,'DB US Indicators'!$A:$D,MATCH(O$6,'DB US Indicators'!$A$1:$S$1,0),0)="","",VLOOKUP($M$9,'DB US Indicators'!$A:$D,MATCH(O$6,'DB US Indicators'!$A$1:$S$1,0),0))</f>
        <v/>
      </c>
      <c r="P9" s="53">
        <f>IF(VLOOKUP($M$9,'DB US Indicators'!$A:$D,MATCH(P$6,'DB US Indicators'!$A$1:$S$1,0),0)="","",VLOOKUP($M$9,'DB US Indicators'!$A:$D,MATCH(P$6,'DB US Indicators'!$A$1:$S$1,0),0))</f>
        <v/>
      </c>
    </row>
    <row r="10">
      <c r="C10" s="6" t="inlineStr">
        <is>
          <t>Core PCE</t>
        </is>
      </c>
      <c r="D10" s="42">
        <f>VLOOKUP($C$10,'DB US Indicators'!$A:$D,MATCH(D$6,'DB US Indicators'!$A$1:$S$1,0),0)</f>
        <v/>
      </c>
      <c r="E10" s="42">
        <f>VLOOKUP($C$10,'DB US Indicators'!$A:$D,MATCH(E$6,'DB US Indicators'!$A$1:$S$1,0),0)</f>
        <v/>
      </c>
      <c r="F10" s="43">
        <f>VLOOKUP($C$10,'DB US Indicators'!$A:$D,MATCH(F$6,'DB US Indicators'!$A$1:$S$1,0),0)</f>
        <v/>
      </c>
      <c r="G10" s="44" t="n"/>
      <c r="H10" s="6" t="inlineStr">
        <is>
          <t>Euro Futures 12m</t>
        </is>
      </c>
      <c r="I10" s="48">
        <f>VLOOKUP($H$10,'DB US Indicators'!$A:$D,MATCH(I$6,'DB US Indicators'!$A$1:$S$1,0),0)</f>
        <v/>
      </c>
      <c r="J10" s="48" t="n"/>
      <c r="K10" s="9" t="n"/>
      <c r="L10" s="2" t="n"/>
      <c r="M10" s="6" t="inlineStr">
        <is>
          <t>Building Permits</t>
        </is>
      </c>
      <c r="N10" s="52">
        <f>IF(VLOOKUP($M$10,'DB US Indicators'!$A:$D,MATCH(N$6,'DB US Indicators'!$A$1:$S$1,0),0)="","",VLOOKUP($M$10,'DB US Indicators'!$A:$D,MATCH(N$6,'DB US Indicators'!$A$1:$S$1,0),0))</f>
        <v/>
      </c>
      <c r="O10" s="52">
        <f>IF(VLOOKUP($M$10,'DB US Indicators'!$A:$D,MATCH(O$6,'DB US Indicators'!$A$1:$S$1,0),0)="","",VLOOKUP($M$10,'DB US Indicators'!$A:$D,MATCH(O$6,'DB US Indicators'!$A$1:$S$1,0),0))</f>
        <v/>
      </c>
      <c r="P10" s="53">
        <f>IF(VLOOKUP($M$10,'DB US Indicators'!$A:$D,MATCH(P$6,'DB US Indicators'!$A$1:$S$1,0),0)="","",VLOOKUP($M$10,'DB US Indicators'!$A:$D,MATCH(P$6,'DB US Indicators'!$A$1:$S$1,0),0))</f>
        <v/>
      </c>
    </row>
    <row r="11">
      <c r="C11" s="6" t="inlineStr">
        <is>
          <t>Core Retail Sales</t>
        </is>
      </c>
      <c r="D11" s="40">
        <f>VLOOKUP($C$11,'DB US Indicators'!$A:$D,MATCH(D$6,'DB US Indicators'!$A$1:$S$1,0),0)</f>
        <v/>
      </c>
      <c r="E11" s="40">
        <f>VLOOKUP($C$11,'DB US Indicators'!$A:$D,MATCH(E$6,'DB US Indicators'!$A$1:$S$1,0),0)</f>
        <v/>
      </c>
      <c r="F11" s="41">
        <f>VLOOKUP($C$11,'DB US Indicators'!$A:$D,MATCH(F$6,'DB US Indicators'!$A$1:$S$1,0),0)</f>
        <v/>
      </c>
      <c r="G11" s="44" t="n"/>
      <c r="H11" s="6" t="inlineStr">
        <is>
          <t>30y</t>
        </is>
      </c>
      <c r="I11" s="44">
        <f>IF(VLOOKUP($H$11,'DB US Indicators'!$A:$D,MATCH(I$6,'DB US Indicators'!$A$1:$S$1,0),0)="","",VLOOKUP($H$11,'DB US Indicators'!$A:$D,MATCH(I$6,'DB US Indicators'!$A$1:$S$1,0),0)/100)</f>
        <v/>
      </c>
      <c r="J11" s="44">
        <f>IF(VLOOKUP($H$11,'DB US Indicators'!$A:$D,MATCH(J$6,'DB US Indicators'!$A$1:$S$1,0),0)="","",VLOOKUP($H$11,'DB US Indicators'!$A:$D,MATCH(J$6,'DB US Indicators'!$A$1:$S$1,0),0))</f>
        <v/>
      </c>
      <c r="K11" s="31">
        <f>IF(VLOOKUP($H$11,'DB US Indicators'!$A:$D,MATCH(K$6,'DB US Indicators'!$A$1:$S$1,0),0)="","",VLOOKUP($H$11,'DB US Indicators'!$A:$D,MATCH(K$6,'DB US Indicators'!$A$1:$S$1,0),0))</f>
        <v/>
      </c>
      <c r="M11" s="6" t="inlineStr">
        <is>
          <t>ISM Manufacturing</t>
        </is>
      </c>
      <c r="N11" s="52">
        <f>IF(VLOOKUP($M$11,'DB US Indicators'!$A:$D,MATCH(N$6,'DB US Indicators'!$A$1:$S$1,0),0)="","",VLOOKUP($M$11,'DB US Indicators'!$A:$D,MATCH(N$6,'DB US Indicators'!$A$1:$S$1,0),0))</f>
        <v/>
      </c>
      <c r="O11" s="52">
        <f>IF(VLOOKUP($M$11,'DB US Indicators'!$A:$D,MATCH(O$6,'DB US Indicators'!$A$1:$S$1,0),0)="","",VLOOKUP($M$11,'DB US Indicators'!$A:$D,MATCH(O$6,'DB US Indicators'!$A$1:$S$1,0),0))</f>
        <v/>
      </c>
      <c r="P11" s="53">
        <f>IF(VLOOKUP($M$11,'DB US Indicators'!$A:$D,MATCH(P$6,'DB US Indicators'!$A$1:$S$1,0),0)="","",VLOOKUP($M$11,'DB US Indicators'!$A:$D,MATCH(P$6,'DB US Indicators'!$A$1:$S$1,0),0))</f>
        <v/>
      </c>
    </row>
    <row r="12">
      <c r="C12" s="6" t="inlineStr">
        <is>
          <t>Retail Sales MoM</t>
        </is>
      </c>
      <c r="D12" s="42">
        <f>VLOOKUP($C$12,'DB US Indicators'!$A:$D,MATCH(D$6,'DB US Indicators'!$A$1:$S$1,0),0)</f>
        <v/>
      </c>
      <c r="E12" s="42">
        <f>VLOOKUP($C$12,'DB US Indicators'!$A:$D,MATCH(E$6,'DB US Indicators'!$A$1:$S$1,0),0)</f>
        <v/>
      </c>
      <c r="F12" s="43">
        <f>VLOOKUP($C$12,'DB US Indicators'!$A:$D,MATCH(F$6,'DB US Indicators'!$A$1:$S$1,0),0)</f>
        <v/>
      </c>
      <c r="G12" s="44" t="n"/>
      <c r="H12" s="6" t="inlineStr">
        <is>
          <t>10y</t>
        </is>
      </c>
      <c r="I12" s="47">
        <f>IF(VLOOKUP($H$12,'DB US Indicators'!$A:$D,MATCH(I$6,'DB US Indicators'!$A$1:$S$1,0),0)="","",VLOOKUP($H$12,'DB US Indicators'!$A:$D,MATCH(I$6,'DB US Indicators'!$A$1:$S$1,0),0)/100)</f>
        <v/>
      </c>
      <c r="J12" s="47">
        <f>IF(VLOOKUP($H$12,'DB US Indicators'!$A:$D,MATCH(J$6,'DB US Indicators'!$A$1:$S$1,0),0)="","",VLOOKUP($H$12,'DB US Indicators'!$A:$D,MATCH(J$6,'DB US Indicators'!$A$1:$S$1,0),0)/100)</f>
        <v/>
      </c>
      <c r="K12" s="8">
        <f>IF(VLOOKUP($H$12,'DB US Indicators'!$A:$D,MATCH(K$6,'DB US Indicators'!$A$1:$S$1,0),0)="","",VLOOKUP($H$12,'DB US Indicators'!$A:$D,MATCH(K$6,'DB US Indicators'!$A$1:$S$1,0),0)/100)</f>
        <v/>
      </c>
      <c r="L12" s="1" t="n"/>
      <c r="M12" s="6" t="inlineStr">
        <is>
          <t>ISM Manuf New orders</t>
        </is>
      </c>
      <c r="N12" s="52">
        <f>IF(VLOOKUP($M$12,'DB US Indicators'!$A:$D,MATCH(N$6,'DB US Indicators'!$A$1:$S$1,0),0)="","",VLOOKUP($M$12,'DB US Indicators'!$A:$D,MATCH(N$6,'DB US Indicators'!$A$1:$S$1,0),0))</f>
        <v/>
      </c>
      <c r="O12" s="52">
        <f>IF(VLOOKUP($M$12,'DB US Indicators'!$A:$D,MATCH(O$6,'DB US Indicators'!$A$1:$S$1,0),0)="","",VLOOKUP($M$12,'DB US Indicators'!$A:$D,MATCH(O$6,'DB US Indicators'!$A$1:$S$1,0),0))</f>
        <v/>
      </c>
      <c r="P12" s="53">
        <f>IF(VLOOKUP($M$12,'DB US Indicators'!$A:$D,MATCH(P$6,'DB US Indicators'!$A$1:$S$1,0),0)="","",VLOOKUP($M$12,'DB US Indicators'!$A:$D,MATCH(P$6,'DB US Indicators'!$A$1:$S$1,0),0))</f>
        <v/>
      </c>
    </row>
    <row r="13">
      <c r="C13" s="6" t="inlineStr">
        <is>
          <t>Unemployment Rate</t>
        </is>
      </c>
      <c r="D13" s="42">
        <f>VLOOKUP($C$13,'DB US Indicators'!$A:$D,MATCH(D$6,'DB US Indicators'!$A$1:$S$1,0),0)</f>
        <v/>
      </c>
      <c r="E13" s="42">
        <f>VLOOKUP($C$13,'DB US Indicators'!$A:$D,MATCH(E$6,'DB US Indicators'!$A$1:$S$1,0),0)</f>
        <v/>
      </c>
      <c r="F13" s="43">
        <f>VLOOKUP($C$13,'DB US Indicators'!$A:$D,MATCH(F$6,'DB US Indicators'!$A$1:$S$1,0),0)</f>
        <v/>
      </c>
      <c r="G13" s="44" t="n"/>
      <c r="H13" s="6" t="inlineStr">
        <is>
          <t>2y</t>
        </is>
      </c>
      <c r="I13" s="47">
        <f>IF(VLOOKUP($H$13,'DB US Indicators'!$A:$D,MATCH(I$6,'DB US Indicators'!$A$1:$S$1,0),0)="","",VLOOKUP($H$13,'DB US Indicators'!$A:$D,MATCH(I$6,'DB US Indicators'!$A$1:$S$1,0),0)/100)</f>
        <v/>
      </c>
      <c r="J13" s="47">
        <f>IF(VLOOKUP($H$13,'DB US Indicators'!$A:$D,MATCH(J$6,'DB US Indicators'!$A$1:$S$1,0),0)="","",VLOOKUP($H$13,'DB US Indicators'!$A:$D,MATCH(J$6,'DB US Indicators'!$A$1:$S$1,0),0)/100)</f>
        <v/>
      </c>
      <c r="K13" s="8">
        <f>IF(VLOOKUP($H$13,'DB US Indicators'!$A:$D,MATCH(K$6,'DB US Indicators'!$A$1:$S$1,0),0)="","",VLOOKUP($H$13,'DB US Indicators'!$A:$D,MATCH(K$6,'DB US Indicators'!$A$1:$S$1,0),0)/100)</f>
        <v/>
      </c>
      <c r="L13" s="1" t="n"/>
      <c r="M13" s="6" t="inlineStr">
        <is>
          <t>ISM Services</t>
        </is>
      </c>
      <c r="N13" s="52">
        <f>IF(VLOOKUP($M$13,'DB US Indicators'!$A:$D,MATCH(N$6,'DB US Indicators'!$A$1:$S$1,0),0)="","",VLOOKUP($M$13,'DB US Indicators'!$A:$D,MATCH(N$6,'DB US Indicators'!$A$1:$S$1,0),0))</f>
        <v/>
      </c>
      <c r="O13" s="52">
        <f>IF(VLOOKUP($M$13,'DB US Indicators'!$A:$D,MATCH(O$6,'DB US Indicators'!$A$1:$S$1,0),0)="","",VLOOKUP($M$13,'DB US Indicators'!$A:$D,MATCH(O$6,'DB US Indicators'!$A$1:$S$1,0),0))</f>
        <v/>
      </c>
      <c r="P13" s="53">
        <f>IF(VLOOKUP($M$13,'DB US Indicators'!$A:$D,MATCH(P$6,'DB US Indicators'!$A$1:$S$1,0),0)="","",VLOOKUP($M$13,'DB US Indicators'!$A:$D,MATCH(P$6,'DB US Indicators'!$A$1:$S$1,0),0))</f>
        <v/>
      </c>
    </row>
    <row r="14">
      <c r="C14" s="6" t="inlineStr">
        <is>
          <t>Non-Farm Payroll</t>
        </is>
      </c>
      <c r="D14" s="55">
        <f>VLOOKUP($C$14,'DB US Indicators'!$A:$D,MATCH(D$6,'DB US Indicators'!$A$1:$S$1,0),0)</f>
        <v/>
      </c>
      <c r="E14" s="55">
        <f>VLOOKUP($C$14,'DB US Indicators'!$A:$D,MATCH(E$6,'DB US Indicators'!$A$1:$S$1,0),0)</f>
        <v/>
      </c>
      <c r="F14" s="56">
        <f>VLOOKUP($C$14,'DB US Indicators'!$A:$D,MATCH(F$6,'DB US Indicators'!$A$1:$S$1,0),0)</f>
        <v/>
      </c>
      <c r="G14" s="32" t="n"/>
      <c r="H14" s="6" t="inlineStr">
        <is>
          <t>3m</t>
        </is>
      </c>
      <c r="I14" s="47">
        <f>IF(VLOOKUP($H$14,'DB US Indicators'!$A:$D,MATCH(I$6,'DB US Indicators'!$A$1:$S$1,0),0)="","",VLOOKUP($H$14,'DB US Indicators'!$A:$D,MATCH(I$6,'DB US Indicators'!$A$1:$S$1,0),0)/100)</f>
        <v/>
      </c>
      <c r="J14" s="47">
        <f>IF(VLOOKUP($H$14,'DB US Indicators'!$A:$D,MATCH(J$6,'DB US Indicators'!$A$1:$S$1,0),0)="","",VLOOKUP($H$14,'DB US Indicators'!$A:$D,MATCH(J$6,'DB US Indicators'!$A$1:$S$1,0),0))</f>
        <v/>
      </c>
      <c r="K14" s="8">
        <f>IF(VLOOKUP($H$14,'DB US Indicators'!$A:$D,MATCH(K$6,'DB US Indicators'!$A$1:$S$1,0),0)="","",VLOOKUP($H$14,'DB US Indicators'!$A:$D,MATCH(K$6,'DB US Indicators'!$A$1:$S$1,0),0))</f>
        <v/>
      </c>
      <c r="L14" s="1" t="n"/>
      <c r="M14" s="6" t="inlineStr">
        <is>
          <t>Money Supply M1</t>
        </is>
      </c>
      <c r="N14" s="48">
        <f>IF(VLOOKUP($M$14,'DB US Indicators'!$A:$D,MATCH(N$6,'DB US Indicators'!$A$1:$S$1,0),0)="","",VLOOKUP($M$14,'DB US Indicators'!$A:$D,MATCH(N$6,'DB US Indicators'!$A$1:$S$1,0),0))</f>
        <v/>
      </c>
      <c r="O14" s="54" t="n"/>
      <c r="P14" s="10" t="n"/>
    </row>
    <row r="15">
      <c r="C15" s="6" t="inlineStr">
        <is>
          <t>Weekly Claims</t>
        </is>
      </c>
      <c r="D15" s="55">
        <f>VLOOKUP($C$15,'DB US Indicators'!$A:$D,MATCH(D$6,'DB US Indicators'!$A$1:$S$1,0),0)</f>
        <v/>
      </c>
      <c r="E15" s="55">
        <f>VLOOKUP($C$15,'DB US Indicators'!$A:$D,MATCH(E$6,'DB US Indicators'!$A$1:$S$1,0),0)</f>
        <v/>
      </c>
      <c r="F15" s="56">
        <f>VLOOKUP($C$15,'DB US Indicators'!$A:$D,MATCH(F$6,'DB US Indicators'!$A$1:$S$1,0),0)</f>
        <v/>
      </c>
      <c r="G15" s="32" t="n"/>
      <c r="H15" s="6" t="inlineStr">
        <is>
          <t>10y -2y</t>
        </is>
      </c>
      <c r="I15" s="47">
        <f>I12-I13</f>
        <v/>
      </c>
      <c r="J15" s="47">
        <f>J12-J13</f>
        <v/>
      </c>
      <c r="K15" s="8">
        <f>K12-K13</f>
        <v/>
      </c>
      <c r="L15" s="1" t="n"/>
      <c r="M15" s="6" t="inlineStr">
        <is>
          <t>Money Supply M2</t>
        </is>
      </c>
      <c r="N15" s="48">
        <f>IF(VLOOKUP($M$15,'DB US Indicators'!$A:$D,MATCH(N$6,'DB US Indicators'!$A$1:$S$1,0),0)="","",VLOOKUP($M$15,'DB US Indicators'!$A:$D,MATCH(N$6,'DB US Indicators'!$A$1:$S$1,0),0))</f>
        <v/>
      </c>
      <c r="O15" s="54" t="n"/>
      <c r="P15" s="10" t="n"/>
    </row>
    <row r="16" ht="16" customHeight="1" s="30" thickBot="1">
      <c r="C16" s="7" t="inlineStr">
        <is>
          <t>Industrial Production</t>
        </is>
      </c>
      <c r="D16" s="33">
        <f>VLOOKUP($C$16,'DB US Indicators'!$A:$D,MATCH(D$6,'DB US Indicators'!$A$1:$S$1,0),0)</f>
        <v/>
      </c>
      <c r="E16" s="33">
        <f>VLOOKUP($C$16,'DB US Indicators'!$A:$D,MATCH(E$6,'DB US Indicators'!$A$1:$S$1,0),0)</f>
        <v/>
      </c>
      <c r="F16" s="45">
        <f>VLOOKUP($C$16,'DB US Indicators'!$A:$D,MATCH(F$6,'DB US Indicators'!$A$1:$S$1,0),0)</f>
        <v/>
      </c>
      <c r="G16" s="44" t="n"/>
      <c r="H16" s="7" t="inlineStr">
        <is>
          <t>DXY</t>
        </is>
      </c>
      <c r="I16" s="46">
        <f>IF(VLOOKUP($H$16,'DB US Indicators'!$A:$D,MATCH(I$6,'DB US Indicators'!$A$1:$S$1,0),0)="","",VLOOKUP($H$16,'DB US Indicators'!$A:$D,MATCH(I$6,'DB US Indicators'!$A$1:$S$1,0),0))</f>
        <v/>
      </c>
      <c r="J16" s="46">
        <f>IF(VLOOKUP($H$16,'DB US Indicators'!$A:$D,MATCH(J$6,'DB US Indicators'!$A$1:$S$1,0),0)="","",VLOOKUP($H$16,'DB US Indicators'!$A:$D,MATCH(J$6,'DB US Indicators'!$A$1:$S$1,0),0))</f>
        <v/>
      </c>
      <c r="K16" s="49">
        <f>IF(VLOOKUP($H$16,'DB US Indicators'!$A:$D,MATCH(K$6,'DB US Indicators'!$A$1:$S$1,0),0)="","",VLOOKUP($H$16,'DB US Indicators'!$A:$D,MATCH(K$6,'DB US Indicators'!$A$1:$S$1,0),0))</f>
        <v/>
      </c>
      <c r="L16" s="1" t="n"/>
      <c r="M16" s="11" t="n"/>
      <c r="N16" s="12" t="n"/>
      <c r="O16" s="12" t="n"/>
      <c r="P16" s="13" t="n"/>
    </row>
    <row r="19">
      <c r="C19" s="62" t="inlineStr">
        <is>
          <t>ISM Manufacturing Sectors</t>
        </is>
      </c>
    </row>
    <row r="98">
      <c r="C98" s="62" t="inlineStr">
        <is>
          <t>ISM Services Sectors</t>
        </is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1:AJ72"/>
  <sheetViews>
    <sheetView tabSelected="1" zoomScale="150" zoomScaleNormal="150" workbookViewId="0">
      <pane xSplit="2" ySplit="10" topLeftCell="C46" activePane="bottomRight" state="frozen"/>
      <selection activeCell="AE27" sqref="AE27"/>
      <selection pane="topRight" activeCell="AE27" sqref="AE27"/>
      <selection pane="bottomLeft" activeCell="AE27" sqref="AE27"/>
      <selection pane="bottomRight" activeCell="C68" sqref="C68"/>
    </sheetView>
  </sheetViews>
  <sheetFormatPr baseColWidth="10" defaultColWidth="9.1640625" defaultRowHeight="15"/>
  <cols>
    <col width="9.1640625" customWidth="1" style="61" min="1" max="1"/>
    <col width="17.83203125" customWidth="1" style="30" min="2" max="2"/>
    <col width="6.1640625" customWidth="1" style="30" min="3" max="27"/>
    <col width="7.33203125" customWidth="1" style="30" min="28" max="28"/>
    <col width="9.1640625" customWidth="1" style="61" min="29" max="29"/>
    <col width="12.33203125" customWidth="1" style="61" min="30" max="30"/>
    <col width="9.1640625" customWidth="1" style="61" min="31" max="31"/>
    <col width="10.6640625" customWidth="1" style="61" min="32" max="32"/>
    <col width="10.6640625" bestFit="1" customWidth="1" style="61" min="33" max="33"/>
    <col width="9.1640625" customWidth="1" style="61" min="34" max="74"/>
  </cols>
  <sheetData>
    <row r="1" ht="16" customFormat="1" customHeight="1" s="61" thickBot="1">
      <c r="C1" s="61" t="inlineStr">
        <is>
          <t>Global</t>
        </is>
      </c>
      <c r="D1" s="61" t="inlineStr">
        <is>
          <t>ISM</t>
        </is>
      </c>
      <c r="E1" s="61" t="inlineStr">
        <is>
          <t>US</t>
        </is>
      </c>
      <c r="F1" s="61" t="inlineStr">
        <is>
          <t>CHN</t>
        </is>
      </c>
      <c r="G1" s="61" t="inlineStr">
        <is>
          <t>EU</t>
        </is>
      </c>
      <c r="H1" s="61" t="inlineStr">
        <is>
          <t>JPN</t>
        </is>
      </c>
      <c r="I1" s="61" t="inlineStr">
        <is>
          <t>DEU</t>
        </is>
      </c>
      <c r="J1" s="61" t="inlineStr">
        <is>
          <t>FRA</t>
        </is>
      </c>
      <c r="K1" s="61" t="inlineStr">
        <is>
          <t>UK</t>
        </is>
      </c>
      <c r="L1" s="61" t="inlineStr">
        <is>
          <t>ITA</t>
        </is>
      </c>
      <c r="M1" s="61" t="inlineStr">
        <is>
          <t>ESP</t>
        </is>
      </c>
      <c r="N1" s="61" t="inlineStr">
        <is>
          <t>BRA</t>
        </is>
      </c>
      <c r="O1" s="61" t="inlineStr">
        <is>
          <t>MEX</t>
        </is>
      </c>
      <c r="P1" s="61" t="inlineStr">
        <is>
          <t>RUS</t>
        </is>
      </c>
      <c r="Q1" s="61" t="inlineStr">
        <is>
          <t>IND</t>
        </is>
      </c>
      <c r="R1" s="61" t="inlineStr">
        <is>
          <t>CAN</t>
        </is>
      </c>
      <c r="S1" s="61" t="inlineStr">
        <is>
          <t>AUS</t>
        </is>
      </c>
      <c r="T1" s="61" t="inlineStr">
        <is>
          <t>IDN</t>
        </is>
      </c>
      <c r="U1" s="61" t="inlineStr">
        <is>
          <t>KOR</t>
        </is>
      </c>
      <c r="V1" s="61" t="inlineStr">
        <is>
          <t>TAI</t>
        </is>
      </c>
      <c r="W1" s="61" t="inlineStr">
        <is>
          <t>GRE</t>
        </is>
      </c>
      <c r="X1" s="61" t="inlineStr">
        <is>
          <t>IRE</t>
        </is>
      </c>
      <c r="Y1" s="61" t="inlineStr">
        <is>
          <t>TUR</t>
        </is>
      </c>
      <c r="Z1" s="61" t="inlineStr">
        <is>
          <t>CZE</t>
        </is>
      </c>
      <c r="AA1" s="61" t="inlineStr">
        <is>
          <t>POL</t>
        </is>
      </c>
      <c r="AB1" s="61" t="inlineStr">
        <is>
          <t>DEN</t>
        </is>
      </c>
      <c r="AD1" s="17" t="inlineStr">
        <is>
          <t>*to update</t>
        </is>
      </c>
      <c r="AE1" s="61" t="inlineStr">
        <is>
          <t>Last month</t>
        </is>
      </c>
      <c r="AG1" s="39" t="n">
        <v>44562</v>
      </c>
      <c r="AJ1" s="16" t="n"/>
    </row>
    <row r="2" ht="72.75" customHeight="1" s="30" thickBot="1">
      <c r="B2" s="18" t="n"/>
      <c r="C2" s="19" t="inlineStr">
        <is>
          <t>Global</t>
        </is>
      </c>
      <c r="D2" s="19" t="inlineStr">
        <is>
          <t>US ISM</t>
        </is>
      </c>
      <c r="E2" s="19" t="inlineStr">
        <is>
          <t>US</t>
        </is>
      </c>
      <c r="F2" s="19" t="inlineStr">
        <is>
          <t xml:space="preserve">China </t>
        </is>
      </c>
      <c r="G2" s="19" t="inlineStr">
        <is>
          <t>Eurozone</t>
        </is>
      </c>
      <c r="H2" s="19" t="inlineStr">
        <is>
          <t xml:space="preserve">Japan </t>
        </is>
      </c>
      <c r="I2" s="19" t="inlineStr">
        <is>
          <t>Germany</t>
        </is>
      </c>
      <c r="J2" s="19" t="inlineStr">
        <is>
          <t>France</t>
        </is>
      </c>
      <c r="K2" s="19" t="inlineStr">
        <is>
          <t>UK</t>
        </is>
      </c>
      <c r="L2" s="19" t="inlineStr">
        <is>
          <t xml:space="preserve">Italy </t>
        </is>
      </c>
      <c r="M2" s="19" t="inlineStr">
        <is>
          <t>Spain</t>
        </is>
      </c>
      <c r="N2" s="19" t="inlineStr">
        <is>
          <t>Brazil</t>
        </is>
      </c>
      <c r="O2" s="19" t="inlineStr">
        <is>
          <t>Mexico</t>
        </is>
      </c>
      <c r="P2" s="19" t="inlineStr">
        <is>
          <t>Russia</t>
        </is>
      </c>
      <c r="Q2" s="19" t="inlineStr">
        <is>
          <t>India</t>
        </is>
      </c>
      <c r="R2" s="19" t="inlineStr">
        <is>
          <t>Canada</t>
        </is>
      </c>
      <c r="S2" s="19" t="inlineStr">
        <is>
          <t>Australia</t>
        </is>
      </c>
      <c r="T2" s="20" t="inlineStr">
        <is>
          <t>Indonesia</t>
        </is>
      </c>
      <c r="U2" s="19" t="inlineStr">
        <is>
          <t xml:space="preserve">S Korea </t>
        </is>
      </c>
      <c r="V2" s="19" t="inlineStr">
        <is>
          <t>Taiwan</t>
        </is>
      </c>
      <c r="W2" s="19" t="inlineStr">
        <is>
          <t>Greece</t>
        </is>
      </c>
      <c r="X2" s="19" t="inlineStr">
        <is>
          <t>Ireland</t>
        </is>
      </c>
      <c r="Y2" s="19" t="inlineStr">
        <is>
          <t>Turkey</t>
        </is>
      </c>
      <c r="Z2" s="19" t="inlineStr">
        <is>
          <t xml:space="preserve">Czech </t>
        </is>
      </c>
      <c r="AA2" s="19" t="inlineStr">
        <is>
          <t>Poland</t>
        </is>
      </c>
      <c r="AB2" s="21" t="inlineStr">
        <is>
          <t>Denmark</t>
        </is>
      </c>
      <c r="AG2" s="22" t="n"/>
    </row>
    <row r="3" hidden="1" s="30">
      <c r="B3" s="23" t="inlineStr">
        <is>
          <t>max 12m</t>
        </is>
      </c>
      <c r="C3" s="34">
        <f>MAX(OFFSET(C$12,COUNT(C$12:C$105),0,-13,1))</f>
        <v/>
      </c>
      <c r="D3" s="34">
        <f>MAX(OFFSET(D$12,COUNT(D$12:D$105),0,-13,1))</f>
        <v/>
      </c>
      <c r="E3" s="34">
        <f>MAX(OFFSET(E$12,COUNT(E$12:E$105),0,-13,1))</f>
        <v/>
      </c>
      <c r="F3" s="34">
        <f>MAX(OFFSET(F$12,COUNT(F$12:F$105),0,-13,1))</f>
        <v/>
      </c>
      <c r="G3" s="34">
        <f>MAX(OFFSET(G$12,COUNT(G$12:G$105),0,-13,1))</f>
        <v/>
      </c>
      <c r="H3" s="34">
        <f>MAX(OFFSET(H$12,COUNT(H$12:H$105),0,-13,1))</f>
        <v/>
      </c>
      <c r="I3" s="34">
        <f>MAX(OFFSET(I$12,COUNT(I$12:I$105),0,-13,1))</f>
        <v/>
      </c>
      <c r="J3" s="34">
        <f>MAX(OFFSET(J$12,COUNT(J$12:J$105),0,-13,1))</f>
        <v/>
      </c>
      <c r="K3" s="34">
        <f>MAX(OFFSET(K$12,COUNT(K$12:K$105),0,-13,1))</f>
        <v/>
      </c>
      <c r="L3" s="34">
        <f>MAX(OFFSET(L$12,COUNT(L$12:L$105),0,-13,1))</f>
        <v/>
      </c>
      <c r="M3" s="34">
        <f>MAX(OFFSET(M$12,COUNT(M$12:M$105),0,-13,1))</f>
        <v/>
      </c>
      <c r="N3" s="34">
        <f>MAX(OFFSET(N$12,COUNT(N$12:N$105),0,-13,1))</f>
        <v/>
      </c>
      <c r="O3" s="34">
        <f>MAX(OFFSET(O$12,COUNT(O$12:O$105),0,-13,1))</f>
        <v/>
      </c>
      <c r="P3" s="34">
        <f>MAX(OFFSET(P$12,COUNT(P$12:P$105),0,-13,1))</f>
        <v/>
      </c>
      <c r="Q3" s="34">
        <f>MAX(OFFSET(Q$12,COUNT(Q$12:Q$105),0,-13,1))</f>
        <v/>
      </c>
      <c r="R3" s="34">
        <f>MAX(OFFSET(R$12,COUNT(R$12:R$105),0,-13,1))</f>
        <v/>
      </c>
      <c r="S3" s="34">
        <f>MAX(OFFSET(S$12,COUNT(S$12:S$105),0,-13,1))</f>
        <v/>
      </c>
      <c r="T3" s="34">
        <f>MAX(OFFSET(T$12,COUNT(T$12:T$105),0,-13,1))</f>
        <v/>
      </c>
      <c r="U3" s="34">
        <f>MAX(OFFSET(U$12,COUNT(U$12:U$105),0,-13,1))</f>
        <v/>
      </c>
      <c r="V3" s="34">
        <f>MAX(OFFSET(V$12,COUNT(V$12:V$105),0,-13,1))</f>
        <v/>
      </c>
      <c r="W3" s="34">
        <f>MAX(OFFSET(W$12,COUNT(W$12:W$105),0,-13,1))</f>
        <v/>
      </c>
      <c r="X3" s="34">
        <f>MAX(OFFSET(X$12,COUNT(X$12:X$105),0,-13,1))</f>
        <v/>
      </c>
      <c r="Y3" s="34">
        <f>MAX(OFFSET(Y$12,COUNT(Y$12:Y$105),0,-13,1))</f>
        <v/>
      </c>
      <c r="Z3" s="34">
        <f>MAX(OFFSET(Z$12,COUNT(Z$12:Z$105),0,-13,1))</f>
        <v/>
      </c>
      <c r="AA3" s="34">
        <f>MAX(OFFSET(AA$12,COUNT(AA$12:AA$105),0,-13,1))</f>
        <v/>
      </c>
      <c r="AB3" s="34">
        <f>MAX(OFFSET(AB$12,COUNT(AB$12:AB$105),0,-13,1))</f>
        <v/>
      </c>
      <c r="AE3" s="61" t="inlineStr">
        <is>
          <t>Previous month</t>
        </is>
      </c>
      <c r="AG3" s="22">
        <f>DATE(YEAR(AG1),MONTH(AG1)-1,DAY(AG1))</f>
        <v/>
      </c>
    </row>
    <row r="4" hidden="1" s="30">
      <c r="B4" s="23" t="inlineStr">
        <is>
          <t>min 12m</t>
        </is>
      </c>
      <c r="C4" s="34">
        <f>MIN(OFFSET(C$12,COUNT(C$12:C$105),0,-13,1))</f>
        <v/>
      </c>
      <c r="D4" s="34">
        <f>MIN(OFFSET(D$12,COUNT(D$12:D$105),0,-13,1))</f>
        <v/>
      </c>
      <c r="E4" s="34">
        <f>MIN(OFFSET(E$12,COUNT(E$12:E$105),0,-13,1))</f>
        <v/>
      </c>
      <c r="F4" s="34">
        <f>MIN(OFFSET(F$12,COUNT(F$12:F$105),0,-13,1))</f>
        <v/>
      </c>
      <c r="G4" s="34">
        <f>MIN(OFFSET(G$12,COUNT(G$12:G$105),0,-13,1))</f>
        <v/>
      </c>
      <c r="H4" s="34">
        <f>MIN(OFFSET(H$12,COUNT(H$12:H$105),0,-13,1))</f>
        <v/>
      </c>
      <c r="I4" s="34">
        <f>MIN(OFFSET(I$12,COUNT(I$12:I$105),0,-13,1))</f>
        <v/>
      </c>
      <c r="J4" s="34">
        <f>MIN(OFFSET(J$12,COUNT(J$12:J$105),0,-13,1))</f>
        <v/>
      </c>
      <c r="K4" s="34">
        <f>MIN(OFFSET(K$12,COUNT(K$12:K$105),0,-13,1))</f>
        <v/>
      </c>
      <c r="L4" s="34">
        <f>MIN(OFFSET(L$12,COUNT(L$12:L$105),0,-13,1))</f>
        <v/>
      </c>
      <c r="M4" s="34">
        <f>MIN(OFFSET(M$12,COUNT(M$12:M$105),0,-13,1))</f>
        <v/>
      </c>
      <c r="N4" s="34">
        <f>MIN(OFFSET(N$12,COUNT(N$12:N$105),0,-13,1))</f>
        <v/>
      </c>
      <c r="O4" s="34">
        <f>MIN(OFFSET(O$12,COUNT(O$12:O$105),0,-13,1))</f>
        <v/>
      </c>
      <c r="P4" s="34">
        <f>MIN(OFFSET(P$12,COUNT(P$12:P$105),0,-13,1))</f>
        <v/>
      </c>
      <c r="Q4" s="34">
        <f>MIN(OFFSET(Q$12,COUNT(Q$12:Q$105),0,-13,1))</f>
        <v/>
      </c>
      <c r="R4" s="34">
        <f>MIN(OFFSET(R$12,COUNT(R$12:R$105),0,-13,1))</f>
        <v/>
      </c>
      <c r="S4" s="34">
        <f>MIN(OFFSET(S$12,COUNT(S$12:S$105),0,-13,1))</f>
        <v/>
      </c>
      <c r="T4" s="34">
        <f>MIN(OFFSET(T$12,COUNT(T$12:T$105),0,-13,1))</f>
        <v/>
      </c>
      <c r="U4" s="34">
        <f>MIN(OFFSET(U$12,COUNT(U$12:U$105),0,-13,1))</f>
        <v/>
      </c>
      <c r="V4" s="34">
        <f>MIN(OFFSET(V$12,COUNT(V$12:V$105),0,-13,1))</f>
        <v/>
      </c>
      <c r="W4" s="34">
        <f>MIN(OFFSET(W$12,COUNT(W$12:W$105),0,-13,1))</f>
        <v/>
      </c>
      <c r="X4" s="34">
        <f>MIN(OFFSET(X$12,COUNT(X$12:X$105),0,-13,1))</f>
        <v/>
      </c>
      <c r="Y4" s="34">
        <f>MIN(OFFSET(Y$12,COUNT(Y$12:Y$105),0,-13,1))</f>
        <v/>
      </c>
      <c r="Z4" s="34">
        <f>MIN(OFFSET(Z$12,COUNT(Z$12:Z$105),0,-13,1))</f>
        <v/>
      </c>
      <c r="AA4" s="34">
        <f>MIN(OFFSET(AA$12,COUNT(AA$12:AA$105),0,-13,1))</f>
        <v/>
      </c>
      <c r="AB4" s="34">
        <f>MIN(OFFSET(AB$12,COUNT(AB$12:AB$105),0,-13,1))</f>
        <v/>
      </c>
      <c r="AE4" s="61" t="inlineStr">
        <is>
          <t>12 months</t>
        </is>
      </c>
      <c r="AG4" s="22">
        <f>DATE(YEAR(AG1),MONTH(AG1)-12,DAY(AG1))</f>
        <v/>
      </c>
    </row>
    <row r="5" hidden="1" ht="16" customHeight="1" s="30" thickBot="1">
      <c r="B5" s="23" t="inlineStr">
        <is>
          <t>12m avg</t>
        </is>
      </c>
      <c r="C5" s="35">
        <f>AVERAGE(OFFSET(C$12,COUNT(C$12:C$105),0,-13,1))</f>
        <v/>
      </c>
      <c r="D5" s="35">
        <f>AVERAGE(OFFSET(D$12,COUNT(D$12:D$105),0,-13,1))</f>
        <v/>
      </c>
      <c r="E5" s="35">
        <f>AVERAGE(OFFSET(E$12,COUNT(E$12:E$105),0,-13,1))</f>
        <v/>
      </c>
      <c r="F5" s="35">
        <f>AVERAGE(OFFSET(F$12,COUNT(F$12:F$105),0,-13,1))</f>
        <v/>
      </c>
      <c r="G5" s="35">
        <f>AVERAGE(OFFSET(G$12,COUNT(G$12:G$105),0,-13,1))</f>
        <v/>
      </c>
      <c r="H5" s="35">
        <f>AVERAGE(OFFSET(H$12,COUNT(H$12:H$105),0,-13,1))</f>
        <v/>
      </c>
      <c r="I5" s="35">
        <f>AVERAGE(OFFSET(I$12,COUNT(I$12:I$105),0,-13,1))</f>
        <v/>
      </c>
      <c r="J5" s="35">
        <f>AVERAGE(OFFSET(J$12,COUNT(J$12:J$105),0,-13,1))</f>
        <v/>
      </c>
      <c r="K5" s="35">
        <f>AVERAGE(OFFSET(K$12,COUNT(K$12:K$105),0,-13,1))</f>
        <v/>
      </c>
      <c r="L5" s="35">
        <f>AVERAGE(OFFSET(L$12,COUNT(L$12:L$105),0,-13,1))</f>
        <v/>
      </c>
      <c r="M5" s="35">
        <f>AVERAGE(OFFSET(M$12,COUNT(M$12:M$105),0,-13,1))</f>
        <v/>
      </c>
      <c r="N5" s="35">
        <f>AVERAGE(OFFSET(N$12,COUNT(N$12:N$105),0,-13,1))</f>
        <v/>
      </c>
      <c r="O5" s="35">
        <f>AVERAGE(OFFSET(O$12,COUNT(O$12:O$105),0,-13,1))</f>
        <v/>
      </c>
      <c r="P5" s="35">
        <f>AVERAGE(OFFSET(P$12,COUNT(P$12:P$105),0,-13,1))</f>
        <v/>
      </c>
      <c r="Q5" s="35">
        <f>AVERAGE(OFFSET(Q$12,COUNT(Q$12:Q$105),0,-13,1))</f>
        <v/>
      </c>
      <c r="R5" s="35">
        <f>AVERAGE(OFFSET(R$12,COUNT(R$12:R$105),0,-13,1))</f>
        <v/>
      </c>
      <c r="S5" s="35">
        <f>AVERAGE(OFFSET(S$12,COUNT(S$12:S$105),0,-13,1))</f>
        <v/>
      </c>
      <c r="T5" s="35">
        <f>AVERAGE(OFFSET(T$12,COUNT(T$12:T$105),0,-13,1))</f>
        <v/>
      </c>
      <c r="U5" s="35">
        <f>AVERAGE(OFFSET(U$12,COUNT(U$12:U$105),0,-13,1))</f>
        <v/>
      </c>
      <c r="V5" s="35">
        <f>AVERAGE(OFFSET(V$12,COUNT(V$12:V$105),0,-13,1))</f>
        <v/>
      </c>
      <c r="W5" s="35">
        <f>AVERAGE(OFFSET(W$12,COUNT(W$12:W$105),0,-13,1))</f>
        <v/>
      </c>
      <c r="X5" s="35">
        <f>AVERAGE(OFFSET(X$12,COUNT(X$12:X$105),0,-13,1))</f>
        <v/>
      </c>
      <c r="Y5" s="35">
        <f>AVERAGE(OFFSET(Y$12,COUNT(Y$12:Y$105),0,-13,1))</f>
        <v/>
      </c>
      <c r="Z5" s="35">
        <f>AVERAGE(OFFSET(Z$12,COUNT(Z$12:Z$105),0,-13,1))</f>
        <v/>
      </c>
      <c r="AA5" s="35">
        <f>AVERAGE(OFFSET(AA$12,COUNT(AA$12:AA$105),0,-13,1))</f>
        <v/>
      </c>
      <c r="AB5" s="35">
        <f>AVERAGE(OFFSET(AB$12,COUNT(AB$12:AB$105),0,-13,1))</f>
        <v/>
      </c>
    </row>
    <row r="6">
      <c r="B6" s="24" t="inlineStr">
        <is>
          <t>Last vs 12m avg</t>
        </is>
      </c>
      <c r="C6" s="36">
        <f>IF((VLOOKUP($AG$1,$B:$AB,MATCH(C2,$B$2:$AB$2,),))&gt;C5,"above","below")</f>
        <v/>
      </c>
      <c r="D6" s="36">
        <f>IF((VLOOKUP($AG$1,$B:$AB,MATCH(D2,$B$2:$AB$2,),))&gt;D5,"above","below")</f>
        <v/>
      </c>
      <c r="E6" s="36">
        <f>IF((VLOOKUP($AG$1,$B:$AB,MATCH(E2,$B$2:$AB$2,),))&gt;E5,"above","below")</f>
        <v/>
      </c>
      <c r="F6" s="36">
        <f>IF((VLOOKUP($AG$1,$B:$AB,MATCH(F2,$B$2:$AB$2,),))&gt;F5,"above","below")</f>
        <v/>
      </c>
      <c r="G6" s="36">
        <f>IF((VLOOKUP($AG$1,$B:$AB,MATCH(G2,$B$2:$AB$2,),))&gt;G5,"above","below")</f>
        <v/>
      </c>
      <c r="H6" s="36">
        <f>IF((VLOOKUP($AG$1,$B:$AB,MATCH(H2,$B$2:$AB$2,),))&gt;H5,"above","below")</f>
        <v/>
      </c>
      <c r="I6" s="36">
        <f>IF((VLOOKUP($AG$1,$B:$AB,MATCH(I2,$B$2:$AB$2,),))&gt;I5,"above","below")</f>
        <v/>
      </c>
      <c r="J6" s="36">
        <f>IF((VLOOKUP($AG$1,$B:$AB,MATCH(J2,$B$2:$AB$2,),))&gt;J5,"above","below")</f>
        <v/>
      </c>
      <c r="K6" s="36">
        <f>IF((VLOOKUP($AG$1,$B:$AB,MATCH(K2,$B$2:$AB$2,),))&gt;K5,"above","below")</f>
        <v/>
      </c>
      <c r="L6" s="36">
        <f>IF((VLOOKUP($AG$1,$B:$AB,MATCH(L2,$B$2:$AB$2,),))&gt;L5,"above","below")</f>
        <v/>
      </c>
      <c r="M6" s="36">
        <f>IF((VLOOKUP($AG$1,$B:$AB,MATCH(M2,$B$2:$AB$2,),))&gt;M5,"above","below")</f>
        <v/>
      </c>
      <c r="N6" s="36">
        <f>IF((VLOOKUP($AG$1,$B:$AB,MATCH(N2,$B$2:$AB$2,),))&gt;N5,"above","below")</f>
        <v/>
      </c>
      <c r="O6" s="36">
        <f>IF((VLOOKUP($AG$1,$B:$AB,MATCH(O2,$B$2:$AB$2,),))&gt;O5,"above","below")</f>
        <v/>
      </c>
      <c r="P6" s="36">
        <f>IF((VLOOKUP($AG$1,$B:$AB,MATCH(P2,$B$2:$AB$2,),))&gt;P5,"above","below")</f>
        <v/>
      </c>
      <c r="Q6" s="36">
        <f>IF((VLOOKUP($AG$1,$B:$AB,MATCH(Q2,$B$2:$AB$2,),))&gt;Q5,"above","below")</f>
        <v/>
      </c>
      <c r="R6" s="36">
        <f>IF((VLOOKUP($AG$1,$B:$AB,MATCH(R2,$B$2:$AB$2,),))&gt;R5,"above","below")</f>
        <v/>
      </c>
      <c r="S6" s="36">
        <f>IF((VLOOKUP($AG$1,$B:$AB,MATCH(S2,$B$2:$AB$2,),))&gt;S5,"above","below")</f>
        <v/>
      </c>
      <c r="T6" s="36">
        <f>IF((VLOOKUP($AG$1,$B:$AB,MATCH(T2,$B$2:$AB$2,),))&gt;T5,"above","below")</f>
        <v/>
      </c>
      <c r="U6" s="36">
        <f>IF((VLOOKUP($AG$1,$B:$AB,MATCH(U2,$B$2:$AB$2,),))&gt;U5,"above","below")</f>
        <v/>
      </c>
      <c r="V6" s="36">
        <f>IF((VLOOKUP($AG$1,$B:$AB,MATCH(V2,$B$2:$AB$2,),))&gt;V5,"above","below")</f>
        <v/>
      </c>
      <c r="W6" s="36">
        <f>IF((VLOOKUP($AG$1,$B:$AB,MATCH(W2,$B$2:$AB$2,),))&gt;W5,"above","below")</f>
        <v/>
      </c>
      <c r="X6" s="36">
        <f>IF((VLOOKUP($AG$1,$B:$AB,MATCH(X2,$B$2:$AB$2,),))&gt;X5,"above","below")</f>
        <v/>
      </c>
      <c r="Y6" s="36">
        <f>IF((VLOOKUP($AG$1,$B:$AB,MATCH(Y2,$B$2:$AB$2,),))&gt;Y5,"above","below")</f>
        <v/>
      </c>
      <c r="Z6" s="36">
        <f>IF((VLOOKUP($AG$1,$B:$AB,MATCH(Z2,$B$2:$AB$2,),))&gt;Z5,"above","below")</f>
        <v/>
      </c>
      <c r="AA6" s="36">
        <f>IF((VLOOKUP($AG$1,$B:$AB,MATCH(AA2,$B$2:$AB$2,),))&gt;AA5,"above","below")</f>
        <v/>
      </c>
      <c r="AB6" s="36">
        <f>IF((VLOOKUP($AG$1,$B:$AB,MATCH(AB2,$B$2:$AB$2,),))&gt;AB5,"above","below")</f>
        <v/>
      </c>
    </row>
    <row r="7">
      <c r="B7" s="24" t="inlineStr">
        <is>
          <t>Y/Y</t>
        </is>
      </c>
      <c r="C7" s="37">
        <f>VLOOKUP($AG$1,$B:$AB,MATCH(C2,$B$2:$AB$2,),)-VLOOKUP($AG$4,$B:$AB,MATCH(C2,$B$2:$AB$2,),)</f>
        <v/>
      </c>
      <c r="D7" s="37">
        <f>VLOOKUP($AG$1,$B:$AB,MATCH(D2,$B$2:$AB$2,),)-VLOOKUP($AG$4,$B:$AB,MATCH(D2,$B$2:$AB$2,),)</f>
        <v/>
      </c>
      <c r="E7" s="37">
        <f>VLOOKUP($AG$1,$B:$AB,MATCH(E2,$B$2:$AB$2,),)-VLOOKUP($AG$4,$B:$AB,MATCH(E2,$B$2:$AB$2,),)</f>
        <v/>
      </c>
      <c r="F7" s="37">
        <f>VLOOKUP($AG$1,$B:$AB,MATCH(F2,$B$2:$AB$2,),)-VLOOKUP($AG$4,$B:$AB,MATCH(F2,$B$2:$AB$2,),)</f>
        <v/>
      </c>
      <c r="G7" s="37">
        <f>VLOOKUP($AG$1,$B:$AB,MATCH(G2,$B$2:$AB$2,),)-VLOOKUP($AG$4,$B:$AB,MATCH(G2,$B$2:$AB$2,),)</f>
        <v/>
      </c>
      <c r="H7" s="37">
        <f>VLOOKUP($AG$1,$B:$AB,MATCH(H2,$B$2:$AB$2,),)-VLOOKUP($AG$4,$B:$AB,MATCH(H2,$B$2:$AB$2,),)</f>
        <v/>
      </c>
      <c r="I7" s="37">
        <f>VLOOKUP($AG$1,$B:$AB,MATCH(I2,$B$2:$AB$2,),)-VLOOKUP($AG$4,$B:$AB,MATCH(I2,$B$2:$AB$2,),)</f>
        <v/>
      </c>
      <c r="J7" s="37">
        <f>VLOOKUP($AG$1,$B:$AB,MATCH(J2,$B$2:$AB$2,),)-VLOOKUP($AG$4,$B:$AB,MATCH(J2,$B$2:$AB$2,),)</f>
        <v/>
      </c>
      <c r="K7" s="37">
        <f>VLOOKUP($AG$1,$B:$AB,MATCH(K2,$B$2:$AB$2,),)-VLOOKUP($AG$4,$B:$AB,MATCH(K2,$B$2:$AB$2,),)</f>
        <v/>
      </c>
      <c r="L7" s="37">
        <f>VLOOKUP($AG$1,$B:$AB,MATCH(L2,$B$2:$AB$2,),)-VLOOKUP($AG$4,$B:$AB,MATCH(L2,$B$2:$AB$2,),)</f>
        <v/>
      </c>
      <c r="M7" s="37">
        <f>VLOOKUP($AG$1,$B:$AB,MATCH(M2,$B$2:$AB$2,),)-VLOOKUP($AG$4,$B:$AB,MATCH(M2,$B$2:$AB$2,),)</f>
        <v/>
      </c>
      <c r="N7" s="37">
        <f>VLOOKUP($AG$1,$B:$AB,MATCH(N2,$B$2:$AB$2,),)-VLOOKUP($AG$4,$B:$AB,MATCH(N2,$B$2:$AB$2,),)</f>
        <v/>
      </c>
      <c r="O7" s="37">
        <f>VLOOKUP($AG$1,$B:$AB,MATCH(O2,$B$2:$AB$2,),)-VLOOKUP($AG$4,$B:$AB,MATCH(O2,$B$2:$AB$2,),)</f>
        <v/>
      </c>
      <c r="P7" s="37">
        <f>VLOOKUP($AG$1,$B:$AB,MATCH(P2,$B$2:$AB$2,),)-VLOOKUP($AG$4,$B:$AB,MATCH(P2,$B$2:$AB$2,),)</f>
        <v/>
      </c>
      <c r="Q7" s="37">
        <f>VLOOKUP($AG$1,$B:$AB,MATCH(Q2,$B$2:$AB$2,),)-VLOOKUP($AG$4,$B:$AB,MATCH(Q2,$B$2:$AB$2,),)</f>
        <v/>
      </c>
      <c r="R7" s="37">
        <f>VLOOKUP($AG$1,$B:$AB,MATCH(R2,$B$2:$AB$2,),)-VLOOKUP($AG$4,$B:$AB,MATCH(R2,$B$2:$AB$2,),)</f>
        <v/>
      </c>
      <c r="S7" s="37">
        <f>VLOOKUP($AG$1,$B:$AB,MATCH(S2,$B$2:$AB$2,),)-VLOOKUP($AG$4,$B:$AB,MATCH(S2,$B$2:$AB$2,),)</f>
        <v/>
      </c>
      <c r="T7" s="37">
        <f>VLOOKUP($AG$1,$B:$AB,MATCH(T2,$B$2:$AB$2,),)-VLOOKUP($AG$4,$B:$AB,MATCH(T2,$B$2:$AB$2,),)</f>
        <v/>
      </c>
      <c r="U7" s="37">
        <f>VLOOKUP($AG$1,$B:$AB,MATCH(U2,$B$2:$AB$2,),)-VLOOKUP($AG$4,$B:$AB,MATCH(U2,$B$2:$AB$2,),)</f>
        <v/>
      </c>
      <c r="V7" s="37">
        <f>VLOOKUP($AG$1,$B:$AB,MATCH(V2,$B$2:$AB$2,),)-VLOOKUP($AG$4,$B:$AB,MATCH(V2,$B$2:$AB$2,),)</f>
        <v/>
      </c>
      <c r="W7" s="37">
        <f>VLOOKUP($AG$1,$B:$AB,MATCH(W2,$B$2:$AB$2,),)-VLOOKUP($AG$4,$B:$AB,MATCH(W2,$B$2:$AB$2,),)</f>
        <v/>
      </c>
      <c r="X7" s="37">
        <f>VLOOKUP($AG$1,$B:$AB,MATCH(X2,$B$2:$AB$2,),)-VLOOKUP($AG$4,$B:$AB,MATCH(X2,$B$2:$AB$2,),)</f>
        <v/>
      </c>
      <c r="Y7" s="37">
        <f>VLOOKUP($AG$1,$B:$AB,MATCH(Y2,$B$2:$AB$2,),)-VLOOKUP($AG$4,$B:$AB,MATCH(Y2,$B$2:$AB$2,),)</f>
        <v/>
      </c>
      <c r="Z7" s="37">
        <f>VLOOKUP($AG$1,$B:$AB,MATCH(Z2,$B$2:$AB$2,),)-VLOOKUP($AG$4,$B:$AB,MATCH(Z2,$B$2:$AB$2,),)</f>
        <v/>
      </c>
      <c r="AA7" s="37">
        <f>VLOOKUP($AG$1,$B:$AB,MATCH(AA2,$B$2:$AB$2,),)-VLOOKUP($AG$4,$B:$AB,MATCH(AA2,$B$2:$AB$2,),)</f>
        <v/>
      </c>
      <c r="AB7" s="37">
        <f>VLOOKUP($AG$1,$B:$AB,MATCH(AB2,$B$2:$AB$2,),)-VLOOKUP($AG$4,$B:$AB,MATCH(AB2,$B$2:$AB$2,),)</f>
        <v/>
      </c>
    </row>
    <row r="8">
      <c r="B8" s="24" t="inlineStr">
        <is>
          <t>M/M</t>
        </is>
      </c>
      <c r="C8" s="37">
        <f>VLOOKUP($AG$1,$B:$AB,MATCH(C2,$B$2:$AB$2,),)-VLOOKUP($AG$3,$B:$AB,MATCH(C2,$B$2:$AB$2,),)</f>
        <v/>
      </c>
      <c r="D8" s="37">
        <f>VLOOKUP($AG$1,$B:$AB,MATCH(D2,$B$2:$AB$2,),)-VLOOKUP($AG$3,$B:$AB,MATCH(D2,$B$2:$AB$2,),)</f>
        <v/>
      </c>
      <c r="E8" s="37">
        <f>VLOOKUP($AG$1,$B:$AB,MATCH(E2,$B$2:$AB$2,),)-VLOOKUP($AG$3,$B:$AB,MATCH(E2,$B$2:$AB$2,),)</f>
        <v/>
      </c>
      <c r="F8" s="37">
        <f>VLOOKUP($AG$1,$B:$AB,MATCH(F2,$B$2:$AB$2,),)-VLOOKUP($AG$3,$B:$AB,MATCH(F2,$B$2:$AB$2,),)</f>
        <v/>
      </c>
      <c r="G8" s="37">
        <f>VLOOKUP($AG$1,$B:$AB,MATCH(G2,$B$2:$AB$2,),)-VLOOKUP($AG$3,$B:$AB,MATCH(G2,$B$2:$AB$2,),)</f>
        <v/>
      </c>
      <c r="H8" s="37">
        <f>VLOOKUP($AG$1,$B:$AB,MATCH(H2,$B$2:$AB$2,),)-VLOOKUP($AG$3,$B:$AB,MATCH(H2,$B$2:$AB$2,),)</f>
        <v/>
      </c>
      <c r="I8" s="37">
        <f>VLOOKUP($AG$1,$B:$AB,MATCH(I2,$B$2:$AB$2,),)-VLOOKUP($AG$3,$B:$AB,MATCH(I2,$B$2:$AB$2,),)</f>
        <v/>
      </c>
      <c r="J8" s="37">
        <f>VLOOKUP($AG$1,$B:$AB,MATCH(J2,$B$2:$AB$2,),)-VLOOKUP($AG$3,$B:$AB,MATCH(J2,$B$2:$AB$2,),)</f>
        <v/>
      </c>
      <c r="K8" s="37">
        <f>VLOOKUP($AG$1,$B:$AB,MATCH(K2,$B$2:$AB$2,),)-VLOOKUP($AG$3,$B:$AB,MATCH(K2,$B$2:$AB$2,),)</f>
        <v/>
      </c>
      <c r="L8" s="37">
        <f>VLOOKUP($AG$1,$B:$AB,MATCH(L2,$B$2:$AB$2,),)-VLOOKUP($AG$3,$B:$AB,MATCH(L2,$B$2:$AB$2,),)</f>
        <v/>
      </c>
      <c r="M8" s="37">
        <f>VLOOKUP($AG$1,$B:$AB,MATCH(M2,$B$2:$AB$2,),)-VLOOKUP($AG$3,$B:$AB,MATCH(M2,$B$2:$AB$2,),)</f>
        <v/>
      </c>
      <c r="N8" s="37">
        <f>VLOOKUP($AG$1,$B:$AB,MATCH(N2,$B$2:$AB$2,),)-VLOOKUP($AG$3,$B:$AB,MATCH(N2,$B$2:$AB$2,),)</f>
        <v/>
      </c>
      <c r="O8" s="37">
        <f>VLOOKUP($AG$1,$B:$AB,MATCH(O2,$B$2:$AB$2,),)-VLOOKUP($AG$3,$B:$AB,MATCH(O2,$B$2:$AB$2,),)</f>
        <v/>
      </c>
      <c r="P8" s="37">
        <f>VLOOKUP($AG$1,$B:$AB,MATCH(P2,$B$2:$AB$2,),)-VLOOKUP($AG$3,$B:$AB,MATCH(P2,$B$2:$AB$2,),)</f>
        <v/>
      </c>
      <c r="Q8" s="37">
        <f>VLOOKUP($AG$1,$B:$AB,MATCH(Q2,$B$2:$AB$2,),)-VLOOKUP($AG$3,$B:$AB,MATCH(Q2,$B$2:$AB$2,),)</f>
        <v/>
      </c>
      <c r="R8" s="37">
        <f>VLOOKUP($AG$1,$B:$AB,MATCH(R2,$B$2:$AB$2,),)-VLOOKUP($AG$3,$B:$AB,MATCH(R2,$B$2:$AB$2,),)</f>
        <v/>
      </c>
      <c r="S8" s="37">
        <f>VLOOKUP($AG$1,$B:$AB,MATCH(S2,$B$2:$AB$2,),)-VLOOKUP($AG$3,$B:$AB,MATCH(S2,$B$2:$AB$2,),)</f>
        <v/>
      </c>
      <c r="T8" s="37">
        <f>VLOOKUP($AG$1,$B:$AB,MATCH(T2,$B$2:$AB$2,),)-VLOOKUP($AG$3,$B:$AB,MATCH(T2,$B$2:$AB$2,),)</f>
        <v/>
      </c>
      <c r="U8" s="37">
        <f>VLOOKUP($AG$1,$B:$AB,MATCH(U2,$B$2:$AB$2,),)-VLOOKUP($AG$3,$B:$AB,MATCH(U2,$B$2:$AB$2,),)</f>
        <v/>
      </c>
      <c r="V8" s="37">
        <f>VLOOKUP($AG$1,$B:$AB,MATCH(V2,$B$2:$AB$2,),)-VLOOKUP($AG$3,$B:$AB,MATCH(V2,$B$2:$AB$2,),)</f>
        <v/>
      </c>
      <c r="W8" s="37">
        <f>VLOOKUP($AG$1,$B:$AB,MATCH(W2,$B$2:$AB$2,),)-VLOOKUP($AG$3,$B:$AB,MATCH(W2,$B$2:$AB$2,),)</f>
        <v/>
      </c>
      <c r="X8" s="37">
        <f>VLOOKUP($AG$1,$B:$AB,MATCH(X2,$B$2:$AB$2,),)-VLOOKUP($AG$3,$B:$AB,MATCH(X2,$B$2:$AB$2,),)</f>
        <v/>
      </c>
      <c r="Y8" s="37">
        <f>VLOOKUP($AG$1,$B:$AB,MATCH(Y2,$B$2:$AB$2,),)-VLOOKUP($AG$3,$B:$AB,MATCH(Y2,$B$2:$AB$2,),)</f>
        <v/>
      </c>
      <c r="Z8" s="37">
        <f>VLOOKUP($AG$1,$B:$AB,MATCH(Z2,$B$2:$AB$2,),)-VLOOKUP($AG$3,$B:$AB,MATCH(Z2,$B$2:$AB$2,),)</f>
        <v/>
      </c>
      <c r="AA8" s="37">
        <f>VLOOKUP($AG$1,$B:$AB,MATCH(AA2,$B$2:$AB$2,),)-VLOOKUP($AG$3,$B:$AB,MATCH(AA2,$B$2:$AB$2,),)</f>
        <v/>
      </c>
      <c r="AB8" s="37">
        <f>VLOOKUP($AG$1,$B:$AB,MATCH(AB2,$B$2:$AB$2,),)-VLOOKUP($AG$3,$B:$AB,MATCH(AB2,$B$2:$AB$2,),)</f>
        <v/>
      </c>
    </row>
    <row r="9" ht="66.75" customHeight="1" s="30">
      <c r="B9" s="25" t="inlineStr">
        <is>
          <t>Growth / Contraction</t>
        </is>
      </c>
      <c r="C9" s="26">
        <f>IF(VLOOKUP($AG$1,$B:$AB,MATCH(C2,$B$2:$AB$2,),)&gt;50,"Growth","Contraction")</f>
        <v/>
      </c>
      <c r="D9" s="26">
        <f>IF(VLOOKUP($AG$1,$B:$AB,MATCH(D2,$B$2:$AB$2,),)&gt;50,"Growth","Contraction")</f>
        <v/>
      </c>
      <c r="E9" s="26">
        <f>IF(VLOOKUP($AG$1,$B:$AB,MATCH(E2,$B$2:$AB$2,),)&gt;50,"Growth","Contraction")</f>
        <v/>
      </c>
      <c r="F9" s="26">
        <f>IF(VLOOKUP($AG$1,$B:$AB,MATCH(F2,$B$2:$AB$2,),)&gt;50,"Growth","Contraction")</f>
        <v/>
      </c>
      <c r="G9" s="26">
        <f>IF(VLOOKUP($AG$1,$B:$AB,MATCH(G2,$B$2:$AB$2,),)&gt;50,"Growth","Contraction")</f>
        <v/>
      </c>
      <c r="H9" s="26">
        <f>IF(VLOOKUP($AG$1,$B:$AB,MATCH(H2,$B$2:$AB$2,),)&gt;50,"Growth","Contraction")</f>
        <v/>
      </c>
      <c r="I9" s="26">
        <f>IF(VLOOKUP($AG$1,$B:$AB,MATCH(I2,$B$2:$AB$2,),)&gt;50,"Growth","Contraction")</f>
        <v/>
      </c>
      <c r="J9" s="26">
        <f>IF(VLOOKUP($AG$1,$B:$AB,MATCH(J2,$B$2:$AB$2,),)&gt;50,"Growth","Contraction")</f>
        <v/>
      </c>
      <c r="K9" s="26">
        <f>IF(VLOOKUP($AG$1,$B:$AB,MATCH(K2,$B$2:$AB$2,),)&gt;50,"Growth","Contraction")</f>
        <v/>
      </c>
      <c r="L9" s="26">
        <f>IF(VLOOKUP($AG$1,$B:$AB,MATCH(L2,$B$2:$AB$2,),)&gt;50,"Growth","Contraction")</f>
        <v/>
      </c>
      <c r="M9" s="26">
        <f>IF(VLOOKUP($AG$1,$B:$AB,MATCH(M2,$B$2:$AB$2,),)&gt;50,"Growth","Contraction")</f>
        <v/>
      </c>
      <c r="N9" s="26">
        <f>IF(VLOOKUP($AG$1,$B:$AB,MATCH(N2,$B$2:$AB$2,),)&gt;50,"Growth","Contraction")</f>
        <v/>
      </c>
      <c r="O9" s="26">
        <f>IF(VLOOKUP($AG$1,$B:$AB,MATCH(O2,$B$2:$AB$2,),)&gt;50,"Growth","Contraction")</f>
        <v/>
      </c>
      <c r="P9" s="26">
        <f>IF(VLOOKUP($AG$1,$B:$AB,MATCH(P2,$B$2:$AB$2,),)&gt;50,"Growth","Contraction")</f>
        <v/>
      </c>
      <c r="Q9" s="26">
        <f>IF(VLOOKUP($AG$1,$B:$AB,MATCH(Q2,$B$2:$AB$2,),)&gt;50,"Growth","Contraction")</f>
        <v/>
      </c>
      <c r="R9" s="26">
        <f>IF(VLOOKUP($AG$1,$B:$AB,MATCH(R2,$B$2:$AB$2,),)&gt;50,"Growth","Contraction")</f>
        <v/>
      </c>
      <c r="S9" s="26">
        <f>IF(VLOOKUP($AG$1,$B:$AB,MATCH(S2,$B$2:$AB$2,),)&gt;50,"Growth","Contraction")</f>
        <v/>
      </c>
      <c r="T9" s="26">
        <f>IF(VLOOKUP($AG$1,$B:$AB,MATCH(T2,$B$2:$AB$2,),)&gt;50,"Growth","Contraction")</f>
        <v/>
      </c>
      <c r="U9" s="26">
        <f>IF(VLOOKUP($AG$1,$B:$AB,MATCH(U2,$B$2:$AB$2,),)&gt;50,"Growth","Contraction")</f>
        <v/>
      </c>
      <c r="V9" s="26">
        <f>IF(VLOOKUP($AG$1,$B:$AB,MATCH(V2,$B$2:$AB$2,),)&gt;50,"Growth","Contraction")</f>
        <v/>
      </c>
      <c r="W9" s="26">
        <f>IF(VLOOKUP($AG$1,$B:$AB,MATCH(W2,$B$2:$AB$2,),)&gt;50,"Growth","Contraction")</f>
        <v/>
      </c>
      <c r="X9" s="26">
        <f>IF(VLOOKUP($AG$1,$B:$AB,MATCH(X2,$B$2:$AB$2,),)&gt;50,"Growth","Contraction")</f>
        <v/>
      </c>
      <c r="Y9" s="26">
        <f>IF(VLOOKUP($AG$1,$B:$AB,MATCH(Y2,$B$2:$AB$2,),)&gt;50,"Growth","Contraction")</f>
        <v/>
      </c>
      <c r="Z9" s="26">
        <f>IF(VLOOKUP($AG$1,$B:$AB,MATCH(Z2,$B$2:$AB$2,),)&gt;50,"Growth","Contraction")</f>
        <v/>
      </c>
      <c r="AA9" s="26">
        <f>IF(VLOOKUP($AG$1,$B:$AB,MATCH(AA2,$B$2:$AB$2,),)&gt;50,"Growth","Contraction")</f>
        <v/>
      </c>
      <c r="AB9" s="26">
        <f>IF(VLOOKUP($AG$1,$B:$AB,MATCH(AB2,$B$2:$AB$2,),)&gt;50,"Growth","Contraction")</f>
        <v/>
      </c>
    </row>
    <row r="10" ht="26.25" customHeight="1" s="30" thickBot="1">
      <c r="B10" s="27" t="inlineStr">
        <is>
          <t>Slower/Faster</t>
        </is>
      </c>
      <c r="C10" s="28">
        <f>IF(C8&gt;0,"+","-")</f>
        <v/>
      </c>
      <c r="D10" s="28">
        <f>IF(D8&gt;0,"+","-")</f>
        <v/>
      </c>
      <c r="E10" s="28">
        <f>IF(E8&gt;0,"+","-")</f>
        <v/>
      </c>
      <c r="F10" s="28">
        <f>IF(F8&gt;0,"+","-")</f>
        <v/>
      </c>
      <c r="G10" s="28">
        <f>IF(G8&gt;0,"+","-")</f>
        <v/>
      </c>
      <c r="H10" s="28">
        <f>IF(H8&gt;0,"+","-")</f>
        <v/>
      </c>
      <c r="I10" s="28">
        <f>IF(I8&gt;0,"+","-")</f>
        <v/>
      </c>
      <c r="J10" s="28">
        <f>IF(J8&gt;0,"+","-")</f>
        <v/>
      </c>
      <c r="K10" s="28">
        <f>IF(K8&gt;0,"+","-")</f>
        <v/>
      </c>
      <c r="L10" s="28">
        <f>IF(L8&gt;0,"+","-")</f>
        <v/>
      </c>
      <c r="M10" s="28">
        <f>IF(M8&gt;0,"+","-")</f>
        <v/>
      </c>
      <c r="N10" s="28">
        <f>IF(N8&gt;0,"+","-")</f>
        <v/>
      </c>
      <c r="O10" s="28">
        <f>IF(O8&gt;0,"+","-")</f>
        <v/>
      </c>
      <c r="P10" s="28">
        <f>IF(P8&gt;0,"+","-")</f>
        <v/>
      </c>
      <c r="Q10" s="28">
        <f>IF(Q8&gt;0,"+","-")</f>
        <v/>
      </c>
      <c r="R10" s="28">
        <f>IF(R8&gt;0,"+","-")</f>
        <v/>
      </c>
      <c r="S10" s="28">
        <f>IF(S8&gt;0,"+","-")</f>
        <v/>
      </c>
      <c r="T10" s="28">
        <f>IF(T8&gt;0,"+","-")</f>
        <v/>
      </c>
      <c r="U10" s="28">
        <f>IF(U8&gt;0,"+","-")</f>
        <v/>
      </c>
      <c r="V10" s="28">
        <f>IF(V8&gt;0,"+","-")</f>
        <v/>
      </c>
      <c r="W10" s="28">
        <f>IF(W8&gt;0,"+","-")</f>
        <v/>
      </c>
      <c r="X10" s="28">
        <f>IF(X8&gt;0,"+","-")</f>
        <v/>
      </c>
      <c r="Y10" s="28">
        <f>IF(Y8&gt;0,"+","-")</f>
        <v/>
      </c>
      <c r="Z10" s="28">
        <f>IF(Z8&gt;0,"+","-")</f>
        <v/>
      </c>
      <c r="AA10" s="28">
        <f>IF(AA8&gt;0,"+","-")</f>
        <v/>
      </c>
      <c r="AB10" s="28">
        <f>IF(AB8&gt;0,"+","-")</f>
        <v/>
      </c>
    </row>
    <row r="11" ht="26.25" customHeight="1" s="30">
      <c r="B11" s="61" t="n"/>
      <c r="C11" s="61" t="n"/>
      <c r="D11" s="61" t="n"/>
      <c r="E11" s="61" t="n"/>
      <c r="F11" s="61" t="n"/>
      <c r="G11" s="61" t="n"/>
      <c r="H11" s="61" t="n"/>
      <c r="I11" s="61" t="n"/>
      <c r="J11" s="61" t="n"/>
      <c r="K11" s="61" t="n"/>
      <c r="L11" s="61" t="n"/>
      <c r="M11" s="61" t="n"/>
      <c r="N11" s="61" t="n"/>
      <c r="O11" s="61" t="n"/>
      <c r="P11" s="61" t="n"/>
      <c r="Q11" s="61" t="n"/>
      <c r="R11" s="61" t="n"/>
      <c r="S11" s="61" t="n"/>
      <c r="T11" s="61" t="n"/>
      <c r="U11" s="61" t="n"/>
      <c r="V11" s="61" t="n"/>
      <c r="W11" s="61" t="n"/>
      <c r="X11" s="61" t="n"/>
      <c r="Y11" s="61" t="n"/>
      <c r="Z11" s="61" t="n"/>
      <c r="AA11" s="61" t="n"/>
      <c r="AB11" s="61" t="n"/>
    </row>
    <row r="12">
      <c r="B12" s="29" t="n">
        <v>42887</v>
      </c>
      <c r="C12" s="38">
        <f>IF((VLOOKUP(B12,'DB PMI Manufacturing World'!$A:$AA,MATCH($C$1,'DB PMI Manufacturing World'!$A$1:$AA$1,),))=0,#N/A, (VLOOKUP(B12,'DB PMI Manufacturing World'!$A:$AA,MATCH($C$1,'DB PMI Manufacturing World'!$A$1:$AA$1,),)))</f>
        <v/>
      </c>
      <c r="D12" s="38">
        <f>IF((VLOOKUP(B12,'DB PMI Manufacturing World'!$A:$AA,MATCH($D$1,'DB PMI Manufacturing World'!$A$1:$AA$1,),))=0,#N/A, (VLOOKUP(B12,'DB PMI Manufacturing World'!$A:$AA,MATCH($D$1,'DB PMI Manufacturing World'!$A$1:$AA$1,),)))</f>
        <v/>
      </c>
      <c r="E12" s="38">
        <f>IF((VLOOKUP(B12,'DB PMI Manufacturing World'!$A:$AA,MATCH($E$1,'DB PMI Manufacturing World'!$A$1:$AA$1,),))=0,#N/A, (VLOOKUP(B12,'DB PMI Manufacturing World'!$A:$AA,MATCH($E$1,'DB PMI Manufacturing World'!$A$1:$AA$1,),)))</f>
        <v/>
      </c>
      <c r="F12" s="38">
        <f>IF((VLOOKUP(B12,'DB PMI Manufacturing World'!$A:$AA,MATCH($F$1,'DB PMI Manufacturing World'!$A$1:$AA$1,),))=0,#N/A, (VLOOKUP(B12,'DB PMI Manufacturing World'!$A:$AA,MATCH($F$1,'DB PMI Manufacturing World'!$A$1:$AA$1,),)))</f>
        <v/>
      </c>
      <c r="G12" s="38">
        <f>IF((VLOOKUP(B12,'DB PMI Manufacturing World'!$A:$AA,MATCH($G$1,'DB PMI Manufacturing World'!$A$1:$AA$1,),))=0,#N/A, (VLOOKUP(B12,'DB PMI Manufacturing World'!$A:$AA,MATCH($G$1,'DB PMI Manufacturing World'!$A$1:$AA$1,),)))</f>
        <v/>
      </c>
      <c r="H12" s="38">
        <f>IF((VLOOKUP(B12,'DB PMI Manufacturing World'!$A:$AA,MATCH($H$1,'DB PMI Manufacturing World'!$A$1:$AA$1,),))=0,#N/A, (VLOOKUP(B12,'DB PMI Manufacturing World'!$A:$AA,MATCH($H$1,'DB PMI Manufacturing World'!$A$1:$AA$1,),)))</f>
        <v/>
      </c>
      <c r="I12" s="38">
        <f>IF((VLOOKUP(B12,'DB PMI Manufacturing World'!$A:$AA,MATCH($I$1,'DB PMI Manufacturing World'!$A$1:$AA$1,),))=0,#N/A, (VLOOKUP(B12,'DB PMI Manufacturing World'!$A:$AA,MATCH($I$1,'DB PMI Manufacturing World'!$A$1:$AA$1,),)))</f>
        <v/>
      </c>
      <c r="J12" s="38">
        <f>IF((VLOOKUP(B12,'DB PMI Manufacturing World'!$A:$AA,MATCH($J$1,'DB PMI Manufacturing World'!$A$1:$AA$1,),))=0,#N/A, (VLOOKUP(B12,'DB PMI Manufacturing World'!$A:$AA,MATCH($J$1,'DB PMI Manufacturing World'!$A$1:$AA$1,),)))</f>
        <v/>
      </c>
      <c r="K12" s="38">
        <f>IF((VLOOKUP(B12,'DB PMI Manufacturing World'!$A:$AA,MATCH($K$1,'DB PMI Manufacturing World'!$A$1:$AA$1,),))=0,#N/A, (VLOOKUP(B12,'DB PMI Manufacturing World'!$A:$AA,MATCH($K$1,'DB PMI Manufacturing World'!$A$1:$AA$1,),)))</f>
        <v/>
      </c>
      <c r="L12" s="38">
        <f>IF((VLOOKUP(B12,'DB PMI Manufacturing World'!$A:$AA,MATCH($L$1,'DB PMI Manufacturing World'!$A$1:$AA$1,),))=0,#N/A, (VLOOKUP(B12,'DB PMI Manufacturing World'!$A:$AA,MATCH($L$1,'DB PMI Manufacturing World'!$A$1:$AA$1,),)))</f>
        <v/>
      </c>
      <c r="M12" s="38">
        <f>IF((VLOOKUP(B12,'DB PMI Manufacturing World'!$A:$AA,MATCH($M$1,'DB PMI Manufacturing World'!$A$1:$AA$1,),))=0,#N/A, (VLOOKUP(B12,'DB PMI Manufacturing World'!$A:$AA,MATCH($M$1,'DB PMI Manufacturing World'!$A$1:$AA$1,),)))</f>
        <v/>
      </c>
      <c r="N12" s="38">
        <f>IF((VLOOKUP(B12,'DB PMI Manufacturing World'!$A:$AA,MATCH($N$1,'DB PMI Manufacturing World'!$A$1:$AA$1,),))=0,#N/A, (VLOOKUP(B12,'DB PMI Manufacturing World'!$A:$AA,MATCH($N$1,'DB PMI Manufacturing World'!$A$1:$AA$1,),)))</f>
        <v/>
      </c>
      <c r="O12" s="38">
        <f>IF((VLOOKUP(B12,'DB PMI Manufacturing World'!$A:$AA,MATCH($O$1,'DB PMI Manufacturing World'!$A$1:$AA$1,),))=0,#N/A, (VLOOKUP(B12,'DB PMI Manufacturing World'!$A:$AA,MATCH($O$1,'DB PMI Manufacturing World'!$A$1:$AA$1,),)))</f>
        <v/>
      </c>
      <c r="P12" s="38">
        <f>IF((VLOOKUP(B12,'DB PMI Manufacturing World'!$A:$AA,MATCH($P$1,'DB PMI Manufacturing World'!$A$1:$AA$1,),))=0,#N/A, (VLOOKUP(B12,'DB PMI Manufacturing World'!$A:$AA,MATCH($P$1,'DB PMI Manufacturing World'!$A$1:$AA$1,),)))</f>
        <v/>
      </c>
      <c r="Q12" s="38">
        <f>IF((VLOOKUP(B12,'DB PMI Manufacturing World'!$A:$AA,MATCH($Q$1,'DB PMI Manufacturing World'!$A$1:$AA$1,),))=0,#N/A, (VLOOKUP(B12,'DB PMI Manufacturing World'!$A:$AA,MATCH($Q$1,'DB PMI Manufacturing World'!$A$1:$AA$1,),)))</f>
        <v/>
      </c>
      <c r="R12" s="38">
        <f>IF((VLOOKUP(B12,'DB PMI Manufacturing World'!$A:$AA,MATCH($R$1,'DB PMI Manufacturing World'!$A$1:$AA$1,),))=0,#N/A, (VLOOKUP(B12,'DB PMI Manufacturing World'!$A:$AA,MATCH($R$1,'DB PMI Manufacturing World'!$A$1:$AA$1,),)))</f>
        <v/>
      </c>
      <c r="S12" s="38">
        <f>IF((VLOOKUP(B12,'DB PMI Manufacturing World'!$A:$AA,MATCH($S$1,'DB PMI Manufacturing World'!$A$1:$AA$1,),))=0,#N/A, (VLOOKUP(B12,'DB PMI Manufacturing World'!$A:$AA,MATCH($S$1,'DB PMI Manufacturing World'!$A$1:$AA$1,),)))</f>
        <v/>
      </c>
      <c r="T12" s="38">
        <f>IF((VLOOKUP(B12,'DB PMI Manufacturing World'!$A:$AA,MATCH($T$1,'DB PMI Manufacturing World'!$A$1:$AA$1,),))=0,#N/A, (VLOOKUP(B12,'DB PMI Manufacturing World'!$A:$AA,MATCH($T$1,'DB PMI Manufacturing World'!$A$1:$AA$1,),)))</f>
        <v/>
      </c>
      <c r="U12" s="38">
        <f>IF((VLOOKUP(B12,'DB PMI Manufacturing World'!$A:$AA,MATCH($U$1,'DB PMI Manufacturing World'!$A$1:$AA$1,),))=0,#N/A, (VLOOKUP(B12,'DB PMI Manufacturing World'!$A:$AA,MATCH($U$1,'DB PMI Manufacturing World'!$A$1:$AA$1,),)))</f>
        <v/>
      </c>
      <c r="V12" s="38">
        <f>IF((VLOOKUP(B12,'DB PMI Manufacturing World'!$A:$AA,MATCH($V$1,'DB PMI Manufacturing World'!$A$1:$AA$1,),))=0,#N/A, (VLOOKUP(B12,'DB PMI Manufacturing World'!$A:$AA,MATCH($V$1,'DB PMI Manufacturing World'!$A$1:$AA$1,),)))</f>
        <v/>
      </c>
      <c r="W12" s="38">
        <f>IF((VLOOKUP(B12,'DB PMI Manufacturing World'!$A:$AA,MATCH($W$1,'DB PMI Manufacturing World'!$A$1:$AA$1,),))=0,#N/A, (VLOOKUP(B12,'DB PMI Manufacturing World'!$A:$AA,MATCH($W$1,'DB PMI Manufacturing World'!$A$1:$AA$1,),)))</f>
        <v/>
      </c>
      <c r="X12" s="38">
        <f>IF((VLOOKUP(B12,'DB PMI Manufacturing World'!$A:$AA,MATCH($X$1,'DB PMI Manufacturing World'!$A$1:$AA$1,),))=0,#N/A, (VLOOKUP(B12,'DB PMI Manufacturing World'!$A:$AA,MATCH($X$1,'DB PMI Manufacturing World'!$A$1:$AA$1,),)))</f>
        <v/>
      </c>
      <c r="Y12" s="38">
        <f>IF((VLOOKUP(B12,'DB PMI Manufacturing World'!$A:$AA,MATCH($Y$1,'DB PMI Manufacturing World'!$A$1:$AA$1,),))=0,#N/A, (VLOOKUP(B12,'DB PMI Manufacturing World'!$A:$AA,MATCH($Y$1,'DB PMI Manufacturing World'!$A$1:$AA$1,),)))</f>
        <v/>
      </c>
      <c r="Z12" s="38">
        <f>IF((VLOOKUP(B12,'DB PMI Manufacturing World'!$A:$AA,MATCH($Z$1,'DB PMI Manufacturing World'!$A$1:$AA$1,),))=0,#N/A, (VLOOKUP(B12,'DB PMI Manufacturing World'!$A:$AA,MATCH($Z$1,'DB PMI Manufacturing World'!$A$1:$AA$1,),)))</f>
        <v/>
      </c>
      <c r="AA12" s="38">
        <f>IF((VLOOKUP(B12,'DB PMI Manufacturing World'!$A:$AA,MATCH($AA$1,'DB PMI Manufacturing World'!$A$1:$AA$1,),))=0,#N/A, (VLOOKUP(B12,'DB PMI Manufacturing World'!$A:$AA,MATCH($AA$1,'DB PMI Manufacturing World'!$A$1:$AA$1,),)))</f>
        <v/>
      </c>
      <c r="AB12" s="38">
        <f>IF((VLOOKUP(B12,'DB PMI Manufacturing World'!$A:$AA,MATCH($AB$1,'DB PMI Manufacturing World'!$A$1:$AA$1,),))=0,#N/A, (VLOOKUP(B12,'DB PMI Manufacturing World'!$A:$AA,MATCH($AB$1,'DB PMI Manufacturing World'!$A$1:$AA$1,),)))</f>
        <v/>
      </c>
    </row>
    <row r="13">
      <c r="B13" s="29" t="n">
        <v>42917</v>
      </c>
      <c r="C13" s="38">
        <f>IF((VLOOKUP(B13,'DB PMI Manufacturing World'!$A:$AA,MATCH($C$1,'DB PMI Manufacturing World'!$A$1:$AA$1,),))=0,#N/A, (VLOOKUP(B13,'DB PMI Manufacturing World'!$A:$AA,MATCH($C$1,'DB PMI Manufacturing World'!$A$1:$AA$1,),)))</f>
        <v/>
      </c>
      <c r="D13" s="38">
        <f>IF((VLOOKUP(B13,'DB PMI Manufacturing World'!$A:$AA,MATCH($D$1,'DB PMI Manufacturing World'!$A$1:$AA$1,),))=0,#N/A, (VLOOKUP(B13,'DB PMI Manufacturing World'!$A:$AA,MATCH($D$1,'DB PMI Manufacturing World'!$A$1:$AA$1,),)))</f>
        <v/>
      </c>
      <c r="E13" s="38">
        <f>IF((VLOOKUP(B13,'DB PMI Manufacturing World'!$A:$AA,MATCH($E$1,'DB PMI Manufacturing World'!$A$1:$AA$1,),))=0,#N/A, (VLOOKUP(B13,'DB PMI Manufacturing World'!$A:$AA,MATCH($E$1,'DB PMI Manufacturing World'!$A$1:$AA$1,),)))</f>
        <v/>
      </c>
      <c r="F13" s="38">
        <f>IF((VLOOKUP(B13,'DB PMI Manufacturing World'!$A:$AA,MATCH($F$1,'DB PMI Manufacturing World'!$A$1:$AA$1,),))=0,#N/A, (VLOOKUP(B13,'DB PMI Manufacturing World'!$A:$AA,MATCH($F$1,'DB PMI Manufacturing World'!$A$1:$AA$1,),)))</f>
        <v/>
      </c>
      <c r="G13" s="38">
        <f>IF((VLOOKUP(B13,'DB PMI Manufacturing World'!$A:$AA,MATCH($G$1,'DB PMI Manufacturing World'!$A$1:$AA$1,),))=0,#N/A, (VLOOKUP(B13,'DB PMI Manufacturing World'!$A:$AA,MATCH($G$1,'DB PMI Manufacturing World'!$A$1:$AA$1,),)))</f>
        <v/>
      </c>
      <c r="H13" s="38">
        <f>IF((VLOOKUP(B13,'DB PMI Manufacturing World'!$A:$AA,MATCH($H$1,'DB PMI Manufacturing World'!$A$1:$AA$1,),))=0,#N/A, (VLOOKUP(B13,'DB PMI Manufacturing World'!$A:$AA,MATCH($H$1,'DB PMI Manufacturing World'!$A$1:$AA$1,),)))</f>
        <v/>
      </c>
      <c r="I13" s="38">
        <f>IF((VLOOKUP(B13,'DB PMI Manufacturing World'!$A:$AA,MATCH($I$1,'DB PMI Manufacturing World'!$A$1:$AA$1,),))=0,#N/A, (VLOOKUP(B13,'DB PMI Manufacturing World'!$A:$AA,MATCH($I$1,'DB PMI Manufacturing World'!$A$1:$AA$1,),)))</f>
        <v/>
      </c>
      <c r="J13" s="38">
        <f>IF((VLOOKUP(B13,'DB PMI Manufacturing World'!$A:$AA,MATCH($J$1,'DB PMI Manufacturing World'!$A$1:$AA$1,),))=0,#N/A, (VLOOKUP(B13,'DB PMI Manufacturing World'!$A:$AA,MATCH($J$1,'DB PMI Manufacturing World'!$A$1:$AA$1,),)))</f>
        <v/>
      </c>
      <c r="K13" s="38">
        <f>IF((VLOOKUP(B13,'DB PMI Manufacturing World'!$A:$AA,MATCH($K$1,'DB PMI Manufacturing World'!$A$1:$AA$1,),))=0,#N/A, (VLOOKUP(B13,'DB PMI Manufacturing World'!$A:$AA,MATCH($K$1,'DB PMI Manufacturing World'!$A$1:$AA$1,),)))</f>
        <v/>
      </c>
      <c r="L13" s="38">
        <f>IF((VLOOKUP(B13,'DB PMI Manufacturing World'!$A:$AA,MATCH($L$1,'DB PMI Manufacturing World'!$A$1:$AA$1,),))=0,#N/A, (VLOOKUP(B13,'DB PMI Manufacturing World'!$A:$AA,MATCH($L$1,'DB PMI Manufacturing World'!$A$1:$AA$1,),)))</f>
        <v/>
      </c>
      <c r="M13" s="38">
        <f>IF((VLOOKUP(B13,'DB PMI Manufacturing World'!$A:$AA,MATCH($M$1,'DB PMI Manufacturing World'!$A$1:$AA$1,),))=0,#N/A, (VLOOKUP(B13,'DB PMI Manufacturing World'!$A:$AA,MATCH($M$1,'DB PMI Manufacturing World'!$A$1:$AA$1,),)))</f>
        <v/>
      </c>
      <c r="N13" s="38">
        <f>IF((VLOOKUP(B13,'DB PMI Manufacturing World'!$A:$AA,MATCH($N$1,'DB PMI Manufacturing World'!$A$1:$AA$1,),))=0,#N/A, (VLOOKUP(B13,'DB PMI Manufacturing World'!$A:$AA,MATCH($N$1,'DB PMI Manufacturing World'!$A$1:$AA$1,),)))</f>
        <v/>
      </c>
      <c r="O13" s="38">
        <f>IF((VLOOKUP(B13,'DB PMI Manufacturing World'!$A:$AA,MATCH($O$1,'DB PMI Manufacturing World'!$A$1:$AA$1,),))=0,#N/A, (VLOOKUP(B13,'DB PMI Manufacturing World'!$A:$AA,MATCH($O$1,'DB PMI Manufacturing World'!$A$1:$AA$1,),)))</f>
        <v/>
      </c>
      <c r="P13" s="38">
        <f>IF((VLOOKUP(B13,'DB PMI Manufacturing World'!$A:$AA,MATCH($P$1,'DB PMI Manufacturing World'!$A$1:$AA$1,),))=0,#N/A, (VLOOKUP(B13,'DB PMI Manufacturing World'!$A:$AA,MATCH($P$1,'DB PMI Manufacturing World'!$A$1:$AA$1,),)))</f>
        <v/>
      </c>
      <c r="Q13" s="38">
        <f>IF((VLOOKUP(B13,'DB PMI Manufacturing World'!$A:$AA,MATCH($Q$1,'DB PMI Manufacturing World'!$A$1:$AA$1,),))=0,#N/A, (VLOOKUP(B13,'DB PMI Manufacturing World'!$A:$AA,MATCH($Q$1,'DB PMI Manufacturing World'!$A$1:$AA$1,),)))</f>
        <v/>
      </c>
      <c r="R13" s="38">
        <f>IF((VLOOKUP(B13,'DB PMI Manufacturing World'!$A:$AA,MATCH($R$1,'DB PMI Manufacturing World'!$A$1:$AA$1,),))=0,#N/A, (VLOOKUP(B13,'DB PMI Manufacturing World'!$A:$AA,MATCH($R$1,'DB PMI Manufacturing World'!$A$1:$AA$1,),)))</f>
        <v/>
      </c>
      <c r="S13" s="38">
        <f>IF((VLOOKUP(B13,'DB PMI Manufacturing World'!$A:$AA,MATCH($S$1,'DB PMI Manufacturing World'!$A$1:$AA$1,),))=0,#N/A, (VLOOKUP(B13,'DB PMI Manufacturing World'!$A:$AA,MATCH($S$1,'DB PMI Manufacturing World'!$A$1:$AA$1,),)))</f>
        <v/>
      </c>
      <c r="T13" s="38">
        <f>IF((VLOOKUP(B13,'DB PMI Manufacturing World'!$A:$AA,MATCH($T$1,'DB PMI Manufacturing World'!$A$1:$AA$1,),))=0,#N/A, (VLOOKUP(B13,'DB PMI Manufacturing World'!$A:$AA,MATCH($T$1,'DB PMI Manufacturing World'!$A$1:$AA$1,),)))</f>
        <v/>
      </c>
      <c r="U13" s="38">
        <f>IF((VLOOKUP(B13,'DB PMI Manufacturing World'!$A:$AA,MATCH($U$1,'DB PMI Manufacturing World'!$A$1:$AA$1,),))=0,#N/A, (VLOOKUP(B13,'DB PMI Manufacturing World'!$A:$AA,MATCH($U$1,'DB PMI Manufacturing World'!$A$1:$AA$1,),)))</f>
        <v/>
      </c>
      <c r="V13" s="38">
        <f>IF((VLOOKUP(B13,'DB PMI Manufacturing World'!$A:$AA,MATCH($V$1,'DB PMI Manufacturing World'!$A$1:$AA$1,),))=0,#N/A, (VLOOKUP(B13,'DB PMI Manufacturing World'!$A:$AA,MATCH($V$1,'DB PMI Manufacturing World'!$A$1:$AA$1,),)))</f>
        <v/>
      </c>
      <c r="W13" s="38">
        <f>IF((VLOOKUP(B13,'DB PMI Manufacturing World'!$A:$AA,MATCH($W$1,'DB PMI Manufacturing World'!$A$1:$AA$1,),))=0,#N/A, (VLOOKUP(B13,'DB PMI Manufacturing World'!$A:$AA,MATCH($W$1,'DB PMI Manufacturing World'!$A$1:$AA$1,),)))</f>
        <v/>
      </c>
      <c r="X13" s="38">
        <f>IF((VLOOKUP(B13,'DB PMI Manufacturing World'!$A:$AA,MATCH($X$1,'DB PMI Manufacturing World'!$A$1:$AA$1,),))=0,#N/A, (VLOOKUP(B13,'DB PMI Manufacturing World'!$A:$AA,MATCH($X$1,'DB PMI Manufacturing World'!$A$1:$AA$1,),)))</f>
        <v/>
      </c>
      <c r="Y13" s="38">
        <f>IF((VLOOKUP(B13,'DB PMI Manufacturing World'!$A:$AA,MATCH($Y$1,'DB PMI Manufacturing World'!$A$1:$AA$1,),))=0,#N/A, (VLOOKUP(B13,'DB PMI Manufacturing World'!$A:$AA,MATCH($Y$1,'DB PMI Manufacturing World'!$A$1:$AA$1,),)))</f>
        <v/>
      </c>
      <c r="Z13" s="38">
        <f>IF((VLOOKUP(B13,'DB PMI Manufacturing World'!$A:$AA,MATCH($Z$1,'DB PMI Manufacturing World'!$A$1:$AA$1,),))=0,#N/A, (VLOOKUP(B13,'DB PMI Manufacturing World'!$A:$AA,MATCH($Z$1,'DB PMI Manufacturing World'!$A$1:$AA$1,),)))</f>
        <v/>
      </c>
      <c r="AA13" s="38">
        <f>IF((VLOOKUP(B13,'DB PMI Manufacturing World'!$A:$AA,MATCH($AA$1,'DB PMI Manufacturing World'!$A$1:$AA$1,),))=0,#N/A, (VLOOKUP(B13,'DB PMI Manufacturing World'!$A:$AA,MATCH($AA$1,'DB PMI Manufacturing World'!$A$1:$AA$1,),)))</f>
        <v/>
      </c>
      <c r="AB13" s="38">
        <f>IF((VLOOKUP(B13,'DB PMI Manufacturing World'!$A:$AA,MATCH($AB$1,'DB PMI Manufacturing World'!$A$1:$AA$1,),))=0,#N/A, (VLOOKUP(B13,'DB PMI Manufacturing World'!$A:$AA,MATCH($AB$1,'DB PMI Manufacturing World'!$A$1:$AA$1,),)))</f>
        <v/>
      </c>
    </row>
    <row r="14">
      <c r="B14" s="29" t="n">
        <v>42948</v>
      </c>
      <c r="C14" s="38">
        <f>IF((VLOOKUP(B14,'DB PMI Manufacturing World'!$A:$AA,MATCH($C$1,'DB PMI Manufacturing World'!$A$1:$AA$1,),))=0,#N/A, (VLOOKUP(B14,'DB PMI Manufacturing World'!$A:$AA,MATCH($C$1,'DB PMI Manufacturing World'!$A$1:$AA$1,),)))</f>
        <v/>
      </c>
      <c r="D14" s="38">
        <f>IF((VLOOKUP(B14,'DB PMI Manufacturing World'!$A:$AA,MATCH($D$1,'DB PMI Manufacturing World'!$A$1:$AA$1,),))=0,#N/A, (VLOOKUP(B14,'DB PMI Manufacturing World'!$A:$AA,MATCH($D$1,'DB PMI Manufacturing World'!$A$1:$AA$1,),)))</f>
        <v/>
      </c>
      <c r="E14" s="38">
        <f>IF((VLOOKUP(B14,'DB PMI Manufacturing World'!$A:$AA,MATCH($E$1,'DB PMI Manufacturing World'!$A$1:$AA$1,),))=0,#N/A, (VLOOKUP(B14,'DB PMI Manufacturing World'!$A:$AA,MATCH($E$1,'DB PMI Manufacturing World'!$A$1:$AA$1,),)))</f>
        <v/>
      </c>
      <c r="F14" s="38">
        <f>IF((VLOOKUP(B14,'DB PMI Manufacturing World'!$A:$AA,MATCH($F$1,'DB PMI Manufacturing World'!$A$1:$AA$1,),))=0,#N/A, (VLOOKUP(B14,'DB PMI Manufacturing World'!$A:$AA,MATCH($F$1,'DB PMI Manufacturing World'!$A$1:$AA$1,),)))</f>
        <v/>
      </c>
      <c r="G14" s="38">
        <f>IF((VLOOKUP(B14,'DB PMI Manufacturing World'!$A:$AA,MATCH($G$1,'DB PMI Manufacturing World'!$A$1:$AA$1,),))=0,#N/A, (VLOOKUP(B14,'DB PMI Manufacturing World'!$A:$AA,MATCH($G$1,'DB PMI Manufacturing World'!$A$1:$AA$1,),)))</f>
        <v/>
      </c>
      <c r="H14" s="38">
        <f>IF((VLOOKUP(B14,'DB PMI Manufacturing World'!$A:$AA,MATCH($H$1,'DB PMI Manufacturing World'!$A$1:$AA$1,),))=0,#N/A, (VLOOKUP(B14,'DB PMI Manufacturing World'!$A:$AA,MATCH($H$1,'DB PMI Manufacturing World'!$A$1:$AA$1,),)))</f>
        <v/>
      </c>
      <c r="I14" s="38">
        <f>IF((VLOOKUP(B14,'DB PMI Manufacturing World'!$A:$AA,MATCH($I$1,'DB PMI Manufacturing World'!$A$1:$AA$1,),))=0,#N/A, (VLOOKUP(B14,'DB PMI Manufacturing World'!$A:$AA,MATCH($I$1,'DB PMI Manufacturing World'!$A$1:$AA$1,),)))</f>
        <v/>
      </c>
      <c r="J14" s="38">
        <f>IF((VLOOKUP(B14,'DB PMI Manufacturing World'!$A:$AA,MATCH($J$1,'DB PMI Manufacturing World'!$A$1:$AA$1,),))=0,#N/A, (VLOOKUP(B14,'DB PMI Manufacturing World'!$A:$AA,MATCH($J$1,'DB PMI Manufacturing World'!$A$1:$AA$1,),)))</f>
        <v/>
      </c>
      <c r="K14" s="38">
        <f>IF((VLOOKUP(B14,'DB PMI Manufacturing World'!$A:$AA,MATCH($K$1,'DB PMI Manufacturing World'!$A$1:$AA$1,),))=0,#N/A, (VLOOKUP(B14,'DB PMI Manufacturing World'!$A:$AA,MATCH($K$1,'DB PMI Manufacturing World'!$A$1:$AA$1,),)))</f>
        <v/>
      </c>
      <c r="L14" s="38">
        <f>IF((VLOOKUP(B14,'DB PMI Manufacturing World'!$A:$AA,MATCH($L$1,'DB PMI Manufacturing World'!$A$1:$AA$1,),))=0,#N/A, (VLOOKUP(B14,'DB PMI Manufacturing World'!$A:$AA,MATCH($L$1,'DB PMI Manufacturing World'!$A$1:$AA$1,),)))</f>
        <v/>
      </c>
      <c r="M14" s="38">
        <f>IF((VLOOKUP(B14,'DB PMI Manufacturing World'!$A:$AA,MATCH($M$1,'DB PMI Manufacturing World'!$A$1:$AA$1,),))=0,#N/A, (VLOOKUP(B14,'DB PMI Manufacturing World'!$A:$AA,MATCH($M$1,'DB PMI Manufacturing World'!$A$1:$AA$1,),)))</f>
        <v/>
      </c>
      <c r="N14" s="38">
        <f>IF((VLOOKUP(B14,'DB PMI Manufacturing World'!$A:$AA,MATCH($N$1,'DB PMI Manufacturing World'!$A$1:$AA$1,),))=0,#N/A, (VLOOKUP(B14,'DB PMI Manufacturing World'!$A:$AA,MATCH($N$1,'DB PMI Manufacturing World'!$A$1:$AA$1,),)))</f>
        <v/>
      </c>
      <c r="O14" s="38">
        <f>IF((VLOOKUP(B14,'DB PMI Manufacturing World'!$A:$AA,MATCH($O$1,'DB PMI Manufacturing World'!$A$1:$AA$1,),))=0,#N/A, (VLOOKUP(B14,'DB PMI Manufacturing World'!$A:$AA,MATCH($O$1,'DB PMI Manufacturing World'!$A$1:$AA$1,),)))</f>
        <v/>
      </c>
      <c r="P14" s="38">
        <f>IF((VLOOKUP(B14,'DB PMI Manufacturing World'!$A:$AA,MATCH($P$1,'DB PMI Manufacturing World'!$A$1:$AA$1,),))=0,#N/A, (VLOOKUP(B14,'DB PMI Manufacturing World'!$A:$AA,MATCH($P$1,'DB PMI Manufacturing World'!$A$1:$AA$1,),)))</f>
        <v/>
      </c>
      <c r="Q14" s="38">
        <f>IF((VLOOKUP(B14,'DB PMI Manufacturing World'!$A:$AA,MATCH($Q$1,'DB PMI Manufacturing World'!$A$1:$AA$1,),))=0,#N/A, (VLOOKUP(B14,'DB PMI Manufacturing World'!$A:$AA,MATCH($Q$1,'DB PMI Manufacturing World'!$A$1:$AA$1,),)))</f>
        <v/>
      </c>
      <c r="R14" s="38">
        <f>IF((VLOOKUP(B14,'DB PMI Manufacturing World'!$A:$AA,MATCH($R$1,'DB PMI Manufacturing World'!$A$1:$AA$1,),))=0,#N/A, (VLOOKUP(B14,'DB PMI Manufacturing World'!$A:$AA,MATCH($R$1,'DB PMI Manufacturing World'!$A$1:$AA$1,),)))</f>
        <v/>
      </c>
      <c r="S14" s="38">
        <f>IF((VLOOKUP(B14,'DB PMI Manufacturing World'!$A:$AA,MATCH($S$1,'DB PMI Manufacturing World'!$A$1:$AA$1,),))=0,#N/A, (VLOOKUP(B14,'DB PMI Manufacturing World'!$A:$AA,MATCH($S$1,'DB PMI Manufacturing World'!$A$1:$AA$1,),)))</f>
        <v/>
      </c>
      <c r="T14" s="38">
        <f>IF((VLOOKUP(B14,'DB PMI Manufacturing World'!$A:$AA,MATCH($T$1,'DB PMI Manufacturing World'!$A$1:$AA$1,),))=0,#N/A, (VLOOKUP(B14,'DB PMI Manufacturing World'!$A:$AA,MATCH($T$1,'DB PMI Manufacturing World'!$A$1:$AA$1,),)))</f>
        <v/>
      </c>
      <c r="U14" s="38">
        <f>IF((VLOOKUP(B14,'DB PMI Manufacturing World'!$A:$AA,MATCH($U$1,'DB PMI Manufacturing World'!$A$1:$AA$1,),))=0,#N/A, (VLOOKUP(B14,'DB PMI Manufacturing World'!$A:$AA,MATCH($U$1,'DB PMI Manufacturing World'!$A$1:$AA$1,),)))</f>
        <v/>
      </c>
      <c r="V14" s="38">
        <f>IF((VLOOKUP(B14,'DB PMI Manufacturing World'!$A:$AA,MATCH($V$1,'DB PMI Manufacturing World'!$A$1:$AA$1,),))=0,#N/A, (VLOOKUP(B14,'DB PMI Manufacturing World'!$A:$AA,MATCH($V$1,'DB PMI Manufacturing World'!$A$1:$AA$1,),)))</f>
        <v/>
      </c>
      <c r="W14" s="38">
        <f>IF((VLOOKUP(B14,'DB PMI Manufacturing World'!$A:$AA,MATCH($W$1,'DB PMI Manufacturing World'!$A$1:$AA$1,),))=0,#N/A, (VLOOKUP(B14,'DB PMI Manufacturing World'!$A:$AA,MATCH($W$1,'DB PMI Manufacturing World'!$A$1:$AA$1,),)))</f>
        <v/>
      </c>
      <c r="X14" s="38">
        <f>IF((VLOOKUP(B14,'DB PMI Manufacturing World'!$A:$AA,MATCH($X$1,'DB PMI Manufacturing World'!$A$1:$AA$1,),))=0,#N/A, (VLOOKUP(B14,'DB PMI Manufacturing World'!$A:$AA,MATCH($X$1,'DB PMI Manufacturing World'!$A$1:$AA$1,),)))</f>
        <v/>
      </c>
      <c r="Y14" s="38">
        <f>IF((VLOOKUP(B14,'DB PMI Manufacturing World'!$A:$AA,MATCH($Y$1,'DB PMI Manufacturing World'!$A$1:$AA$1,),))=0,#N/A, (VLOOKUP(B14,'DB PMI Manufacturing World'!$A:$AA,MATCH($Y$1,'DB PMI Manufacturing World'!$A$1:$AA$1,),)))</f>
        <v/>
      </c>
      <c r="Z14" s="38">
        <f>IF((VLOOKUP(B14,'DB PMI Manufacturing World'!$A:$AA,MATCH($Z$1,'DB PMI Manufacturing World'!$A$1:$AA$1,),))=0,#N/A, (VLOOKUP(B14,'DB PMI Manufacturing World'!$A:$AA,MATCH($Z$1,'DB PMI Manufacturing World'!$A$1:$AA$1,),)))</f>
        <v/>
      </c>
      <c r="AA14" s="38">
        <f>IF((VLOOKUP(B14,'DB PMI Manufacturing World'!$A:$AA,MATCH($AA$1,'DB PMI Manufacturing World'!$A$1:$AA$1,),))=0,#N/A, (VLOOKUP(B14,'DB PMI Manufacturing World'!$A:$AA,MATCH($AA$1,'DB PMI Manufacturing World'!$A$1:$AA$1,),)))</f>
        <v/>
      </c>
      <c r="AB14" s="38">
        <f>IF((VLOOKUP(B14,'DB PMI Manufacturing World'!$A:$AA,MATCH($AB$1,'DB PMI Manufacturing World'!$A$1:$AA$1,),))=0,#N/A, (VLOOKUP(B14,'DB PMI Manufacturing World'!$A:$AA,MATCH($AB$1,'DB PMI Manufacturing World'!$A$1:$AA$1,),)))</f>
        <v/>
      </c>
    </row>
    <row r="15">
      <c r="B15" s="29" t="n">
        <v>42979</v>
      </c>
      <c r="C15" s="38">
        <f>IF((VLOOKUP(B15,'DB PMI Manufacturing World'!$A:$AA,MATCH($C$1,'DB PMI Manufacturing World'!$A$1:$AA$1,),))=0,#N/A, (VLOOKUP(B15,'DB PMI Manufacturing World'!$A:$AA,MATCH($C$1,'DB PMI Manufacturing World'!$A$1:$AA$1,),)))</f>
        <v/>
      </c>
      <c r="D15" s="38">
        <f>IF((VLOOKUP(B15,'DB PMI Manufacturing World'!$A:$AA,MATCH($D$1,'DB PMI Manufacturing World'!$A$1:$AA$1,),))=0,#N/A, (VLOOKUP(B15,'DB PMI Manufacturing World'!$A:$AA,MATCH($D$1,'DB PMI Manufacturing World'!$A$1:$AA$1,),)))</f>
        <v/>
      </c>
      <c r="E15" s="38">
        <f>IF((VLOOKUP(B15,'DB PMI Manufacturing World'!$A:$AA,MATCH($E$1,'DB PMI Manufacturing World'!$A$1:$AA$1,),))=0,#N/A, (VLOOKUP(B15,'DB PMI Manufacturing World'!$A:$AA,MATCH($E$1,'DB PMI Manufacturing World'!$A$1:$AA$1,),)))</f>
        <v/>
      </c>
      <c r="F15" s="38">
        <f>IF((VLOOKUP(B15,'DB PMI Manufacturing World'!$A:$AA,MATCH($F$1,'DB PMI Manufacturing World'!$A$1:$AA$1,),))=0,#N/A, (VLOOKUP(B15,'DB PMI Manufacturing World'!$A:$AA,MATCH($F$1,'DB PMI Manufacturing World'!$A$1:$AA$1,),)))</f>
        <v/>
      </c>
      <c r="G15" s="38">
        <f>IF((VLOOKUP(B15,'DB PMI Manufacturing World'!$A:$AA,MATCH($G$1,'DB PMI Manufacturing World'!$A$1:$AA$1,),))=0,#N/A, (VLOOKUP(B15,'DB PMI Manufacturing World'!$A:$AA,MATCH($G$1,'DB PMI Manufacturing World'!$A$1:$AA$1,),)))</f>
        <v/>
      </c>
      <c r="H15" s="38">
        <f>IF((VLOOKUP(B15,'DB PMI Manufacturing World'!$A:$AA,MATCH($H$1,'DB PMI Manufacturing World'!$A$1:$AA$1,),))=0,#N/A, (VLOOKUP(B15,'DB PMI Manufacturing World'!$A:$AA,MATCH($H$1,'DB PMI Manufacturing World'!$A$1:$AA$1,),)))</f>
        <v/>
      </c>
      <c r="I15" s="38">
        <f>IF((VLOOKUP(B15,'DB PMI Manufacturing World'!$A:$AA,MATCH($I$1,'DB PMI Manufacturing World'!$A$1:$AA$1,),))=0,#N/A, (VLOOKUP(B15,'DB PMI Manufacturing World'!$A:$AA,MATCH($I$1,'DB PMI Manufacturing World'!$A$1:$AA$1,),)))</f>
        <v/>
      </c>
      <c r="J15" s="38">
        <f>IF((VLOOKUP(B15,'DB PMI Manufacturing World'!$A:$AA,MATCH($J$1,'DB PMI Manufacturing World'!$A$1:$AA$1,),))=0,#N/A, (VLOOKUP(B15,'DB PMI Manufacturing World'!$A:$AA,MATCH($J$1,'DB PMI Manufacturing World'!$A$1:$AA$1,),)))</f>
        <v/>
      </c>
      <c r="K15" s="38">
        <f>IF((VLOOKUP(B15,'DB PMI Manufacturing World'!$A:$AA,MATCH($K$1,'DB PMI Manufacturing World'!$A$1:$AA$1,),))=0,#N/A, (VLOOKUP(B15,'DB PMI Manufacturing World'!$A:$AA,MATCH($K$1,'DB PMI Manufacturing World'!$A$1:$AA$1,),)))</f>
        <v/>
      </c>
      <c r="L15" s="38">
        <f>IF((VLOOKUP(B15,'DB PMI Manufacturing World'!$A:$AA,MATCH($L$1,'DB PMI Manufacturing World'!$A$1:$AA$1,),))=0,#N/A, (VLOOKUP(B15,'DB PMI Manufacturing World'!$A:$AA,MATCH($L$1,'DB PMI Manufacturing World'!$A$1:$AA$1,),)))</f>
        <v/>
      </c>
      <c r="M15" s="38">
        <f>IF((VLOOKUP(B15,'DB PMI Manufacturing World'!$A:$AA,MATCH($M$1,'DB PMI Manufacturing World'!$A$1:$AA$1,),))=0,#N/A, (VLOOKUP(B15,'DB PMI Manufacturing World'!$A:$AA,MATCH($M$1,'DB PMI Manufacturing World'!$A$1:$AA$1,),)))</f>
        <v/>
      </c>
      <c r="N15" s="38">
        <f>IF((VLOOKUP(B15,'DB PMI Manufacturing World'!$A:$AA,MATCH($N$1,'DB PMI Manufacturing World'!$A$1:$AA$1,),))=0,#N/A, (VLOOKUP(B15,'DB PMI Manufacturing World'!$A:$AA,MATCH($N$1,'DB PMI Manufacturing World'!$A$1:$AA$1,),)))</f>
        <v/>
      </c>
      <c r="O15" s="38">
        <f>IF((VLOOKUP(B15,'DB PMI Manufacturing World'!$A:$AA,MATCH($O$1,'DB PMI Manufacturing World'!$A$1:$AA$1,),))=0,#N/A, (VLOOKUP(B15,'DB PMI Manufacturing World'!$A:$AA,MATCH($O$1,'DB PMI Manufacturing World'!$A$1:$AA$1,),)))</f>
        <v/>
      </c>
      <c r="P15" s="38">
        <f>IF((VLOOKUP(B15,'DB PMI Manufacturing World'!$A:$AA,MATCH($P$1,'DB PMI Manufacturing World'!$A$1:$AA$1,),))=0,#N/A, (VLOOKUP(B15,'DB PMI Manufacturing World'!$A:$AA,MATCH($P$1,'DB PMI Manufacturing World'!$A$1:$AA$1,),)))</f>
        <v/>
      </c>
      <c r="Q15" s="38">
        <f>IF((VLOOKUP(B15,'DB PMI Manufacturing World'!$A:$AA,MATCH($Q$1,'DB PMI Manufacturing World'!$A$1:$AA$1,),))=0,#N/A, (VLOOKUP(B15,'DB PMI Manufacturing World'!$A:$AA,MATCH($Q$1,'DB PMI Manufacturing World'!$A$1:$AA$1,),)))</f>
        <v/>
      </c>
      <c r="R15" s="38">
        <f>IF((VLOOKUP(B15,'DB PMI Manufacturing World'!$A:$AA,MATCH($R$1,'DB PMI Manufacturing World'!$A$1:$AA$1,),))=0,#N/A, (VLOOKUP(B15,'DB PMI Manufacturing World'!$A:$AA,MATCH($R$1,'DB PMI Manufacturing World'!$A$1:$AA$1,),)))</f>
        <v/>
      </c>
      <c r="S15" s="38">
        <f>IF((VLOOKUP(B15,'DB PMI Manufacturing World'!$A:$AA,MATCH($S$1,'DB PMI Manufacturing World'!$A$1:$AA$1,),))=0,#N/A, (VLOOKUP(B15,'DB PMI Manufacturing World'!$A:$AA,MATCH($S$1,'DB PMI Manufacturing World'!$A$1:$AA$1,),)))</f>
        <v/>
      </c>
      <c r="T15" s="38">
        <f>IF((VLOOKUP(B15,'DB PMI Manufacturing World'!$A:$AA,MATCH($T$1,'DB PMI Manufacturing World'!$A$1:$AA$1,),))=0,#N/A, (VLOOKUP(B15,'DB PMI Manufacturing World'!$A:$AA,MATCH($T$1,'DB PMI Manufacturing World'!$A$1:$AA$1,),)))</f>
        <v/>
      </c>
      <c r="U15" s="38">
        <f>IF((VLOOKUP(B15,'DB PMI Manufacturing World'!$A:$AA,MATCH($U$1,'DB PMI Manufacturing World'!$A$1:$AA$1,),))=0,#N/A, (VLOOKUP(B15,'DB PMI Manufacturing World'!$A:$AA,MATCH($U$1,'DB PMI Manufacturing World'!$A$1:$AA$1,),)))</f>
        <v/>
      </c>
      <c r="V15" s="38">
        <f>IF((VLOOKUP(B15,'DB PMI Manufacturing World'!$A:$AA,MATCH($V$1,'DB PMI Manufacturing World'!$A$1:$AA$1,),))=0,#N/A, (VLOOKUP(B15,'DB PMI Manufacturing World'!$A:$AA,MATCH($V$1,'DB PMI Manufacturing World'!$A$1:$AA$1,),)))</f>
        <v/>
      </c>
      <c r="W15" s="38">
        <f>IF((VLOOKUP(B15,'DB PMI Manufacturing World'!$A:$AA,MATCH($W$1,'DB PMI Manufacturing World'!$A$1:$AA$1,),))=0,#N/A, (VLOOKUP(B15,'DB PMI Manufacturing World'!$A:$AA,MATCH($W$1,'DB PMI Manufacturing World'!$A$1:$AA$1,),)))</f>
        <v/>
      </c>
      <c r="X15" s="38">
        <f>IF((VLOOKUP(B15,'DB PMI Manufacturing World'!$A:$AA,MATCH($X$1,'DB PMI Manufacturing World'!$A$1:$AA$1,),))=0,#N/A, (VLOOKUP(B15,'DB PMI Manufacturing World'!$A:$AA,MATCH($X$1,'DB PMI Manufacturing World'!$A$1:$AA$1,),)))</f>
        <v/>
      </c>
      <c r="Y15" s="38">
        <f>IF((VLOOKUP(B15,'DB PMI Manufacturing World'!$A:$AA,MATCH($Y$1,'DB PMI Manufacturing World'!$A$1:$AA$1,),))=0,#N/A, (VLOOKUP(B15,'DB PMI Manufacturing World'!$A:$AA,MATCH($Y$1,'DB PMI Manufacturing World'!$A$1:$AA$1,),)))</f>
        <v/>
      </c>
      <c r="Z15" s="38">
        <f>IF((VLOOKUP(B15,'DB PMI Manufacturing World'!$A:$AA,MATCH($Z$1,'DB PMI Manufacturing World'!$A$1:$AA$1,),))=0,#N/A, (VLOOKUP(B15,'DB PMI Manufacturing World'!$A:$AA,MATCH($Z$1,'DB PMI Manufacturing World'!$A$1:$AA$1,),)))</f>
        <v/>
      </c>
      <c r="AA15" s="38">
        <f>IF((VLOOKUP(B15,'DB PMI Manufacturing World'!$A:$AA,MATCH($AA$1,'DB PMI Manufacturing World'!$A$1:$AA$1,),))=0,#N/A, (VLOOKUP(B15,'DB PMI Manufacturing World'!$A:$AA,MATCH($AA$1,'DB PMI Manufacturing World'!$A$1:$AA$1,),)))</f>
        <v/>
      </c>
      <c r="AB15" s="38">
        <f>IF((VLOOKUP(B15,'DB PMI Manufacturing World'!$A:$AA,MATCH($AB$1,'DB PMI Manufacturing World'!$A$1:$AA$1,),))=0,#N/A, (VLOOKUP(B15,'DB PMI Manufacturing World'!$A:$AA,MATCH($AB$1,'DB PMI Manufacturing World'!$A$1:$AA$1,),)))</f>
        <v/>
      </c>
    </row>
    <row r="16">
      <c r="B16" s="29" t="n">
        <v>43009</v>
      </c>
      <c r="C16" s="38">
        <f>IF((VLOOKUP(B16,'DB PMI Manufacturing World'!$A:$AA,MATCH($C$1,'DB PMI Manufacturing World'!$A$1:$AA$1,),))=0,#N/A, (VLOOKUP(B16,'DB PMI Manufacturing World'!$A:$AA,MATCH($C$1,'DB PMI Manufacturing World'!$A$1:$AA$1,),)))</f>
        <v/>
      </c>
      <c r="D16" s="38">
        <f>IF((VLOOKUP(B16,'DB PMI Manufacturing World'!$A:$AA,MATCH($D$1,'DB PMI Manufacturing World'!$A$1:$AA$1,),))=0,#N/A, (VLOOKUP(B16,'DB PMI Manufacturing World'!$A:$AA,MATCH($D$1,'DB PMI Manufacturing World'!$A$1:$AA$1,),)))</f>
        <v/>
      </c>
      <c r="E16" s="38">
        <f>IF((VLOOKUP(B16,'DB PMI Manufacturing World'!$A:$AA,MATCH($E$1,'DB PMI Manufacturing World'!$A$1:$AA$1,),))=0,#N/A, (VLOOKUP(B16,'DB PMI Manufacturing World'!$A:$AA,MATCH($E$1,'DB PMI Manufacturing World'!$A$1:$AA$1,),)))</f>
        <v/>
      </c>
      <c r="F16" s="38">
        <f>IF((VLOOKUP(B16,'DB PMI Manufacturing World'!$A:$AA,MATCH($F$1,'DB PMI Manufacturing World'!$A$1:$AA$1,),))=0,#N/A, (VLOOKUP(B16,'DB PMI Manufacturing World'!$A:$AA,MATCH($F$1,'DB PMI Manufacturing World'!$A$1:$AA$1,),)))</f>
        <v/>
      </c>
      <c r="G16" s="38">
        <f>IF((VLOOKUP(B16,'DB PMI Manufacturing World'!$A:$AA,MATCH($G$1,'DB PMI Manufacturing World'!$A$1:$AA$1,),))=0,#N/A, (VLOOKUP(B16,'DB PMI Manufacturing World'!$A:$AA,MATCH($G$1,'DB PMI Manufacturing World'!$A$1:$AA$1,),)))</f>
        <v/>
      </c>
      <c r="H16" s="38">
        <f>IF((VLOOKUP(B16,'DB PMI Manufacturing World'!$A:$AA,MATCH($H$1,'DB PMI Manufacturing World'!$A$1:$AA$1,),))=0,#N/A, (VLOOKUP(B16,'DB PMI Manufacturing World'!$A:$AA,MATCH($H$1,'DB PMI Manufacturing World'!$A$1:$AA$1,),)))</f>
        <v/>
      </c>
      <c r="I16" s="38">
        <f>IF((VLOOKUP(B16,'DB PMI Manufacturing World'!$A:$AA,MATCH($I$1,'DB PMI Manufacturing World'!$A$1:$AA$1,),))=0,#N/A, (VLOOKUP(B16,'DB PMI Manufacturing World'!$A:$AA,MATCH($I$1,'DB PMI Manufacturing World'!$A$1:$AA$1,),)))</f>
        <v/>
      </c>
      <c r="J16" s="38">
        <f>IF((VLOOKUP(B16,'DB PMI Manufacturing World'!$A:$AA,MATCH($J$1,'DB PMI Manufacturing World'!$A$1:$AA$1,),))=0,#N/A, (VLOOKUP(B16,'DB PMI Manufacturing World'!$A:$AA,MATCH($J$1,'DB PMI Manufacturing World'!$A$1:$AA$1,),)))</f>
        <v/>
      </c>
      <c r="K16" s="38">
        <f>IF((VLOOKUP(B16,'DB PMI Manufacturing World'!$A:$AA,MATCH($K$1,'DB PMI Manufacturing World'!$A$1:$AA$1,),))=0,#N/A, (VLOOKUP(B16,'DB PMI Manufacturing World'!$A:$AA,MATCH($K$1,'DB PMI Manufacturing World'!$A$1:$AA$1,),)))</f>
        <v/>
      </c>
      <c r="L16" s="38">
        <f>IF((VLOOKUP(B16,'DB PMI Manufacturing World'!$A:$AA,MATCH($L$1,'DB PMI Manufacturing World'!$A$1:$AA$1,),))=0,#N/A, (VLOOKUP(B16,'DB PMI Manufacturing World'!$A:$AA,MATCH($L$1,'DB PMI Manufacturing World'!$A$1:$AA$1,),)))</f>
        <v/>
      </c>
      <c r="M16" s="38">
        <f>IF((VLOOKUP(B16,'DB PMI Manufacturing World'!$A:$AA,MATCH($M$1,'DB PMI Manufacturing World'!$A$1:$AA$1,),))=0,#N/A, (VLOOKUP(B16,'DB PMI Manufacturing World'!$A:$AA,MATCH($M$1,'DB PMI Manufacturing World'!$A$1:$AA$1,),)))</f>
        <v/>
      </c>
      <c r="N16" s="38">
        <f>IF((VLOOKUP(B16,'DB PMI Manufacturing World'!$A:$AA,MATCH($N$1,'DB PMI Manufacturing World'!$A$1:$AA$1,),))=0,#N/A, (VLOOKUP(B16,'DB PMI Manufacturing World'!$A:$AA,MATCH($N$1,'DB PMI Manufacturing World'!$A$1:$AA$1,),)))</f>
        <v/>
      </c>
      <c r="O16" s="38">
        <f>IF((VLOOKUP(B16,'DB PMI Manufacturing World'!$A:$AA,MATCH($O$1,'DB PMI Manufacturing World'!$A$1:$AA$1,),))=0,#N/A, (VLOOKUP(B16,'DB PMI Manufacturing World'!$A:$AA,MATCH($O$1,'DB PMI Manufacturing World'!$A$1:$AA$1,),)))</f>
        <v/>
      </c>
      <c r="P16" s="38">
        <f>IF((VLOOKUP(B16,'DB PMI Manufacturing World'!$A:$AA,MATCH($P$1,'DB PMI Manufacturing World'!$A$1:$AA$1,),))=0,#N/A, (VLOOKUP(B16,'DB PMI Manufacturing World'!$A:$AA,MATCH($P$1,'DB PMI Manufacturing World'!$A$1:$AA$1,),)))</f>
        <v/>
      </c>
      <c r="Q16" s="38">
        <f>IF((VLOOKUP(B16,'DB PMI Manufacturing World'!$A:$AA,MATCH($Q$1,'DB PMI Manufacturing World'!$A$1:$AA$1,),))=0,#N/A, (VLOOKUP(B16,'DB PMI Manufacturing World'!$A:$AA,MATCH($Q$1,'DB PMI Manufacturing World'!$A$1:$AA$1,),)))</f>
        <v/>
      </c>
      <c r="R16" s="38">
        <f>IF((VLOOKUP(B16,'DB PMI Manufacturing World'!$A:$AA,MATCH($R$1,'DB PMI Manufacturing World'!$A$1:$AA$1,),))=0,#N/A, (VLOOKUP(B16,'DB PMI Manufacturing World'!$A:$AA,MATCH($R$1,'DB PMI Manufacturing World'!$A$1:$AA$1,),)))</f>
        <v/>
      </c>
      <c r="S16" s="38">
        <f>IF((VLOOKUP(B16,'DB PMI Manufacturing World'!$A:$AA,MATCH($S$1,'DB PMI Manufacturing World'!$A$1:$AA$1,),))=0,#N/A, (VLOOKUP(B16,'DB PMI Manufacturing World'!$A:$AA,MATCH($S$1,'DB PMI Manufacturing World'!$A$1:$AA$1,),)))</f>
        <v/>
      </c>
      <c r="T16" s="38">
        <f>IF((VLOOKUP(B16,'DB PMI Manufacturing World'!$A:$AA,MATCH($T$1,'DB PMI Manufacturing World'!$A$1:$AA$1,),))=0,#N/A, (VLOOKUP(B16,'DB PMI Manufacturing World'!$A:$AA,MATCH($T$1,'DB PMI Manufacturing World'!$A$1:$AA$1,),)))</f>
        <v/>
      </c>
      <c r="U16" s="38">
        <f>IF((VLOOKUP(B16,'DB PMI Manufacturing World'!$A:$AA,MATCH($U$1,'DB PMI Manufacturing World'!$A$1:$AA$1,),))=0,#N/A, (VLOOKUP(B16,'DB PMI Manufacturing World'!$A:$AA,MATCH($U$1,'DB PMI Manufacturing World'!$A$1:$AA$1,),)))</f>
        <v/>
      </c>
      <c r="V16" s="38">
        <f>IF((VLOOKUP(B16,'DB PMI Manufacturing World'!$A:$AA,MATCH($V$1,'DB PMI Manufacturing World'!$A$1:$AA$1,),))=0,#N/A, (VLOOKUP(B16,'DB PMI Manufacturing World'!$A:$AA,MATCH($V$1,'DB PMI Manufacturing World'!$A$1:$AA$1,),)))</f>
        <v/>
      </c>
      <c r="W16" s="38">
        <f>IF((VLOOKUP(B16,'DB PMI Manufacturing World'!$A:$AA,MATCH($W$1,'DB PMI Manufacturing World'!$A$1:$AA$1,),))=0,#N/A, (VLOOKUP(B16,'DB PMI Manufacturing World'!$A:$AA,MATCH($W$1,'DB PMI Manufacturing World'!$A$1:$AA$1,),)))</f>
        <v/>
      </c>
      <c r="X16" s="38">
        <f>IF((VLOOKUP(B16,'DB PMI Manufacturing World'!$A:$AA,MATCH($X$1,'DB PMI Manufacturing World'!$A$1:$AA$1,),))=0,#N/A, (VLOOKUP(B16,'DB PMI Manufacturing World'!$A:$AA,MATCH($X$1,'DB PMI Manufacturing World'!$A$1:$AA$1,),)))</f>
        <v/>
      </c>
      <c r="Y16" s="38">
        <f>IF((VLOOKUP(B16,'DB PMI Manufacturing World'!$A:$AA,MATCH($Y$1,'DB PMI Manufacturing World'!$A$1:$AA$1,),))=0,#N/A, (VLOOKUP(B16,'DB PMI Manufacturing World'!$A:$AA,MATCH($Y$1,'DB PMI Manufacturing World'!$A$1:$AA$1,),)))</f>
        <v/>
      </c>
      <c r="Z16" s="38">
        <f>IF((VLOOKUP(B16,'DB PMI Manufacturing World'!$A:$AA,MATCH($Z$1,'DB PMI Manufacturing World'!$A$1:$AA$1,),))=0,#N/A, (VLOOKUP(B16,'DB PMI Manufacturing World'!$A:$AA,MATCH($Z$1,'DB PMI Manufacturing World'!$A$1:$AA$1,),)))</f>
        <v/>
      </c>
      <c r="AA16" s="38">
        <f>IF((VLOOKUP(B16,'DB PMI Manufacturing World'!$A:$AA,MATCH($AA$1,'DB PMI Manufacturing World'!$A$1:$AA$1,),))=0,#N/A, (VLOOKUP(B16,'DB PMI Manufacturing World'!$A:$AA,MATCH($AA$1,'DB PMI Manufacturing World'!$A$1:$AA$1,),)))</f>
        <v/>
      </c>
      <c r="AB16" s="38">
        <f>IF((VLOOKUP(B16,'DB PMI Manufacturing World'!$A:$AA,MATCH($AB$1,'DB PMI Manufacturing World'!$A$1:$AA$1,),))=0,#N/A, (VLOOKUP(B16,'DB PMI Manufacturing World'!$A:$AA,MATCH($AB$1,'DB PMI Manufacturing World'!$A$1:$AA$1,),)))</f>
        <v/>
      </c>
    </row>
    <row r="17">
      <c r="B17" s="29" t="n">
        <v>43040</v>
      </c>
      <c r="C17" s="38">
        <f>IF((VLOOKUP(B17,'DB PMI Manufacturing World'!$A:$AA,MATCH($C$1,'DB PMI Manufacturing World'!$A$1:$AA$1,),))=0,#N/A, (VLOOKUP(B17,'DB PMI Manufacturing World'!$A:$AA,MATCH($C$1,'DB PMI Manufacturing World'!$A$1:$AA$1,),)))</f>
        <v/>
      </c>
      <c r="D17" s="38">
        <f>IF((VLOOKUP(B17,'DB PMI Manufacturing World'!$A:$AA,MATCH($D$1,'DB PMI Manufacturing World'!$A$1:$AA$1,),))=0,#N/A, (VLOOKUP(B17,'DB PMI Manufacturing World'!$A:$AA,MATCH($D$1,'DB PMI Manufacturing World'!$A$1:$AA$1,),)))</f>
        <v/>
      </c>
      <c r="E17" s="38">
        <f>IF((VLOOKUP(B17,'DB PMI Manufacturing World'!$A:$AA,MATCH($E$1,'DB PMI Manufacturing World'!$A$1:$AA$1,),))=0,#N/A, (VLOOKUP(B17,'DB PMI Manufacturing World'!$A:$AA,MATCH($E$1,'DB PMI Manufacturing World'!$A$1:$AA$1,),)))</f>
        <v/>
      </c>
      <c r="F17" s="38">
        <f>IF((VLOOKUP(B17,'DB PMI Manufacturing World'!$A:$AA,MATCH($F$1,'DB PMI Manufacturing World'!$A$1:$AA$1,),))=0,#N/A, (VLOOKUP(B17,'DB PMI Manufacturing World'!$A:$AA,MATCH($F$1,'DB PMI Manufacturing World'!$A$1:$AA$1,),)))</f>
        <v/>
      </c>
      <c r="G17" s="38">
        <f>IF((VLOOKUP(B17,'DB PMI Manufacturing World'!$A:$AA,MATCH($G$1,'DB PMI Manufacturing World'!$A$1:$AA$1,),))=0,#N/A, (VLOOKUP(B17,'DB PMI Manufacturing World'!$A:$AA,MATCH($G$1,'DB PMI Manufacturing World'!$A$1:$AA$1,),)))</f>
        <v/>
      </c>
      <c r="H17" s="38">
        <f>IF((VLOOKUP(B17,'DB PMI Manufacturing World'!$A:$AA,MATCH($H$1,'DB PMI Manufacturing World'!$A$1:$AA$1,),))=0,#N/A, (VLOOKUP(B17,'DB PMI Manufacturing World'!$A:$AA,MATCH($H$1,'DB PMI Manufacturing World'!$A$1:$AA$1,),)))</f>
        <v/>
      </c>
      <c r="I17" s="38">
        <f>IF((VLOOKUP(B17,'DB PMI Manufacturing World'!$A:$AA,MATCH($I$1,'DB PMI Manufacturing World'!$A$1:$AA$1,),))=0,#N/A, (VLOOKUP(B17,'DB PMI Manufacturing World'!$A:$AA,MATCH($I$1,'DB PMI Manufacturing World'!$A$1:$AA$1,),)))</f>
        <v/>
      </c>
      <c r="J17" s="38">
        <f>IF((VLOOKUP(B17,'DB PMI Manufacturing World'!$A:$AA,MATCH($J$1,'DB PMI Manufacturing World'!$A$1:$AA$1,),))=0,#N/A, (VLOOKUP(B17,'DB PMI Manufacturing World'!$A:$AA,MATCH($J$1,'DB PMI Manufacturing World'!$A$1:$AA$1,),)))</f>
        <v/>
      </c>
      <c r="K17" s="38">
        <f>IF((VLOOKUP(B17,'DB PMI Manufacturing World'!$A:$AA,MATCH($K$1,'DB PMI Manufacturing World'!$A$1:$AA$1,),))=0,#N/A, (VLOOKUP(B17,'DB PMI Manufacturing World'!$A:$AA,MATCH($K$1,'DB PMI Manufacturing World'!$A$1:$AA$1,),)))</f>
        <v/>
      </c>
      <c r="L17" s="38">
        <f>IF((VLOOKUP(B17,'DB PMI Manufacturing World'!$A:$AA,MATCH($L$1,'DB PMI Manufacturing World'!$A$1:$AA$1,),))=0,#N/A, (VLOOKUP(B17,'DB PMI Manufacturing World'!$A:$AA,MATCH($L$1,'DB PMI Manufacturing World'!$A$1:$AA$1,),)))</f>
        <v/>
      </c>
      <c r="M17" s="38">
        <f>IF((VLOOKUP(B17,'DB PMI Manufacturing World'!$A:$AA,MATCH($M$1,'DB PMI Manufacturing World'!$A$1:$AA$1,),))=0,#N/A, (VLOOKUP(B17,'DB PMI Manufacturing World'!$A:$AA,MATCH($M$1,'DB PMI Manufacturing World'!$A$1:$AA$1,),)))</f>
        <v/>
      </c>
      <c r="N17" s="38">
        <f>IF((VLOOKUP(B17,'DB PMI Manufacturing World'!$A:$AA,MATCH($N$1,'DB PMI Manufacturing World'!$A$1:$AA$1,),))=0,#N/A, (VLOOKUP(B17,'DB PMI Manufacturing World'!$A:$AA,MATCH($N$1,'DB PMI Manufacturing World'!$A$1:$AA$1,),)))</f>
        <v/>
      </c>
      <c r="O17" s="38">
        <f>IF((VLOOKUP(B17,'DB PMI Manufacturing World'!$A:$AA,MATCH($O$1,'DB PMI Manufacturing World'!$A$1:$AA$1,),))=0,#N/A, (VLOOKUP(B17,'DB PMI Manufacturing World'!$A:$AA,MATCH($O$1,'DB PMI Manufacturing World'!$A$1:$AA$1,),)))</f>
        <v/>
      </c>
      <c r="P17" s="38">
        <f>IF((VLOOKUP(B17,'DB PMI Manufacturing World'!$A:$AA,MATCH($P$1,'DB PMI Manufacturing World'!$A$1:$AA$1,),))=0,#N/A, (VLOOKUP(B17,'DB PMI Manufacturing World'!$A:$AA,MATCH($P$1,'DB PMI Manufacturing World'!$A$1:$AA$1,),)))</f>
        <v/>
      </c>
      <c r="Q17" s="38">
        <f>IF((VLOOKUP(B17,'DB PMI Manufacturing World'!$A:$AA,MATCH($Q$1,'DB PMI Manufacturing World'!$A$1:$AA$1,),))=0,#N/A, (VLOOKUP(B17,'DB PMI Manufacturing World'!$A:$AA,MATCH($Q$1,'DB PMI Manufacturing World'!$A$1:$AA$1,),)))</f>
        <v/>
      </c>
      <c r="R17" s="38">
        <f>IF((VLOOKUP(B17,'DB PMI Manufacturing World'!$A:$AA,MATCH($R$1,'DB PMI Manufacturing World'!$A$1:$AA$1,),))=0,#N/A, (VLOOKUP(B17,'DB PMI Manufacturing World'!$A:$AA,MATCH($R$1,'DB PMI Manufacturing World'!$A$1:$AA$1,),)))</f>
        <v/>
      </c>
      <c r="S17" s="38">
        <f>IF((VLOOKUP(B17,'DB PMI Manufacturing World'!$A:$AA,MATCH($S$1,'DB PMI Manufacturing World'!$A$1:$AA$1,),))=0,#N/A, (VLOOKUP(B17,'DB PMI Manufacturing World'!$A:$AA,MATCH($S$1,'DB PMI Manufacturing World'!$A$1:$AA$1,),)))</f>
        <v/>
      </c>
      <c r="T17" s="38">
        <f>IF((VLOOKUP(B17,'DB PMI Manufacturing World'!$A:$AA,MATCH($T$1,'DB PMI Manufacturing World'!$A$1:$AA$1,),))=0,#N/A, (VLOOKUP(B17,'DB PMI Manufacturing World'!$A:$AA,MATCH($T$1,'DB PMI Manufacturing World'!$A$1:$AA$1,),)))</f>
        <v/>
      </c>
      <c r="U17" s="38">
        <f>IF((VLOOKUP(B17,'DB PMI Manufacturing World'!$A:$AA,MATCH($U$1,'DB PMI Manufacturing World'!$A$1:$AA$1,),))=0,#N/A, (VLOOKUP(B17,'DB PMI Manufacturing World'!$A:$AA,MATCH($U$1,'DB PMI Manufacturing World'!$A$1:$AA$1,),)))</f>
        <v/>
      </c>
      <c r="V17" s="38">
        <f>IF((VLOOKUP(B17,'DB PMI Manufacturing World'!$A:$AA,MATCH($V$1,'DB PMI Manufacturing World'!$A$1:$AA$1,),))=0,#N/A, (VLOOKUP(B17,'DB PMI Manufacturing World'!$A:$AA,MATCH($V$1,'DB PMI Manufacturing World'!$A$1:$AA$1,),)))</f>
        <v/>
      </c>
      <c r="W17" s="38">
        <f>IF((VLOOKUP(B17,'DB PMI Manufacturing World'!$A:$AA,MATCH($W$1,'DB PMI Manufacturing World'!$A$1:$AA$1,),))=0,#N/A, (VLOOKUP(B17,'DB PMI Manufacturing World'!$A:$AA,MATCH($W$1,'DB PMI Manufacturing World'!$A$1:$AA$1,),)))</f>
        <v/>
      </c>
      <c r="X17" s="38">
        <f>IF((VLOOKUP(B17,'DB PMI Manufacturing World'!$A:$AA,MATCH($X$1,'DB PMI Manufacturing World'!$A$1:$AA$1,),))=0,#N/A, (VLOOKUP(B17,'DB PMI Manufacturing World'!$A:$AA,MATCH($X$1,'DB PMI Manufacturing World'!$A$1:$AA$1,),)))</f>
        <v/>
      </c>
      <c r="Y17" s="38">
        <f>IF((VLOOKUP(B17,'DB PMI Manufacturing World'!$A:$AA,MATCH($Y$1,'DB PMI Manufacturing World'!$A$1:$AA$1,),))=0,#N/A, (VLOOKUP(B17,'DB PMI Manufacturing World'!$A:$AA,MATCH($Y$1,'DB PMI Manufacturing World'!$A$1:$AA$1,),)))</f>
        <v/>
      </c>
      <c r="Z17" s="38">
        <f>IF((VLOOKUP(B17,'DB PMI Manufacturing World'!$A:$AA,MATCH($Z$1,'DB PMI Manufacturing World'!$A$1:$AA$1,),))=0,#N/A, (VLOOKUP(B17,'DB PMI Manufacturing World'!$A:$AA,MATCH($Z$1,'DB PMI Manufacturing World'!$A$1:$AA$1,),)))</f>
        <v/>
      </c>
      <c r="AA17" s="38">
        <f>IF((VLOOKUP(B17,'DB PMI Manufacturing World'!$A:$AA,MATCH($AA$1,'DB PMI Manufacturing World'!$A$1:$AA$1,),))=0,#N/A, (VLOOKUP(B17,'DB PMI Manufacturing World'!$A:$AA,MATCH($AA$1,'DB PMI Manufacturing World'!$A$1:$AA$1,),)))</f>
        <v/>
      </c>
      <c r="AB17" s="38">
        <f>IF((VLOOKUP(B17,'DB PMI Manufacturing World'!$A:$AA,MATCH($AB$1,'DB PMI Manufacturing World'!$A$1:$AA$1,),))=0,#N/A, (VLOOKUP(B17,'DB PMI Manufacturing World'!$A:$AA,MATCH($AB$1,'DB PMI Manufacturing World'!$A$1:$AA$1,),)))</f>
        <v/>
      </c>
    </row>
    <row r="18">
      <c r="B18" s="29" t="n">
        <v>43070</v>
      </c>
      <c r="C18" s="38">
        <f>IF((VLOOKUP(B18,'DB PMI Manufacturing World'!$A:$AA,MATCH($C$1,'DB PMI Manufacturing World'!$A$1:$AA$1,),))=0,#N/A, (VLOOKUP(B18,'DB PMI Manufacturing World'!$A:$AA,MATCH($C$1,'DB PMI Manufacturing World'!$A$1:$AA$1,),)))</f>
        <v/>
      </c>
      <c r="D18" s="38">
        <f>IF((VLOOKUP(B18,'DB PMI Manufacturing World'!$A:$AA,MATCH($D$1,'DB PMI Manufacturing World'!$A$1:$AA$1,),))=0,#N/A, (VLOOKUP(B18,'DB PMI Manufacturing World'!$A:$AA,MATCH($D$1,'DB PMI Manufacturing World'!$A$1:$AA$1,),)))</f>
        <v/>
      </c>
      <c r="E18" s="38">
        <f>IF((VLOOKUP(B18,'DB PMI Manufacturing World'!$A:$AA,MATCH($E$1,'DB PMI Manufacturing World'!$A$1:$AA$1,),))=0,#N/A, (VLOOKUP(B18,'DB PMI Manufacturing World'!$A:$AA,MATCH($E$1,'DB PMI Manufacturing World'!$A$1:$AA$1,),)))</f>
        <v/>
      </c>
      <c r="F18" s="38">
        <f>IF((VLOOKUP(B18,'DB PMI Manufacturing World'!$A:$AA,MATCH($F$1,'DB PMI Manufacturing World'!$A$1:$AA$1,),))=0,#N/A, (VLOOKUP(B18,'DB PMI Manufacturing World'!$A:$AA,MATCH($F$1,'DB PMI Manufacturing World'!$A$1:$AA$1,),)))</f>
        <v/>
      </c>
      <c r="G18" s="38">
        <f>IF((VLOOKUP(B18,'DB PMI Manufacturing World'!$A:$AA,MATCH($G$1,'DB PMI Manufacturing World'!$A$1:$AA$1,),))=0,#N/A, (VLOOKUP(B18,'DB PMI Manufacturing World'!$A:$AA,MATCH($G$1,'DB PMI Manufacturing World'!$A$1:$AA$1,),)))</f>
        <v/>
      </c>
      <c r="H18" s="38">
        <f>IF((VLOOKUP(B18,'DB PMI Manufacturing World'!$A:$AA,MATCH($H$1,'DB PMI Manufacturing World'!$A$1:$AA$1,),))=0,#N/A, (VLOOKUP(B18,'DB PMI Manufacturing World'!$A:$AA,MATCH($H$1,'DB PMI Manufacturing World'!$A$1:$AA$1,),)))</f>
        <v/>
      </c>
      <c r="I18" s="38">
        <f>IF((VLOOKUP(B18,'DB PMI Manufacturing World'!$A:$AA,MATCH($I$1,'DB PMI Manufacturing World'!$A$1:$AA$1,),))=0,#N/A, (VLOOKUP(B18,'DB PMI Manufacturing World'!$A:$AA,MATCH($I$1,'DB PMI Manufacturing World'!$A$1:$AA$1,),)))</f>
        <v/>
      </c>
      <c r="J18" s="38">
        <f>IF((VLOOKUP(B18,'DB PMI Manufacturing World'!$A:$AA,MATCH($J$1,'DB PMI Manufacturing World'!$A$1:$AA$1,),))=0,#N/A, (VLOOKUP(B18,'DB PMI Manufacturing World'!$A:$AA,MATCH($J$1,'DB PMI Manufacturing World'!$A$1:$AA$1,),)))</f>
        <v/>
      </c>
      <c r="K18" s="38">
        <f>IF((VLOOKUP(B18,'DB PMI Manufacturing World'!$A:$AA,MATCH($K$1,'DB PMI Manufacturing World'!$A$1:$AA$1,),))=0,#N/A, (VLOOKUP(B18,'DB PMI Manufacturing World'!$A:$AA,MATCH($K$1,'DB PMI Manufacturing World'!$A$1:$AA$1,),)))</f>
        <v/>
      </c>
      <c r="L18" s="38">
        <f>IF((VLOOKUP(B18,'DB PMI Manufacturing World'!$A:$AA,MATCH($L$1,'DB PMI Manufacturing World'!$A$1:$AA$1,),))=0,#N/A, (VLOOKUP(B18,'DB PMI Manufacturing World'!$A:$AA,MATCH($L$1,'DB PMI Manufacturing World'!$A$1:$AA$1,),)))</f>
        <v/>
      </c>
      <c r="M18" s="38">
        <f>IF((VLOOKUP(B18,'DB PMI Manufacturing World'!$A:$AA,MATCH($M$1,'DB PMI Manufacturing World'!$A$1:$AA$1,),))=0,#N/A, (VLOOKUP(B18,'DB PMI Manufacturing World'!$A:$AA,MATCH($M$1,'DB PMI Manufacturing World'!$A$1:$AA$1,),)))</f>
        <v/>
      </c>
      <c r="N18" s="38">
        <f>IF((VLOOKUP(B18,'DB PMI Manufacturing World'!$A:$AA,MATCH($N$1,'DB PMI Manufacturing World'!$A$1:$AA$1,),))=0,#N/A, (VLOOKUP(B18,'DB PMI Manufacturing World'!$A:$AA,MATCH($N$1,'DB PMI Manufacturing World'!$A$1:$AA$1,),)))</f>
        <v/>
      </c>
      <c r="O18" s="38">
        <f>IF((VLOOKUP(B18,'DB PMI Manufacturing World'!$A:$AA,MATCH($O$1,'DB PMI Manufacturing World'!$A$1:$AA$1,),))=0,#N/A, (VLOOKUP(B18,'DB PMI Manufacturing World'!$A:$AA,MATCH($O$1,'DB PMI Manufacturing World'!$A$1:$AA$1,),)))</f>
        <v/>
      </c>
      <c r="P18" s="38">
        <f>IF((VLOOKUP(B18,'DB PMI Manufacturing World'!$A:$AA,MATCH($P$1,'DB PMI Manufacturing World'!$A$1:$AA$1,),))=0,#N/A, (VLOOKUP(B18,'DB PMI Manufacturing World'!$A:$AA,MATCH($P$1,'DB PMI Manufacturing World'!$A$1:$AA$1,),)))</f>
        <v/>
      </c>
      <c r="Q18" s="38">
        <f>IF((VLOOKUP(B18,'DB PMI Manufacturing World'!$A:$AA,MATCH($Q$1,'DB PMI Manufacturing World'!$A$1:$AA$1,),))=0,#N/A, (VLOOKUP(B18,'DB PMI Manufacturing World'!$A:$AA,MATCH($Q$1,'DB PMI Manufacturing World'!$A$1:$AA$1,),)))</f>
        <v/>
      </c>
      <c r="R18" s="38">
        <f>IF((VLOOKUP(B18,'DB PMI Manufacturing World'!$A:$AA,MATCH($R$1,'DB PMI Manufacturing World'!$A$1:$AA$1,),))=0,#N/A, (VLOOKUP(B18,'DB PMI Manufacturing World'!$A:$AA,MATCH($R$1,'DB PMI Manufacturing World'!$A$1:$AA$1,),)))</f>
        <v/>
      </c>
      <c r="S18" s="38">
        <f>IF((VLOOKUP(B18,'DB PMI Manufacturing World'!$A:$AA,MATCH($S$1,'DB PMI Manufacturing World'!$A$1:$AA$1,),))=0,#N/A, (VLOOKUP(B18,'DB PMI Manufacturing World'!$A:$AA,MATCH($S$1,'DB PMI Manufacturing World'!$A$1:$AA$1,),)))</f>
        <v/>
      </c>
      <c r="T18" s="38">
        <f>IF((VLOOKUP(B18,'DB PMI Manufacturing World'!$A:$AA,MATCH($T$1,'DB PMI Manufacturing World'!$A$1:$AA$1,),))=0,#N/A, (VLOOKUP(B18,'DB PMI Manufacturing World'!$A:$AA,MATCH($T$1,'DB PMI Manufacturing World'!$A$1:$AA$1,),)))</f>
        <v/>
      </c>
      <c r="U18" s="38">
        <f>IF((VLOOKUP(B18,'DB PMI Manufacturing World'!$A:$AA,MATCH($U$1,'DB PMI Manufacturing World'!$A$1:$AA$1,),))=0,#N/A, (VLOOKUP(B18,'DB PMI Manufacturing World'!$A:$AA,MATCH($U$1,'DB PMI Manufacturing World'!$A$1:$AA$1,),)))</f>
        <v/>
      </c>
      <c r="V18" s="38">
        <f>IF((VLOOKUP(B18,'DB PMI Manufacturing World'!$A:$AA,MATCH($V$1,'DB PMI Manufacturing World'!$A$1:$AA$1,),))=0,#N/A, (VLOOKUP(B18,'DB PMI Manufacturing World'!$A:$AA,MATCH($V$1,'DB PMI Manufacturing World'!$A$1:$AA$1,),)))</f>
        <v/>
      </c>
      <c r="W18" s="38">
        <f>IF((VLOOKUP(B18,'DB PMI Manufacturing World'!$A:$AA,MATCH($W$1,'DB PMI Manufacturing World'!$A$1:$AA$1,),))=0,#N/A, (VLOOKUP(B18,'DB PMI Manufacturing World'!$A:$AA,MATCH($W$1,'DB PMI Manufacturing World'!$A$1:$AA$1,),)))</f>
        <v/>
      </c>
      <c r="X18" s="38">
        <f>IF((VLOOKUP(B18,'DB PMI Manufacturing World'!$A:$AA,MATCH($X$1,'DB PMI Manufacturing World'!$A$1:$AA$1,),))=0,#N/A, (VLOOKUP(B18,'DB PMI Manufacturing World'!$A:$AA,MATCH($X$1,'DB PMI Manufacturing World'!$A$1:$AA$1,),)))</f>
        <v/>
      </c>
      <c r="Y18" s="38">
        <f>IF((VLOOKUP(B18,'DB PMI Manufacturing World'!$A:$AA,MATCH($Y$1,'DB PMI Manufacturing World'!$A$1:$AA$1,),))=0,#N/A, (VLOOKUP(B18,'DB PMI Manufacturing World'!$A:$AA,MATCH($Y$1,'DB PMI Manufacturing World'!$A$1:$AA$1,),)))</f>
        <v/>
      </c>
      <c r="Z18" s="38">
        <f>IF((VLOOKUP(B18,'DB PMI Manufacturing World'!$A:$AA,MATCH($Z$1,'DB PMI Manufacturing World'!$A$1:$AA$1,),))=0,#N/A, (VLOOKUP(B18,'DB PMI Manufacturing World'!$A:$AA,MATCH($Z$1,'DB PMI Manufacturing World'!$A$1:$AA$1,),)))</f>
        <v/>
      </c>
      <c r="AA18" s="38">
        <f>IF((VLOOKUP(B18,'DB PMI Manufacturing World'!$A:$AA,MATCH($AA$1,'DB PMI Manufacturing World'!$A$1:$AA$1,),))=0,#N/A, (VLOOKUP(B18,'DB PMI Manufacturing World'!$A:$AA,MATCH($AA$1,'DB PMI Manufacturing World'!$A$1:$AA$1,),)))</f>
        <v/>
      </c>
      <c r="AB18" s="38">
        <f>IF((VLOOKUP(B18,'DB PMI Manufacturing World'!$A:$AA,MATCH($AB$1,'DB PMI Manufacturing World'!$A$1:$AA$1,),))=0,#N/A, (VLOOKUP(B18,'DB PMI Manufacturing World'!$A:$AA,MATCH($AB$1,'DB PMI Manufacturing World'!$A$1:$AA$1,),)))</f>
        <v/>
      </c>
    </row>
    <row r="19">
      <c r="B19" s="29" t="n">
        <v>43101</v>
      </c>
      <c r="C19" s="38">
        <f>IF((VLOOKUP(B19,'DB PMI Manufacturing World'!$A:$AA,MATCH($C$1,'DB PMI Manufacturing World'!$A$1:$AA$1,),))=0,#N/A, (VLOOKUP(B19,'DB PMI Manufacturing World'!$A:$AA,MATCH($C$1,'DB PMI Manufacturing World'!$A$1:$AA$1,),)))</f>
        <v/>
      </c>
      <c r="D19" s="38">
        <f>IF((VLOOKUP(B19,'DB PMI Manufacturing World'!$A:$AA,MATCH($D$1,'DB PMI Manufacturing World'!$A$1:$AA$1,),))=0,#N/A, (VLOOKUP(B19,'DB PMI Manufacturing World'!$A:$AA,MATCH($D$1,'DB PMI Manufacturing World'!$A$1:$AA$1,),)))</f>
        <v/>
      </c>
      <c r="E19" s="38">
        <f>IF((VLOOKUP(B19,'DB PMI Manufacturing World'!$A:$AA,MATCH($E$1,'DB PMI Manufacturing World'!$A$1:$AA$1,),))=0,#N/A, (VLOOKUP(B19,'DB PMI Manufacturing World'!$A:$AA,MATCH($E$1,'DB PMI Manufacturing World'!$A$1:$AA$1,),)))</f>
        <v/>
      </c>
      <c r="F19" s="38">
        <f>IF((VLOOKUP(B19,'DB PMI Manufacturing World'!$A:$AA,MATCH($F$1,'DB PMI Manufacturing World'!$A$1:$AA$1,),))=0,#N/A, (VLOOKUP(B19,'DB PMI Manufacturing World'!$A:$AA,MATCH($F$1,'DB PMI Manufacturing World'!$A$1:$AA$1,),)))</f>
        <v/>
      </c>
      <c r="G19" s="38">
        <f>IF((VLOOKUP(B19,'DB PMI Manufacturing World'!$A:$AA,MATCH($G$1,'DB PMI Manufacturing World'!$A$1:$AA$1,),))=0,#N/A, (VLOOKUP(B19,'DB PMI Manufacturing World'!$A:$AA,MATCH($G$1,'DB PMI Manufacturing World'!$A$1:$AA$1,),)))</f>
        <v/>
      </c>
      <c r="H19" s="38">
        <f>IF((VLOOKUP(B19,'DB PMI Manufacturing World'!$A:$AA,MATCH($H$1,'DB PMI Manufacturing World'!$A$1:$AA$1,),))=0,#N/A, (VLOOKUP(B19,'DB PMI Manufacturing World'!$A:$AA,MATCH($H$1,'DB PMI Manufacturing World'!$A$1:$AA$1,),)))</f>
        <v/>
      </c>
      <c r="I19" s="38">
        <f>IF((VLOOKUP(B19,'DB PMI Manufacturing World'!$A:$AA,MATCH($I$1,'DB PMI Manufacturing World'!$A$1:$AA$1,),))=0,#N/A, (VLOOKUP(B19,'DB PMI Manufacturing World'!$A:$AA,MATCH($I$1,'DB PMI Manufacturing World'!$A$1:$AA$1,),)))</f>
        <v/>
      </c>
      <c r="J19" s="38">
        <f>IF((VLOOKUP(B19,'DB PMI Manufacturing World'!$A:$AA,MATCH($J$1,'DB PMI Manufacturing World'!$A$1:$AA$1,),))=0,#N/A, (VLOOKUP(B19,'DB PMI Manufacturing World'!$A:$AA,MATCH($J$1,'DB PMI Manufacturing World'!$A$1:$AA$1,),)))</f>
        <v/>
      </c>
      <c r="K19" s="38">
        <f>IF((VLOOKUP(B19,'DB PMI Manufacturing World'!$A:$AA,MATCH($K$1,'DB PMI Manufacturing World'!$A$1:$AA$1,),))=0,#N/A, (VLOOKUP(B19,'DB PMI Manufacturing World'!$A:$AA,MATCH($K$1,'DB PMI Manufacturing World'!$A$1:$AA$1,),)))</f>
        <v/>
      </c>
      <c r="L19" s="38">
        <f>IF((VLOOKUP(B19,'DB PMI Manufacturing World'!$A:$AA,MATCH($L$1,'DB PMI Manufacturing World'!$A$1:$AA$1,),))=0,#N/A, (VLOOKUP(B19,'DB PMI Manufacturing World'!$A:$AA,MATCH($L$1,'DB PMI Manufacturing World'!$A$1:$AA$1,),)))</f>
        <v/>
      </c>
      <c r="M19" s="38">
        <f>IF((VLOOKUP(B19,'DB PMI Manufacturing World'!$A:$AA,MATCH($M$1,'DB PMI Manufacturing World'!$A$1:$AA$1,),))=0,#N/A, (VLOOKUP(B19,'DB PMI Manufacturing World'!$A:$AA,MATCH($M$1,'DB PMI Manufacturing World'!$A$1:$AA$1,),)))</f>
        <v/>
      </c>
      <c r="N19" s="38">
        <f>IF((VLOOKUP(B19,'DB PMI Manufacturing World'!$A:$AA,MATCH($N$1,'DB PMI Manufacturing World'!$A$1:$AA$1,),))=0,#N/A, (VLOOKUP(B19,'DB PMI Manufacturing World'!$A:$AA,MATCH($N$1,'DB PMI Manufacturing World'!$A$1:$AA$1,),)))</f>
        <v/>
      </c>
      <c r="O19" s="38">
        <f>IF((VLOOKUP(B19,'DB PMI Manufacturing World'!$A:$AA,MATCH($O$1,'DB PMI Manufacturing World'!$A$1:$AA$1,),))=0,#N/A, (VLOOKUP(B19,'DB PMI Manufacturing World'!$A:$AA,MATCH($O$1,'DB PMI Manufacturing World'!$A$1:$AA$1,),)))</f>
        <v/>
      </c>
      <c r="P19" s="38">
        <f>IF((VLOOKUP(B19,'DB PMI Manufacturing World'!$A:$AA,MATCH($P$1,'DB PMI Manufacturing World'!$A$1:$AA$1,),))=0,#N/A, (VLOOKUP(B19,'DB PMI Manufacturing World'!$A:$AA,MATCH($P$1,'DB PMI Manufacturing World'!$A$1:$AA$1,),)))</f>
        <v/>
      </c>
      <c r="Q19" s="38">
        <f>IF((VLOOKUP(B19,'DB PMI Manufacturing World'!$A:$AA,MATCH($Q$1,'DB PMI Manufacturing World'!$A$1:$AA$1,),))=0,#N/A, (VLOOKUP(B19,'DB PMI Manufacturing World'!$A:$AA,MATCH($Q$1,'DB PMI Manufacturing World'!$A$1:$AA$1,),)))</f>
        <v/>
      </c>
      <c r="R19" s="38">
        <f>IF((VLOOKUP(B19,'DB PMI Manufacturing World'!$A:$AA,MATCH($R$1,'DB PMI Manufacturing World'!$A$1:$AA$1,),))=0,#N/A, (VLOOKUP(B19,'DB PMI Manufacturing World'!$A:$AA,MATCH($R$1,'DB PMI Manufacturing World'!$A$1:$AA$1,),)))</f>
        <v/>
      </c>
      <c r="S19" s="38">
        <f>IF((VLOOKUP(B19,'DB PMI Manufacturing World'!$A:$AA,MATCH($S$1,'DB PMI Manufacturing World'!$A$1:$AA$1,),))=0,#N/A, (VLOOKUP(B19,'DB PMI Manufacturing World'!$A:$AA,MATCH($S$1,'DB PMI Manufacturing World'!$A$1:$AA$1,),)))</f>
        <v/>
      </c>
      <c r="T19" s="38">
        <f>IF((VLOOKUP(B19,'DB PMI Manufacturing World'!$A:$AA,MATCH($T$1,'DB PMI Manufacturing World'!$A$1:$AA$1,),))=0,#N/A, (VLOOKUP(B19,'DB PMI Manufacturing World'!$A:$AA,MATCH($T$1,'DB PMI Manufacturing World'!$A$1:$AA$1,),)))</f>
        <v/>
      </c>
      <c r="U19" s="38">
        <f>IF((VLOOKUP(B19,'DB PMI Manufacturing World'!$A:$AA,MATCH($U$1,'DB PMI Manufacturing World'!$A$1:$AA$1,),))=0,#N/A, (VLOOKUP(B19,'DB PMI Manufacturing World'!$A:$AA,MATCH($U$1,'DB PMI Manufacturing World'!$A$1:$AA$1,),)))</f>
        <v/>
      </c>
      <c r="V19" s="38">
        <f>IF((VLOOKUP(B19,'DB PMI Manufacturing World'!$A:$AA,MATCH($V$1,'DB PMI Manufacturing World'!$A$1:$AA$1,),))=0,#N/A, (VLOOKUP(B19,'DB PMI Manufacturing World'!$A:$AA,MATCH($V$1,'DB PMI Manufacturing World'!$A$1:$AA$1,),)))</f>
        <v/>
      </c>
      <c r="W19" s="38">
        <f>IF((VLOOKUP(B19,'DB PMI Manufacturing World'!$A:$AA,MATCH($W$1,'DB PMI Manufacturing World'!$A$1:$AA$1,),))=0,#N/A, (VLOOKUP(B19,'DB PMI Manufacturing World'!$A:$AA,MATCH($W$1,'DB PMI Manufacturing World'!$A$1:$AA$1,),)))</f>
        <v/>
      </c>
      <c r="X19" s="38">
        <f>IF((VLOOKUP(B19,'DB PMI Manufacturing World'!$A:$AA,MATCH($X$1,'DB PMI Manufacturing World'!$A$1:$AA$1,),))=0,#N/A, (VLOOKUP(B19,'DB PMI Manufacturing World'!$A:$AA,MATCH($X$1,'DB PMI Manufacturing World'!$A$1:$AA$1,),)))</f>
        <v/>
      </c>
      <c r="Y19" s="38">
        <f>IF((VLOOKUP(B19,'DB PMI Manufacturing World'!$A:$AA,MATCH($Y$1,'DB PMI Manufacturing World'!$A$1:$AA$1,),))=0,#N/A, (VLOOKUP(B19,'DB PMI Manufacturing World'!$A:$AA,MATCH($Y$1,'DB PMI Manufacturing World'!$A$1:$AA$1,),)))</f>
        <v/>
      </c>
      <c r="Z19" s="38">
        <f>IF((VLOOKUP(B19,'DB PMI Manufacturing World'!$A:$AA,MATCH($Z$1,'DB PMI Manufacturing World'!$A$1:$AA$1,),))=0,#N/A, (VLOOKUP(B19,'DB PMI Manufacturing World'!$A:$AA,MATCH($Z$1,'DB PMI Manufacturing World'!$A$1:$AA$1,),)))</f>
        <v/>
      </c>
      <c r="AA19" s="38">
        <f>IF((VLOOKUP(B19,'DB PMI Manufacturing World'!$A:$AA,MATCH($AA$1,'DB PMI Manufacturing World'!$A$1:$AA$1,),))=0,#N/A, (VLOOKUP(B19,'DB PMI Manufacturing World'!$A:$AA,MATCH($AA$1,'DB PMI Manufacturing World'!$A$1:$AA$1,),)))</f>
        <v/>
      </c>
      <c r="AB19" s="38">
        <f>IF((VLOOKUP(B19,'DB PMI Manufacturing World'!$A:$AA,MATCH($AB$1,'DB PMI Manufacturing World'!$A$1:$AA$1,),))=0,#N/A, (VLOOKUP(B19,'DB PMI Manufacturing World'!$A:$AA,MATCH($AB$1,'DB PMI Manufacturing World'!$A$1:$AA$1,),)))</f>
        <v/>
      </c>
    </row>
    <row r="20">
      <c r="B20" s="29" t="n">
        <v>43132</v>
      </c>
      <c r="C20" s="38">
        <f>IF((VLOOKUP(B20,'DB PMI Manufacturing World'!$A:$AA,MATCH($C$1,'DB PMI Manufacturing World'!$A$1:$AA$1,),))=0,#N/A, (VLOOKUP(B20,'DB PMI Manufacturing World'!$A:$AA,MATCH($C$1,'DB PMI Manufacturing World'!$A$1:$AA$1,),)))</f>
        <v/>
      </c>
      <c r="D20" s="38">
        <f>IF((VLOOKUP(B20,'DB PMI Manufacturing World'!$A:$AA,MATCH($D$1,'DB PMI Manufacturing World'!$A$1:$AA$1,),))=0,#N/A, (VLOOKUP(B20,'DB PMI Manufacturing World'!$A:$AA,MATCH($D$1,'DB PMI Manufacturing World'!$A$1:$AA$1,),)))</f>
        <v/>
      </c>
      <c r="E20" s="38">
        <f>IF((VLOOKUP(B20,'DB PMI Manufacturing World'!$A:$AA,MATCH($E$1,'DB PMI Manufacturing World'!$A$1:$AA$1,),))=0,#N/A, (VLOOKUP(B20,'DB PMI Manufacturing World'!$A:$AA,MATCH($E$1,'DB PMI Manufacturing World'!$A$1:$AA$1,),)))</f>
        <v/>
      </c>
      <c r="F20" s="38">
        <f>IF((VLOOKUP(B20,'DB PMI Manufacturing World'!$A:$AA,MATCH($F$1,'DB PMI Manufacturing World'!$A$1:$AA$1,),))=0,#N/A, (VLOOKUP(B20,'DB PMI Manufacturing World'!$A:$AA,MATCH($F$1,'DB PMI Manufacturing World'!$A$1:$AA$1,),)))</f>
        <v/>
      </c>
      <c r="G20" s="38">
        <f>IF((VLOOKUP(B20,'DB PMI Manufacturing World'!$A:$AA,MATCH($G$1,'DB PMI Manufacturing World'!$A$1:$AA$1,),))=0,#N/A, (VLOOKUP(B20,'DB PMI Manufacturing World'!$A:$AA,MATCH($G$1,'DB PMI Manufacturing World'!$A$1:$AA$1,),)))</f>
        <v/>
      </c>
      <c r="H20" s="38">
        <f>IF((VLOOKUP(B20,'DB PMI Manufacturing World'!$A:$AA,MATCH($H$1,'DB PMI Manufacturing World'!$A$1:$AA$1,),))=0,#N/A, (VLOOKUP(B20,'DB PMI Manufacturing World'!$A:$AA,MATCH($H$1,'DB PMI Manufacturing World'!$A$1:$AA$1,),)))</f>
        <v/>
      </c>
      <c r="I20" s="38">
        <f>IF((VLOOKUP(B20,'DB PMI Manufacturing World'!$A:$AA,MATCH($I$1,'DB PMI Manufacturing World'!$A$1:$AA$1,),))=0,#N/A, (VLOOKUP(B20,'DB PMI Manufacturing World'!$A:$AA,MATCH($I$1,'DB PMI Manufacturing World'!$A$1:$AA$1,),)))</f>
        <v/>
      </c>
      <c r="J20" s="38">
        <f>IF((VLOOKUP(B20,'DB PMI Manufacturing World'!$A:$AA,MATCH($J$1,'DB PMI Manufacturing World'!$A$1:$AA$1,),))=0,#N/A, (VLOOKUP(B20,'DB PMI Manufacturing World'!$A:$AA,MATCH($J$1,'DB PMI Manufacturing World'!$A$1:$AA$1,),)))</f>
        <v/>
      </c>
      <c r="K20" s="38">
        <f>IF((VLOOKUP(B20,'DB PMI Manufacturing World'!$A:$AA,MATCH($K$1,'DB PMI Manufacturing World'!$A$1:$AA$1,),))=0,#N/A, (VLOOKUP(B20,'DB PMI Manufacturing World'!$A:$AA,MATCH($K$1,'DB PMI Manufacturing World'!$A$1:$AA$1,),)))</f>
        <v/>
      </c>
      <c r="L20" s="38">
        <f>IF((VLOOKUP(B20,'DB PMI Manufacturing World'!$A:$AA,MATCH($L$1,'DB PMI Manufacturing World'!$A$1:$AA$1,),))=0,#N/A, (VLOOKUP(B20,'DB PMI Manufacturing World'!$A:$AA,MATCH($L$1,'DB PMI Manufacturing World'!$A$1:$AA$1,),)))</f>
        <v/>
      </c>
      <c r="M20" s="38">
        <f>IF((VLOOKUP(B20,'DB PMI Manufacturing World'!$A:$AA,MATCH($M$1,'DB PMI Manufacturing World'!$A$1:$AA$1,),))=0,#N/A, (VLOOKUP(B20,'DB PMI Manufacturing World'!$A:$AA,MATCH($M$1,'DB PMI Manufacturing World'!$A$1:$AA$1,),)))</f>
        <v/>
      </c>
      <c r="N20" s="38">
        <f>IF((VLOOKUP(B20,'DB PMI Manufacturing World'!$A:$AA,MATCH($N$1,'DB PMI Manufacturing World'!$A$1:$AA$1,),))=0,#N/A, (VLOOKUP(B20,'DB PMI Manufacturing World'!$A:$AA,MATCH($N$1,'DB PMI Manufacturing World'!$A$1:$AA$1,),)))</f>
        <v/>
      </c>
      <c r="O20" s="38">
        <f>IF((VLOOKUP(B20,'DB PMI Manufacturing World'!$A:$AA,MATCH($O$1,'DB PMI Manufacturing World'!$A$1:$AA$1,),))=0,#N/A, (VLOOKUP(B20,'DB PMI Manufacturing World'!$A:$AA,MATCH($O$1,'DB PMI Manufacturing World'!$A$1:$AA$1,),)))</f>
        <v/>
      </c>
      <c r="P20" s="38">
        <f>IF((VLOOKUP(B20,'DB PMI Manufacturing World'!$A:$AA,MATCH($P$1,'DB PMI Manufacturing World'!$A$1:$AA$1,),))=0,#N/A, (VLOOKUP(B20,'DB PMI Manufacturing World'!$A:$AA,MATCH($P$1,'DB PMI Manufacturing World'!$A$1:$AA$1,),)))</f>
        <v/>
      </c>
      <c r="Q20" s="38">
        <f>IF((VLOOKUP(B20,'DB PMI Manufacturing World'!$A:$AA,MATCH($Q$1,'DB PMI Manufacturing World'!$A$1:$AA$1,),))=0,#N/A, (VLOOKUP(B20,'DB PMI Manufacturing World'!$A:$AA,MATCH($Q$1,'DB PMI Manufacturing World'!$A$1:$AA$1,),)))</f>
        <v/>
      </c>
      <c r="R20" s="38">
        <f>IF((VLOOKUP(B20,'DB PMI Manufacturing World'!$A:$AA,MATCH($R$1,'DB PMI Manufacturing World'!$A$1:$AA$1,),))=0,#N/A, (VLOOKUP(B20,'DB PMI Manufacturing World'!$A:$AA,MATCH($R$1,'DB PMI Manufacturing World'!$A$1:$AA$1,),)))</f>
        <v/>
      </c>
      <c r="S20" s="38">
        <f>IF((VLOOKUP(B20,'DB PMI Manufacturing World'!$A:$AA,MATCH($S$1,'DB PMI Manufacturing World'!$A$1:$AA$1,),))=0,#N/A, (VLOOKUP(B20,'DB PMI Manufacturing World'!$A:$AA,MATCH($S$1,'DB PMI Manufacturing World'!$A$1:$AA$1,),)))</f>
        <v/>
      </c>
      <c r="T20" s="38">
        <f>IF((VLOOKUP(B20,'DB PMI Manufacturing World'!$A:$AA,MATCH($T$1,'DB PMI Manufacturing World'!$A$1:$AA$1,),))=0,#N/A, (VLOOKUP(B20,'DB PMI Manufacturing World'!$A:$AA,MATCH($T$1,'DB PMI Manufacturing World'!$A$1:$AA$1,),)))</f>
        <v/>
      </c>
      <c r="U20" s="38">
        <f>IF((VLOOKUP(B20,'DB PMI Manufacturing World'!$A:$AA,MATCH($U$1,'DB PMI Manufacturing World'!$A$1:$AA$1,),))=0,#N/A, (VLOOKUP(B20,'DB PMI Manufacturing World'!$A:$AA,MATCH($U$1,'DB PMI Manufacturing World'!$A$1:$AA$1,),)))</f>
        <v/>
      </c>
      <c r="V20" s="38">
        <f>IF((VLOOKUP(B20,'DB PMI Manufacturing World'!$A:$AA,MATCH($V$1,'DB PMI Manufacturing World'!$A$1:$AA$1,),))=0,#N/A, (VLOOKUP(B20,'DB PMI Manufacturing World'!$A:$AA,MATCH($V$1,'DB PMI Manufacturing World'!$A$1:$AA$1,),)))</f>
        <v/>
      </c>
      <c r="W20" s="38">
        <f>IF((VLOOKUP(B20,'DB PMI Manufacturing World'!$A:$AA,MATCH($W$1,'DB PMI Manufacturing World'!$A$1:$AA$1,),))=0,#N/A, (VLOOKUP(B20,'DB PMI Manufacturing World'!$A:$AA,MATCH($W$1,'DB PMI Manufacturing World'!$A$1:$AA$1,),)))</f>
        <v/>
      </c>
      <c r="X20" s="38">
        <f>IF((VLOOKUP(B20,'DB PMI Manufacturing World'!$A:$AA,MATCH($X$1,'DB PMI Manufacturing World'!$A$1:$AA$1,),))=0,#N/A, (VLOOKUP(B20,'DB PMI Manufacturing World'!$A:$AA,MATCH($X$1,'DB PMI Manufacturing World'!$A$1:$AA$1,),)))</f>
        <v/>
      </c>
      <c r="Y20" s="38">
        <f>IF((VLOOKUP(B20,'DB PMI Manufacturing World'!$A:$AA,MATCH($Y$1,'DB PMI Manufacturing World'!$A$1:$AA$1,),))=0,#N/A, (VLOOKUP(B20,'DB PMI Manufacturing World'!$A:$AA,MATCH($Y$1,'DB PMI Manufacturing World'!$A$1:$AA$1,),)))</f>
        <v/>
      </c>
      <c r="Z20" s="38">
        <f>IF((VLOOKUP(B20,'DB PMI Manufacturing World'!$A:$AA,MATCH($Z$1,'DB PMI Manufacturing World'!$A$1:$AA$1,),))=0,#N/A, (VLOOKUP(B20,'DB PMI Manufacturing World'!$A:$AA,MATCH($Z$1,'DB PMI Manufacturing World'!$A$1:$AA$1,),)))</f>
        <v/>
      </c>
      <c r="AA20" s="38">
        <f>IF((VLOOKUP(B20,'DB PMI Manufacturing World'!$A:$AA,MATCH($AA$1,'DB PMI Manufacturing World'!$A$1:$AA$1,),))=0,#N/A, (VLOOKUP(B20,'DB PMI Manufacturing World'!$A:$AA,MATCH($AA$1,'DB PMI Manufacturing World'!$A$1:$AA$1,),)))</f>
        <v/>
      </c>
      <c r="AB20" s="38">
        <f>IF((VLOOKUP(B20,'DB PMI Manufacturing World'!$A:$AA,MATCH($AB$1,'DB PMI Manufacturing World'!$A$1:$AA$1,),))=0,#N/A, (VLOOKUP(B20,'DB PMI Manufacturing World'!$A:$AA,MATCH($AB$1,'DB PMI Manufacturing World'!$A$1:$AA$1,),)))</f>
        <v/>
      </c>
    </row>
    <row r="21">
      <c r="B21" s="29" t="n">
        <v>43160</v>
      </c>
      <c r="C21" s="38">
        <f>IF((VLOOKUP(B21,'DB PMI Manufacturing World'!$A:$AA,MATCH($C$1,'DB PMI Manufacturing World'!$A$1:$AA$1,),))=0,#N/A, (VLOOKUP(B21,'DB PMI Manufacturing World'!$A:$AA,MATCH($C$1,'DB PMI Manufacturing World'!$A$1:$AA$1,),)))</f>
        <v/>
      </c>
      <c r="D21" s="38">
        <f>IF((VLOOKUP(B21,'DB PMI Manufacturing World'!$A:$AA,MATCH($D$1,'DB PMI Manufacturing World'!$A$1:$AA$1,),))=0,#N/A, (VLOOKUP(B21,'DB PMI Manufacturing World'!$A:$AA,MATCH($D$1,'DB PMI Manufacturing World'!$A$1:$AA$1,),)))</f>
        <v/>
      </c>
      <c r="E21" s="38">
        <f>IF((VLOOKUP(B21,'DB PMI Manufacturing World'!$A:$AA,MATCH($E$1,'DB PMI Manufacturing World'!$A$1:$AA$1,),))=0,#N/A, (VLOOKUP(B21,'DB PMI Manufacturing World'!$A:$AA,MATCH($E$1,'DB PMI Manufacturing World'!$A$1:$AA$1,),)))</f>
        <v/>
      </c>
      <c r="F21" s="38">
        <f>IF((VLOOKUP(B21,'DB PMI Manufacturing World'!$A:$AA,MATCH($F$1,'DB PMI Manufacturing World'!$A$1:$AA$1,),))=0,#N/A, (VLOOKUP(B21,'DB PMI Manufacturing World'!$A:$AA,MATCH($F$1,'DB PMI Manufacturing World'!$A$1:$AA$1,),)))</f>
        <v/>
      </c>
      <c r="G21" s="38">
        <f>IF((VLOOKUP(B21,'DB PMI Manufacturing World'!$A:$AA,MATCH($G$1,'DB PMI Manufacturing World'!$A$1:$AA$1,),))=0,#N/A, (VLOOKUP(B21,'DB PMI Manufacturing World'!$A:$AA,MATCH($G$1,'DB PMI Manufacturing World'!$A$1:$AA$1,),)))</f>
        <v/>
      </c>
      <c r="H21" s="38">
        <f>IF((VLOOKUP(B21,'DB PMI Manufacturing World'!$A:$AA,MATCH($H$1,'DB PMI Manufacturing World'!$A$1:$AA$1,),))=0,#N/A, (VLOOKUP(B21,'DB PMI Manufacturing World'!$A:$AA,MATCH($H$1,'DB PMI Manufacturing World'!$A$1:$AA$1,),)))</f>
        <v/>
      </c>
      <c r="I21" s="38">
        <f>IF((VLOOKUP(B21,'DB PMI Manufacturing World'!$A:$AA,MATCH($I$1,'DB PMI Manufacturing World'!$A$1:$AA$1,),))=0,#N/A, (VLOOKUP(B21,'DB PMI Manufacturing World'!$A:$AA,MATCH($I$1,'DB PMI Manufacturing World'!$A$1:$AA$1,),)))</f>
        <v/>
      </c>
      <c r="J21" s="38">
        <f>IF((VLOOKUP(B21,'DB PMI Manufacturing World'!$A:$AA,MATCH($J$1,'DB PMI Manufacturing World'!$A$1:$AA$1,),))=0,#N/A, (VLOOKUP(B21,'DB PMI Manufacturing World'!$A:$AA,MATCH($J$1,'DB PMI Manufacturing World'!$A$1:$AA$1,),)))</f>
        <v/>
      </c>
      <c r="K21" s="38">
        <f>IF((VLOOKUP(B21,'DB PMI Manufacturing World'!$A:$AA,MATCH($K$1,'DB PMI Manufacturing World'!$A$1:$AA$1,),))=0,#N/A, (VLOOKUP(B21,'DB PMI Manufacturing World'!$A:$AA,MATCH($K$1,'DB PMI Manufacturing World'!$A$1:$AA$1,),)))</f>
        <v/>
      </c>
      <c r="L21" s="38">
        <f>IF((VLOOKUP(B21,'DB PMI Manufacturing World'!$A:$AA,MATCH($L$1,'DB PMI Manufacturing World'!$A$1:$AA$1,),))=0,#N/A, (VLOOKUP(B21,'DB PMI Manufacturing World'!$A:$AA,MATCH($L$1,'DB PMI Manufacturing World'!$A$1:$AA$1,),)))</f>
        <v/>
      </c>
      <c r="M21" s="38">
        <f>IF((VLOOKUP(B21,'DB PMI Manufacturing World'!$A:$AA,MATCH($M$1,'DB PMI Manufacturing World'!$A$1:$AA$1,),))=0,#N/A, (VLOOKUP(B21,'DB PMI Manufacturing World'!$A:$AA,MATCH($M$1,'DB PMI Manufacturing World'!$A$1:$AA$1,),)))</f>
        <v/>
      </c>
      <c r="N21" s="38">
        <f>IF((VLOOKUP(B21,'DB PMI Manufacturing World'!$A:$AA,MATCH($N$1,'DB PMI Manufacturing World'!$A$1:$AA$1,),))=0,#N/A, (VLOOKUP(B21,'DB PMI Manufacturing World'!$A:$AA,MATCH($N$1,'DB PMI Manufacturing World'!$A$1:$AA$1,),)))</f>
        <v/>
      </c>
      <c r="O21" s="38">
        <f>IF((VLOOKUP(B21,'DB PMI Manufacturing World'!$A:$AA,MATCH($O$1,'DB PMI Manufacturing World'!$A$1:$AA$1,),))=0,#N/A, (VLOOKUP(B21,'DB PMI Manufacturing World'!$A:$AA,MATCH($O$1,'DB PMI Manufacturing World'!$A$1:$AA$1,),)))</f>
        <v/>
      </c>
      <c r="P21" s="38">
        <f>IF((VLOOKUP(B21,'DB PMI Manufacturing World'!$A:$AA,MATCH($P$1,'DB PMI Manufacturing World'!$A$1:$AA$1,),))=0,#N/A, (VLOOKUP(B21,'DB PMI Manufacturing World'!$A:$AA,MATCH($P$1,'DB PMI Manufacturing World'!$A$1:$AA$1,),)))</f>
        <v/>
      </c>
      <c r="Q21" s="38">
        <f>IF((VLOOKUP(B21,'DB PMI Manufacturing World'!$A:$AA,MATCH($Q$1,'DB PMI Manufacturing World'!$A$1:$AA$1,),))=0,#N/A, (VLOOKUP(B21,'DB PMI Manufacturing World'!$A:$AA,MATCH($Q$1,'DB PMI Manufacturing World'!$A$1:$AA$1,),)))</f>
        <v/>
      </c>
      <c r="R21" s="38">
        <f>IF((VLOOKUP(B21,'DB PMI Manufacturing World'!$A:$AA,MATCH($R$1,'DB PMI Manufacturing World'!$A$1:$AA$1,),))=0,#N/A, (VLOOKUP(B21,'DB PMI Manufacturing World'!$A:$AA,MATCH($R$1,'DB PMI Manufacturing World'!$A$1:$AA$1,),)))</f>
        <v/>
      </c>
      <c r="S21" s="38">
        <f>IF((VLOOKUP(B21,'DB PMI Manufacturing World'!$A:$AA,MATCH($S$1,'DB PMI Manufacturing World'!$A$1:$AA$1,),))=0,#N/A, (VLOOKUP(B21,'DB PMI Manufacturing World'!$A:$AA,MATCH($S$1,'DB PMI Manufacturing World'!$A$1:$AA$1,),)))</f>
        <v/>
      </c>
      <c r="T21" s="38">
        <f>IF((VLOOKUP(B21,'DB PMI Manufacturing World'!$A:$AA,MATCH($T$1,'DB PMI Manufacturing World'!$A$1:$AA$1,),))=0,#N/A, (VLOOKUP(B21,'DB PMI Manufacturing World'!$A:$AA,MATCH($T$1,'DB PMI Manufacturing World'!$A$1:$AA$1,),)))</f>
        <v/>
      </c>
      <c r="U21" s="38">
        <f>IF((VLOOKUP(B21,'DB PMI Manufacturing World'!$A:$AA,MATCH($U$1,'DB PMI Manufacturing World'!$A$1:$AA$1,),))=0,#N/A, (VLOOKUP(B21,'DB PMI Manufacturing World'!$A:$AA,MATCH($U$1,'DB PMI Manufacturing World'!$A$1:$AA$1,),)))</f>
        <v/>
      </c>
      <c r="V21" s="38">
        <f>IF((VLOOKUP(B21,'DB PMI Manufacturing World'!$A:$AA,MATCH($V$1,'DB PMI Manufacturing World'!$A$1:$AA$1,),))=0,#N/A, (VLOOKUP(B21,'DB PMI Manufacturing World'!$A:$AA,MATCH($V$1,'DB PMI Manufacturing World'!$A$1:$AA$1,),)))</f>
        <v/>
      </c>
      <c r="W21" s="38">
        <f>IF((VLOOKUP(B21,'DB PMI Manufacturing World'!$A:$AA,MATCH($W$1,'DB PMI Manufacturing World'!$A$1:$AA$1,),))=0,#N/A, (VLOOKUP(B21,'DB PMI Manufacturing World'!$A:$AA,MATCH($W$1,'DB PMI Manufacturing World'!$A$1:$AA$1,),)))</f>
        <v/>
      </c>
      <c r="X21" s="38">
        <f>IF((VLOOKUP(B21,'DB PMI Manufacturing World'!$A:$AA,MATCH($X$1,'DB PMI Manufacturing World'!$A$1:$AA$1,),))=0,#N/A, (VLOOKUP(B21,'DB PMI Manufacturing World'!$A:$AA,MATCH($X$1,'DB PMI Manufacturing World'!$A$1:$AA$1,),)))</f>
        <v/>
      </c>
      <c r="Y21" s="38">
        <f>IF((VLOOKUP(B21,'DB PMI Manufacturing World'!$A:$AA,MATCH($Y$1,'DB PMI Manufacturing World'!$A$1:$AA$1,),))=0,#N/A, (VLOOKUP(B21,'DB PMI Manufacturing World'!$A:$AA,MATCH($Y$1,'DB PMI Manufacturing World'!$A$1:$AA$1,),)))</f>
        <v/>
      </c>
      <c r="Z21" s="38">
        <f>IF((VLOOKUP(B21,'DB PMI Manufacturing World'!$A:$AA,MATCH($Z$1,'DB PMI Manufacturing World'!$A$1:$AA$1,),))=0,#N/A, (VLOOKUP(B21,'DB PMI Manufacturing World'!$A:$AA,MATCH($Z$1,'DB PMI Manufacturing World'!$A$1:$AA$1,),)))</f>
        <v/>
      </c>
      <c r="AA21" s="38">
        <f>IF((VLOOKUP(B21,'DB PMI Manufacturing World'!$A:$AA,MATCH($AA$1,'DB PMI Manufacturing World'!$A$1:$AA$1,),))=0,#N/A, (VLOOKUP(B21,'DB PMI Manufacturing World'!$A:$AA,MATCH($AA$1,'DB PMI Manufacturing World'!$A$1:$AA$1,),)))</f>
        <v/>
      </c>
      <c r="AB21" s="38">
        <f>IF((VLOOKUP(B21,'DB PMI Manufacturing World'!$A:$AA,MATCH($AB$1,'DB PMI Manufacturing World'!$A$1:$AA$1,),))=0,#N/A, (VLOOKUP(B21,'DB PMI Manufacturing World'!$A:$AA,MATCH($AB$1,'DB PMI Manufacturing World'!$A$1:$AA$1,),)))</f>
        <v/>
      </c>
    </row>
    <row r="22">
      <c r="B22" s="29" t="n">
        <v>43191</v>
      </c>
      <c r="C22" s="38">
        <f>IF((VLOOKUP(B22,'DB PMI Manufacturing World'!$A:$AA,MATCH($C$1,'DB PMI Manufacturing World'!$A$1:$AA$1,),))=0,#N/A, (VLOOKUP(B22,'DB PMI Manufacturing World'!$A:$AA,MATCH($C$1,'DB PMI Manufacturing World'!$A$1:$AA$1,),)))</f>
        <v/>
      </c>
      <c r="D22" s="38">
        <f>IF((VLOOKUP(B22,'DB PMI Manufacturing World'!$A:$AA,MATCH($D$1,'DB PMI Manufacturing World'!$A$1:$AA$1,),))=0,#N/A, (VLOOKUP(B22,'DB PMI Manufacturing World'!$A:$AA,MATCH($D$1,'DB PMI Manufacturing World'!$A$1:$AA$1,),)))</f>
        <v/>
      </c>
      <c r="E22" s="38">
        <f>IF((VLOOKUP(B22,'DB PMI Manufacturing World'!$A:$AA,MATCH($E$1,'DB PMI Manufacturing World'!$A$1:$AA$1,),))=0,#N/A, (VLOOKUP(B22,'DB PMI Manufacturing World'!$A:$AA,MATCH($E$1,'DB PMI Manufacturing World'!$A$1:$AA$1,),)))</f>
        <v/>
      </c>
      <c r="F22" s="38">
        <f>IF((VLOOKUP(B22,'DB PMI Manufacturing World'!$A:$AA,MATCH($F$1,'DB PMI Manufacturing World'!$A$1:$AA$1,),))=0,#N/A, (VLOOKUP(B22,'DB PMI Manufacturing World'!$A:$AA,MATCH($F$1,'DB PMI Manufacturing World'!$A$1:$AA$1,),)))</f>
        <v/>
      </c>
      <c r="G22" s="38">
        <f>IF((VLOOKUP(B22,'DB PMI Manufacturing World'!$A:$AA,MATCH($G$1,'DB PMI Manufacturing World'!$A$1:$AA$1,),))=0,#N/A, (VLOOKUP(B22,'DB PMI Manufacturing World'!$A:$AA,MATCH($G$1,'DB PMI Manufacturing World'!$A$1:$AA$1,),)))</f>
        <v/>
      </c>
      <c r="H22" s="38">
        <f>IF((VLOOKUP(B22,'DB PMI Manufacturing World'!$A:$AA,MATCH($H$1,'DB PMI Manufacturing World'!$A$1:$AA$1,),))=0,#N/A, (VLOOKUP(B22,'DB PMI Manufacturing World'!$A:$AA,MATCH($H$1,'DB PMI Manufacturing World'!$A$1:$AA$1,),)))</f>
        <v/>
      </c>
      <c r="I22" s="38">
        <f>IF((VLOOKUP(B22,'DB PMI Manufacturing World'!$A:$AA,MATCH($I$1,'DB PMI Manufacturing World'!$A$1:$AA$1,),))=0,#N/A, (VLOOKUP(B22,'DB PMI Manufacturing World'!$A:$AA,MATCH($I$1,'DB PMI Manufacturing World'!$A$1:$AA$1,),)))</f>
        <v/>
      </c>
      <c r="J22" s="38">
        <f>IF((VLOOKUP(B22,'DB PMI Manufacturing World'!$A:$AA,MATCH($J$1,'DB PMI Manufacturing World'!$A$1:$AA$1,),))=0,#N/A, (VLOOKUP(B22,'DB PMI Manufacturing World'!$A:$AA,MATCH($J$1,'DB PMI Manufacturing World'!$A$1:$AA$1,),)))</f>
        <v/>
      </c>
      <c r="K22" s="38">
        <f>IF((VLOOKUP(B22,'DB PMI Manufacturing World'!$A:$AA,MATCH($K$1,'DB PMI Manufacturing World'!$A$1:$AA$1,),))=0,#N/A, (VLOOKUP(B22,'DB PMI Manufacturing World'!$A:$AA,MATCH($K$1,'DB PMI Manufacturing World'!$A$1:$AA$1,),)))</f>
        <v/>
      </c>
      <c r="L22" s="38">
        <f>IF((VLOOKUP(B22,'DB PMI Manufacturing World'!$A:$AA,MATCH($L$1,'DB PMI Manufacturing World'!$A$1:$AA$1,),))=0,#N/A, (VLOOKUP(B22,'DB PMI Manufacturing World'!$A:$AA,MATCH($L$1,'DB PMI Manufacturing World'!$A$1:$AA$1,),)))</f>
        <v/>
      </c>
      <c r="M22" s="38">
        <f>IF((VLOOKUP(B22,'DB PMI Manufacturing World'!$A:$AA,MATCH($M$1,'DB PMI Manufacturing World'!$A$1:$AA$1,),))=0,#N/A, (VLOOKUP(B22,'DB PMI Manufacturing World'!$A:$AA,MATCH($M$1,'DB PMI Manufacturing World'!$A$1:$AA$1,),)))</f>
        <v/>
      </c>
      <c r="N22" s="38">
        <f>IF((VLOOKUP(B22,'DB PMI Manufacturing World'!$A:$AA,MATCH($N$1,'DB PMI Manufacturing World'!$A$1:$AA$1,),))=0,#N/A, (VLOOKUP(B22,'DB PMI Manufacturing World'!$A:$AA,MATCH($N$1,'DB PMI Manufacturing World'!$A$1:$AA$1,),)))</f>
        <v/>
      </c>
      <c r="O22" s="38">
        <f>IF((VLOOKUP(B22,'DB PMI Manufacturing World'!$A:$AA,MATCH($O$1,'DB PMI Manufacturing World'!$A$1:$AA$1,),))=0,#N/A, (VLOOKUP(B22,'DB PMI Manufacturing World'!$A:$AA,MATCH($O$1,'DB PMI Manufacturing World'!$A$1:$AA$1,),)))</f>
        <v/>
      </c>
      <c r="P22" s="38">
        <f>IF((VLOOKUP(B22,'DB PMI Manufacturing World'!$A:$AA,MATCH($P$1,'DB PMI Manufacturing World'!$A$1:$AA$1,),))=0,#N/A, (VLOOKUP(B22,'DB PMI Manufacturing World'!$A:$AA,MATCH($P$1,'DB PMI Manufacturing World'!$A$1:$AA$1,),)))</f>
        <v/>
      </c>
      <c r="Q22" s="38">
        <f>IF((VLOOKUP(B22,'DB PMI Manufacturing World'!$A:$AA,MATCH($Q$1,'DB PMI Manufacturing World'!$A$1:$AA$1,),))=0,#N/A, (VLOOKUP(B22,'DB PMI Manufacturing World'!$A:$AA,MATCH($Q$1,'DB PMI Manufacturing World'!$A$1:$AA$1,),)))</f>
        <v/>
      </c>
      <c r="R22" s="38">
        <f>IF((VLOOKUP(B22,'DB PMI Manufacturing World'!$A:$AA,MATCH($R$1,'DB PMI Manufacturing World'!$A$1:$AA$1,),))=0,#N/A, (VLOOKUP(B22,'DB PMI Manufacturing World'!$A:$AA,MATCH($R$1,'DB PMI Manufacturing World'!$A$1:$AA$1,),)))</f>
        <v/>
      </c>
      <c r="S22" s="38">
        <f>IF((VLOOKUP(B22,'DB PMI Manufacturing World'!$A:$AA,MATCH($S$1,'DB PMI Manufacturing World'!$A$1:$AA$1,),))=0,#N/A, (VLOOKUP(B22,'DB PMI Manufacturing World'!$A:$AA,MATCH($S$1,'DB PMI Manufacturing World'!$A$1:$AA$1,),)))</f>
        <v/>
      </c>
      <c r="T22" s="38">
        <f>IF((VLOOKUP(B22,'DB PMI Manufacturing World'!$A:$AA,MATCH($T$1,'DB PMI Manufacturing World'!$A$1:$AA$1,),))=0,#N/A, (VLOOKUP(B22,'DB PMI Manufacturing World'!$A:$AA,MATCH($T$1,'DB PMI Manufacturing World'!$A$1:$AA$1,),)))</f>
        <v/>
      </c>
      <c r="U22" s="38">
        <f>IF((VLOOKUP(B22,'DB PMI Manufacturing World'!$A:$AA,MATCH($U$1,'DB PMI Manufacturing World'!$A$1:$AA$1,),))=0,#N/A, (VLOOKUP(B22,'DB PMI Manufacturing World'!$A:$AA,MATCH($U$1,'DB PMI Manufacturing World'!$A$1:$AA$1,),)))</f>
        <v/>
      </c>
      <c r="V22" s="38">
        <f>IF((VLOOKUP(B22,'DB PMI Manufacturing World'!$A:$AA,MATCH($V$1,'DB PMI Manufacturing World'!$A$1:$AA$1,),))=0,#N/A, (VLOOKUP(B22,'DB PMI Manufacturing World'!$A:$AA,MATCH($V$1,'DB PMI Manufacturing World'!$A$1:$AA$1,),)))</f>
        <v/>
      </c>
      <c r="W22" s="38">
        <f>IF((VLOOKUP(B22,'DB PMI Manufacturing World'!$A:$AA,MATCH($W$1,'DB PMI Manufacturing World'!$A$1:$AA$1,),))=0,#N/A, (VLOOKUP(B22,'DB PMI Manufacturing World'!$A:$AA,MATCH($W$1,'DB PMI Manufacturing World'!$A$1:$AA$1,),)))</f>
        <v/>
      </c>
      <c r="X22" s="38">
        <f>IF((VLOOKUP(B22,'DB PMI Manufacturing World'!$A:$AA,MATCH($X$1,'DB PMI Manufacturing World'!$A$1:$AA$1,),))=0,#N/A, (VLOOKUP(B22,'DB PMI Manufacturing World'!$A:$AA,MATCH($X$1,'DB PMI Manufacturing World'!$A$1:$AA$1,),)))</f>
        <v/>
      </c>
      <c r="Y22" s="38">
        <f>IF((VLOOKUP(B22,'DB PMI Manufacturing World'!$A:$AA,MATCH($Y$1,'DB PMI Manufacturing World'!$A$1:$AA$1,),))=0,#N/A, (VLOOKUP(B22,'DB PMI Manufacturing World'!$A:$AA,MATCH($Y$1,'DB PMI Manufacturing World'!$A$1:$AA$1,),)))</f>
        <v/>
      </c>
      <c r="Z22" s="38">
        <f>IF((VLOOKUP(B22,'DB PMI Manufacturing World'!$A:$AA,MATCH($Z$1,'DB PMI Manufacturing World'!$A$1:$AA$1,),))=0,#N/A, (VLOOKUP(B22,'DB PMI Manufacturing World'!$A:$AA,MATCH($Z$1,'DB PMI Manufacturing World'!$A$1:$AA$1,),)))</f>
        <v/>
      </c>
      <c r="AA22" s="38">
        <f>IF((VLOOKUP(B22,'DB PMI Manufacturing World'!$A:$AA,MATCH($AA$1,'DB PMI Manufacturing World'!$A$1:$AA$1,),))=0,#N/A, (VLOOKUP(B22,'DB PMI Manufacturing World'!$A:$AA,MATCH($AA$1,'DB PMI Manufacturing World'!$A$1:$AA$1,),)))</f>
        <v/>
      </c>
      <c r="AB22" s="38">
        <f>IF((VLOOKUP(B22,'DB PMI Manufacturing World'!$A:$AA,MATCH($AB$1,'DB PMI Manufacturing World'!$A$1:$AA$1,),))=0,#N/A, (VLOOKUP(B22,'DB PMI Manufacturing World'!$A:$AA,MATCH($AB$1,'DB PMI Manufacturing World'!$A$1:$AA$1,),)))</f>
        <v/>
      </c>
    </row>
    <row r="23">
      <c r="B23" s="29" t="n">
        <v>43221</v>
      </c>
      <c r="C23" s="38">
        <f>IF((VLOOKUP(B23,'DB PMI Manufacturing World'!$A:$AA,MATCH($C$1,'DB PMI Manufacturing World'!$A$1:$AA$1,),))=0,#N/A, (VLOOKUP(B23,'DB PMI Manufacturing World'!$A:$AA,MATCH($C$1,'DB PMI Manufacturing World'!$A$1:$AA$1,),)))</f>
        <v/>
      </c>
      <c r="D23" s="38">
        <f>IF((VLOOKUP(B23,'DB PMI Manufacturing World'!$A:$AA,MATCH($D$1,'DB PMI Manufacturing World'!$A$1:$AA$1,),))=0,#N/A, (VLOOKUP(B23,'DB PMI Manufacturing World'!$A:$AA,MATCH($D$1,'DB PMI Manufacturing World'!$A$1:$AA$1,),)))</f>
        <v/>
      </c>
      <c r="E23" s="38">
        <f>IF((VLOOKUP(B23,'DB PMI Manufacturing World'!$A:$AA,MATCH($E$1,'DB PMI Manufacturing World'!$A$1:$AA$1,),))=0,#N/A, (VLOOKUP(B23,'DB PMI Manufacturing World'!$A:$AA,MATCH($E$1,'DB PMI Manufacturing World'!$A$1:$AA$1,),)))</f>
        <v/>
      </c>
      <c r="F23" s="38">
        <f>IF((VLOOKUP(B23,'DB PMI Manufacturing World'!$A:$AA,MATCH($F$1,'DB PMI Manufacturing World'!$A$1:$AA$1,),))=0,#N/A, (VLOOKUP(B23,'DB PMI Manufacturing World'!$A:$AA,MATCH($F$1,'DB PMI Manufacturing World'!$A$1:$AA$1,),)))</f>
        <v/>
      </c>
      <c r="G23" s="38">
        <f>IF((VLOOKUP(B23,'DB PMI Manufacturing World'!$A:$AA,MATCH($G$1,'DB PMI Manufacturing World'!$A$1:$AA$1,),))=0,#N/A, (VLOOKUP(B23,'DB PMI Manufacturing World'!$A:$AA,MATCH($G$1,'DB PMI Manufacturing World'!$A$1:$AA$1,),)))</f>
        <v/>
      </c>
      <c r="H23" s="38">
        <f>IF((VLOOKUP(B23,'DB PMI Manufacturing World'!$A:$AA,MATCH($H$1,'DB PMI Manufacturing World'!$A$1:$AA$1,),))=0,#N/A, (VLOOKUP(B23,'DB PMI Manufacturing World'!$A:$AA,MATCH($H$1,'DB PMI Manufacturing World'!$A$1:$AA$1,),)))</f>
        <v/>
      </c>
      <c r="I23" s="38">
        <f>IF((VLOOKUP(B23,'DB PMI Manufacturing World'!$A:$AA,MATCH($I$1,'DB PMI Manufacturing World'!$A$1:$AA$1,),))=0,#N/A, (VLOOKUP(B23,'DB PMI Manufacturing World'!$A:$AA,MATCH($I$1,'DB PMI Manufacturing World'!$A$1:$AA$1,),)))</f>
        <v/>
      </c>
      <c r="J23" s="38">
        <f>IF((VLOOKUP(B23,'DB PMI Manufacturing World'!$A:$AA,MATCH($J$1,'DB PMI Manufacturing World'!$A$1:$AA$1,),))=0,#N/A, (VLOOKUP(B23,'DB PMI Manufacturing World'!$A:$AA,MATCH($J$1,'DB PMI Manufacturing World'!$A$1:$AA$1,),)))</f>
        <v/>
      </c>
      <c r="K23" s="38">
        <f>IF((VLOOKUP(B23,'DB PMI Manufacturing World'!$A:$AA,MATCH($K$1,'DB PMI Manufacturing World'!$A$1:$AA$1,),))=0,#N/A, (VLOOKUP(B23,'DB PMI Manufacturing World'!$A:$AA,MATCH($K$1,'DB PMI Manufacturing World'!$A$1:$AA$1,),)))</f>
        <v/>
      </c>
      <c r="L23" s="38">
        <f>IF((VLOOKUP(B23,'DB PMI Manufacturing World'!$A:$AA,MATCH($L$1,'DB PMI Manufacturing World'!$A$1:$AA$1,),))=0,#N/A, (VLOOKUP(B23,'DB PMI Manufacturing World'!$A:$AA,MATCH($L$1,'DB PMI Manufacturing World'!$A$1:$AA$1,),)))</f>
        <v/>
      </c>
      <c r="M23" s="38">
        <f>IF((VLOOKUP(B23,'DB PMI Manufacturing World'!$A:$AA,MATCH($M$1,'DB PMI Manufacturing World'!$A$1:$AA$1,),))=0,#N/A, (VLOOKUP(B23,'DB PMI Manufacturing World'!$A:$AA,MATCH($M$1,'DB PMI Manufacturing World'!$A$1:$AA$1,),)))</f>
        <v/>
      </c>
      <c r="N23" s="38">
        <f>IF((VLOOKUP(B23,'DB PMI Manufacturing World'!$A:$AA,MATCH($N$1,'DB PMI Manufacturing World'!$A$1:$AA$1,),))=0,#N/A, (VLOOKUP(B23,'DB PMI Manufacturing World'!$A:$AA,MATCH($N$1,'DB PMI Manufacturing World'!$A$1:$AA$1,),)))</f>
        <v/>
      </c>
      <c r="O23" s="38">
        <f>IF((VLOOKUP(B23,'DB PMI Manufacturing World'!$A:$AA,MATCH($O$1,'DB PMI Manufacturing World'!$A$1:$AA$1,),))=0,#N/A, (VLOOKUP(B23,'DB PMI Manufacturing World'!$A:$AA,MATCH($O$1,'DB PMI Manufacturing World'!$A$1:$AA$1,),)))</f>
        <v/>
      </c>
      <c r="P23" s="38">
        <f>IF((VLOOKUP(B23,'DB PMI Manufacturing World'!$A:$AA,MATCH($P$1,'DB PMI Manufacturing World'!$A$1:$AA$1,),))=0,#N/A, (VLOOKUP(B23,'DB PMI Manufacturing World'!$A:$AA,MATCH($P$1,'DB PMI Manufacturing World'!$A$1:$AA$1,),)))</f>
        <v/>
      </c>
      <c r="Q23" s="38">
        <f>IF((VLOOKUP(B23,'DB PMI Manufacturing World'!$A:$AA,MATCH($Q$1,'DB PMI Manufacturing World'!$A$1:$AA$1,),))=0,#N/A, (VLOOKUP(B23,'DB PMI Manufacturing World'!$A:$AA,MATCH($Q$1,'DB PMI Manufacturing World'!$A$1:$AA$1,),)))</f>
        <v/>
      </c>
      <c r="R23" s="38">
        <f>IF((VLOOKUP(B23,'DB PMI Manufacturing World'!$A:$AA,MATCH($R$1,'DB PMI Manufacturing World'!$A$1:$AA$1,),))=0,#N/A, (VLOOKUP(B23,'DB PMI Manufacturing World'!$A:$AA,MATCH($R$1,'DB PMI Manufacturing World'!$A$1:$AA$1,),)))</f>
        <v/>
      </c>
      <c r="S23" s="38">
        <f>IF((VLOOKUP(B23,'DB PMI Manufacturing World'!$A:$AA,MATCH($S$1,'DB PMI Manufacturing World'!$A$1:$AA$1,),))=0,#N/A, (VLOOKUP(B23,'DB PMI Manufacturing World'!$A:$AA,MATCH($S$1,'DB PMI Manufacturing World'!$A$1:$AA$1,),)))</f>
        <v/>
      </c>
      <c r="T23" s="38">
        <f>IF((VLOOKUP(B23,'DB PMI Manufacturing World'!$A:$AA,MATCH($T$1,'DB PMI Manufacturing World'!$A$1:$AA$1,),))=0,#N/A, (VLOOKUP(B23,'DB PMI Manufacturing World'!$A:$AA,MATCH($T$1,'DB PMI Manufacturing World'!$A$1:$AA$1,),)))</f>
        <v/>
      </c>
      <c r="U23" s="38">
        <f>IF((VLOOKUP(B23,'DB PMI Manufacturing World'!$A:$AA,MATCH($U$1,'DB PMI Manufacturing World'!$A$1:$AA$1,),))=0,#N/A, (VLOOKUP(B23,'DB PMI Manufacturing World'!$A:$AA,MATCH($U$1,'DB PMI Manufacturing World'!$A$1:$AA$1,),)))</f>
        <v/>
      </c>
      <c r="V23" s="38">
        <f>IF((VLOOKUP(B23,'DB PMI Manufacturing World'!$A:$AA,MATCH($V$1,'DB PMI Manufacturing World'!$A$1:$AA$1,),))=0,#N/A, (VLOOKUP(B23,'DB PMI Manufacturing World'!$A:$AA,MATCH($V$1,'DB PMI Manufacturing World'!$A$1:$AA$1,),)))</f>
        <v/>
      </c>
      <c r="W23" s="38">
        <f>IF((VLOOKUP(B23,'DB PMI Manufacturing World'!$A:$AA,MATCH($W$1,'DB PMI Manufacturing World'!$A$1:$AA$1,),))=0,#N/A, (VLOOKUP(B23,'DB PMI Manufacturing World'!$A:$AA,MATCH($W$1,'DB PMI Manufacturing World'!$A$1:$AA$1,),)))</f>
        <v/>
      </c>
      <c r="X23" s="38">
        <f>IF((VLOOKUP(B23,'DB PMI Manufacturing World'!$A:$AA,MATCH($X$1,'DB PMI Manufacturing World'!$A$1:$AA$1,),))=0,#N/A, (VLOOKUP(B23,'DB PMI Manufacturing World'!$A:$AA,MATCH($X$1,'DB PMI Manufacturing World'!$A$1:$AA$1,),)))</f>
        <v/>
      </c>
      <c r="Y23" s="38">
        <f>IF((VLOOKUP(B23,'DB PMI Manufacturing World'!$A:$AA,MATCH($Y$1,'DB PMI Manufacturing World'!$A$1:$AA$1,),))=0,#N/A, (VLOOKUP(B23,'DB PMI Manufacturing World'!$A:$AA,MATCH($Y$1,'DB PMI Manufacturing World'!$A$1:$AA$1,),)))</f>
        <v/>
      </c>
      <c r="Z23" s="38">
        <f>IF((VLOOKUP(B23,'DB PMI Manufacturing World'!$A:$AA,MATCH($Z$1,'DB PMI Manufacturing World'!$A$1:$AA$1,),))=0,#N/A, (VLOOKUP(B23,'DB PMI Manufacturing World'!$A:$AA,MATCH($Z$1,'DB PMI Manufacturing World'!$A$1:$AA$1,),)))</f>
        <v/>
      </c>
      <c r="AA23" s="38">
        <f>IF((VLOOKUP(B23,'DB PMI Manufacturing World'!$A:$AA,MATCH($AA$1,'DB PMI Manufacturing World'!$A$1:$AA$1,),))=0,#N/A, (VLOOKUP(B23,'DB PMI Manufacturing World'!$A:$AA,MATCH($AA$1,'DB PMI Manufacturing World'!$A$1:$AA$1,),)))</f>
        <v/>
      </c>
      <c r="AB23" s="38">
        <f>IF((VLOOKUP(B23,'DB PMI Manufacturing World'!$A:$AA,MATCH($AB$1,'DB PMI Manufacturing World'!$A$1:$AA$1,),))=0,#N/A, (VLOOKUP(B23,'DB PMI Manufacturing World'!$A:$AA,MATCH($AB$1,'DB PMI Manufacturing World'!$A$1:$AA$1,),)))</f>
        <v/>
      </c>
    </row>
    <row r="24">
      <c r="B24" s="29" t="n">
        <v>43252</v>
      </c>
      <c r="C24" s="38">
        <f>IF((VLOOKUP(B24,'DB PMI Manufacturing World'!$A:$AA,MATCH($C$1,'DB PMI Manufacturing World'!$A$1:$AA$1,),))=0,#N/A, (VLOOKUP(B24,'DB PMI Manufacturing World'!$A:$AA,MATCH($C$1,'DB PMI Manufacturing World'!$A$1:$AA$1,),)))</f>
        <v/>
      </c>
      <c r="D24" s="38">
        <f>IF((VLOOKUP(B24,'DB PMI Manufacturing World'!$A:$AA,MATCH($D$1,'DB PMI Manufacturing World'!$A$1:$AA$1,),))=0,#N/A, (VLOOKUP(B24,'DB PMI Manufacturing World'!$A:$AA,MATCH($D$1,'DB PMI Manufacturing World'!$A$1:$AA$1,),)))</f>
        <v/>
      </c>
      <c r="E24" s="38">
        <f>IF((VLOOKUP(B24,'DB PMI Manufacturing World'!$A:$AA,MATCH($E$1,'DB PMI Manufacturing World'!$A$1:$AA$1,),))=0,#N/A, (VLOOKUP(B24,'DB PMI Manufacturing World'!$A:$AA,MATCH($E$1,'DB PMI Manufacturing World'!$A$1:$AA$1,),)))</f>
        <v/>
      </c>
      <c r="F24" s="38">
        <f>IF((VLOOKUP(B24,'DB PMI Manufacturing World'!$A:$AA,MATCH($F$1,'DB PMI Manufacturing World'!$A$1:$AA$1,),))=0,#N/A, (VLOOKUP(B24,'DB PMI Manufacturing World'!$A:$AA,MATCH($F$1,'DB PMI Manufacturing World'!$A$1:$AA$1,),)))</f>
        <v/>
      </c>
      <c r="G24" s="38">
        <f>IF((VLOOKUP(B24,'DB PMI Manufacturing World'!$A:$AA,MATCH($G$1,'DB PMI Manufacturing World'!$A$1:$AA$1,),))=0,#N/A, (VLOOKUP(B24,'DB PMI Manufacturing World'!$A:$AA,MATCH($G$1,'DB PMI Manufacturing World'!$A$1:$AA$1,),)))</f>
        <v/>
      </c>
      <c r="H24" s="38">
        <f>IF((VLOOKUP(B24,'DB PMI Manufacturing World'!$A:$AA,MATCH($H$1,'DB PMI Manufacturing World'!$A$1:$AA$1,),))=0,#N/A, (VLOOKUP(B24,'DB PMI Manufacturing World'!$A:$AA,MATCH($H$1,'DB PMI Manufacturing World'!$A$1:$AA$1,),)))</f>
        <v/>
      </c>
      <c r="I24" s="38">
        <f>IF((VLOOKUP(B24,'DB PMI Manufacturing World'!$A:$AA,MATCH($I$1,'DB PMI Manufacturing World'!$A$1:$AA$1,),))=0,#N/A, (VLOOKUP(B24,'DB PMI Manufacturing World'!$A:$AA,MATCH($I$1,'DB PMI Manufacturing World'!$A$1:$AA$1,),)))</f>
        <v/>
      </c>
      <c r="J24" s="38">
        <f>IF((VLOOKUP(B24,'DB PMI Manufacturing World'!$A:$AA,MATCH($J$1,'DB PMI Manufacturing World'!$A$1:$AA$1,),))=0,#N/A, (VLOOKUP(B24,'DB PMI Manufacturing World'!$A:$AA,MATCH($J$1,'DB PMI Manufacturing World'!$A$1:$AA$1,),)))</f>
        <v/>
      </c>
      <c r="K24" s="38">
        <f>IF((VLOOKUP(B24,'DB PMI Manufacturing World'!$A:$AA,MATCH($K$1,'DB PMI Manufacturing World'!$A$1:$AA$1,),))=0,#N/A, (VLOOKUP(B24,'DB PMI Manufacturing World'!$A:$AA,MATCH($K$1,'DB PMI Manufacturing World'!$A$1:$AA$1,),)))</f>
        <v/>
      </c>
      <c r="L24" s="38">
        <f>IF((VLOOKUP(B24,'DB PMI Manufacturing World'!$A:$AA,MATCH($L$1,'DB PMI Manufacturing World'!$A$1:$AA$1,),))=0,#N/A, (VLOOKUP(B24,'DB PMI Manufacturing World'!$A:$AA,MATCH($L$1,'DB PMI Manufacturing World'!$A$1:$AA$1,),)))</f>
        <v/>
      </c>
      <c r="M24" s="38">
        <f>IF((VLOOKUP(B24,'DB PMI Manufacturing World'!$A:$AA,MATCH($M$1,'DB PMI Manufacturing World'!$A$1:$AA$1,),))=0,#N/A, (VLOOKUP(B24,'DB PMI Manufacturing World'!$A:$AA,MATCH($M$1,'DB PMI Manufacturing World'!$A$1:$AA$1,),)))</f>
        <v/>
      </c>
      <c r="N24" s="38">
        <f>IF((VLOOKUP(B24,'DB PMI Manufacturing World'!$A:$AA,MATCH($N$1,'DB PMI Manufacturing World'!$A$1:$AA$1,),))=0,#N/A, (VLOOKUP(B24,'DB PMI Manufacturing World'!$A:$AA,MATCH($N$1,'DB PMI Manufacturing World'!$A$1:$AA$1,),)))</f>
        <v/>
      </c>
      <c r="O24" s="38">
        <f>IF((VLOOKUP(B24,'DB PMI Manufacturing World'!$A:$AA,MATCH($O$1,'DB PMI Manufacturing World'!$A$1:$AA$1,),))=0,#N/A, (VLOOKUP(B24,'DB PMI Manufacturing World'!$A:$AA,MATCH($O$1,'DB PMI Manufacturing World'!$A$1:$AA$1,),)))</f>
        <v/>
      </c>
      <c r="P24" s="38">
        <f>IF((VLOOKUP(B24,'DB PMI Manufacturing World'!$A:$AA,MATCH($P$1,'DB PMI Manufacturing World'!$A$1:$AA$1,),))=0,#N/A, (VLOOKUP(B24,'DB PMI Manufacturing World'!$A:$AA,MATCH($P$1,'DB PMI Manufacturing World'!$A$1:$AA$1,),)))</f>
        <v/>
      </c>
      <c r="Q24" s="38">
        <f>IF((VLOOKUP(B24,'DB PMI Manufacturing World'!$A:$AA,MATCH($Q$1,'DB PMI Manufacturing World'!$A$1:$AA$1,),))=0,#N/A, (VLOOKUP(B24,'DB PMI Manufacturing World'!$A:$AA,MATCH($Q$1,'DB PMI Manufacturing World'!$A$1:$AA$1,),)))</f>
        <v/>
      </c>
      <c r="R24" s="38">
        <f>IF((VLOOKUP(B24,'DB PMI Manufacturing World'!$A:$AA,MATCH($R$1,'DB PMI Manufacturing World'!$A$1:$AA$1,),))=0,#N/A, (VLOOKUP(B24,'DB PMI Manufacturing World'!$A:$AA,MATCH($R$1,'DB PMI Manufacturing World'!$A$1:$AA$1,),)))</f>
        <v/>
      </c>
      <c r="S24" s="38">
        <f>IF((VLOOKUP(B24,'DB PMI Manufacturing World'!$A:$AA,MATCH($S$1,'DB PMI Manufacturing World'!$A$1:$AA$1,),))=0,#N/A, (VLOOKUP(B24,'DB PMI Manufacturing World'!$A:$AA,MATCH($S$1,'DB PMI Manufacturing World'!$A$1:$AA$1,),)))</f>
        <v/>
      </c>
      <c r="T24" s="38">
        <f>IF((VLOOKUP(B24,'DB PMI Manufacturing World'!$A:$AA,MATCH($T$1,'DB PMI Manufacturing World'!$A$1:$AA$1,),))=0,#N/A, (VLOOKUP(B24,'DB PMI Manufacturing World'!$A:$AA,MATCH($T$1,'DB PMI Manufacturing World'!$A$1:$AA$1,),)))</f>
        <v/>
      </c>
      <c r="U24" s="38">
        <f>IF((VLOOKUP(B24,'DB PMI Manufacturing World'!$A:$AA,MATCH($U$1,'DB PMI Manufacturing World'!$A$1:$AA$1,),))=0,#N/A, (VLOOKUP(B24,'DB PMI Manufacturing World'!$A:$AA,MATCH($U$1,'DB PMI Manufacturing World'!$A$1:$AA$1,),)))</f>
        <v/>
      </c>
      <c r="V24" s="38">
        <f>IF((VLOOKUP(B24,'DB PMI Manufacturing World'!$A:$AA,MATCH($V$1,'DB PMI Manufacturing World'!$A$1:$AA$1,),))=0,#N/A, (VLOOKUP(B24,'DB PMI Manufacturing World'!$A:$AA,MATCH($V$1,'DB PMI Manufacturing World'!$A$1:$AA$1,),)))</f>
        <v/>
      </c>
      <c r="W24" s="38">
        <f>IF((VLOOKUP(B24,'DB PMI Manufacturing World'!$A:$AA,MATCH($W$1,'DB PMI Manufacturing World'!$A$1:$AA$1,),))=0,#N/A, (VLOOKUP(B24,'DB PMI Manufacturing World'!$A:$AA,MATCH($W$1,'DB PMI Manufacturing World'!$A$1:$AA$1,),)))</f>
        <v/>
      </c>
      <c r="X24" s="38">
        <f>IF((VLOOKUP(B24,'DB PMI Manufacturing World'!$A:$AA,MATCH($X$1,'DB PMI Manufacturing World'!$A$1:$AA$1,),))=0,#N/A, (VLOOKUP(B24,'DB PMI Manufacturing World'!$A:$AA,MATCH($X$1,'DB PMI Manufacturing World'!$A$1:$AA$1,),)))</f>
        <v/>
      </c>
      <c r="Y24" s="38">
        <f>IF((VLOOKUP(B24,'DB PMI Manufacturing World'!$A:$AA,MATCH($Y$1,'DB PMI Manufacturing World'!$A$1:$AA$1,),))=0,#N/A, (VLOOKUP(B24,'DB PMI Manufacturing World'!$A:$AA,MATCH($Y$1,'DB PMI Manufacturing World'!$A$1:$AA$1,),)))</f>
        <v/>
      </c>
      <c r="Z24" s="38">
        <f>IF((VLOOKUP(B24,'DB PMI Manufacturing World'!$A:$AA,MATCH($Z$1,'DB PMI Manufacturing World'!$A$1:$AA$1,),))=0,#N/A, (VLOOKUP(B24,'DB PMI Manufacturing World'!$A:$AA,MATCH($Z$1,'DB PMI Manufacturing World'!$A$1:$AA$1,),)))</f>
        <v/>
      </c>
      <c r="AA24" s="38">
        <f>IF((VLOOKUP(B24,'DB PMI Manufacturing World'!$A:$AA,MATCH($AA$1,'DB PMI Manufacturing World'!$A$1:$AA$1,),))=0,#N/A, (VLOOKUP(B24,'DB PMI Manufacturing World'!$A:$AA,MATCH($AA$1,'DB PMI Manufacturing World'!$A$1:$AA$1,),)))</f>
        <v/>
      </c>
      <c r="AB24" s="38">
        <f>IF((VLOOKUP(B24,'DB PMI Manufacturing World'!$A:$AA,MATCH($AB$1,'DB PMI Manufacturing World'!$A$1:$AA$1,),))=0,#N/A, (VLOOKUP(B24,'DB PMI Manufacturing World'!$A:$AA,MATCH($AB$1,'DB PMI Manufacturing World'!$A$1:$AA$1,),)))</f>
        <v/>
      </c>
    </row>
    <row r="25">
      <c r="B25" s="29" t="n">
        <v>43282</v>
      </c>
      <c r="C25" s="38">
        <f>IF((VLOOKUP(B25,'DB PMI Manufacturing World'!$A:$AA,MATCH($C$1,'DB PMI Manufacturing World'!$A$1:$AA$1,),))=0,#N/A, (VLOOKUP(B25,'DB PMI Manufacturing World'!$A:$AA,MATCH($C$1,'DB PMI Manufacturing World'!$A$1:$AA$1,),)))</f>
        <v/>
      </c>
      <c r="D25" s="38">
        <f>IF((VLOOKUP(B25,'DB PMI Manufacturing World'!$A:$AA,MATCH($D$1,'DB PMI Manufacturing World'!$A$1:$AA$1,),))=0,#N/A, (VLOOKUP(B25,'DB PMI Manufacturing World'!$A:$AA,MATCH($D$1,'DB PMI Manufacturing World'!$A$1:$AA$1,),)))</f>
        <v/>
      </c>
      <c r="E25" s="38">
        <f>IF((VLOOKUP(B25,'DB PMI Manufacturing World'!$A:$AA,MATCH($E$1,'DB PMI Manufacturing World'!$A$1:$AA$1,),))=0,#N/A, (VLOOKUP(B25,'DB PMI Manufacturing World'!$A:$AA,MATCH($E$1,'DB PMI Manufacturing World'!$A$1:$AA$1,),)))</f>
        <v/>
      </c>
      <c r="F25" s="38">
        <f>IF((VLOOKUP(B25,'DB PMI Manufacturing World'!$A:$AA,MATCH($F$1,'DB PMI Manufacturing World'!$A$1:$AA$1,),))=0,#N/A, (VLOOKUP(B25,'DB PMI Manufacturing World'!$A:$AA,MATCH($F$1,'DB PMI Manufacturing World'!$A$1:$AA$1,),)))</f>
        <v/>
      </c>
      <c r="G25" s="38">
        <f>IF((VLOOKUP(B25,'DB PMI Manufacturing World'!$A:$AA,MATCH($G$1,'DB PMI Manufacturing World'!$A$1:$AA$1,),))=0,#N/A, (VLOOKUP(B25,'DB PMI Manufacturing World'!$A:$AA,MATCH($G$1,'DB PMI Manufacturing World'!$A$1:$AA$1,),)))</f>
        <v/>
      </c>
      <c r="H25" s="38">
        <f>IF((VLOOKUP(B25,'DB PMI Manufacturing World'!$A:$AA,MATCH($H$1,'DB PMI Manufacturing World'!$A$1:$AA$1,),))=0,#N/A, (VLOOKUP(B25,'DB PMI Manufacturing World'!$A:$AA,MATCH($H$1,'DB PMI Manufacturing World'!$A$1:$AA$1,),)))</f>
        <v/>
      </c>
      <c r="I25" s="38">
        <f>IF((VLOOKUP(B25,'DB PMI Manufacturing World'!$A:$AA,MATCH($I$1,'DB PMI Manufacturing World'!$A$1:$AA$1,),))=0,#N/A, (VLOOKUP(B25,'DB PMI Manufacturing World'!$A:$AA,MATCH($I$1,'DB PMI Manufacturing World'!$A$1:$AA$1,),)))</f>
        <v/>
      </c>
      <c r="J25" s="38">
        <f>IF((VLOOKUP(B25,'DB PMI Manufacturing World'!$A:$AA,MATCH($J$1,'DB PMI Manufacturing World'!$A$1:$AA$1,),))=0,#N/A, (VLOOKUP(B25,'DB PMI Manufacturing World'!$A:$AA,MATCH($J$1,'DB PMI Manufacturing World'!$A$1:$AA$1,),)))</f>
        <v/>
      </c>
      <c r="K25" s="38">
        <f>IF((VLOOKUP(B25,'DB PMI Manufacturing World'!$A:$AA,MATCH($K$1,'DB PMI Manufacturing World'!$A$1:$AA$1,),))=0,#N/A, (VLOOKUP(B25,'DB PMI Manufacturing World'!$A:$AA,MATCH($K$1,'DB PMI Manufacturing World'!$A$1:$AA$1,),)))</f>
        <v/>
      </c>
      <c r="L25" s="38">
        <f>IF((VLOOKUP(B25,'DB PMI Manufacturing World'!$A:$AA,MATCH($L$1,'DB PMI Manufacturing World'!$A$1:$AA$1,),))=0,#N/A, (VLOOKUP(B25,'DB PMI Manufacturing World'!$A:$AA,MATCH($L$1,'DB PMI Manufacturing World'!$A$1:$AA$1,),)))</f>
        <v/>
      </c>
      <c r="M25" s="38">
        <f>IF((VLOOKUP(B25,'DB PMI Manufacturing World'!$A:$AA,MATCH($M$1,'DB PMI Manufacturing World'!$A$1:$AA$1,),))=0,#N/A, (VLOOKUP(B25,'DB PMI Manufacturing World'!$A:$AA,MATCH($M$1,'DB PMI Manufacturing World'!$A$1:$AA$1,),)))</f>
        <v/>
      </c>
      <c r="N25" s="38">
        <f>IF((VLOOKUP(B25,'DB PMI Manufacturing World'!$A:$AA,MATCH($N$1,'DB PMI Manufacturing World'!$A$1:$AA$1,),))=0,#N/A, (VLOOKUP(B25,'DB PMI Manufacturing World'!$A:$AA,MATCH($N$1,'DB PMI Manufacturing World'!$A$1:$AA$1,),)))</f>
        <v/>
      </c>
      <c r="O25" s="38">
        <f>IF((VLOOKUP(B25,'DB PMI Manufacturing World'!$A:$AA,MATCH($O$1,'DB PMI Manufacturing World'!$A$1:$AA$1,),))=0,#N/A, (VLOOKUP(B25,'DB PMI Manufacturing World'!$A:$AA,MATCH($O$1,'DB PMI Manufacturing World'!$A$1:$AA$1,),)))</f>
        <v/>
      </c>
      <c r="P25" s="38">
        <f>IF((VLOOKUP(B25,'DB PMI Manufacturing World'!$A:$AA,MATCH($P$1,'DB PMI Manufacturing World'!$A$1:$AA$1,),))=0,#N/A, (VLOOKUP(B25,'DB PMI Manufacturing World'!$A:$AA,MATCH($P$1,'DB PMI Manufacturing World'!$A$1:$AA$1,),)))</f>
        <v/>
      </c>
      <c r="Q25" s="38">
        <f>IF((VLOOKUP(B25,'DB PMI Manufacturing World'!$A:$AA,MATCH($Q$1,'DB PMI Manufacturing World'!$A$1:$AA$1,),))=0,#N/A, (VLOOKUP(B25,'DB PMI Manufacturing World'!$A:$AA,MATCH($Q$1,'DB PMI Manufacturing World'!$A$1:$AA$1,),)))</f>
        <v/>
      </c>
      <c r="R25" s="38">
        <f>IF((VLOOKUP(B25,'DB PMI Manufacturing World'!$A:$AA,MATCH($R$1,'DB PMI Manufacturing World'!$A$1:$AA$1,),))=0,#N/A, (VLOOKUP(B25,'DB PMI Manufacturing World'!$A:$AA,MATCH($R$1,'DB PMI Manufacturing World'!$A$1:$AA$1,),)))</f>
        <v/>
      </c>
      <c r="S25" s="38">
        <f>IF((VLOOKUP(B25,'DB PMI Manufacturing World'!$A:$AA,MATCH($S$1,'DB PMI Manufacturing World'!$A$1:$AA$1,),))=0,#N/A, (VLOOKUP(B25,'DB PMI Manufacturing World'!$A:$AA,MATCH($S$1,'DB PMI Manufacturing World'!$A$1:$AA$1,),)))</f>
        <v/>
      </c>
      <c r="T25" s="38">
        <f>IF((VLOOKUP(B25,'DB PMI Manufacturing World'!$A:$AA,MATCH($T$1,'DB PMI Manufacturing World'!$A$1:$AA$1,),))=0,#N/A, (VLOOKUP(B25,'DB PMI Manufacturing World'!$A:$AA,MATCH($T$1,'DB PMI Manufacturing World'!$A$1:$AA$1,),)))</f>
        <v/>
      </c>
      <c r="U25" s="38">
        <f>IF((VLOOKUP(B25,'DB PMI Manufacturing World'!$A:$AA,MATCH($U$1,'DB PMI Manufacturing World'!$A$1:$AA$1,),))=0,#N/A, (VLOOKUP(B25,'DB PMI Manufacturing World'!$A:$AA,MATCH($U$1,'DB PMI Manufacturing World'!$A$1:$AA$1,),)))</f>
        <v/>
      </c>
      <c r="V25" s="38">
        <f>IF((VLOOKUP(B25,'DB PMI Manufacturing World'!$A:$AA,MATCH($V$1,'DB PMI Manufacturing World'!$A$1:$AA$1,),))=0,#N/A, (VLOOKUP(B25,'DB PMI Manufacturing World'!$A:$AA,MATCH($V$1,'DB PMI Manufacturing World'!$A$1:$AA$1,),)))</f>
        <v/>
      </c>
      <c r="W25" s="38">
        <f>IF((VLOOKUP(B25,'DB PMI Manufacturing World'!$A:$AA,MATCH($W$1,'DB PMI Manufacturing World'!$A$1:$AA$1,),))=0,#N/A, (VLOOKUP(B25,'DB PMI Manufacturing World'!$A:$AA,MATCH($W$1,'DB PMI Manufacturing World'!$A$1:$AA$1,),)))</f>
        <v/>
      </c>
      <c r="X25" s="38">
        <f>IF((VLOOKUP(B25,'DB PMI Manufacturing World'!$A:$AA,MATCH($X$1,'DB PMI Manufacturing World'!$A$1:$AA$1,),))=0,#N/A, (VLOOKUP(B25,'DB PMI Manufacturing World'!$A:$AA,MATCH($X$1,'DB PMI Manufacturing World'!$A$1:$AA$1,),)))</f>
        <v/>
      </c>
      <c r="Y25" s="38">
        <f>IF((VLOOKUP(B25,'DB PMI Manufacturing World'!$A:$AA,MATCH($Y$1,'DB PMI Manufacturing World'!$A$1:$AA$1,),))=0,#N/A, (VLOOKUP(B25,'DB PMI Manufacturing World'!$A:$AA,MATCH($Y$1,'DB PMI Manufacturing World'!$A$1:$AA$1,),)))</f>
        <v/>
      </c>
      <c r="Z25" s="38">
        <f>IF((VLOOKUP(B25,'DB PMI Manufacturing World'!$A:$AA,MATCH($Z$1,'DB PMI Manufacturing World'!$A$1:$AA$1,),))=0,#N/A, (VLOOKUP(B25,'DB PMI Manufacturing World'!$A:$AA,MATCH($Z$1,'DB PMI Manufacturing World'!$A$1:$AA$1,),)))</f>
        <v/>
      </c>
      <c r="AA25" s="38">
        <f>IF((VLOOKUP(B25,'DB PMI Manufacturing World'!$A:$AA,MATCH($AA$1,'DB PMI Manufacturing World'!$A$1:$AA$1,),))=0,#N/A, (VLOOKUP(B25,'DB PMI Manufacturing World'!$A:$AA,MATCH($AA$1,'DB PMI Manufacturing World'!$A$1:$AA$1,),)))</f>
        <v/>
      </c>
      <c r="AB25" s="38">
        <f>IF((VLOOKUP(B25,'DB PMI Manufacturing World'!$A:$AA,MATCH($AB$1,'DB PMI Manufacturing World'!$A$1:$AA$1,),))=0,#N/A, (VLOOKUP(B25,'DB PMI Manufacturing World'!$A:$AA,MATCH($AB$1,'DB PMI Manufacturing World'!$A$1:$AA$1,),)))</f>
        <v/>
      </c>
    </row>
    <row r="26">
      <c r="B26" s="29" t="n">
        <v>43313</v>
      </c>
      <c r="C26" s="38">
        <f>IF((VLOOKUP(B26,'DB PMI Manufacturing World'!$A:$AA,MATCH($C$1,'DB PMI Manufacturing World'!$A$1:$AA$1,),))=0,#N/A, (VLOOKUP(B26,'DB PMI Manufacturing World'!$A:$AA,MATCH($C$1,'DB PMI Manufacturing World'!$A$1:$AA$1,),)))</f>
        <v/>
      </c>
      <c r="D26" s="38">
        <f>IF((VLOOKUP(B26,'DB PMI Manufacturing World'!$A:$AA,MATCH($D$1,'DB PMI Manufacturing World'!$A$1:$AA$1,),))=0,#N/A, (VLOOKUP(B26,'DB PMI Manufacturing World'!$A:$AA,MATCH($D$1,'DB PMI Manufacturing World'!$A$1:$AA$1,),)))</f>
        <v/>
      </c>
      <c r="E26" s="38">
        <f>IF((VLOOKUP(B26,'DB PMI Manufacturing World'!$A:$AA,MATCH($E$1,'DB PMI Manufacturing World'!$A$1:$AA$1,),))=0,#N/A, (VLOOKUP(B26,'DB PMI Manufacturing World'!$A:$AA,MATCH($E$1,'DB PMI Manufacturing World'!$A$1:$AA$1,),)))</f>
        <v/>
      </c>
      <c r="F26" s="38">
        <f>IF((VLOOKUP(B26,'DB PMI Manufacturing World'!$A:$AA,MATCH($F$1,'DB PMI Manufacturing World'!$A$1:$AA$1,),))=0,#N/A, (VLOOKUP(B26,'DB PMI Manufacturing World'!$A:$AA,MATCH($F$1,'DB PMI Manufacturing World'!$A$1:$AA$1,),)))</f>
        <v/>
      </c>
      <c r="G26" s="38">
        <f>IF((VLOOKUP(B26,'DB PMI Manufacturing World'!$A:$AA,MATCH($G$1,'DB PMI Manufacturing World'!$A$1:$AA$1,),))=0,#N/A, (VLOOKUP(B26,'DB PMI Manufacturing World'!$A:$AA,MATCH($G$1,'DB PMI Manufacturing World'!$A$1:$AA$1,),)))</f>
        <v/>
      </c>
      <c r="H26" s="38">
        <f>IF((VLOOKUP(B26,'DB PMI Manufacturing World'!$A:$AA,MATCH($H$1,'DB PMI Manufacturing World'!$A$1:$AA$1,),))=0,#N/A, (VLOOKUP(B26,'DB PMI Manufacturing World'!$A:$AA,MATCH($H$1,'DB PMI Manufacturing World'!$A$1:$AA$1,),)))</f>
        <v/>
      </c>
      <c r="I26" s="38">
        <f>IF((VLOOKUP(B26,'DB PMI Manufacturing World'!$A:$AA,MATCH($I$1,'DB PMI Manufacturing World'!$A$1:$AA$1,),))=0,#N/A, (VLOOKUP(B26,'DB PMI Manufacturing World'!$A:$AA,MATCH($I$1,'DB PMI Manufacturing World'!$A$1:$AA$1,),)))</f>
        <v/>
      </c>
      <c r="J26" s="38">
        <f>IF((VLOOKUP(B26,'DB PMI Manufacturing World'!$A:$AA,MATCH($J$1,'DB PMI Manufacturing World'!$A$1:$AA$1,),))=0,#N/A, (VLOOKUP(B26,'DB PMI Manufacturing World'!$A:$AA,MATCH($J$1,'DB PMI Manufacturing World'!$A$1:$AA$1,),)))</f>
        <v/>
      </c>
      <c r="K26" s="38">
        <f>IF((VLOOKUP(B26,'DB PMI Manufacturing World'!$A:$AA,MATCH($K$1,'DB PMI Manufacturing World'!$A$1:$AA$1,),))=0,#N/A, (VLOOKUP(B26,'DB PMI Manufacturing World'!$A:$AA,MATCH($K$1,'DB PMI Manufacturing World'!$A$1:$AA$1,),)))</f>
        <v/>
      </c>
      <c r="L26" s="38">
        <f>IF((VLOOKUP(B26,'DB PMI Manufacturing World'!$A:$AA,MATCH($L$1,'DB PMI Manufacturing World'!$A$1:$AA$1,),))=0,#N/A, (VLOOKUP(B26,'DB PMI Manufacturing World'!$A:$AA,MATCH($L$1,'DB PMI Manufacturing World'!$A$1:$AA$1,),)))</f>
        <v/>
      </c>
      <c r="M26" s="38">
        <f>IF((VLOOKUP(B26,'DB PMI Manufacturing World'!$A:$AA,MATCH($M$1,'DB PMI Manufacturing World'!$A$1:$AA$1,),))=0,#N/A, (VLOOKUP(B26,'DB PMI Manufacturing World'!$A:$AA,MATCH($M$1,'DB PMI Manufacturing World'!$A$1:$AA$1,),)))</f>
        <v/>
      </c>
      <c r="N26" s="38">
        <f>IF((VLOOKUP(B26,'DB PMI Manufacturing World'!$A:$AA,MATCH($N$1,'DB PMI Manufacturing World'!$A$1:$AA$1,),))=0,#N/A, (VLOOKUP(B26,'DB PMI Manufacturing World'!$A:$AA,MATCH($N$1,'DB PMI Manufacturing World'!$A$1:$AA$1,),)))</f>
        <v/>
      </c>
      <c r="O26" s="38">
        <f>IF((VLOOKUP(B26,'DB PMI Manufacturing World'!$A:$AA,MATCH($O$1,'DB PMI Manufacturing World'!$A$1:$AA$1,),))=0,#N/A, (VLOOKUP(B26,'DB PMI Manufacturing World'!$A:$AA,MATCH($O$1,'DB PMI Manufacturing World'!$A$1:$AA$1,),)))</f>
        <v/>
      </c>
      <c r="P26" s="38">
        <f>IF((VLOOKUP(B26,'DB PMI Manufacturing World'!$A:$AA,MATCH($P$1,'DB PMI Manufacturing World'!$A$1:$AA$1,),))=0,#N/A, (VLOOKUP(B26,'DB PMI Manufacturing World'!$A:$AA,MATCH($P$1,'DB PMI Manufacturing World'!$A$1:$AA$1,),)))</f>
        <v/>
      </c>
      <c r="Q26" s="38">
        <f>IF((VLOOKUP(B26,'DB PMI Manufacturing World'!$A:$AA,MATCH($Q$1,'DB PMI Manufacturing World'!$A$1:$AA$1,),))=0,#N/A, (VLOOKUP(B26,'DB PMI Manufacturing World'!$A:$AA,MATCH($Q$1,'DB PMI Manufacturing World'!$A$1:$AA$1,),)))</f>
        <v/>
      </c>
      <c r="R26" s="38">
        <f>IF((VLOOKUP(B26,'DB PMI Manufacturing World'!$A:$AA,MATCH($R$1,'DB PMI Manufacturing World'!$A$1:$AA$1,),))=0,#N/A, (VLOOKUP(B26,'DB PMI Manufacturing World'!$A:$AA,MATCH($R$1,'DB PMI Manufacturing World'!$A$1:$AA$1,),)))</f>
        <v/>
      </c>
      <c r="S26" s="38">
        <f>IF((VLOOKUP(B26,'DB PMI Manufacturing World'!$A:$AA,MATCH($S$1,'DB PMI Manufacturing World'!$A$1:$AA$1,),))=0,#N/A, (VLOOKUP(B26,'DB PMI Manufacturing World'!$A:$AA,MATCH($S$1,'DB PMI Manufacturing World'!$A$1:$AA$1,),)))</f>
        <v/>
      </c>
      <c r="T26" s="38">
        <f>IF((VLOOKUP(B26,'DB PMI Manufacturing World'!$A:$AA,MATCH($T$1,'DB PMI Manufacturing World'!$A$1:$AA$1,),))=0,#N/A, (VLOOKUP(B26,'DB PMI Manufacturing World'!$A:$AA,MATCH($T$1,'DB PMI Manufacturing World'!$A$1:$AA$1,),)))</f>
        <v/>
      </c>
      <c r="U26" s="38">
        <f>IF((VLOOKUP(B26,'DB PMI Manufacturing World'!$A:$AA,MATCH($U$1,'DB PMI Manufacturing World'!$A$1:$AA$1,),))=0,#N/A, (VLOOKUP(B26,'DB PMI Manufacturing World'!$A:$AA,MATCH($U$1,'DB PMI Manufacturing World'!$A$1:$AA$1,),)))</f>
        <v/>
      </c>
      <c r="V26" s="38">
        <f>IF((VLOOKUP(B26,'DB PMI Manufacturing World'!$A:$AA,MATCH($V$1,'DB PMI Manufacturing World'!$A$1:$AA$1,),))=0,#N/A, (VLOOKUP(B26,'DB PMI Manufacturing World'!$A:$AA,MATCH($V$1,'DB PMI Manufacturing World'!$A$1:$AA$1,),)))</f>
        <v/>
      </c>
      <c r="W26" s="38">
        <f>IF((VLOOKUP(B26,'DB PMI Manufacturing World'!$A:$AA,MATCH($W$1,'DB PMI Manufacturing World'!$A$1:$AA$1,),))=0,#N/A, (VLOOKUP(B26,'DB PMI Manufacturing World'!$A:$AA,MATCH($W$1,'DB PMI Manufacturing World'!$A$1:$AA$1,),)))</f>
        <v/>
      </c>
      <c r="X26" s="38">
        <f>IF((VLOOKUP(B26,'DB PMI Manufacturing World'!$A:$AA,MATCH($X$1,'DB PMI Manufacturing World'!$A$1:$AA$1,),))=0,#N/A, (VLOOKUP(B26,'DB PMI Manufacturing World'!$A:$AA,MATCH($X$1,'DB PMI Manufacturing World'!$A$1:$AA$1,),)))</f>
        <v/>
      </c>
      <c r="Y26" s="38">
        <f>IF((VLOOKUP(B26,'DB PMI Manufacturing World'!$A:$AA,MATCH($Y$1,'DB PMI Manufacturing World'!$A$1:$AA$1,),))=0,#N/A, (VLOOKUP(B26,'DB PMI Manufacturing World'!$A:$AA,MATCH($Y$1,'DB PMI Manufacturing World'!$A$1:$AA$1,),)))</f>
        <v/>
      </c>
      <c r="Z26" s="38">
        <f>IF((VLOOKUP(B26,'DB PMI Manufacturing World'!$A:$AA,MATCH($Z$1,'DB PMI Manufacturing World'!$A$1:$AA$1,),))=0,#N/A, (VLOOKUP(B26,'DB PMI Manufacturing World'!$A:$AA,MATCH($Z$1,'DB PMI Manufacturing World'!$A$1:$AA$1,),)))</f>
        <v/>
      </c>
      <c r="AA26" s="38">
        <f>IF((VLOOKUP(B26,'DB PMI Manufacturing World'!$A:$AA,MATCH($AA$1,'DB PMI Manufacturing World'!$A$1:$AA$1,),))=0,#N/A, (VLOOKUP(B26,'DB PMI Manufacturing World'!$A:$AA,MATCH($AA$1,'DB PMI Manufacturing World'!$A$1:$AA$1,),)))</f>
        <v/>
      </c>
      <c r="AB26" s="38">
        <f>IF((VLOOKUP(B26,'DB PMI Manufacturing World'!$A:$AA,MATCH($AB$1,'DB PMI Manufacturing World'!$A$1:$AA$1,),))=0,#N/A, (VLOOKUP(B26,'DB PMI Manufacturing World'!$A:$AA,MATCH($AB$1,'DB PMI Manufacturing World'!$A$1:$AA$1,),)))</f>
        <v/>
      </c>
    </row>
    <row r="27">
      <c r="B27" s="29" t="n">
        <v>43344</v>
      </c>
      <c r="C27" s="38">
        <f>IF((VLOOKUP(B27,'DB PMI Manufacturing World'!$A:$AA,MATCH($C$1,'DB PMI Manufacturing World'!$A$1:$AA$1,),))=0,#N/A, (VLOOKUP(B27,'DB PMI Manufacturing World'!$A:$AA,MATCH($C$1,'DB PMI Manufacturing World'!$A$1:$AA$1,),)))</f>
        <v/>
      </c>
      <c r="D27" s="38">
        <f>IF((VLOOKUP(B27,'DB PMI Manufacturing World'!$A:$AA,MATCH($D$1,'DB PMI Manufacturing World'!$A$1:$AA$1,),))=0,#N/A, (VLOOKUP(B27,'DB PMI Manufacturing World'!$A:$AA,MATCH($D$1,'DB PMI Manufacturing World'!$A$1:$AA$1,),)))</f>
        <v/>
      </c>
      <c r="E27" s="38">
        <f>IF((VLOOKUP(B27,'DB PMI Manufacturing World'!$A:$AA,MATCH($E$1,'DB PMI Manufacturing World'!$A$1:$AA$1,),))=0,#N/A, (VLOOKUP(B27,'DB PMI Manufacturing World'!$A:$AA,MATCH($E$1,'DB PMI Manufacturing World'!$A$1:$AA$1,),)))</f>
        <v/>
      </c>
      <c r="F27" s="38">
        <f>IF((VLOOKUP(B27,'DB PMI Manufacturing World'!$A:$AA,MATCH($F$1,'DB PMI Manufacturing World'!$A$1:$AA$1,),))=0,#N/A, (VLOOKUP(B27,'DB PMI Manufacturing World'!$A:$AA,MATCH($F$1,'DB PMI Manufacturing World'!$A$1:$AA$1,),)))</f>
        <v/>
      </c>
      <c r="G27" s="38">
        <f>IF((VLOOKUP(B27,'DB PMI Manufacturing World'!$A:$AA,MATCH($G$1,'DB PMI Manufacturing World'!$A$1:$AA$1,),))=0,#N/A, (VLOOKUP(B27,'DB PMI Manufacturing World'!$A:$AA,MATCH($G$1,'DB PMI Manufacturing World'!$A$1:$AA$1,),)))</f>
        <v/>
      </c>
      <c r="H27" s="38">
        <f>IF((VLOOKUP(B27,'DB PMI Manufacturing World'!$A:$AA,MATCH($H$1,'DB PMI Manufacturing World'!$A$1:$AA$1,),))=0,#N/A, (VLOOKUP(B27,'DB PMI Manufacturing World'!$A:$AA,MATCH($H$1,'DB PMI Manufacturing World'!$A$1:$AA$1,),)))</f>
        <v/>
      </c>
      <c r="I27" s="38">
        <f>IF((VLOOKUP(B27,'DB PMI Manufacturing World'!$A:$AA,MATCH($I$1,'DB PMI Manufacturing World'!$A$1:$AA$1,),))=0,#N/A, (VLOOKUP(B27,'DB PMI Manufacturing World'!$A:$AA,MATCH($I$1,'DB PMI Manufacturing World'!$A$1:$AA$1,),)))</f>
        <v/>
      </c>
      <c r="J27" s="38">
        <f>IF((VLOOKUP(B27,'DB PMI Manufacturing World'!$A:$AA,MATCH($J$1,'DB PMI Manufacturing World'!$A$1:$AA$1,),))=0,#N/A, (VLOOKUP(B27,'DB PMI Manufacturing World'!$A:$AA,MATCH($J$1,'DB PMI Manufacturing World'!$A$1:$AA$1,),)))</f>
        <v/>
      </c>
      <c r="K27" s="38">
        <f>IF((VLOOKUP(B27,'DB PMI Manufacturing World'!$A:$AA,MATCH($K$1,'DB PMI Manufacturing World'!$A$1:$AA$1,),))=0,#N/A, (VLOOKUP(B27,'DB PMI Manufacturing World'!$A:$AA,MATCH($K$1,'DB PMI Manufacturing World'!$A$1:$AA$1,),)))</f>
        <v/>
      </c>
      <c r="L27" s="38">
        <f>IF((VLOOKUP(B27,'DB PMI Manufacturing World'!$A:$AA,MATCH($L$1,'DB PMI Manufacturing World'!$A$1:$AA$1,),))=0,#N/A, (VLOOKUP(B27,'DB PMI Manufacturing World'!$A:$AA,MATCH($L$1,'DB PMI Manufacturing World'!$A$1:$AA$1,),)))</f>
        <v/>
      </c>
      <c r="M27" s="38">
        <f>IF((VLOOKUP(B27,'DB PMI Manufacturing World'!$A:$AA,MATCH($M$1,'DB PMI Manufacturing World'!$A$1:$AA$1,),))=0,#N/A, (VLOOKUP(B27,'DB PMI Manufacturing World'!$A:$AA,MATCH($M$1,'DB PMI Manufacturing World'!$A$1:$AA$1,),)))</f>
        <v/>
      </c>
      <c r="N27" s="38">
        <f>IF((VLOOKUP(B27,'DB PMI Manufacturing World'!$A:$AA,MATCH($N$1,'DB PMI Manufacturing World'!$A$1:$AA$1,),))=0,#N/A, (VLOOKUP(B27,'DB PMI Manufacturing World'!$A:$AA,MATCH($N$1,'DB PMI Manufacturing World'!$A$1:$AA$1,),)))</f>
        <v/>
      </c>
      <c r="O27" s="38">
        <f>IF((VLOOKUP(B27,'DB PMI Manufacturing World'!$A:$AA,MATCH($O$1,'DB PMI Manufacturing World'!$A$1:$AA$1,),))=0,#N/A, (VLOOKUP(B27,'DB PMI Manufacturing World'!$A:$AA,MATCH($O$1,'DB PMI Manufacturing World'!$A$1:$AA$1,),)))</f>
        <v/>
      </c>
      <c r="P27" s="38">
        <f>IF((VLOOKUP(B27,'DB PMI Manufacturing World'!$A:$AA,MATCH($P$1,'DB PMI Manufacturing World'!$A$1:$AA$1,),))=0,#N/A, (VLOOKUP(B27,'DB PMI Manufacturing World'!$A:$AA,MATCH($P$1,'DB PMI Manufacturing World'!$A$1:$AA$1,),)))</f>
        <v/>
      </c>
      <c r="Q27" s="38">
        <f>IF((VLOOKUP(B27,'DB PMI Manufacturing World'!$A:$AA,MATCH($Q$1,'DB PMI Manufacturing World'!$A$1:$AA$1,),))=0,#N/A, (VLOOKUP(B27,'DB PMI Manufacturing World'!$A:$AA,MATCH($Q$1,'DB PMI Manufacturing World'!$A$1:$AA$1,),)))</f>
        <v/>
      </c>
      <c r="R27" s="38">
        <f>IF((VLOOKUP(B27,'DB PMI Manufacturing World'!$A:$AA,MATCH($R$1,'DB PMI Manufacturing World'!$A$1:$AA$1,),))=0,#N/A, (VLOOKUP(B27,'DB PMI Manufacturing World'!$A:$AA,MATCH($R$1,'DB PMI Manufacturing World'!$A$1:$AA$1,),)))</f>
        <v/>
      </c>
      <c r="S27" s="38">
        <f>IF((VLOOKUP(B27,'DB PMI Manufacturing World'!$A:$AA,MATCH($S$1,'DB PMI Manufacturing World'!$A$1:$AA$1,),))=0,#N/A, (VLOOKUP(B27,'DB PMI Manufacturing World'!$A:$AA,MATCH($S$1,'DB PMI Manufacturing World'!$A$1:$AA$1,),)))</f>
        <v/>
      </c>
      <c r="T27" s="38">
        <f>IF((VLOOKUP(B27,'DB PMI Manufacturing World'!$A:$AA,MATCH($T$1,'DB PMI Manufacturing World'!$A$1:$AA$1,),))=0,#N/A, (VLOOKUP(B27,'DB PMI Manufacturing World'!$A:$AA,MATCH($T$1,'DB PMI Manufacturing World'!$A$1:$AA$1,),)))</f>
        <v/>
      </c>
      <c r="U27" s="38">
        <f>IF((VLOOKUP(B27,'DB PMI Manufacturing World'!$A:$AA,MATCH($U$1,'DB PMI Manufacturing World'!$A$1:$AA$1,),))=0,#N/A, (VLOOKUP(B27,'DB PMI Manufacturing World'!$A:$AA,MATCH($U$1,'DB PMI Manufacturing World'!$A$1:$AA$1,),)))</f>
        <v/>
      </c>
      <c r="V27" s="38">
        <f>IF((VLOOKUP(B27,'DB PMI Manufacturing World'!$A:$AA,MATCH($V$1,'DB PMI Manufacturing World'!$A$1:$AA$1,),))=0,#N/A, (VLOOKUP(B27,'DB PMI Manufacturing World'!$A:$AA,MATCH($V$1,'DB PMI Manufacturing World'!$A$1:$AA$1,),)))</f>
        <v/>
      </c>
      <c r="W27" s="38">
        <f>IF((VLOOKUP(B27,'DB PMI Manufacturing World'!$A:$AA,MATCH($W$1,'DB PMI Manufacturing World'!$A$1:$AA$1,),))=0,#N/A, (VLOOKUP(B27,'DB PMI Manufacturing World'!$A:$AA,MATCH($W$1,'DB PMI Manufacturing World'!$A$1:$AA$1,),)))</f>
        <v/>
      </c>
      <c r="X27" s="38">
        <f>IF((VLOOKUP(B27,'DB PMI Manufacturing World'!$A:$AA,MATCH($X$1,'DB PMI Manufacturing World'!$A$1:$AA$1,),))=0,#N/A, (VLOOKUP(B27,'DB PMI Manufacturing World'!$A:$AA,MATCH($X$1,'DB PMI Manufacturing World'!$A$1:$AA$1,),)))</f>
        <v/>
      </c>
      <c r="Y27" s="38">
        <f>IF((VLOOKUP(B27,'DB PMI Manufacturing World'!$A:$AA,MATCH($Y$1,'DB PMI Manufacturing World'!$A$1:$AA$1,),))=0,#N/A, (VLOOKUP(B27,'DB PMI Manufacturing World'!$A:$AA,MATCH($Y$1,'DB PMI Manufacturing World'!$A$1:$AA$1,),)))</f>
        <v/>
      </c>
      <c r="Z27" s="38">
        <f>IF((VLOOKUP(B27,'DB PMI Manufacturing World'!$A:$AA,MATCH($Z$1,'DB PMI Manufacturing World'!$A$1:$AA$1,),))=0,#N/A, (VLOOKUP(B27,'DB PMI Manufacturing World'!$A:$AA,MATCH($Z$1,'DB PMI Manufacturing World'!$A$1:$AA$1,),)))</f>
        <v/>
      </c>
      <c r="AA27" s="38">
        <f>IF((VLOOKUP(B27,'DB PMI Manufacturing World'!$A:$AA,MATCH($AA$1,'DB PMI Manufacturing World'!$A$1:$AA$1,),))=0,#N/A, (VLOOKUP(B27,'DB PMI Manufacturing World'!$A:$AA,MATCH($AA$1,'DB PMI Manufacturing World'!$A$1:$AA$1,),)))</f>
        <v/>
      </c>
      <c r="AB27" s="38">
        <f>IF((VLOOKUP(B27,'DB PMI Manufacturing World'!$A:$AA,MATCH($AB$1,'DB PMI Manufacturing World'!$A$1:$AA$1,),))=0,#N/A, (VLOOKUP(B27,'DB PMI Manufacturing World'!$A:$AA,MATCH($AB$1,'DB PMI Manufacturing World'!$A$1:$AA$1,),)))</f>
        <v/>
      </c>
    </row>
    <row r="28">
      <c r="B28" s="29" t="n">
        <v>43374</v>
      </c>
      <c r="C28" s="38">
        <f>IF((VLOOKUP(B28,'DB PMI Manufacturing World'!$A:$AA,MATCH($C$1,'DB PMI Manufacturing World'!$A$1:$AA$1,),))=0,#N/A, (VLOOKUP(B28,'DB PMI Manufacturing World'!$A:$AA,MATCH($C$1,'DB PMI Manufacturing World'!$A$1:$AA$1,),)))</f>
        <v/>
      </c>
      <c r="D28" s="38">
        <f>IF((VLOOKUP(B28,'DB PMI Manufacturing World'!$A:$AA,MATCH($D$1,'DB PMI Manufacturing World'!$A$1:$AA$1,),))=0,#N/A, (VLOOKUP(B28,'DB PMI Manufacturing World'!$A:$AA,MATCH($D$1,'DB PMI Manufacturing World'!$A$1:$AA$1,),)))</f>
        <v/>
      </c>
      <c r="E28" s="38">
        <f>IF((VLOOKUP(B28,'DB PMI Manufacturing World'!$A:$AA,MATCH($E$1,'DB PMI Manufacturing World'!$A$1:$AA$1,),))=0,#N/A, (VLOOKUP(B28,'DB PMI Manufacturing World'!$A:$AA,MATCH($E$1,'DB PMI Manufacturing World'!$A$1:$AA$1,),)))</f>
        <v/>
      </c>
      <c r="F28" s="38">
        <f>IF((VLOOKUP(B28,'DB PMI Manufacturing World'!$A:$AA,MATCH($F$1,'DB PMI Manufacturing World'!$A$1:$AA$1,),))=0,#N/A, (VLOOKUP(B28,'DB PMI Manufacturing World'!$A:$AA,MATCH($F$1,'DB PMI Manufacturing World'!$A$1:$AA$1,),)))</f>
        <v/>
      </c>
      <c r="G28" s="38">
        <f>IF((VLOOKUP(B28,'DB PMI Manufacturing World'!$A:$AA,MATCH($G$1,'DB PMI Manufacturing World'!$A$1:$AA$1,),))=0,#N/A, (VLOOKUP(B28,'DB PMI Manufacturing World'!$A:$AA,MATCH($G$1,'DB PMI Manufacturing World'!$A$1:$AA$1,),)))</f>
        <v/>
      </c>
      <c r="H28" s="38">
        <f>IF((VLOOKUP(B28,'DB PMI Manufacturing World'!$A:$AA,MATCH($H$1,'DB PMI Manufacturing World'!$A$1:$AA$1,),))=0,#N/A, (VLOOKUP(B28,'DB PMI Manufacturing World'!$A:$AA,MATCH($H$1,'DB PMI Manufacturing World'!$A$1:$AA$1,),)))</f>
        <v/>
      </c>
      <c r="I28" s="38">
        <f>IF((VLOOKUP(B28,'DB PMI Manufacturing World'!$A:$AA,MATCH($I$1,'DB PMI Manufacturing World'!$A$1:$AA$1,),))=0,#N/A, (VLOOKUP(B28,'DB PMI Manufacturing World'!$A:$AA,MATCH($I$1,'DB PMI Manufacturing World'!$A$1:$AA$1,),)))</f>
        <v/>
      </c>
      <c r="J28" s="38">
        <f>IF((VLOOKUP(B28,'DB PMI Manufacturing World'!$A:$AA,MATCH($J$1,'DB PMI Manufacturing World'!$A$1:$AA$1,),))=0,#N/A, (VLOOKUP(B28,'DB PMI Manufacturing World'!$A:$AA,MATCH($J$1,'DB PMI Manufacturing World'!$A$1:$AA$1,),)))</f>
        <v/>
      </c>
      <c r="K28" s="38">
        <f>IF((VLOOKUP(B28,'DB PMI Manufacturing World'!$A:$AA,MATCH($K$1,'DB PMI Manufacturing World'!$A$1:$AA$1,),))=0,#N/A, (VLOOKUP(B28,'DB PMI Manufacturing World'!$A:$AA,MATCH($K$1,'DB PMI Manufacturing World'!$A$1:$AA$1,),)))</f>
        <v/>
      </c>
      <c r="L28" s="38">
        <f>IF((VLOOKUP(B28,'DB PMI Manufacturing World'!$A:$AA,MATCH($L$1,'DB PMI Manufacturing World'!$A$1:$AA$1,),))=0,#N/A, (VLOOKUP(B28,'DB PMI Manufacturing World'!$A:$AA,MATCH($L$1,'DB PMI Manufacturing World'!$A$1:$AA$1,),)))</f>
        <v/>
      </c>
      <c r="M28" s="38">
        <f>IF((VLOOKUP(B28,'DB PMI Manufacturing World'!$A:$AA,MATCH($M$1,'DB PMI Manufacturing World'!$A$1:$AA$1,),))=0,#N/A, (VLOOKUP(B28,'DB PMI Manufacturing World'!$A:$AA,MATCH($M$1,'DB PMI Manufacturing World'!$A$1:$AA$1,),)))</f>
        <v/>
      </c>
      <c r="N28" s="38">
        <f>IF((VLOOKUP(B28,'DB PMI Manufacturing World'!$A:$AA,MATCH($N$1,'DB PMI Manufacturing World'!$A$1:$AA$1,),))=0,#N/A, (VLOOKUP(B28,'DB PMI Manufacturing World'!$A:$AA,MATCH($N$1,'DB PMI Manufacturing World'!$A$1:$AA$1,),)))</f>
        <v/>
      </c>
      <c r="O28" s="38">
        <f>IF((VLOOKUP(B28,'DB PMI Manufacturing World'!$A:$AA,MATCH($O$1,'DB PMI Manufacturing World'!$A$1:$AA$1,),))=0,#N/A, (VLOOKUP(B28,'DB PMI Manufacturing World'!$A:$AA,MATCH($O$1,'DB PMI Manufacturing World'!$A$1:$AA$1,),)))</f>
        <v/>
      </c>
      <c r="P28" s="38">
        <f>IF((VLOOKUP(B28,'DB PMI Manufacturing World'!$A:$AA,MATCH($P$1,'DB PMI Manufacturing World'!$A$1:$AA$1,),))=0,#N/A, (VLOOKUP(B28,'DB PMI Manufacturing World'!$A:$AA,MATCH($P$1,'DB PMI Manufacturing World'!$A$1:$AA$1,),)))</f>
        <v/>
      </c>
      <c r="Q28" s="38">
        <f>IF((VLOOKUP(B28,'DB PMI Manufacturing World'!$A:$AA,MATCH($Q$1,'DB PMI Manufacturing World'!$A$1:$AA$1,),))=0,#N/A, (VLOOKUP(B28,'DB PMI Manufacturing World'!$A:$AA,MATCH($Q$1,'DB PMI Manufacturing World'!$A$1:$AA$1,),)))</f>
        <v/>
      </c>
      <c r="R28" s="38">
        <f>IF((VLOOKUP(B28,'DB PMI Manufacturing World'!$A:$AA,MATCH($R$1,'DB PMI Manufacturing World'!$A$1:$AA$1,),))=0,#N/A, (VLOOKUP(B28,'DB PMI Manufacturing World'!$A:$AA,MATCH($R$1,'DB PMI Manufacturing World'!$A$1:$AA$1,),)))</f>
        <v/>
      </c>
      <c r="S28" s="38">
        <f>IF((VLOOKUP(B28,'DB PMI Manufacturing World'!$A:$AA,MATCH($S$1,'DB PMI Manufacturing World'!$A$1:$AA$1,),))=0,#N/A, (VLOOKUP(B28,'DB PMI Manufacturing World'!$A:$AA,MATCH($S$1,'DB PMI Manufacturing World'!$A$1:$AA$1,),)))</f>
        <v/>
      </c>
      <c r="T28" s="38">
        <f>IF((VLOOKUP(B28,'DB PMI Manufacturing World'!$A:$AA,MATCH($T$1,'DB PMI Manufacturing World'!$A$1:$AA$1,),))=0,#N/A, (VLOOKUP(B28,'DB PMI Manufacturing World'!$A:$AA,MATCH($T$1,'DB PMI Manufacturing World'!$A$1:$AA$1,),)))</f>
        <v/>
      </c>
      <c r="U28" s="38">
        <f>IF((VLOOKUP(B28,'DB PMI Manufacturing World'!$A:$AA,MATCH($U$1,'DB PMI Manufacturing World'!$A$1:$AA$1,),))=0,#N/A, (VLOOKUP(B28,'DB PMI Manufacturing World'!$A:$AA,MATCH($U$1,'DB PMI Manufacturing World'!$A$1:$AA$1,),)))</f>
        <v/>
      </c>
      <c r="V28" s="38">
        <f>IF((VLOOKUP(B28,'DB PMI Manufacturing World'!$A:$AA,MATCH($V$1,'DB PMI Manufacturing World'!$A$1:$AA$1,),))=0,#N/A, (VLOOKUP(B28,'DB PMI Manufacturing World'!$A:$AA,MATCH($V$1,'DB PMI Manufacturing World'!$A$1:$AA$1,),)))</f>
        <v/>
      </c>
      <c r="W28" s="38">
        <f>IF((VLOOKUP(B28,'DB PMI Manufacturing World'!$A:$AA,MATCH($W$1,'DB PMI Manufacturing World'!$A$1:$AA$1,),))=0,#N/A, (VLOOKUP(B28,'DB PMI Manufacturing World'!$A:$AA,MATCH($W$1,'DB PMI Manufacturing World'!$A$1:$AA$1,),)))</f>
        <v/>
      </c>
      <c r="X28" s="38">
        <f>IF((VLOOKUP(B28,'DB PMI Manufacturing World'!$A:$AA,MATCH($X$1,'DB PMI Manufacturing World'!$A$1:$AA$1,),))=0,#N/A, (VLOOKUP(B28,'DB PMI Manufacturing World'!$A:$AA,MATCH($X$1,'DB PMI Manufacturing World'!$A$1:$AA$1,),)))</f>
        <v/>
      </c>
      <c r="Y28" s="38">
        <f>IF((VLOOKUP(B28,'DB PMI Manufacturing World'!$A:$AA,MATCH($Y$1,'DB PMI Manufacturing World'!$A$1:$AA$1,),))=0,#N/A, (VLOOKUP(B28,'DB PMI Manufacturing World'!$A:$AA,MATCH($Y$1,'DB PMI Manufacturing World'!$A$1:$AA$1,),)))</f>
        <v/>
      </c>
      <c r="Z28" s="38">
        <f>IF((VLOOKUP(B28,'DB PMI Manufacturing World'!$A:$AA,MATCH($Z$1,'DB PMI Manufacturing World'!$A$1:$AA$1,),))=0,#N/A, (VLOOKUP(B28,'DB PMI Manufacturing World'!$A:$AA,MATCH($Z$1,'DB PMI Manufacturing World'!$A$1:$AA$1,),)))</f>
        <v/>
      </c>
      <c r="AA28" s="38">
        <f>IF((VLOOKUP(B28,'DB PMI Manufacturing World'!$A:$AA,MATCH($AA$1,'DB PMI Manufacturing World'!$A$1:$AA$1,),))=0,#N/A, (VLOOKUP(B28,'DB PMI Manufacturing World'!$A:$AA,MATCH($AA$1,'DB PMI Manufacturing World'!$A$1:$AA$1,),)))</f>
        <v/>
      </c>
      <c r="AB28" s="38">
        <f>IF((VLOOKUP(B28,'DB PMI Manufacturing World'!$A:$AA,MATCH($AB$1,'DB PMI Manufacturing World'!$A$1:$AA$1,),))=0,#N/A, (VLOOKUP(B28,'DB PMI Manufacturing World'!$A:$AA,MATCH($AB$1,'DB PMI Manufacturing World'!$A$1:$AA$1,),)))</f>
        <v/>
      </c>
    </row>
    <row r="29">
      <c r="B29" s="29" t="n">
        <v>43405</v>
      </c>
      <c r="C29" s="38">
        <f>IF((VLOOKUP(B29,'DB PMI Manufacturing World'!$A:$AA,MATCH($C$1,'DB PMI Manufacturing World'!$A$1:$AA$1,),))=0,#N/A, (VLOOKUP(B29,'DB PMI Manufacturing World'!$A:$AA,MATCH($C$1,'DB PMI Manufacturing World'!$A$1:$AA$1,),)))</f>
        <v/>
      </c>
      <c r="D29" s="38">
        <f>IF((VLOOKUP(B29,'DB PMI Manufacturing World'!$A:$AA,MATCH($D$1,'DB PMI Manufacturing World'!$A$1:$AA$1,),))=0,#N/A, (VLOOKUP(B29,'DB PMI Manufacturing World'!$A:$AA,MATCH($D$1,'DB PMI Manufacturing World'!$A$1:$AA$1,),)))</f>
        <v/>
      </c>
      <c r="E29" s="38">
        <f>IF((VLOOKUP(B29,'DB PMI Manufacturing World'!$A:$AA,MATCH($E$1,'DB PMI Manufacturing World'!$A$1:$AA$1,),))=0,#N/A, (VLOOKUP(B29,'DB PMI Manufacturing World'!$A:$AA,MATCH($E$1,'DB PMI Manufacturing World'!$A$1:$AA$1,),)))</f>
        <v/>
      </c>
      <c r="F29" s="38">
        <f>IF((VLOOKUP(B29,'DB PMI Manufacturing World'!$A:$AA,MATCH($F$1,'DB PMI Manufacturing World'!$A$1:$AA$1,),))=0,#N/A, (VLOOKUP(B29,'DB PMI Manufacturing World'!$A:$AA,MATCH($F$1,'DB PMI Manufacturing World'!$A$1:$AA$1,),)))</f>
        <v/>
      </c>
      <c r="G29" s="38">
        <f>IF((VLOOKUP(B29,'DB PMI Manufacturing World'!$A:$AA,MATCH($G$1,'DB PMI Manufacturing World'!$A$1:$AA$1,),))=0,#N/A, (VLOOKUP(B29,'DB PMI Manufacturing World'!$A:$AA,MATCH($G$1,'DB PMI Manufacturing World'!$A$1:$AA$1,),)))</f>
        <v/>
      </c>
      <c r="H29" s="38">
        <f>IF((VLOOKUP(B29,'DB PMI Manufacturing World'!$A:$AA,MATCH($H$1,'DB PMI Manufacturing World'!$A$1:$AA$1,),))=0,#N/A, (VLOOKUP(B29,'DB PMI Manufacturing World'!$A:$AA,MATCH($H$1,'DB PMI Manufacturing World'!$A$1:$AA$1,),)))</f>
        <v/>
      </c>
      <c r="I29" s="38">
        <f>IF((VLOOKUP(B29,'DB PMI Manufacturing World'!$A:$AA,MATCH($I$1,'DB PMI Manufacturing World'!$A$1:$AA$1,),))=0,#N/A, (VLOOKUP(B29,'DB PMI Manufacturing World'!$A:$AA,MATCH($I$1,'DB PMI Manufacturing World'!$A$1:$AA$1,),)))</f>
        <v/>
      </c>
      <c r="J29" s="38">
        <f>IF((VLOOKUP(B29,'DB PMI Manufacturing World'!$A:$AA,MATCH($J$1,'DB PMI Manufacturing World'!$A$1:$AA$1,),))=0,#N/A, (VLOOKUP(B29,'DB PMI Manufacturing World'!$A:$AA,MATCH($J$1,'DB PMI Manufacturing World'!$A$1:$AA$1,),)))</f>
        <v/>
      </c>
      <c r="K29" s="38">
        <f>IF((VLOOKUP(B29,'DB PMI Manufacturing World'!$A:$AA,MATCH($K$1,'DB PMI Manufacturing World'!$A$1:$AA$1,),))=0,#N/A, (VLOOKUP(B29,'DB PMI Manufacturing World'!$A:$AA,MATCH($K$1,'DB PMI Manufacturing World'!$A$1:$AA$1,),)))</f>
        <v/>
      </c>
      <c r="L29" s="38">
        <f>IF((VLOOKUP(B29,'DB PMI Manufacturing World'!$A:$AA,MATCH($L$1,'DB PMI Manufacturing World'!$A$1:$AA$1,),))=0,#N/A, (VLOOKUP(B29,'DB PMI Manufacturing World'!$A:$AA,MATCH($L$1,'DB PMI Manufacturing World'!$A$1:$AA$1,),)))</f>
        <v/>
      </c>
      <c r="M29" s="38">
        <f>IF((VLOOKUP(B29,'DB PMI Manufacturing World'!$A:$AA,MATCH($M$1,'DB PMI Manufacturing World'!$A$1:$AA$1,),))=0,#N/A, (VLOOKUP(B29,'DB PMI Manufacturing World'!$A:$AA,MATCH($M$1,'DB PMI Manufacturing World'!$A$1:$AA$1,),)))</f>
        <v/>
      </c>
      <c r="N29" s="38">
        <f>IF((VLOOKUP(B29,'DB PMI Manufacturing World'!$A:$AA,MATCH($N$1,'DB PMI Manufacturing World'!$A$1:$AA$1,),))=0,#N/A, (VLOOKUP(B29,'DB PMI Manufacturing World'!$A:$AA,MATCH($N$1,'DB PMI Manufacturing World'!$A$1:$AA$1,),)))</f>
        <v/>
      </c>
      <c r="O29" s="38">
        <f>IF((VLOOKUP(B29,'DB PMI Manufacturing World'!$A:$AA,MATCH($O$1,'DB PMI Manufacturing World'!$A$1:$AA$1,),))=0,#N/A, (VLOOKUP(B29,'DB PMI Manufacturing World'!$A:$AA,MATCH($O$1,'DB PMI Manufacturing World'!$A$1:$AA$1,),)))</f>
        <v/>
      </c>
      <c r="P29" s="38">
        <f>IF((VLOOKUP(B29,'DB PMI Manufacturing World'!$A:$AA,MATCH($P$1,'DB PMI Manufacturing World'!$A$1:$AA$1,),))=0,#N/A, (VLOOKUP(B29,'DB PMI Manufacturing World'!$A:$AA,MATCH($P$1,'DB PMI Manufacturing World'!$A$1:$AA$1,),)))</f>
        <v/>
      </c>
      <c r="Q29" s="38">
        <f>IF((VLOOKUP(B29,'DB PMI Manufacturing World'!$A:$AA,MATCH($Q$1,'DB PMI Manufacturing World'!$A$1:$AA$1,),))=0,#N/A, (VLOOKUP(B29,'DB PMI Manufacturing World'!$A:$AA,MATCH($Q$1,'DB PMI Manufacturing World'!$A$1:$AA$1,),)))</f>
        <v/>
      </c>
      <c r="R29" s="38">
        <f>IF((VLOOKUP(B29,'DB PMI Manufacturing World'!$A:$AA,MATCH($R$1,'DB PMI Manufacturing World'!$A$1:$AA$1,),))=0,#N/A, (VLOOKUP(B29,'DB PMI Manufacturing World'!$A:$AA,MATCH($R$1,'DB PMI Manufacturing World'!$A$1:$AA$1,),)))</f>
        <v/>
      </c>
      <c r="S29" s="38">
        <f>IF((VLOOKUP(B29,'DB PMI Manufacturing World'!$A:$AA,MATCH($S$1,'DB PMI Manufacturing World'!$A$1:$AA$1,),))=0,#N/A, (VLOOKUP(B29,'DB PMI Manufacturing World'!$A:$AA,MATCH($S$1,'DB PMI Manufacturing World'!$A$1:$AA$1,),)))</f>
        <v/>
      </c>
      <c r="T29" s="38">
        <f>IF((VLOOKUP(B29,'DB PMI Manufacturing World'!$A:$AA,MATCH($T$1,'DB PMI Manufacturing World'!$A$1:$AA$1,),))=0,#N/A, (VLOOKUP(B29,'DB PMI Manufacturing World'!$A:$AA,MATCH($T$1,'DB PMI Manufacturing World'!$A$1:$AA$1,),)))</f>
        <v/>
      </c>
      <c r="U29" s="38">
        <f>IF((VLOOKUP(B29,'DB PMI Manufacturing World'!$A:$AA,MATCH($U$1,'DB PMI Manufacturing World'!$A$1:$AA$1,),))=0,#N/A, (VLOOKUP(B29,'DB PMI Manufacturing World'!$A:$AA,MATCH($U$1,'DB PMI Manufacturing World'!$A$1:$AA$1,),)))</f>
        <v/>
      </c>
      <c r="V29" s="38">
        <f>IF((VLOOKUP(B29,'DB PMI Manufacturing World'!$A:$AA,MATCH($V$1,'DB PMI Manufacturing World'!$A$1:$AA$1,),))=0,#N/A, (VLOOKUP(B29,'DB PMI Manufacturing World'!$A:$AA,MATCH($V$1,'DB PMI Manufacturing World'!$A$1:$AA$1,),)))</f>
        <v/>
      </c>
      <c r="W29" s="38">
        <f>IF((VLOOKUP(B29,'DB PMI Manufacturing World'!$A:$AA,MATCH($W$1,'DB PMI Manufacturing World'!$A$1:$AA$1,),))=0,#N/A, (VLOOKUP(B29,'DB PMI Manufacturing World'!$A:$AA,MATCH($W$1,'DB PMI Manufacturing World'!$A$1:$AA$1,),)))</f>
        <v/>
      </c>
      <c r="X29" s="38">
        <f>IF((VLOOKUP(B29,'DB PMI Manufacturing World'!$A:$AA,MATCH($X$1,'DB PMI Manufacturing World'!$A$1:$AA$1,),))=0,#N/A, (VLOOKUP(B29,'DB PMI Manufacturing World'!$A:$AA,MATCH($X$1,'DB PMI Manufacturing World'!$A$1:$AA$1,),)))</f>
        <v/>
      </c>
      <c r="Y29" s="38">
        <f>IF((VLOOKUP(B29,'DB PMI Manufacturing World'!$A:$AA,MATCH($Y$1,'DB PMI Manufacturing World'!$A$1:$AA$1,),))=0,#N/A, (VLOOKUP(B29,'DB PMI Manufacturing World'!$A:$AA,MATCH($Y$1,'DB PMI Manufacturing World'!$A$1:$AA$1,),)))</f>
        <v/>
      </c>
      <c r="Z29" s="38">
        <f>IF((VLOOKUP(B29,'DB PMI Manufacturing World'!$A:$AA,MATCH($Z$1,'DB PMI Manufacturing World'!$A$1:$AA$1,),))=0,#N/A, (VLOOKUP(B29,'DB PMI Manufacturing World'!$A:$AA,MATCH($Z$1,'DB PMI Manufacturing World'!$A$1:$AA$1,),)))</f>
        <v/>
      </c>
      <c r="AA29" s="38">
        <f>IF((VLOOKUP(B29,'DB PMI Manufacturing World'!$A:$AA,MATCH($AA$1,'DB PMI Manufacturing World'!$A$1:$AA$1,),))=0,#N/A, (VLOOKUP(B29,'DB PMI Manufacturing World'!$A:$AA,MATCH($AA$1,'DB PMI Manufacturing World'!$A$1:$AA$1,),)))</f>
        <v/>
      </c>
      <c r="AB29" s="38">
        <f>IF((VLOOKUP(B29,'DB PMI Manufacturing World'!$A:$AA,MATCH($AB$1,'DB PMI Manufacturing World'!$A$1:$AA$1,),))=0,#N/A, (VLOOKUP(B29,'DB PMI Manufacturing World'!$A:$AA,MATCH($AB$1,'DB PMI Manufacturing World'!$A$1:$AA$1,),)))</f>
        <v/>
      </c>
    </row>
    <row r="30">
      <c r="B30" s="29" t="n">
        <v>43435</v>
      </c>
      <c r="C30" s="38">
        <f>IF((VLOOKUP(B30,'DB PMI Manufacturing World'!$A:$AA,MATCH($C$1,'DB PMI Manufacturing World'!$A$1:$AA$1,),))=0,#N/A, (VLOOKUP(B30,'DB PMI Manufacturing World'!$A:$AA,MATCH($C$1,'DB PMI Manufacturing World'!$A$1:$AA$1,),)))</f>
        <v/>
      </c>
      <c r="D30" s="38">
        <f>IF((VLOOKUP(B30,'DB PMI Manufacturing World'!$A:$AA,MATCH($D$1,'DB PMI Manufacturing World'!$A$1:$AA$1,),))=0,#N/A, (VLOOKUP(B30,'DB PMI Manufacturing World'!$A:$AA,MATCH($D$1,'DB PMI Manufacturing World'!$A$1:$AA$1,),)))</f>
        <v/>
      </c>
      <c r="E30" s="38">
        <f>IF((VLOOKUP(B30,'DB PMI Manufacturing World'!$A:$AA,MATCH($E$1,'DB PMI Manufacturing World'!$A$1:$AA$1,),))=0,#N/A, (VLOOKUP(B30,'DB PMI Manufacturing World'!$A:$AA,MATCH($E$1,'DB PMI Manufacturing World'!$A$1:$AA$1,),)))</f>
        <v/>
      </c>
      <c r="F30" s="38">
        <f>IF((VLOOKUP(B30,'DB PMI Manufacturing World'!$A:$AA,MATCH($F$1,'DB PMI Manufacturing World'!$A$1:$AA$1,),))=0,#N/A, (VLOOKUP(B30,'DB PMI Manufacturing World'!$A:$AA,MATCH($F$1,'DB PMI Manufacturing World'!$A$1:$AA$1,),)))</f>
        <v/>
      </c>
      <c r="G30" s="38">
        <f>IF((VLOOKUP(B30,'DB PMI Manufacturing World'!$A:$AA,MATCH($G$1,'DB PMI Manufacturing World'!$A$1:$AA$1,),))=0,#N/A, (VLOOKUP(B30,'DB PMI Manufacturing World'!$A:$AA,MATCH($G$1,'DB PMI Manufacturing World'!$A$1:$AA$1,),)))</f>
        <v/>
      </c>
      <c r="H30" s="38">
        <f>IF((VLOOKUP(B30,'DB PMI Manufacturing World'!$A:$AA,MATCH($H$1,'DB PMI Manufacturing World'!$A$1:$AA$1,),))=0,#N/A, (VLOOKUP(B30,'DB PMI Manufacturing World'!$A:$AA,MATCH($H$1,'DB PMI Manufacturing World'!$A$1:$AA$1,),)))</f>
        <v/>
      </c>
      <c r="I30" s="38">
        <f>IF((VLOOKUP(B30,'DB PMI Manufacturing World'!$A:$AA,MATCH($I$1,'DB PMI Manufacturing World'!$A$1:$AA$1,),))=0,#N/A, (VLOOKUP(B30,'DB PMI Manufacturing World'!$A:$AA,MATCH($I$1,'DB PMI Manufacturing World'!$A$1:$AA$1,),)))</f>
        <v/>
      </c>
      <c r="J30" s="38">
        <f>IF((VLOOKUP(B30,'DB PMI Manufacturing World'!$A:$AA,MATCH($J$1,'DB PMI Manufacturing World'!$A$1:$AA$1,),))=0,#N/A, (VLOOKUP(B30,'DB PMI Manufacturing World'!$A:$AA,MATCH($J$1,'DB PMI Manufacturing World'!$A$1:$AA$1,),)))</f>
        <v/>
      </c>
      <c r="K30" s="38">
        <f>IF((VLOOKUP(B30,'DB PMI Manufacturing World'!$A:$AA,MATCH($K$1,'DB PMI Manufacturing World'!$A$1:$AA$1,),))=0,#N/A, (VLOOKUP(B30,'DB PMI Manufacturing World'!$A:$AA,MATCH($K$1,'DB PMI Manufacturing World'!$A$1:$AA$1,),)))</f>
        <v/>
      </c>
      <c r="L30" s="38">
        <f>IF((VLOOKUP(B30,'DB PMI Manufacturing World'!$A:$AA,MATCH($L$1,'DB PMI Manufacturing World'!$A$1:$AA$1,),))=0,#N/A, (VLOOKUP(B30,'DB PMI Manufacturing World'!$A:$AA,MATCH($L$1,'DB PMI Manufacturing World'!$A$1:$AA$1,),)))</f>
        <v/>
      </c>
      <c r="M30" s="38">
        <f>IF((VLOOKUP(B30,'DB PMI Manufacturing World'!$A:$AA,MATCH($M$1,'DB PMI Manufacturing World'!$A$1:$AA$1,),))=0,#N/A, (VLOOKUP(B30,'DB PMI Manufacturing World'!$A:$AA,MATCH($M$1,'DB PMI Manufacturing World'!$A$1:$AA$1,),)))</f>
        <v/>
      </c>
      <c r="N30" s="38">
        <f>IF((VLOOKUP(B30,'DB PMI Manufacturing World'!$A:$AA,MATCH($N$1,'DB PMI Manufacturing World'!$A$1:$AA$1,),))=0,#N/A, (VLOOKUP(B30,'DB PMI Manufacturing World'!$A:$AA,MATCH($N$1,'DB PMI Manufacturing World'!$A$1:$AA$1,),)))</f>
        <v/>
      </c>
      <c r="O30" s="38">
        <f>IF((VLOOKUP(B30,'DB PMI Manufacturing World'!$A:$AA,MATCH($O$1,'DB PMI Manufacturing World'!$A$1:$AA$1,),))=0,#N/A, (VLOOKUP(B30,'DB PMI Manufacturing World'!$A:$AA,MATCH($O$1,'DB PMI Manufacturing World'!$A$1:$AA$1,),)))</f>
        <v/>
      </c>
      <c r="P30" s="38">
        <f>IF((VLOOKUP(B30,'DB PMI Manufacturing World'!$A:$AA,MATCH($P$1,'DB PMI Manufacturing World'!$A$1:$AA$1,),))=0,#N/A, (VLOOKUP(B30,'DB PMI Manufacturing World'!$A:$AA,MATCH($P$1,'DB PMI Manufacturing World'!$A$1:$AA$1,),)))</f>
        <v/>
      </c>
      <c r="Q30" s="38">
        <f>IF((VLOOKUP(B30,'DB PMI Manufacturing World'!$A:$AA,MATCH($Q$1,'DB PMI Manufacturing World'!$A$1:$AA$1,),))=0,#N/A, (VLOOKUP(B30,'DB PMI Manufacturing World'!$A:$AA,MATCH($Q$1,'DB PMI Manufacturing World'!$A$1:$AA$1,),)))</f>
        <v/>
      </c>
      <c r="R30" s="38">
        <f>IF((VLOOKUP(B30,'DB PMI Manufacturing World'!$A:$AA,MATCH($R$1,'DB PMI Manufacturing World'!$A$1:$AA$1,),))=0,#N/A, (VLOOKUP(B30,'DB PMI Manufacturing World'!$A:$AA,MATCH($R$1,'DB PMI Manufacturing World'!$A$1:$AA$1,),)))</f>
        <v/>
      </c>
      <c r="S30" s="38">
        <f>IF((VLOOKUP(B30,'DB PMI Manufacturing World'!$A:$AA,MATCH($S$1,'DB PMI Manufacturing World'!$A$1:$AA$1,),))=0,#N/A, (VLOOKUP(B30,'DB PMI Manufacturing World'!$A:$AA,MATCH($S$1,'DB PMI Manufacturing World'!$A$1:$AA$1,),)))</f>
        <v/>
      </c>
      <c r="T30" s="38">
        <f>IF((VLOOKUP(B30,'DB PMI Manufacturing World'!$A:$AA,MATCH($T$1,'DB PMI Manufacturing World'!$A$1:$AA$1,),))=0,#N/A, (VLOOKUP(B30,'DB PMI Manufacturing World'!$A:$AA,MATCH($T$1,'DB PMI Manufacturing World'!$A$1:$AA$1,),)))</f>
        <v/>
      </c>
      <c r="U30" s="38">
        <f>IF((VLOOKUP(B30,'DB PMI Manufacturing World'!$A:$AA,MATCH($U$1,'DB PMI Manufacturing World'!$A$1:$AA$1,),))=0,#N/A, (VLOOKUP(B30,'DB PMI Manufacturing World'!$A:$AA,MATCH($U$1,'DB PMI Manufacturing World'!$A$1:$AA$1,),)))</f>
        <v/>
      </c>
      <c r="V30" s="38">
        <f>IF((VLOOKUP(B30,'DB PMI Manufacturing World'!$A:$AA,MATCH($V$1,'DB PMI Manufacturing World'!$A$1:$AA$1,),))=0,#N/A, (VLOOKUP(B30,'DB PMI Manufacturing World'!$A:$AA,MATCH($V$1,'DB PMI Manufacturing World'!$A$1:$AA$1,),)))</f>
        <v/>
      </c>
      <c r="W30" s="38">
        <f>IF((VLOOKUP(B30,'DB PMI Manufacturing World'!$A:$AA,MATCH($W$1,'DB PMI Manufacturing World'!$A$1:$AA$1,),))=0,#N/A, (VLOOKUP(B30,'DB PMI Manufacturing World'!$A:$AA,MATCH($W$1,'DB PMI Manufacturing World'!$A$1:$AA$1,),)))</f>
        <v/>
      </c>
      <c r="X30" s="38">
        <f>IF((VLOOKUP(B30,'DB PMI Manufacturing World'!$A:$AA,MATCH($X$1,'DB PMI Manufacturing World'!$A$1:$AA$1,),))=0,#N/A, (VLOOKUP(B30,'DB PMI Manufacturing World'!$A:$AA,MATCH($X$1,'DB PMI Manufacturing World'!$A$1:$AA$1,),)))</f>
        <v/>
      </c>
      <c r="Y30" s="38">
        <f>IF((VLOOKUP(B30,'DB PMI Manufacturing World'!$A:$AA,MATCH($Y$1,'DB PMI Manufacturing World'!$A$1:$AA$1,),))=0,#N/A, (VLOOKUP(B30,'DB PMI Manufacturing World'!$A:$AA,MATCH($Y$1,'DB PMI Manufacturing World'!$A$1:$AA$1,),)))</f>
        <v/>
      </c>
      <c r="Z30" s="38">
        <f>IF((VLOOKUP(B30,'DB PMI Manufacturing World'!$A:$AA,MATCH($Z$1,'DB PMI Manufacturing World'!$A$1:$AA$1,),))=0,#N/A, (VLOOKUP(B30,'DB PMI Manufacturing World'!$A:$AA,MATCH($Z$1,'DB PMI Manufacturing World'!$A$1:$AA$1,),)))</f>
        <v/>
      </c>
      <c r="AA30" s="38">
        <f>IF((VLOOKUP(B30,'DB PMI Manufacturing World'!$A:$AA,MATCH($AA$1,'DB PMI Manufacturing World'!$A$1:$AA$1,),))=0,#N/A, (VLOOKUP(B30,'DB PMI Manufacturing World'!$A:$AA,MATCH($AA$1,'DB PMI Manufacturing World'!$A$1:$AA$1,),)))</f>
        <v/>
      </c>
      <c r="AB30" s="38">
        <f>IF((VLOOKUP(B30,'DB PMI Manufacturing World'!$A:$AA,MATCH($AB$1,'DB PMI Manufacturing World'!$A$1:$AA$1,),))=0,#N/A, (VLOOKUP(B30,'DB PMI Manufacturing World'!$A:$AA,MATCH($AB$1,'DB PMI Manufacturing World'!$A$1:$AA$1,),)))</f>
        <v/>
      </c>
    </row>
    <row r="31">
      <c r="B31" s="29" t="n">
        <v>43466</v>
      </c>
      <c r="C31" s="38">
        <f>IF((VLOOKUP(B31,'DB PMI Manufacturing World'!$A:$AA,MATCH($C$1,'DB PMI Manufacturing World'!$A$1:$AA$1,),))=0,#N/A, (VLOOKUP(B31,'DB PMI Manufacturing World'!$A:$AA,MATCH($C$1,'DB PMI Manufacturing World'!$A$1:$AA$1,),)))</f>
        <v/>
      </c>
      <c r="D31" s="38">
        <f>IF((VLOOKUP(B31,'DB PMI Manufacturing World'!$A:$AA,MATCH($D$1,'DB PMI Manufacturing World'!$A$1:$AA$1,),))=0,#N/A, (VLOOKUP(B31,'DB PMI Manufacturing World'!$A:$AA,MATCH($D$1,'DB PMI Manufacturing World'!$A$1:$AA$1,),)))</f>
        <v/>
      </c>
      <c r="E31" s="38">
        <f>IF((VLOOKUP(B31,'DB PMI Manufacturing World'!$A:$AA,MATCH($E$1,'DB PMI Manufacturing World'!$A$1:$AA$1,),))=0,#N/A, (VLOOKUP(B31,'DB PMI Manufacturing World'!$A:$AA,MATCH($E$1,'DB PMI Manufacturing World'!$A$1:$AA$1,),)))</f>
        <v/>
      </c>
      <c r="F31" s="38">
        <f>IF((VLOOKUP(B31,'DB PMI Manufacturing World'!$A:$AA,MATCH($F$1,'DB PMI Manufacturing World'!$A$1:$AA$1,),))=0,#N/A, (VLOOKUP(B31,'DB PMI Manufacturing World'!$A:$AA,MATCH($F$1,'DB PMI Manufacturing World'!$A$1:$AA$1,),)))</f>
        <v/>
      </c>
      <c r="G31" s="38">
        <f>IF((VLOOKUP(B31,'DB PMI Manufacturing World'!$A:$AA,MATCH($G$1,'DB PMI Manufacturing World'!$A$1:$AA$1,),))=0,#N/A, (VLOOKUP(B31,'DB PMI Manufacturing World'!$A:$AA,MATCH($G$1,'DB PMI Manufacturing World'!$A$1:$AA$1,),)))</f>
        <v/>
      </c>
      <c r="H31" s="38">
        <f>IF((VLOOKUP(B31,'DB PMI Manufacturing World'!$A:$AA,MATCH($H$1,'DB PMI Manufacturing World'!$A$1:$AA$1,),))=0,#N/A, (VLOOKUP(B31,'DB PMI Manufacturing World'!$A:$AA,MATCH($H$1,'DB PMI Manufacturing World'!$A$1:$AA$1,),)))</f>
        <v/>
      </c>
      <c r="I31" s="38">
        <f>IF((VLOOKUP(B31,'DB PMI Manufacturing World'!$A:$AA,MATCH($I$1,'DB PMI Manufacturing World'!$A$1:$AA$1,),))=0,#N/A, (VLOOKUP(B31,'DB PMI Manufacturing World'!$A:$AA,MATCH($I$1,'DB PMI Manufacturing World'!$A$1:$AA$1,),)))</f>
        <v/>
      </c>
      <c r="J31" s="38">
        <f>IF((VLOOKUP(B31,'DB PMI Manufacturing World'!$A:$AA,MATCH($J$1,'DB PMI Manufacturing World'!$A$1:$AA$1,),))=0,#N/A, (VLOOKUP(B31,'DB PMI Manufacturing World'!$A:$AA,MATCH($J$1,'DB PMI Manufacturing World'!$A$1:$AA$1,),)))</f>
        <v/>
      </c>
      <c r="K31" s="38">
        <f>IF((VLOOKUP(B31,'DB PMI Manufacturing World'!$A:$AA,MATCH($K$1,'DB PMI Manufacturing World'!$A$1:$AA$1,),))=0,#N/A, (VLOOKUP(B31,'DB PMI Manufacturing World'!$A:$AA,MATCH($K$1,'DB PMI Manufacturing World'!$A$1:$AA$1,),)))</f>
        <v/>
      </c>
      <c r="L31" s="38">
        <f>IF((VLOOKUP(B31,'DB PMI Manufacturing World'!$A:$AA,MATCH($L$1,'DB PMI Manufacturing World'!$A$1:$AA$1,),))=0,#N/A, (VLOOKUP(B31,'DB PMI Manufacturing World'!$A:$AA,MATCH($L$1,'DB PMI Manufacturing World'!$A$1:$AA$1,),)))</f>
        <v/>
      </c>
      <c r="M31" s="38">
        <f>IF((VLOOKUP(B31,'DB PMI Manufacturing World'!$A:$AA,MATCH($M$1,'DB PMI Manufacturing World'!$A$1:$AA$1,),))=0,#N/A, (VLOOKUP(B31,'DB PMI Manufacturing World'!$A:$AA,MATCH($M$1,'DB PMI Manufacturing World'!$A$1:$AA$1,),)))</f>
        <v/>
      </c>
      <c r="N31" s="38">
        <f>IF((VLOOKUP(B31,'DB PMI Manufacturing World'!$A:$AA,MATCH($N$1,'DB PMI Manufacturing World'!$A$1:$AA$1,),))=0,#N/A, (VLOOKUP(B31,'DB PMI Manufacturing World'!$A:$AA,MATCH($N$1,'DB PMI Manufacturing World'!$A$1:$AA$1,),)))</f>
        <v/>
      </c>
      <c r="O31" s="38">
        <f>IF((VLOOKUP(B31,'DB PMI Manufacturing World'!$A:$AA,MATCH($O$1,'DB PMI Manufacturing World'!$A$1:$AA$1,),))=0,#N/A, (VLOOKUP(B31,'DB PMI Manufacturing World'!$A:$AA,MATCH($O$1,'DB PMI Manufacturing World'!$A$1:$AA$1,),)))</f>
        <v/>
      </c>
      <c r="P31" s="38">
        <f>IF((VLOOKUP(B31,'DB PMI Manufacturing World'!$A:$AA,MATCH($P$1,'DB PMI Manufacturing World'!$A$1:$AA$1,),))=0,#N/A, (VLOOKUP(B31,'DB PMI Manufacturing World'!$A:$AA,MATCH($P$1,'DB PMI Manufacturing World'!$A$1:$AA$1,),)))</f>
        <v/>
      </c>
      <c r="Q31" s="38">
        <f>IF((VLOOKUP(B31,'DB PMI Manufacturing World'!$A:$AA,MATCH($Q$1,'DB PMI Manufacturing World'!$A$1:$AA$1,),))=0,#N/A, (VLOOKUP(B31,'DB PMI Manufacturing World'!$A:$AA,MATCH($Q$1,'DB PMI Manufacturing World'!$A$1:$AA$1,),)))</f>
        <v/>
      </c>
      <c r="R31" s="38">
        <f>IF((VLOOKUP(B31,'DB PMI Manufacturing World'!$A:$AA,MATCH($R$1,'DB PMI Manufacturing World'!$A$1:$AA$1,),))=0,#N/A, (VLOOKUP(B31,'DB PMI Manufacturing World'!$A:$AA,MATCH($R$1,'DB PMI Manufacturing World'!$A$1:$AA$1,),)))</f>
        <v/>
      </c>
      <c r="S31" s="38">
        <f>IF((VLOOKUP(B31,'DB PMI Manufacturing World'!$A:$AA,MATCH($S$1,'DB PMI Manufacturing World'!$A$1:$AA$1,),))=0,#N/A, (VLOOKUP(B31,'DB PMI Manufacturing World'!$A:$AA,MATCH($S$1,'DB PMI Manufacturing World'!$A$1:$AA$1,),)))</f>
        <v/>
      </c>
      <c r="T31" s="38">
        <f>IF((VLOOKUP(B31,'DB PMI Manufacturing World'!$A:$AA,MATCH($T$1,'DB PMI Manufacturing World'!$A$1:$AA$1,),))=0,#N/A, (VLOOKUP(B31,'DB PMI Manufacturing World'!$A:$AA,MATCH($T$1,'DB PMI Manufacturing World'!$A$1:$AA$1,),)))</f>
        <v/>
      </c>
      <c r="U31" s="38">
        <f>IF((VLOOKUP(B31,'DB PMI Manufacturing World'!$A:$AA,MATCH($U$1,'DB PMI Manufacturing World'!$A$1:$AA$1,),))=0,#N/A, (VLOOKUP(B31,'DB PMI Manufacturing World'!$A:$AA,MATCH($U$1,'DB PMI Manufacturing World'!$A$1:$AA$1,),)))</f>
        <v/>
      </c>
      <c r="V31" s="38">
        <f>IF((VLOOKUP(B31,'DB PMI Manufacturing World'!$A:$AA,MATCH($V$1,'DB PMI Manufacturing World'!$A$1:$AA$1,),))=0,#N/A, (VLOOKUP(B31,'DB PMI Manufacturing World'!$A:$AA,MATCH($V$1,'DB PMI Manufacturing World'!$A$1:$AA$1,),)))</f>
        <v/>
      </c>
      <c r="W31" s="38">
        <f>IF((VLOOKUP(B31,'DB PMI Manufacturing World'!$A:$AA,MATCH($W$1,'DB PMI Manufacturing World'!$A$1:$AA$1,),))=0,#N/A, (VLOOKUP(B31,'DB PMI Manufacturing World'!$A:$AA,MATCH($W$1,'DB PMI Manufacturing World'!$A$1:$AA$1,),)))</f>
        <v/>
      </c>
      <c r="X31" s="38">
        <f>IF((VLOOKUP(B31,'DB PMI Manufacturing World'!$A:$AA,MATCH($X$1,'DB PMI Manufacturing World'!$A$1:$AA$1,),))=0,#N/A, (VLOOKUP(B31,'DB PMI Manufacturing World'!$A:$AA,MATCH($X$1,'DB PMI Manufacturing World'!$A$1:$AA$1,),)))</f>
        <v/>
      </c>
      <c r="Y31" s="38">
        <f>IF((VLOOKUP(B31,'DB PMI Manufacturing World'!$A:$AA,MATCH($Y$1,'DB PMI Manufacturing World'!$A$1:$AA$1,),))=0,#N/A, (VLOOKUP(B31,'DB PMI Manufacturing World'!$A:$AA,MATCH($Y$1,'DB PMI Manufacturing World'!$A$1:$AA$1,),)))</f>
        <v/>
      </c>
      <c r="Z31" s="38">
        <f>IF((VLOOKUP(B31,'DB PMI Manufacturing World'!$A:$AA,MATCH($Z$1,'DB PMI Manufacturing World'!$A$1:$AA$1,),))=0,#N/A, (VLOOKUP(B31,'DB PMI Manufacturing World'!$A:$AA,MATCH($Z$1,'DB PMI Manufacturing World'!$A$1:$AA$1,),)))</f>
        <v/>
      </c>
      <c r="AA31" s="38">
        <f>IF((VLOOKUP(B31,'DB PMI Manufacturing World'!$A:$AA,MATCH($AA$1,'DB PMI Manufacturing World'!$A$1:$AA$1,),))=0,#N/A, (VLOOKUP(B31,'DB PMI Manufacturing World'!$A:$AA,MATCH($AA$1,'DB PMI Manufacturing World'!$A$1:$AA$1,),)))</f>
        <v/>
      </c>
      <c r="AB31" s="38">
        <f>IF((VLOOKUP(B31,'DB PMI Manufacturing World'!$A:$AA,MATCH($AB$1,'DB PMI Manufacturing World'!$A$1:$AA$1,),))=0,#N/A, (VLOOKUP(B31,'DB PMI Manufacturing World'!$A:$AA,MATCH($AB$1,'DB PMI Manufacturing World'!$A$1:$AA$1,),)))</f>
        <v/>
      </c>
    </row>
    <row r="32">
      <c r="B32" s="29" t="n">
        <v>43497</v>
      </c>
      <c r="C32" s="38">
        <f>IF((VLOOKUP(B32,'DB PMI Manufacturing World'!$A:$AA,MATCH($C$1,'DB PMI Manufacturing World'!$A$1:$AA$1,),))=0,#N/A, (VLOOKUP(B32,'DB PMI Manufacturing World'!$A:$AA,MATCH($C$1,'DB PMI Manufacturing World'!$A$1:$AA$1,),)))</f>
        <v/>
      </c>
      <c r="D32" s="38">
        <f>IF((VLOOKUP(B32,'DB PMI Manufacturing World'!$A:$AA,MATCH($D$1,'DB PMI Manufacturing World'!$A$1:$AA$1,),))=0,#N/A, (VLOOKUP(B32,'DB PMI Manufacturing World'!$A:$AA,MATCH($D$1,'DB PMI Manufacturing World'!$A$1:$AA$1,),)))</f>
        <v/>
      </c>
      <c r="E32" s="38">
        <f>IF((VLOOKUP(B32,'DB PMI Manufacturing World'!$A:$AA,MATCH($E$1,'DB PMI Manufacturing World'!$A$1:$AA$1,),))=0,#N/A, (VLOOKUP(B32,'DB PMI Manufacturing World'!$A:$AA,MATCH($E$1,'DB PMI Manufacturing World'!$A$1:$AA$1,),)))</f>
        <v/>
      </c>
      <c r="F32" s="38">
        <f>IF((VLOOKUP(B32,'DB PMI Manufacturing World'!$A:$AA,MATCH($F$1,'DB PMI Manufacturing World'!$A$1:$AA$1,),))=0,#N/A, (VLOOKUP(B32,'DB PMI Manufacturing World'!$A:$AA,MATCH($F$1,'DB PMI Manufacturing World'!$A$1:$AA$1,),)))</f>
        <v/>
      </c>
      <c r="G32" s="38">
        <f>IF((VLOOKUP(B32,'DB PMI Manufacturing World'!$A:$AA,MATCH($G$1,'DB PMI Manufacturing World'!$A$1:$AA$1,),))=0,#N/A, (VLOOKUP(B32,'DB PMI Manufacturing World'!$A:$AA,MATCH($G$1,'DB PMI Manufacturing World'!$A$1:$AA$1,),)))</f>
        <v/>
      </c>
      <c r="H32" s="38">
        <f>IF((VLOOKUP(B32,'DB PMI Manufacturing World'!$A:$AA,MATCH($H$1,'DB PMI Manufacturing World'!$A$1:$AA$1,),))=0,#N/A, (VLOOKUP(B32,'DB PMI Manufacturing World'!$A:$AA,MATCH($H$1,'DB PMI Manufacturing World'!$A$1:$AA$1,),)))</f>
        <v/>
      </c>
      <c r="I32" s="38">
        <f>IF((VLOOKUP(B32,'DB PMI Manufacturing World'!$A:$AA,MATCH($I$1,'DB PMI Manufacturing World'!$A$1:$AA$1,),))=0,#N/A, (VLOOKUP(B32,'DB PMI Manufacturing World'!$A:$AA,MATCH($I$1,'DB PMI Manufacturing World'!$A$1:$AA$1,),)))</f>
        <v/>
      </c>
      <c r="J32" s="38">
        <f>IF((VLOOKUP(B32,'DB PMI Manufacturing World'!$A:$AA,MATCH($J$1,'DB PMI Manufacturing World'!$A$1:$AA$1,),))=0,#N/A, (VLOOKUP(B32,'DB PMI Manufacturing World'!$A:$AA,MATCH($J$1,'DB PMI Manufacturing World'!$A$1:$AA$1,),)))</f>
        <v/>
      </c>
      <c r="K32" s="38">
        <f>IF((VLOOKUP(B32,'DB PMI Manufacturing World'!$A:$AA,MATCH($K$1,'DB PMI Manufacturing World'!$A$1:$AA$1,),))=0,#N/A, (VLOOKUP(B32,'DB PMI Manufacturing World'!$A:$AA,MATCH($K$1,'DB PMI Manufacturing World'!$A$1:$AA$1,),)))</f>
        <v/>
      </c>
      <c r="L32" s="38">
        <f>IF((VLOOKUP(B32,'DB PMI Manufacturing World'!$A:$AA,MATCH($L$1,'DB PMI Manufacturing World'!$A$1:$AA$1,),))=0,#N/A, (VLOOKUP(B32,'DB PMI Manufacturing World'!$A:$AA,MATCH($L$1,'DB PMI Manufacturing World'!$A$1:$AA$1,),)))</f>
        <v/>
      </c>
      <c r="M32" s="38">
        <f>IF((VLOOKUP(B32,'DB PMI Manufacturing World'!$A:$AA,MATCH($M$1,'DB PMI Manufacturing World'!$A$1:$AA$1,),))=0,#N/A, (VLOOKUP(B32,'DB PMI Manufacturing World'!$A:$AA,MATCH($M$1,'DB PMI Manufacturing World'!$A$1:$AA$1,),)))</f>
        <v/>
      </c>
      <c r="N32" s="38">
        <f>IF((VLOOKUP(B32,'DB PMI Manufacturing World'!$A:$AA,MATCH($N$1,'DB PMI Manufacturing World'!$A$1:$AA$1,),))=0,#N/A, (VLOOKUP(B32,'DB PMI Manufacturing World'!$A:$AA,MATCH($N$1,'DB PMI Manufacturing World'!$A$1:$AA$1,),)))</f>
        <v/>
      </c>
      <c r="O32" s="38">
        <f>IF((VLOOKUP(B32,'DB PMI Manufacturing World'!$A:$AA,MATCH($O$1,'DB PMI Manufacturing World'!$A$1:$AA$1,),))=0,#N/A, (VLOOKUP(B32,'DB PMI Manufacturing World'!$A:$AA,MATCH($O$1,'DB PMI Manufacturing World'!$A$1:$AA$1,),)))</f>
        <v/>
      </c>
      <c r="P32" s="38">
        <f>IF((VLOOKUP(B32,'DB PMI Manufacturing World'!$A:$AA,MATCH($P$1,'DB PMI Manufacturing World'!$A$1:$AA$1,),))=0,#N/A, (VLOOKUP(B32,'DB PMI Manufacturing World'!$A:$AA,MATCH($P$1,'DB PMI Manufacturing World'!$A$1:$AA$1,),)))</f>
        <v/>
      </c>
      <c r="Q32" s="38">
        <f>IF((VLOOKUP(B32,'DB PMI Manufacturing World'!$A:$AA,MATCH($Q$1,'DB PMI Manufacturing World'!$A$1:$AA$1,),))=0,#N/A, (VLOOKUP(B32,'DB PMI Manufacturing World'!$A:$AA,MATCH($Q$1,'DB PMI Manufacturing World'!$A$1:$AA$1,),)))</f>
        <v/>
      </c>
      <c r="R32" s="38">
        <f>IF((VLOOKUP(B32,'DB PMI Manufacturing World'!$A:$AA,MATCH($R$1,'DB PMI Manufacturing World'!$A$1:$AA$1,),))=0,#N/A, (VLOOKUP(B32,'DB PMI Manufacturing World'!$A:$AA,MATCH($R$1,'DB PMI Manufacturing World'!$A$1:$AA$1,),)))</f>
        <v/>
      </c>
      <c r="S32" s="38">
        <f>IF((VLOOKUP(B32,'DB PMI Manufacturing World'!$A:$AA,MATCH($S$1,'DB PMI Manufacturing World'!$A$1:$AA$1,),))=0,#N/A, (VLOOKUP(B32,'DB PMI Manufacturing World'!$A:$AA,MATCH($S$1,'DB PMI Manufacturing World'!$A$1:$AA$1,),)))</f>
        <v/>
      </c>
      <c r="T32" s="38">
        <f>IF((VLOOKUP(B32,'DB PMI Manufacturing World'!$A:$AA,MATCH($T$1,'DB PMI Manufacturing World'!$A$1:$AA$1,),))=0,#N/A, (VLOOKUP(B32,'DB PMI Manufacturing World'!$A:$AA,MATCH($T$1,'DB PMI Manufacturing World'!$A$1:$AA$1,),)))</f>
        <v/>
      </c>
      <c r="U32" s="38">
        <f>IF((VLOOKUP(B32,'DB PMI Manufacturing World'!$A:$AA,MATCH($U$1,'DB PMI Manufacturing World'!$A$1:$AA$1,),))=0,#N/A, (VLOOKUP(B32,'DB PMI Manufacturing World'!$A:$AA,MATCH($U$1,'DB PMI Manufacturing World'!$A$1:$AA$1,),)))</f>
        <v/>
      </c>
      <c r="V32" s="38">
        <f>IF((VLOOKUP(B32,'DB PMI Manufacturing World'!$A:$AA,MATCH($V$1,'DB PMI Manufacturing World'!$A$1:$AA$1,),))=0,#N/A, (VLOOKUP(B32,'DB PMI Manufacturing World'!$A:$AA,MATCH($V$1,'DB PMI Manufacturing World'!$A$1:$AA$1,),)))</f>
        <v/>
      </c>
      <c r="W32" s="38">
        <f>IF((VLOOKUP(B32,'DB PMI Manufacturing World'!$A:$AA,MATCH($W$1,'DB PMI Manufacturing World'!$A$1:$AA$1,),))=0,#N/A, (VLOOKUP(B32,'DB PMI Manufacturing World'!$A:$AA,MATCH($W$1,'DB PMI Manufacturing World'!$A$1:$AA$1,),)))</f>
        <v/>
      </c>
      <c r="X32" s="38">
        <f>IF((VLOOKUP(B32,'DB PMI Manufacturing World'!$A:$AA,MATCH($X$1,'DB PMI Manufacturing World'!$A$1:$AA$1,),))=0,#N/A, (VLOOKUP(B32,'DB PMI Manufacturing World'!$A:$AA,MATCH($X$1,'DB PMI Manufacturing World'!$A$1:$AA$1,),)))</f>
        <v/>
      </c>
      <c r="Y32" s="38">
        <f>IF((VLOOKUP(B32,'DB PMI Manufacturing World'!$A:$AA,MATCH($Y$1,'DB PMI Manufacturing World'!$A$1:$AA$1,),))=0,#N/A, (VLOOKUP(B32,'DB PMI Manufacturing World'!$A:$AA,MATCH($Y$1,'DB PMI Manufacturing World'!$A$1:$AA$1,),)))</f>
        <v/>
      </c>
      <c r="Z32" s="38">
        <f>IF((VLOOKUP(B32,'DB PMI Manufacturing World'!$A:$AA,MATCH($Z$1,'DB PMI Manufacturing World'!$A$1:$AA$1,),))=0,#N/A, (VLOOKUP(B32,'DB PMI Manufacturing World'!$A:$AA,MATCH($Z$1,'DB PMI Manufacturing World'!$A$1:$AA$1,),)))</f>
        <v/>
      </c>
      <c r="AA32" s="38">
        <f>IF((VLOOKUP(B32,'DB PMI Manufacturing World'!$A:$AA,MATCH($AA$1,'DB PMI Manufacturing World'!$A$1:$AA$1,),))=0,#N/A, (VLOOKUP(B32,'DB PMI Manufacturing World'!$A:$AA,MATCH($AA$1,'DB PMI Manufacturing World'!$A$1:$AA$1,),)))</f>
        <v/>
      </c>
      <c r="AB32" s="38">
        <f>IF((VLOOKUP(B32,'DB PMI Manufacturing World'!$A:$AA,MATCH($AB$1,'DB PMI Manufacturing World'!$A$1:$AA$1,),))=0,#N/A, (VLOOKUP(B32,'DB PMI Manufacturing World'!$A:$AA,MATCH($AB$1,'DB PMI Manufacturing World'!$A$1:$AA$1,),)))</f>
        <v/>
      </c>
    </row>
    <row r="33">
      <c r="B33" s="29" t="n">
        <v>43525</v>
      </c>
      <c r="C33" s="38">
        <f>IF((VLOOKUP(B33,'DB PMI Manufacturing World'!$A:$AA,MATCH($C$1,'DB PMI Manufacturing World'!$A$1:$AA$1,),))=0,#N/A, (VLOOKUP(B33,'DB PMI Manufacturing World'!$A:$AA,MATCH($C$1,'DB PMI Manufacturing World'!$A$1:$AA$1,),)))</f>
        <v/>
      </c>
      <c r="D33" s="38">
        <f>IF((VLOOKUP(B33,'DB PMI Manufacturing World'!$A:$AA,MATCH($D$1,'DB PMI Manufacturing World'!$A$1:$AA$1,),))=0,#N/A, (VLOOKUP(B33,'DB PMI Manufacturing World'!$A:$AA,MATCH($D$1,'DB PMI Manufacturing World'!$A$1:$AA$1,),)))</f>
        <v/>
      </c>
      <c r="E33" s="38">
        <f>IF((VLOOKUP(B33,'DB PMI Manufacturing World'!$A:$AA,MATCH($E$1,'DB PMI Manufacturing World'!$A$1:$AA$1,),))=0,#N/A, (VLOOKUP(B33,'DB PMI Manufacturing World'!$A:$AA,MATCH($E$1,'DB PMI Manufacturing World'!$A$1:$AA$1,),)))</f>
        <v/>
      </c>
      <c r="F33" s="38">
        <f>IF((VLOOKUP(B33,'DB PMI Manufacturing World'!$A:$AA,MATCH($F$1,'DB PMI Manufacturing World'!$A$1:$AA$1,),))=0,#N/A, (VLOOKUP(B33,'DB PMI Manufacturing World'!$A:$AA,MATCH($F$1,'DB PMI Manufacturing World'!$A$1:$AA$1,),)))</f>
        <v/>
      </c>
      <c r="G33" s="38">
        <f>IF((VLOOKUP(B33,'DB PMI Manufacturing World'!$A:$AA,MATCH($G$1,'DB PMI Manufacturing World'!$A$1:$AA$1,),))=0,#N/A, (VLOOKUP(B33,'DB PMI Manufacturing World'!$A:$AA,MATCH($G$1,'DB PMI Manufacturing World'!$A$1:$AA$1,),)))</f>
        <v/>
      </c>
      <c r="H33" s="38">
        <f>IF((VLOOKUP(B33,'DB PMI Manufacturing World'!$A:$AA,MATCH($H$1,'DB PMI Manufacturing World'!$A$1:$AA$1,),))=0,#N/A, (VLOOKUP(B33,'DB PMI Manufacturing World'!$A:$AA,MATCH($H$1,'DB PMI Manufacturing World'!$A$1:$AA$1,),)))</f>
        <v/>
      </c>
      <c r="I33" s="38">
        <f>IF((VLOOKUP(B33,'DB PMI Manufacturing World'!$A:$AA,MATCH($I$1,'DB PMI Manufacturing World'!$A$1:$AA$1,),))=0,#N/A, (VLOOKUP(B33,'DB PMI Manufacturing World'!$A:$AA,MATCH($I$1,'DB PMI Manufacturing World'!$A$1:$AA$1,),)))</f>
        <v/>
      </c>
      <c r="J33" s="38">
        <f>IF((VLOOKUP(B33,'DB PMI Manufacturing World'!$A:$AA,MATCH($J$1,'DB PMI Manufacturing World'!$A$1:$AA$1,),))=0,#N/A, (VLOOKUP(B33,'DB PMI Manufacturing World'!$A:$AA,MATCH($J$1,'DB PMI Manufacturing World'!$A$1:$AA$1,),)))</f>
        <v/>
      </c>
      <c r="K33" s="38">
        <f>IF((VLOOKUP(B33,'DB PMI Manufacturing World'!$A:$AA,MATCH($K$1,'DB PMI Manufacturing World'!$A$1:$AA$1,),))=0,#N/A, (VLOOKUP(B33,'DB PMI Manufacturing World'!$A:$AA,MATCH($K$1,'DB PMI Manufacturing World'!$A$1:$AA$1,),)))</f>
        <v/>
      </c>
      <c r="L33" s="38">
        <f>IF((VLOOKUP(B33,'DB PMI Manufacturing World'!$A:$AA,MATCH($L$1,'DB PMI Manufacturing World'!$A$1:$AA$1,),))=0,#N/A, (VLOOKUP(B33,'DB PMI Manufacturing World'!$A:$AA,MATCH($L$1,'DB PMI Manufacturing World'!$A$1:$AA$1,),)))</f>
        <v/>
      </c>
      <c r="M33" s="38">
        <f>IF((VLOOKUP(B33,'DB PMI Manufacturing World'!$A:$AA,MATCH($M$1,'DB PMI Manufacturing World'!$A$1:$AA$1,),))=0,#N/A, (VLOOKUP(B33,'DB PMI Manufacturing World'!$A:$AA,MATCH($M$1,'DB PMI Manufacturing World'!$A$1:$AA$1,),)))</f>
        <v/>
      </c>
      <c r="N33" s="38">
        <f>IF((VLOOKUP(B33,'DB PMI Manufacturing World'!$A:$AA,MATCH($N$1,'DB PMI Manufacturing World'!$A$1:$AA$1,),))=0,#N/A, (VLOOKUP(B33,'DB PMI Manufacturing World'!$A:$AA,MATCH($N$1,'DB PMI Manufacturing World'!$A$1:$AA$1,),)))</f>
        <v/>
      </c>
      <c r="O33" s="38">
        <f>IF((VLOOKUP(B33,'DB PMI Manufacturing World'!$A:$AA,MATCH($O$1,'DB PMI Manufacturing World'!$A$1:$AA$1,),))=0,#N/A, (VLOOKUP(B33,'DB PMI Manufacturing World'!$A:$AA,MATCH($O$1,'DB PMI Manufacturing World'!$A$1:$AA$1,),)))</f>
        <v/>
      </c>
      <c r="P33" s="38">
        <f>IF((VLOOKUP(B33,'DB PMI Manufacturing World'!$A:$AA,MATCH($P$1,'DB PMI Manufacturing World'!$A$1:$AA$1,),))=0,#N/A, (VLOOKUP(B33,'DB PMI Manufacturing World'!$A:$AA,MATCH($P$1,'DB PMI Manufacturing World'!$A$1:$AA$1,),)))</f>
        <v/>
      </c>
      <c r="Q33" s="38">
        <f>IF((VLOOKUP(B33,'DB PMI Manufacturing World'!$A:$AA,MATCH($Q$1,'DB PMI Manufacturing World'!$A$1:$AA$1,),))=0,#N/A, (VLOOKUP(B33,'DB PMI Manufacturing World'!$A:$AA,MATCH($Q$1,'DB PMI Manufacturing World'!$A$1:$AA$1,),)))</f>
        <v/>
      </c>
      <c r="R33" s="38">
        <f>IF((VLOOKUP(B33,'DB PMI Manufacturing World'!$A:$AA,MATCH($R$1,'DB PMI Manufacturing World'!$A$1:$AA$1,),))=0,#N/A, (VLOOKUP(B33,'DB PMI Manufacturing World'!$A:$AA,MATCH($R$1,'DB PMI Manufacturing World'!$A$1:$AA$1,),)))</f>
        <v/>
      </c>
      <c r="S33" s="38">
        <f>IF((VLOOKUP(B33,'DB PMI Manufacturing World'!$A:$AA,MATCH($S$1,'DB PMI Manufacturing World'!$A$1:$AA$1,),))=0,#N/A, (VLOOKUP(B33,'DB PMI Manufacturing World'!$A:$AA,MATCH($S$1,'DB PMI Manufacturing World'!$A$1:$AA$1,),)))</f>
        <v/>
      </c>
      <c r="T33" s="38">
        <f>IF((VLOOKUP(B33,'DB PMI Manufacturing World'!$A:$AA,MATCH($T$1,'DB PMI Manufacturing World'!$A$1:$AA$1,),))=0,#N/A, (VLOOKUP(B33,'DB PMI Manufacturing World'!$A:$AA,MATCH($T$1,'DB PMI Manufacturing World'!$A$1:$AA$1,),)))</f>
        <v/>
      </c>
      <c r="U33" s="38">
        <f>IF((VLOOKUP(B33,'DB PMI Manufacturing World'!$A:$AA,MATCH($U$1,'DB PMI Manufacturing World'!$A$1:$AA$1,),))=0,#N/A, (VLOOKUP(B33,'DB PMI Manufacturing World'!$A:$AA,MATCH($U$1,'DB PMI Manufacturing World'!$A$1:$AA$1,),)))</f>
        <v/>
      </c>
      <c r="V33" s="38">
        <f>IF((VLOOKUP(B33,'DB PMI Manufacturing World'!$A:$AA,MATCH($V$1,'DB PMI Manufacturing World'!$A$1:$AA$1,),))=0,#N/A, (VLOOKUP(B33,'DB PMI Manufacturing World'!$A:$AA,MATCH($V$1,'DB PMI Manufacturing World'!$A$1:$AA$1,),)))</f>
        <v/>
      </c>
      <c r="W33" s="38">
        <f>IF((VLOOKUP(B33,'DB PMI Manufacturing World'!$A:$AA,MATCH($W$1,'DB PMI Manufacturing World'!$A$1:$AA$1,),))=0,#N/A, (VLOOKUP(B33,'DB PMI Manufacturing World'!$A:$AA,MATCH($W$1,'DB PMI Manufacturing World'!$A$1:$AA$1,),)))</f>
        <v/>
      </c>
      <c r="X33" s="38">
        <f>IF((VLOOKUP(B33,'DB PMI Manufacturing World'!$A:$AA,MATCH($X$1,'DB PMI Manufacturing World'!$A$1:$AA$1,),))=0,#N/A, (VLOOKUP(B33,'DB PMI Manufacturing World'!$A:$AA,MATCH($X$1,'DB PMI Manufacturing World'!$A$1:$AA$1,),)))</f>
        <v/>
      </c>
      <c r="Y33" s="38">
        <f>IF((VLOOKUP(B33,'DB PMI Manufacturing World'!$A:$AA,MATCH($Y$1,'DB PMI Manufacturing World'!$A$1:$AA$1,),))=0,#N/A, (VLOOKUP(B33,'DB PMI Manufacturing World'!$A:$AA,MATCH($Y$1,'DB PMI Manufacturing World'!$A$1:$AA$1,),)))</f>
        <v/>
      </c>
      <c r="Z33" s="38">
        <f>IF((VLOOKUP(B33,'DB PMI Manufacturing World'!$A:$AA,MATCH($Z$1,'DB PMI Manufacturing World'!$A$1:$AA$1,),))=0,#N/A, (VLOOKUP(B33,'DB PMI Manufacturing World'!$A:$AA,MATCH($Z$1,'DB PMI Manufacturing World'!$A$1:$AA$1,),)))</f>
        <v/>
      </c>
      <c r="AA33" s="38">
        <f>IF((VLOOKUP(B33,'DB PMI Manufacturing World'!$A:$AA,MATCH($AA$1,'DB PMI Manufacturing World'!$A$1:$AA$1,),))=0,#N/A, (VLOOKUP(B33,'DB PMI Manufacturing World'!$A:$AA,MATCH($AA$1,'DB PMI Manufacturing World'!$A$1:$AA$1,),)))</f>
        <v/>
      </c>
      <c r="AB33" s="38">
        <f>IF((VLOOKUP(B33,'DB PMI Manufacturing World'!$A:$AA,MATCH($AB$1,'DB PMI Manufacturing World'!$A$1:$AA$1,),))=0,#N/A, (VLOOKUP(B33,'DB PMI Manufacturing World'!$A:$AA,MATCH($AB$1,'DB PMI Manufacturing World'!$A$1:$AA$1,),)))</f>
        <v/>
      </c>
    </row>
    <row r="34">
      <c r="B34" s="29" t="n">
        <v>43556</v>
      </c>
      <c r="C34" s="38">
        <f>IF((VLOOKUP(B34,'DB PMI Manufacturing World'!$A:$AA,MATCH($C$1,'DB PMI Manufacturing World'!$A$1:$AA$1,),))=0,#N/A, (VLOOKUP(B34,'DB PMI Manufacturing World'!$A:$AA,MATCH($C$1,'DB PMI Manufacturing World'!$A$1:$AA$1,),)))</f>
        <v/>
      </c>
      <c r="D34" s="38">
        <f>IF((VLOOKUP(B34,'DB PMI Manufacturing World'!$A:$AA,MATCH($D$1,'DB PMI Manufacturing World'!$A$1:$AA$1,),))=0,#N/A, (VLOOKUP(B34,'DB PMI Manufacturing World'!$A:$AA,MATCH($D$1,'DB PMI Manufacturing World'!$A$1:$AA$1,),)))</f>
        <v/>
      </c>
      <c r="E34" s="38">
        <f>IF((VLOOKUP(B34,'DB PMI Manufacturing World'!$A:$AA,MATCH($E$1,'DB PMI Manufacturing World'!$A$1:$AA$1,),))=0,#N/A, (VLOOKUP(B34,'DB PMI Manufacturing World'!$A:$AA,MATCH($E$1,'DB PMI Manufacturing World'!$A$1:$AA$1,),)))</f>
        <v/>
      </c>
      <c r="F34" s="38">
        <f>IF((VLOOKUP(B34,'DB PMI Manufacturing World'!$A:$AA,MATCH($F$1,'DB PMI Manufacturing World'!$A$1:$AA$1,),))=0,#N/A, (VLOOKUP(B34,'DB PMI Manufacturing World'!$A:$AA,MATCH($F$1,'DB PMI Manufacturing World'!$A$1:$AA$1,),)))</f>
        <v/>
      </c>
      <c r="G34" s="38">
        <f>IF((VLOOKUP(B34,'DB PMI Manufacturing World'!$A:$AA,MATCH($G$1,'DB PMI Manufacturing World'!$A$1:$AA$1,),))=0,#N/A, (VLOOKUP(B34,'DB PMI Manufacturing World'!$A:$AA,MATCH($G$1,'DB PMI Manufacturing World'!$A$1:$AA$1,),)))</f>
        <v/>
      </c>
      <c r="H34" s="38">
        <f>IF((VLOOKUP(B34,'DB PMI Manufacturing World'!$A:$AA,MATCH($H$1,'DB PMI Manufacturing World'!$A$1:$AA$1,),))=0,#N/A, (VLOOKUP(B34,'DB PMI Manufacturing World'!$A:$AA,MATCH($H$1,'DB PMI Manufacturing World'!$A$1:$AA$1,),)))</f>
        <v/>
      </c>
      <c r="I34" s="38">
        <f>IF((VLOOKUP(B34,'DB PMI Manufacturing World'!$A:$AA,MATCH($I$1,'DB PMI Manufacturing World'!$A$1:$AA$1,),))=0,#N/A, (VLOOKUP(B34,'DB PMI Manufacturing World'!$A:$AA,MATCH($I$1,'DB PMI Manufacturing World'!$A$1:$AA$1,),)))</f>
        <v/>
      </c>
      <c r="J34" s="38">
        <f>IF((VLOOKUP(B34,'DB PMI Manufacturing World'!$A:$AA,MATCH($J$1,'DB PMI Manufacturing World'!$A$1:$AA$1,),))=0,#N/A, (VLOOKUP(B34,'DB PMI Manufacturing World'!$A:$AA,MATCH($J$1,'DB PMI Manufacturing World'!$A$1:$AA$1,),)))</f>
        <v/>
      </c>
      <c r="K34" s="38">
        <f>IF((VLOOKUP(B34,'DB PMI Manufacturing World'!$A:$AA,MATCH($K$1,'DB PMI Manufacturing World'!$A$1:$AA$1,),))=0,#N/A, (VLOOKUP(B34,'DB PMI Manufacturing World'!$A:$AA,MATCH($K$1,'DB PMI Manufacturing World'!$A$1:$AA$1,),)))</f>
        <v/>
      </c>
      <c r="L34" s="38">
        <f>IF((VLOOKUP(B34,'DB PMI Manufacturing World'!$A:$AA,MATCH($L$1,'DB PMI Manufacturing World'!$A$1:$AA$1,),))=0,#N/A, (VLOOKUP(B34,'DB PMI Manufacturing World'!$A:$AA,MATCH($L$1,'DB PMI Manufacturing World'!$A$1:$AA$1,),)))</f>
        <v/>
      </c>
      <c r="M34" s="38">
        <f>IF((VLOOKUP(B34,'DB PMI Manufacturing World'!$A:$AA,MATCH($M$1,'DB PMI Manufacturing World'!$A$1:$AA$1,),))=0,#N/A, (VLOOKUP(B34,'DB PMI Manufacturing World'!$A:$AA,MATCH($M$1,'DB PMI Manufacturing World'!$A$1:$AA$1,),)))</f>
        <v/>
      </c>
      <c r="N34" s="38">
        <f>IF((VLOOKUP(B34,'DB PMI Manufacturing World'!$A:$AA,MATCH($N$1,'DB PMI Manufacturing World'!$A$1:$AA$1,),))=0,#N/A, (VLOOKUP(B34,'DB PMI Manufacturing World'!$A:$AA,MATCH($N$1,'DB PMI Manufacturing World'!$A$1:$AA$1,),)))</f>
        <v/>
      </c>
      <c r="O34" s="38">
        <f>IF((VLOOKUP(B34,'DB PMI Manufacturing World'!$A:$AA,MATCH($O$1,'DB PMI Manufacturing World'!$A$1:$AA$1,),))=0,#N/A, (VLOOKUP(B34,'DB PMI Manufacturing World'!$A:$AA,MATCH($O$1,'DB PMI Manufacturing World'!$A$1:$AA$1,),)))</f>
        <v/>
      </c>
      <c r="P34" s="38">
        <f>IF((VLOOKUP(B34,'DB PMI Manufacturing World'!$A:$AA,MATCH($P$1,'DB PMI Manufacturing World'!$A$1:$AA$1,),))=0,#N/A, (VLOOKUP(B34,'DB PMI Manufacturing World'!$A:$AA,MATCH($P$1,'DB PMI Manufacturing World'!$A$1:$AA$1,),)))</f>
        <v/>
      </c>
      <c r="Q34" s="38">
        <f>IF((VLOOKUP(B34,'DB PMI Manufacturing World'!$A:$AA,MATCH($Q$1,'DB PMI Manufacturing World'!$A$1:$AA$1,),))=0,#N/A, (VLOOKUP(B34,'DB PMI Manufacturing World'!$A:$AA,MATCH($Q$1,'DB PMI Manufacturing World'!$A$1:$AA$1,),)))</f>
        <v/>
      </c>
      <c r="R34" s="38">
        <f>IF((VLOOKUP(B34,'DB PMI Manufacturing World'!$A:$AA,MATCH($R$1,'DB PMI Manufacturing World'!$A$1:$AA$1,),))=0,#N/A, (VLOOKUP(B34,'DB PMI Manufacturing World'!$A:$AA,MATCH($R$1,'DB PMI Manufacturing World'!$A$1:$AA$1,),)))</f>
        <v/>
      </c>
      <c r="S34" s="38">
        <f>IF((VLOOKUP(B34,'DB PMI Manufacturing World'!$A:$AA,MATCH($S$1,'DB PMI Manufacturing World'!$A$1:$AA$1,),))=0,#N/A, (VLOOKUP(B34,'DB PMI Manufacturing World'!$A:$AA,MATCH($S$1,'DB PMI Manufacturing World'!$A$1:$AA$1,),)))</f>
        <v/>
      </c>
      <c r="T34" s="38">
        <f>IF((VLOOKUP(B34,'DB PMI Manufacturing World'!$A:$AA,MATCH($T$1,'DB PMI Manufacturing World'!$A$1:$AA$1,),))=0,#N/A, (VLOOKUP(B34,'DB PMI Manufacturing World'!$A:$AA,MATCH($T$1,'DB PMI Manufacturing World'!$A$1:$AA$1,),)))</f>
        <v/>
      </c>
      <c r="U34" s="38">
        <f>IF((VLOOKUP(B34,'DB PMI Manufacturing World'!$A:$AA,MATCH($U$1,'DB PMI Manufacturing World'!$A$1:$AA$1,),))=0,#N/A, (VLOOKUP(B34,'DB PMI Manufacturing World'!$A:$AA,MATCH($U$1,'DB PMI Manufacturing World'!$A$1:$AA$1,),)))</f>
        <v/>
      </c>
      <c r="V34" s="38">
        <f>IF((VLOOKUP(B34,'DB PMI Manufacturing World'!$A:$AA,MATCH($V$1,'DB PMI Manufacturing World'!$A$1:$AA$1,),))=0,#N/A, (VLOOKUP(B34,'DB PMI Manufacturing World'!$A:$AA,MATCH($V$1,'DB PMI Manufacturing World'!$A$1:$AA$1,),)))</f>
        <v/>
      </c>
      <c r="W34" s="38">
        <f>IF((VLOOKUP(B34,'DB PMI Manufacturing World'!$A:$AA,MATCH($W$1,'DB PMI Manufacturing World'!$A$1:$AA$1,),))=0,#N/A, (VLOOKUP(B34,'DB PMI Manufacturing World'!$A:$AA,MATCH($W$1,'DB PMI Manufacturing World'!$A$1:$AA$1,),)))</f>
        <v/>
      </c>
      <c r="X34" s="38">
        <f>IF((VLOOKUP(B34,'DB PMI Manufacturing World'!$A:$AA,MATCH($X$1,'DB PMI Manufacturing World'!$A$1:$AA$1,),))=0,#N/A, (VLOOKUP(B34,'DB PMI Manufacturing World'!$A:$AA,MATCH($X$1,'DB PMI Manufacturing World'!$A$1:$AA$1,),)))</f>
        <v/>
      </c>
      <c r="Y34" s="38">
        <f>IF((VLOOKUP(B34,'DB PMI Manufacturing World'!$A:$AA,MATCH($Y$1,'DB PMI Manufacturing World'!$A$1:$AA$1,),))=0,#N/A, (VLOOKUP(B34,'DB PMI Manufacturing World'!$A:$AA,MATCH($Y$1,'DB PMI Manufacturing World'!$A$1:$AA$1,),)))</f>
        <v/>
      </c>
      <c r="Z34" s="38">
        <f>IF((VLOOKUP(B34,'DB PMI Manufacturing World'!$A:$AA,MATCH($Z$1,'DB PMI Manufacturing World'!$A$1:$AA$1,),))=0,#N/A, (VLOOKUP(B34,'DB PMI Manufacturing World'!$A:$AA,MATCH($Z$1,'DB PMI Manufacturing World'!$A$1:$AA$1,),)))</f>
        <v/>
      </c>
      <c r="AA34" s="38">
        <f>IF((VLOOKUP(B34,'DB PMI Manufacturing World'!$A:$AA,MATCH($AA$1,'DB PMI Manufacturing World'!$A$1:$AA$1,),))=0,#N/A, (VLOOKUP(B34,'DB PMI Manufacturing World'!$A:$AA,MATCH($AA$1,'DB PMI Manufacturing World'!$A$1:$AA$1,),)))</f>
        <v/>
      </c>
      <c r="AB34" s="38">
        <f>IF((VLOOKUP(B34,'DB PMI Manufacturing World'!$A:$AA,MATCH($AB$1,'DB PMI Manufacturing World'!$A$1:$AA$1,),))=0,#N/A, (VLOOKUP(B34,'DB PMI Manufacturing World'!$A:$AA,MATCH($AB$1,'DB PMI Manufacturing World'!$A$1:$AA$1,),)))</f>
        <v/>
      </c>
    </row>
    <row r="35">
      <c r="B35" s="29" t="n">
        <v>43586</v>
      </c>
      <c r="C35" s="38">
        <f>IF((VLOOKUP(B35,'DB PMI Manufacturing World'!$A:$AA,MATCH($C$1,'DB PMI Manufacturing World'!$A$1:$AA$1,),))=0,#N/A, (VLOOKUP(B35,'DB PMI Manufacturing World'!$A:$AA,MATCH($C$1,'DB PMI Manufacturing World'!$A$1:$AA$1,),)))</f>
        <v/>
      </c>
      <c r="D35" s="38">
        <f>IF((VLOOKUP(B35,'DB PMI Manufacturing World'!$A:$AA,MATCH($D$1,'DB PMI Manufacturing World'!$A$1:$AA$1,),))=0,#N/A, (VLOOKUP(B35,'DB PMI Manufacturing World'!$A:$AA,MATCH($D$1,'DB PMI Manufacturing World'!$A$1:$AA$1,),)))</f>
        <v/>
      </c>
      <c r="E35" s="38">
        <f>IF((VLOOKUP(B35,'DB PMI Manufacturing World'!$A:$AA,MATCH($E$1,'DB PMI Manufacturing World'!$A$1:$AA$1,),))=0,#N/A, (VLOOKUP(B35,'DB PMI Manufacturing World'!$A:$AA,MATCH($E$1,'DB PMI Manufacturing World'!$A$1:$AA$1,),)))</f>
        <v/>
      </c>
      <c r="F35" s="38">
        <f>IF((VLOOKUP(B35,'DB PMI Manufacturing World'!$A:$AA,MATCH($F$1,'DB PMI Manufacturing World'!$A$1:$AA$1,),))=0,#N/A, (VLOOKUP(B35,'DB PMI Manufacturing World'!$A:$AA,MATCH($F$1,'DB PMI Manufacturing World'!$A$1:$AA$1,),)))</f>
        <v/>
      </c>
      <c r="G35" s="38">
        <f>IF((VLOOKUP(B35,'DB PMI Manufacturing World'!$A:$AA,MATCH($G$1,'DB PMI Manufacturing World'!$A$1:$AA$1,),))=0,#N/A, (VLOOKUP(B35,'DB PMI Manufacturing World'!$A:$AA,MATCH($G$1,'DB PMI Manufacturing World'!$A$1:$AA$1,),)))</f>
        <v/>
      </c>
      <c r="H35" s="38">
        <f>IF((VLOOKUP(B35,'DB PMI Manufacturing World'!$A:$AA,MATCH($H$1,'DB PMI Manufacturing World'!$A$1:$AA$1,),))=0,#N/A, (VLOOKUP(B35,'DB PMI Manufacturing World'!$A:$AA,MATCH($H$1,'DB PMI Manufacturing World'!$A$1:$AA$1,),)))</f>
        <v/>
      </c>
      <c r="I35" s="38">
        <f>IF((VLOOKUP(B35,'DB PMI Manufacturing World'!$A:$AA,MATCH($I$1,'DB PMI Manufacturing World'!$A$1:$AA$1,),))=0,#N/A, (VLOOKUP(B35,'DB PMI Manufacturing World'!$A:$AA,MATCH($I$1,'DB PMI Manufacturing World'!$A$1:$AA$1,),)))</f>
        <v/>
      </c>
      <c r="J35" s="38">
        <f>IF((VLOOKUP(B35,'DB PMI Manufacturing World'!$A:$AA,MATCH($J$1,'DB PMI Manufacturing World'!$A$1:$AA$1,),))=0,#N/A, (VLOOKUP(B35,'DB PMI Manufacturing World'!$A:$AA,MATCH($J$1,'DB PMI Manufacturing World'!$A$1:$AA$1,),)))</f>
        <v/>
      </c>
      <c r="K35" s="38">
        <f>IF((VLOOKUP(B35,'DB PMI Manufacturing World'!$A:$AA,MATCH($K$1,'DB PMI Manufacturing World'!$A$1:$AA$1,),))=0,#N/A, (VLOOKUP(B35,'DB PMI Manufacturing World'!$A:$AA,MATCH($K$1,'DB PMI Manufacturing World'!$A$1:$AA$1,),)))</f>
        <v/>
      </c>
      <c r="L35" s="38">
        <f>IF((VLOOKUP(B35,'DB PMI Manufacturing World'!$A:$AA,MATCH($L$1,'DB PMI Manufacturing World'!$A$1:$AA$1,),))=0,#N/A, (VLOOKUP(B35,'DB PMI Manufacturing World'!$A:$AA,MATCH($L$1,'DB PMI Manufacturing World'!$A$1:$AA$1,),)))</f>
        <v/>
      </c>
      <c r="M35" s="38">
        <f>IF((VLOOKUP(B35,'DB PMI Manufacturing World'!$A:$AA,MATCH($M$1,'DB PMI Manufacturing World'!$A$1:$AA$1,),))=0,#N/A, (VLOOKUP(B35,'DB PMI Manufacturing World'!$A:$AA,MATCH($M$1,'DB PMI Manufacturing World'!$A$1:$AA$1,),)))</f>
        <v/>
      </c>
      <c r="N35" s="38">
        <f>IF((VLOOKUP(B35,'DB PMI Manufacturing World'!$A:$AA,MATCH($N$1,'DB PMI Manufacturing World'!$A$1:$AA$1,),))=0,#N/A, (VLOOKUP(B35,'DB PMI Manufacturing World'!$A:$AA,MATCH($N$1,'DB PMI Manufacturing World'!$A$1:$AA$1,),)))</f>
        <v/>
      </c>
      <c r="O35" s="38">
        <f>IF((VLOOKUP(B35,'DB PMI Manufacturing World'!$A:$AA,MATCH($O$1,'DB PMI Manufacturing World'!$A$1:$AA$1,),))=0,#N/A, (VLOOKUP(B35,'DB PMI Manufacturing World'!$A:$AA,MATCH($O$1,'DB PMI Manufacturing World'!$A$1:$AA$1,),)))</f>
        <v/>
      </c>
      <c r="P35" s="38">
        <f>IF((VLOOKUP(B35,'DB PMI Manufacturing World'!$A:$AA,MATCH($P$1,'DB PMI Manufacturing World'!$A$1:$AA$1,),))=0,#N/A, (VLOOKUP(B35,'DB PMI Manufacturing World'!$A:$AA,MATCH($P$1,'DB PMI Manufacturing World'!$A$1:$AA$1,),)))</f>
        <v/>
      </c>
      <c r="Q35" s="38">
        <f>IF((VLOOKUP(B35,'DB PMI Manufacturing World'!$A:$AA,MATCH($Q$1,'DB PMI Manufacturing World'!$A$1:$AA$1,),))=0,#N/A, (VLOOKUP(B35,'DB PMI Manufacturing World'!$A:$AA,MATCH($Q$1,'DB PMI Manufacturing World'!$A$1:$AA$1,),)))</f>
        <v/>
      </c>
      <c r="R35" s="38">
        <f>IF((VLOOKUP(B35,'DB PMI Manufacturing World'!$A:$AA,MATCH($R$1,'DB PMI Manufacturing World'!$A$1:$AA$1,),))=0,#N/A, (VLOOKUP(B35,'DB PMI Manufacturing World'!$A:$AA,MATCH($R$1,'DB PMI Manufacturing World'!$A$1:$AA$1,),)))</f>
        <v/>
      </c>
      <c r="S35" s="38">
        <f>IF((VLOOKUP(B35,'DB PMI Manufacturing World'!$A:$AA,MATCH($S$1,'DB PMI Manufacturing World'!$A$1:$AA$1,),))=0,#N/A, (VLOOKUP(B35,'DB PMI Manufacturing World'!$A:$AA,MATCH($S$1,'DB PMI Manufacturing World'!$A$1:$AA$1,),)))</f>
        <v/>
      </c>
      <c r="T35" s="38">
        <f>IF((VLOOKUP(B35,'DB PMI Manufacturing World'!$A:$AA,MATCH($T$1,'DB PMI Manufacturing World'!$A$1:$AA$1,),))=0,#N/A, (VLOOKUP(B35,'DB PMI Manufacturing World'!$A:$AA,MATCH($T$1,'DB PMI Manufacturing World'!$A$1:$AA$1,),)))</f>
        <v/>
      </c>
      <c r="U35" s="38">
        <f>IF((VLOOKUP(B35,'DB PMI Manufacturing World'!$A:$AA,MATCH($U$1,'DB PMI Manufacturing World'!$A$1:$AA$1,),))=0,#N/A, (VLOOKUP(B35,'DB PMI Manufacturing World'!$A:$AA,MATCH($U$1,'DB PMI Manufacturing World'!$A$1:$AA$1,),)))</f>
        <v/>
      </c>
      <c r="V35" s="38">
        <f>IF((VLOOKUP(B35,'DB PMI Manufacturing World'!$A:$AA,MATCH($V$1,'DB PMI Manufacturing World'!$A$1:$AA$1,),))=0,#N/A, (VLOOKUP(B35,'DB PMI Manufacturing World'!$A:$AA,MATCH($V$1,'DB PMI Manufacturing World'!$A$1:$AA$1,),)))</f>
        <v/>
      </c>
      <c r="W35" s="38">
        <f>IF((VLOOKUP(B35,'DB PMI Manufacturing World'!$A:$AA,MATCH($W$1,'DB PMI Manufacturing World'!$A$1:$AA$1,),))=0,#N/A, (VLOOKUP(B35,'DB PMI Manufacturing World'!$A:$AA,MATCH($W$1,'DB PMI Manufacturing World'!$A$1:$AA$1,),)))</f>
        <v/>
      </c>
      <c r="X35" s="38">
        <f>IF((VLOOKUP(B35,'DB PMI Manufacturing World'!$A:$AA,MATCH($X$1,'DB PMI Manufacturing World'!$A$1:$AA$1,),))=0,#N/A, (VLOOKUP(B35,'DB PMI Manufacturing World'!$A:$AA,MATCH($X$1,'DB PMI Manufacturing World'!$A$1:$AA$1,),)))</f>
        <v/>
      </c>
      <c r="Y35" s="38">
        <f>IF((VLOOKUP(B35,'DB PMI Manufacturing World'!$A:$AA,MATCH($Y$1,'DB PMI Manufacturing World'!$A$1:$AA$1,),))=0,#N/A, (VLOOKUP(B35,'DB PMI Manufacturing World'!$A:$AA,MATCH($Y$1,'DB PMI Manufacturing World'!$A$1:$AA$1,),)))</f>
        <v/>
      </c>
      <c r="Z35" s="38">
        <f>IF((VLOOKUP(B35,'DB PMI Manufacturing World'!$A:$AA,MATCH($Z$1,'DB PMI Manufacturing World'!$A$1:$AA$1,),))=0,#N/A, (VLOOKUP(B35,'DB PMI Manufacturing World'!$A:$AA,MATCH($Z$1,'DB PMI Manufacturing World'!$A$1:$AA$1,),)))</f>
        <v/>
      </c>
      <c r="AA35" s="38">
        <f>IF((VLOOKUP(B35,'DB PMI Manufacturing World'!$A:$AA,MATCH($AA$1,'DB PMI Manufacturing World'!$A$1:$AA$1,),))=0,#N/A, (VLOOKUP(B35,'DB PMI Manufacturing World'!$A:$AA,MATCH($AA$1,'DB PMI Manufacturing World'!$A$1:$AA$1,),)))</f>
        <v/>
      </c>
      <c r="AB35" s="38">
        <f>IF((VLOOKUP(B35,'DB PMI Manufacturing World'!$A:$AA,MATCH($AB$1,'DB PMI Manufacturing World'!$A$1:$AA$1,),))=0,#N/A, (VLOOKUP(B35,'DB PMI Manufacturing World'!$A:$AA,MATCH($AB$1,'DB PMI Manufacturing World'!$A$1:$AA$1,),)))</f>
        <v/>
      </c>
    </row>
    <row r="36">
      <c r="B36" s="29" t="n">
        <v>43617</v>
      </c>
      <c r="C36" s="38">
        <f>IF((VLOOKUP(B36,'DB PMI Manufacturing World'!$A:$AA,MATCH($C$1,'DB PMI Manufacturing World'!$A$1:$AA$1,),))=0,#N/A, (VLOOKUP(B36,'DB PMI Manufacturing World'!$A:$AA,MATCH($C$1,'DB PMI Manufacturing World'!$A$1:$AA$1,),)))</f>
        <v/>
      </c>
      <c r="D36" s="38">
        <f>IF((VLOOKUP(B36,'DB PMI Manufacturing World'!$A:$AA,MATCH($D$1,'DB PMI Manufacturing World'!$A$1:$AA$1,),))=0,#N/A, (VLOOKUP(B36,'DB PMI Manufacturing World'!$A:$AA,MATCH($D$1,'DB PMI Manufacturing World'!$A$1:$AA$1,),)))</f>
        <v/>
      </c>
      <c r="E36" s="38">
        <f>IF((VLOOKUP(B36,'DB PMI Manufacturing World'!$A:$AA,MATCH($E$1,'DB PMI Manufacturing World'!$A$1:$AA$1,),))=0,#N/A, (VLOOKUP(B36,'DB PMI Manufacturing World'!$A:$AA,MATCH($E$1,'DB PMI Manufacturing World'!$A$1:$AA$1,),)))</f>
        <v/>
      </c>
      <c r="F36" s="38">
        <f>IF((VLOOKUP(B36,'DB PMI Manufacturing World'!$A:$AA,MATCH($F$1,'DB PMI Manufacturing World'!$A$1:$AA$1,),))=0,#N/A, (VLOOKUP(B36,'DB PMI Manufacturing World'!$A:$AA,MATCH($F$1,'DB PMI Manufacturing World'!$A$1:$AA$1,),)))</f>
        <v/>
      </c>
      <c r="G36" s="38">
        <f>IF((VLOOKUP(B36,'DB PMI Manufacturing World'!$A:$AA,MATCH($G$1,'DB PMI Manufacturing World'!$A$1:$AA$1,),))=0,#N/A, (VLOOKUP(B36,'DB PMI Manufacturing World'!$A:$AA,MATCH($G$1,'DB PMI Manufacturing World'!$A$1:$AA$1,),)))</f>
        <v/>
      </c>
      <c r="H36" s="38">
        <f>IF((VLOOKUP(B36,'DB PMI Manufacturing World'!$A:$AA,MATCH($H$1,'DB PMI Manufacturing World'!$A$1:$AA$1,),))=0,#N/A, (VLOOKUP(B36,'DB PMI Manufacturing World'!$A:$AA,MATCH($H$1,'DB PMI Manufacturing World'!$A$1:$AA$1,),)))</f>
        <v/>
      </c>
      <c r="I36" s="38">
        <f>IF((VLOOKUP(B36,'DB PMI Manufacturing World'!$A:$AA,MATCH($I$1,'DB PMI Manufacturing World'!$A$1:$AA$1,),))=0,#N/A, (VLOOKUP(B36,'DB PMI Manufacturing World'!$A:$AA,MATCH($I$1,'DB PMI Manufacturing World'!$A$1:$AA$1,),)))</f>
        <v/>
      </c>
      <c r="J36" s="38">
        <f>IF((VLOOKUP(B36,'DB PMI Manufacturing World'!$A:$AA,MATCH($J$1,'DB PMI Manufacturing World'!$A$1:$AA$1,),))=0,#N/A, (VLOOKUP(B36,'DB PMI Manufacturing World'!$A:$AA,MATCH($J$1,'DB PMI Manufacturing World'!$A$1:$AA$1,),)))</f>
        <v/>
      </c>
      <c r="K36" s="38">
        <f>IF((VLOOKUP(B36,'DB PMI Manufacturing World'!$A:$AA,MATCH($K$1,'DB PMI Manufacturing World'!$A$1:$AA$1,),))=0,#N/A, (VLOOKUP(B36,'DB PMI Manufacturing World'!$A:$AA,MATCH($K$1,'DB PMI Manufacturing World'!$A$1:$AA$1,),)))</f>
        <v/>
      </c>
      <c r="L36" s="38">
        <f>IF((VLOOKUP(B36,'DB PMI Manufacturing World'!$A:$AA,MATCH($L$1,'DB PMI Manufacturing World'!$A$1:$AA$1,),))=0,#N/A, (VLOOKUP(B36,'DB PMI Manufacturing World'!$A:$AA,MATCH($L$1,'DB PMI Manufacturing World'!$A$1:$AA$1,),)))</f>
        <v/>
      </c>
      <c r="M36" s="38">
        <f>IF((VLOOKUP(B36,'DB PMI Manufacturing World'!$A:$AA,MATCH($M$1,'DB PMI Manufacturing World'!$A$1:$AA$1,),))=0,#N/A, (VLOOKUP(B36,'DB PMI Manufacturing World'!$A:$AA,MATCH($M$1,'DB PMI Manufacturing World'!$A$1:$AA$1,),)))</f>
        <v/>
      </c>
      <c r="N36" s="38">
        <f>IF((VLOOKUP(B36,'DB PMI Manufacturing World'!$A:$AA,MATCH($N$1,'DB PMI Manufacturing World'!$A$1:$AA$1,),))=0,#N/A, (VLOOKUP(B36,'DB PMI Manufacturing World'!$A:$AA,MATCH($N$1,'DB PMI Manufacturing World'!$A$1:$AA$1,),)))</f>
        <v/>
      </c>
      <c r="O36" s="38">
        <f>IF((VLOOKUP(B36,'DB PMI Manufacturing World'!$A:$AA,MATCH($O$1,'DB PMI Manufacturing World'!$A$1:$AA$1,),))=0,#N/A, (VLOOKUP(B36,'DB PMI Manufacturing World'!$A:$AA,MATCH($O$1,'DB PMI Manufacturing World'!$A$1:$AA$1,),)))</f>
        <v/>
      </c>
      <c r="P36" s="38">
        <f>IF((VLOOKUP(B36,'DB PMI Manufacturing World'!$A:$AA,MATCH($P$1,'DB PMI Manufacturing World'!$A$1:$AA$1,),))=0,#N/A, (VLOOKUP(B36,'DB PMI Manufacturing World'!$A:$AA,MATCH($P$1,'DB PMI Manufacturing World'!$A$1:$AA$1,),)))</f>
        <v/>
      </c>
      <c r="Q36" s="38">
        <f>IF((VLOOKUP(B36,'DB PMI Manufacturing World'!$A:$AA,MATCH($Q$1,'DB PMI Manufacturing World'!$A$1:$AA$1,),))=0,#N/A, (VLOOKUP(B36,'DB PMI Manufacturing World'!$A:$AA,MATCH($Q$1,'DB PMI Manufacturing World'!$A$1:$AA$1,),)))</f>
        <v/>
      </c>
      <c r="R36" s="38">
        <f>IF((VLOOKUP(B36,'DB PMI Manufacturing World'!$A:$AA,MATCH($R$1,'DB PMI Manufacturing World'!$A$1:$AA$1,),))=0,#N/A, (VLOOKUP(B36,'DB PMI Manufacturing World'!$A:$AA,MATCH($R$1,'DB PMI Manufacturing World'!$A$1:$AA$1,),)))</f>
        <v/>
      </c>
      <c r="S36" s="38">
        <f>IF((VLOOKUP(B36,'DB PMI Manufacturing World'!$A:$AA,MATCH($S$1,'DB PMI Manufacturing World'!$A$1:$AA$1,),))=0,#N/A, (VLOOKUP(B36,'DB PMI Manufacturing World'!$A:$AA,MATCH($S$1,'DB PMI Manufacturing World'!$A$1:$AA$1,),)))</f>
        <v/>
      </c>
      <c r="T36" s="38">
        <f>IF((VLOOKUP(B36,'DB PMI Manufacturing World'!$A:$AA,MATCH($T$1,'DB PMI Manufacturing World'!$A$1:$AA$1,),))=0,#N/A, (VLOOKUP(B36,'DB PMI Manufacturing World'!$A:$AA,MATCH($T$1,'DB PMI Manufacturing World'!$A$1:$AA$1,),)))</f>
        <v/>
      </c>
      <c r="U36" s="38">
        <f>IF((VLOOKUP(B36,'DB PMI Manufacturing World'!$A:$AA,MATCH($U$1,'DB PMI Manufacturing World'!$A$1:$AA$1,),))=0,#N/A, (VLOOKUP(B36,'DB PMI Manufacturing World'!$A:$AA,MATCH($U$1,'DB PMI Manufacturing World'!$A$1:$AA$1,),)))</f>
        <v/>
      </c>
      <c r="V36" s="38">
        <f>IF((VLOOKUP(B36,'DB PMI Manufacturing World'!$A:$AA,MATCH($V$1,'DB PMI Manufacturing World'!$A$1:$AA$1,),))=0,#N/A, (VLOOKUP(B36,'DB PMI Manufacturing World'!$A:$AA,MATCH($V$1,'DB PMI Manufacturing World'!$A$1:$AA$1,),)))</f>
        <v/>
      </c>
      <c r="W36" s="38">
        <f>IF((VLOOKUP(B36,'DB PMI Manufacturing World'!$A:$AA,MATCH($W$1,'DB PMI Manufacturing World'!$A$1:$AA$1,),))=0,#N/A, (VLOOKUP(B36,'DB PMI Manufacturing World'!$A:$AA,MATCH($W$1,'DB PMI Manufacturing World'!$A$1:$AA$1,),)))</f>
        <v/>
      </c>
      <c r="X36" s="38">
        <f>IF((VLOOKUP(B36,'DB PMI Manufacturing World'!$A:$AA,MATCH($X$1,'DB PMI Manufacturing World'!$A$1:$AA$1,),))=0,#N/A, (VLOOKUP(B36,'DB PMI Manufacturing World'!$A:$AA,MATCH($X$1,'DB PMI Manufacturing World'!$A$1:$AA$1,),)))</f>
        <v/>
      </c>
      <c r="Y36" s="38">
        <f>IF((VLOOKUP(B36,'DB PMI Manufacturing World'!$A:$AA,MATCH($Y$1,'DB PMI Manufacturing World'!$A$1:$AA$1,),))=0,#N/A, (VLOOKUP(B36,'DB PMI Manufacturing World'!$A:$AA,MATCH($Y$1,'DB PMI Manufacturing World'!$A$1:$AA$1,),)))</f>
        <v/>
      </c>
      <c r="Z36" s="38">
        <f>IF((VLOOKUP(B36,'DB PMI Manufacturing World'!$A:$AA,MATCH($Z$1,'DB PMI Manufacturing World'!$A$1:$AA$1,),))=0,#N/A, (VLOOKUP(B36,'DB PMI Manufacturing World'!$A:$AA,MATCH($Z$1,'DB PMI Manufacturing World'!$A$1:$AA$1,),)))</f>
        <v/>
      </c>
      <c r="AA36" s="38">
        <f>IF((VLOOKUP(B36,'DB PMI Manufacturing World'!$A:$AA,MATCH($AA$1,'DB PMI Manufacturing World'!$A$1:$AA$1,),))=0,#N/A, (VLOOKUP(B36,'DB PMI Manufacturing World'!$A:$AA,MATCH($AA$1,'DB PMI Manufacturing World'!$A$1:$AA$1,),)))</f>
        <v/>
      </c>
      <c r="AB36" s="38">
        <f>IF((VLOOKUP(B36,'DB PMI Manufacturing World'!$A:$AA,MATCH($AB$1,'DB PMI Manufacturing World'!$A$1:$AA$1,),))=0,#N/A, (VLOOKUP(B36,'DB PMI Manufacturing World'!$A:$AA,MATCH($AB$1,'DB PMI Manufacturing World'!$A$1:$AA$1,),)))</f>
        <v/>
      </c>
    </row>
    <row r="37">
      <c r="B37" s="29" t="n">
        <v>43647</v>
      </c>
      <c r="C37" s="38">
        <f>IF((VLOOKUP(B37,'DB PMI Manufacturing World'!$A:$AA,MATCH($C$1,'DB PMI Manufacturing World'!$A$1:$AA$1,),))=0,#N/A, (VLOOKUP(B37,'DB PMI Manufacturing World'!$A:$AA,MATCH($C$1,'DB PMI Manufacturing World'!$A$1:$AA$1,),)))</f>
        <v/>
      </c>
      <c r="D37" s="38">
        <f>IF((VLOOKUP(B37,'DB PMI Manufacturing World'!$A:$AA,MATCH($D$1,'DB PMI Manufacturing World'!$A$1:$AA$1,),))=0,#N/A, (VLOOKUP(B37,'DB PMI Manufacturing World'!$A:$AA,MATCH($D$1,'DB PMI Manufacturing World'!$A$1:$AA$1,),)))</f>
        <v/>
      </c>
      <c r="E37" s="38">
        <f>IF((VLOOKUP(B37,'DB PMI Manufacturing World'!$A:$AA,MATCH($E$1,'DB PMI Manufacturing World'!$A$1:$AA$1,),))=0,#N/A, (VLOOKUP(B37,'DB PMI Manufacturing World'!$A:$AA,MATCH($E$1,'DB PMI Manufacturing World'!$A$1:$AA$1,),)))</f>
        <v/>
      </c>
      <c r="F37" s="38">
        <f>IF((VLOOKUP(B37,'DB PMI Manufacturing World'!$A:$AA,MATCH($F$1,'DB PMI Manufacturing World'!$A$1:$AA$1,),))=0,#N/A, (VLOOKUP(B37,'DB PMI Manufacturing World'!$A:$AA,MATCH($F$1,'DB PMI Manufacturing World'!$A$1:$AA$1,),)))</f>
        <v/>
      </c>
      <c r="G37" s="38">
        <f>IF((VLOOKUP(B37,'DB PMI Manufacturing World'!$A:$AA,MATCH($G$1,'DB PMI Manufacturing World'!$A$1:$AA$1,),))=0,#N/A, (VLOOKUP(B37,'DB PMI Manufacturing World'!$A:$AA,MATCH($G$1,'DB PMI Manufacturing World'!$A$1:$AA$1,),)))</f>
        <v/>
      </c>
      <c r="H37" s="38">
        <f>IF((VLOOKUP(B37,'DB PMI Manufacturing World'!$A:$AA,MATCH($H$1,'DB PMI Manufacturing World'!$A$1:$AA$1,),))=0,#N/A, (VLOOKUP(B37,'DB PMI Manufacturing World'!$A:$AA,MATCH($H$1,'DB PMI Manufacturing World'!$A$1:$AA$1,),)))</f>
        <v/>
      </c>
      <c r="I37" s="38">
        <f>IF((VLOOKUP(B37,'DB PMI Manufacturing World'!$A:$AA,MATCH($I$1,'DB PMI Manufacturing World'!$A$1:$AA$1,),))=0,#N/A, (VLOOKUP(B37,'DB PMI Manufacturing World'!$A:$AA,MATCH($I$1,'DB PMI Manufacturing World'!$A$1:$AA$1,),)))</f>
        <v/>
      </c>
      <c r="J37" s="38">
        <f>IF((VLOOKUP(B37,'DB PMI Manufacturing World'!$A:$AA,MATCH($J$1,'DB PMI Manufacturing World'!$A$1:$AA$1,),))=0,#N/A, (VLOOKUP(B37,'DB PMI Manufacturing World'!$A:$AA,MATCH($J$1,'DB PMI Manufacturing World'!$A$1:$AA$1,),)))</f>
        <v/>
      </c>
      <c r="K37" s="38">
        <f>IF((VLOOKUP(B37,'DB PMI Manufacturing World'!$A:$AA,MATCH($K$1,'DB PMI Manufacturing World'!$A$1:$AA$1,),))=0,#N/A, (VLOOKUP(B37,'DB PMI Manufacturing World'!$A:$AA,MATCH($K$1,'DB PMI Manufacturing World'!$A$1:$AA$1,),)))</f>
        <v/>
      </c>
      <c r="L37" s="38">
        <f>IF((VLOOKUP(B37,'DB PMI Manufacturing World'!$A:$AA,MATCH($L$1,'DB PMI Manufacturing World'!$A$1:$AA$1,),))=0,#N/A, (VLOOKUP(B37,'DB PMI Manufacturing World'!$A:$AA,MATCH($L$1,'DB PMI Manufacturing World'!$A$1:$AA$1,),)))</f>
        <v/>
      </c>
      <c r="M37" s="38">
        <f>IF((VLOOKUP(B37,'DB PMI Manufacturing World'!$A:$AA,MATCH($M$1,'DB PMI Manufacturing World'!$A$1:$AA$1,),))=0,#N/A, (VLOOKUP(B37,'DB PMI Manufacturing World'!$A:$AA,MATCH($M$1,'DB PMI Manufacturing World'!$A$1:$AA$1,),)))</f>
        <v/>
      </c>
      <c r="N37" s="38">
        <f>IF((VLOOKUP(B37,'DB PMI Manufacturing World'!$A:$AA,MATCH($N$1,'DB PMI Manufacturing World'!$A$1:$AA$1,),))=0,#N/A, (VLOOKUP(B37,'DB PMI Manufacturing World'!$A:$AA,MATCH($N$1,'DB PMI Manufacturing World'!$A$1:$AA$1,),)))</f>
        <v/>
      </c>
      <c r="O37" s="38">
        <f>IF((VLOOKUP(B37,'DB PMI Manufacturing World'!$A:$AA,MATCH($O$1,'DB PMI Manufacturing World'!$A$1:$AA$1,),))=0,#N/A, (VLOOKUP(B37,'DB PMI Manufacturing World'!$A:$AA,MATCH($O$1,'DB PMI Manufacturing World'!$A$1:$AA$1,),)))</f>
        <v/>
      </c>
      <c r="P37" s="38">
        <f>IF((VLOOKUP(B37,'DB PMI Manufacturing World'!$A:$AA,MATCH($P$1,'DB PMI Manufacturing World'!$A$1:$AA$1,),))=0,#N/A, (VLOOKUP(B37,'DB PMI Manufacturing World'!$A:$AA,MATCH($P$1,'DB PMI Manufacturing World'!$A$1:$AA$1,),)))</f>
        <v/>
      </c>
      <c r="Q37" s="38">
        <f>IF((VLOOKUP(B37,'DB PMI Manufacturing World'!$A:$AA,MATCH($Q$1,'DB PMI Manufacturing World'!$A$1:$AA$1,),))=0,#N/A, (VLOOKUP(B37,'DB PMI Manufacturing World'!$A:$AA,MATCH($Q$1,'DB PMI Manufacturing World'!$A$1:$AA$1,),)))</f>
        <v/>
      </c>
      <c r="R37" s="38">
        <f>IF((VLOOKUP(B37,'DB PMI Manufacturing World'!$A:$AA,MATCH($R$1,'DB PMI Manufacturing World'!$A$1:$AA$1,),))=0,#N/A, (VLOOKUP(B37,'DB PMI Manufacturing World'!$A:$AA,MATCH($R$1,'DB PMI Manufacturing World'!$A$1:$AA$1,),)))</f>
        <v/>
      </c>
      <c r="S37" s="38">
        <f>IF((VLOOKUP(B37,'DB PMI Manufacturing World'!$A:$AA,MATCH($S$1,'DB PMI Manufacturing World'!$A$1:$AA$1,),))=0,#N/A, (VLOOKUP(B37,'DB PMI Manufacturing World'!$A:$AA,MATCH($S$1,'DB PMI Manufacturing World'!$A$1:$AA$1,),)))</f>
        <v/>
      </c>
      <c r="T37" s="38">
        <f>IF((VLOOKUP(B37,'DB PMI Manufacturing World'!$A:$AA,MATCH($T$1,'DB PMI Manufacturing World'!$A$1:$AA$1,),))=0,#N/A, (VLOOKUP(B37,'DB PMI Manufacturing World'!$A:$AA,MATCH($T$1,'DB PMI Manufacturing World'!$A$1:$AA$1,),)))</f>
        <v/>
      </c>
      <c r="U37" s="38">
        <f>IF((VLOOKUP(B37,'DB PMI Manufacturing World'!$A:$AA,MATCH($U$1,'DB PMI Manufacturing World'!$A$1:$AA$1,),))=0,#N/A, (VLOOKUP(B37,'DB PMI Manufacturing World'!$A:$AA,MATCH($U$1,'DB PMI Manufacturing World'!$A$1:$AA$1,),)))</f>
        <v/>
      </c>
      <c r="V37" s="38">
        <f>IF((VLOOKUP(B37,'DB PMI Manufacturing World'!$A:$AA,MATCH($V$1,'DB PMI Manufacturing World'!$A$1:$AA$1,),))=0,#N/A, (VLOOKUP(B37,'DB PMI Manufacturing World'!$A:$AA,MATCH($V$1,'DB PMI Manufacturing World'!$A$1:$AA$1,),)))</f>
        <v/>
      </c>
      <c r="W37" s="38">
        <f>IF((VLOOKUP(B37,'DB PMI Manufacturing World'!$A:$AA,MATCH($W$1,'DB PMI Manufacturing World'!$A$1:$AA$1,),))=0,#N/A, (VLOOKUP(B37,'DB PMI Manufacturing World'!$A:$AA,MATCH($W$1,'DB PMI Manufacturing World'!$A$1:$AA$1,),)))</f>
        <v/>
      </c>
      <c r="X37" s="38">
        <f>IF((VLOOKUP(B37,'DB PMI Manufacturing World'!$A:$AA,MATCH($X$1,'DB PMI Manufacturing World'!$A$1:$AA$1,),))=0,#N/A, (VLOOKUP(B37,'DB PMI Manufacturing World'!$A:$AA,MATCH($X$1,'DB PMI Manufacturing World'!$A$1:$AA$1,),)))</f>
        <v/>
      </c>
      <c r="Y37" s="38">
        <f>IF((VLOOKUP(B37,'DB PMI Manufacturing World'!$A:$AA,MATCH($Y$1,'DB PMI Manufacturing World'!$A$1:$AA$1,),))=0,#N/A, (VLOOKUP(B37,'DB PMI Manufacturing World'!$A:$AA,MATCH($Y$1,'DB PMI Manufacturing World'!$A$1:$AA$1,),)))</f>
        <v/>
      </c>
      <c r="Z37" s="38">
        <f>IF((VLOOKUP(B37,'DB PMI Manufacturing World'!$A:$AA,MATCH($Z$1,'DB PMI Manufacturing World'!$A$1:$AA$1,),))=0,#N/A, (VLOOKUP(B37,'DB PMI Manufacturing World'!$A:$AA,MATCH($Z$1,'DB PMI Manufacturing World'!$A$1:$AA$1,),)))</f>
        <v/>
      </c>
      <c r="AA37" s="38">
        <f>IF((VLOOKUP(B37,'DB PMI Manufacturing World'!$A:$AA,MATCH($AA$1,'DB PMI Manufacturing World'!$A$1:$AA$1,),))=0,#N/A, (VLOOKUP(B37,'DB PMI Manufacturing World'!$A:$AA,MATCH($AA$1,'DB PMI Manufacturing World'!$A$1:$AA$1,),)))</f>
        <v/>
      </c>
      <c r="AB37" s="38">
        <f>IF((VLOOKUP(B37,'DB PMI Manufacturing World'!$A:$AA,MATCH($AB$1,'DB PMI Manufacturing World'!$A$1:$AA$1,),))=0,#N/A, (VLOOKUP(B37,'DB PMI Manufacturing World'!$A:$AA,MATCH($AB$1,'DB PMI Manufacturing World'!$A$1:$AA$1,),)))</f>
        <v/>
      </c>
    </row>
    <row r="38">
      <c r="B38" s="29" t="n">
        <v>43678</v>
      </c>
      <c r="C38" s="38">
        <f>IF((VLOOKUP(B38,'DB PMI Manufacturing World'!$A:$AA,MATCH($C$1,'DB PMI Manufacturing World'!$A$1:$AA$1,),))=0,#N/A, (VLOOKUP(B38,'DB PMI Manufacturing World'!$A:$AA,MATCH($C$1,'DB PMI Manufacturing World'!$A$1:$AA$1,),)))</f>
        <v/>
      </c>
      <c r="D38" s="38">
        <f>IF((VLOOKUP(B38,'DB PMI Manufacturing World'!$A:$AA,MATCH($D$1,'DB PMI Manufacturing World'!$A$1:$AA$1,),))=0,#N/A, (VLOOKUP(B38,'DB PMI Manufacturing World'!$A:$AA,MATCH($D$1,'DB PMI Manufacturing World'!$A$1:$AA$1,),)))</f>
        <v/>
      </c>
      <c r="E38" s="38">
        <f>IF((VLOOKUP(B38,'DB PMI Manufacturing World'!$A:$AA,MATCH($E$1,'DB PMI Manufacturing World'!$A$1:$AA$1,),))=0,#N/A, (VLOOKUP(B38,'DB PMI Manufacturing World'!$A:$AA,MATCH($E$1,'DB PMI Manufacturing World'!$A$1:$AA$1,),)))</f>
        <v/>
      </c>
      <c r="F38" s="38">
        <f>IF((VLOOKUP(B38,'DB PMI Manufacturing World'!$A:$AA,MATCH($F$1,'DB PMI Manufacturing World'!$A$1:$AA$1,),))=0,#N/A, (VLOOKUP(B38,'DB PMI Manufacturing World'!$A:$AA,MATCH($F$1,'DB PMI Manufacturing World'!$A$1:$AA$1,),)))</f>
        <v/>
      </c>
      <c r="G38" s="38">
        <f>IF((VLOOKUP(B38,'DB PMI Manufacturing World'!$A:$AA,MATCH($G$1,'DB PMI Manufacturing World'!$A$1:$AA$1,),))=0,#N/A, (VLOOKUP(B38,'DB PMI Manufacturing World'!$A:$AA,MATCH($G$1,'DB PMI Manufacturing World'!$A$1:$AA$1,),)))</f>
        <v/>
      </c>
      <c r="H38" s="38">
        <f>IF((VLOOKUP(B38,'DB PMI Manufacturing World'!$A:$AA,MATCH($H$1,'DB PMI Manufacturing World'!$A$1:$AA$1,),))=0,#N/A, (VLOOKUP(B38,'DB PMI Manufacturing World'!$A:$AA,MATCH($H$1,'DB PMI Manufacturing World'!$A$1:$AA$1,),)))</f>
        <v/>
      </c>
      <c r="I38" s="38">
        <f>IF((VLOOKUP(B38,'DB PMI Manufacturing World'!$A:$AA,MATCH($I$1,'DB PMI Manufacturing World'!$A$1:$AA$1,),))=0,#N/A, (VLOOKUP(B38,'DB PMI Manufacturing World'!$A:$AA,MATCH($I$1,'DB PMI Manufacturing World'!$A$1:$AA$1,),)))</f>
        <v/>
      </c>
      <c r="J38" s="38">
        <f>IF((VLOOKUP(B38,'DB PMI Manufacturing World'!$A:$AA,MATCH($J$1,'DB PMI Manufacturing World'!$A$1:$AA$1,),))=0,#N/A, (VLOOKUP(B38,'DB PMI Manufacturing World'!$A:$AA,MATCH($J$1,'DB PMI Manufacturing World'!$A$1:$AA$1,),)))</f>
        <v/>
      </c>
      <c r="K38" s="38">
        <f>IF((VLOOKUP(B38,'DB PMI Manufacturing World'!$A:$AA,MATCH($K$1,'DB PMI Manufacturing World'!$A$1:$AA$1,),))=0,#N/A, (VLOOKUP(B38,'DB PMI Manufacturing World'!$A:$AA,MATCH($K$1,'DB PMI Manufacturing World'!$A$1:$AA$1,),)))</f>
        <v/>
      </c>
      <c r="L38" s="38">
        <f>IF((VLOOKUP(B38,'DB PMI Manufacturing World'!$A:$AA,MATCH($L$1,'DB PMI Manufacturing World'!$A$1:$AA$1,),))=0,#N/A, (VLOOKUP(B38,'DB PMI Manufacturing World'!$A:$AA,MATCH($L$1,'DB PMI Manufacturing World'!$A$1:$AA$1,),)))</f>
        <v/>
      </c>
      <c r="M38" s="38">
        <f>IF((VLOOKUP(B38,'DB PMI Manufacturing World'!$A:$AA,MATCH($M$1,'DB PMI Manufacturing World'!$A$1:$AA$1,),))=0,#N/A, (VLOOKUP(B38,'DB PMI Manufacturing World'!$A:$AA,MATCH($M$1,'DB PMI Manufacturing World'!$A$1:$AA$1,),)))</f>
        <v/>
      </c>
      <c r="N38" s="38">
        <f>IF((VLOOKUP(B38,'DB PMI Manufacturing World'!$A:$AA,MATCH($N$1,'DB PMI Manufacturing World'!$A$1:$AA$1,),))=0,#N/A, (VLOOKUP(B38,'DB PMI Manufacturing World'!$A:$AA,MATCH($N$1,'DB PMI Manufacturing World'!$A$1:$AA$1,),)))</f>
        <v/>
      </c>
      <c r="O38" s="38">
        <f>IF((VLOOKUP(B38,'DB PMI Manufacturing World'!$A:$AA,MATCH($O$1,'DB PMI Manufacturing World'!$A$1:$AA$1,),))=0,#N/A, (VLOOKUP(B38,'DB PMI Manufacturing World'!$A:$AA,MATCH($O$1,'DB PMI Manufacturing World'!$A$1:$AA$1,),)))</f>
        <v/>
      </c>
      <c r="P38" s="38">
        <f>IF((VLOOKUP(B38,'DB PMI Manufacturing World'!$A:$AA,MATCH($P$1,'DB PMI Manufacturing World'!$A$1:$AA$1,),))=0,#N/A, (VLOOKUP(B38,'DB PMI Manufacturing World'!$A:$AA,MATCH($P$1,'DB PMI Manufacturing World'!$A$1:$AA$1,),)))</f>
        <v/>
      </c>
      <c r="Q38" s="38">
        <f>IF((VLOOKUP(B38,'DB PMI Manufacturing World'!$A:$AA,MATCH($Q$1,'DB PMI Manufacturing World'!$A$1:$AA$1,),))=0,#N/A, (VLOOKUP(B38,'DB PMI Manufacturing World'!$A:$AA,MATCH($Q$1,'DB PMI Manufacturing World'!$A$1:$AA$1,),)))</f>
        <v/>
      </c>
      <c r="R38" s="38">
        <f>IF((VLOOKUP(B38,'DB PMI Manufacturing World'!$A:$AA,MATCH($R$1,'DB PMI Manufacturing World'!$A$1:$AA$1,),))=0,#N/A, (VLOOKUP(B38,'DB PMI Manufacturing World'!$A:$AA,MATCH($R$1,'DB PMI Manufacturing World'!$A$1:$AA$1,),)))</f>
        <v/>
      </c>
      <c r="S38" s="38">
        <f>IF((VLOOKUP(B38,'DB PMI Manufacturing World'!$A:$AA,MATCH($S$1,'DB PMI Manufacturing World'!$A$1:$AA$1,),))=0,#N/A, (VLOOKUP(B38,'DB PMI Manufacturing World'!$A:$AA,MATCH($S$1,'DB PMI Manufacturing World'!$A$1:$AA$1,),)))</f>
        <v/>
      </c>
      <c r="T38" s="38">
        <f>IF((VLOOKUP(B38,'DB PMI Manufacturing World'!$A:$AA,MATCH($T$1,'DB PMI Manufacturing World'!$A$1:$AA$1,),))=0,#N/A, (VLOOKUP(B38,'DB PMI Manufacturing World'!$A:$AA,MATCH($T$1,'DB PMI Manufacturing World'!$A$1:$AA$1,),)))</f>
        <v/>
      </c>
      <c r="U38" s="38">
        <f>IF((VLOOKUP(B38,'DB PMI Manufacturing World'!$A:$AA,MATCH($U$1,'DB PMI Manufacturing World'!$A$1:$AA$1,),))=0,#N/A, (VLOOKUP(B38,'DB PMI Manufacturing World'!$A:$AA,MATCH($U$1,'DB PMI Manufacturing World'!$A$1:$AA$1,),)))</f>
        <v/>
      </c>
      <c r="V38" s="38">
        <f>IF((VLOOKUP(B38,'DB PMI Manufacturing World'!$A:$AA,MATCH($V$1,'DB PMI Manufacturing World'!$A$1:$AA$1,),))=0,#N/A, (VLOOKUP(B38,'DB PMI Manufacturing World'!$A:$AA,MATCH($V$1,'DB PMI Manufacturing World'!$A$1:$AA$1,),)))</f>
        <v/>
      </c>
      <c r="W38" s="38">
        <f>IF((VLOOKUP(B38,'DB PMI Manufacturing World'!$A:$AA,MATCH($W$1,'DB PMI Manufacturing World'!$A$1:$AA$1,),))=0,#N/A, (VLOOKUP(B38,'DB PMI Manufacturing World'!$A:$AA,MATCH($W$1,'DB PMI Manufacturing World'!$A$1:$AA$1,),)))</f>
        <v/>
      </c>
      <c r="X38" s="38">
        <f>IF((VLOOKUP(B38,'DB PMI Manufacturing World'!$A:$AA,MATCH($X$1,'DB PMI Manufacturing World'!$A$1:$AA$1,),))=0,#N/A, (VLOOKUP(B38,'DB PMI Manufacturing World'!$A:$AA,MATCH($X$1,'DB PMI Manufacturing World'!$A$1:$AA$1,),)))</f>
        <v/>
      </c>
      <c r="Y38" s="38">
        <f>IF((VLOOKUP(B38,'DB PMI Manufacturing World'!$A:$AA,MATCH($Y$1,'DB PMI Manufacturing World'!$A$1:$AA$1,),))=0,#N/A, (VLOOKUP(B38,'DB PMI Manufacturing World'!$A:$AA,MATCH($Y$1,'DB PMI Manufacturing World'!$A$1:$AA$1,),)))</f>
        <v/>
      </c>
      <c r="Z38" s="38">
        <f>IF((VLOOKUP(B38,'DB PMI Manufacturing World'!$A:$AA,MATCH($Z$1,'DB PMI Manufacturing World'!$A$1:$AA$1,),))=0,#N/A, (VLOOKUP(B38,'DB PMI Manufacturing World'!$A:$AA,MATCH($Z$1,'DB PMI Manufacturing World'!$A$1:$AA$1,),)))</f>
        <v/>
      </c>
      <c r="AA38" s="38">
        <f>IF((VLOOKUP(B38,'DB PMI Manufacturing World'!$A:$AA,MATCH($AA$1,'DB PMI Manufacturing World'!$A$1:$AA$1,),))=0,#N/A, (VLOOKUP(B38,'DB PMI Manufacturing World'!$A:$AA,MATCH($AA$1,'DB PMI Manufacturing World'!$A$1:$AA$1,),)))</f>
        <v/>
      </c>
      <c r="AB38" s="38">
        <f>IF((VLOOKUP(B38,'DB PMI Manufacturing World'!$A:$AA,MATCH($AB$1,'DB PMI Manufacturing World'!$A$1:$AA$1,),))=0,#N/A, (VLOOKUP(B38,'DB PMI Manufacturing World'!$A:$AA,MATCH($AB$1,'DB PMI Manufacturing World'!$A$1:$AA$1,),)))</f>
        <v/>
      </c>
    </row>
    <row r="39">
      <c r="B39" s="29" t="n">
        <v>43709</v>
      </c>
      <c r="C39" s="38">
        <f>IF((VLOOKUP(B39,'DB PMI Manufacturing World'!$A:$AA,MATCH($C$1,'DB PMI Manufacturing World'!$A$1:$AA$1,),))=0,#N/A, (VLOOKUP(B39,'DB PMI Manufacturing World'!$A:$AA,MATCH($C$1,'DB PMI Manufacturing World'!$A$1:$AA$1,),)))</f>
        <v/>
      </c>
      <c r="D39" s="38">
        <f>IF((VLOOKUP(B39,'DB PMI Manufacturing World'!$A:$AA,MATCH($D$1,'DB PMI Manufacturing World'!$A$1:$AA$1,),))=0,#N/A, (VLOOKUP(B39,'DB PMI Manufacturing World'!$A:$AA,MATCH($D$1,'DB PMI Manufacturing World'!$A$1:$AA$1,),)))</f>
        <v/>
      </c>
      <c r="E39" s="38">
        <f>IF((VLOOKUP(B39,'DB PMI Manufacturing World'!$A:$AA,MATCH($E$1,'DB PMI Manufacturing World'!$A$1:$AA$1,),))=0,#N/A, (VLOOKUP(B39,'DB PMI Manufacturing World'!$A:$AA,MATCH($E$1,'DB PMI Manufacturing World'!$A$1:$AA$1,),)))</f>
        <v/>
      </c>
      <c r="F39" s="38">
        <f>IF((VLOOKUP(B39,'DB PMI Manufacturing World'!$A:$AA,MATCH($F$1,'DB PMI Manufacturing World'!$A$1:$AA$1,),))=0,#N/A, (VLOOKUP(B39,'DB PMI Manufacturing World'!$A:$AA,MATCH($F$1,'DB PMI Manufacturing World'!$A$1:$AA$1,),)))</f>
        <v/>
      </c>
      <c r="G39" s="38">
        <f>IF((VLOOKUP(B39,'DB PMI Manufacturing World'!$A:$AA,MATCH($G$1,'DB PMI Manufacturing World'!$A$1:$AA$1,),))=0,#N/A, (VLOOKUP(B39,'DB PMI Manufacturing World'!$A:$AA,MATCH($G$1,'DB PMI Manufacturing World'!$A$1:$AA$1,),)))</f>
        <v/>
      </c>
      <c r="H39" s="38">
        <f>IF((VLOOKUP(B39,'DB PMI Manufacturing World'!$A:$AA,MATCH($H$1,'DB PMI Manufacturing World'!$A$1:$AA$1,),))=0,#N/A, (VLOOKUP(B39,'DB PMI Manufacturing World'!$A:$AA,MATCH($H$1,'DB PMI Manufacturing World'!$A$1:$AA$1,),)))</f>
        <v/>
      </c>
      <c r="I39" s="38">
        <f>IF((VLOOKUP(B39,'DB PMI Manufacturing World'!$A:$AA,MATCH($I$1,'DB PMI Manufacturing World'!$A$1:$AA$1,),))=0,#N/A, (VLOOKUP(B39,'DB PMI Manufacturing World'!$A:$AA,MATCH($I$1,'DB PMI Manufacturing World'!$A$1:$AA$1,),)))</f>
        <v/>
      </c>
      <c r="J39" s="38">
        <f>IF((VLOOKUP(B39,'DB PMI Manufacturing World'!$A:$AA,MATCH($J$1,'DB PMI Manufacturing World'!$A$1:$AA$1,),))=0,#N/A, (VLOOKUP(B39,'DB PMI Manufacturing World'!$A:$AA,MATCH($J$1,'DB PMI Manufacturing World'!$A$1:$AA$1,),)))</f>
        <v/>
      </c>
      <c r="K39" s="38">
        <f>IF((VLOOKUP(B39,'DB PMI Manufacturing World'!$A:$AA,MATCH($K$1,'DB PMI Manufacturing World'!$A$1:$AA$1,),))=0,#N/A, (VLOOKUP(B39,'DB PMI Manufacturing World'!$A:$AA,MATCH($K$1,'DB PMI Manufacturing World'!$A$1:$AA$1,),)))</f>
        <v/>
      </c>
      <c r="L39" s="38">
        <f>IF((VLOOKUP(B39,'DB PMI Manufacturing World'!$A:$AA,MATCH($L$1,'DB PMI Manufacturing World'!$A$1:$AA$1,),))=0,#N/A, (VLOOKUP(B39,'DB PMI Manufacturing World'!$A:$AA,MATCH($L$1,'DB PMI Manufacturing World'!$A$1:$AA$1,),)))</f>
        <v/>
      </c>
      <c r="M39" s="38">
        <f>IF((VLOOKUP(B39,'DB PMI Manufacturing World'!$A:$AA,MATCH($M$1,'DB PMI Manufacturing World'!$A$1:$AA$1,),))=0,#N/A, (VLOOKUP(B39,'DB PMI Manufacturing World'!$A:$AA,MATCH($M$1,'DB PMI Manufacturing World'!$A$1:$AA$1,),)))</f>
        <v/>
      </c>
      <c r="N39" s="38">
        <f>IF((VLOOKUP(B39,'DB PMI Manufacturing World'!$A:$AA,MATCH($N$1,'DB PMI Manufacturing World'!$A$1:$AA$1,),))=0,#N/A, (VLOOKUP(B39,'DB PMI Manufacturing World'!$A:$AA,MATCH($N$1,'DB PMI Manufacturing World'!$A$1:$AA$1,),)))</f>
        <v/>
      </c>
      <c r="O39" s="38">
        <f>IF((VLOOKUP(B39,'DB PMI Manufacturing World'!$A:$AA,MATCH($O$1,'DB PMI Manufacturing World'!$A$1:$AA$1,),))=0,#N/A, (VLOOKUP(B39,'DB PMI Manufacturing World'!$A:$AA,MATCH($O$1,'DB PMI Manufacturing World'!$A$1:$AA$1,),)))</f>
        <v/>
      </c>
      <c r="P39" s="38">
        <f>IF((VLOOKUP(B39,'DB PMI Manufacturing World'!$A:$AA,MATCH($P$1,'DB PMI Manufacturing World'!$A$1:$AA$1,),))=0,#N/A, (VLOOKUP(B39,'DB PMI Manufacturing World'!$A:$AA,MATCH($P$1,'DB PMI Manufacturing World'!$A$1:$AA$1,),)))</f>
        <v/>
      </c>
      <c r="Q39" s="38">
        <f>IF((VLOOKUP(B39,'DB PMI Manufacturing World'!$A:$AA,MATCH($Q$1,'DB PMI Manufacturing World'!$A$1:$AA$1,),))=0,#N/A, (VLOOKUP(B39,'DB PMI Manufacturing World'!$A:$AA,MATCH($Q$1,'DB PMI Manufacturing World'!$A$1:$AA$1,),)))</f>
        <v/>
      </c>
      <c r="R39" s="38">
        <f>IF((VLOOKUP(B39,'DB PMI Manufacturing World'!$A:$AA,MATCH($R$1,'DB PMI Manufacturing World'!$A$1:$AA$1,),))=0,#N/A, (VLOOKUP(B39,'DB PMI Manufacturing World'!$A:$AA,MATCH($R$1,'DB PMI Manufacturing World'!$A$1:$AA$1,),)))</f>
        <v/>
      </c>
      <c r="S39" s="38">
        <f>IF((VLOOKUP(B39,'DB PMI Manufacturing World'!$A:$AA,MATCH($S$1,'DB PMI Manufacturing World'!$A$1:$AA$1,),))=0,#N/A, (VLOOKUP(B39,'DB PMI Manufacturing World'!$A:$AA,MATCH($S$1,'DB PMI Manufacturing World'!$A$1:$AA$1,),)))</f>
        <v/>
      </c>
      <c r="T39" s="38">
        <f>IF((VLOOKUP(B39,'DB PMI Manufacturing World'!$A:$AA,MATCH($T$1,'DB PMI Manufacturing World'!$A$1:$AA$1,),))=0,#N/A, (VLOOKUP(B39,'DB PMI Manufacturing World'!$A:$AA,MATCH($T$1,'DB PMI Manufacturing World'!$A$1:$AA$1,),)))</f>
        <v/>
      </c>
      <c r="U39" s="38">
        <f>IF((VLOOKUP(B39,'DB PMI Manufacturing World'!$A:$AA,MATCH($U$1,'DB PMI Manufacturing World'!$A$1:$AA$1,),))=0,#N/A, (VLOOKUP(B39,'DB PMI Manufacturing World'!$A:$AA,MATCH($U$1,'DB PMI Manufacturing World'!$A$1:$AA$1,),)))</f>
        <v/>
      </c>
      <c r="V39" s="38">
        <f>IF((VLOOKUP(B39,'DB PMI Manufacturing World'!$A:$AA,MATCH($V$1,'DB PMI Manufacturing World'!$A$1:$AA$1,),))=0,#N/A, (VLOOKUP(B39,'DB PMI Manufacturing World'!$A:$AA,MATCH($V$1,'DB PMI Manufacturing World'!$A$1:$AA$1,),)))</f>
        <v/>
      </c>
      <c r="W39" s="38">
        <f>IF((VLOOKUP(B39,'DB PMI Manufacturing World'!$A:$AA,MATCH($W$1,'DB PMI Manufacturing World'!$A$1:$AA$1,),))=0,#N/A, (VLOOKUP(B39,'DB PMI Manufacturing World'!$A:$AA,MATCH($W$1,'DB PMI Manufacturing World'!$A$1:$AA$1,),)))</f>
        <v/>
      </c>
      <c r="X39" s="38">
        <f>IF((VLOOKUP(B39,'DB PMI Manufacturing World'!$A:$AA,MATCH($X$1,'DB PMI Manufacturing World'!$A$1:$AA$1,),))=0,#N/A, (VLOOKUP(B39,'DB PMI Manufacturing World'!$A:$AA,MATCH($X$1,'DB PMI Manufacturing World'!$A$1:$AA$1,),)))</f>
        <v/>
      </c>
      <c r="Y39" s="38">
        <f>IF((VLOOKUP(B39,'DB PMI Manufacturing World'!$A:$AA,MATCH($Y$1,'DB PMI Manufacturing World'!$A$1:$AA$1,),))=0,#N/A, (VLOOKUP(B39,'DB PMI Manufacturing World'!$A:$AA,MATCH($Y$1,'DB PMI Manufacturing World'!$A$1:$AA$1,),)))</f>
        <v/>
      </c>
      <c r="Z39" s="38">
        <f>IF((VLOOKUP(B39,'DB PMI Manufacturing World'!$A:$AA,MATCH($Z$1,'DB PMI Manufacturing World'!$A$1:$AA$1,),))=0,#N/A, (VLOOKUP(B39,'DB PMI Manufacturing World'!$A:$AA,MATCH($Z$1,'DB PMI Manufacturing World'!$A$1:$AA$1,),)))</f>
        <v/>
      </c>
      <c r="AA39" s="38">
        <f>IF((VLOOKUP(B39,'DB PMI Manufacturing World'!$A:$AA,MATCH($AA$1,'DB PMI Manufacturing World'!$A$1:$AA$1,),))=0,#N/A, (VLOOKUP(B39,'DB PMI Manufacturing World'!$A:$AA,MATCH($AA$1,'DB PMI Manufacturing World'!$A$1:$AA$1,),)))</f>
        <v/>
      </c>
      <c r="AB39" s="38">
        <f>IF((VLOOKUP(B39,'DB PMI Manufacturing World'!$A:$AA,MATCH($AB$1,'DB PMI Manufacturing World'!$A$1:$AA$1,),))=0,#N/A, (VLOOKUP(B39,'DB PMI Manufacturing World'!$A:$AA,MATCH($AB$1,'DB PMI Manufacturing World'!$A$1:$AA$1,),)))</f>
        <v/>
      </c>
    </row>
    <row r="40">
      <c r="B40" s="29" t="n">
        <v>43739</v>
      </c>
      <c r="C40" s="38">
        <f>IF((VLOOKUP(B40,'DB PMI Manufacturing World'!$A:$AA,MATCH($C$1,'DB PMI Manufacturing World'!$A$1:$AA$1,),))=0,#N/A, (VLOOKUP(B40,'DB PMI Manufacturing World'!$A:$AA,MATCH($C$1,'DB PMI Manufacturing World'!$A$1:$AA$1,),)))</f>
        <v/>
      </c>
      <c r="D40" s="38">
        <f>IF((VLOOKUP(B40,'DB PMI Manufacturing World'!$A:$AA,MATCH($D$1,'DB PMI Manufacturing World'!$A$1:$AA$1,),))=0,#N/A, (VLOOKUP(B40,'DB PMI Manufacturing World'!$A:$AA,MATCH($D$1,'DB PMI Manufacturing World'!$A$1:$AA$1,),)))</f>
        <v/>
      </c>
      <c r="E40" s="38">
        <f>IF((VLOOKUP(B40,'DB PMI Manufacturing World'!$A:$AA,MATCH($E$1,'DB PMI Manufacturing World'!$A$1:$AA$1,),))=0,#N/A, (VLOOKUP(B40,'DB PMI Manufacturing World'!$A:$AA,MATCH($E$1,'DB PMI Manufacturing World'!$A$1:$AA$1,),)))</f>
        <v/>
      </c>
      <c r="F40" s="38">
        <f>IF((VLOOKUP(B40,'DB PMI Manufacturing World'!$A:$AA,MATCH($F$1,'DB PMI Manufacturing World'!$A$1:$AA$1,),))=0,#N/A, (VLOOKUP(B40,'DB PMI Manufacturing World'!$A:$AA,MATCH($F$1,'DB PMI Manufacturing World'!$A$1:$AA$1,),)))</f>
        <v/>
      </c>
      <c r="G40" s="38">
        <f>IF((VLOOKUP(B40,'DB PMI Manufacturing World'!$A:$AA,MATCH($G$1,'DB PMI Manufacturing World'!$A$1:$AA$1,),))=0,#N/A, (VLOOKUP(B40,'DB PMI Manufacturing World'!$A:$AA,MATCH($G$1,'DB PMI Manufacturing World'!$A$1:$AA$1,),)))</f>
        <v/>
      </c>
      <c r="H40" s="38">
        <f>IF((VLOOKUP(B40,'DB PMI Manufacturing World'!$A:$AA,MATCH($H$1,'DB PMI Manufacturing World'!$A$1:$AA$1,),))=0,#N/A, (VLOOKUP(B40,'DB PMI Manufacturing World'!$A:$AA,MATCH($H$1,'DB PMI Manufacturing World'!$A$1:$AA$1,),)))</f>
        <v/>
      </c>
      <c r="I40" s="38">
        <f>IF((VLOOKUP(B40,'DB PMI Manufacturing World'!$A:$AA,MATCH($I$1,'DB PMI Manufacturing World'!$A$1:$AA$1,),))=0,#N/A, (VLOOKUP(B40,'DB PMI Manufacturing World'!$A:$AA,MATCH($I$1,'DB PMI Manufacturing World'!$A$1:$AA$1,),)))</f>
        <v/>
      </c>
      <c r="J40" s="38">
        <f>IF((VLOOKUP(B40,'DB PMI Manufacturing World'!$A:$AA,MATCH($J$1,'DB PMI Manufacturing World'!$A$1:$AA$1,),))=0,#N/A, (VLOOKUP(B40,'DB PMI Manufacturing World'!$A:$AA,MATCH($J$1,'DB PMI Manufacturing World'!$A$1:$AA$1,),)))</f>
        <v/>
      </c>
      <c r="K40" s="38">
        <f>IF((VLOOKUP(B40,'DB PMI Manufacturing World'!$A:$AA,MATCH($K$1,'DB PMI Manufacturing World'!$A$1:$AA$1,),))=0,#N/A, (VLOOKUP(B40,'DB PMI Manufacturing World'!$A:$AA,MATCH($K$1,'DB PMI Manufacturing World'!$A$1:$AA$1,),)))</f>
        <v/>
      </c>
      <c r="L40" s="38">
        <f>IF((VLOOKUP(B40,'DB PMI Manufacturing World'!$A:$AA,MATCH($L$1,'DB PMI Manufacturing World'!$A$1:$AA$1,),))=0,#N/A, (VLOOKUP(B40,'DB PMI Manufacturing World'!$A:$AA,MATCH($L$1,'DB PMI Manufacturing World'!$A$1:$AA$1,),)))</f>
        <v/>
      </c>
      <c r="M40" s="38">
        <f>IF((VLOOKUP(B40,'DB PMI Manufacturing World'!$A:$AA,MATCH($M$1,'DB PMI Manufacturing World'!$A$1:$AA$1,),))=0,#N/A, (VLOOKUP(B40,'DB PMI Manufacturing World'!$A:$AA,MATCH($M$1,'DB PMI Manufacturing World'!$A$1:$AA$1,),)))</f>
        <v/>
      </c>
      <c r="N40" s="38">
        <f>IF((VLOOKUP(B40,'DB PMI Manufacturing World'!$A:$AA,MATCH($N$1,'DB PMI Manufacturing World'!$A$1:$AA$1,),))=0,#N/A, (VLOOKUP(B40,'DB PMI Manufacturing World'!$A:$AA,MATCH($N$1,'DB PMI Manufacturing World'!$A$1:$AA$1,),)))</f>
        <v/>
      </c>
      <c r="O40" s="38">
        <f>IF((VLOOKUP(B40,'DB PMI Manufacturing World'!$A:$AA,MATCH($O$1,'DB PMI Manufacturing World'!$A$1:$AA$1,),))=0,#N/A, (VLOOKUP(B40,'DB PMI Manufacturing World'!$A:$AA,MATCH($O$1,'DB PMI Manufacturing World'!$A$1:$AA$1,),)))</f>
        <v/>
      </c>
      <c r="P40" s="38">
        <f>IF((VLOOKUP(B40,'DB PMI Manufacturing World'!$A:$AA,MATCH($P$1,'DB PMI Manufacturing World'!$A$1:$AA$1,),))=0,#N/A, (VLOOKUP(B40,'DB PMI Manufacturing World'!$A:$AA,MATCH($P$1,'DB PMI Manufacturing World'!$A$1:$AA$1,),)))</f>
        <v/>
      </c>
      <c r="Q40" s="38">
        <f>IF((VLOOKUP(B40,'DB PMI Manufacturing World'!$A:$AA,MATCH($Q$1,'DB PMI Manufacturing World'!$A$1:$AA$1,),))=0,#N/A, (VLOOKUP(B40,'DB PMI Manufacturing World'!$A:$AA,MATCH($Q$1,'DB PMI Manufacturing World'!$A$1:$AA$1,),)))</f>
        <v/>
      </c>
      <c r="R40" s="38">
        <f>IF((VLOOKUP(B40,'DB PMI Manufacturing World'!$A:$AA,MATCH($R$1,'DB PMI Manufacturing World'!$A$1:$AA$1,),))=0,#N/A, (VLOOKUP(B40,'DB PMI Manufacturing World'!$A:$AA,MATCH($R$1,'DB PMI Manufacturing World'!$A$1:$AA$1,),)))</f>
        <v/>
      </c>
      <c r="S40" s="38">
        <f>IF((VLOOKUP(B40,'DB PMI Manufacturing World'!$A:$AA,MATCH($S$1,'DB PMI Manufacturing World'!$A$1:$AA$1,),))=0,#N/A, (VLOOKUP(B40,'DB PMI Manufacturing World'!$A:$AA,MATCH($S$1,'DB PMI Manufacturing World'!$A$1:$AA$1,),)))</f>
        <v/>
      </c>
      <c r="T40" s="38">
        <f>IF((VLOOKUP(B40,'DB PMI Manufacturing World'!$A:$AA,MATCH($T$1,'DB PMI Manufacturing World'!$A$1:$AA$1,),))=0,#N/A, (VLOOKUP(B40,'DB PMI Manufacturing World'!$A:$AA,MATCH($T$1,'DB PMI Manufacturing World'!$A$1:$AA$1,),)))</f>
        <v/>
      </c>
      <c r="U40" s="38">
        <f>IF((VLOOKUP(B40,'DB PMI Manufacturing World'!$A:$AA,MATCH($U$1,'DB PMI Manufacturing World'!$A$1:$AA$1,),))=0,#N/A, (VLOOKUP(B40,'DB PMI Manufacturing World'!$A:$AA,MATCH($U$1,'DB PMI Manufacturing World'!$A$1:$AA$1,),)))</f>
        <v/>
      </c>
      <c r="V40" s="38">
        <f>IF((VLOOKUP(B40,'DB PMI Manufacturing World'!$A:$AA,MATCH($V$1,'DB PMI Manufacturing World'!$A$1:$AA$1,),))=0,#N/A, (VLOOKUP(B40,'DB PMI Manufacturing World'!$A:$AA,MATCH($V$1,'DB PMI Manufacturing World'!$A$1:$AA$1,),)))</f>
        <v/>
      </c>
      <c r="W40" s="38">
        <f>IF((VLOOKUP(B40,'DB PMI Manufacturing World'!$A:$AA,MATCH($W$1,'DB PMI Manufacturing World'!$A$1:$AA$1,),))=0,#N/A, (VLOOKUP(B40,'DB PMI Manufacturing World'!$A:$AA,MATCH($W$1,'DB PMI Manufacturing World'!$A$1:$AA$1,),)))</f>
        <v/>
      </c>
      <c r="X40" s="38">
        <f>IF((VLOOKUP(B40,'DB PMI Manufacturing World'!$A:$AA,MATCH($X$1,'DB PMI Manufacturing World'!$A$1:$AA$1,),))=0,#N/A, (VLOOKUP(B40,'DB PMI Manufacturing World'!$A:$AA,MATCH($X$1,'DB PMI Manufacturing World'!$A$1:$AA$1,),)))</f>
        <v/>
      </c>
      <c r="Y40" s="38">
        <f>IF((VLOOKUP(B40,'DB PMI Manufacturing World'!$A:$AA,MATCH($Y$1,'DB PMI Manufacturing World'!$A$1:$AA$1,),))=0,#N/A, (VLOOKUP(B40,'DB PMI Manufacturing World'!$A:$AA,MATCH($Y$1,'DB PMI Manufacturing World'!$A$1:$AA$1,),)))</f>
        <v/>
      </c>
      <c r="Z40" s="38">
        <f>IF((VLOOKUP(B40,'DB PMI Manufacturing World'!$A:$AA,MATCH($Z$1,'DB PMI Manufacturing World'!$A$1:$AA$1,),))=0,#N/A, (VLOOKUP(B40,'DB PMI Manufacturing World'!$A:$AA,MATCH($Z$1,'DB PMI Manufacturing World'!$A$1:$AA$1,),)))</f>
        <v/>
      </c>
      <c r="AA40" s="38">
        <f>IF((VLOOKUP(B40,'DB PMI Manufacturing World'!$A:$AA,MATCH($AA$1,'DB PMI Manufacturing World'!$A$1:$AA$1,),))=0,#N/A, (VLOOKUP(B40,'DB PMI Manufacturing World'!$A:$AA,MATCH($AA$1,'DB PMI Manufacturing World'!$A$1:$AA$1,),)))</f>
        <v/>
      </c>
      <c r="AB40" s="38">
        <f>IF((VLOOKUP(B40,'DB PMI Manufacturing World'!$A:$AA,MATCH($AB$1,'DB PMI Manufacturing World'!$A$1:$AA$1,),))=0,#N/A, (VLOOKUP(B40,'DB PMI Manufacturing World'!$A:$AA,MATCH($AB$1,'DB PMI Manufacturing World'!$A$1:$AA$1,),)))</f>
        <v/>
      </c>
    </row>
    <row r="41">
      <c r="B41" s="29" t="n">
        <v>43770</v>
      </c>
      <c r="C41" s="38">
        <f>IF((VLOOKUP(B41,'DB PMI Manufacturing World'!$A:$AA,MATCH($C$1,'DB PMI Manufacturing World'!$A$1:$AA$1,),))=0,#N/A, (VLOOKUP(B41,'DB PMI Manufacturing World'!$A:$AA,MATCH($C$1,'DB PMI Manufacturing World'!$A$1:$AA$1,),)))</f>
        <v/>
      </c>
      <c r="D41" s="38">
        <f>IF((VLOOKUP(B41,'DB PMI Manufacturing World'!$A:$AA,MATCH($D$1,'DB PMI Manufacturing World'!$A$1:$AA$1,),))=0,#N/A, (VLOOKUP(B41,'DB PMI Manufacturing World'!$A:$AA,MATCH($D$1,'DB PMI Manufacturing World'!$A$1:$AA$1,),)))</f>
        <v/>
      </c>
      <c r="E41" s="38">
        <f>IF((VLOOKUP(B41,'DB PMI Manufacturing World'!$A:$AA,MATCH($E$1,'DB PMI Manufacturing World'!$A$1:$AA$1,),))=0,#N/A, (VLOOKUP(B41,'DB PMI Manufacturing World'!$A:$AA,MATCH($E$1,'DB PMI Manufacturing World'!$A$1:$AA$1,),)))</f>
        <v/>
      </c>
      <c r="F41" s="38">
        <f>IF((VLOOKUP(B41,'DB PMI Manufacturing World'!$A:$AA,MATCH($F$1,'DB PMI Manufacturing World'!$A$1:$AA$1,),))=0,#N/A, (VLOOKUP(B41,'DB PMI Manufacturing World'!$A:$AA,MATCH($F$1,'DB PMI Manufacturing World'!$A$1:$AA$1,),)))</f>
        <v/>
      </c>
      <c r="G41" s="38">
        <f>IF((VLOOKUP(B41,'DB PMI Manufacturing World'!$A:$AA,MATCH($G$1,'DB PMI Manufacturing World'!$A$1:$AA$1,),))=0,#N/A, (VLOOKUP(B41,'DB PMI Manufacturing World'!$A:$AA,MATCH($G$1,'DB PMI Manufacturing World'!$A$1:$AA$1,),)))</f>
        <v/>
      </c>
      <c r="H41" s="38">
        <f>IF((VLOOKUP(B41,'DB PMI Manufacturing World'!$A:$AA,MATCH($H$1,'DB PMI Manufacturing World'!$A$1:$AA$1,),))=0,#N/A, (VLOOKUP(B41,'DB PMI Manufacturing World'!$A:$AA,MATCH($H$1,'DB PMI Manufacturing World'!$A$1:$AA$1,),)))</f>
        <v/>
      </c>
      <c r="I41" s="38">
        <f>IF((VLOOKUP(B41,'DB PMI Manufacturing World'!$A:$AA,MATCH($I$1,'DB PMI Manufacturing World'!$A$1:$AA$1,),))=0,#N/A, (VLOOKUP(B41,'DB PMI Manufacturing World'!$A:$AA,MATCH($I$1,'DB PMI Manufacturing World'!$A$1:$AA$1,),)))</f>
        <v/>
      </c>
      <c r="J41" s="38">
        <f>IF((VLOOKUP(B41,'DB PMI Manufacturing World'!$A:$AA,MATCH($J$1,'DB PMI Manufacturing World'!$A$1:$AA$1,),))=0,#N/A, (VLOOKUP(B41,'DB PMI Manufacturing World'!$A:$AA,MATCH($J$1,'DB PMI Manufacturing World'!$A$1:$AA$1,),)))</f>
        <v/>
      </c>
      <c r="K41" s="38">
        <f>IF((VLOOKUP(B41,'DB PMI Manufacturing World'!$A:$AA,MATCH($K$1,'DB PMI Manufacturing World'!$A$1:$AA$1,),))=0,#N/A, (VLOOKUP(B41,'DB PMI Manufacturing World'!$A:$AA,MATCH($K$1,'DB PMI Manufacturing World'!$A$1:$AA$1,),)))</f>
        <v/>
      </c>
      <c r="L41" s="38">
        <f>IF((VLOOKUP(B41,'DB PMI Manufacturing World'!$A:$AA,MATCH($L$1,'DB PMI Manufacturing World'!$A$1:$AA$1,),))=0,#N/A, (VLOOKUP(B41,'DB PMI Manufacturing World'!$A:$AA,MATCH($L$1,'DB PMI Manufacturing World'!$A$1:$AA$1,),)))</f>
        <v/>
      </c>
      <c r="M41" s="38">
        <f>IF((VLOOKUP(B41,'DB PMI Manufacturing World'!$A:$AA,MATCH($M$1,'DB PMI Manufacturing World'!$A$1:$AA$1,),))=0,#N/A, (VLOOKUP(B41,'DB PMI Manufacturing World'!$A:$AA,MATCH($M$1,'DB PMI Manufacturing World'!$A$1:$AA$1,),)))</f>
        <v/>
      </c>
      <c r="N41" s="38">
        <f>IF((VLOOKUP(B41,'DB PMI Manufacturing World'!$A:$AA,MATCH($N$1,'DB PMI Manufacturing World'!$A$1:$AA$1,),))=0,#N/A, (VLOOKUP(B41,'DB PMI Manufacturing World'!$A:$AA,MATCH($N$1,'DB PMI Manufacturing World'!$A$1:$AA$1,),)))</f>
        <v/>
      </c>
      <c r="O41" s="38">
        <f>IF((VLOOKUP(B41,'DB PMI Manufacturing World'!$A:$AA,MATCH($O$1,'DB PMI Manufacturing World'!$A$1:$AA$1,),))=0,#N/A, (VLOOKUP(B41,'DB PMI Manufacturing World'!$A:$AA,MATCH($O$1,'DB PMI Manufacturing World'!$A$1:$AA$1,),)))</f>
        <v/>
      </c>
      <c r="P41" s="38">
        <f>IF((VLOOKUP(B41,'DB PMI Manufacturing World'!$A:$AA,MATCH($P$1,'DB PMI Manufacturing World'!$A$1:$AA$1,),))=0,#N/A, (VLOOKUP(B41,'DB PMI Manufacturing World'!$A:$AA,MATCH($P$1,'DB PMI Manufacturing World'!$A$1:$AA$1,),)))</f>
        <v/>
      </c>
      <c r="Q41" s="38">
        <f>IF((VLOOKUP(B41,'DB PMI Manufacturing World'!$A:$AA,MATCH($Q$1,'DB PMI Manufacturing World'!$A$1:$AA$1,),))=0,#N/A, (VLOOKUP(B41,'DB PMI Manufacturing World'!$A:$AA,MATCH($Q$1,'DB PMI Manufacturing World'!$A$1:$AA$1,),)))</f>
        <v/>
      </c>
      <c r="R41" s="38">
        <f>IF((VLOOKUP(B41,'DB PMI Manufacturing World'!$A:$AA,MATCH($R$1,'DB PMI Manufacturing World'!$A$1:$AA$1,),))=0,#N/A, (VLOOKUP(B41,'DB PMI Manufacturing World'!$A:$AA,MATCH($R$1,'DB PMI Manufacturing World'!$A$1:$AA$1,),)))</f>
        <v/>
      </c>
      <c r="S41" s="38">
        <f>IF((VLOOKUP(B41,'DB PMI Manufacturing World'!$A:$AA,MATCH($S$1,'DB PMI Manufacturing World'!$A$1:$AA$1,),))=0,#N/A, (VLOOKUP(B41,'DB PMI Manufacturing World'!$A:$AA,MATCH($S$1,'DB PMI Manufacturing World'!$A$1:$AA$1,),)))</f>
        <v/>
      </c>
      <c r="T41" s="38">
        <f>IF((VLOOKUP(B41,'DB PMI Manufacturing World'!$A:$AA,MATCH($T$1,'DB PMI Manufacturing World'!$A$1:$AA$1,),))=0,#N/A, (VLOOKUP(B41,'DB PMI Manufacturing World'!$A:$AA,MATCH($T$1,'DB PMI Manufacturing World'!$A$1:$AA$1,),)))</f>
        <v/>
      </c>
      <c r="U41" s="38">
        <f>IF((VLOOKUP(B41,'DB PMI Manufacturing World'!$A:$AA,MATCH($U$1,'DB PMI Manufacturing World'!$A$1:$AA$1,),))=0,#N/A, (VLOOKUP(B41,'DB PMI Manufacturing World'!$A:$AA,MATCH($U$1,'DB PMI Manufacturing World'!$A$1:$AA$1,),)))</f>
        <v/>
      </c>
      <c r="V41" s="38">
        <f>IF((VLOOKUP(B41,'DB PMI Manufacturing World'!$A:$AA,MATCH($V$1,'DB PMI Manufacturing World'!$A$1:$AA$1,),))=0,#N/A, (VLOOKUP(B41,'DB PMI Manufacturing World'!$A:$AA,MATCH($V$1,'DB PMI Manufacturing World'!$A$1:$AA$1,),)))</f>
        <v/>
      </c>
      <c r="W41" s="38">
        <f>IF((VLOOKUP(B41,'DB PMI Manufacturing World'!$A:$AA,MATCH($W$1,'DB PMI Manufacturing World'!$A$1:$AA$1,),))=0,#N/A, (VLOOKUP(B41,'DB PMI Manufacturing World'!$A:$AA,MATCH($W$1,'DB PMI Manufacturing World'!$A$1:$AA$1,),)))</f>
        <v/>
      </c>
      <c r="X41" s="38">
        <f>IF((VLOOKUP(B41,'DB PMI Manufacturing World'!$A:$AA,MATCH($X$1,'DB PMI Manufacturing World'!$A$1:$AA$1,),))=0,#N/A, (VLOOKUP(B41,'DB PMI Manufacturing World'!$A:$AA,MATCH($X$1,'DB PMI Manufacturing World'!$A$1:$AA$1,),)))</f>
        <v/>
      </c>
      <c r="Y41" s="38">
        <f>IF((VLOOKUP(B41,'DB PMI Manufacturing World'!$A:$AA,MATCH($Y$1,'DB PMI Manufacturing World'!$A$1:$AA$1,),))=0,#N/A, (VLOOKUP(B41,'DB PMI Manufacturing World'!$A:$AA,MATCH($Y$1,'DB PMI Manufacturing World'!$A$1:$AA$1,),)))</f>
        <v/>
      </c>
      <c r="Z41" s="38">
        <f>IF((VLOOKUP(B41,'DB PMI Manufacturing World'!$A:$AA,MATCH($Z$1,'DB PMI Manufacturing World'!$A$1:$AA$1,),))=0,#N/A, (VLOOKUP(B41,'DB PMI Manufacturing World'!$A:$AA,MATCH($Z$1,'DB PMI Manufacturing World'!$A$1:$AA$1,),)))</f>
        <v/>
      </c>
      <c r="AA41" s="38">
        <f>IF((VLOOKUP(B41,'DB PMI Manufacturing World'!$A:$AA,MATCH($AA$1,'DB PMI Manufacturing World'!$A$1:$AA$1,),))=0,#N/A, (VLOOKUP(B41,'DB PMI Manufacturing World'!$A:$AA,MATCH($AA$1,'DB PMI Manufacturing World'!$A$1:$AA$1,),)))</f>
        <v/>
      </c>
      <c r="AB41" s="38">
        <f>IF((VLOOKUP(B41,'DB PMI Manufacturing World'!$A:$AA,MATCH($AB$1,'DB PMI Manufacturing World'!$A$1:$AA$1,),))=0,#N/A, (VLOOKUP(B41,'DB PMI Manufacturing World'!$A:$AA,MATCH($AB$1,'DB PMI Manufacturing World'!$A$1:$AA$1,),)))</f>
        <v/>
      </c>
    </row>
    <row r="42">
      <c r="B42" s="29" t="n">
        <v>43800</v>
      </c>
      <c r="C42" s="38">
        <f>IF((VLOOKUP(B42,'DB PMI Manufacturing World'!$A:$AA,MATCH($C$1,'DB PMI Manufacturing World'!$A$1:$AA$1,),))=0,#N/A, (VLOOKUP(B42,'DB PMI Manufacturing World'!$A:$AA,MATCH($C$1,'DB PMI Manufacturing World'!$A$1:$AA$1,),)))</f>
        <v/>
      </c>
      <c r="D42" s="38">
        <f>IF((VLOOKUP(B42,'DB PMI Manufacturing World'!$A:$AA,MATCH($D$1,'DB PMI Manufacturing World'!$A$1:$AA$1,),))=0,#N/A, (VLOOKUP(B42,'DB PMI Manufacturing World'!$A:$AA,MATCH($D$1,'DB PMI Manufacturing World'!$A$1:$AA$1,),)))</f>
        <v/>
      </c>
      <c r="E42" s="38">
        <f>IF((VLOOKUP(B42,'DB PMI Manufacturing World'!$A:$AA,MATCH($E$1,'DB PMI Manufacturing World'!$A$1:$AA$1,),))=0,#N/A, (VLOOKUP(B42,'DB PMI Manufacturing World'!$A:$AA,MATCH($E$1,'DB PMI Manufacturing World'!$A$1:$AA$1,),)))</f>
        <v/>
      </c>
      <c r="F42" s="38">
        <f>IF((VLOOKUP(B42,'DB PMI Manufacturing World'!$A:$AA,MATCH($F$1,'DB PMI Manufacturing World'!$A$1:$AA$1,),))=0,#N/A, (VLOOKUP(B42,'DB PMI Manufacturing World'!$A:$AA,MATCH($F$1,'DB PMI Manufacturing World'!$A$1:$AA$1,),)))</f>
        <v/>
      </c>
      <c r="G42" s="38">
        <f>IF((VLOOKUP(B42,'DB PMI Manufacturing World'!$A:$AA,MATCH($G$1,'DB PMI Manufacturing World'!$A$1:$AA$1,),))=0,#N/A, (VLOOKUP(B42,'DB PMI Manufacturing World'!$A:$AA,MATCH($G$1,'DB PMI Manufacturing World'!$A$1:$AA$1,),)))</f>
        <v/>
      </c>
      <c r="H42" s="38">
        <f>IF((VLOOKUP(B42,'DB PMI Manufacturing World'!$A:$AA,MATCH($H$1,'DB PMI Manufacturing World'!$A$1:$AA$1,),))=0,#N/A, (VLOOKUP(B42,'DB PMI Manufacturing World'!$A:$AA,MATCH($H$1,'DB PMI Manufacturing World'!$A$1:$AA$1,),)))</f>
        <v/>
      </c>
      <c r="I42" s="38">
        <f>IF((VLOOKUP(B42,'DB PMI Manufacturing World'!$A:$AA,MATCH($I$1,'DB PMI Manufacturing World'!$A$1:$AA$1,),))=0,#N/A, (VLOOKUP(B42,'DB PMI Manufacturing World'!$A:$AA,MATCH($I$1,'DB PMI Manufacturing World'!$A$1:$AA$1,),)))</f>
        <v/>
      </c>
      <c r="J42" s="38">
        <f>IF((VLOOKUP(B42,'DB PMI Manufacturing World'!$A:$AA,MATCH($J$1,'DB PMI Manufacturing World'!$A$1:$AA$1,),))=0,#N/A, (VLOOKUP(B42,'DB PMI Manufacturing World'!$A:$AA,MATCH($J$1,'DB PMI Manufacturing World'!$A$1:$AA$1,),)))</f>
        <v/>
      </c>
      <c r="K42" s="38">
        <f>IF((VLOOKUP(B42,'DB PMI Manufacturing World'!$A:$AA,MATCH($K$1,'DB PMI Manufacturing World'!$A$1:$AA$1,),))=0,#N/A, (VLOOKUP(B42,'DB PMI Manufacturing World'!$A:$AA,MATCH($K$1,'DB PMI Manufacturing World'!$A$1:$AA$1,),)))</f>
        <v/>
      </c>
      <c r="L42" s="38">
        <f>IF((VLOOKUP(B42,'DB PMI Manufacturing World'!$A:$AA,MATCH($L$1,'DB PMI Manufacturing World'!$A$1:$AA$1,),))=0,#N/A, (VLOOKUP(B42,'DB PMI Manufacturing World'!$A:$AA,MATCH($L$1,'DB PMI Manufacturing World'!$A$1:$AA$1,),)))</f>
        <v/>
      </c>
      <c r="M42" s="38">
        <f>IF((VLOOKUP(B42,'DB PMI Manufacturing World'!$A:$AA,MATCH($M$1,'DB PMI Manufacturing World'!$A$1:$AA$1,),))=0,#N/A, (VLOOKUP(B42,'DB PMI Manufacturing World'!$A:$AA,MATCH($M$1,'DB PMI Manufacturing World'!$A$1:$AA$1,),)))</f>
        <v/>
      </c>
      <c r="N42" s="38">
        <f>IF((VLOOKUP(B42,'DB PMI Manufacturing World'!$A:$AA,MATCH($N$1,'DB PMI Manufacturing World'!$A$1:$AA$1,),))=0,#N/A, (VLOOKUP(B42,'DB PMI Manufacturing World'!$A:$AA,MATCH($N$1,'DB PMI Manufacturing World'!$A$1:$AA$1,),)))</f>
        <v/>
      </c>
      <c r="O42" s="38">
        <f>IF((VLOOKUP(B42,'DB PMI Manufacturing World'!$A:$AA,MATCH($O$1,'DB PMI Manufacturing World'!$A$1:$AA$1,),))=0,#N/A, (VLOOKUP(B42,'DB PMI Manufacturing World'!$A:$AA,MATCH($O$1,'DB PMI Manufacturing World'!$A$1:$AA$1,),)))</f>
        <v/>
      </c>
      <c r="P42" s="38">
        <f>IF((VLOOKUP(B42,'DB PMI Manufacturing World'!$A:$AA,MATCH($P$1,'DB PMI Manufacturing World'!$A$1:$AA$1,),))=0,#N/A, (VLOOKUP(B42,'DB PMI Manufacturing World'!$A:$AA,MATCH($P$1,'DB PMI Manufacturing World'!$A$1:$AA$1,),)))</f>
        <v/>
      </c>
      <c r="Q42" s="38">
        <f>IF((VLOOKUP(B42,'DB PMI Manufacturing World'!$A:$AA,MATCH($Q$1,'DB PMI Manufacturing World'!$A$1:$AA$1,),))=0,#N/A, (VLOOKUP(B42,'DB PMI Manufacturing World'!$A:$AA,MATCH($Q$1,'DB PMI Manufacturing World'!$A$1:$AA$1,),)))</f>
        <v/>
      </c>
      <c r="R42" s="38">
        <f>IF((VLOOKUP(B42,'DB PMI Manufacturing World'!$A:$AA,MATCH($R$1,'DB PMI Manufacturing World'!$A$1:$AA$1,),))=0,#N/A, (VLOOKUP(B42,'DB PMI Manufacturing World'!$A:$AA,MATCH($R$1,'DB PMI Manufacturing World'!$A$1:$AA$1,),)))</f>
        <v/>
      </c>
      <c r="S42" s="38">
        <f>IF((VLOOKUP(B42,'DB PMI Manufacturing World'!$A:$AA,MATCH($S$1,'DB PMI Manufacturing World'!$A$1:$AA$1,),))=0,#N/A, (VLOOKUP(B42,'DB PMI Manufacturing World'!$A:$AA,MATCH($S$1,'DB PMI Manufacturing World'!$A$1:$AA$1,),)))</f>
        <v/>
      </c>
      <c r="T42" s="38">
        <f>IF((VLOOKUP(B42,'DB PMI Manufacturing World'!$A:$AA,MATCH($T$1,'DB PMI Manufacturing World'!$A$1:$AA$1,),))=0,#N/A, (VLOOKUP(B42,'DB PMI Manufacturing World'!$A:$AA,MATCH($T$1,'DB PMI Manufacturing World'!$A$1:$AA$1,),)))</f>
        <v/>
      </c>
      <c r="U42" s="38">
        <f>IF((VLOOKUP(B42,'DB PMI Manufacturing World'!$A:$AA,MATCH($U$1,'DB PMI Manufacturing World'!$A$1:$AA$1,),))=0,#N/A, (VLOOKUP(B42,'DB PMI Manufacturing World'!$A:$AA,MATCH($U$1,'DB PMI Manufacturing World'!$A$1:$AA$1,),)))</f>
        <v/>
      </c>
      <c r="V42" s="38">
        <f>IF((VLOOKUP(B42,'DB PMI Manufacturing World'!$A:$AA,MATCH($V$1,'DB PMI Manufacturing World'!$A$1:$AA$1,),))=0,#N/A, (VLOOKUP(B42,'DB PMI Manufacturing World'!$A:$AA,MATCH($V$1,'DB PMI Manufacturing World'!$A$1:$AA$1,),)))</f>
        <v/>
      </c>
      <c r="W42" s="38">
        <f>IF((VLOOKUP(B42,'DB PMI Manufacturing World'!$A:$AA,MATCH($W$1,'DB PMI Manufacturing World'!$A$1:$AA$1,),))=0,#N/A, (VLOOKUP(B42,'DB PMI Manufacturing World'!$A:$AA,MATCH($W$1,'DB PMI Manufacturing World'!$A$1:$AA$1,),)))</f>
        <v/>
      </c>
      <c r="X42" s="38">
        <f>IF((VLOOKUP(B42,'DB PMI Manufacturing World'!$A:$AA,MATCH($X$1,'DB PMI Manufacturing World'!$A$1:$AA$1,),))=0,#N/A, (VLOOKUP(B42,'DB PMI Manufacturing World'!$A:$AA,MATCH($X$1,'DB PMI Manufacturing World'!$A$1:$AA$1,),)))</f>
        <v/>
      </c>
      <c r="Y42" s="38">
        <f>IF((VLOOKUP(B42,'DB PMI Manufacturing World'!$A:$AA,MATCH($Y$1,'DB PMI Manufacturing World'!$A$1:$AA$1,),))=0,#N/A, (VLOOKUP(B42,'DB PMI Manufacturing World'!$A:$AA,MATCH($Y$1,'DB PMI Manufacturing World'!$A$1:$AA$1,),)))</f>
        <v/>
      </c>
      <c r="Z42" s="38">
        <f>IF((VLOOKUP(B42,'DB PMI Manufacturing World'!$A:$AA,MATCH($Z$1,'DB PMI Manufacturing World'!$A$1:$AA$1,),))=0,#N/A, (VLOOKUP(B42,'DB PMI Manufacturing World'!$A:$AA,MATCH($Z$1,'DB PMI Manufacturing World'!$A$1:$AA$1,),)))</f>
        <v/>
      </c>
      <c r="AA42" s="38">
        <f>IF((VLOOKUP(B42,'DB PMI Manufacturing World'!$A:$AA,MATCH($AA$1,'DB PMI Manufacturing World'!$A$1:$AA$1,),))=0,#N/A, (VLOOKUP(B42,'DB PMI Manufacturing World'!$A:$AA,MATCH($AA$1,'DB PMI Manufacturing World'!$A$1:$AA$1,),)))</f>
        <v/>
      </c>
      <c r="AB42" s="38">
        <f>IF((VLOOKUP(B42,'DB PMI Manufacturing World'!$A:$AA,MATCH($AB$1,'DB PMI Manufacturing World'!$A$1:$AA$1,),))=0,#N/A, (VLOOKUP(B42,'DB PMI Manufacturing World'!$A:$AA,MATCH($AB$1,'DB PMI Manufacturing World'!$A$1:$AA$1,),)))</f>
        <v/>
      </c>
    </row>
    <row r="43">
      <c r="B43" s="29" t="n">
        <v>43831</v>
      </c>
      <c r="C43" s="38">
        <f>IF((VLOOKUP(B43,'DB PMI Manufacturing World'!$A:$AA,MATCH($C$1,'DB PMI Manufacturing World'!$A$1:$AA$1,),))=0,#N/A, (VLOOKUP(B43,'DB PMI Manufacturing World'!$A:$AA,MATCH($C$1,'DB PMI Manufacturing World'!$A$1:$AA$1,),)))</f>
        <v/>
      </c>
      <c r="D43" s="38">
        <f>IF((VLOOKUP(B43,'DB PMI Manufacturing World'!$A:$AA,MATCH($D$1,'DB PMI Manufacturing World'!$A$1:$AA$1,),))=0,#N/A, (VLOOKUP(B43,'DB PMI Manufacturing World'!$A:$AA,MATCH($D$1,'DB PMI Manufacturing World'!$A$1:$AA$1,),)))</f>
        <v/>
      </c>
      <c r="E43" s="38">
        <f>IF((VLOOKUP(B43,'DB PMI Manufacturing World'!$A:$AA,MATCH($E$1,'DB PMI Manufacturing World'!$A$1:$AA$1,),))=0,#N/A, (VLOOKUP(B43,'DB PMI Manufacturing World'!$A:$AA,MATCH($E$1,'DB PMI Manufacturing World'!$A$1:$AA$1,),)))</f>
        <v/>
      </c>
      <c r="F43" s="38">
        <f>IF((VLOOKUP(B43,'DB PMI Manufacturing World'!$A:$AA,MATCH($F$1,'DB PMI Manufacturing World'!$A$1:$AA$1,),))=0,#N/A, (VLOOKUP(B43,'DB PMI Manufacturing World'!$A:$AA,MATCH($F$1,'DB PMI Manufacturing World'!$A$1:$AA$1,),)))</f>
        <v/>
      </c>
      <c r="G43" s="38">
        <f>IF((VLOOKUP(B43,'DB PMI Manufacturing World'!$A:$AA,MATCH($G$1,'DB PMI Manufacturing World'!$A$1:$AA$1,),))=0,#N/A, (VLOOKUP(B43,'DB PMI Manufacturing World'!$A:$AA,MATCH($G$1,'DB PMI Manufacturing World'!$A$1:$AA$1,),)))</f>
        <v/>
      </c>
      <c r="H43" s="38">
        <f>IF((VLOOKUP(B43,'DB PMI Manufacturing World'!$A:$AA,MATCH($H$1,'DB PMI Manufacturing World'!$A$1:$AA$1,),))=0,#N/A, (VLOOKUP(B43,'DB PMI Manufacturing World'!$A:$AA,MATCH($H$1,'DB PMI Manufacturing World'!$A$1:$AA$1,),)))</f>
        <v/>
      </c>
      <c r="I43" s="38">
        <f>IF((VLOOKUP(B43,'DB PMI Manufacturing World'!$A:$AA,MATCH($I$1,'DB PMI Manufacturing World'!$A$1:$AA$1,),))=0,#N/A, (VLOOKUP(B43,'DB PMI Manufacturing World'!$A:$AA,MATCH($I$1,'DB PMI Manufacturing World'!$A$1:$AA$1,),)))</f>
        <v/>
      </c>
      <c r="J43" s="38">
        <f>IF((VLOOKUP(B43,'DB PMI Manufacturing World'!$A:$AA,MATCH($J$1,'DB PMI Manufacturing World'!$A$1:$AA$1,),))=0,#N/A, (VLOOKUP(B43,'DB PMI Manufacturing World'!$A:$AA,MATCH($J$1,'DB PMI Manufacturing World'!$A$1:$AA$1,),)))</f>
        <v/>
      </c>
      <c r="K43" s="38">
        <f>IF((VLOOKUP(B43,'DB PMI Manufacturing World'!$A:$AA,MATCH($K$1,'DB PMI Manufacturing World'!$A$1:$AA$1,),))=0,#N/A, (VLOOKUP(B43,'DB PMI Manufacturing World'!$A:$AA,MATCH($K$1,'DB PMI Manufacturing World'!$A$1:$AA$1,),)))</f>
        <v/>
      </c>
      <c r="L43" s="38">
        <f>IF((VLOOKUP(B43,'DB PMI Manufacturing World'!$A:$AA,MATCH($L$1,'DB PMI Manufacturing World'!$A$1:$AA$1,),))=0,#N/A, (VLOOKUP(B43,'DB PMI Manufacturing World'!$A:$AA,MATCH($L$1,'DB PMI Manufacturing World'!$A$1:$AA$1,),)))</f>
        <v/>
      </c>
      <c r="M43" s="38">
        <f>IF((VLOOKUP(B43,'DB PMI Manufacturing World'!$A:$AA,MATCH($M$1,'DB PMI Manufacturing World'!$A$1:$AA$1,),))=0,#N/A, (VLOOKUP(B43,'DB PMI Manufacturing World'!$A:$AA,MATCH($M$1,'DB PMI Manufacturing World'!$A$1:$AA$1,),)))</f>
        <v/>
      </c>
      <c r="N43" s="38">
        <f>IF((VLOOKUP(B43,'DB PMI Manufacturing World'!$A:$AA,MATCH($N$1,'DB PMI Manufacturing World'!$A$1:$AA$1,),))=0,#N/A, (VLOOKUP(B43,'DB PMI Manufacturing World'!$A:$AA,MATCH($N$1,'DB PMI Manufacturing World'!$A$1:$AA$1,),)))</f>
        <v/>
      </c>
      <c r="O43" s="38">
        <f>IF((VLOOKUP(B43,'DB PMI Manufacturing World'!$A:$AA,MATCH($O$1,'DB PMI Manufacturing World'!$A$1:$AA$1,),))=0,#N/A, (VLOOKUP(B43,'DB PMI Manufacturing World'!$A:$AA,MATCH($O$1,'DB PMI Manufacturing World'!$A$1:$AA$1,),)))</f>
        <v/>
      </c>
      <c r="P43" s="38">
        <f>IF((VLOOKUP(B43,'DB PMI Manufacturing World'!$A:$AA,MATCH($P$1,'DB PMI Manufacturing World'!$A$1:$AA$1,),))=0,#N/A, (VLOOKUP(B43,'DB PMI Manufacturing World'!$A:$AA,MATCH($P$1,'DB PMI Manufacturing World'!$A$1:$AA$1,),)))</f>
        <v/>
      </c>
      <c r="Q43" s="38">
        <f>IF((VLOOKUP(B43,'DB PMI Manufacturing World'!$A:$AA,MATCH($Q$1,'DB PMI Manufacturing World'!$A$1:$AA$1,),))=0,#N/A, (VLOOKUP(B43,'DB PMI Manufacturing World'!$A:$AA,MATCH($Q$1,'DB PMI Manufacturing World'!$A$1:$AA$1,),)))</f>
        <v/>
      </c>
      <c r="R43" s="38">
        <f>IF((VLOOKUP(B43,'DB PMI Manufacturing World'!$A:$AA,MATCH($R$1,'DB PMI Manufacturing World'!$A$1:$AA$1,),))=0,#N/A, (VLOOKUP(B43,'DB PMI Manufacturing World'!$A:$AA,MATCH($R$1,'DB PMI Manufacturing World'!$A$1:$AA$1,),)))</f>
        <v/>
      </c>
      <c r="S43" s="38">
        <f>IF((VLOOKUP(B43,'DB PMI Manufacturing World'!$A:$AA,MATCH($S$1,'DB PMI Manufacturing World'!$A$1:$AA$1,),))=0,#N/A, (VLOOKUP(B43,'DB PMI Manufacturing World'!$A:$AA,MATCH($S$1,'DB PMI Manufacturing World'!$A$1:$AA$1,),)))</f>
        <v/>
      </c>
      <c r="T43" s="38">
        <f>IF((VLOOKUP(B43,'DB PMI Manufacturing World'!$A:$AA,MATCH($T$1,'DB PMI Manufacturing World'!$A$1:$AA$1,),))=0,#N/A, (VLOOKUP(B43,'DB PMI Manufacturing World'!$A:$AA,MATCH($T$1,'DB PMI Manufacturing World'!$A$1:$AA$1,),)))</f>
        <v/>
      </c>
      <c r="U43" s="38">
        <f>IF((VLOOKUP(B43,'DB PMI Manufacturing World'!$A:$AA,MATCH($U$1,'DB PMI Manufacturing World'!$A$1:$AA$1,),))=0,#N/A, (VLOOKUP(B43,'DB PMI Manufacturing World'!$A:$AA,MATCH($U$1,'DB PMI Manufacturing World'!$A$1:$AA$1,),)))</f>
        <v/>
      </c>
      <c r="V43" s="38">
        <f>IF((VLOOKUP(B43,'DB PMI Manufacturing World'!$A:$AA,MATCH($V$1,'DB PMI Manufacturing World'!$A$1:$AA$1,),))=0,#N/A, (VLOOKUP(B43,'DB PMI Manufacturing World'!$A:$AA,MATCH($V$1,'DB PMI Manufacturing World'!$A$1:$AA$1,),)))</f>
        <v/>
      </c>
      <c r="W43" s="38">
        <f>IF((VLOOKUP(B43,'DB PMI Manufacturing World'!$A:$AA,MATCH($W$1,'DB PMI Manufacturing World'!$A$1:$AA$1,),))=0,#N/A, (VLOOKUP(B43,'DB PMI Manufacturing World'!$A:$AA,MATCH($W$1,'DB PMI Manufacturing World'!$A$1:$AA$1,),)))</f>
        <v/>
      </c>
      <c r="X43" s="38">
        <f>IF((VLOOKUP(B43,'DB PMI Manufacturing World'!$A:$AA,MATCH($X$1,'DB PMI Manufacturing World'!$A$1:$AA$1,),))=0,#N/A, (VLOOKUP(B43,'DB PMI Manufacturing World'!$A:$AA,MATCH($X$1,'DB PMI Manufacturing World'!$A$1:$AA$1,),)))</f>
        <v/>
      </c>
      <c r="Y43" s="38">
        <f>IF((VLOOKUP(B43,'DB PMI Manufacturing World'!$A:$AA,MATCH($Y$1,'DB PMI Manufacturing World'!$A$1:$AA$1,),))=0,#N/A, (VLOOKUP(B43,'DB PMI Manufacturing World'!$A:$AA,MATCH($Y$1,'DB PMI Manufacturing World'!$A$1:$AA$1,),)))</f>
        <v/>
      </c>
      <c r="Z43" s="38">
        <f>IF((VLOOKUP(B43,'DB PMI Manufacturing World'!$A:$AA,MATCH($Z$1,'DB PMI Manufacturing World'!$A$1:$AA$1,),))=0,#N/A, (VLOOKUP(B43,'DB PMI Manufacturing World'!$A:$AA,MATCH($Z$1,'DB PMI Manufacturing World'!$A$1:$AA$1,),)))</f>
        <v/>
      </c>
      <c r="AA43" s="38">
        <f>IF((VLOOKUP(B43,'DB PMI Manufacturing World'!$A:$AA,MATCH($AA$1,'DB PMI Manufacturing World'!$A$1:$AA$1,),))=0,#N/A, (VLOOKUP(B43,'DB PMI Manufacturing World'!$A:$AA,MATCH($AA$1,'DB PMI Manufacturing World'!$A$1:$AA$1,),)))</f>
        <v/>
      </c>
      <c r="AB43" s="38">
        <f>IF((VLOOKUP(B43,'DB PMI Manufacturing World'!$A:$AA,MATCH($AB$1,'DB PMI Manufacturing World'!$A$1:$AA$1,),))=0,#N/A, (VLOOKUP(B43,'DB PMI Manufacturing World'!$A:$AA,MATCH($AB$1,'DB PMI Manufacturing World'!$A$1:$AA$1,),)))</f>
        <v/>
      </c>
    </row>
    <row r="44">
      <c r="B44" s="29" t="n">
        <v>43862</v>
      </c>
      <c r="C44" s="38">
        <f>IF((VLOOKUP(B44,'DB PMI Manufacturing World'!$A:$AA,MATCH($C$1,'DB PMI Manufacturing World'!$A$1:$AA$1,),))=0,#N/A, (VLOOKUP(B44,'DB PMI Manufacturing World'!$A:$AA,MATCH($C$1,'DB PMI Manufacturing World'!$A$1:$AA$1,),)))</f>
        <v/>
      </c>
      <c r="D44" s="38">
        <f>IF((VLOOKUP(B44,'DB PMI Manufacturing World'!$A:$AA,MATCH($D$1,'DB PMI Manufacturing World'!$A$1:$AA$1,),))=0,#N/A, (VLOOKUP(B44,'DB PMI Manufacturing World'!$A:$AA,MATCH($D$1,'DB PMI Manufacturing World'!$A$1:$AA$1,),)))</f>
        <v/>
      </c>
      <c r="E44" s="38">
        <f>IF((VLOOKUP(B44,'DB PMI Manufacturing World'!$A:$AA,MATCH($E$1,'DB PMI Manufacturing World'!$A$1:$AA$1,),))=0,#N/A, (VLOOKUP(B44,'DB PMI Manufacturing World'!$A:$AA,MATCH($E$1,'DB PMI Manufacturing World'!$A$1:$AA$1,),)))</f>
        <v/>
      </c>
      <c r="F44" s="38">
        <f>IF((VLOOKUP(B44,'DB PMI Manufacturing World'!$A:$AA,MATCH($F$1,'DB PMI Manufacturing World'!$A$1:$AA$1,),))=0,#N/A, (VLOOKUP(B44,'DB PMI Manufacturing World'!$A:$AA,MATCH($F$1,'DB PMI Manufacturing World'!$A$1:$AA$1,),)))</f>
        <v/>
      </c>
      <c r="G44" s="38">
        <f>IF((VLOOKUP(B44,'DB PMI Manufacturing World'!$A:$AA,MATCH($G$1,'DB PMI Manufacturing World'!$A$1:$AA$1,),))=0,#N/A, (VLOOKUP(B44,'DB PMI Manufacturing World'!$A:$AA,MATCH($G$1,'DB PMI Manufacturing World'!$A$1:$AA$1,),)))</f>
        <v/>
      </c>
      <c r="H44" s="38">
        <f>IF((VLOOKUP(B44,'DB PMI Manufacturing World'!$A:$AA,MATCH($H$1,'DB PMI Manufacturing World'!$A$1:$AA$1,),))=0,#N/A, (VLOOKUP(B44,'DB PMI Manufacturing World'!$A:$AA,MATCH($H$1,'DB PMI Manufacturing World'!$A$1:$AA$1,),)))</f>
        <v/>
      </c>
      <c r="I44" s="38">
        <f>IF((VLOOKUP(B44,'DB PMI Manufacturing World'!$A:$AA,MATCH($I$1,'DB PMI Manufacturing World'!$A$1:$AA$1,),))=0,#N/A, (VLOOKUP(B44,'DB PMI Manufacturing World'!$A:$AA,MATCH($I$1,'DB PMI Manufacturing World'!$A$1:$AA$1,),)))</f>
        <v/>
      </c>
      <c r="J44" s="38">
        <f>IF((VLOOKUP(B44,'DB PMI Manufacturing World'!$A:$AA,MATCH($J$1,'DB PMI Manufacturing World'!$A$1:$AA$1,),))=0,#N/A, (VLOOKUP(B44,'DB PMI Manufacturing World'!$A:$AA,MATCH($J$1,'DB PMI Manufacturing World'!$A$1:$AA$1,),)))</f>
        <v/>
      </c>
      <c r="K44" s="38">
        <f>IF((VLOOKUP(B44,'DB PMI Manufacturing World'!$A:$AA,MATCH($K$1,'DB PMI Manufacturing World'!$A$1:$AA$1,),))=0,#N/A, (VLOOKUP(B44,'DB PMI Manufacturing World'!$A:$AA,MATCH($K$1,'DB PMI Manufacturing World'!$A$1:$AA$1,),)))</f>
        <v/>
      </c>
      <c r="L44" s="38">
        <f>IF((VLOOKUP(B44,'DB PMI Manufacturing World'!$A:$AA,MATCH($L$1,'DB PMI Manufacturing World'!$A$1:$AA$1,),))=0,#N/A, (VLOOKUP(B44,'DB PMI Manufacturing World'!$A:$AA,MATCH($L$1,'DB PMI Manufacturing World'!$A$1:$AA$1,),)))</f>
        <v/>
      </c>
      <c r="M44" s="38">
        <f>IF((VLOOKUP(B44,'DB PMI Manufacturing World'!$A:$AA,MATCH($M$1,'DB PMI Manufacturing World'!$A$1:$AA$1,),))=0,#N/A, (VLOOKUP(B44,'DB PMI Manufacturing World'!$A:$AA,MATCH($M$1,'DB PMI Manufacturing World'!$A$1:$AA$1,),)))</f>
        <v/>
      </c>
      <c r="N44" s="38">
        <f>IF((VLOOKUP(B44,'DB PMI Manufacturing World'!$A:$AA,MATCH($N$1,'DB PMI Manufacturing World'!$A$1:$AA$1,),))=0,#N/A, (VLOOKUP(B44,'DB PMI Manufacturing World'!$A:$AA,MATCH($N$1,'DB PMI Manufacturing World'!$A$1:$AA$1,),)))</f>
        <v/>
      </c>
      <c r="O44" s="38">
        <f>IF((VLOOKUP(B44,'DB PMI Manufacturing World'!$A:$AA,MATCH($O$1,'DB PMI Manufacturing World'!$A$1:$AA$1,),))=0,#N/A, (VLOOKUP(B44,'DB PMI Manufacturing World'!$A:$AA,MATCH($O$1,'DB PMI Manufacturing World'!$A$1:$AA$1,),)))</f>
        <v/>
      </c>
      <c r="P44" s="38">
        <f>IF((VLOOKUP(B44,'DB PMI Manufacturing World'!$A:$AA,MATCH($P$1,'DB PMI Manufacturing World'!$A$1:$AA$1,),))=0,#N/A, (VLOOKUP(B44,'DB PMI Manufacturing World'!$A:$AA,MATCH($P$1,'DB PMI Manufacturing World'!$A$1:$AA$1,),)))</f>
        <v/>
      </c>
      <c r="Q44" s="38">
        <f>IF((VLOOKUP(B44,'DB PMI Manufacturing World'!$A:$AA,MATCH($Q$1,'DB PMI Manufacturing World'!$A$1:$AA$1,),))=0,#N/A, (VLOOKUP(B44,'DB PMI Manufacturing World'!$A:$AA,MATCH($Q$1,'DB PMI Manufacturing World'!$A$1:$AA$1,),)))</f>
        <v/>
      </c>
      <c r="R44" s="38">
        <f>IF((VLOOKUP(B44,'DB PMI Manufacturing World'!$A:$AA,MATCH($R$1,'DB PMI Manufacturing World'!$A$1:$AA$1,),))=0,#N/A, (VLOOKUP(B44,'DB PMI Manufacturing World'!$A:$AA,MATCH($R$1,'DB PMI Manufacturing World'!$A$1:$AA$1,),)))</f>
        <v/>
      </c>
      <c r="S44" s="38">
        <f>IF((VLOOKUP(B44,'DB PMI Manufacturing World'!$A:$AA,MATCH($S$1,'DB PMI Manufacturing World'!$A$1:$AA$1,),))=0,#N/A, (VLOOKUP(B44,'DB PMI Manufacturing World'!$A:$AA,MATCH($S$1,'DB PMI Manufacturing World'!$A$1:$AA$1,),)))</f>
        <v/>
      </c>
      <c r="T44" s="38">
        <f>IF((VLOOKUP(B44,'DB PMI Manufacturing World'!$A:$AA,MATCH($T$1,'DB PMI Manufacturing World'!$A$1:$AA$1,),))=0,#N/A, (VLOOKUP(B44,'DB PMI Manufacturing World'!$A:$AA,MATCH($T$1,'DB PMI Manufacturing World'!$A$1:$AA$1,),)))</f>
        <v/>
      </c>
      <c r="U44" s="38">
        <f>IF((VLOOKUP(B44,'DB PMI Manufacturing World'!$A:$AA,MATCH($U$1,'DB PMI Manufacturing World'!$A$1:$AA$1,),))=0,#N/A, (VLOOKUP(B44,'DB PMI Manufacturing World'!$A:$AA,MATCH($U$1,'DB PMI Manufacturing World'!$A$1:$AA$1,),)))</f>
        <v/>
      </c>
      <c r="V44" s="38">
        <f>IF((VLOOKUP(B44,'DB PMI Manufacturing World'!$A:$AA,MATCH($V$1,'DB PMI Manufacturing World'!$A$1:$AA$1,),))=0,#N/A, (VLOOKUP(B44,'DB PMI Manufacturing World'!$A:$AA,MATCH($V$1,'DB PMI Manufacturing World'!$A$1:$AA$1,),)))</f>
        <v/>
      </c>
      <c r="W44" s="38">
        <f>IF((VLOOKUP(B44,'DB PMI Manufacturing World'!$A:$AA,MATCH($W$1,'DB PMI Manufacturing World'!$A$1:$AA$1,),))=0,#N/A, (VLOOKUP(B44,'DB PMI Manufacturing World'!$A:$AA,MATCH($W$1,'DB PMI Manufacturing World'!$A$1:$AA$1,),)))</f>
        <v/>
      </c>
      <c r="X44" s="38">
        <f>IF((VLOOKUP(B44,'DB PMI Manufacturing World'!$A:$AA,MATCH($X$1,'DB PMI Manufacturing World'!$A$1:$AA$1,),))=0,#N/A, (VLOOKUP(B44,'DB PMI Manufacturing World'!$A:$AA,MATCH($X$1,'DB PMI Manufacturing World'!$A$1:$AA$1,),)))</f>
        <v/>
      </c>
      <c r="Y44" s="38">
        <f>IF((VLOOKUP(B44,'DB PMI Manufacturing World'!$A:$AA,MATCH($Y$1,'DB PMI Manufacturing World'!$A$1:$AA$1,),))=0,#N/A, (VLOOKUP(B44,'DB PMI Manufacturing World'!$A:$AA,MATCH($Y$1,'DB PMI Manufacturing World'!$A$1:$AA$1,),)))</f>
        <v/>
      </c>
      <c r="Z44" s="38">
        <f>IF((VLOOKUP(B44,'DB PMI Manufacturing World'!$A:$AA,MATCH($Z$1,'DB PMI Manufacturing World'!$A$1:$AA$1,),))=0,#N/A, (VLOOKUP(B44,'DB PMI Manufacturing World'!$A:$AA,MATCH($Z$1,'DB PMI Manufacturing World'!$A$1:$AA$1,),)))</f>
        <v/>
      </c>
      <c r="AA44" s="38">
        <f>IF((VLOOKUP(B44,'DB PMI Manufacturing World'!$A:$AA,MATCH($AA$1,'DB PMI Manufacturing World'!$A$1:$AA$1,),))=0,#N/A, (VLOOKUP(B44,'DB PMI Manufacturing World'!$A:$AA,MATCH($AA$1,'DB PMI Manufacturing World'!$A$1:$AA$1,),)))</f>
        <v/>
      </c>
      <c r="AB44" s="38">
        <f>IF((VLOOKUP(B44,'DB PMI Manufacturing World'!$A:$AA,MATCH($AB$1,'DB PMI Manufacturing World'!$A$1:$AA$1,),))=0,#N/A, (VLOOKUP(B44,'DB PMI Manufacturing World'!$A:$AA,MATCH($AB$1,'DB PMI Manufacturing World'!$A$1:$AA$1,),)))</f>
        <v/>
      </c>
    </row>
    <row r="45">
      <c r="B45" s="29" t="n">
        <v>43891</v>
      </c>
      <c r="C45" s="38">
        <f>IF((VLOOKUP(B45,'DB PMI Manufacturing World'!$A:$AA,MATCH($C$1,'DB PMI Manufacturing World'!$A$1:$AA$1,),))=0,#N/A, (VLOOKUP(B45,'DB PMI Manufacturing World'!$A:$AA,MATCH($C$1,'DB PMI Manufacturing World'!$A$1:$AA$1,),)))</f>
        <v/>
      </c>
      <c r="D45" s="38">
        <f>IF((VLOOKUP(B45,'DB PMI Manufacturing World'!$A:$AA,MATCH($D$1,'DB PMI Manufacturing World'!$A$1:$AA$1,),))=0,#N/A, (VLOOKUP(B45,'DB PMI Manufacturing World'!$A:$AA,MATCH($D$1,'DB PMI Manufacturing World'!$A$1:$AA$1,),)))</f>
        <v/>
      </c>
      <c r="E45" s="38">
        <f>IF((VLOOKUP(B45,'DB PMI Manufacturing World'!$A:$AA,MATCH($E$1,'DB PMI Manufacturing World'!$A$1:$AA$1,),))=0,#N/A, (VLOOKUP(B45,'DB PMI Manufacturing World'!$A:$AA,MATCH($E$1,'DB PMI Manufacturing World'!$A$1:$AA$1,),)))</f>
        <v/>
      </c>
      <c r="F45" s="38">
        <f>IF((VLOOKUP(B45,'DB PMI Manufacturing World'!$A:$AA,MATCH($F$1,'DB PMI Manufacturing World'!$A$1:$AA$1,),))=0,#N/A, (VLOOKUP(B45,'DB PMI Manufacturing World'!$A:$AA,MATCH($F$1,'DB PMI Manufacturing World'!$A$1:$AA$1,),)))</f>
        <v/>
      </c>
      <c r="G45" s="38">
        <f>IF((VLOOKUP(B45,'DB PMI Manufacturing World'!$A:$AA,MATCH($G$1,'DB PMI Manufacturing World'!$A$1:$AA$1,),))=0,#N/A, (VLOOKUP(B45,'DB PMI Manufacturing World'!$A:$AA,MATCH($G$1,'DB PMI Manufacturing World'!$A$1:$AA$1,),)))</f>
        <v/>
      </c>
      <c r="H45" s="38">
        <f>IF((VLOOKUP(B45,'DB PMI Manufacturing World'!$A:$AA,MATCH($H$1,'DB PMI Manufacturing World'!$A$1:$AA$1,),))=0,#N/A, (VLOOKUP(B45,'DB PMI Manufacturing World'!$A:$AA,MATCH($H$1,'DB PMI Manufacturing World'!$A$1:$AA$1,),)))</f>
        <v/>
      </c>
      <c r="I45" s="38">
        <f>IF((VLOOKUP(B45,'DB PMI Manufacturing World'!$A:$AA,MATCH($I$1,'DB PMI Manufacturing World'!$A$1:$AA$1,),))=0,#N/A, (VLOOKUP(B45,'DB PMI Manufacturing World'!$A:$AA,MATCH($I$1,'DB PMI Manufacturing World'!$A$1:$AA$1,),)))</f>
        <v/>
      </c>
      <c r="J45" s="38">
        <f>IF((VLOOKUP(B45,'DB PMI Manufacturing World'!$A:$AA,MATCH($J$1,'DB PMI Manufacturing World'!$A$1:$AA$1,),))=0,#N/A, (VLOOKUP(B45,'DB PMI Manufacturing World'!$A:$AA,MATCH($J$1,'DB PMI Manufacturing World'!$A$1:$AA$1,),)))</f>
        <v/>
      </c>
      <c r="K45" s="38">
        <f>IF((VLOOKUP(B45,'DB PMI Manufacturing World'!$A:$AA,MATCH($K$1,'DB PMI Manufacturing World'!$A$1:$AA$1,),))=0,#N/A, (VLOOKUP(B45,'DB PMI Manufacturing World'!$A:$AA,MATCH($K$1,'DB PMI Manufacturing World'!$A$1:$AA$1,),)))</f>
        <v/>
      </c>
      <c r="L45" s="38">
        <f>IF((VLOOKUP(B45,'DB PMI Manufacturing World'!$A:$AA,MATCH($L$1,'DB PMI Manufacturing World'!$A$1:$AA$1,),))=0,#N/A, (VLOOKUP(B45,'DB PMI Manufacturing World'!$A:$AA,MATCH($L$1,'DB PMI Manufacturing World'!$A$1:$AA$1,),)))</f>
        <v/>
      </c>
      <c r="M45" s="38">
        <f>IF((VLOOKUP(B45,'DB PMI Manufacturing World'!$A:$AA,MATCH($M$1,'DB PMI Manufacturing World'!$A$1:$AA$1,),))=0,#N/A, (VLOOKUP(B45,'DB PMI Manufacturing World'!$A:$AA,MATCH($M$1,'DB PMI Manufacturing World'!$A$1:$AA$1,),)))</f>
        <v/>
      </c>
      <c r="N45" s="38">
        <f>IF((VLOOKUP(B45,'DB PMI Manufacturing World'!$A:$AA,MATCH($N$1,'DB PMI Manufacturing World'!$A$1:$AA$1,),))=0,#N/A, (VLOOKUP(B45,'DB PMI Manufacturing World'!$A:$AA,MATCH($N$1,'DB PMI Manufacturing World'!$A$1:$AA$1,),)))</f>
        <v/>
      </c>
      <c r="O45" s="38">
        <f>IF((VLOOKUP(B45,'DB PMI Manufacturing World'!$A:$AA,MATCH($O$1,'DB PMI Manufacturing World'!$A$1:$AA$1,),))=0,#N/A, (VLOOKUP(B45,'DB PMI Manufacturing World'!$A:$AA,MATCH($O$1,'DB PMI Manufacturing World'!$A$1:$AA$1,),)))</f>
        <v/>
      </c>
      <c r="P45" s="38">
        <f>IF((VLOOKUP(B45,'DB PMI Manufacturing World'!$A:$AA,MATCH($P$1,'DB PMI Manufacturing World'!$A$1:$AA$1,),))=0,#N/A, (VLOOKUP(B45,'DB PMI Manufacturing World'!$A:$AA,MATCH($P$1,'DB PMI Manufacturing World'!$A$1:$AA$1,),)))</f>
        <v/>
      </c>
      <c r="Q45" s="38">
        <f>IF((VLOOKUP(B45,'DB PMI Manufacturing World'!$A:$AA,MATCH($Q$1,'DB PMI Manufacturing World'!$A$1:$AA$1,),))=0,#N/A, (VLOOKUP(B45,'DB PMI Manufacturing World'!$A:$AA,MATCH($Q$1,'DB PMI Manufacturing World'!$A$1:$AA$1,),)))</f>
        <v/>
      </c>
      <c r="R45" s="38">
        <f>IF((VLOOKUP(B45,'DB PMI Manufacturing World'!$A:$AA,MATCH($R$1,'DB PMI Manufacturing World'!$A$1:$AA$1,),))=0,#N/A, (VLOOKUP(B45,'DB PMI Manufacturing World'!$A:$AA,MATCH($R$1,'DB PMI Manufacturing World'!$A$1:$AA$1,),)))</f>
        <v/>
      </c>
      <c r="S45" s="38">
        <f>IF((VLOOKUP(B45,'DB PMI Manufacturing World'!$A:$AA,MATCH($S$1,'DB PMI Manufacturing World'!$A$1:$AA$1,),))=0,#N/A, (VLOOKUP(B45,'DB PMI Manufacturing World'!$A:$AA,MATCH($S$1,'DB PMI Manufacturing World'!$A$1:$AA$1,),)))</f>
        <v/>
      </c>
      <c r="T45" s="38">
        <f>IF((VLOOKUP(B45,'DB PMI Manufacturing World'!$A:$AA,MATCH($T$1,'DB PMI Manufacturing World'!$A$1:$AA$1,),))=0,#N/A, (VLOOKUP(B45,'DB PMI Manufacturing World'!$A:$AA,MATCH($T$1,'DB PMI Manufacturing World'!$A$1:$AA$1,),)))</f>
        <v/>
      </c>
      <c r="U45" s="38">
        <f>IF((VLOOKUP(B45,'DB PMI Manufacturing World'!$A:$AA,MATCH($U$1,'DB PMI Manufacturing World'!$A$1:$AA$1,),))=0,#N/A, (VLOOKUP(B45,'DB PMI Manufacturing World'!$A:$AA,MATCH($U$1,'DB PMI Manufacturing World'!$A$1:$AA$1,),)))</f>
        <v/>
      </c>
      <c r="V45" s="38">
        <f>IF((VLOOKUP(B45,'DB PMI Manufacturing World'!$A:$AA,MATCH($V$1,'DB PMI Manufacturing World'!$A$1:$AA$1,),))=0,#N/A, (VLOOKUP(B45,'DB PMI Manufacturing World'!$A:$AA,MATCH($V$1,'DB PMI Manufacturing World'!$A$1:$AA$1,),)))</f>
        <v/>
      </c>
      <c r="W45" s="38">
        <f>IF((VLOOKUP(B45,'DB PMI Manufacturing World'!$A:$AA,MATCH($W$1,'DB PMI Manufacturing World'!$A$1:$AA$1,),))=0,#N/A, (VLOOKUP(B45,'DB PMI Manufacturing World'!$A:$AA,MATCH($W$1,'DB PMI Manufacturing World'!$A$1:$AA$1,),)))</f>
        <v/>
      </c>
      <c r="X45" s="38">
        <f>IF((VLOOKUP(B45,'DB PMI Manufacturing World'!$A:$AA,MATCH($X$1,'DB PMI Manufacturing World'!$A$1:$AA$1,),))=0,#N/A, (VLOOKUP(B45,'DB PMI Manufacturing World'!$A:$AA,MATCH($X$1,'DB PMI Manufacturing World'!$A$1:$AA$1,),)))</f>
        <v/>
      </c>
      <c r="Y45" s="38">
        <f>IF((VLOOKUP(B45,'DB PMI Manufacturing World'!$A:$AA,MATCH($Y$1,'DB PMI Manufacturing World'!$A$1:$AA$1,),))=0,#N/A, (VLOOKUP(B45,'DB PMI Manufacturing World'!$A:$AA,MATCH($Y$1,'DB PMI Manufacturing World'!$A$1:$AA$1,),)))</f>
        <v/>
      </c>
      <c r="Z45" s="38">
        <f>IF((VLOOKUP(B45,'DB PMI Manufacturing World'!$A:$AA,MATCH($Z$1,'DB PMI Manufacturing World'!$A$1:$AA$1,),))=0,#N/A, (VLOOKUP(B45,'DB PMI Manufacturing World'!$A:$AA,MATCH($Z$1,'DB PMI Manufacturing World'!$A$1:$AA$1,),)))</f>
        <v/>
      </c>
      <c r="AA45" s="38">
        <f>IF((VLOOKUP(B45,'DB PMI Manufacturing World'!$A:$AA,MATCH($AA$1,'DB PMI Manufacturing World'!$A$1:$AA$1,),))=0,#N/A, (VLOOKUP(B45,'DB PMI Manufacturing World'!$A:$AA,MATCH($AA$1,'DB PMI Manufacturing World'!$A$1:$AA$1,),)))</f>
        <v/>
      </c>
      <c r="AB45" s="38">
        <f>IF((VLOOKUP(B45,'DB PMI Manufacturing World'!$A:$AA,MATCH($AB$1,'DB PMI Manufacturing World'!$A$1:$AA$1,),))=0,#N/A, (VLOOKUP(B45,'DB PMI Manufacturing World'!$A:$AA,MATCH($AB$1,'DB PMI Manufacturing World'!$A$1:$AA$1,),)))</f>
        <v/>
      </c>
    </row>
    <row r="46">
      <c r="B46" s="29" t="n">
        <v>43922</v>
      </c>
      <c r="C46" s="38">
        <f>IF((VLOOKUP(B46,'DB PMI Manufacturing World'!$A:$AA,MATCH($C$1,'DB PMI Manufacturing World'!$A$1:$AA$1,),))=0,#N/A, (VLOOKUP(B46,'DB PMI Manufacturing World'!$A:$AA,MATCH($C$1,'DB PMI Manufacturing World'!$A$1:$AA$1,),)))</f>
        <v/>
      </c>
      <c r="D46" s="38">
        <f>IF((VLOOKUP(B46,'DB PMI Manufacturing World'!$A:$AA,MATCH($D$1,'DB PMI Manufacturing World'!$A$1:$AA$1,),))=0,#N/A, (VLOOKUP(B46,'DB PMI Manufacturing World'!$A:$AA,MATCH($D$1,'DB PMI Manufacturing World'!$A$1:$AA$1,),)))</f>
        <v/>
      </c>
      <c r="E46" s="38">
        <f>IF((VLOOKUP(B46,'DB PMI Manufacturing World'!$A:$AA,MATCH($E$1,'DB PMI Manufacturing World'!$A$1:$AA$1,),))=0,#N/A, (VLOOKUP(B46,'DB PMI Manufacturing World'!$A:$AA,MATCH($E$1,'DB PMI Manufacturing World'!$A$1:$AA$1,),)))</f>
        <v/>
      </c>
      <c r="F46" s="38">
        <f>IF((VLOOKUP(B46,'DB PMI Manufacturing World'!$A:$AA,MATCH($F$1,'DB PMI Manufacturing World'!$A$1:$AA$1,),))=0,#N/A, (VLOOKUP(B46,'DB PMI Manufacturing World'!$A:$AA,MATCH($F$1,'DB PMI Manufacturing World'!$A$1:$AA$1,),)))</f>
        <v/>
      </c>
      <c r="G46" s="38">
        <f>IF((VLOOKUP(B46,'DB PMI Manufacturing World'!$A:$AA,MATCH($G$1,'DB PMI Manufacturing World'!$A$1:$AA$1,),))=0,#N/A, (VLOOKUP(B46,'DB PMI Manufacturing World'!$A:$AA,MATCH($G$1,'DB PMI Manufacturing World'!$A$1:$AA$1,),)))</f>
        <v/>
      </c>
      <c r="H46" s="38">
        <f>IF((VLOOKUP(B46,'DB PMI Manufacturing World'!$A:$AA,MATCH($H$1,'DB PMI Manufacturing World'!$A$1:$AA$1,),))=0,#N/A, (VLOOKUP(B46,'DB PMI Manufacturing World'!$A:$AA,MATCH($H$1,'DB PMI Manufacturing World'!$A$1:$AA$1,),)))</f>
        <v/>
      </c>
      <c r="I46" s="38">
        <f>IF((VLOOKUP(B46,'DB PMI Manufacturing World'!$A:$AA,MATCH($I$1,'DB PMI Manufacturing World'!$A$1:$AA$1,),))=0,#N/A, (VLOOKUP(B46,'DB PMI Manufacturing World'!$A:$AA,MATCH($I$1,'DB PMI Manufacturing World'!$A$1:$AA$1,),)))</f>
        <v/>
      </c>
      <c r="J46" s="38">
        <f>IF((VLOOKUP(B46,'DB PMI Manufacturing World'!$A:$AA,MATCH($J$1,'DB PMI Manufacturing World'!$A$1:$AA$1,),))=0,#N/A, (VLOOKUP(B46,'DB PMI Manufacturing World'!$A:$AA,MATCH($J$1,'DB PMI Manufacturing World'!$A$1:$AA$1,),)))</f>
        <v/>
      </c>
      <c r="K46" s="38">
        <f>IF((VLOOKUP(B46,'DB PMI Manufacturing World'!$A:$AA,MATCH($K$1,'DB PMI Manufacturing World'!$A$1:$AA$1,),))=0,#N/A, (VLOOKUP(B46,'DB PMI Manufacturing World'!$A:$AA,MATCH($K$1,'DB PMI Manufacturing World'!$A$1:$AA$1,),)))</f>
        <v/>
      </c>
      <c r="L46" s="38">
        <f>IF((VLOOKUP(B46,'DB PMI Manufacturing World'!$A:$AA,MATCH($L$1,'DB PMI Manufacturing World'!$A$1:$AA$1,),))=0,#N/A, (VLOOKUP(B46,'DB PMI Manufacturing World'!$A:$AA,MATCH($L$1,'DB PMI Manufacturing World'!$A$1:$AA$1,),)))</f>
        <v/>
      </c>
      <c r="M46" s="38">
        <f>IF((VLOOKUP(B46,'DB PMI Manufacturing World'!$A:$AA,MATCH($M$1,'DB PMI Manufacturing World'!$A$1:$AA$1,),))=0,#N/A, (VLOOKUP(B46,'DB PMI Manufacturing World'!$A:$AA,MATCH($M$1,'DB PMI Manufacturing World'!$A$1:$AA$1,),)))</f>
        <v/>
      </c>
      <c r="N46" s="38">
        <f>IF((VLOOKUP(B46,'DB PMI Manufacturing World'!$A:$AA,MATCH($N$1,'DB PMI Manufacturing World'!$A$1:$AA$1,),))=0,#N/A, (VLOOKUP(B46,'DB PMI Manufacturing World'!$A:$AA,MATCH($N$1,'DB PMI Manufacturing World'!$A$1:$AA$1,),)))</f>
        <v/>
      </c>
      <c r="O46" s="38">
        <f>IF((VLOOKUP(B46,'DB PMI Manufacturing World'!$A:$AA,MATCH($O$1,'DB PMI Manufacturing World'!$A$1:$AA$1,),))=0,#N/A, (VLOOKUP(B46,'DB PMI Manufacturing World'!$A:$AA,MATCH($O$1,'DB PMI Manufacturing World'!$A$1:$AA$1,),)))</f>
        <v/>
      </c>
      <c r="P46" s="38">
        <f>IF((VLOOKUP(B46,'DB PMI Manufacturing World'!$A:$AA,MATCH($P$1,'DB PMI Manufacturing World'!$A$1:$AA$1,),))=0,#N/A, (VLOOKUP(B46,'DB PMI Manufacturing World'!$A:$AA,MATCH($P$1,'DB PMI Manufacturing World'!$A$1:$AA$1,),)))</f>
        <v/>
      </c>
      <c r="Q46" s="38">
        <f>IF((VLOOKUP(B46,'DB PMI Manufacturing World'!$A:$AA,MATCH($Q$1,'DB PMI Manufacturing World'!$A$1:$AA$1,),))=0,#N/A, (VLOOKUP(B46,'DB PMI Manufacturing World'!$A:$AA,MATCH($Q$1,'DB PMI Manufacturing World'!$A$1:$AA$1,),)))</f>
        <v/>
      </c>
      <c r="R46" s="38">
        <f>IF((VLOOKUP(B46,'DB PMI Manufacturing World'!$A:$AA,MATCH($R$1,'DB PMI Manufacturing World'!$A$1:$AA$1,),))=0,#N/A, (VLOOKUP(B46,'DB PMI Manufacturing World'!$A:$AA,MATCH($R$1,'DB PMI Manufacturing World'!$A$1:$AA$1,),)))</f>
        <v/>
      </c>
      <c r="S46" s="38">
        <f>IF((VLOOKUP(B46,'DB PMI Manufacturing World'!$A:$AA,MATCH($S$1,'DB PMI Manufacturing World'!$A$1:$AA$1,),))=0,#N/A, (VLOOKUP(B46,'DB PMI Manufacturing World'!$A:$AA,MATCH($S$1,'DB PMI Manufacturing World'!$A$1:$AA$1,),)))</f>
        <v/>
      </c>
      <c r="T46" s="38">
        <f>IF((VLOOKUP(B46,'DB PMI Manufacturing World'!$A:$AA,MATCH($T$1,'DB PMI Manufacturing World'!$A$1:$AA$1,),))=0,#N/A, (VLOOKUP(B46,'DB PMI Manufacturing World'!$A:$AA,MATCH($T$1,'DB PMI Manufacturing World'!$A$1:$AA$1,),)))</f>
        <v/>
      </c>
      <c r="U46" s="38">
        <f>IF((VLOOKUP(B46,'DB PMI Manufacturing World'!$A:$AA,MATCH($U$1,'DB PMI Manufacturing World'!$A$1:$AA$1,),))=0,#N/A, (VLOOKUP(B46,'DB PMI Manufacturing World'!$A:$AA,MATCH($U$1,'DB PMI Manufacturing World'!$A$1:$AA$1,),)))</f>
        <v/>
      </c>
      <c r="V46" s="38">
        <f>IF((VLOOKUP(B46,'DB PMI Manufacturing World'!$A:$AA,MATCH($V$1,'DB PMI Manufacturing World'!$A$1:$AA$1,),))=0,#N/A, (VLOOKUP(B46,'DB PMI Manufacturing World'!$A:$AA,MATCH($V$1,'DB PMI Manufacturing World'!$A$1:$AA$1,),)))</f>
        <v/>
      </c>
      <c r="W46" s="38">
        <f>IF((VLOOKUP(B46,'DB PMI Manufacturing World'!$A:$AA,MATCH($W$1,'DB PMI Manufacturing World'!$A$1:$AA$1,),))=0,#N/A, (VLOOKUP(B46,'DB PMI Manufacturing World'!$A:$AA,MATCH($W$1,'DB PMI Manufacturing World'!$A$1:$AA$1,),)))</f>
        <v/>
      </c>
      <c r="X46" s="38">
        <f>IF((VLOOKUP(B46,'DB PMI Manufacturing World'!$A:$AA,MATCH($X$1,'DB PMI Manufacturing World'!$A$1:$AA$1,),))=0,#N/A, (VLOOKUP(B46,'DB PMI Manufacturing World'!$A:$AA,MATCH($X$1,'DB PMI Manufacturing World'!$A$1:$AA$1,),)))</f>
        <v/>
      </c>
      <c r="Y46" s="38">
        <f>IF((VLOOKUP(B46,'DB PMI Manufacturing World'!$A:$AA,MATCH($Y$1,'DB PMI Manufacturing World'!$A$1:$AA$1,),))=0,#N/A, (VLOOKUP(B46,'DB PMI Manufacturing World'!$A:$AA,MATCH($Y$1,'DB PMI Manufacturing World'!$A$1:$AA$1,),)))</f>
        <v/>
      </c>
      <c r="Z46" s="38">
        <f>IF((VLOOKUP(B46,'DB PMI Manufacturing World'!$A:$AA,MATCH($Z$1,'DB PMI Manufacturing World'!$A$1:$AA$1,),))=0,#N/A, (VLOOKUP(B46,'DB PMI Manufacturing World'!$A:$AA,MATCH($Z$1,'DB PMI Manufacturing World'!$A$1:$AA$1,),)))</f>
        <v/>
      </c>
      <c r="AA46" s="38">
        <f>IF((VLOOKUP(B46,'DB PMI Manufacturing World'!$A:$AA,MATCH($AA$1,'DB PMI Manufacturing World'!$A$1:$AA$1,),))=0,#N/A, (VLOOKUP(B46,'DB PMI Manufacturing World'!$A:$AA,MATCH($AA$1,'DB PMI Manufacturing World'!$A$1:$AA$1,),)))</f>
        <v/>
      </c>
      <c r="AB46" s="38">
        <f>IF((VLOOKUP(B46,'DB PMI Manufacturing World'!$A:$AA,MATCH($AB$1,'DB PMI Manufacturing World'!$A$1:$AA$1,),))=0,#N/A, (VLOOKUP(B46,'DB PMI Manufacturing World'!$A:$AA,MATCH($AB$1,'DB PMI Manufacturing World'!$A$1:$AA$1,),)))</f>
        <v/>
      </c>
    </row>
    <row r="47">
      <c r="B47" s="29" t="n">
        <v>43952</v>
      </c>
      <c r="C47" s="38">
        <f>IF((VLOOKUP(B47,'DB PMI Manufacturing World'!$A:$AA,MATCH($C$1,'DB PMI Manufacturing World'!$A$1:$AA$1,),))=0,#N/A, (VLOOKUP(B47,'DB PMI Manufacturing World'!$A:$AA,MATCH($C$1,'DB PMI Manufacturing World'!$A$1:$AA$1,),)))</f>
        <v/>
      </c>
      <c r="D47" s="38">
        <f>IF((VLOOKUP(B47,'DB PMI Manufacturing World'!$A:$AA,MATCH($D$1,'DB PMI Manufacturing World'!$A$1:$AA$1,),))=0,#N/A, (VLOOKUP(B47,'DB PMI Manufacturing World'!$A:$AA,MATCH($D$1,'DB PMI Manufacturing World'!$A$1:$AA$1,),)))</f>
        <v/>
      </c>
      <c r="E47" s="38">
        <f>IF((VLOOKUP(B47,'DB PMI Manufacturing World'!$A:$AA,MATCH($E$1,'DB PMI Manufacturing World'!$A$1:$AA$1,),))=0,#N/A, (VLOOKUP(B47,'DB PMI Manufacturing World'!$A:$AA,MATCH($E$1,'DB PMI Manufacturing World'!$A$1:$AA$1,),)))</f>
        <v/>
      </c>
      <c r="F47" s="38">
        <f>IF((VLOOKUP(B47,'DB PMI Manufacturing World'!$A:$AA,MATCH($F$1,'DB PMI Manufacturing World'!$A$1:$AA$1,),))=0,#N/A, (VLOOKUP(B47,'DB PMI Manufacturing World'!$A:$AA,MATCH($F$1,'DB PMI Manufacturing World'!$A$1:$AA$1,),)))</f>
        <v/>
      </c>
      <c r="G47" s="38">
        <f>IF((VLOOKUP(B47,'DB PMI Manufacturing World'!$A:$AA,MATCH($G$1,'DB PMI Manufacturing World'!$A$1:$AA$1,),))=0,#N/A, (VLOOKUP(B47,'DB PMI Manufacturing World'!$A:$AA,MATCH($G$1,'DB PMI Manufacturing World'!$A$1:$AA$1,),)))</f>
        <v/>
      </c>
      <c r="H47" s="38">
        <f>IF((VLOOKUP(B47,'DB PMI Manufacturing World'!$A:$AA,MATCH($H$1,'DB PMI Manufacturing World'!$A$1:$AA$1,),))=0,#N/A, (VLOOKUP(B47,'DB PMI Manufacturing World'!$A:$AA,MATCH($H$1,'DB PMI Manufacturing World'!$A$1:$AA$1,),)))</f>
        <v/>
      </c>
      <c r="I47" s="38">
        <f>IF((VLOOKUP(B47,'DB PMI Manufacturing World'!$A:$AA,MATCH($I$1,'DB PMI Manufacturing World'!$A$1:$AA$1,),))=0,#N/A, (VLOOKUP(B47,'DB PMI Manufacturing World'!$A:$AA,MATCH($I$1,'DB PMI Manufacturing World'!$A$1:$AA$1,),)))</f>
        <v/>
      </c>
      <c r="J47" s="38">
        <f>IF((VLOOKUP(B47,'DB PMI Manufacturing World'!$A:$AA,MATCH($J$1,'DB PMI Manufacturing World'!$A$1:$AA$1,),))=0,#N/A, (VLOOKUP(B47,'DB PMI Manufacturing World'!$A:$AA,MATCH($J$1,'DB PMI Manufacturing World'!$A$1:$AA$1,),)))</f>
        <v/>
      </c>
      <c r="K47" s="38">
        <f>IF((VLOOKUP(B47,'DB PMI Manufacturing World'!$A:$AA,MATCH($K$1,'DB PMI Manufacturing World'!$A$1:$AA$1,),))=0,#N/A, (VLOOKUP(B47,'DB PMI Manufacturing World'!$A:$AA,MATCH($K$1,'DB PMI Manufacturing World'!$A$1:$AA$1,),)))</f>
        <v/>
      </c>
      <c r="L47" s="38">
        <f>IF((VLOOKUP(B47,'DB PMI Manufacturing World'!$A:$AA,MATCH($L$1,'DB PMI Manufacturing World'!$A$1:$AA$1,),))=0,#N/A, (VLOOKUP(B47,'DB PMI Manufacturing World'!$A:$AA,MATCH($L$1,'DB PMI Manufacturing World'!$A$1:$AA$1,),)))</f>
        <v/>
      </c>
      <c r="M47" s="38">
        <f>IF((VLOOKUP(B47,'DB PMI Manufacturing World'!$A:$AA,MATCH($M$1,'DB PMI Manufacturing World'!$A$1:$AA$1,),))=0,#N/A, (VLOOKUP(B47,'DB PMI Manufacturing World'!$A:$AA,MATCH($M$1,'DB PMI Manufacturing World'!$A$1:$AA$1,),)))</f>
        <v/>
      </c>
      <c r="N47" s="38">
        <f>IF((VLOOKUP(B47,'DB PMI Manufacturing World'!$A:$AA,MATCH($N$1,'DB PMI Manufacturing World'!$A$1:$AA$1,),))=0,#N/A, (VLOOKUP(B47,'DB PMI Manufacturing World'!$A:$AA,MATCH($N$1,'DB PMI Manufacturing World'!$A$1:$AA$1,),)))</f>
        <v/>
      </c>
      <c r="O47" s="38">
        <f>IF((VLOOKUP(B47,'DB PMI Manufacturing World'!$A:$AA,MATCH($O$1,'DB PMI Manufacturing World'!$A$1:$AA$1,),))=0,#N/A, (VLOOKUP(B47,'DB PMI Manufacturing World'!$A:$AA,MATCH($O$1,'DB PMI Manufacturing World'!$A$1:$AA$1,),)))</f>
        <v/>
      </c>
      <c r="P47" s="38">
        <f>IF((VLOOKUP(B47,'DB PMI Manufacturing World'!$A:$AA,MATCH($P$1,'DB PMI Manufacturing World'!$A$1:$AA$1,),))=0,#N/A, (VLOOKUP(B47,'DB PMI Manufacturing World'!$A:$AA,MATCH($P$1,'DB PMI Manufacturing World'!$A$1:$AA$1,),)))</f>
        <v/>
      </c>
      <c r="Q47" s="38">
        <f>IF((VLOOKUP(B47,'DB PMI Manufacturing World'!$A:$AA,MATCH($Q$1,'DB PMI Manufacturing World'!$A$1:$AA$1,),))=0,#N/A, (VLOOKUP(B47,'DB PMI Manufacturing World'!$A:$AA,MATCH($Q$1,'DB PMI Manufacturing World'!$A$1:$AA$1,),)))</f>
        <v/>
      </c>
      <c r="R47" s="38">
        <f>IF((VLOOKUP(B47,'DB PMI Manufacturing World'!$A:$AA,MATCH($R$1,'DB PMI Manufacturing World'!$A$1:$AA$1,),))=0,#N/A, (VLOOKUP(B47,'DB PMI Manufacturing World'!$A:$AA,MATCH($R$1,'DB PMI Manufacturing World'!$A$1:$AA$1,),)))</f>
        <v/>
      </c>
      <c r="S47" s="38">
        <f>IF((VLOOKUP(B47,'DB PMI Manufacturing World'!$A:$AA,MATCH($S$1,'DB PMI Manufacturing World'!$A$1:$AA$1,),))=0,#N/A, (VLOOKUP(B47,'DB PMI Manufacturing World'!$A:$AA,MATCH($S$1,'DB PMI Manufacturing World'!$A$1:$AA$1,),)))</f>
        <v/>
      </c>
      <c r="T47" s="38">
        <f>IF((VLOOKUP(B47,'DB PMI Manufacturing World'!$A:$AA,MATCH($T$1,'DB PMI Manufacturing World'!$A$1:$AA$1,),))=0,#N/A, (VLOOKUP(B47,'DB PMI Manufacturing World'!$A:$AA,MATCH($T$1,'DB PMI Manufacturing World'!$A$1:$AA$1,),)))</f>
        <v/>
      </c>
      <c r="U47" s="38">
        <f>IF((VLOOKUP(B47,'DB PMI Manufacturing World'!$A:$AA,MATCH($U$1,'DB PMI Manufacturing World'!$A$1:$AA$1,),))=0,#N/A, (VLOOKUP(B47,'DB PMI Manufacturing World'!$A:$AA,MATCH($U$1,'DB PMI Manufacturing World'!$A$1:$AA$1,),)))</f>
        <v/>
      </c>
      <c r="V47" s="38">
        <f>IF((VLOOKUP(B47,'DB PMI Manufacturing World'!$A:$AA,MATCH($V$1,'DB PMI Manufacturing World'!$A$1:$AA$1,),))=0,#N/A, (VLOOKUP(B47,'DB PMI Manufacturing World'!$A:$AA,MATCH($V$1,'DB PMI Manufacturing World'!$A$1:$AA$1,),)))</f>
        <v/>
      </c>
      <c r="W47" s="38">
        <f>IF((VLOOKUP(B47,'DB PMI Manufacturing World'!$A:$AA,MATCH($W$1,'DB PMI Manufacturing World'!$A$1:$AA$1,),))=0,#N/A, (VLOOKUP(B47,'DB PMI Manufacturing World'!$A:$AA,MATCH($W$1,'DB PMI Manufacturing World'!$A$1:$AA$1,),)))</f>
        <v/>
      </c>
      <c r="X47" s="38">
        <f>IF((VLOOKUP(B47,'DB PMI Manufacturing World'!$A:$AA,MATCH($X$1,'DB PMI Manufacturing World'!$A$1:$AA$1,),))=0,#N/A, (VLOOKUP(B47,'DB PMI Manufacturing World'!$A:$AA,MATCH($X$1,'DB PMI Manufacturing World'!$A$1:$AA$1,),)))</f>
        <v/>
      </c>
      <c r="Y47" s="38">
        <f>IF((VLOOKUP(B47,'DB PMI Manufacturing World'!$A:$AA,MATCH($Y$1,'DB PMI Manufacturing World'!$A$1:$AA$1,),))=0,#N/A, (VLOOKUP(B47,'DB PMI Manufacturing World'!$A:$AA,MATCH($Y$1,'DB PMI Manufacturing World'!$A$1:$AA$1,),)))</f>
        <v/>
      </c>
      <c r="Z47" s="38">
        <f>IF((VLOOKUP(B47,'DB PMI Manufacturing World'!$A:$AA,MATCH($Z$1,'DB PMI Manufacturing World'!$A$1:$AA$1,),))=0,#N/A, (VLOOKUP(B47,'DB PMI Manufacturing World'!$A:$AA,MATCH($Z$1,'DB PMI Manufacturing World'!$A$1:$AA$1,),)))</f>
        <v/>
      </c>
      <c r="AA47" s="38">
        <f>IF((VLOOKUP(B47,'DB PMI Manufacturing World'!$A:$AA,MATCH($AA$1,'DB PMI Manufacturing World'!$A$1:$AA$1,),))=0,#N/A, (VLOOKUP(B47,'DB PMI Manufacturing World'!$A:$AA,MATCH($AA$1,'DB PMI Manufacturing World'!$A$1:$AA$1,),)))</f>
        <v/>
      </c>
      <c r="AB47" s="38">
        <f>IF((VLOOKUP(B47,'DB PMI Manufacturing World'!$A:$AA,MATCH($AB$1,'DB PMI Manufacturing World'!$A$1:$AA$1,),))=0,#N/A, (VLOOKUP(B47,'DB PMI Manufacturing World'!$A:$AA,MATCH($AB$1,'DB PMI Manufacturing World'!$A$1:$AA$1,),)))</f>
        <v/>
      </c>
    </row>
    <row r="48">
      <c r="B48" s="29" t="n">
        <v>43983</v>
      </c>
      <c r="C48" s="38">
        <f>IF((VLOOKUP(B48,'DB PMI Manufacturing World'!$A:$AA,MATCH($C$1,'DB PMI Manufacturing World'!$A$1:$AA$1,),))=0,#N/A, (VLOOKUP(B48,'DB PMI Manufacturing World'!$A:$AA,MATCH($C$1,'DB PMI Manufacturing World'!$A$1:$AA$1,),)))</f>
        <v/>
      </c>
      <c r="D48" s="38">
        <f>IF((VLOOKUP(B48,'DB PMI Manufacturing World'!$A:$AA,MATCH($D$1,'DB PMI Manufacturing World'!$A$1:$AA$1,),))=0,#N/A, (VLOOKUP(B48,'DB PMI Manufacturing World'!$A:$AA,MATCH($D$1,'DB PMI Manufacturing World'!$A$1:$AA$1,),)))</f>
        <v/>
      </c>
      <c r="E48" s="38">
        <f>IF((VLOOKUP(B48,'DB PMI Manufacturing World'!$A:$AA,MATCH($E$1,'DB PMI Manufacturing World'!$A$1:$AA$1,),))=0,#N/A, (VLOOKUP(B48,'DB PMI Manufacturing World'!$A:$AA,MATCH($E$1,'DB PMI Manufacturing World'!$A$1:$AA$1,),)))</f>
        <v/>
      </c>
      <c r="F48" s="38">
        <f>IF((VLOOKUP(B48,'DB PMI Manufacturing World'!$A:$AA,MATCH($F$1,'DB PMI Manufacturing World'!$A$1:$AA$1,),))=0,#N/A, (VLOOKUP(B48,'DB PMI Manufacturing World'!$A:$AA,MATCH($F$1,'DB PMI Manufacturing World'!$A$1:$AA$1,),)))</f>
        <v/>
      </c>
      <c r="G48" s="38">
        <f>IF((VLOOKUP(B48,'DB PMI Manufacturing World'!$A:$AA,MATCH($G$1,'DB PMI Manufacturing World'!$A$1:$AA$1,),))=0,#N/A, (VLOOKUP(B48,'DB PMI Manufacturing World'!$A:$AA,MATCH($G$1,'DB PMI Manufacturing World'!$A$1:$AA$1,),)))</f>
        <v/>
      </c>
      <c r="H48" s="38">
        <f>IF((VLOOKUP(B48,'DB PMI Manufacturing World'!$A:$AA,MATCH($H$1,'DB PMI Manufacturing World'!$A$1:$AA$1,),))=0,#N/A, (VLOOKUP(B48,'DB PMI Manufacturing World'!$A:$AA,MATCH($H$1,'DB PMI Manufacturing World'!$A$1:$AA$1,),)))</f>
        <v/>
      </c>
      <c r="I48" s="38">
        <f>IF((VLOOKUP(B48,'DB PMI Manufacturing World'!$A:$AA,MATCH($I$1,'DB PMI Manufacturing World'!$A$1:$AA$1,),))=0,#N/A, (VLOOKUP(B48,'DB PMI Manufacturing World'!$A:$AA,MATCH($I$1,'DB PMI Manufacturing World'!$A$1:$AA$1,),)))</f>
        <v/>
      </c>
      <c r="J48" s="38">
        <f>IF((VLOOKUP(B48,'DB PMI Manufacturing World'!$A:$AA,MATCH($J$1,'DB PMI Manufacturing World'!$A$1:$AA$1,),))=0,#N/A, (VLOOKUP(B48,'DB PMI Manufacturing World'!$A:$AA,MATCH($J$1,'DB PMI Manufacturing World'!$A$1:$AA$1,),)))</f>
        <v/>
      </c>
      <c r="K48" s="38">
        <f>IF((VLOOKUP(B48,'DB PMI Manufacturing World'!$A:$AA,MATCH($K$1,'DB PMI Manufacturing World'!$A$1:$AA$1,),))=0,#N/A, (VLOOKUP(B48,'DB PMI Manufacturing World'!$A:$AA,MATCH($K$1,'DB PMI Manufacturing World'!$A$1:$AA$1,),)))</f>
        <v/>
      </c>
      <c r="L48" s="38">
        <f>IF((VLOOKUP(B48,'DB PMI Manufacturing World'!$A:$AA,MATCH($L$1,'DB PMI Manufacturing World'!$A$1:$AA$1,),))=0,#N/A, (VLOOKUP(B48,'DB PMI Manufacturing World'!$A:$AA,MATCH($L$1,'DB PMI Manufacturing World'!$A$1:$AA$1,),)))</f>
        <v/>
      </c>
      <c r="M48" s="38">
        <f>IF((VLOOKUP(B48,'DB PMI Manufacturing World'!$A:$AA,MATCH($M$1,'DB PMI Manufacturing World'!$A$1:$AA$1,),))=0,#N/A, (VLOOKUP(B48,'DB PMI Manufacturing World'!$A:$AA,MATCH($M$1,'DB PMI Manufacturing World'!$A$1:$AA$1,),)))</f>
        <v/>
      </c>
      <c r="N48" s="38">
        <f>IF((VLOOKUP(B48,'DB PMI Manufacturing World'!$A:$AA,MATCH($N$1,'DB PMI Manufacturing World'!$A$1:$AA$1,),))=0,#N/A, (VLOOKUP(B48,'DB PMI Manufacturing World'!$A:$AA,MATCH($N$1,'DB PMI Manufacturing World'!$A$1:$AA$1,),)))</f>
        <v/>
      </c>
      <c r="O48" s="38">
        <f>IF((VLOOKUP(B48,'DB PMI Manufacturing World'!$A:$AA,MATCH($O$1,'DB PMI Manufacturing World'!$A$1:$AA$1,),))=0,#N/A, (VLOOKUP(B48,'DB PMI Manufacturing World'!$A:$AA,MATCH($O$1,'DB PMI Manufacturing World'!$A$1:$AA$1,),)))</f>
        <v/>
      </c>
      <c r="P48" s="38">
        <f>IF((VLOOKUP(B48,'DB PMI Manufacturing World'!$A:$AA,MATCH($P$1,'DB PMI Manufacturing World'!$A$1:$AA$1,),))=0,#N/A, (VLOOKUP(B48,'DB PMI Manufacturing World'!$A:$AA,MATCH($P$1,'DB PMI Manufacturing World'!$A$1:$AA$1,),)))</f>
        <v/>
      </c>
      <c r="Q48" s="38">
        <f>IF((VLOOKUP(B48,'DB PMI Manufacturing World'!$A:$AA,MATCH($Q$1,'DB PMI Manufacturing World'!$A$1:$AA$1,),))=0,#N/A, (VLOOKUP(B48,'DB PMI Manufacturing World'!$A:$AA,MATCH($Q$1,'DB PMI Manufacturing World'!$A$1:$AA$1,),)))</f>
        <v/>
      </c>
      <c r="R48" s="38">
        <f>IF((VLOOKUP(B48,'DB PMI Manufacturing World'!$A:$AA,MATCH($R$1,'DB PMI Manufacturing World'!$A$1:$AA$1,),))=0,#N/A, (VLOOKUP(B48,'DB PMI Manufacturing World'!$A:$AA,MATCH($R$1,'DB PMI Manufacturing World'!$A$1:$AA$1,),)))</f>
        <v/>
      </c>
      <c r="S48" s="38">
        <f>IF((VLOOKUP(B48,'DB PMI Manufacturing World'!$A:$AA,MATCH($S$1,'DB PMI Manufacturing World'!$A$1:$AA$1,),))=0,#N/A, (VLOOKUP(B48,'DB PMI Manufacturing World'!$A:$AA,MATCH($S$1,'DB PMI Manufacturing World'!$A$1:$AA$1,),)))</f>
        <v/>
      </c>
      <c r="T48" s="38">
        <f>IF((VLOOKUP(B48,'DB PMI Manufacturing World'!$A:$AA,MATCH($T$1,'DB PMI Manufacturing World'!$A$1:$AA$1,),))=0,#N/A, (VLOOKUP(B48,'DB PMI Manufacturing World'!$A:$AA,MATCH($T$1,'DB PMI Manufacturing World'!$A$1:$AA$1,),)))</f>
        <v/>
      </c>
      <c r="U48" s="38">
        <f>IF((VLOOKUP(B48,'DB PMI Manufacturing World'!$A:$AA,MATCH($U$1,'DB PMI Manufacturing World'!$A$1:$AA$1,),))=0,#N/A, (VLOOKUP(B48,'DB PMI Manufacturing World'!$A:$AA,MATCH($U$1,'DB PMI Manufacturing World'!$A$1:$AA$1,),)))</f>
        <v/>
      </c>
      <c r="V48" s="38">
        <f>IF((VLOOKUP(B48,'DB PMI Manufacturing World'!$A:$AA,MATCH($V$1,'DB PMI Manufacturing World'!$A$1:$AA$1,),))=0,#N/A, (VLOOKUP(B48,'DB PMI Manufacturing World'!$A:$AA,MATCH($V$1,'DB PMI Manufacturing World'!$A$1:$AA$1,),)))</f>
        <v/>
      </c>
      <c r="W48" s="38">
        <f>IF((VLOOKUP(B48,'DB PMI Manufacturing World'!$A:$AA,MATCH($W$1,'DB PMI Manufacturing World'!$A$1:$AA$1,),))=0,#N/A, (VLOOKUP(B48,'DB PMI Manufacturing World'!$A:$AA,MATCH($W$1,'DB PMI Manufacturing World'!$A$1:$AA$1,),)))</f>
        <v/>
      </c>
      <c r="X48" s="38">
        <f>IF((VLOOKUP(B48,'DB PMI Manufacturing World'!$A:$AA,MATCH($X$1,'DB PMI Manufacturing World'!$A$1:$AA$1,),))=0,#N/A, (VLOOKUP(B48,'DB PMI Manufacturing World'!$A:$AA,MATCH($X$1,'DB PMI Manufacturing World'!$A$1:$AA$1,),)))</f>
        <v/>
      </c>
      <c r="Y48" s="38">
        <f>IF((VLOOKUP(B48,'DB PMI Manufacturing World'!$A:$AA,MATCH($Y$1,'DB PMI Manufacturing World'!$A$1:$AA$1,),))=0,#N/A, (VLOOKUP(B48,'DB PMI Manufacturing World'!$A:$AA,MATCH($Y$1,'DB PMI Manufacturing World'!$A$1:$AA$1,),)))</f>
        <v/>
      </c>
      <c r="Z48" s="38">
        <f>IF((VLOOKUP(B48,'DB PMI Manufacturing World'!$A:$AA,MATCH($Z$1,'DB PMI Manufacturing World'!$A$1:$AA$1,),))=0,#N/A, (VLOOKUP(B48,'DB PMI Manufacturing World'!$A:$AA,MATCH($Z$1,'DB PMI Manufacturing World'!$A$1:$AA$1,),)))</f>
        <v/>
      </c>
      <c r="AA48" s="38">
        <f>IF((VLOOKUP(B48,'DB PMI Manufacturing World'!$A:$AA,MATCH($AA$1,'DB PMI Manufacturing World'!$A$1:$AA$1,),))=0,#N/A, (VLOOKUP(B48,'DB PMI Manufacturing World'!$A:$AA,MATCH($AA$1,'DB PMI Manufacturing World'!$A$1:$AA$1,),)))</f>
        <v/>
      </c>
      <c r="AB48" s="38">
        <f>IF((VLOOKUP(B48,'DB PMI Manufacturing World'!$A:$AA,MATCH($AB$1,'DB PMI Manufacturing World'!$A$1:$AA$1,),))=0,#N/A, (VLOOKUP(B48,'DB PMI Manufacturing World'!$A:$AA,MATCH($AB$1,'DB PMI Manufacturing World'!$A$1:$AA$1,),)))</f>
        <v/>
      </c>
    </row>
    <row r="49" customFormat="1" s="61">
      <c r="B49" s="29" t="n">
        <v>44013</v>
      </c>
      <c r="C49" s="38">
        <f>IF((VLOOKUP(B49,'DB PMI Manufacturing World'!$A:$AA,MATCH($C$1,'DB PMI Manufacturing World'!$A$1:$AA$1,),))=0,#N/A, (VLOOKUP(B49,'DB PMI Manufacturing World'!$A:$AA,MATCH($C$1,'DB PMI Manufacturing World'!$A$1:$AA$1,),)))</f>
        <v/>
      </c>
      <c r="D49" s="38">
        <f>IF((VLOOKUP(B49,'DB PMI Manufacturing World'!$A:$AA,MATCH($D$1,'DB PMI Manufacturing World'!$A$1:$AA$1,),))=0,#N/A, (VLOOKUP(B49,'DB PMI Manufacturing World'!$A:$AA,MATCH($D$1,'DB PMI Manufacturing World'!$A$1:$AA$1,),)))</f>
        <v/>
      </c>
      <c r="E49" s="38">
        <f>IF((VLOOKUP(B49,'DB PMI Manufacturing World'!$A:$AA,MATCH($E$1,'DB PMI Manufacturing World'!$A$1:$AA$1,),))=0,#N/A, (VLOOKUP(B49,'DB PMI Manufacturing World'!$A:$AA,MATCH($E$1,'DB PMI Manufacturing World'!$A$1:$AA$1,),)))</f>
        <v/>
      </c>
      <c r="F49" s="38">
        <f>IF((VLOOKUP(B49,'DB PMI Manufacturing World'!$A:$AA,MATCH($F$1,'DB PMI Manufacturing World'!$A$1:$AA$1,),))=0,#N/A, (VLOOKUP(B49,'DB PMI Manufacturing World'!$A:$AA,MATCH($F$1,'DB PMI Manufacturing World'!$A$1:$AA$1,),)))</f>
        <v/>
      </c>
      <c r="G49" s="38">
        <f>IF((VLOOKUP(B49,'DB PMI Manufacturing World'!$A:$AA,MATCH($G$1,'DB PMI Manufacturing World'!$A$1:$AA$1,),))=0,#N/A, (VLOOKUP(B49,'DB PMI Manufacturing World'!$A:$AA,MATCH($G$1,'DB PMI Manufacturing World'!$A$1:$AA$1,),)))</f>
        <v/>
      </c>
      <c r="H49" s="38">
        <f>IF((VLOOKUP(B49,'DB PMI Manufacturing World'!$A:$AA,MATCH($H$1,'DB PMI Manufacturing World'!$A$1:$AA$1,),))=0,#N/A, (VLOOKUP(B49,'DB PMI Manufacturing World'!$A:$AA,MATCH($H$1,'DB PMI Manufacturing World'!$A$1:$AA$1,),)))</f>
        <v/>
      </c>
      <c r="I49" s="38">
        <f>IF((VLOOKUP(B49,'DB PMI Manufacturing World'!$A:$AA,MATCH($I$1,'DB PMI Manufacturing World'!$A$1:$AA$1,),))=0,#N/A, (VLOOKUP(B49,'DB PMI Manufacturing World'!$A:$AA,MATCH($I$1,'DB PMI Manufacturing World'!$A$1:$AA$1,),)))</f>
        <v/>
      </c>
      <c r="J49" s="38">
        <f>IF((VLOOKUP(B49,'DB PMI Manufacturing World'!$A:$AA,MATCH($J$1,'DB PMI Manufacturing World'!$A$1:$AA$1,),))=0,#N/A, (VLOOKUP(B49,'DB PMI Manufacturing World'!$A:$AA,MATCH($J$1,'DB PMI Manufacturing World'!$A$1:$AA$1,),)))</f>
        <v/>
      </c>
      <c r="K49" s="38">
        <f>IF((VLOOKUP(B49,'DB PMI Manufacturing World'!$A:$AA,MATCH($K$1,'DB PMI Manufacturing World'!$A$1:$AA$1,),))=0,#N/A, (VLOOKUP(B49,'DB PMI Manufacturing World'!$A:$AA,MATCH($K$1,'DB PMI Manufacturing World'!$A$1:$AA$1,),)))</f>
        <v/>
      </c>
      <c r="L49" s="38">
        <f>IF((VLOOKUP(B49,'DB PMI Manufacturing World'!$A:$AA,MATCH($L$1,'DB PMI Manufacturing World'!$A$1:$AA$1,),))=0,#N/A, (VLOOKUP(B49,'DB PMI Manufacturing World'!$A:$AA,MATCH($L$1,'DB PMI Manufacturing World'!$A$1:$AA$1,),)))</f>
        <v/>
      </c>
      <c r="M49" s="38">
        <f>IF((VLOOKUP(B49,'DB PMI Manufacturing World'!$A:$AA,MATCH($M$1,'DB PMI Manufacturing World'!$A$1:$AA$1,),))=0,#N/A, (VLOOKUP(B49,'DB PMI Manufacturing World'!$A:$AA,MATCH($M$1,'DB PMI Manufacturing World'!$A$1:$AA$1,),)))</f>
        <v/>
      </c>
      <c r="N49" s="38">
        <f>IF((VLOOKUP(B49,'DB PMI Manufacturing World'!$A:$AA,MATCH($N$1,'DB PMI Manufacturing World'!$A$1:$AA$1,),))=0,#N/A, (VLOOKUP(B49,'DB PMI Manufacturing World'!$A:$AA,MATCH($N$1,'DB PMI Manufacturing World'!$A$1:$AA$1,),)))</f>
        <v/>
      </c>
      <c r="O49" s="38">
        <f>IF((VLOOKUP(B49,'DB PMI Manufacturing World'!$A:$AA,MATCH($O$1,'DB PMI Manufacturing World'!$A$1:$AA$1,),))=0,#N/A, (VLOOKUP(B49,'DB PMI Manufacturing World'!$A:$AA,MATCH($O$1,'DB PMI Manufacturing World'!$A$1:$AA$1,),)))</f>
        <v/>
      </c>
      <c r="P49" s="38">
        <f>IF((VLOOKUP(B49,'DB PMI Manufacturing World'!$A:$AA,MATCH($P$1,'DB PMI Manufacturing World'!$A$1:$AA$1,),))=0,#N/A, (VLOOKUP(B49,'DB PMI Manufacturing World'!$A:$AA,MATCH($P$1,'DB PMI Manufacturing World'!$A$1:$AA$1,),)))</f>
        <v/>
      </c>
      <c r="Q49" s="38">
        <f>IF((VLOOKUP(B49,'DB PMI Manufacturing World'!$A:$AA,MATCH($Q$1,'DB PMI Manufacturing World'!$A$1:$AA$1,),))=0,#N/A, (VLOOKUP(B49,'DB PMI Manufacturing World'!$A:$AA,MATCH($Q$1,'DB PMI Manufacturing World'!$A$1:$AA$1,),)))</f>
        <v/>
      </c>
      <c r="R49" s="38">
        <f>IF((VLOOKUP(B49,'DB PMI Manufacturing World'!$A:$AA,MATCH($R$1,'DB PMI Manufacturing World'!$A$1:$AA$1,),))=0,#N/A, (VLOOKUP(B49,'DB PMI Manufacturing World'!$A:$AA,MATCH($R$1,'DB PMI Manufacturing World'!$A$1:$AA$1,),)))</f>
        <v/>
      </c>
      <c r="S49" s="38">
        <f>IF((VLOOKUP(B49,'DB PMI Manufacturing World'!$A:$AA,MATCH($S$1,'DB PMI Manufacturing World'!$A$1:$AA$1,),))=0,#N/A, (VLOOKUP(B49,'DB PMI Manufacturing World'!$A:$AA,MATCH($S$1,'DB PMI Manufacturing World'!$A$1:$AA$1,),)))</f>
        <v/>
      </c>
      <c r="T49" s="38">
        <f>IF((VLOOKUP(B49,'DB PMI Manufacturing World'!$A:$AA,MATCH($T$1,'DB PMI Manufacturing World'!$A$1:$AA$1,),))=0,#N/A, (VLOOKUP(B49,'DB PMI Manufacturing World'!$A:$AA,MATCH($T$1,'DB PMI Manufacturing World'!$A$1:$AA$1,),)))</f>
        <v/>
      </c>
      <c r="U49" s="38">
        <f>IF((VLOOKUP(B49,'DB PMI Manufacturing World'!$A:$AA,MATCH($U$1,'DB PMI Manufacturing World'!$A$1:$AA$1,),))=0,#N/A, (VLOOKUP(B49,'DB PMI Manufacturing World'!$A:$AA,MATCH($U$1,'DB PMI Manufacturing World'!$A$1:$AA$1,),)))</f>
        <v/>
      </c>
      <c r="V49" s="38">
        <f>IF((VLOOKUP(B49,'DB PMI Manufacturing World'!$A:$AA,MATCH($V$1,'DB PMI Manufacturing World'!$A$1:$AA$1,),))=0,#N/A, (VLOOKUP(B49,'DB PMI Manufacturing World'!$A:$AA,MATCH($V$1,'DB PMI Manufacturing World'!$A$1:$AA$1,),)))</f>
        <v/>
      </c>
      <c r="W49" s="38">
        <f>IF((VLOOKUP(B49,'DB PMI Manufacturing World'!$A:$AA,MATCH($W$1,'DB PMI Manufacturing World'!$A$1:$AA$1,),))=0,#N/A, (VLOOKUP(B49,'DB PMI Manufacturing World'!$A:$AA,MATCH($W$1,'DB PMI Manufacturing World'!$A$1:$AA$1,),)))</f>
        <v/>
      </c>
      <c r="X49" s="38">
        <f>IF((VLOOKUP(B49,'DB PMI Manufacturing World'!$A:$AA,MATCH($X$1,'DB PMI Manufacturing World'!$A$1:$AA$1,),))=0,#N/A, (VLOOKUP(B49,'DB PMI Manufacturing World'!$A:$AA,MATCH($X$1,'DB PMI Manufacturing World'!$A$1:$AA$1,),)))</f>
        <v/>
      </c>
      <c r="Y49" s="38">
        <f>IF((VLOOKUP(B49,'DB PMI Manufacturing World'!$A:$AA,MATCH($Y$1,'DB PMI Manufacturing World'!$A$1:$AA$1,),))=0,#N/A, (VLOOKUP(B49,'DB PMI Manufacturing World'!$A:$AA,MATCH($Y$1,'DB PMI Manufacturing World'!$A$1:$AA$1,),)))</f>
        <v/>
      </c>
      <c r="Z49" s="38">
        <f>IF((VLOOKUP(B49,'DB PMI Manufacturing World'!$A:$AA,MATCH($Z$1,'DB PMI Manufacturing World'!$A$1:$AA$1,),))=0,#N/A, (VLOOKUP(B49,'DB PMI Manufacturing World'!$A:$AA,MATCH($Z$1,'DB PMI Manufacturing World'!$A$1:$AA$1,),)))</f>
        <v/>
      </c>
      <c r="AA49" s="38">
        <f>IF((VLOOKUP(B49,'DB PMI Manufacturing World'!$A:$AA,MATCH($AA$1,'DB PMI Manufacturing World'!$A$1:$AA$1,),))=0,#N/A, (VLOOKUP(B49,'DB PMI Manufacturing World'!$A:$AA,MATCH($AA$1,'DB PMI Manufacturing World'!$A$1:$AA$1,),)))</f>
        <v/>
      </c>
      <c r="AB49" s="38">
        <f>IF((VLOOKUP(B49,'DB PMI Manufacturing World'!$A:$AA,MATCH($AB$1,'DB PMI Manufacturing World'!$A$1:$AA$1,),))=0,#N/A, (VLOOKUP(B49,'DB PMI Manufacturing World'!$A:$AA,MATCH($AB$1,'DB PMI Manufacturing World'!$A$1:$AA$1,),)))</f>
        <v/>
      </c>
    </row>
    <row r="50" customFormat="1" s="61">
      <c r="B50" s="29" t="n">
        <v>44044</v>
      </c>
      <c r="C50" s="38">
        <f>IF((VLOOKUP(B50,'DB PMI Manufacturing World'!$A:$AA,MATCH($C$1,'DB PMI Manufacturing World'!$A$1:$AA$1,),))=0,#N/A, (VLOOKUP(B50,'DB PMI Manufacturing World'!$A:$AA,MATCH($C$1,'DB PMI Manufacturing World'!$A$1:$AA$1,),)))</f>
        <v/>
      </c>
      <c r="D50" s="38">
        <f>IF((VLOOKUP(B50,'DB PMI Manufacturing World'!$A:$AA,MATCH($D$1,'DB PMI Manufacturing World'!$A$1:$AA$1,),))=0,#N/A, (VLOOKUP(B50,'DB PMI Manufacturing World'!$A:$AA,MATCH($D$1,'DB PMI Manufacturing World'!$A$1:$AA$1,),)))</f>
        <v/>
      </c>
      <c r="E50" s="38">
        <f>IF((VLOOKUP(B50,'DB PMI Manufacturing World'!$A:$AA,MATCH($E$1,'DB PMI Manufacturing World'!$A$1:$AA$1,),))=0,#N/A, (VLOOKUP(B50,'DB PMI Manufacturing World'!$A:$AA,MATCH($E$1,'DB PMI Manufacturing World'!$A$1:$AA$1,),)))</f>
        <v/>
      </c>
      <c r="F50" s="38">
        <f>IF((VLOOKUP(B50,'DB PMI Manufacturing World'!$A:$AA,MATCH($F$1,'DB PMI Manufacturing World'!$A$1:$AA$1,),))=0,#N/A, (VLOOKUP(B50,'DB PMI Manufacturing World'!$A:$AA,MATCH($F$1,'DB PMI Manufacturing World'!$A$1:$AA$1,),)))</f>
        <v/>
      </c>
      <c r="G50" s="38">
        <f>IF((VLOOKUP(B50,'DB PMI Manufacturing World'!$A:$AA,MATCH($G$1,'DB PMI Manufacturing World'!$A$1:$AA$1,),))=0,#N/A, (VLOOKUP(B50,'DB PMI Manufacturing World'!$A:$AA,MATCH($G$1,'DB PMI Manufacturing World'!$A$1:$AA$1,),)))</f>
        <v/>
      </c>
      <c r="H50" s="38">
        <f>IF((VLOOKUP(B50,'DB PMI Manufacturing World'!$A:$AA,MATCH($H$1,'DB PMI Manufacturing World'!$A$1:$AA$1,),))=0,#N/A, (VLOOKUP(B50,'DB PMI Manufacturing World'!$A:$AA,MATCH($H$1,'DB PMI Manufacturing World'!$A$1:$AA$1,),)))</f>
        <v/>
      </c>
      <c r="I50" s="38">
        <f>IF((VLOOKUP(B50,'DB PMI Manufacturing World'!$A:$AA,MATCH($I$1,'DB PMI Manufacturing World'!$A$1:$AA$1,),))=0,#N/A, (VLOOKUP(B50,'DB PMI Manufacturing World'!$A:$AA,MATCH($I$1,'DB PMI Manufacturing World'!$A$1:$AA$1,),)))</f>
        <v/>
      </c>
      <c r="J50" s="38">
        <f>IF((VLOOKUP(B50,'DB PMI Manufacturing World'!$A:$AA,MATCH($J$1,'DB PMI Manufacturing World'!$A$1:$AA$1,),))=0,#N/A, (VLOOKUP(B50,'DB PMI Manufacturing World'!$A:$AA,MATCH($J$1,'DB PMI Manufacturing World'!$A$1:$AA$1,),)))</f>
        <v/>
      </c>
      <c r="K50" s="38">
        <f>IF((VLOOKUP(B50,'DB PMI Manufacturing World'!$A:$AA,MATCH($K$1,'DB PMI Manufacturing World'!$A$1:$AA$1,),))=0,#N/A, (VLOOKUP(B50,'DB PMI Manufacturing World'!$A:$AA,MATCH($K$1,'DB PMI Manufacturing World'!$A$1:$AA$1,),)))</f>
        <v/>
      </c>
      <c r="L50" s="38">
        <f>IF((VLOOKUP(B50,'DB PMI Manufacturing World'!$A:$AA,MATCH($L$1,'DB PMI Manufacturing World'!$A$1:$AA$1,),))=0,#N/A, (VLOOKUP(B50,'DB PMI Manufacturing World'!$A:$AA,MATCH($L$1,'DB PMI Manufacturing World'!$A$1:$AA$1,),)))</f>
        <v/>
      </c>
      <c r="M50" s="38">
        <f>IF((VLOOKUP(B50,'DB PMI Manufacturing World'!$A:$AA,MATCH($M$1,'DB PMI Manufacturing World'!$A$1:$AA$1,),))=0,#N/A, (VLOOKUP(B50,'DB PMI Manufacturing World'!$A:$AA,MATCH($M$1,'DB PMI Manufacturing World'!$A$1:$AA$1,),)))</f>
        <v/>
      </c>
      <c r="N50" s="38">
        <f>IF((VLOOKUP(B50,'DB PMI Manufacturing World'!$A:$AA,MATCH($N$1,'DB PMI Manufacturing World'!$A$1:$AA$1,),))=0,#N/A, (VLOOKUP(B50,'DB PMI Manufacturing World'!$A:$AA,MATCH($N$1,'DB PMI Manufacturing World'!$A$1:$AA$1,),)))</f>
        <v/>
      </c>
      <c r="O50" s="38">
        <f>IF((VLOOKUP(B50,'DB PMI Manufacturing World'!$A:$AA,MATCH($O$1,'DB PMI Manufacturing World'!$A$1:$AA$1,),))=0,#N/A, (VLOOKUP(B50,'DB PMI Manufacturing World'!$A:$AA,MATCH($O$1,'DB PMI Manufacturing World'!$A$1:$AA$1,),)))</f>
        <v/>
      </c>
      <c r="P50" s="38">
        <f>IF((VLOOKUP(B50,'DB PMI Manufacturing World'!$A:$AA,MATCH($P$1,'DB PMI Manufacturing World'!$A$1:$AA$1,),))=0,#N/A, (VLOOKUP(B50,'DB PMI Manufacturing World'!$A:$AA,MATCH($P$1,'DB PMI Manufacturing World'!$A$1:$AA$1,),)))</f>
        <v/>
      </c>
      <c r="Q50" s="38">
        <f>IF((VLOOKUP(B50,'DB PMI Manufacturing World'!$A:$AA,MATCH($Q$1,'DB PMI Manufacturing World'!$A$1:$AA$1,),))=0,#N/A, (VLOOKUP(B50,'DB PMI Manufacturing World'!$A:$AA,MATCH($Q$1,'DB PMI Manufacturing World'!$A$1:$AA$1,),)))</f>
        <v/>
      </c>
      <c r="R50" s="38">
        <f>IF((VLOOKUP(B50,'DB PMI Manufacturing World'!$A:$AA,MATCH($R$1,'DB PMI Manufacturing World'!$A$1:$AA$1,),))=0,#N/A, (VLOOKUP(B50,'DB PMI Manufacturing World'!$A:$AA,MATCH($R$1,'DB PMI Manufacturing World'!$A$1:$AA$1,),)))</f>
        <v/>
      </c>
      <c r="S50" s="38">
        <f>IF((VLOOKUP(B50,'DB PMI Manufacturing World'!$A:$AA,MATCH($S$1,'DB PMI Manufacturing World'!$A$1:$AA$1,),))=0,#N/A, (VLOOKUP(B50,'DB PMI Manufacturing World'!$A:$AA,MATCH($S$1,'DB PMI Manufacturing World'!$A$1:$AA$1,),)))</f>
        <v/>
      </c>
      <c r="T50" s="38">
        <f>IF((VLOOKUP(B50,'DB PMI Manufacturing World'!$A:$AA,MATCH($T$1,'DB PMI Manufacturing World'!$A$1:$AA$1,),))=0,#N/A, (VLOOKUP(B50,'DB PMI Manufacturing World'!$A:$AA,MATCH($T$1,'DB PMI Manufacturing World'!$A$1:$AA$1,),)))</f>
        <v/>
      </c>
      <c r="U50" s="38">
        <f>IF((VLOOKUP(B50,'DB PMI Manufacturing World'!$A:$AA,MATCH($U$1,'DB PMI Manufacturing World'!$A$1:$AA$1,),))=0,#N/A, (VLOOKUP(B50,'DB PMI Manufacturing World'!$A:$AA,MATCH($U$1,'DB PMI Manufacturing World'!$A$1:$AA$1,),)))</f>
        <v/>
      </c>
      <c r="V50" s="38">
        <f>IF((VLOOKUP(B50,'DB PMI Manufacturing World'!$A:$AA,MATCH($V$1,'DB PMI Manufacturing World'!$A$1:$AA$1,),))=0,#N/A, (VLOOKUP(B50,'DB PMI Manufacturing World'!$A:$AA,MATCH($V$1,'DB PMI Manufacturing World'!$A$1:$AA$1,),)))</f>
        <v/>
      </c>
      <c r="W50" s="38">
        <f>IF((VLOOKUP(B50,'DB PMI Manufacturing World'!$A:$AA,MATCH($W$1,'DB PMI Manufacturing World'!$A$1:$AA$1,),))=0,#N/A, (VLOOKUP(B50,'DB PMI Manufacturing World'!$A:$AA,MATCH($W$1,'DB PMI Manufacturing World'!$A$1:$AA$1,),)))</f>
        <v/>
      </c>
      <c r="X50" s="38">
        <f>IF((VLOOKUP(B50,'DB PMI Manufacturing World'!$A:$AA,MATCH($X$1,'DB PMI Manufacturing World'!$A$1:$AA$1,),))=0,#N/A, (VLOOKUP(B50,'DB PMI Manufacturing World'!$A:$AA,MATCH($X$1,'DB PMI Manufacturing World'!$A$1:$AA$1,),)))</f>
        <v/>
      </c>
      <c r="Y50" s="38">
        <f>IF((VLOOKUP(B50,'DB PMI Manufacturing World'!$A:$AA,MATCH($Y$1,'DB PMI Manufacturing World'!$A$1:$AA$1,),))=0,#N/A, (VLOOKUP(B50,'DB PMI Manufacturing World'!$A:$AA,MATCH($Y$1,'DB PMI Manufacturing World'!$A$1:$AA$1,),)))</f>
        <v/>
      </c>
      <c r="Z50" s="38">
        <f>IF((VLOOKUP(B50,'DB PMI Manufacturing World'!$A:$AA,MATCH($Z$1,'DB PMI Manufacturing World'!$A$1:$AA$1,),))=0,#N/A, (VLOOKUP(B50,'DB PMI Manufacturing World'!$A:$AA,MATCH($Z$1,'DB PMI Manufacturing World'!$A$1:$AA$1,),)))</f>
        <v/>
      </c>
      <c r="AA50" s="38">
        <f>IF((VLOOKUP(B50,'DB PMI Manufacturing World'!$A:$AA,MATCH($AA$1,'DB PMI Manufacturing World'!$A$1:$AA$1,),))=0,#N/A, (VLOOKUP(B50,'DB PMI Manufacturing World'!$A:$AA,MATCH($AA$1,'DB PMI Manufacturing World'!$A$1:$AA$1,),)))</f>
        <v/>
      </c>
      <c r="AB50" s="38">
        <f>IF((VLOOKUP(B50,'DB PMI Manufacturing World'!$A:$AA,MATCH($AB$1,'DB PMI Manufacturing World'!$A$1:$AA$1,),))=0,#N/A, (VLOOKUP(B50,'DB PMI Manufacturing World'!$A:$AA,MATCH($AB$1,'DB PMI Manufacturing World'!$A$1:$AA$1,),)))</f>
        <v/>
      </c>
    </row>
    <row r="51" customFormat="1" s="61">
      <c r="B51" s="29" t="n">
        <v>44075</v>
      </c>
      <c r="C51" s="38">
        <f>IF((VLOOKUP(B51,'DB PMI Manufacturing World'!$A:$AA,MATCH($C$1,'DB PMI Manufacturing World'!$A$1:$AA$1,),))=0,#N/A, (VLOOKUP(B51,'DB PMI Manufacturing World'!$A:$AA,MATCH($C$1,'DB PMI Manufacturing World'!$A$1:$AA$1,),)))</f>
        <v/>
      </c>
      <c r="D51" s="38">
        <f>IF((VLOOKUP(B51,'DB PMI Manufacturing World'!$A:$AA,MATCH($D$1,'DB PMI Manufacturing World'!$A$1:$AA$1,),))=0,#N/A, (VLOOKUP(B51,'DB PMI Manufacturing World'!$A:$AA,MATCH($D$1,'DB PMI Manufacturing World'!$A$1:$AA$1,),)))</f>
        <v/>
      </c>
      <c r="E51" s="38">
        <f>IF((VLOOKUP(B51,'DB PMI Manufacturing World'!$A:$AA,MATCH($E$1,'DB PMI Manufacturing World'!$A$1:$AA$1,),))=0,#N/A, (VLOOKUP(B51,'DB PMI Manufacturing World'!$A:$AA,MATCH($E$1,'DB PMI Manufacturing World'!$A$1:$AA$1,),)))</f>
        <v/>
      </c>
      <c r="F51" s="38">
        <f>IF((VLOOKUP(B51,'DB PMI Manufacturing World'!$A:$AA,MATCH($F$1,'DB PMI Manufacturing World'!$A$1:$AA$1,),))=0,#N/A, (VLOOKUP(B51,'DB PMI Manufacturing World'!$A:$AA,MATCH($F$1,'DB PMI Manufacturing World'!$A$1:$AA$1,),)))</f>
        <v/>
      </c>
      <c r="G51" s="38">
        <f>IF((VLOOKUP(B51,'DB PMI Manufacturing World'!$A:$AA,MATCH($G$1,'DB PMI Manufacturing World'!$A$1:$AA$1,),))=0,#N/A, (VLOOKUP(B51,'DB PMI Manufacturing World'!$A:$AA,MATCH($G$1,'DB PMI Manufacturing World'!$A$1:$AA$1,),)))</f>
        <v/>
      </c>
      <c r="H51" s="38">
        <f>IF((VLOOKUP(B51,'DB PMI Manufacturing World'!$A:$AA,MATCH($H$1,'DB PMI Manufacturing World'!$A$1:$AA$1,),))=0,#N/A, (VLOOKUP(B51,'DB PMI Manufacturing World'!$A:$AA,MATCH($H$1,'DB PMI Manufacturing World'!$A$1:$AA$1,),)))</f>
        <v/>
      </c>
      <c r="I51" s="38">
        <f>IF((VLOOKUP(B51,'DB PMI Manufacturing World'!$A:$AA,MATCH($I$1,'DB PMI Manufacturing World'!$A$1:$AA$1,),))=0,#N/A, (VLOOKUP(B51,'DB PMI Manufacturing World'!$A:$AA,MATCH($I$1,'DB PMI Manufacturing World'!$A$1:$AA$1,),)))</f>
        <v/>
      </c>
      <c r="J51" s="38">
        <f>IF((VLOOKUP(B51,'DB PMI Manufacturing World'!$A:$AA,MATCH($J$1,'DB PMI Manufacturing World'!$A$1:$AA$1,),))=0,#N/A, (VLOOKUP(B51,'DB PMI Manufacturing World'!$A:$AA,MATCH($J$1,'DB PMI Manufacturing World'!$A$1:$AA$1,),)))</f>
        <v/>
      </c>
      <c r="K51" s="38">
        <f>IF((VLOOKUP(B51,'DB PMI Manufacturing World'!$A:$AA,MATCH($K$1,'DB PMI Manufacturing World'!$A$1:$AA$1,),))=0,#N/A, (VLOOKUP(B51,'DB PMI Manufacturing World'!$A:$AA,MATCH($K$1,'DB PMI Manufacturing World'!$A$1:$AA$1,),)))</f>
        <v/>
      </c>
      <c r="L51" s="38">
        <f>IF((VLOOKUP(B51,'DB PMI Manufacturing World'!$A:$AA,MATCH($L$1,'DB PMI Manufacturing World'!$A$1:$AA$1,),))=0,#N/A, (VLOOKUP(B51,'DB PMI Manufacturing World'!$A:$AA,MATCH($L$1,'DB PMI Manufacturing World'!$A$1:$AA$1,),)))</f>
        <v/>
      </c>
      <c r="M51" s="38">
        <f>IF((VLOOKUP(B51,'DB PMI Manufacturing World'!$A:$AA,MATCH($M$1,'DB PMI Manufacturing World'!$A$1:$AA$1,),))=0,#N/A, (VLOOKUP(B51,'DB PMI Manufacturing World'!$A:$AA,MATCH($M$1,'DB PMI Manufacturing World'!$A$1:$AA$1,),)))</f>
        <v/>
      </c>
      <c r="N51" s="38">
        <f>IF((VLOOKUP(B51,'DB PMI Manufacturing World'!$A:$AA,MATCH($N$1,'DB PMI Manufacturing World'!$A$1:$AA$1,),))=0,#N/A, (VLOOKUP(B51,'DB PMI Manufacturing World'!$A:$AA,MATCH($N$1,'DB PMI Manufacturing World'!$A$1:$AA$1,),)))</f>
        <v/>
      </c>
      <c r="O51" s="38">
        <f>IF((VLOOKUP(B51,'DB PMI Manufacturing World'!$A:$AA,MATCH($O$1,'DB PMI Manufacturing World'!$A$1:$AA$1,),))=0,#N/A, (VLOOKUP(B51,'DB PMI Manufacturing World'!$A:$AA,MATCH($O$1,'DB PMI Manufacturing World'!$A$1:$AA$1,),)))</f>
        <v/>
      </c>
      <c r="P51" s="38">
        <f>IF((VLOOKUP(B51,'DB PMI Manufacturing World'!$A:$AA,MATCH($P$1,'DB PMI Manufacturing World'!$A$1:$AA$1,),))=0,#N/A, (VLOOKUP(B51,'DB PMI Manufacturing World'!$A:$AA,MATCH($P$1,'DB PMI Manufacturing World'!$A$1:$AA$1,),)))</f>
        <v/>
      </c>
      <c r="Q51" s="38">
        <f>IF((VLOOKUP(B51,'DB PMI Manufacturing World'!$A:$AA,MATCH($Q$1,'DB PMI Manufacturing World'!$A$1:$AA$1,),))=0,#N/A, (VLOOKUP(B51,'DB PMI Manufacturing World'!$A:$AA,MATCH($Q$1,'DB PMI Manufacturing World'!$A$1:$AA$1,),)))</f>
        <v/>
      </c>
      <c r="R51" s="38">
        <f>IF((VLOOKUP(B51,'DB PMI Manufacturing World'!$A:$AA,MATCH($R$1,'DB PMI Manufacturing World'!$A$1:$AA$1,),))=0,#N/A, (VLOOKUP(B51,'DB PMI Manufacturing World'!$A:$AA,MATCH($R$1,'DB PMI Manufacturing World'!$A$1:$AA$1,),)))</f>
        <v/>
      </c>
      <c r="S51" s="38">
        <f>IF((VLOOKUP(B51,'DB PMI Manufacturing World'!$A:$AA,MATCH($S$1,'DB PMI Manufacturing World'!$A$1:$AA$1,),))=0,#N/A, (VLOOKUP(B51,'DB PMI Manufacturing World'!$A:$AA,MATCH($S$1,'DB PMI Manufacturing World'!$A$1:$AA$1,),)))</f>
        <v/>
      </c>
      <c r="T51" s="38">
        <f>IF((VLOOKUP(B51,'DB PMI Manufacturing World'!$A:$AA,MATCH($T$1,'DB PMI Manufacturing World'!$A$1:$AA$1,),))=0,#N/A, (VLOOKUP(B51,'DB PMI Manufacturing World'!$A:$AA,MATCH($T$1,'DB PMI Manufacturing World'!$A$1:$AA$1,),)))</f>
        <v/>
      </c>
      <c r="U51" s="38">
        <f>IF((VLOOKUP(B51,'DB PMI Manufacturing World'!$A:$AA,MATCH($U$1,'DB PMI Manufacturing World'!$A$1:$AA$1,),))=0,#N/A, (VLOOKUP(B51,'DB PMI Manufacturing World'!$A:$AA,MATCH($U$1,'DB PMI Manufacturing World'!$A$1:$AA$1,),)))</f>
        <v/>
      </c>
      <c r="V51" s="38">
        <f>IF((VLOOKUP(B51,'DB PMI Manufacturing World'!$A:$AA,MATCH($V$1,'DB PMI Manufacturing World'!$A$1:$AA$1,),))=0,#N/A, (VLOOKUP(B51,'DB PMI Manufacturing World'!$A:$AA,MATCH($V$1,'DB PMI Manufacturing World'!$A$1:$AA$1,),)))</f>
        <v/>
      </c>
      <c r="W51" s="38">
        <f>IF((VLOOKUP(B51,'DB PMI Manufacturing World'!$A:$AA,MATCH($W$1,'DB PMI Manufacturing World'!$A$1:$AA$1,),))=0,#N/A, (VLOOKUP(B51,'DB PMI Manufacturing World'!$A:$AA,MATCH($W$1,'DB PMI Manufacturing World'!$A$1:$AA$1,),)))</f>
        <v/>
      </c>
      <c r="X51" s="38">
        <f>IF((VLOOKUP(B51,'DB PMI Manufacturing World'!$A:$AA,MATCH($X$1,'DB PMI Manufacturing World'!$A$1:$AA$1,),))=0,#N/A, (VLOOKUP(B51,'DB PMI Manufacturing World'!$A:$AA,MATCH($X$1,'DB PMI Manufacturing World'!$A$1:$AA$1,),)))</f>
        <v/>
      </c>
      <c r="Y51" s="38">
        <f>IF((VLOOKUP(B51,'DB PMI Manufacturing World'!$A:$AA,MATCH($Y$1,'DB PMI Manufacturing World'!$A$1:$AA$1,),))=0,#N/A, (VLOOKUP(B51,'DB PMI Manufacturing World'!$A:$AA,MATCH($Y$1,'DB PMI Manufacturing World'!$A$1:$AA$1,),)))</f>
        <v/>
      </c>
      <c r="Z51" s="38">
        <f>IF((VLOOKUP(B51,'DB PMI Manufacturing World'!$A:$AA,MATCH($Z$1,'DB PMI Manufacturing World'!$A$1:$AA$1,),))=0,#N/A, (VLOOKUP(B51,'DB PMI Manufacturing World'!$A:$AA,MATCH($Z$1,'DB PMI Manufacturing World'!$A$1:$AA$1,),)))</f>
        <v/>
      </c>
      <c r="AA51" s="38">
        <f>IF((VLOOKUP(B51,'DB PMI Manufacturing World'!$A:$AA,MATCH($AA$1,'DB PMI Manufacturing World'!$A$1:$AA$1,),))=0,#N/A, (VLOOKUP(B51,'DB PMI Manufacturing World'!$A:$AA,MATCH($AA$1,'DB PMI Manufacturing World'!$A$1:$AA$1,),)))</f>
        <v/>
      </c>
      <c r="AB51" s="38">
        <f>IF((VLOOKUP(B51,'DB PMI Manufacturing World'!$A:$AA,MATCH($AB$1,'DB PMI Manufacturing World'!$A$1:$AA$1,),))=0,#N/A, (VLOOKUP(B51,'DB PMI Manufacturing World'!$A:$AA,MATCH($AB$1,'DB PMI Manufacturing World'!$A$1:$AA$1,),)))</f>
        <v/>
      </c>
    </row>
    <row r="52" customFormat="1" s="61">
      <c r="B52" s="29" t="n">
        <v>44105</v>
      </c>
      <c r="C52" s="38">
        <f>IF((VLOOKUP(B52,'DB PMI Manufacturing World'!$A:$AA,MATCH($C$1,'DB PMI Manufacturing World'!$A$1:$AA$1,),))=0,#N/A, (VLOOKUP(B52,'DB PMI Manufacturing World'!$A:$AA,MATCH($C$1,'DB PMI Manufacturing World'!$A$1:$AA$1,),)))</f>
        <v/>
      </c>
      <c r="D52" s="38">
        <f>IF((VLOOKUP(B52,'DB PMI Manufacturing World'!$A:$AA,MATCH($D$1,'DB PMI Manufacturing World'!$A$1:$AA$1,),))=0,#N/A, (VLOOKUP(B52,'DB PMI Manufacturing World'!$A:$AA,MATCH($D$1,'DB PMI Manufacturing World'!$A$1:$AA$1,),)))</f>
        <v/>
      </c>
      <c r="E52" s="38">
        <f>IF((VLOOKUP(B52,'DB PMI Manufacturing World'!$A:$AA,MATCH($E$1,'DB PMI Manufacturing World'!$A$1:$AA$1,),))=0,#N/A, (VLOOKUP(B52,'DB PMI Manufacturing World'!$A:$AA,MATCH($E$1,'DB PMI Manufacturing World'!$A$1:$AA$1,),)))</f>
        <v/>
      </c>
      <c r="F52" s="38">
        <f>IF((VLOOKUP(B52,'DB PMI Manufacturing World'!$A:$AA,MATCH($F$1,'DB PMI Manufacturing World'!$A$1:$AA$1,),))=0,#N/A, (VLOOKUP(B52,'DB PMI Manufacturing World'!$A:$AA,MATCH($F$1,'DB PMI Manufacturing World'!$A$1:$AA$1,),)))</f>
        <v/>
      </c>
      <c r="G52" s="38">
        <f>IF((VLOOKUP(B52,'DB PMI Manufacturing World'!$A:$AA,MATCH($G$1,'DB PMI Manufacturing World'!$A$1:$AA$1,),))=0,#N/A, (VLOOKUP(B52,'DB PMI Manufacturing World'!$A:$AA,MATCH($G$1,'DB PMI Manufacturing World'!$A$1:$AA$1,),)))</f>
        <v/>
      </c>
      <c r="H52" s="38">
        <f>IF((VLOOKUP(B52,'DB PMI Manufacturing World'!$A:$AA,MATCH($H$1,'DB PMI Manufacturing World'!$A$1:$AA$1,),))=0,#N/A, (VLOOKUP(B52,'DB PMI Manufacturing World'!$A:$AA,MATCH($H$1,'DB PMI Manufacturing World'!$A$1:$AA$1,),)))</f>
        <v/>
      </c>
      <c r="I52" s="38">
        <f>IF((VLOOKUP(B52,'DB PMI Manufacturing World'!$A:$AA,MATCH($I$1,'DB PMI Manufacturing World'!$A$1:$AA$1,),))=0,#N/A, (VLOOKUP(B52,'DB PMI Manufacturing World'!$A:$AA,MATCH($I$1,'DB PMI Manufacturing World'!$A$1:$AA$1,),)))</f>
        <v/>
      </c>
      <c r="J52" s="38">
        <f>IF((VLOOKUP(B52,'DB PMI Manufacturing World'!$A:$AA,MATCH($J$1,'DB PMI Manufacturing World'!$A$1:$AA$1,),))=0,#N/A, (VLOOKUP(B52,'DB PMI Manufacturing World'!$A:$AA,MATCH($J$1,'DB PMI Manufacturing World'!$A$1:$AA$1,),)))</f>
        <v/>
      </c>
      <c r="K52" s="38">
        <f>IF((VLOOKUP(B52,'DB PMI Manufacturing World'!$A:$AA,MATCH($K$1,'DB PMI Manufacturing World'!$A$1:$AA$1,),))=0,#N/A, (VLOOKUP(B52,'DB PMI Manufacturing World'!$A:$AA,MATCH($K$1,'DB PMI Manufacturing World'!$A$1:$AA$1,),)))</f>
        <v/>
      </c>
      <c r="L52" s="38">
        <f>IF((VLOOKUP(B52,'DB PMI Manufacturing World'!$A:$AA,MATCH($L$1,'DB PMI Manufacturing World'!$A$1:$AA$1,),))=0,#N/A, (VLOOKUP(B52,'DB PMI Manufacturing World'!$A:$AA,MATCH($L$1,'DB PMI Manufacturing World'!$A$1:$AA$1,),)))</f>
        <v/>
      </c>
      <c r="M52" s="38">
        <f>IF((VLOOKUP(B52,'DB PMI Manufacturing World'!$A:$AA,MATCH($M$1,'DB PMI Manufacturing World'!$A$1:$AA$1,),))=0,#N/A, (VLOOKUP(B52,'DB PMI Manufacturing World'!$A:$AA,MATCH($M$1,'DB PMI Manufacturing World'!$A$1:$AA$1,),)))</f>
        <v/>
      </c>
      <c r="N52" s="38">
        <f>IF((VLOOKUP(B52,'DB PMI Manufacturing World'!$A:$AA,MATCH($N$1,'DB PMI Manufacturing World'!$A$1:$AA$1,),))=0,#N/A, (VLOOKUP(B52,'DB PMI Manufacturing World'!$A:$AA,MATCH($N$1,'DB PMI Manufacturing World'!$A$1:$AA$1,),)))</f>
        <v/>
      </c>
      <c r="O52" s="38">
        <f>IF((VLOOKUP(B52,'DB PMI Manufacturing World'!$A:$AA,MATCH($O$1,'DB PMI Manufacturing World'!$A$1:$AA$1,),))=0,#N/A, (VLOOKUP(B52,'DB PMI Manufacturing World'!$A:$AA,MATCH($O$1,'DB PMI Manufacturing World'!$A$1:$AA$1,),)))</f>
        <v/>
      </c>
      <c r="P52" s="38">
        <f>IF((VLOOKUP(B52,'DB PMI Manufacturing World'!$A:$AA,MATCH($P$1,'DB PMI Manufacturing World'!$A$1:$AA$1,),))=0,#N/A, (VLOOKUP(B52,'DB PMI Manufacturing World'!$A:$AA,MATCH($P$1,'DB PMI Manufacturing World'!$A$1:$AA$1,),)))</f>
        <v/>
      </c>
      <c r="Q52" s="38">
        <f>IF((VLOOKUP(B52,'DB PMI Manufacturing World'!$A:$AA,MATCH($Q$1,'DB PMI Manufacturing World'!$A$1:$AA$1,),))=0,#N/A, (VLOOKUP(B52,'DB PMI Manufacturing World'!$A:$AA,MATCH($Q$1,'DB PMI Manufacturing World'!$A$1:$AA$1,),)))</f>
        <v/>
      </c>
      <c r="R52" s="38">
        <f>IF((VLOOKUP(B52,'DB PMI Manufacturing World'!$A:$AA,MATCH($R$1,'DB PMI Manufacturing World'!$A$1:$AA$1,),))=0,#N/A, (VLOOKUP(B52,'DB PMI Manufacturing World'!$A:$AA,MATCH($R$1,'DB PMI Manufacturing World'!$A$1:$AA$1,),)))</f>
        <v/>
      </c>
      <c r="S52" s="38">
        <f>IF((VLOOKUP(B52,'DB PMI Manufacturing World'!$A:$AA,MATCH($S$1,'DB PMI Manufacturing World'!$A$1:$AA$1,),))=0,#N/A, (VLOOKUP(B52,'DB PMI Manufacturing World'!$A:$AA,MATCH($S$1,'DB PMI Manufacturing World'!$A$1:$AA$1,),)))</f>
        <v/>
      </c>
      <c r="T52" s="38">
        <f>IF((VLOOKUP(B52,'DB PMI Manufacturing World'!$A:$AA,MATCH($T$1,'DB PMI Manufacturing World'!$A$1:$AA$1,),))=0,#N/A, (VLOOKUP(B52,'DB PMI Manufacturing World'!$A:$AA,MATCH($T$1,'DB PMI Manufacturing World'!$A$1:$AA$1,),)))</f>
        <v/>
      </c>
      <c r="U52" s="38">
        <f>IF((VLOOKUP(B52,'DB PMI Manufacturing World'!$A:$AA,MATCH($U$1,'DB PMI Manufacturing World'!$A$1:$AA$1,),))=0,#N/A, (VLOOKUP(B52,'DB PMI Manufacturing World'!$A:$AA,MATCH($U$1,'DB PMI Manufacturing World'!$A$1:$AA$1,),)))</f>
        <v/>
      </c>
      <c r="V52" s="38">
        <f>IF((VLOOKUP(B52,'DB PMI Manufacturing World'!$A:$AA,MATCH($V$1,'DB PMI Manufacturing World'!$A$1:$AA$1,),))=0,#N/A, (VLOOKUP(B52,'DB PMI Manufacturing World'!$A:$AA,MATCH($V$1,'DB PMI Manufacturing World'!$A$1:$AA$1,),)))</f>
        <v/>
      </c>
      <c r="W52" s="38">
        <f>IF((VLOOKUP(B52,'DB PMI Manufacturing World'!$A:$AA,MATCH($W$1,'DB PMI Manufacturing World'!$A$1:$AA$1,),))=0,#N/A, (VLOOKUP(B52,'DB PMI Manufacturing World'!$A:$AA,MATCH($W$1,'DB PMI Manufacturing World'!$A$1:$AA$1,),)))</f>
        <v/>
      </c>
      <c r="X52" s="38">
        <f>IF((VLOOKUP(B52,'DB PMI Manufacturing World'!$A:$AA,MATCH($X$1,'DB PMI Manufacturing World'!$A$1:$AA$1,),))=0,#N/A, (VLOOKUP(B52,'DB PMI Manufacturing World'!$A:$AA,MATCH($X$1,'DB PMI Manufacturing World'!$A$1:$AA$1,),)))</f>
        <v/>
      </c>
      <c r="Y52" s="38">
        <f>IF((VLOOKUP(B52,'DB PMI Manufacturing World'!$A:$AA,MATCH($Y$1,'DB PMI Manufacturing World'!$A$1:$AA$1,),))=0,#N/A, (VLOOKUP(B52,'DB PMI Manufacturing World'!$A:$AA,MATCH($Y$1,'DB PMI Manufacturing World'!$A$1:$AA$1,),)))</f>
        <v/>
      </c>
      <c r="Z52" s="38">
        <f>IF((VLOOKUP(B52,'DB PMI Manufacturing World'!$A:$AA,MATCH($Z$1,'DB PMI Manufacturing World'!$A$1:$AA$1,),))=0,#N/A, (VLOOKUP(B52,'DB PMI Manufacturing World'!$A:$AA,MATCH($Z$1,'DB PMI Manufacturing World'!$A$1:$AA$1,),)))</f>
        <v/>
      </c>
      <c r="AA52" s="38">
        <f>IF((VLOOKUP(B52,'DB PMI Manufacturing World'!$A:$AA,MATCH($AA$1,'DB PMI Manufacturing World'!$A$1:$AA$1,),))=0,#N/A, (VLOOKUP(B52,'DB PMI Manufacturing World'!$A:$AA,MATCH($AA$1,'DB PMI Manufacturing World'!$A$1:$AA$1,),)))</f>
        <v/>
      </c>
      <c r="AB52" s="38">
        <f>IF((VLOOKUP(B52,'DB PMI Manufacturing World'!$A:$AA,MATCH($AB$1,'DB PMI Manufacturing World'!$A$1:$AA$1,),))=0,#N/A, (VLOOKUP(B52,'DB PMI Manufacturing World'!$A:$AA,MATCH($AB$1,'DB PMI Manufacturing World'!$A$1:$AA$1,),)))</f>
        <v/>
      </c>
    </row>
    <row r="53" customFormat="1" s="61">
      <c r="B53" s="29" t="n">
        <v>44136</v>
      </c>
      <c r="C53" s="38">
        <f>IF((VLOOKUP(B53,'DB PMI Manufacturing World'!$A:$AA,MATCH($C$1,'DB PMI Manufacturing World'!$A$1:$AA$1,),))=0,#N/A, (VLOOKUP(B53,'DB PMI Manufacturing World'!$A:$AA,MATCH($C$1,'DB PMI Manufacturing World'!$A$1:$AA$1,),)))</f>
        <v/>
      </c>
      <c r="D53" s="38">
        <f>IF((VLOOKUP(B53,'DB PMI Manufacturing World'!$A:$AA,MATCH($D$1,'DB PMI Manufacturing World'!$A$1:$AA$1,),))=0,#N/A, (VLOOKUP(B53,'DB PMI Manufacturing World'!$A:$AA,MATCH($D$1,'DB PMI Manufacturing World'!$A$1:$AA$1,),)))</f>
        <v/>
      </c>
      <c r="E53" s="38">
        <f>IF((VLOOKUP(B53,'DB PMI Manufacturing World'!$A:$AA,MATCH($E$1,'DB PMI Manufacturing World'!$A$1:$AA$1,),))=0,#N/A, (VLOOKUP(B53,'DB PMI Manufacturing World'!$A:$AA,MATCH($E$1,'DB PMI Manufacturing World'!$A$1:$AA$1,),)))</f>
        <v/>
      </c>
      <c r="F53" s="38">
        <f>IF((VLOOKUP(B53,'DB PMI Manufacturing World'!$A:$AA,MATCH($F$1,'DB PMI Manufacturing World'!$A$1:$AA$1,),))=0,#N/A, (VLOOKUP(B53,'DB PMI Manufacturing World'!$A:$AA,MATCH($F$1,'DB PMI Manufacturing World'!$A$1:$AA$1,),)))</f>
        <v/>
      </c>
      <c r="G53" s="38">
        <f>IF((VLOOKUP(B53,'DB PMI Manufacturing World'!$A:$AA,MATCH($G$1,'DB PMI Manufacturing World'!$A$1:$AA$1,),))=0,#N/A, (VLOOKUP(B53,'DB PMI Manufacturing World'!$A:$AA,MATCH($G$1,'DB PMI Manufacturing World'!$A$1:$AA$1,),)))</f>
        <v/>
      </c>
      <c r="H53" s="38">
        <f>IF((VLOOKUP(B53,'DB PMI Manufacturing World'!$A:$AA,MATCH($H$1,'DB PMI Manufacturing World'!$A$1:$AA$1,),))=0,#N/A, (VLOOKUP(B53,'DB PMI Manufacturing World'!$A:$AA,MATCH($H$1,'DB PMI Manufacturing World'!$A$1:$AA$1,),)))</f>
        <v/>
      </c>
      <c r="I53" s="38">
        <f>IF((VLOOKUP(B53,'DB PMI Manufacturing World'!$A:$AA,MATCH($I$1,'DB PMI Manufacturing World'!$A$1:$AA$1,),))=0,#N/A, (VLOOKUP(B53,'DB PMI Manufacturing World'!$A:$AA,MATCH($I$1,'DB PMI Manufacturing World'!$A$1:$AA$1,),)))</f>
        <v/>
      </c>
      <c r="J53" s="38">
        <f>IF((VLOOKUP(B53,'DB PMI Manufacturing World'!$A:$AA,MATCH($J$1,'DB PMI Manufacturing World'!$A$1:$AA$1,),))=0,#N/A, (VLOOKUP(B53,'DB PMI Manufacturing World'!$A:$AA,MATCH($J$1,'DB PMI Manufacturing World'!$A$1:$AA$1,),)))</f>
        <v/>
      </c>
      <c r="K53" s="38">
        <f>IF((VLOOKUP(B53,'DB PMI Manufacturing World'!$A:$AA,MATCH($K$1,'DB PMI Manufacturing World'!$A$1:$AA$1,),))=0,#N/A, (VLOOKUP(B53,'DB PMI Manufacturing World'!$A:$AA,MATCH($K$1,'DB PMI Manufacturing World'!$A$1:$AA$1,),)))</f>
        <v/>
      </c>
      <c r="L53" s="38">
        <f>IF((VLOOKUP(B53,'DB PMI Manufacturing World'!$A:$AA,MATCH($L$1,'DB PMI Manufacturing World'!$A$1:$AA$1,),))=0,#N/A, (VLOOKUP(B53,'DB PMI Manufacturing World'!$A:$AA,MATCH($L$1,'DB PMI Manufacturing World'!$A$1:$AA$1,),)))</f>
        <v/>
      </c>
      <c r="M53" s="38">
        <f>IF((VLOOKUP(B53,'DB PMI Manufacturing World'!$A:$AA,MATCH($M$1,'DB PMI Manufacturing World'!$A$1:$AA$1,),))=0,#N/A, (VLOOKUP(B53,'DB PMI Manufacturing World'!$A:$AA,MATCH($M$1,'DB PMI Manufacturing World'!$A$1:$AA$1,),)))</f>
        <v/>
      </c>
      <c r="N53" s="38">
        <f>IF((VLOOKUP(B53,'DB PMI Manufacturing World'!$A:$AA,MATCH($N$1,'DB PMI Manufacturing World'!$A$1:$AA$1,),))=0,#N/A, (VLOOKUP(B53,'DB PMI Manufacturing World'!$A:$AA,MATCH($N$1,'DB PMI Manufacturing World'!$A$1:$AA$1,),)))</f>
        <v/>
      </c>
      <c r="O53" s="38">
        <f>IF((VLOOKUP(B53,'DB PMI Manufacturing World'!$A:$AA,MATCH($O$1,'DB PMI Manufacturing World'!$A$1:$AA$1,),))=0,#N/A, (VLOOKUP(B53,'DB PMI Manufacturing World'!$A:$AA,MATCH($O$1,'DB PMI Manufacturing World'!$A$1:$AA$1,),)))</f>
        <v/>
      </c>
      <c r="P53" s="38">
        <f>IF((VLOOKUP(B53,'DB PMI Manufacturing World'!$A:$AA,MATCH($P$1,'DB PMI Manufacturing World'!$A$1:$AA$1,),))=0,#N/A, (VLOOKUP(B53,'DB PMI Manufacturing World'!$A:$AA,MATCH($P$1,'DB PMI Manufacturing World'!$A$1:$AA$1,),)))</f>
        <v/>
      </c>
      <c r="Q53" s="38">
        <f>IF((VLOOKUP(B53,'DB PMI Manufacturing World'!$A:$AA,MATCH($Q$1,'DB PMI Manufacturing World'!$A$1:$AA$1,),))=0,#N/A, (VLOOKUP(B53,'DB PMI Manufacturing World'!$A:$AA,MATCH($Q$1,'DB PMI Manufacturing World'!$A$1:$AA$1,),)))</f>
        <v/>
      </c>
      <c r="R53" s="38">
        <f>IF((VLOOKUP(B53,'DB PMI Manufacturing World'!$A:$AA,MATCH($R$1,'DB PMI Manufacturing World'!$A$1:$AA$1,),))=0,#N/A, (VLOOKUP(B53,'DB PMI Manufacturing World'!$A:$AA,MATCH($R$1,'DB PMI Manufacturing World'!$A$1:$AA$1,),)))</f>
        <v/>
      </c>
      <c r="S53" s="38">
        <f>IF((VLOOKUP(B53,'DB PMI Manufacturing World'!$A:$AA,MATCH($S$1,'DB PMI Manufacturing World'!$A$1:$AA$1,),))=0,#N/A, (VLOOKUP(B53,'DB PMI Manufacturing World'!$A:$AA,MATCH($S$1,'DB PMI Manufacturing World'!$A$1:$AA$1,),)))</f>
        <v/>
      </c>
      <c r="T53" s="38">
        <f>IF((VLOOKUP(B53,'DB PMI Manufacturing World'!$A:$AA,MATCH($T$1,'DB PMI Manufacturing World'!$A$1:$AA$1,),))=0,#N/A, (VLOOKUP(B53,'DB PMI Manufacturing World'!$A:$AA,MATCH($T$1,'DB PMI Manufacturing World'!$A$1:$AA$1,),)))</f>
        <v/>
      </c>
      <c r="U53" s="38">
        <f>IF((VLOOKUP(B53,'DB PMI Manufacturing World'!$A:$AA,MATCH($U$1,'DB PMI Manufacturing World'!$A$1:$AA$1,),))=0,#N/A, (VLOOKUP(B53,'DB PMI Manufacturing World'!$A:$AA,MATCH($U$1,'DB PMI Manufacturing World'!$A$1:$AA$1,),)))</f>
        <v/>
      </c>
      <c r="V53" s="38">
        <f>IF((VLOOKUP(B53,'DB PMI Manufacturing World'!$A:$AA,MATCH($V$1,'DB PMI Manufacturing World'!$A$1:$AA$1,),))=0,#N/A, (VLOOKUP(B53,'DB PMI Manufacturing World'!$A:$AA,MATCH($V$1,'DB PMI Manufacturing World'!$A$1:$AA$1,),)))</f>
        <v/>
      </c>
      <c r="W53" s="38">
        <f>IF((VLOOKUP(B53,'DB PMI Manufacturing World'!$A:$AA,MATCH($W$1,'DB PMI Manufacturing World'!$A$1:$AA$1,),))=0,#N/A, (VLOOKUP(B53,'DB PMI Manufacturing World'!$A:$AA,MATCH($W$1,'DB PMI Manufacturing World'!$A$1:$AA$1,),)))</f>
        <v/>
      </c>
      <c r="X53" s="38">
        <f>IF((VLOOKUP(B53,'DB PMI Manufacturing World'!$A:$AA,MATCH($X$1,'DB PMI Manufacturing World'!$A$1:$AA$1,),))=0,#N/A, (VLOOKUP(B53,'DB PMI Manufacturing World'!$A:$AA,MATCH($X$1,'DB PMI Manufacturing World'!$A$1:$AA$1,),)))</f>
        <v/>
      </c>
      <c r="Y53" s="38">
        <f>IF((VLOOKUP(B53,'DB PMI Manufacturing World'!$A:$AA,MATCH($Y$1,'DB PMI Manufacturing World'!$A$1:$AA$1,),))=0,#N/A, (VLOOKUP(B53,'DB PMI Manufacturing World'!$A:$AA,MATCH($Y$1,'DB PMI Manufacturing World'!$A$1:$AA$1,),)))</f>
        <v/>
      </c>
      <c r="Z53" s="38">
        <f>IF((VLOOKUP(B53,'DB PMI Manufacturing World'!$A:$AA,MATCH($Z$1,'DB PMI Manufacturing World'!$A$1:$AA$1,),))=0,#N/A, (VLOOKUP(B53,'DB PMI Manufacturing World'!$A:$AA,MATCH($Z$1,'DB PMI Manufacturing World'!$A$1:$AA$1,),)))</f>
        <v/>
      </c>
      <c r="AA53" s="38">
        <f>IF((VLOOKUP(B53,'DB PMI Manufacturing World'!$A:$AA,MATCH($AA$1,'DB PMI Manufacturing World'!$A$1:$AA$1,),))=0,#N/A, (VLOOKUP(B53,'DB PMI Manufacturing World'!$A:$AA,MATCH($AA$1,'DB PMI Manufacturing World'!$A$1:$AA$1,),)))</f>
        <v/>
      </c>
      <c r="AB53" s="38">
        <f>IF((VLOOKUP(B53,'DB PMI Manufacturing World'!$A:$AA,MATCH($AB$1,'DB PMI Manufacturing World'!$A$1:$AA$1,),))=0,#N/A, (VLOOKUP(B53,'DB PMI Manufacturing World'!$A:$AA,MATCH($AB$1,'DB PMI Manufacturing World'!$A$1:$AA$1,),)))</f>
        <v/>
      </c>
    </row>
    <row r="54" customFormat="1" s="61">
      <c r="B54" s="29" t="n">
        <v>44166</v>
      </c>
      <c r="C54" s="38">
        <f>IF((VLOOKUP(B54,'DB PMI Manufacturing World'!$A:$AA,MATCH($C$1,'DB PMI Manufacturing World'!$A$1:$AA$1,),))=0,#N/A, (VLOOKUP(B54,'DB PMI Manufacturing World'!$A:$AA,MATCH($C$1,'DB PMI Manufacturing World'!$A$1:$AA$1,),)))</f>
        <v/>
      </c>
      <c r="D54" s="38">
        <f>IF((VLOOKUP(B54,'DB PMI Manufacturing World'!$A:$AA,MATCH($D$1,'DB PMI Manufacturing World'!$A$1:$AA$1,),))=0,#N/A, (VLOOKUP(B54,'DB PMI Manufacturing World'!$A:$AA,MATCH($D$1,'DB PMI Manufacturing World'!$A$1:$AA$1,),)))</f>
        <v/>
      </c>
      <c r="E54" s="38">
        <f>IF((VLOOKUP(B54,'DB PMI Manufacturing World'!$A:$AA,MATCH($E$1,'DB PMI Manufacturing World'!$A$1:$AA$1,),))=0,#N/A, (VLOOKUP(B54,'DB PMI Manufacturing World'!$A:$AA,MATCH($E$1,'DB PMI Manufacturing World'!$A$1:$AA$1,),)))</f>
        <v/>
      </c>
      <c r="F54" s="38">
        <f>IF((VLOOKUP(B54,'DB PMI Manufacturing World'!$A:$AA,MATCH($F$1,'DB PMI Manufacturing World'!$A$1:$AA$1,),))=0,#N/A, (VLOOKUP(B54,'DB PMI Manufacturing World'!$A:$AA,MATCH($F$1,'DB PMI Manufacturing World'!$A$1:$AA$1,),)))</f>
        <v/>
      </c>
      <c r="G54" s="38">
        <f>IF((VLOOKUP(B54,'DB PMI Manufacturing World'!$A:$AA,MATCH($G$1,'DB PMI Manufacturing World'!$A$1:$AA$1,),))=0,#N/A, (VLOOKUP(B54,'DB PMI Manufacturing World'!$A:$AA,MATCH($G$1,'DB PMI Manufacturing World'!$A$1:$AA$1,),)))</f>
        <v/>
      </c>
      <c r="H54" s="38">
        <f>IF((VLOOKUP(B54,'DB PMI Manufacturing World'!$A:$AA,MATCH($H$1,'DB PMI Manufacturing World'!$A$1:$AA$1,),))=0,#N/A, (VLOOKUP(B54,'DB PMI Manufacturing World'!$A:$AA,MATCH($H$1,'DB PMI Manufacturing World'!$A$1:$AA$1,),)))</f>
        <v/>
      </c>
      <c r="I54" s="38">
        <f>IF((VLOOKUP(B54,'DB PMI Manufacturing World'!$A:$AA,MATCH($I$1,'DB PMI Manufacturing World'!$A$1:$AA$1,),))=0,#N/A, (VLOOKUP(B54,'DB PMI Manufacturing World'!$A:$AA,MATCH($I$1,'DB PMI Manufacturing World'!$A$1:$AA$1,),)))</f>
        <v/>
      </c>
      <c r="J54" s="38">
        <f>IF((VLOOKUP(B54,'DB PMI Manufacturing World'!$A:$AA,MATCH($J$1,'DB PMI Manufacturing World'!$A$1:$AA$1,),))=0,#N/A, (VLOOKUP(B54,'DB PMI Manufacturing World'!$A:$AA,MATCH($J$1,'DB PMI Manufacturing World'!$A$1:$AA$1,),)))</f>
        <v/>
      </c>
      <c r="K54" s="38">
        <f>IF((VLOOKUP(B54,'DB PMI Manufacturing World'!$A:$AA,MATCH($K$1,'DB PMI Manufacturing World'!$A$1:$AA$1,),))=0,#N/A, (VLOOKUP(B54,'DB PMI Manufacturing World'!$A:$AA,MATCH($K$1,'DB PMI Manufacturing World'!$A$1:$AA$1,),)))</f>
        <v/>
      </c>
      <c r="L54" s="38">
        <f>IF((VLOOKUP(B54,'DB PMI Manufacturing World'!$A:$AA,MATCH($L$1,'DB PMI Manufacturing World'!$A$1:$AA$1,),))=0,#N/A, (VLOOKUP(B54,'DB PMI Manufacturing World'!$A:$AA,MATCH($L$1,'DB PMI Manufacturing World'!$A$1:$AA$1,),)))</f>
        <v/>
      </c>
      <c r="M54" s="38">
        <f>IF((VLOOKUP(B54,'DB PMI Manufacturing World'!$A:$AA,MATCH($M$1,'DB PMI Manufacturing World'!$A$1:$AA$1,),))=0,#N/A, (VLOOKUP(B54,'DB PMI Manufacturing World'!$A:$AA,MATCH($M$1,'DB PMI Manufacturing World'!$A$1:$AA$1,),)))</f>
        <v/>
      </c>
      <c r="N54" s="38">
        <f>IF((VLOOKUP(B54,'DB PMI Manufacturing World'!$A:$AA,MATCH($N$1,'DB PMI Manufacturing World'!$A$1:$AA$1,),))=0,#N/A, (VLOOKUP(B54,'DB PMI Manufacturing World'!$A:$AA,MATCH($N$1,'DB PMI Manufacturing World'!$A$1:$AA$1,),)))</f>
        <v/>
      </c>
      <c r="O54" s="38">
        <f>IF((VLOOKUP(B54,'DB PMI Manufacturing World'!$A:$AA,MATCH($O$1,'DB PMI Manufacturing World'!$A$1:$AA$1,),))=0,#N/A, (VLOOKUP(B54,'DB PMI Manufacturing World'!$A:$AA,MATCH($O$1,'DB PMI Manufacturing World'!$A$1:$AA$1,),)))</f>
        <v/>
      </c>
      <c r="P54" s="38">
        <f>IF((VLOOKUP(B54,'DB PMI Manufacturing World'!$A:$AA,MATCH($P$1,'DB PMI Manufacturing World'!$A$1:$AA$1,),))=0,#N/A, (VLOOKUP(B54,'DB PMI Manufacturing World'!$A:$AA,MATCH($P$1,'DB PMI Manufacturing World'!$A$1:$AA$1,),)))</f>
        <v/>
      </c>
      <c r="Q54" s="38">
        <f>IF((VLOOKUP(B54,'DB PMI Manufacturing World'!$A:$AA,MATCH($Q$1,'DB PMI Manufacturing World'!$A$1:$AA$1,),))=0,#N/A, (VLOOKUP(B54,'DB PMI Manufacturing World'!$A:$AA,MATCH($Q$1,'DB PMI Manufacturing World'!$A$1:$AA$1,),)))</f>
        <v/>
      </c>
      <c r="R54" s="38">
        <f>IF((VLOOKUP(B54,'DB PMI Manufacturing World'!$A:$AA,MATCH($R$1,'DB PMI Manufacturing World'!$A$1:$AA$1,),))=0,#N/A, (VLOOKUP(B54,'DB PMI Manufacturing World'!$A:$AA,MATCH($R$1,'DB PMI Manufacturing World'!$A$1:$AA$1,),)))</f>
        <v/>
      </c>
      <c r="S54" s="38">
        <f>IF((VLOOKUP(B54,'DB PMI Manufacturing World'!$A:$AA,MATCH($S$1,'DB PMI Manufacturing World'!$A$1:$AA$1,),))=0,#N/A, (VLOOKUP(B54,'DB PMI Manufacturing World'!$A:$AA,MATCH($S$1,'DB PMI Manufacturing World'!$A$1:$AA$1,),)))</f>
        <v/>
      </c>
      <c r="T54" s="38">
        <f>IF((VLOOKUP(B54,'DB PMI Manufacturing World'!$A:$AA,MATCH($T$1,'DB PMI Manufacturing World'!$A$1:$AA$1,),))=0,#N/A, (VLOOKUP(B54,'DB PMI Manufacturing World'!$A:$AA,MATCH($T$1,'DB PMI Manufacturing World'!$A$1:$AA$1,),)))</f>
        <v/>
      </c>
      <c r="U54" s="38">
        <f>IF((VLOOKUP(B54,'DB PMI Manufacturing World'!$A:$AA,MATCH($U$1,'DB PMI Manufacturing World'!$A$1:$AA$1,),))=0,#N/A, (VLOOKUP(B54,'DB PMI Manufacturing World'!$A:$AA,MATCH($U$1,'DB PMI Manufacturing World'!$A$1:$AA$1,),)))</f>
        <v/>
      </c>
      <c r="V54" s="38">
        <f>IF((VLOOKUP(B54,'DB PMI Manufacturing World'!$A:$AA,MATCH($V$1,'DB PMI Manufacturing World'!$A$1:$AA$1,),))=0,#N/A, (VLOOKUP(B54,'DB PMI Manufacturing World'!$A:$AA,MATCH($V$1,'DB PMI Manufacturing World'!$A$1:$AA$1,),)))</f>
        <v/>
      </c>
      <c r="W54" s="38">
        <f>IF((VLOOKUP(B54,'DB PMI Manufacturing World'!$A:$AA,MATCH($W$1,'DB PMI Manufacturing World'!$A$1:$AA$1,),))=0,#N/A, (VLOOKUP(B54,'DB PMI Manufacturing World'!$A:$AA,MATCH($W$1,'DB PMI Manufacturing World'!$A$1:$AA$1,),)))</f>
        <v/>
      </c>
      <c r="X54" s="38">
        <f>IF((VLOOKUP(B54,'DB PMI Manufacturing World'!$A:$AA,MATCH($X$1,'DB PMI Manufacturing World'!$A$1:$AA$1,),))=0,#N/A, (VLOOKUP(B54,'DB PMI Manufacturing World'!$A:$AA,MATCH($X$1,'DB PMI Manufacturing World'!$A$1:$AA$1,),)))</f>
        <v/>
      </c>
      <c r="Y54" s="38">
        <f>IF((VLOOKUP(B54,'DB PMI Manufacturing World'!$A:$AA,MATCH($Y$1,'DB PMI Manufacturing World'!$A$1:$AA$1,),))=0,#N/A, (VLOOKUP(B54,'DB PMI Manufacturing World'!$A:$AA,MATCH($Y$1,'DB PMI Manufacturing World'!$A$1:$AA$1,),)))</f>
        <v/>
      </c>
      <c r="Z54" s="38">
        <f>IF((VLOOKUP(B54,'DB PMI Manufacturing World'!$A:$AA,MATCH($Z$1,'DB PMI Manufacturing World'!$A$1:$AA$1,),))=0,#N/A, (VLOOKUP(B54,'DB PMI Manufacturing World'!$A:$AA,MATCH($Z$1,'DB PMI Manufacturing World'!$A$1:$AA$1,),)))</f>
        <v/>
      </c>
      <c r="AA54" s="38">
        <f>IF((VLOOKUP(B54,'DB PMI Manufacturing World'!$A:$AA,MATCH($AA$1,'DB PMI Manufacturing World'!$A$1:$AA$1,),))=0,#N/A, (VLOOKUP(B54,'DB PMI Manufacturing World'!$A:$AA,MATCH($AA$1,'DB PMI Manufacturing World'!$A$1:$AA$1,),)))</f>
        <v/>
      </c>
      <c r="AB54" s="38">
        <f>IF((VLOOKUP(B54,'DB PMI Manufacturing World'!$A:$AA,MATCH($AB$1,'DB PMI Manufacturing World'!$A$1:$AA$1,),))=0,#N/A, (VLOOKUP(B54,'DB PMI Manufacturing World'!$A:$AA,MATCH($AB$1,'DB PMI Manufacturing World'!$A$1:$AA$1,),)))</f>
        <v/>
      </c>
    </row>
    <row r="55" customFormat="1" s="61">
      <c r="B55" s="29" t="n">
        <v>44197</v>
      </c>
      <c r="C55" s="38">
        <f>IF((VLOOKUP(B55,'DB PMI Manufacturing World'!$A:$AA,MATCH($C$1,'DB PMI Manufacturing World'!$A$1:$AA$1,),))=0,#N/A, (VLOOKUP(B55,'DB PMI Manufacturing World'!$A:$AA,MATCH($C$1,'DB PMI Manufacturing World'!$A$1:$AA$1,),)))</f>
        <v/>
      </c>
      <c r="D55" s="38">
        <f>IF((VLOOKUP(B55,'DB PMI Manufacturing World'!$A:$AA,MATCH($D$1,'DB PMI Manufacturing World'!$A$1:$AA$1,),))=0,#N/A, (VLOOKUP(B55,'DB PMI Manufacturing World'!$A:$AA,MATCH($D$1,'DB PMI Manufacturing World'!$A$1:$AA$1,),)))</f>
        <v/>
      </c>
      <c r="E55" s="38">
        <f>IF((VLOOKUP(B55,'DB PMI Manufacturing World'!$A:$AA,MATCH($E$1,'DB PMI Manufacturing World'!$A$1:$AA$1,),))=0,#N/A, (VLOOKUP(B55,'DB PMI Manufacturing World'!$A:$AA,MATCH($E$1,'DB PMI Manufacturing World'!$A$1:$AA$1,),)))</f>
        <v/>
      </c>
      <c r="F55" s="38">
        <f>IF((VLOOKUP(B55,'DB PMI Manufacturing World'!$A:$AA,MATCH($F$1,'DB PMI Manufacturing World'!$A$1:$AA$1,),))=0,#N/A, (VLOOKUP(B55,'DB PMI Manufacturing World'!$A:$AA,MATCH($F$1,'DB PMI Manufacturing World'!$A$1:$AA$1,),)))</f>
        <v/>
      </c>
      <c r="G55" s="38">
        <f>IF((VLOOKUP(B55,'DB PMI Manufacturing World'!$A:$AA,MATCH($G$1,'DB PMI Manufacturing World'!$A$1:$AA$1,),))=0,#N/A, (VLOOKUP(B55,'DB PMI Manufacturing World'!$A:$AA,MATCH($G$1,'DB PMI Manufacturing World'!$A$1:$AA$1,),)))</f>
        <v/>
      </c>
      <c r="H55" s="38">
        <f>IF((VLOOKUP(B55,'DB PMI Manufacturing World'!$A:$AA,MATCH($H$1,'DB PMI Manufacturing World'!$A$1:$AA$1,),))=0,#N/A, (VLOOKUP(B55,'DB PMI Manufacturing World'!$A:$AA,MATCH($H$1,'DB PMI Manufacturing World'!$A$1:$AA$1,),)))</f>
        <v/>
      </c>
      <c r="I55" s="38">
        <f>IF((VLOOKUP(B55,'DB PMI Manufacturing World'!$A:$AA,MATCH($I$1,'DB PMI Manufacturing World'!$A$1:$AA$1,),))=0,#N/A, (VLOOKUP(B55,'DB PMI Manufacturing World'!$A:$AA,MATCH($I$1,'DB PMI Manufacturing World'!$A$1:$AA$1,),)))</f>
        <v/>
      </c>
      <c r="J55" s="38">
        <f>IF((VLOOKUP(B55,'DB PMI Manufacturing World'!$A:$AA,MATCH($J$1,'DB PMI Manufacturing World'!$A$1:$AA$1,),))=0,#N/A, (VLOOKUP(B55,'DB PMI Manufacturing World'!$A:$AA,MATCH($J$1,'DB PMI Manufacturing World'!$A$1:$AA$1,),)))</f>
        <v/>
      </c>
      <c r="K55" s="38">
        <f>IF((VLOOKUP(B55,'DB PMI Manufacturing World'!$A:$AA,MATCH($K$1,'DB PMI Manufacturing World'!$A$1:$AA$1,),))=0,#N/A, (VLOOKUP(B55,'DB PMI Manufacturing World'!$A:$AA,MATCH($K$1,'DB PMI Manufacturing World'!$A$1:$AA$1,),)))</f>
        <v/>
      </c>
      <c r="L55" s="38">
        <f>IF((VLOOKUP(B55,'DB PMI Manufacturing World'!$A:$AA,MATCH($L$1,'DB PMI Manufacturing World'!$A$1:$AA$1,),))=0,#N/A, (VLOOKUP(B55,'DB PMI Manufacturing World'!$A:$AA,MATCH($L$1,'DB PMI Manufacturing World'!$A$1:$AA$1,),)))</f>
        <v/>
      </c>
      <c r="M55" s="38">
        <f>IF((VLOOKUP(B55,'DB PMI Manufacturing World'!$A:$AA,MATCH($M$1,'DB PMI Manufacturing World'!$A$1:$AA$1,),))=0,#N/A, (VLOOKUP(B55,'DB PMI Manufacturing World'!$A:$AA,MATCH($M$1,'DB PMI Manufacturing World'!$A$1:$AA$1,),)))</f>
        <v/>
      </c>
      <c r="N55" s="38">
        <f>IF((VLOOKUP(B55,'DB PMI Manufacturing World'!$A:$AA,MATCH($N$1,'DB PMI Manufacturing World'!$A$1:$AA$1,),))=0,#N/A, (VLOOKUP(B55,'DB PMI Manufacturing World'!$A:$AA,MATCH($N$1,'DB PMI Manufacturing World'!$A$1:$AA$1,),)))</f>
        <v/>
      </c>
      <c r="O55" s="38">
        <f>IF((VLOOKUP(B55,'DB PMI Manufacturing World'!$A:$AA,MATCH($O$1,'DB PMI Manufacturing World'!$A$1:$AA$1,),))=0,#N/A, (VLOOKUP(B55,'DB PMI Manufacturing World'!$A:$AA,MATCH($O$1,'DB PMI Manufacturing World'!$A$1:$AA$1,),)))</f>
        <v/>
      </c>
      <c r="P55" s="38">
        <f>IF((VLOOKUP(B55,'DB PMI Manufacturing World'!$A:$AA,MATCH($P$1,'DB PMI Manufacturing World'!$A$1:$AA$1,),))=0,#N/A, (VLOOKUP(B55,'DB PMI Manufacturing World'!$A:$AA,MATCH($P$1,'DB PMI Manufacturing World'!$A$1:$AA$1,),)))</f>
        <v/>
      </c>
      <c r="Q55" s="38">
        <f>IF((VLOOKUP(B55,'DB PMI Manufacturing World'!$A:$AA,MATCH($Q$1,'DB PMI Manufacturing World'!$A$1:$AA$1,),))=0,#N/A, (VLOOKUP(B55,'DB PMI Manufacturing World'!$A:$AA,MATCH($Q$1,'DB PMI Manufacturing World'!$A$1:$AA$1,),)))</f>
        <v/>
      </c>
      <c r="R55" s="38">
        <f>IF((VLOOKUP(B55,'DB PMI Manufacturing World'!$A:$AA,MATCH($R$1,'DB PMI Manufacturing World'!$A$1:$AA$1,),))=0,#N/A, (VLOOKUP(B55,'DB PMI Manufacturing World'!$A:$AA,MATCH($R$1,'DB PMI Manufacturing World'!$A$1:$AA$1,),)))</f>
        <v/>
      </c>
      <c r="S55" s="38">
        <f>IF((VLOOKUP(B55,'DB PMI Manufacturing World'!$A:$AA,MATCH($S$1,'DB PMI Manufacturing World'!$A$1:$AA$1,),))=0,#N/A, (VLOOKUP(B55,'DB PMI Manufacturing World'!$A:$AA,MATCH($S$1,'DB PMI Manufacturing World'!$A$1:$AA$1,),)))</f>
        <v/>
      </c>
      <c r="T55" s="38">
        <f>IF((VLOOKUP(B55,'DB PMI Manufacturing World'!$A:$AA,MATCH($T$1,'DB PMI Manufacturing World'!$A$1:$AA$1,),))=0,#N/A, (VLOOKUP(B55,'DB PMI Manufacturing World'!$A:$AA,MATCH($T$1,'DB PMI Manufacturing World'!$A$1:$AA$1,),)))</f>
        <v/>
      </c>
      <c r="U55" s="38">
        <f>IF((VLOOKUP(B55,'DB PMI Manufacturing World'!$A:$AA,MATCH($U$1,'DB PMI Manufacturing World'!$A$1:$AA$1,),))=0,#N/A, (VLOOKUP(B55,'DB PMI Manufacturing World'!$A:$AA,MATCH($U$1,'DB PMI Manufacturing World'!$A$1:$AA$1,),)))</f>
        <v/>
      </c>
      <c r="V55" s="38">
        <f>IF((VLOOKUP(B55,'DB PMI Manufacturing World'!$A:$AA,MATCH($V$1,'DB PMI Manufacturing World'!$A$1:$AA$1,),))=0,#N/A, (VLOOKUP(B55,'DB PMI Manufacturing World'!$A:$AA,MATCH($V$1,'DB PMI Manufacturing World'!$A$1:$AA$1,),)))</f>
        <v/>
      </c>
      <c r="W55" s="38">
        <f>IF((VLOOKUP(B55,'DB PMI Manufacturing World'!$A:$AA,MATCH($W$1,'DB PMI Manufacturing World'!$A$1:$AA$1,),))=0,#N/A, (VLOOKUP(B55,'DB PMI Manufacturing World'!$A:$AA,MATCH($W$1,'DB PMI Manufacturing World'!$A$1:$AA$1,),)))</f>
        <v/>
      </c>
      <c r="X55" s="38">
        <f>IF((VLOOKUP(B55,'DB PMI Manufacturing World'!$A:$AA,MATCH($X$1,'DB PMI Manufacturing World'!$A$1:$AA$1,),))=0,#N/A, (VLOOKUP(B55,'DB PMI Manufacturing World'!$A:$AA,MATCH($X$1,'DB PMI Manufacturing World'!$A$1:$AA$1,),)))</f>
        <v/>
      </c>
      <c r="Y55" s="38">
        <f>IF((VLOOKUP(B55,'DB PMI Manufacturing World'!$A:$AA,MATCH($Y$1,'DB PMI Manufacturing World'!$A$1:$AA$1,),))=0,#N/A, (VLOOKUP(B55,'DB PMI Manufacturing World'!$A:$AA,MATCH($Y$1,'DB PMI Manufacturing World'!$A$1:$AA$1,),)))</f>
        <v/>
      </c>
      <c r="Z55" s="38">
        <f>IF((VLOOKUP(B55,'DB PMI Manufacturing World'!$A:$AA,MATCH($Z$1,'DB PMI Manufacturing World'!$A$1:$AA$1,),))=0,#N/A, (VLOOKUP(B55,'DB PMI Manufacturing World'!$A:$AA,MATCH($Z$1,'DB PMI Manufacturing World'!$A$1:$AA$1,),)))</f>
        <v/>
      </c>
      <c r="AA55" s="38">
        <f>IF((VLOOKUP(B55,'DB PMI Manufacturing World'!$A:$AA,MATCH($AA$1,'DB PMI Manufacturing World'!$A$1:$AA$1,),))=0,#N/A, (VLOOKUP(B55,'DB PMI Manufacturing World'!$A:$AA,MATCH($AA$1,'DB PMI Manufacturing World'!$A$1:$AA$1,),)))</f>
        <v/>
      </c>
      <c r="AB55" s="38">
        <f>IF((VLOOKUP(B55,'DB PMI Manufacturing World'!$A:$AA,MATCH($AB$1,'DB PMI Manufacturing World'!$A$1:$AA$1,),))=0,#N/A, (VLOOKUP(B55,'DB PMI Manufacturing World'!$A:$AA,MATCH($AB$1,'DB PMI Manufacturing World'!$A$1:$AA$1,),)))</f>
        <v/>
      </c>
    </row>
    <row r="56" customFormat="1" s="61">
      <c r="B56" s="29" t="n">
        <v>44228</v>
      </c>
      <c r="C56" s="38">
        <f>IF((VLOOKUP(B56,'DB PMI Manufacturing World'!$A:$AA,MATCH($C$1,'DB PMI Manufacturing World'!$A$1:$AA$1,),))=0,#N/A, (VLOOKUP(B56,'DB PMI Manufacturing World'!$A:$AA,MATCH($C$1,'DB PMI Manufacturing World'!$A$1:$AA$1,),)))</f>
        <v/>
      </c>
      <c r="D56" s="38">
        <f>IF((VLOOKUP(B56,'DB PMI Manufacturing World'!$A:$AA,MATCH($D$1,'DB PMI Manufacturing World'!$A$1:$AA$1,),))=0,#N/A, (VLOOKUP(B56,'DB PMI Manufacturing World'!$A:$AA,MATCH($D$1,'DB PMI Manufacturing World'!$A$1:$AA$1,),)))</f>
        <v/>
      </c>
      <c r="E56" s="38">
        <f>IF((VLOOKUP(B56,'DB PMI Manufacturing World'!$A:$AA,MATCH($E$1,'DB PMI Manufacturing World'!$A$1:$AA$1,),))=0,#N/A, (VLOOKUP(B56,'DB PMI Manufacturing World'!$A:$AA,MATCH($E$1,'DB PMI Manufacturing World'!$A$1:$AA$1,),)))</f>
        <v/>
      </c>
      <c r="F56" s="38">
        <f>IF((VLOOKUP(B56,'DB PMI Manufacturing World'!$A:$AA,MATCH($F$1,'DB PMI Manufacturing World'!$A$1:$AA$1,),))=0,#N/A, (VLOOKUP(B56,'DB PMI Manufacturing World'!$A:$AA,MATCH($F$1,'DB PMI Manufacturing World'!$A$1:$AA$1,),)))</f>
        <v/>
      </c>
      <c r="G56" s="38">
        <f>IF((VLOOKUP(B56,'DB PMI Manufacturing World'!$A:$AA,MATCH($G$1,'DB PMI Manufacturing World'!$A$1:$AA$1,),))=0,#N/A, (VLOOKUP(B56,'DB PMI Manufacturing World'!$A:$AA,MATCH($G$1,'DB PMI Manufacturing World'!$A$1:$AA$1,),)))</f>
        <v/>
      </c>
      <c r="H56" s="38">
        <f>IF((VLOOKUP(B56,'DB PMI Manufacturing World'!$A:$AA,MATCH($H$1,'DB PMI Manufacturing World'!$A$1:$AA$1,),))=0,#N/A, (VLOOKUP(B56,'DB PMI Manufacturing World'!$A:$AA,MATCH($H$1,'DB PMI Manufacturing World'!$A$1:$AA$1,),)))</f>
        <v/>
      </c>
      <c r="I56" s="38">
        <f>IF((VLOOKUP(B56,'DB PMI Manufacturing World'!$A:$AA,MATCH($I$1,'DB PMI Manufacturing World'!$A$1:$AA$1,),))=0,#N/A, (VLOOKUP(B56,'DB PMI Manufacturing World'!$A:$AA,MATCH($I$1,'DB PMI Manufacturing World'!$A$1:$AA$1,),)))</f>
        <v/>
      </c>
      <c r="J56" s="38">
        <f>IF((VLOOKUP(B56,'DB PMI Manufacturing World'!$A:$AA,MATCH($J$1,'DB PMI Manufacturing World'!$A$1:$AA$1,),))=0,#N/A, (VLOOKUP(B56,'DB PMI Manufacturing World'!$A:$AA,MATCH($J$1,'DB PMI Manufacturing World'!$A$1:$AA$1,),)))</f>
        <v/>
      </c>
      <c r="K56" s="38">
        <f>IF((VLOOKUP(B56,'DB PMI Manufacturing World'!$A:$AA,MATCH($K$1,'DB PMI Manufacturing World'!$A$1:$AA$1,),))=0,#N/A, (VLOOKUP(B56,'DB PMI Manufacturing World'!$A:$AA,MATCH($K$1,'DB PMI Manufacturing World'!$A$1:$AA$1,),)))</f>
        <v/>
      </c>
      <c r="L56" s="38">
        <f>IF((VLOOKUP(B56,'DB PMI Manufacturing World'!$A:$AA,MATCH($L$1,'DB PMI Manufacturing World'!$A$1:$AA$1,),))=0,#N/A, (VLOOKUP(B56,'DB PMI Manufacturing World'!$A:$AA,MATCH($L$1,'DB PMI Manufacturing World'!$A$1:$AA$1,),)))</f>
        <v/>
      </c>
      <c r="M56" s="38">
        <f>IF((VLOOKUP(B56,'DB PMI Manufacturing World'!$A:$AA,MATCH($M$1,'DB PMI Manufacturing World'!$A$1:$AA$1,),))=0,#N/A, (VLOOKUP(B56,'DB PMI Manufacturing World'!$A:$AA,MATCH($M$1,'DB PMI Manufacturing World'!$A$1:$AA$1,),)))</f>
        <v/>
      </c>
      <c r="N56" s="38">
        <f>IF((VLOOKUP(B56,'DB PMI Manufacturing World'!$A:$AA,MATCH($N$1,'DB PMI Manufacturing World'!$A$1:$AA$1,),))=0,#N/A, (VLOOKUP(B56,'DB PMI Manufacturing World'!$A:$AA,MATCH($N$1,'DB PMI Manufacturing World'!$A$1:$AA$1,),)))</f>
        <v/>
      </c>
      <c r="O56" s="38">
        <f>IF((VLOOKUP(B56,'DB PMI Manufacturing World'!$A:$AA,MATCH($O$1,'DB PMI Manufacturing World'!$A$1:$AA$1,),))=0,#N/A, (VLOOKUP(B56,'DB PMI Manufacturing World'!$A:$AA,MATCH($O$1,'DB PMI Manufacturing World'!$A$1:$AA$1,),)))</f>
        <v/>
      </c>
      <c r="P56" s="38">
        <f>IF((VLOOKUP(B56,'DB PMI Manufacturing World'!$A:$AA,MATCH($P$1,'DB PMI Manufacturing World'!$A$1:$AA$1,),))=0,#N/A, (VLOOKUP(B56,'DB PMI Manufacturing World'!$A:$AA,MATCH($P$1,'DB PMI Manufacturing World'!$A$1:$AA$1,),)))</f>
        <v/>
      </c>
      <c r="Q56" s="38">
        <f>IF((VLOOKUP(B56,'DB PMI Manufacturing World'!$A:$AA,MATCH($Q$1,'DB PMI Manufacturing World'!$A$1:$AA$1,),))=0,#N/A, (VLOOKUP(B56,'DB PMI Manufacturing World'!$A:$AA,MATCH($Q$1,'DB PMI Manufacturing World'!$A$1:$AA$1,),)))</f>
        <v/>
      </c>
      <c r="R56" s="38">
        <f>IF((VLOOKUP(B56,'DB PMI Manufacturing World'!$A:$AA,MATCH($R$1,'DB PMI Manufacturing World'!$A$1:$AA$1,),))=0,#N/A, (VLOOKUP(B56,'DB PMI Manufacturing World'!$A:$AA,MATCH($R$1,'DB PMI Manufacturing World'!$A$1:$AA$1,),)))</f>
        <v/>
      </c>
      <c r="S56" s="38">
        <f>IF((VLOOKUP(B56,'DB PMI Manufacturing World'!$A:$AA,MATCH($S$1,'DB PMI Manufacturing World'!$A$1:$AA$1,),))=0,#N/A, (VLOOKUP(B56,'DB PMI Manufacturing World'!$A:$AA,MATCH($S$1,'DB PMI Manufacturing World'!$A$1:$AA$1,),)))</f>
        <v/>
      </c>
      <c r="T56" s="38">
        <f>IF((VLOOKUP(B56,'DB PMI Manufacturing World'!$A:$AA,MATCH($T$1,'DB PMI Manufacturing World'!$A$1:$AA$1,),))=0,#N/A, (VLOOKUP(B56,'DB PMI Manufacturing World'!$A:$AA,MATCH($T$1,'DB PMI Manufacturing World'!$A$1:$AA$1,),)))</f>
        <v/>
      </c>
      <c r="U56" s="38">
        <f>IF((VLOOKUP(B56,'DB PMI Manufacturing World'!$A:$AA,MATCH($U$1,'DB PMI Manufacturing World'!$A$1:$AA$1,),))=0,#N/A, (VLOOKUP(B56,'DB PMI Manufacturing World'!$A:$AA,MATCH($U$1,'DB PMI Manufacturing World'!$A$1:$AA$1,),)))</f>
        <v/>
      </c>
      <c r="V56" s="38">
        <f>IF((VLOOKUP(B56,'DB PMI Manufacturing World'!$A:$AA,MATCH($V$1,'DB PMI Manufacturing World'!$A$1:$AA$1,),))=0,#N/A, (VLOOKUP(B56,'DB PMI Manufacturing World'!$A:$AA,MATCH($V$1,'DB PMI Manufacturing World'!$A$1:$AA$1,),)))</f>
        <v/>
      </c>
      <c r="W56" s="38">
        <f>IF((VLOOKUP(B56,'DB PMI Manufacturing World'!$A:$AA,MATCH($W$1,'DB PMI Manufacturing World'!$A$1:$AA$1,),))=0,#N/A, (VLOOKUP(B56,'DB PMI Manufacturing World'!$A:$AA,MATCH($W$1,'DB PMI Manufacturing World'!$A$1:$AA$1,),)))</f>
        <v/>
      </c>
      <c r="X56" s="38">
        <f>IF((VLOOKUP(B56,'DB PMI Manufacturing World'!$A:$AA,MATCH($X$1,'DB PMI Manufacturing World'!$A$1:$AA$1,),))=0,#N/A, (VLOOKUP(B56,'DB PMI Manufacturing World'!$A:$AA,MATCH($X$1,'DB PMI Manufacturing World'!$A$1:$AA$1,),)))</f>
        <v/>
      </c>
      <c r="Y56" s="38">
        <f>IF((VLOOKUP(B56,'DB PMI Manufacturing World'!$A:$AA,MATCH($Y$1,'DB PMI Manufacturing World'!$A$1:$AA$1,),))=0,#N/A, (VLOOKUP(B56,'DB PMI Manufacturing World'!$A:$AA,MATCH($Y$1,'DB PMI Manufacturing World'!$A$1:$AA$1,),)))</f>
        <v/>
      </c>
      <c r="Z56" s="38">
        <f>IF((VLOOKUP(B56,'DB PMI Manufacturing World'!$A:$AA,MATCH($Z$1,'DB PMI Manufacturing World'!$A$1:$AA$1,),))=0,#N/A, (VLOOKUP(B56,'DB PMI Manufacturing World'!$A:$AA,MATCH($Z$1,'DB PMI Manufacturing World'!$A$1:$AA$1,),)))</f>
        <v/>
      </c>
      <c r="AA56" s="38">
        <f>IF((VLOOKUP(B56,'DB PMI Manufacturing World'!$A:$AA,MATCH($AA$1,'DB PMI Manufacturing World'!$A$1:$AA$1,),))=0,#N/A, (VLOOKUP(B56,'DB PMI Manufacturing World'!$A:$AA,MATCH($AA$1,'DB PMI Manufacturing World'!$A$1:$AA$1,),)))</f>
        <v/>
      </c>
      <c r="AB56" s="38">
        <f>IF((VLOOKUP(B56,'DB PMI Manufacturing World'!$A:$AA,MATCH($AB$1,'DB PMI Manufacturing World'!$A$1:$AA$1,),))=0,#N/A, (VLOOKUP(B56,'DB PMI Manufacturing World'!$A:$AA,MATCH($AB$1,'DB PMI Manufacturing World'!$A$1:$AA$1,),)))</f>
        <v/>
      </c>
    </row>
    <row r="57" customFormat="1" s="61">
      <c r="B57" s="29" t="n">
        <v>44256</v>
      </c>
      <c r="C57" s="38">
        <f>IF((VLOOKUP(B57,'DB PMI Manufacturing World'!$A:$AA,MATCH($C$1,'DB PMI Manufacturing World'!$A$1:$AA$1,),))=0,#N/A, (VLOOKUP(B57,'DB PMI Manufacturing World'!$A:$AA,MATCH($C$1,'DB PMI Manufacturing World'!$A$1:$AA$1,),)))</f>
        <v/>
      </c>
      <c r="D57" s="38">
        <f>IF((VLOOKUP(B57,'DB PMI Manufacturing World'!$A:$AA,MATCH($D$1,'DB PMI Manufacturing World'!$A$1:$AA$1,),))=0,#N/A, (VLOOKUP(B57,'DB PMI Manufacturing World'!$A:$AA,MATCH($D$1,'DB PMI Manufacturing World'!$A$1:$AA$1,),)))</f>
        <v/>
      </c>
      <c r="E57" s="38">
        <f>IF((VLOOKUP(B57,'DB PMI Manufacturing World'!$A:$AA,MATCH($E$1,'DB PMI Manufacturing World'!$A$1:$AA$1,),))=0,#N/A, (VLOOKUP(B57,'DB PMI Manufacturing World'!$A:$AA,MATCH($E$1,'DB PMI Manufacturing World'!$A$1:$AA$1,),)))</f>
        <v/>
      </c>
      <c r="F57" s="38">
        <f>IF((VLOOKUP(B57,'DB PMI Manufacturing World'!$A:$AA,MATCH($F$1,'DB PMI Manufacturing World'!$A$1:$AA$1,),))=0,#N/A, (VLOOKUP(B57,'DB PMI Manufacturing World'!$A:$AA,MATCH($F$1,'DB PMI Manufacturing World'!$A$1:$AA$1,),)))</f>
        <v/>
      </c>
      <c r="G57" s="38">
        <f>IF((VLOOKUP(B57,'DB PMI Manufacturing World'!$A:$AA,MATCH($G$1,'DB PMI Manufacturing World'!$A$1:$AA$1,),))=0,#N/A, (VLOOKUP(B57,'DB PMI Manufacturing World'!$A:$AA,MATCH($G$1,'DB PMI Manufacturing World'!$A$1:$AA$1,),)))</f>
        <v/>
      </c>
      <c r="H57" s="38">
        <f>IF((VLOOKUP(B57,'DB PMI Manufacturing World'!$A:$AA,MATCH($H$1,'DB PMI Manufacturing World'!$A$1:$AA$1,),))=0,#N/A, (VLOOKUP(B57,'DB PMI Manufacturing World'!$A:$AA,MATCH($H$1,'DB PMI Manufacturing World'!$A$1:$AA$1,),)))</f>
        <v/>
      </c>
      <c r="I57" s="38">
        <f>IF((VLOOKUP(B57,'DB PMI Manufacturing World'!$A:$AA,MATCH($I$1,'DB PMI Manufacturing World'!$A$1:$AA$1,),))=0,#N/A, (VLOOKUP(B57,'DB PMI Manufacturing World'!$A:$AA,MATCH($I$1,'DB PMI Manufacturing World'!$A$1:$AA$1,),)))</f>
        <v/>
      </c>
      <c r="J57" s="38">
        <f>IF((VLOOKUP(B57,'DB PMI Manufacturing World'!$A:$AA,MATCH($J$1,'DB PMI Manufacturing World'!$A$1:$AA$1,),))=0,#N/A, (VLOOKUP(B57,'DB PMI Manufacturing World'!$A:$AA,MATCH($J$1,'DB PMI Manufacturing World'!$A$1:$AA$1,),)))</f>
        <v/>
      </c>
      <c r="K57" s="38">
        <f>IF((VLOOKUP(B57,'DB PMI Manufacturing World'!$A:$AA,MATCH($K$1,'DB PMI Manufacturing World'!$A$1:$AA$1,),))=0,#N/A, (VLOOKUP(B57,'DB PMI Manufacturing World'!$A:$AA,MATCH($K$1,'DB PMI Manufacturing World'!$A$1:$AA$1,),)))</f>
        <v/>
      </c>
      <c r="L57" s="38">
        <f>IF((VLOOKUP(B57,'DB PMI Manufacturing World'!$A:$AA,MATCH($L$1,'DB PMI Manufacturing World'!$A$1:$AA$1,),))=0,#N/A, (VLOOKUP(B57,'DB PMI Manufacturing World'!$A:$AA,MATCH($L$1,'DB PMI Manufacturing World'!$A$1:$AA$1,),)))</f>
        <v/>
      </c>
      <c r="M57" s="38">
        <f>IF((VLOOKUP(B57,'DB PMI Manufacturing World'!$A:$AA,MATCH($M$1,'DB PMI Manufacturing World'!$A$1:$AA$1,),))=0,#N/A, (VLOOKUP(B57,'DB PMI Manufacturing World'!$A:$AA,MATCH($M$1,'DB PMI Manufacturing World'!$A$1:$AA$1,),)))</f>
        <v/>
      </c>
      <c r="N57" s="38">
        <f>IF((VLOOKUP(B57,'DB PMI Manufacturing World'!$A:$AA,MATCH($N$1,'DB PMI Manufacturing World'!$A$1:$AA$1,),))=0,#N/A, (VLOOKUP(B57,'DB PMI Manufacturing World'!$A:$AA,MATCH($N$1,'DB PMI Manufacturing World'!$A$1:$AA$1,),)))</f>
        <v/>
      </c>
      <c r="O57" s="38">
        <f>IF((VLOOKUP(B57,'DB PMI Manufacturing World'!$A:$AA,MATCH($O$1,'DB PMI Manufacturing World'!$A$1:$AA$1,),))=0,#N/A, (VLOOKUP(B57,'DB PMI Manufacturing World'!$A:$AA,MATCH($O$1,'DB PMI Manufacturing World'!$A$1:$AA$1,),)))</f>
        <v/>
      </c>
      <c r="P57" s="38">
        <f>IF((VLOOKUP(B57,'DB PMI Manufacturing World'!$A:$AA,MATCH($P$1,'DB PMI Manufacturing World'!$A$1:$AA$1,),))=0,#N/A, (VLOOKUP(B57,'DB PMI Manufacturing World'!$A:$AA,MATCH($P$1,'DB PMI Manufacturing World'!$A$1:$AA$1,),)))</f>
        <v/>
      </c>
      <c r="Q57" s="38">
        <f>IF((VLOOKUP(B57,'DB PMI Manufacturing World'!$A:$AA,MATCH($Q$1,'DB PMI Manufacturing World'!$A$1:$AA$1,),))=0,#N/A, (VLOOKUP(B57,'DB PMI Manufacturing World'!$A:$AA,MATCH($Q$1,'DB PMI Manufacturing World'!$A$1:$AA$1,),)))</f>
        <v/>
      </c>
      <c r="R57" s="38">
        <f>IF((VLOOKUP(B57,'DB PMI Manufacturing World'!$A:$AA,MATCH($R$1,'DB PMI Manufacturing World'!$A$1:$AA$1,),))=0,#N/A, (VLOOKUP(B57,'DB PMI Manufacturing World'!$A:$AA,MATCH($R$1,'DB PMI Manufacturing World'!$A$1:$AA$1,),)))</f>
        <v/>
      </c>
      <c r="S57" s="38">
        <f>IF((VLOOKUP(B57,'DB PMI Manufacturing World'!$A:$AA,MATCH($S$1,'DB PMI Manufacturing World'!$A$1:$AA$1,),))=0,#N/A, (VLOOKUP(B57,'DB PMI Manufacturing World'!$A:$AA,MATCH($S$1,'DB PMI Manufacturing World'!$A$1:$AA$1,),)))</f>
        <v/>
      </c>
      <c r="T57" s="38">
        <f>IF((VLOOKUP(B57,'DB PMI Manufacturing World'!$A:$AA,MATCH($T$1,'DB PMI Manufacturing World'!$A$1:$AA$1,),))=0,#N/A, (VLOOKUP(B57,'DB PMI Manufacturing World'!$A:$AA,MATCH($T$1,'DB PMI Manufacturing World'!$A$1:$AA$1,),)))</f>
        <v/>
      </c>
      <c r="U57" s="38">
        <f>IF((VLOOKUP(B57,'DB PMI Manufacturing World'!$A:$AA,MATCH($U$1,'DB PMI Manufacturing World'!$A$1:$AA$1,),))=0,#N/A, (VLOOKUP(B57,'DB PMI Manufacturing World'!$A:$AA,MATCH($U$1,'DB PMI Manufacturing World'!$A$1:$AA$1,),)))</f>
        <v/>
      </c>
      <c r="V57" s="38">
        <f>IF((VLOOKUP(B57,'DB PMI Manufacturing World'!$A:$AA,MATCH($V$1,'DB PMI Manufacturing World'!$A$1:$AA$1,),))=0,#N/A, (VLOOKUP(B57,'DB PMI Manufacturing World'!$A:$AA,MATCH($V$1,'DB PMI Manufacturing World'!$A$1:$AA$1,),)))</f>
        <v/>
      </c>
      <c r="W57" s="38">
        <f>IF((VLOOKUP(B57,'DB PMI Manufacturing World'!$A:$AA,MATCH($W$1,'DB PMI Manufacturing World'!$A$1:$AA$1,),))=0,#N/A, (VLOOKUP(B57,'DB PMI Manufacturing World'!$A:$AA,MATCH($W$1,'DB PMI Manufacturing World'!$A$1:$AA$1,),)))</f>
        <v/>
      </c>
      <c r="X57" s="38">
        <f>IF((VLOOKUP(B57,'DB PMI Manufacturing World'!$A:$AA,MATCH($X$1,'DB PMI Manufacturing World'!$A$1:$AA$1,),))=0,#N/A, (VLOOKUP(B57,'DB PMI Manufacturing World'!$A:$AA,MATCH($X$1,'DB PMI Manufacturing World'!$A$1:$AA$1,),)))</f>
        <v/>
      </c>
      <c r="Y57" s="38">
        <f>IF((VLOOKUP(B57,'DB PMI Manufacturing World'!$A:$AA,MATCH($Y$1,'DB PMI Manufacturing World'!$A$1:$AA$1,),))=0,#N/A, (VLOOKUP(B57,'DB PMI Manufacturing World'!$A:$AA,MATCH($Y$1,'DB PMI Manufacturing World'!$A$1:$AA$1,),)))</f>
        <v/>
      </c>
      <c r="Z57" s="38">
        <f>IF((VLOOKUP(B57,'DB PMI Manufacturing World'!$A:$AA,MATCH($Z$1,'DB PMI Manufacturing World'!$A$1:$AA$1,),))=0,#N/A, (VLOOKUP(B57,'DB PMI Manufacturing World'!$A:$AA,MATCH($Z$1,'DB PMI Manufacturing World'!$A$1:$AA$1,),)))</f>
        <v/>
      </c>
      <c r="AA57" s="38">
        <f>IF((VLOOKUP(B57,'DB PMI Manufacturing World'!$A:$AA,MATCH($AA$1,'DB PMI Manufacturing World'!$A$1:$AA$1,),))=0,#N/A, (VLOOKUP(B57,'DB PMI Manufacturing World'!$A:$AA,MATCH($AA$1,'DB PMI Manufacturing World'!$A$1:$AA$1,),)))</f>
        <v/>
      </c>
      <c r="AB57" s="38">
        <f>IF((VLOOKUP(B57,'DB PMI Manufacturing World'!$A:$AA,MATCH($AB$1,'DB PMI Manufacturing World'!$A$1:$AA$1,),))=0,#N/A, (VLOOKUP(B57,'DB PMI Manufacturing World'!$A:$AA,MATCH($AB$1,'DB PMI Manufacturing World'!$A$1:$AA$1,),)))</f>
        <v/>
      </c>
    </row>
    <row r="58" customFormat="1" s="61">
      <c r="B58" s="29" t="n">
        <v>44287</v>
      </c>
      <c r="C58" s="38">
        <f>IF((VLOOKUP(B58,'DB PMI Manufacturing World'!$A:$AA,MATCH($C$1,'DB PMI Manufacturing World'!$A$1:$AA$1,),))=0,#N/A, (VLOOKUP(B58,'DB PMI Manufacturing World'!$A:$AA,MATCH($C$1,'DB PMI Manufacturing World'!$A$1:$AA$1,),)))</f>
        <v/>
      </c>
      <c r="D58" s="38">
        <f>IF((VLOOKUP(B58,'DB PMI Manufacturing World'!$A:$AA,MATCH($D$1,'DB PMI Manufacturing World'!$A$1:$AA$1,),))=0,#N/A, (VLOOKUP(B58,'DB PMI Manufacturing World'!$A:$AA,MATCH($D$1,'DB PMI Manufacturing World'!$A$1:$AA$1,),)))</f>
        <v/>
      </c>
      <c r="E58" s="38">
        <f>IF((VLOOKUP(B58,'DB PMI Manufacturing World'!$A:$AA,MATCH($E$1,'DB PMI Manufacturing World'!$A$1:$AA$1,),))=0,#N/A, (VLOOKUP(B58,'DB PMI Manufacturing World'!$A:$AA,MATCH($E$1,'DB PMI Manufacturing World'!$A$1:$AA$1,),)))</f>
        <v/>
      </c>
      <c r="F58" s="38">
        <f>IF((VLOOKUP(B58,'DB PMI Manufacturing World'!$A:$AA,MATCH($F$1,'DB PMI Manufacturing World'!$A$1:$AA$1,),))=0,#N/A, (VLOOKUP(B58,'DB PMI Manufacturing World'!$A:$AA,MATCH($F$1,'DB PMI Manufacturing World'!$A$1:$AA$1,),)))</f>
        <v/>
      </c>
      <c r="G58" s="38">
        <f>IF((VLOOKUP(B58,'DB PMI Manufacturing World'!$A:$AA,MATCH($G$1,'DB PMI Manufacturing World'!$A$1:$AA$1,),))=0,#N/A, (VLOOKUP(B58,'DB PMI Manufacturing World'!$A:$AA,MATCH($G$1,'DB PMI Manufacturing World'!$A$1:$AA$1,),)))</f>
        <v/>
      </c>
      <c r="H58" s="38">
        <f>IF((VLOOKUP(B58,'DB PMI Manufacturing World'!$A:$AA,MATCH($H$1,'DB PMI Manufacturing World'!$A$1:$AA$1,),))=0,#N/A, (VLOOKUP(B58,'DB PMI Manufacturing World'!$A:$AA,MATCH($H$1,'DB PMI Manufacturing World'!$A$1:$AA$1,),)))</f>
        <v/>
      </c>
      <c r="I58" s="38">
        <f>IF((VLOOKUP(B58,'DB PMI Manufacturing World'!$A:$AA,MATCH($I$1,'DB PMI Manufacturing World'!$A$1:$AA$1,),))=0,#N/A, (VLOOKUP(B58,'DB PMI Manufacturing World'!$A:$AA,MATCH($I$1,'DB PMI Manufacturing World'!$A$1:$AA$1,),)))</f>
        <v/>
      </c>
      <c r="J58" s="38">
        <f>IF((VLOOKUP(B58,'DB PMI Manufacturing World'!$A:$AA,MATCH($J$1,'DB PMI Manufacturing World'!$A$1:$AA$1,),))=0,#N/A, (VLOOKUP(B58,'DB PMI Manufacturing World'!$A:$AA,MATCH($J$1,'DB PMI Manufacturing World'!$A$1:$AA$1,),)))</f>
        <v/>
      </c>
      <c r="K58" s="38">
        <f>IF((VLOOKUP(B58,'DB PMI Manufacturing World'!$A:$AA,MATCH($K$1,'DB PMI Manufacturing World'!$A$1:$AA$1,),))=0,#N/A, (VLOOKUP(B58,'DB PMI Manufacturing World'!$A:$AA,MATCH($K$1,'DB PMI Manufacturing World'!$A$1:$AA$1,),)))</f>
        <v/>
      </c>
      <c r="L58" s="38">
        <f>IF((VLOOKUP(B58,'DB PMI Manufacturing World'!$A:$AA,MATCH($L$1,'DB PMI Manufacturing World'!$A$1:$AA$1,),))=0,#N/A, (VLOOKUP(B58,'DB PMI Manufacturing World'!$A:$AA,MATCH($L$1,'DB PMI Manufacturing World'!$A$1:$AA$1,),)))</f>
        <v/>
      </c>
      <c r="M58" s="38">
        <f>IF((VLOOKUP(B58,'DB PMI Manufacturing World'!$A:$AA,MATCH($M$1,'DB PMI Manufacturing World'!$A$1:$AA$1,),))=0,#N/A, (VLOOKUP(B58,'DB PMI Manufacturing World'!$A:$AA,MATCH($M$1,'DB PMI Manufacturing World'!$A$1:$AA$1,),)))</f>
        <v/>
      </c>
      <c r="N58" s="38">
        <f>IF((VLOOKUP(B58,'DB PMI Manufacturing World'!$A:$AA,MATCH($N$1,'DB PMI Manufacturing World'!$A$1:$AA$1,),))=0,#N/A, (VLOOKUP(B58,'DB PMI Manufacturing World'!$A:$AA,MATCH($N$1,'DB PMI Manufacturing World'!$A$1:$AA$1,),)))</f>
        <v/>
      </c>
      <c r="O58" s="38">
        <f>IF((VLOOKUP(B58,'DB PMI Manufacturing World'!$A:$AA,MATCH($O$1,'DB PMI Manufacturing World'!$A$1:$AA$1,),))=0,#N/A, (VLOOKUP(B58,'DB PMI Manufacturing World'!$A:$AA,MATCH($O$1,'DB PMI Manufacturing World'!$A$1:$AA$1,),)))</f>
        <v/>
      </c>
      <c r="P58" s="38">
        <f>IF((VLOOKUP(B58,'DB PMI Manufacturing World'!$A:$AA,MATCH($P$1,'DB PMI Manufacturing World'!$A$1:$AA$1,),))=0,#N/A, (VLOOKUP(B58,'DB PMI Manufacturing World'!$A:$AA,MATCH($P$1,'DB PMI Manufacturing World'!$A$1:$AA$1,),)))</f>
        <v/>
      </c>
      <c r="Q58" s="38">
        <f>IF((VLOOKUP(B58,'DB PMI Manufacturing World'!$A:$AA,MATCH($Q$1,'DB PMI Manufacturing World'!$A$1:$AA$1,),))=0,#N/A, (VLOOKUP(B58,'DB PMI Manufacturing World'!$A:$AA,MATCH($Q$1,'DB PMI Manufacturing World'!$A$1:$AA$1,),)))</f>
        <v/>
      </c>
      <c r="R58" s="38">
        <f>IF((VLOOKUP(B58,'DB PMI Manufacturing World'!$A:$AA,MATCH($R$1,'DB PMI Manufacturing World'!$A$1:$AA$1,),))=0,#N/A, (VLOOKUP(B58,'DB PMI Manufacturing World'!$A:$AA,MATCH($R$1,'DB PMI Manufacturing World'!$A$1:$AA$1,),)))</f>
        <v/>
      </c>
      <c r="S58" s="38">
        <f>IF((VLOOKUP(B58,'DB PMI Manufacturing World'!$A:$AA,MATCH($S$1,'DB PMI Manufacturing World'!$A$1:$AA$1,),))=0,#N/A, (VLOOKUP(B58,'DB PMI Manufacturing World'!$A:$AA,MATCH($S$1,'DB PMI Manufacturing World'!$A$1:$AA$1,),)))</f>
        <v/>
      </c>
      <c r="T58" s="38">
        <f>IF((VLOOKUP(B58,'DB PMI Manufacturing World'!$A:$AA,MATCH($T$1,'DB PMI Manufacturing World'!$A$1:$AA$1,),))=0,#N/A, (VLOOKUP(B58,'DB PMI Manufacturing World'!$A:$AA,MATCH($T$1,'DB PMI Manufacturing World'!$A$1:$AA$1,),)))</f>
        <v/>
      </c>
      <c r="U58" s="38">
        <f>IF((VLOOKUP(B58,'DB PMI Manufacturing World'!$A:$AA,MATCH($U$1,'DB PMI Manufacturing World'!$A$1:$AA$1,),))=0,#N/A, (VLOOKUP(B58,'DB PMI Manufacturing World'!$A:$AA,MATCH($U$1,'DB PMI Manufacturing World'!$A$1:$AA$1,),)))</f>
        <v/>
      </c>
      <c r="V58" s="38">
        <f>IF((VLOOKUP(B58,'DB PMI Manufacturing World'!$A:$AA,MATCH($V$1,'DB PMI Manufacturing World'!$A$1:$AA$1,),))=0,#N/A, (VLOOKUP(B58,'DB PMI Manufacturing World'!$A:$AA,MATCH($V$1,'DB PMI Manufacturing World'!$A$1:$AA$1,),)))</f>
        <v/>
      </c>
      <c r="W58" s="38">
        <f>IF((VLOOKUP(B58,'DB PMI Manufacturing World'!$A:$AA,MATCH($W$1,'DB PMI Manufacturing World'!$A$1:$AA$1,),))=0,#N/A, (VLOOKUP(B58,'DB PMI Manufacturing World'!$A:$AA,MATCH($W$1,'DB PMI Manufacturing World'!$A$1:$AA$1,),)))</f>
        <v/>
      </c>
      <c r="X58" s="38">
        <f>IF((VLOOKUP(B58,'DB PMI Manufacturing World'!$A:$AA,MATCH($X$1,'DB PMI Manufacturing World'!$A$1:$AA$1,),))=0,#N/A, (VLOOKUP(B58,'DB PMI Manufacturing World'!$A:$AA,MATCH($X$1,'DB PMI Manufacturing World'!$A$1:$AA$1,),)))</f>
        <v/>
      </c>
      <c r="Y58" s="38">
        <f>IF((VLOOKUP(B58,'DB PMI Manufacturing World'!$A:$AA,MATCH($Y$1,'DB PMI Manufacturing World'!$A$1:$AA$1,),))=0,#N/A, (VLOOKUP(B58,'DB PMI Manufacturing World'!$A:$AA,MATCH($Y$1,'DB PMI Manufacturing World'!$A$1:$AA$1,),)))</f>
        <v/>
      </c>
      <c r="Z58" s="38">
        <f>IF((VLOOKUP(B58,'DB PMI Manufacturing World'!$A:$AA,MATCH($Z$1,'DB PMI Manufacturing World'!$A$1:$AA$1,),))=0,#N/A, (VLOOKUP(B58,'DB PMI Manufacturing World'!$A:$AA,MATCH($Z$1,'DB PMI Manufacturing World'!$A$1:$AA$1,),)))</f>
        <v/>
      </c>
      <c r="AA58" s="38">
        <f>IF((VLOOKUP(B58,'DB PMI Manufacturing World'!$A:$AA,MATCH($AA$1,'DB PMI Manufacturing World'!$A$1:$AA$1,),))=0,#N/A, (VLOOKUP(B58,'DB PMI Manufacturing World'!$A:$AA,MATCH($AA$1,'DB PMI Manufacturing World'!$A$1:$AA$1,),)))</f>
        <v/>
      </c>
      <c r="AB58" s="38">
        <f>IF((VLOOKUP(B58,'DB PMI Manufacturing World'!$A:$AA,MATCH($AB$1,'DB PMI Manufacturing World'!$A$1:$AA$1,),))=0,#N/A, (VLOOKUP(B58,'DB PMI Manufacturing World'!$A:$AA,MATCH($AB$1,'DB PMI Manufacturing World'!$A$1:$AA$1,),)))</f>
        <v/>
      </c>
    </row>
    <row r="59" customFormat="1" s="61">
      <c r="B59" s="29" t="n">
        <v>44317</v>
      </c>
      <c r="C59" s="38">
        <f>IF((VLOOKUP(B59,'DB PMI Manufacturing World'!$A:$AA,MATCH($C$1,'DB PMI Manufacturing World'!$A$1:$AA$1,),))=0,#N/A, (VLOOKUP(B59,'DB PMI Manufacturing World'!$A:$AA,MATCH($C$1,'DB PMI Manufacturing World'!$A$1:$AA$1,),)))</f>
        <v/>
      </c>
      <c r="D59" s="38">
        <f>IF((VLOOKUP(B59,'DB PMI Manufacturing World'!$A:$AA,MATCH($D$1,'DB PMI Manufacturing World'!$A$1:$AA$1,),))=0,#N/A, (VLOOKUP(B59,'DB PMI Manufacturing World'!$A:$AA,MATCH($D$1,'DB PMI Manufacturing World'!$A$1:$AA$1,),)))</f>
        <v/>
      </c>
      <c r="E59" s="38">
        <f>IF((VLOOKUP(B59,'DB PMI Manufacturing World'!$A:$AA,MATCH($E$1,'DB PMI Manufacturing World'!$A$1:$AA$1,),))=0,#N/A, (VLOOKUP(B59,'DB PMI Manufacturing World'!$A:$AA,MATCH($E$1,'DB PMI Manufacturing World'!$A$1:$AA$1,),)))</f>
        <v/>
      </c>
      <c r="F59" s="38">
        <f>IF((VLOOKUP(B59,'DB PMI Manufacturing World'!$A:$AA,MATCH($F$1,'DB PMI Manufacturing World'!$A$1:$AA$1,),))=0,#N/A, (VLOOKUP(B59,'DB PMI Manufacturing World'!$A:$AA,MATCH($F$1,'DB PMI Manufacturing World'!$A$1:$AA$1,),)))</f>
        <v/>
      </c>
      <c r="G59" s="38">
        <f>IF((VLOOKUP(B59,'DB PMI Manufacturing World'!$A:$AA,MATCH($G$1,'DB PMI Manufacturing World'!$A$1:$AA$1,),))=0,#N/A, (VLOOKUP(B59,'DB PMI Manufacturing World'!$A:$AA,MATCH($G$1,'DB PMI Manufacturing World'!$A$1:$AA$1,),)))</f>
        <v/>
      </c>
      <c r="H59" s="38">
        <f>IF((VLOOKUP(B59,'DB PMI Manufacturing World'!$A:$AA,MATCH($H$1,'DB PMI Manufacturing World'!$A$1:$AA$1,),))=0,#N/A, (VLOOKUP(B59,'DB PMI Manufacturing World'!$A:$AA,MATCH($H$1,'DB PMI Manufacturing World'!$A$1:$AA$1,),)))</f>
        <v/>
      </c>
      <c r="I59" s="38">
        <f>IF((VLOOKUP(B59,'DB PMI Manufacturing World'!$A:$AA,MATCH($I$1,'DB PMI Manufacturing World'!$A$1:$AA$1,),))=0,#N/A, (VLOOKUP(B59,'DB PMI Manufacturing World'!$A:$AA,MATCH($I$1,'DB PMI Manufacturing World'!$A$1:$AA$1,),)))</f>
        <v/>
      </c>
      <c r="J59" s="38">
        <f>IF((VLOOKUP(B59,'DB PMI Manufacturing World'!$A:$AA,MATCH($J$1,'DB PMI Manufacturing World'!$A$1:$AA$1,),))=0,#N/A, (VLOOKUP(B59,'DB PMI Manufacturing World'!$A:$AA,MATCH($J$1,'DB PMI Manufacturing World'!$A$1:$AA$1,),)))</f>
        <v/>
      </c>
      <c r="K59" s="38">
        <f>IF((VLOOKUP(B59,'DB PMI Manufacturing World'!$A:$AA,MATCH($K$1,'DB PMI Manufacturing World'!$A$1:$AA$1,),))=0,#N/A, (VLOOKUP(B59,'DB PMI Manufacturing World'!$A:$AA,MATCH($K$1,'DB PMI Manufacturing World'!$A$1:$AA$1,),)))</f>
        <v/>
      </c>
      <c r="L59" s="38">
        <f>IF((VLOOKUP(B59,'DB PMI Manufacturing World'!$A:$AA,MATCH($L$1,'DB PMI Manufacturing World'!$A$1:$AA$1,),))=0,#N/A, (VLOOKUP(B59,'DB PMI Manufacturing World'!$A:$AA,MATCH($L$1,'DB PMI Manufacturing World'!$A$1:$AA$1,),)))</f>
        <v/>
      </c>
      <c r="M59" s="38">
        <f>IF((VLOOKUP(B59,'DB PMI Manufacturing World'!$A:$AA,MATCH($M$1,'DB PMI Manufacturing World'!$A$1:$AA$1,),))=0,#N/A, (VLOOKUP(B59,'DB PMI Manufacturing World'!$A:$AA,MATCH($M$1,'DB PMI Manufacturing World'!$A$1:$AA$1,),)))</f>
        <v/>
      </c>
      <c r="N59" s="38">
        <f>IF((VLOOKUP(B59,'DB PMI Manufacturing World'!$A:$AA,MATCH($N$1,'DB PMI Manufacturing World'!$A$1:$AA$1,),))=0,#N/A, (VLOOKUP(B59,'DB PMI Manufacturing World'!$A:$AA,MATCH($N$1,'DB PMI Manufacturing World'!$A$1:$AA$1,),)))</f>
        <v/>
      </c>
      <c r="O59" s="38">
        <f>IF((VLOOKUP(B59,'DB PMI Manufacturing World'!$A:$AA,MATCH($O$1,'DB PMI Manufacturing World'!$A$1:$AA$1,),))=0,#N/A, (VLOOKUP(B59,'DB PMI Manufacturing World'!$A:$AA,MATCH($O$1,'DB PMI Manufacturing World'!$A$1:$AA$1,),)))</f>
        <v/>
      </c>
      <c r="P59" s="38">
        <f>IF((VLOOKUP(B59,'DB PMI Manufacturing World'!$A:$AA,MATCH($P$1,'DB PMI Manufacturing World'!$A$1:$AA$1,),))=0,#N/A, (VLOOKUP(B59,'DB PMI Manufacturing World'!$A:$AA,MATCH($P$1,'DB PMI Manufacturing World'!$A$1:$AA$1,),)))</f>
        <v/>
      </c>
      <c r="Q59" s="38">
        <f>IF((VLOOKUP(B59,'DB PMI Manufacturing World'!$A:$AA,MATCH($Q$1,'DB PMI Manufacturing World'!$A$1:$AA$1,),))=0,#N/A, (VLOOKUP(B59,'DB PMI Manufacturing World'!$A:$AA,MATCH($Q$1,'DB PMI Manufacturing World'!$A$1:$AA$1,),)))</f>
        <v/>
      </c>
      <c r="R59" s="38">
        <f>IF((VLOOKUP(B59,'DB PMI Manufacturing World'!$A:$AA,MATCH($R$1,'DB PMI Manufacturing World'!$A$1:$AA$1,),))=0,#N/A, (VLOOKUP(B59,'DB PMI Manufacturing World'!$A:$AA,MATCH($R$1,'DB PMI Manufacturing World'!$A$1:$AA$1,),)))</f>
        <v/>
      </c>
      <c r="S59" s="38">
        <f>IF((VLOOKUP(B59,'DB PMI Manufacturing World'!$A:$AA,MATCH($S$1,'DB PMI Manufacturing World'!$A$1:$AA$1,),))=0,#N/A, (VLOOKUP(B59,'DB PMI Manufacturing World'!$A:$AA,MATCH($S$1,'DB PMI Manufacturing World'!$A$1:$AA$1,),)))</f>
        <v/>
      </c>
      <c r="T59" s="38">
        <f>IF((VLOOKUP(B59,'DB PMI Manufacturing World'!$A:$AA,MATCH($T$1,'DB PMI Manufacturing World'!$A$1:$AA$1,),))=0,#N/A, (VLOOKUP(B59,'DB PMI Manufacturing World'!$A:$AA,MATCH($T$1,'DB PMI Manufacturing World'!$A$1:$AA$1,),)))</f>
        <v/>
      </c>
      <c r="U59" s="38">
        <f>IF((VLOOKUP(B59,'DB PMI Manufacturing World'!$A:$AA,MATCH($U$1,'DB PMI Manufacturing World'!$A$1:$AA$1,),))=0,#N/A, (VLOOKUP(B59,'DB PMI Manufacturing World'!$A:$AA,MATCH($U$1,'DB PMI Manufacturing World'!$A$1:$AA$1,),)))</f>
        <v/>
      </c>
      <c r="V59" s="38">
        <f>IF((VLOOKUP(B59,'DB PMI Manufacturing World'!$A:$AA,MATCH($V$1,'DB PMI Manufacturing World'!$A$1:$AA$1,),))=0,#N/A, (VLOOKUP(B59,'DB PMI Manufacturing World'!$A:$AA,MATCH($V$1,'DB PMI Manufacturing World'!$A$1:$AA$1,),)))</f>
        <v/>
      </c>
      <c r="W59" s="38">
        <f>IF((VLOOKUP(B59,'DB PMI Manufacturing World'!$A:$AA,MATCH($W$1,'DB PMI Manufacturing World'!$A$1:$AA$1,),))=0,#N/A, (VLOOKUP(B59,'DB PMI Manufacturing World'!$A:$AA,MATCH($W$1,'DB PMI Manufacturing World'!$A$1:$AA$1,),)))</f>
        <v/>
      </c>
      <c r="X59" s="38">
        <f>IF((VLOOKUP(B59,'DB PMI Manufacturing World'!$A:$AA,MATCH($X$1,'DB PMI Manufacturing World'!$A$1:$AA$1,),))=0,#N/A, (VLOOKUP(B59,'DB PMI Manufacturing World'!$A:$AA,MATCH($X$1,'DB PMI Manufacturing World'!$A$1:$AA$1,),)))</f>
        <v/>
      </c>
      <c r="Y59" s="38">
        <f>IF((VLOOKUP(B59,'DB PMI Manufacturing World'!$A:$AA,MATCH($Y$1,'DB PMI Manufacturing World'!$A$1:$AA$1,),))=0,#N/A, (VLOOKUP(B59,'DB PMI Manufacturing World'!$A:$AA,MATCH($Y$1,'DB PMI Manufacturing World'!$A$1:$AA$1,),)))</f>
        <v/>
      </c>
      <c r="Z59" s="38">
        <f>IF((VLOOKUP(B59,'DB PMI Manufacturing World'!$A:$AA,MATCH($Z$1,'DB PMI Manufacturing World'!$A$1:$AA$1,),))=0,#N/A, (VLOOKUP(B59,'DB PMI Manufacturing World'!$A:$AA,MATCH($Z$1,'DB PMI Manufacturing World'!$A$1:$AA$1,),)))</f>
        <v/>
      </c>
      <c r="AA59" s="38">
        <f>IF((VLOOKUP(B59,'DB PMI Manufacturing World'!$A:$AA,MATCH($AA$1,'DB PMI Manufacturing World'!$A$1:$AA$1,),))=0,#N/A, (VLOOKUP(B59,'DB PMI Manufacturing World'!$A:$AA,MATCH($AA$1,'DB PMI Manufacturing World'!$A$1:$AA$1,),)))</f>
        <v/>
      </c>
      <c r="AB59" s="38">
        <f>IF((VLOOKUP(B59,'DB PMI Manufacturing World'!$A:$AA,MATCH($AB$1,'DB PMI Manufacturing World'!$A$1:$AA$1,),))=0,#N/A, (VLOOKUP(B59,'DB PMI Manufacturing World'!$A:$AA,MATCH($AB$1,'DB PMI Manufacturing World'!$A$1:$AA$1,),)))</f>
        <v/>
      </c>
    </row>
    <row r="60" customFormat="1" s="61">
      <c r="B60" s="29" t="n">
        <v>44348</v>
      </c>
      <c r="C60" s="38">
        <f>IF((VLOOKUP(B60,'DB PMI Manufacturing World'!$A:$AA,MATCH($C$1,'DB PMI Manufacturing World'!$A$1:$AA$1,),))=0,#N/A, (VLOOKUP(B60,'DB PMI Manufacturing World'!$A:$AA,MATCH($C$1,'DB PMI Manufacturing World'!$A$1:$AA$1,),)))</f>
        <v/>
      </c>
      <c r="D60" s="38">
        <f>IF((VLOOKUP(B60,'DB PMI Manufacturing World'!$A:$AA,MATCH($D$1,'DB PMI Manufacturing World'!$A$1:$AA$1,),))=0,#N/A, (VLOOKUP(B60,'DB PMI Manufacturing World'!$A:$AA,MATCH($D$1,'DB PMI Manufacturing World'!$A$1:$AA$1,),)))</f>
        <v/>
      </c>
      <c r="E60" s="38">
        <f>IF((VLOOKUP(B60,'DB PMI Manufacturing World'!$A:$AA,MATCH($E$1,'DB PMI Manufacturing World'!$A$1:$AA$1,),))=0,#N/A, (VLOOKUP(B60,'DB PMI Manufacturing World'!$A:$AA,MATCH($E$1,'DB PMI Manufacturing World'!$A$1:$AA$1,),)))</f>
        <v/>
      </c>
      <c r="F60" s="38">
        <f>IF((VLOOKUP(B60,'DB PMI Manufacturing World'!$A:$AA,MATCH($F$1,'DB PMI Manufacturing World'!$A$1:$AA$1,),))=0,#N/A, (VLOOKUP(B60,'DB PMI Manufacturing World'!$A:$AA,MATCH($F$1,'DB PMI Manufacturing World'!$A$1:$AA$1,),)))</f>
        <v/>
      </c>
      <c r="G60" s="38">
        <f>IF((VLOOKUP(B60,'DB PMI Manufacturing World'!$A:$AA,MATCH($G$1,'DB PMI Manufacturing World'!$A$1:$AA$1,),))=0,#N/A, (VLOOKUP(B60,'DB PMI Manufacturing World'!$A:$AA,MATCH($G$1,'DB PMI Manufacturing World'!$A$1:$AA$1,),)))</f>
        <v/>
      </c>
      <c r="H60" s="38">
        <f>IF((VLOOKUP(B60,'DB PMI Manufacturing World'!$A:$AA,MATCH($H$1,'DB PMI Manufacturing World'!$A$1:$AA$1,),))=0,#N/A, (VLOOKUP(B60,'DB PMI Manufacturing World'!$A:$AA,MATCH($H$1,'DB PMI Manufacturing World'!$A$1:$AA$1,),)))</f>
        <v/>
      </c>
      <c r="I60" s="38">
        <f>IF((VLOOKUP(B60,'DB PMI Manufacturing World'!$A:$AA,MATCH($I$1,'DB PMI Manufacturing World'!$A$1:$AA$1,),))=0,#N/A, (VLOOKUP(B60,'DB PMI Manufacturing World'!$A:$AA,MATCH($I$1,'DB PMI Manufacturing World'!$A$1:$AA$1,),)))</f>
        <v/>
      </c>
      <c r="J60" s="38">
        <f>IF((VLOOKUP(B60,'DB PMI Manufacturing World'!$A:$AA,MATCH($J$1,'DB PMI Manufacturing World'!$A$1:$AA$1,),))=0,#N/A, (VLOOKUP(B60,'DB PMI Manufacturing World'!$A:$AA,MATCH($J$1,'DB PMI Manufacturing World'!$A$1:$AA$1,),)))</f>
        <v/>
      </c>
      <c r="K60" s="38">
        <f>IF((VLOOKUP(B60,'DB PMI Manufacturing World'!$A:$AA,MATCH($K$1,'DB PMI Manufacturing World'!$A$1:$AA$1,),))=0,#N/A, (VLOOKUP(B60,'DB PMI Manufacturing World'!$A:$AA,MATCH($K$1,'DB PMI Manufacturing World'!$A$1:$AA$1,),)))</f>
        <v/>
      </c>
      <c r="L60" s="38">
        <f>IF((VLOOKUP(B60,'DB PMI Manufacturing World'!$A:$AA,MATCH($L$1,'DB PMI Manufacturing World'!$A$1:$AA$1,),))=0,#N/A, (VLOOKUP(B60,'DB PMI Manufacturing World'!$A:$AA,MATCH($L$1,'DB PMI Manufacturing World'!$A$1:$AA$1,),)))</f>
        <v/>
      </c>
      <c r="M60" s="38">
        <f>IF((VLOOKUP(B60,'DB PMI Manufacturing World'!$A:$AA,MATCH($M$1,'DB PMI Manufacturing World'!$A$1:$AA$1,),))=0,#N/A, (VLOOKUP(B60,'DB PMI Manufacturing World'!$A:$AA,MATCH($M$1,'DB PMI Manufacturing World'!$A$1:$AA$1,),)))</f>
        <v/>
      </c>
      <c r="N60" s="38">
        <f>IF((VLOOKUP(B60,'DB PMI Manufacturing World'!$A:$AA,MATCH($N$1,'DB PMI Manufacturing World'!$A$1:$AA$1,),))=0,#N/A, (VLOOKUP(B60,'DB PMI Manufacturing World'!$A:$AA,MATCH($N$1,'DB PMI Manufacturing World'!$A$1:$AA$1,),)))</f>
        <v/>
      </c>
      <c r="O60" s="38">
        <f>IF((VLOOKUP(B60,'DB PMI Manufacturing World'!$A:$AA,MATCH($O$1,'DB PMI Manufacturing World'!$A$1:$AA$1,),))=0,#N/A, (VLOOKUP(B60,'DB PMI Manufacturing World'!$A:$AA,MATCH($O$1,'DB PMI Manufacturing World'!$A$1:$AA$1,),)))</f>
        <v/>
      </c>
      <c r="P60" s="38">
        <f>IF((VLOOKUP(B60,'DB PMI Manufacturing World'!$A:$AA,MATCH($P$1,'DB PMI Manufacturing World'!$A$1:$AA$1,),))=0,#N/A, (VLOOKUP(B60,'DB PMI Manufacturing World'!$A:$AA,MATCH($P$1,'DB PMI Manufacturing World'!$A$1:$AA$1,),)))</f>
        <v/>
      </c>
      <c r="Q60" s="38">
        <f>IF((VLOOKUP(B60,'DB PMI Manufacturing World'!$A:$AA,MATCH($Q$1,'DB PMI Manufacturing World'!$A$1:$AA$1,),))=0,#N/A, (VLOOKUP(B60,'DB PMI Manufacturing World'!$A:$AA,MATCH($Q$1,'DB PMI Manufacturing World'!$A$1:$AA$1,),)))</f>
        <v/>
      </c>
      <c r="R60" s="38">
        <f>IF((VLOOKUP(B60,'DB PMI Manufacturing World'!$A:$AA,MATCH($R$1,'DB PMI Manufacturing World'!$A$1:$AA$1,),))=0,#N/A, (VLOOKUP(B60,'DB PMI Manufacturing World'!$A:$AA,MATCH($R$1,'DB PMI Manufacturing World'!$A$1:$AA$1,),)))</f>
        <v/>
      </c>
      <c r="S60" s="38">
        <f>IF((VLOOKUP(B60,'DB PMI Manufacturing World'!$A:$AA,MATCH($S$1,'DB PMI Manufacturing World'!$A$1:$AA$1,),))=0,#N/A, (VLOOKUP(B60,'DB PMI Manufacturing World'!$A:$AA,MATCH($S$1,'DB PMI Manufacturing World'!$A$1:$AA$1,),)))</f>
        <v/>
      </c>
      <c r="T60" s="38">
        <f>IF((VLOOKUP(B60,'DB PMI Manufacturing World'!$A:$AA,MATCH($T$1,'DB PMI Manufacturing World'!$A$1:$AA$1,),))=0,#N/A, (VLOOKUP(B60,'DB PMI Manufacturing World'!$A:$AA,MATCH($T$1,'DB PMI Manufacturing World'!$A$1:$AA$1,),)))</f>
        <v/>
      </c>
      <c r="U60" s="38">
        <f>IF((VLOOKUP(B60,'DB PMI Manufacturing World'!$A:$AA,MATCH($U$1,'DB PMI Manufacturing World'!$A$1:$AA$1,),))=0,#N/A, (VLOOKUP(B60,'DB PMI Manufacturing World'!$A:$AA,MATCH($U$1,'DB PMI Manufacturing World'!$A$1:$AA$1,),)))</f>
        <v/>
      </c>
      <c r="V60" s="38">
        <f>IF((VLOOKUP(B60,'DB PMI Manufacturing World'!$A:$AA,MATCH($V$1,'DB PMI Manufacturing World'!$A$1:$AA$1,),))=0,#N/A, (VLOOKUP(B60,'DB PMI Manufacturing World'!$A:$AA,MATCH($V$1,'DB PMI Manufacturing World'!$A$1:$AA$1,),)))</f>
        <v/>
      </c>
      <c r="W60" s="38">
        <f>IF((VLOOKUP(B60,'DB PMI Manufacturing World'!$A:$AA,MATCH($W$1,'DB PMI Manufacturing World'!$A$1:$AA$1,),))=0,#N/A, (VLOOKUP(B60,'DB PMI Manufacturing World'!$A:$AA,MATCH($W$1,'DB PMI Manufacturing World'!$A$1:$AA$1,),)))</f>
        <v/>
      </c>
      <c r="X60" s="38">
        <f>IF((VLOOKUP(B60,'DB PMI Manufacturing World'!$A:$AA,MATCH($X$1,'DB PMI Manufacturing World'!$A$1:$AA$1,),))=0,#N/A, (VLOOKUP(B60,'DB PMI Manufacturing World'!$A:$AA,MATCH($X$1,'DB PMI Manufacturing World'!$A$1:$AA$1,),)))</f>
        <v/>
      </c>
      <c r="Y60" s="38">
        <f>IF((VLOOKUP(B60,'DB PMI Manufacturing World'!$A:$AA,MATCH($Y$1,'DB PMI Manufacturing World'!$A$1:$AA$1,),))=0,#N/A, (VLOOKUP(B60,'DB PMI Manufacturing World'!$A:$AA,MATCH($Y$1,'DB PMI Manufacturing World'!$A$1:$AA$1,),)))</f>
        <v/>
      </c>
      <c r="Z60" s="38">
        <f>IF((VLOOKUP(B60,'DB PMI Manufacturing World'!$A:$AA,MATCH($Z$1,'DB PMI Manufacturing World'!$A$1:$AA$1,),))=0,#N/A, (VLOOKUP(B60,'DB PMI Manufacturing World'!$A:$AA,MATCH($Z$1,'DB PMI Manufacturing World'!$A$1:$AA$1,),)))</f>
        <v/>
      </c>
      <c r="AA60" s="38">
        <f>IF((VLOOKUP(B60,'DB PMI Manufacturing World'!$A:$AA,MATCH($AA$1,'DB PMI Manufacturing World'!$A$1:$AA$1,),))=0,#N/A, (VLOOKUP(B60,'DB PMI Manufacturing World'!$A:$AA,MATCH($AA$1,'DB PMI Manufacturing World'!$A$1:$AA$1,),)))</f>
        <v/>
      </c>
      <c r="AB60" s="38">
        <f>IF((VLOOKUP(B60,'DB PMI Manufacturing World'!$A:$AA,MATCH($AB$1,'DB PMI Manufacturing World'!$A$1:$AA$1,),))=0,#N/A, (VLOOKUP(B60,'DB PMI Manufacturing World'!$A:$AA,MATCH($AB$1,'DB PMI Manufacturing World'!$A$1:$AA$1,),)))</f>
        <v/>
      </c>
    </row>
    <row r="61" customFormat="1" s="61">
      <c r="B61" s="29" t="n">
        <v>44378</v>
      </c>
      <c r="C61" s="38">
        <f>IF((VLOOKUP(B61,'DB PMI Manufacturing World'!$A:$AA,MATCH($C$1,'DB PMI Manufacturing World'!$A$1:$AA$1,),))=0,#N/A, (VLOOKUP(B61,'DB PMI Manufacturing World'!$A:$AA,MATCH($C$1,'DB PMI Manufacturing World'!$A$1:$AA$1,),)))</f>
        <v/>
      </c>
      <c r="D61" s="38">
        <f>IF((VLOOKUP(B61,'DB PMI Manufacturing World'!$A:$AA,MATCH($D$1,'DB PMI Manufacturing World'!$A$1:$AA$1,),))=0,#N/A, (VLOOKUP(B61,'DB PMI Manufacturing World'!$A:$AA,MATCH($D$1,'DB PMI Manufacturing World'!$A$1:$AA$1,),)))</f>
        <v/>
      </c>
      <c r="E61" s="38">
        <f>IF((VLOOKUP(B61,'DB PMI Manufacturing World'!$A:$AA,MATCH($E$1,'DB PMI Manufacturing World'!$A$1:$AA$1,),))=0,#N/A, (VLOOKUP(B61,'DB PMI Manufacturing World'!$A:$AA,MATCH($E$1,'DB PMI Manufacturing World'!$A$1:$AA$1,),)))</f>
        <v/>
      </c>
      <c r="F61" s="38">
        <f>IF((VLOOKUP(B61,'DB PMI Manufacturing World'!$A:$AA,MATCH($F$1,'DB PMI Manufacturing World'!$A$1:$AA$1,),))=0,#N/A, (VLOOKUP(B61,'DB PMI Manufacturing World'!$A:$AA,MATCH($F$1,'DB PMI Manufacturing World'!$A$1:$AA$1,),)))</f>
        <v/>
      </c>
      <c r="G61" s="38">
        <f>IF((VLOOKUP(B61,'DB PMI Manufacturing World'!$A:$AA,MATCH($G$1,'DB PMI Manufacturing World'!$A$1:$AA$1,),))=0,#N/A, (VLOOKUP(B61,'DB PMI Manufacturing World'!$A:$AA,MATCH($G$1,'DB PMI Manufacturing World'!$A$1:$AA$1,),)))</f>
        <v/>
      </c>
      <c r="H61" s="38">
        <f>IF((VLOOKUP(B61,'DB PMI Manufacturing World'!$A:$AA,MATCH($H$1,'DB PMI Manufacturing World'!$A$1:$AA$1,),))=0,#N/A, (VLOOKUP(B61,'DB PMI Manufacturing World'!$A:$AA,MATCH($H$1,'DB PMI Manufacturing World'!$A$1:$AA$1,),)))</f>
        <v/>
      </c>
      <c r="I61" s="38">
        <f>IF((VLOOKUP(B61,'DB PMI Manufacturing World'!$A:$AA,MATCH($I$1,'DB PMI Manufacturing World'!$A$1:$AA$1,),))=0,#N/A, (VLOOKUP(B61,'DB PMI Manufacturing World'!$A:$AA,MATCH($I$1,'DB PMI Manufacturing World'!$A$1:$AA$1,),)))</f>
        <v/>
      </c>
      <c r="J61" s="38">
        <f>IF((VLOOKUP(B61,'DB PMI Manufacturing World'!$A:$AA,MATCH($J$1,'DB PMI Manufacturing World'!$A$1:$AA$1,),))=0,#N/A, (VLOOKUP(B61,'DB PMI Manufacturing World'!$A:$AA,MATCH($J$1,'DB PMI Manufacturing World'!$A$1:$AA$1,),)))</f>
        <v/>
      </c>
      <c r="K61" s="38">
        <f>IF((VLOOKUP(B61,'DB PMI Manufacturing World'!$A:$AA,MATCH($K$1,'DB PMI Manufacturing World'!$A$1:$AA$1,),))=0,#N/A, (VLOOKUP(B61,'DB PMI Manufacturing World'!$A:$AA,MATCH($K$1,'DB PMI Manufacturing World'!$A$1:$AA$1,),)))</f>
        <v/>
      </c>
      <c r="L61" s="38">
        <f>IF((VLOOKUP(B61,'DB PMI Manufacturing World'!$A:$AA,MATCH($L$1,'DB PMI Manufacturing World'!$A$1:$AA$1,),))=0,#N/A, (VLOOKUP(B61,'DB PMI Manufacturing World'!$A:$AA,MATCH($L$1,'DB PMI Manufacturing World'!$A$1:$AA$1,),)))</f>
        <v/>
      </c>
      <c r="M61" s="38">
        <f>IF((VLOOKUP(B61,'DB PMI Manufacturing World'!$A:$AA,MATCH($M$1,'DB PMI Manufacturing World'!$A$1:$AA$1,),))=0,#N/A, (VLOOKUP(B61,'DB PMI Manufacturing World'!$A:$AA,MATCH($M$1,'DB PMI Manufacturing World'!$A$1:$AA$1,),)))</f>
        <v/>
      </c>
      <c r="N61" s="38">
        <f>IF((VLOOKUP(B61,'DB PMI Manufacturing World'!$A:$AA,MATCH($N$1,'DB PMI Manufacturing World'!$A$1:$AA$1,),))=0,#N/A, (VLOOKUP(B61,'DB PMI Manufacturing World'!$A:$AA,MATCH($N$1,'DB PMI Manufacturing World'!$A$1:$AA$1,),)))</f>
        <v/>
      </c>
      <c r="O61" s="38">
        <f>IF((VLOOKUP(B61,'DB PMI Manufacturing World'!$A:$AA,MATCH($O$1,'DB PMI Manufacturing World'!$A$1:$AA$1,),))=0,#N/A, (VLOOKUP(B61,'DB PMI Manufacturing World'!$A:$AA,MATCH($O$1,'DB PMI Manufacturing World'!$A$1:$AA$1,),)))</f>
        <v/>
      </c>
      <c r="P61" s="38">
        <f>IF((VLOOKUP(B61,'DB PMI Manufacturing World'!$A:$AA,MATCH($P$1,'DB PMI Manufacturing World'!$A$1:$AA$1,),))=0,#N/A, (VLOOKUP(B61,'DB PMI Manufacturing World'!$A:$AA,MATCH($P$1,'DB PMI Manufacturing World'!$A$1:$AA$1,),)))</f>
        <v/>
      </c>
      <c r="Q61" s="38">
        <f>IF((VLOOKUP(B61,'DB PMI Manufacturing World'!$A:$AA,MATCH($Q$1,'DB PMI Manufacturing World'!$A$1:$AA$1,),))=0,#N/A, (VLOOKUP(B61,'DB PMI Manufacturing World'!$A:$AA,MATCH($Q$1,'DB PMI Manufacturing World'!$A$1:$AA$1,),)))</f>
        <v/>
      </c>
      <c r="R61" s="38">
        <f>IF((VLOOKUP(B61,'DB PMI Manufacturing World'!$A:$AA,MATCH($R$1,'DB PMI Manufacturing World'!$A$1:$AA$1,),))=0,#N/A, (VLOOKUP(B61,'DB PMI Manufacturing World'!$A:$AA,MATCH($R$1,'DB PMI Manufacturing World'!$A$1:$AA$1,),)))</f>
        <v/>
      </c>
      <c r="S61" s="38">
        <f>IF((VLOOKUP(B61,'DB PMI Manufacturing World'!$A:$AA,MATCH($S$1,'DB PMI Manufacturing World'!$A$1:$AA$1,),))=0,#N/A, (VLOOKUP(B61,'DB PMI Manufacturing World'!$A:$AA,MATCH($S$1,'DB PMI Manufacturing World'!$A$1:$AA$1,),)))</f>
        <v/>
      </c>
      <c r="T61" s="38">
        <f>IF((VLOOKUP(B61,'DB PMI Manufacturing World'!$A:$AA,MATCH($T$1,'DB PMI Manufacturing World'!$A$1:$AA$1,),))=0,#N/A, (VLOOKUP(B61,'DB PMI Manufacturing World'!$A:$AA,MATCH($T$1,'DB PMI Manufacturing World'!$A$1:$AA$1,),)))</f>
        <v/>
      </c>
      <c r="U61" s="38">
        <f>IF((VLOOKUP(B61,'DB PMI Manufacturing World'!$A:$AA,MATCH($U$1,'DB PMI Manufacturing World'!$A$1:$AA$1,),))=0,#N/A, (VLOOKUP(B61,'DB PMI Manufacturing World'!$A:$AA,MATCH($U$1,'DB PMI Manufacturing World'!$A$1:$AA$1,),)))</f>
        <v/>
      </c>
      <c r="V61" s="38">
        <f>IF((VLOOKUP(B61,'DB PMI Manufacturing World'!$A:$AA,MATCH($V$1,'DB PMI Manufacturing World'!$A$1:$AA$1,),))=0,#N/A, (VLOOKUP(B61,'DB PMI Manufacturing World'!$A:$AA,MATCH($V$1,'DB PMI Manufacturing World'!$A$1:$AA$1,),)))</f>
        <v/>
      </c>
      <c r="W61" s="38">
        <f>IF((VLOOKUP(B61,'DB PMI Manufacturing World'!$A:$AA,MATCH($W$1,'DB PMI Manufacturing World'!$A$1:$AA$1,),))=0,#N/A, (VLOOKUP(B61,'DB PMI Manufacturing World'!$A:$AA,MATCH($W$1,'DB PMI Manufacturing World'!$A$1:$AA$1,),)))</f>
        <v/>
      </c>
      <c r="X61" s="38">
        <f>IF((VLOOKUP(B61,'DB PMI Manufacturing World'!$A:$AA,MATCH($X$1,'DB PMI Manufacturing World'!$A$1:$AA$1,),))=0,#N/A, (VLOOKUP(B61,'DB PMI Manufacturing World'!$A:$AA,MATCH($X$1,'DB PMI Manufacturing World'!$A$1:$AA$1,),)))</f>
        <v/>
      </c>
      <c r="Y61" s="38">
        <f>IF((VLOOKUP(B61,'DB PMI Manufacturing World'!$A:$AA,MATCH($Y$1,'DB PMI Manufacturing World'!$A$1:$AA$1,),))=0,#N/A, (VLOOKUP(B61,'DB PMI Manufacturing World'!$A:$AA,MATCH($Y$1,'DB PMI Manufacturing World'!$A$1:$AA$1,),)))</f>
        <v/>
      </c>
      <c r="Z61" s="38">
        <f>IF((VLOOKUP(B61,'DB PMI Manufacturing World'!$A:$AA,MATCH($Z$1,'DB PMI Manufacturing World'!$A$1:$AA$1,),))=0,#N/A, (VLOOKUP(B61,'DB PMI Manufacturing World'!$A:$AA,MATCH($Z$1,'DB PMI Manufacturing World'!$A$1:$AA$1,),)))</f>
        <v/>
      </c>
      <c r="AA61" s="38">
        <f>IF((VLOOKUP(B61,'DB PMI Manufacturing World'!$A:$AA,MATCH($AA$1,'DB PMI Manufacturing World'!$A$1:$AA$1,),))=0,#N/A, (VLOOKUP(B61,'DB PMI Manufacturing World'!$A:$AA,MATCH($AA$1,'DB PMI Manufacturing World'!$A$1:$AA$1,),)))</f>
        <v/>
      </c>
      <c r="AB61" s="38">
        <f>IF((VLOOKUP(B61,'DB PMI Manufacturing World'!$A:$AA,MATCH($AB$1,'DB PMI Manufacturing World'!$A$1:$AA$1,),))=0,#N/A, (VLOOKUP(B61,'DB PMI Manufacturing World'!$A:$AA,MATCH($AB$1,'DB PMI Manufacturing World'!$A$1:$AA$1,),)))</f>
        <v/>
      </c>
    </row>
    <row r="62" customFormat="1" s="61">
      <c r="B62" s="29" t="n">
        <v>44409</v>
      </c>
      <c r="C62" s="38">
        <f>IF((VLOOKUP(B62,'DB PMI Manufacturing World'!$A:$AA,MATCH($C$1,'DB PMI Manufacturing World'!$A$1:$AA$1,),))=0,#N/A, (VLOOKUP(B62,'DB PMI Manufacturing World'!$A:$AA,MATCH($C$1,'DB PMI Manufacturing World'!$A$1:$AA$1,),)))</f>
        <v/>
      </c>
      <c r="D62" s="38">
        <f>IF((VLOOKUP(B62,'DB PMI Manufacturing World'!$A:$AA,MATCH($D$1,'DB PMI Manufacturing World'!$A$1:$AA$1,),))=0,#N/A, (VLOOKUP(B62,'DB PMI Manufacturing World'!$A:$AA,MATCH($D$1,'DB PMI Manufacturing World'!$A$1:$AA$1,),)))</f>
        <v/>
      </c>
      <c r="E62" s="38">
        <f>IF((VLOOKUP(B62,'DB PMI Manufacturing World'!$A:$AA,MATCH($E$1,'DB PMI Manufacturing World'!$A$1:$AA$1,),))=0,#N/A, (VLOOKUP(B62,'DB PMI Manufacturing World'!$A:$AA,MATCH($E$1,'DB PMI Manufacturing World'!$A$1:$AA$1,),)))</f>
        <v/>
      </c>
      <c r="F62" s="38">
        <f>IF((VLOOKUP(B62,'DB PMI Manufacturing World'!$A:$AA,MATCH($F$1,'DB PMI Manufacturing World'!$A$1:$AA$1,),))=0,#N/A, (VLOOKUP(B62,'DB PMI Manufacturing World'!$A:$AA,MATCH($F$1,'DB PMI Manufacturing World'!$A$1:$AA$1,),)))</f>
        <v/>
      </c>
      <c r="G62" s="38">
        <f>IF((VLOOKUP(B62,'DB PMI Manufacturing World'!$A:$AA,MATCH($G$1,'DB PMI Manufacturing World'!$A$1:$AA$1,),))=0,#N/A, (VLOOKUP(B62,'DB PMI Manufacturing World'!$A:$AA,MATCH($G$1,'DB PMI Manufacturing World'!$A$1:$AA$1,),)))</f>
        <v/>
      </c>
      <c r="H62" s="38">
        <f>IF((VLOOKUP(B62,'DB PMI Manufacturing World'!$A:$AA,MATCH($H$1,'DB PMI Manufacturing World'!$A$1:$AA$1,),))=0,#N/A, (VLOOKUP(B62,'DB PMI Manufacturing World'!$A:$AA,MATCH($H$1,'DB PMI Manufacturing World'!$A$1:$AA$1,),)))</f>
        <v/>
      </c>
      <c r="I62" s="38">
        <f>IF((VLOOKUP(B62,'DB PMI Manufacturing World'!$A:$AA,MATCH($I$1,'DB PMI Manufacturing World'!$A$1:$AA$1,),))=0,#N/A, (VLOOKUP(B62,'DB PMI Manufacturing World'!$A:$AA,MATCH($I$1,'DB PMI Manufacturing World'!$A$1:$AA$1,),)))</f>
        <v/>
      </c>
      <c r="J62" s="38">
        <f>IF((VLOOKUP(B62,'DB PMI Manufacturing World'!$A:$AA,MATCH($J$1,'DB PMI Manufacturing World'!$A$1:$AA$1,),))=0,#N/A, (VLOOKUP(B62,'DB PMI Manufacturing World'!$A:$AA,MATCH($J$1,'DB PMI Manufacturing World'!$A$1:$AA$1,),)))</f>
        <v/>
      </c>
      <c r="K62" s="38">
        <f>IF((VLOOKUP(B62,'DB PMI Manufacturing World'!$A:$AA,MATCH($K$1,'DB PMI Manufacturing World'!$A$1:$AA$1,),))=0,#N/A, (VLOOKUP(B62,'DB PMI Manufacturing World'!$A:$AA,MATCH($K$1,'DB PMI Manufacturing World'!$A$1:$AA$1,),)))</f>
        <v/>
      </c>
      <c r="L62" s="38">
        <f>IF((VLOOKUP(B62,'DB PMI Manufacturing World'!$A:$AA,MATCH($L$1,'DB PMI Manufacturing World'!$A$1:$AA$1,),))=0,#N/A, (VLOOKUP(B62,'DB PMI Manufacturing World'!$A:$AA,MATCH($L$1,'DB PMI Manufacturing World'!$A$1:$AA$1,),)))</f>
        <v/>
      </c>
      <c r="M62" s="38">
        <f>IF((VLOOKUP(B62,'DB PMI Manufacturing World'!$A:$AA,MATCH($M$1,'DB PMI Manufacturing World'!$A$1:$AA$1,),))=0,#N/A, (VLOOKUP(B62,'DB PMI Manufacturing World'!$A:$AA,MATCH($M$1,'DB PMI Manufacturing World'!$A$1:$AA$1,),)))</f>
        <v/>
      </c>
      <c r="N62" s="38">
        <f>IF((VLOOKUP(B62,'DB PMI Manufacturing World'!$A:$AA,MATCH($N$1,'DB PMI Manufacturing World'!$A$1:$AA$1,),))=0,#N/A, (VLOOKUP(B62,'DB PMI Manufacturing World'!$A:$AA,MATCH($N$1,'DB PMI Manufacturing World'!$A$1:$AA$1,),)))</f>
        <v/>
      </c>
      <c r="O62" s="38">
        <f>IF((VLOOKUP(B62,'DB PMI Manufacturing World'!$A:$AA,MATCH($O$1,'DB PMI Manufacturing World'!$A$1:$AA$1,),))=0,#N/A, (VLOOKUP(B62,'DB PMI Manufacturing World'!$A:$AA,MATCH($O$1,'DB PMI Manufacturing World'!$A$1:$AA$1,),)))</f>
        <v/>
      </c>
      <c r="P62" s="38">
        <f>IF((VLOOKUP(B62,'DB PMI Manufacturing World'!$A:$AA,MATCH($P$1,'DB PMI Manufacturing World'!$A$1:$AA$1,),))=0,#N/A, (VLOOKUP(B62,'DB PMI Manufacturing World'!$A:$AA,MATCH($P$1,'DB PMI Manufacturing World'!$A$1:$AA$1,),)))</f>
        <v/>
      </c>
      <c r="Q62" s="38">
        <f>IF((VLOOKUP(B62,'DB PMI Manufacturing World'!$A:$AA,MATCH($Q$1,'DB PMI Manufacturing World'!$A$1:$AA$1,),))=0,#N/A, (VLOOKUP(B62,'DB PMI Manufacturing World'!$A:$AA,MATCH($Q$1,'DB PMI Manufacturing World'!$A$1:$AA$1,),)))</f>
        <v/>
      </c>
      <c r="R62" s="38">
        <f>IF((VLOOKUP(B62,'DB PMI Manufacturing World'!$A:$AA,MATCH($R$1,'DB PMI Manufacturing World'!$A$1:$AA$1,),))=0,#N/A, (VLOOKUP(B62,'DB PMI Manufacturing World'!$A:$AA,MATCH($R$1,'DB PMI Manufacturing World'!$A$1:$AA$1,),)))</f>
        <v/>
      </c>
      <c r="S62" s="38">
        <f>IF((VLOOKUP(B62,'DB PMI Manufacturing World'!$A:$AA,MATCH($S$1,'DB PMI Manufacturing World'!$A$1:$AA$1,),))=0,#N/A, (VLOOKUP(B62,'DB PMI Manufacturing World'!$A:$AA,MATCH($S$1,'DB PMI Manufacturing World'!$A$1:$AA$1,),)))</f>
        <v/>
      </c>
      <c r="T62" s="38">
        <f>IF((VLOOKUP(B62,'DB PMI Manufacturing World'!$A:$AA,MATCH($T$1,'DB PMI Manufacturing World'!$A$1:$AA$1,),))=0,#N/A, (VLOOKUP(B62,'DB PMI Manufacturing World'!$A:$AA,MATCH($T$1,'DB PMI Manufacturing World'!$A$1:$AA$1,),)))</f>
        <v/>
      </c>
      <c r="U62" s="38">
        <f>IF((VLOOKUP(B62,'DB PMI Manufacturing World'!$A:$AA,MATCH($U$1,'DB PMI Manufacturing World'!$A$1:$AA$1,),))=0,#N/A, (VLOOKUP(B62,'DB PMI Manufacturing World'!$A:$AA,MATCH($U$1,'DB PMI Manufacturing World'!$A$1:$AA$1,),)))</f>
        <v/>
      </c>
      <c r="V62" s="38">
        <f>IF((VLOOKUP(B62,'DB PMI Manufacturing World'!$A:$AA,MATCH($V$1,'DB PMI Manufacturing World'!$A$1:$AA$1,),))=0,#N/A, (VLOOKUP(B62,'DB PMI Manufacturing World'!$A:$AA,MATCH($V$1,'DB PMI Manufacturing World'!$A$1:$AA$1,),)))</f>
        <v/>
      </c>
      <c r="W62" s="38">
        <f>IF((VLOOKUP(B62,'DB PMI Manufacturing World'!$A:$AA,MATCH($W$1,'DB PMI Manufacturing World'!$A$1:$AA$1,),))=0,#N/A, (VLOOKUP(B62,'DB PMI Manufacturing World'!$A:$AA,MATCH($W$1,'DB PMI Manufacturing World'!$A$1:$AA$1,),)))</f>
        <v/>
      </c>
      <c r="X62" s="38">
        <f>IF((VLOOKUP(B62,'DB PMI Manufacturing World'!$A:$AA,MATCH($X$1,'DB PMI Manufacturing World'!$A$1:$AA$1,),))=0,#N/A, (VLOOKUP(B62,'DB PMI Manufacturing World'!$A:$AA,MATCH($X$1,'DB PMI Manufacturing World'!$A$1:$AA$1,),)))</f>
        <v/>
      </c>
      <c r="Y62" s="38">
        <f>IF((VLOOKUP(B62,'DB PMI Manufacturing World'!$A:$AA,MATCH($Y$1,'DB PMI Manufacturing World'!$A$1:$AA$1,),))=0,#N/A, (VLOOKUP(B62,'DB PMI Manufacturing World'!$A:$AA,MATCH($Y$1,'DB PMI Manufacturing World'!$A$1:$AA$1,),)))</f>
        <v/>
      </c>
      <c r="Z62" s="38">
        <f>IF((VLOOKUP(B62,'DB PMI Manufacturing World'!$A:$AA,MATCH($Z$1,'DB PMI Manufacturing World'!$A$1:$AA$1,),))=0,#N/A, (VLOOKUP(B62,'DB PMI Manufacturing World'!$A:$AA,MATCH($Z$1,'DB PMI Manufacturing World'!$A$1:$AA$1,),)))</f>
        <v/>
      </c>
      <c r="AA62" s="38">
        <f>IF((VLOOKUP(B62,'DB PMI Manufacturing World'!$A:$AA,MATCH($AA$1,'DB PMI Manufacturing World'!$A$1:$AA$1,),))=0,#N/A, (VLOOKUP(B62,'DB PMI Manufacturing World'!$A:$AA,MATCH($AA$1,'DB PMI Manufacturing World'!$A$1:$AA$1,),)))</f>
        <v/>
      </c>
      <c r="AB62" s="38">
        <f>IF((VLOOKUP(B62,'DB PMI Manufacturing World'!$A:$AA,MATCH($AB$1,'DB PMI Manufacturing World'!$A$1:$AA$1,),))=0,#N/A, (VLOOKUP(B62,'DB PMI Manufacturing World'!$A:$AA,MATCH($AB$1,'DB PMI Manufacturing World'!$A$1:$AA$1,),)))</f>
        <v/>
      </c>
    </row>
    <row r="63" customFormat="1" s="61">
      <c r="B63" s="29" t="n">
        <v>44440</v>
      </c>
      <c r="C63" s="38">
        <f>IF((VLOOKUP(B63,'DB PMI Manufacturing World'!$A:$AA,MATCH($C$1,'DB PMI Manufacturing World'!$A$1:$AA$1,),))=0,#N/A, (VLOOKUP(B63,'DB PMI Manufacturing World'!$A:$AA,MATCH($C$1,'DB PMI Manufacturing World'!$A$1:$AA$1,),)))</f>
        <v/>
      </c>
      <c r="D63" s="38">
        <f>IF((VLOOKUP(B63,'DB PMI Manufacturing World'!$A:$AA,MATCH($D$1,'DB PMI Manufacturing World'!$A$1:$AA$1,),))=0,#N/A, (VLOOKUP(B63,'DB PMI Manufacturing World'!$A:$AA,MATCH($D$1,'DB PMI Manufacturing World'!$A$1:$AA$1,),)))</f>
        <v/>
      </c>
      <c r="E63" s="38">
        <f>IF((VLOOKUP(B63,'DB PMI Manufacturing World'!$A:$AA,MATCH($E$1,'DB PMI Manufacturing World'!$A$1:$AA$1,),))=0,#N/A, (VLOOKUP(B63,'DB PMI Manufacturing World'!$A:$AA,MATCH($E$1,'DB PMI Manufacturing World'!$A$1:$AA$1,),)))</f>
        <v/>
      </c>
      <c r="F63" s="38">
        <f>IF((VLOOKUP(B63,'DB PMI Manufacturing World'!$A:$AA,MATCH($F$1,'DB PMI Manufacturing World'!$A$1:$AA$1,),))=0,#N/A, (VLOOKUP(B63,'DB PMI Manufacturing World'!$A:$AA,MATCH($F$1,'DB PMI Manufacturing World'!$A$1:$AA$1,),)))</f>
        <v/>
      </c>
      <c r="G63" s="38">
        <f>IF((VLOOKUP(B63,'DB PMI Manufacturing World'!$A:$AA,MATCH($G$1,'DB PMI Manufacturing World'!$A$1:$AA$1,),))=0,#N/A, (VLOOKUP(B63,'DB PMI Manufacturing World'!$A:$AA,MATCH($G$1,'DB PMI Manufacturing World'!$A$1:$AA$1,),)))</f>
        <v/>
      </c>
      <c r="H63" s="38">
        <f>IF((VLOOKUP(B63,'DB PMI Manufacturing World'!$A:$AA,MATCH($H$1,'DB PMI Manufacturing World'!$A$1:$AA$1,),))=0,#N/A, (VLOOKUP(B63,'DB PMI Manufacturing World'!$A:$AA,MATCH($H$1,'DB PMI Manufacturing World'!$A$1:$AA$1,),)))</f>
        <v/>
      </c>
      <c r="I63" s="38">
        <f>IF((VLOOKUP(B63,'DB PMI Manufacturing World'!$A:$AA,MATCH($I$1,'DB PMI Manufacturing World'!$A$1:$AA$1,),))=0,#N/A, (VLOOKUP(B63,'DB PMI Manufacturing World'!$A:$AA,MATCH($I$1,'DB PMI Manufacturing World'!$A$1:$AA$1,),)))</f>
        <v/>
      </c>
      <c r="J63" s="38">
        <f>IF((VLOOKUP(B63,'DB PMI Manufacturing World'!$A:$AA,MATCH($J$1,'DB PMI Manufacturing World'!$A$1:$AA$1,),))=0,#N/A, (VLOOKUP(B63,'DB PMI Manufacturing World'!$A:$AA,MATCH($J$1,'DB PMI Manufacturing World'!$A$1:$AA$1,),)))</f>
        <v/>
      </c>
      <c r="K63" s="38">
        <f>IF((VLOOKUP(B63,'DB PMI Manufacturing World'!$A:$AA,MATCH($K$1,'DB PMI Manufacturing World'!$A$1:$AA$1,),))=0,#N/A, (VLOOKUP(B63,'DB PMI Manufacturing World'!$A:$AA,MATCH($K$1,'DB PMI Manufacturing World'!$A$1:$AA$1,),)))</f>
        <v/>
      </c>
      <c r="L63" s="38">
        <f>IF((VLOOKUP(B63,'DB PMI Manufacturing World'!$A:$AA,MATCH($L$1,'DB PMI Manufacturing World'!$A$1:$AA$1,),))=0,#N/A, (VLOOKUP(B63,'DB PMI Manufacturing World'!$A:$AA,MATCH($L$1,'DB PMI Manufacturing World'!$A$1:$AA$1,),)))</f>
        <v/>
      </c>
      <c r="M63" s="38">
        <f>IF((VLOOKUP(B63,'DB PMI Manufacturing World'!$A:$AA,MATCH($M$1,'DB PMI Manufacturing World'!$A$1:$AA$1,),))=0,#N/A, (VLOOKUP(B63,'DB PMI Manufacturing World'!$A:$AA,MATCH($M$1,'DB PMI Manufacturing World'!$A$1:$AA$1,),)))</f>
        <v/>
      </c>
      <c r="N63" s="38">
        <f>IF((VLOOKUP(B63,'DB PMI Manufacturing World'!$A:$AA,MATCH($N$1,'DB PMI Manufacturing World'!$A$1:$AA$1,),))=0,#N/A, (VLOOKUP(B63,'DB PMI Manufacturing World'!$A:$AA,MATCH($N$1,'DB PMI Manufacturing World'!$A$1:$AA$1,),)))</f>
        <v/>
      </c>
      <c r="O63" s="38">
        <f>IF((VLOOKUP(B63,'DB PMI Manufacturing World'!$A:$AA,MATCH($O$1,'DB PMI Manufacturing World'!$A$1:$AA$1,),))=0,#N/A, (VLOOKUP(B63,'DB PMI Manufacturing World'!$A:$AA,MATCH($O$1,'DB PMI Manufacturing World'!$A$1:$AA$1,),)))</f>
        <v/>
      </c>
      <c r="P63" s="38">
        <f>IF((VLOOKUP(B63,'DB PMI Manufacturing World'!$A:$AA,MATCH($P$1,'DB PMI Manufacturing World'!$A$1:$AA$1,),))=0,#N/A, (VLOOKUP(B63,'DB PMI Manufacturing World'!$A:$AA,MATCH($P$1,'DB PMI Manufacturing World'!$A$1:$AA$1,),)))</f>
        <v/>
      </c>
      <c r="Q63" s="38">
        <f>IF((VLOOKUP(B63,'DB PMI Manufacturing World'!$A:$AA,MATCH($Q$1,'DB PMI Manufacturing World'!$A$1:$AA$1,),))=0,#N/A, (VLOOKUP(B63,'DB PMI Manufacturing World'!$A:$AA,MATCH($Q$1,'DB PMI Manufacturing World'!$A$1:$AA$1,),)))</f>
        <v/>
      </c>
      <c r="R63" s="38">
        <f>IF((VLOOKUP(B63,'DB PMI Manufacturing World'!$A:$AA,MATCH($R$1,'DB PMI Manufacturing World'!$A$1:$AA$1,),))=0,#N/A, (VLOOKUP(B63,'DB PMI Manufacturing World'!$A:$AA,MATCH($R$1,'DB PMI Manufacturing World'!$A$1:$AA$1,),)))</f>
        <v/>
      </c>
      <c r="S63" s="38">
        <f>IF((VLOOKUP(B63,'DB PMI Manufacturing World'!$A:$AA,MATCH($S$1,'DB PMI Manufacturing World'!$A$1:$AA$1,),))=0,#N/A, (VLOOKUP(B63,'DB PMI Manufacturing World'!$A:$AA,MATCH($S$1,'DB PMI Manufacturing World'!$A$1:$AA$1,),)))</f>
        <v/>
      </c>
      <c r="T63" s="38">
        <f>IF((VLOOKUP(B63,'DB PMI Manufacturing World'!$A:$AA,MATCH($T$1,'DB PMI Manufacturing World'!$A$1:$AA$1,),))=0,#N/A, (VLOOKUP(B63,'DB PMI Manufacturing World'!$A:$AA,MATCH($T$1,'DB PMI Manufacturing World'!$A$1:$AA$1,),)))</f>
        <v/>
      </c>
      <c r="U63" s="38">
        <f>IF((VLOOKUP(B63,'DB PMI Manufacturing World'!$A:$AA,MATCH($U$1,'DB PMI Manufacturing World'!$A$1:$AA$1,),))=0,#N/A, (VLOOKUP(B63,'DB PMI Manufacturing World'!$A:$AA,MATCH($U$1,'DB PMI Manufacturing World'!$A$1:$AA$1,),)))</f>
        <v/>
      </c>
      <c r="V63" s="38">
        <f>IF((VLOOKUP(B63,'DB PMI Manufacturing World'!$A:$AA,MATCH($V$1,'DB PMI Manufacturing World'!$A$1:$AA$1,),))=0,#N/A, (VLOOKUP(B63,'DB PMI Manufacturing World'!$A:$AA,MATCH($V$1,'DB PMI Manufacturing World'!$A$1:$AA$1,),)))</f>
        <v/>
      </c>
      <c r="W63" s="38">
        <f>IF((VLOOKUP(B63,'DB PMI Manufacturing World'!$A:$AA,MATCH($W$1,'DB PMI Manufacturing World'!$A$1:$AA$1,),))=0,#N/A, (VLOOKUP(B63,'DB PMI Manufacturing World'!$A:$AA,MATCH($W$1,'DB PMI Manufacturing World'!$A$1:$AA$1,),)))</f>
        <v/>
      </c>
      <c r="X63" s="38">
        <f>IF((VLOOKUP(B63,'DB PMI Manufacturing World'!$A:$AA,MATCH($X$1,'DB PMI Manufacturing World'!$A$1:$AA$1,),))=0,#N/A, (VLOOKUP(B63,'DB PMI Manufacturing World'!$A:$AA,MATCH($X$1,'DB PMI Manufacturing World'!$A$1:$AA$1,),)))</f>
        <v/>
      </c>
      <c r="Y63" s="38">
        <f>IF((VLOOKUP(B63,'DB PMI Manufacturing World'!$A:$AA,MATCH($Y$1,'DB PMI Manufacturing World'!$A$1:$AA$1,),))=0,#N/A, (VLOOKUP(B63,'DB PMI Manufacturing World'!$A:$AA,MATCH($Y$1,'DB PMI Manufacturing World'!$A$1:$AA$1,),)))</f>
        <v/>
      </c>
      <c r="Z63" s="38">
        <f>IF((VLOOKUP(B63,'DB PMI Manufacturing World'!$A:$AA,MATCH($Z$1,'DB PMI Manufacturing World'!$A$1:$AA$1,),))=0,#N/A, (VLOOKUP(B63,'DB PMI Manufacturing World'!$A:$AA,MATCH($Z$1,'DB PMI Manufacturing World'!$A$1:$AA$1,),)))</f>
        <v/>
      </c>
      <c r="AA63" s="38">
        <f>IF((VLOOKUP(B63,'DB PMI Manufacturing World'!$A:$AA,MATCH($AA$1,'DB PMI Manufacturing World'!$A$1:$AA$1,),))=0,#N/A, (VLOOKUP(B63,'DB PMI Manufacturing World'!$A:$AA,MATCH($AA$1,'DB PMI Manufacturing World'!$A$1:$AA$1,),)))</f>
        <v/>
      </c>
      <c r="AB63" s="38">
        <f>IF((VLOOKUP(B63,'DB PMI Manufacturing World'!$A:$AA,MATCH($AB$1,'DB PMI Manufacturing World'!$A$1:$AA$1,),))=0,#N/A, (VLOOKUP(B63,'DB PMI Manufacturing World'!$A:$AA,MATCH($AB$1,'DB PMI Manufacturing World'!$A$1:$AA$1,),)))</f>
        <v/>
      </c>
    </row>
    <row r="64" customFormat="1" s="61">
      <c r="B64" s="29" t="n">
        <v>44470</v>
      </c>
      <c r="C64" s="38">
        <f>IF((VLOOKUP(B64,'DB PMI Manufacturing World'!$A:$AA,MATCH($C$1,'DB PMI Manufacturing World'!$A$1:$AA$1,),))=0,#N/A, (VLOOKUP(B64,'DB PMI Manufacturing World'!$A:$AA,MATCH($C$1,'DB PMI Manufacturing World'!$A$1:$AA$1,),)))</f>
        <v/>
      </c>
      <c r="D64" s="38">
        <f>IF((VLOOKUP(B64,'DB PMI Manufacturing World'!$A:$AA,MATCH($D$1,'DB PMI Manufacturing World'!$A$1:$AA$1,),))=0,#N/A, (VLOOKUP(B64,'DB PMI Manufacturing World'!$A:$AA,MATCH($D$1,'DB PMI Manufacturing World'!$A$1:$AA$1,),)))</f>
        <v/>
      </c>
      <c r="E64" s="38">
        <f>IF((VLOOKUP(B64,'DB PMI Manufacturing World'!$A:$AA,MATCH($E$1,'DB PMI Manufacturing World'!$A$1:$AA$1,),))=0,#N/A, (VLOOKUP(B64,'DB PMI Manufacturing World'!$A:$AA,MATCH($E$1,'DB PMI Manufacturing World'!$A$1:$AA$1,),)))</f>
        <v/>
      </c>
      <c r="F64" s="38">
        <f>IF((VLOOKUP(B64,'DB PMI Manufacturing World'!$A:$AA,MATCH($F$1,'DB PMI Manufacturing World'!$A$1:$AA$1,),))=0,#N/A, (VLOOKUP(B64,'DB PMI Manufacturing World'!$A:$AA,MATCH($F$1,'DB PMI Manufacturing World'!$A$1:$AA$1,),)))</f>
        <v/>
      </c>
      <c r="G64" s="38">
        <f>IF((VLOOKUP(B64,'DB PMI Manufacturing World'!$A:$AA,MATCH($G$1,'DB PMI Manufacturing World'!$A$1:$AA$1,),))=0,#N/A, (VLOOKUP(B64,'DB PMI Manufacturing World'!$A:$AA,MATCH($G$1,'DB PMI Manufacturing World'!$A$1:$AA$1,),)))</f>
        <v/>
      </c>
      <c r="H64" s="38">
        <f>IF((VLOOKUP(B64,'DB PMI Manufacturing World'!$A:$AA,MATCH($H$1,'DB PMI Manufacturing World'!$A$1:$AA$1,),))=0,#N/A, (VLOOKUP(B64,'DB PMI Manufacturing World'!$A:$AA,MATCH($H$1,'DB PMI Manufacturing World'!$A$1:$AA$1,),)))</f>
        <v/>
      </c>
      <c r="I64" s="38">
        <f>IF((VLOOKUP(B64,'DB PMI Manufacturing World'!$A:$AA,MATCH($I$1,'DB PMI Manufacturing World'!$A$1:$AA$1,),))=0,#N/A, (VLOOKUP(B64,'DB PMI Manufacturing World'!$A:$AA,MATCH($I$1,'DB PMI Manufacturing World'!$A$1:$AA$1,),)))</f>
        <v/>
      </c>
      <c r="J64" s="38">
        <f>IF((VLOOKUP(B64,'DB PMI Manufacturing World'!$A:$AA,MATCH($J$1,'DB PMI Manufacturing World'!$A$1:$AA$1,),))=0,#N/A, (VLOOKUP(B64,'DB PMI Manufacturing World'!$A:$AA,MATCH($J$1,'DB PMI Manufacturing World'!$A$1:$AA$1,),)))</f>
        <v/>
      </c>
      <c r="K64" s="38">
        <f>IF((VLOOKUP(B64,'DB PMI Manufacturing World'!$A:$AA,MATCH($K$1,'DB PMI Manufacturing World'!$A$1:$AA$1,),))=0,#N/A, (VLOOKUP(B64,'DB PMI Manufacturing World'!$A:$AA,MATCH($K$1,'DB PMI Manufacturing World'!$A$1:$AA$1,),)))</f>
        <v/>
      </c>
      <c r="L64" s="38">
        <f>IF((VLOOKUP(B64,'DB PMI Manufacturing World'!$A:$AA,MATCH($L$1,'DB PMI Manufacturing World'!$A$1:$AA$1,),))=0,#N/A, (VLOOKUP(B64,'DB PMI Manufacturing World'!$A:$AA,MATCH($L$1,'DB PMI Manufacturing World'!$A$1:$AA$1,),)))</f>
        <v/>
      </c>
      <c r="M64" s="38">
        <f>IF((VLOOKUP(B64,'DB PMI Manufacturing World'!$A:$AA,MATCH($M$1,'DB PMI Manufacturing World'!$A$1:$AA$1,),))=0,#N/A, (VLOOKUP(B64,'DB PMI Manufacturing World'!$A:$AA,MATCH($M$1,'DB PMI Manufacturing World'!$A$1:$AA$1,),)))</f>
        <v/>
      </c>
      <c r="N64" s="38">
        <f>IF((VLOOKUP(B64,'DB PMI Manufacturing World'!$A:$AA,MATCH($N$1,'DB PMI Manufacturing World'!$A$1:$AA$1,),))=0,#N/A, (VLOOKUP(B64,'DB PMI Manufacturing World'!$A:$AA,MATCH($N$1,'DB PMI Manufacturing World'!$A$1:$AA$1,),)))</f>
        <v/>
      </c>
      <c r="O64" s="38">
        <f>IF((VLOOKUP(B64,'DB PMI Manufacturing World'!$A:$AA,MATCH($O$1,'DB PMI Manufacturing World'!$A$1:$AA$1,),))=0,#N/A, (VLOOKUP(B64,'DB PMI Manufacturing World'!$A:$AA,MATCH($O$1,'DB PMI Manufacturing World'!$A$1:$AA$1,),)))</f>
        <v/>
      </c>
      <c r="P64" s="38">
        <f>IF((VLOOKUP(B64,'DB PMI Manufacturing World'!$A:$AA,MATCH($P$1,'DB PMI Manufacturing World'!$A$1:$AA$1,),))=0,#N/A, (VLOOKUP(B64,'DB PMI Manufacturing World'!$A:$AA,MATCH($P$1,'DB PMI Manufacturing World'!$A$1:$AA$1,),)))</f>
        <v/>
      </c>
      <c r="Q64" s="38">
        <f>IF((VLOOKUP(B64,'DB PMI Manufacturing World'!$A:$AA,MATCH($Q$1,'DB PMI Manufacturing World'!$A$1:$AA$1,),))=0,#N/A, (VLOOKUP(B64,'DB PMI Manufacturing World'!$A:$AA,MATCH($Q$1,'DB PMI Manufacturing World'!$A$1:$AA$1,),)))</f>
        <v/>
      </c>
      <c r="R64" s="38">
        <f>IF((VLOOKUP(B64,'DB PMI Manufacturing World'!$A:$AA,MATCH($R$1,'DB PMI Manufacturing World'!$A$1:$AA$1,),))=0,#N/A, (VLOOKUP(B64,'DB PMI Manufacturing World'!$A:$AA,MATCH($R$1,'DB PMI Manufacturing World'!$A$1:$AA$1,),)))</f>
        <v/>
      </c>
      <c r="S64" s="38">
        <f>IF((VLOOKUP(B64,'DB PMI Manufacturing World'!$A:$AA,MATCH($S$1,'DB PMI Manufacturing World'!$A$1:$AA$1,),))=0,#N/A, (VLOOKUP(B64,'DB PMI Manufacturing World'!$A:$AA,MATCH($S$1,'DB PMI Manufacturing World'!$A$1:$AA$1,),)))</f>
        <v/>
      </c>
      <c r="T64" s="38">
        <f>IF((VLOOKUP(B64,'DB PMI Manufacturing World'!$A:$AA,MATCH($T$1,'DB PMI Manufacturing World'!$A$1:$AA$1,),))=0,#N/A, (VLOOKUP(B64,'DB PMI Manufacturing World'!$A:$AA,MATCH($T$1,'DB PMI Manufacturing World'!$A$1:$AA$1,),)))</f>
        <v/>
      </c>
      <c r="U64" s="38">
        <f>IF((VLOOKUP(B64,'DB PMI Manufacturing World'!$A:$AA,MATCH($U$1,'DB PMI Manufacturing World'!$A$1:$AA$1,),))=0,#N/A, (VLOOKUP(B64,'DB PMI Manufacturing World'!$A:$AA,MATCH($U$1,'DB PMI Manufacturing World'!$A$1:$AA$1,),)))</f>
        <v/>
      </c>
      <c r="V64" s="38">
        <f>IF((VLOOKUP(B64,'DB PMI Manufacturing World'!$A:$AA,MATCH($V$1,'DB PMI Manufacturing World'!$A$1:$AA$1,),))=0,#N/A, (VLOOKUP(B64,'DB PMI Manufacturing World'!$A:$AA,MATCH($V$1,'DB PMI Manufacturing World'!$A$1:$AA$1,),)))</f>
        <v/>
      </c>
      <c r="W64" s="38">
        <f>IF((VLOOKUP(B64,'DB PMI Manufacturing World'!$A:$AA,MATCH($W$1,'DB PMI Manufacturing World'!$A$1:$AA$1,),))=0,#N/A, (VLOOKUP(B64,'DB PMI Manufacturing World'!$A:$AA,MATCH($W$1,'DB PMI Manufacturing World'!$A$1:$AA$1,),)))</f>
        <v/>
      </c>
      <c r="X64" s="38">
        <f>IF((VLOOKUP(B64,'DB PMI Manufacturing World'!$A:$AA,MATCH($X$1,'DB PMI Manufacturing World'!$A$1:$AA$1,),))=0,#N/A, (VLOOKUP(B64,'DB PMI Manufacturing World'!$A:$AA,MATCH($X$1,'DB PMI Manufacturing World'!$A$1:$AA$1,),)))</f>
        <v/>
      </c>
      <c r="Y64" s="38">
        <f>IF((VLOOKUP(B64,'DB PMI Manufacturing World'!$A:$AA,MATCH($Y$1,'DB PMI Manufacturing World'!$A$1:$AA$1,),))=0,#N/A, (VLOOKUP(B64,'DB PMI Manufacturing World'!$A:$AA,MATCH($Y$1,'DB PMI Manufacturing World'!$A$1:$AA$1,),)))</f>
        <v/>
      </c>
      <c r="Z64" s="38">
        <f>IF((VLOOKUP(B64,'DB PMI Manufacturing World'!$A:$AA,MATCH($Z$1,'DB PMI Manufacturing World'!$A$1:$AA$1,),))=0,#N/A, (VLOOKUP(B64,'DB PMI Manufacturing World'!$A:$AA,MATCH($Z$1,'DB PMI Manufacturing World'!$A$1:$AA$1,),)))</f>
        <v/>
      </c>
      <c r="AA64" s="38">
        <f>IF((VLOOKUP(B64,'DB PMI Manufacturing World'!$A:$AA,MATCH($AA$1,'DB PMI Manufacturing World'!$A$1:$AA$1,),))=0,#N/A, (VLOOKUP(B64,'DB PMI Manufacturing World'!$A:$AA,MATCH($AA$1,'DB PMI Manufacturing World'!$A$1:$AA$1,),)))</f>
        <v/>
      </c>
      <c r="AB64" s="38">
        <f>IF((VLOOKUP(B64,'DB PMI Manufacturing World'!$A:$AA,MATCH($AB$1,'DB PMI Manufacturing World'!$A$1:$AA$1,),))=0,#N/A, (VLOOKUP(B64,'DB PMI Manufacturing World'!$A:$AA,MATCH($AB$1,'DB PMI Manufacturing World'!$A$1:$AA$1,),)))</f>
        <v/>
      </c>
    </row>
    <row r="65" customFormat="1" s="61">
      <c r="B65" s="29" t="n">
        <v>44501</v>
      </c>
      <c r="C65" s="38">
        <f>IF((VLOOKUP(B65,'DB PMI Manufacturing World'!$A:$AA,MATCH($C$1,'DB PMI Manufacturing World'!$A$1:$AA$1,),))=0,#N/A, (VLOOKUP(B65,'DB PMI Manufacturing World'!$A:$AA,MATCH($C$1,'DB PMI Manufacturing World'!$A$1:$AA$1,),)))</f>
        <v/>
      </c>
      <c r="D65" s="38">
        <f>IF((VLOOKUP(B65,'DB PMI Manufacturing World'!$A:$AA,MATCH($D$1,'DB PMI Manufacturing World'!$A$1:$AA$1,),))=0,#N/A, (VLOOKUP(B65,'DB PMI Manufacturing World'!$A:$AA,MATCH($D$1,'DB PMI Manufacturing World'!$A$1:$AA$1,),)))</f>
        <v/>
      </c>
      <c r="E65" s="38">
        <f>IF((VLOOKUP(B65,'DB PMI Manufacturing World'!$A:$AA,MATCH($E$1,'DB PMI Manufacturing World'!$A$1:$AA$1,),))=0,#N/A, (VLOOKUP(B65,'DB PMI Manufacturing World'!$A:$AA,MATCH($E$1,'DB PMI Manufacturing World'!$A$1:$AA$1,),)))</f>
        <v/>
      </c>
      <c r="F65" s="38">
        <f>IF((VLOOKUP(B65,'DB PMI Manufacturing World'!$A:$AA,MATCH($F$1,'DB PMI Manufacturing World'!$A$1:$AA$1,),))=0,#N/A, (VLOOKUP(B65,'DB PMI Manufacturing World'!$A:$AA,MATCH($F$1,'DB PMI Manufacturing World'!$A$1:$AA$1,),)))</f>
        <v/>
      </c>
      <c r="G65" s="38">
        <f>IF((VLOOKUP(B65,'DB PMI Manufacturing World'!$A:$AA,MATCH($G$1,'DB PMI Manufacturing World'!$A$1:$AA$1,),))=0,#N/A, (VLOOKUP(B65,'DB PMI Manufacturing World'!$A:$AA,MATCH($G$1,'DB PMI Manufacturing World'!$A$1:$AA$1,),)))</f>
        <v/>
      </c>
      <c r="H65" s="38">
        <f>IF((VLOOKUP(B65,'DB PMI Manufacturing World'!$A:$AA,MATCH($H$1,'DB PMI Manufacturing World'!$A$1:$AA$1,),))=0,#N/A, (VLOOKUP(B65,'DB PMI Manufacturing World'!$A:$AA,MATCH($H$1,'DB PMI Manufacturing World'!$A$1:$AA$1,),)))</f>
        <v/>
      </c>
      <c r="I65" s="38">
        <f>IF((VLOOKUP(B65,'DB PMI Manufacturing World'!$A:$AA,MATCH($I$1,'DB PMI Manufacturing World'!$A$1:$AA$1,),))=0,#N/A, (VLOOKUP(B65,'DB PMI Manufacturing World'!$A:$AA,MATCH($I$1,'DB PMI Manufacturing World'!$A$1:$AA$1,),)))</f>
        <v/>
      </c>
      <c r="J65" s="38">
        <f>IF((VLOOKUP(B65,'DB PMI Manufacturing World'!$A:$AA,MATCH($J$1,'DB PMI Manufacturing World'!$A$1:$AA$1,),))=0,#N/A, (VLOOKUP(B65,'DB PMI Manufacturing World'!$A:$AA,MATCH($J$1,'DB PMI Manufacturing World'!$A$1:$AA$1,),)))</f>
        <v/>
      </c>
      <c r="K65" s="38">
        <f>IF((VLOOKUP(B65,'DB PMI Manufacturing World'!$A:$AA,MATCH($K$1,'DB PMI Manufacturing World'!$A$1:$AA$1,),))=0,#N/A, (VLOOKUP(B65,'DB PMI Manufacturing World'!$A:$AA,MATCH($K$1,'DB PMI Manufacturing World'!$A$1:$AA$1,),)))</f>
        <v/>
      </c>
      <c r="L65" s="38">
        <f>IF((VLOOKUP(B65,'DB PMI Manufacturing World'!$A:$AA,MATCH($L$1,'DB PMI Manufacturing World'!$A$1:$AA$1,),))=0,#N/A, (VLOOKUP(B65,'DB PMI Manufacturing World'!$A:$AA,MATCH($L$1,'DB PMI Manufacturing World'!$A$1:$AA$1,),)))</f>
        <v/>
      </c>
      <c r="M65" s="38">
        <f>IF((VLOOKUP(B65,'DB PMI Manufacturing World'!$A:$AA,MATCH($M$1,'DB PMI Manufacturing World'!$A$1:$AA$1,),))=0,#N/A, (VLOOKUP(B65,'DB PMI Manufacturing World'!$A:$AA,MATCH($M$1,'DB PMI Manufacturing World'!$A$1:$AA$1,),)))</f>
        <v/>
      </c>
      <c r="N65" s="38">
        <f>IF((VLOOKUP(B65,'DB PMI Manufacturing World'!$A:$AA,MATCH($N$1,'DB PMI Manufacturing World'!$A$1:$AA$1,),))=0,#N/A, (VLOOKUP(B65,'DB PMI Manufacturing World'!$A:$AA,MATCH($N$1,'DB PMI Manufacturing World'!$A$1:$AA$1,),)))</f>
        <v/>
      </c>
      <c r="O65" s="38">
        <f>IF((VLOOKUP(B65,'DB PMI Manufacturing World'!$A:$AA,MATCH($O$1,'DB PMI Manufacturing World'!$A$1:$AA$1,),))=0,#N/A, (VLOOKUP(B65,'DB PMI Manufacturing World'!$A:$AA,MATCH($O$1,'DB PMI Manufacturing World'!$A$1:$AA$1,),)))</f>
        <v/>
      </c>
      <c r="P65" s="38">
        <f>IF((VLOOKUP(B65,'DB PMI Manufacturing World'!$A:$AA,MATCH($P$1,'DB PMI Manufacturing World'!$A$1:$AA$1,),))=0,#N/A, (VLOOKUP(B65,'DB PMI Manufacturing World'!$A:$AA,MATCH($P$1,'DB PMI Manufacturing World'!$A$1:$AA$1,),)))</f>
        <v/>
      </c>
      <c r="Q65" s="38">
        <f>IF((VLOOKUP(B65,'DB PMI Manufacturing World'!$A:$AA,MATCH($Q$1,'DB PMI Manufacturing World'!$A$1:$AA$1,),))=0,#N/A, (VLOOKUP(B65,'DB PMI Manufacturing World'!$A:$AA,MATCH($Q$1,'DB PMI Manufacturing World'!$A$1:$AA$1,),)))</f>
        <v/>
      </c>
      <c r="R65" s="38">
        <f>IF((VLOOKUP(B65,'DB PMI Manufacturing World'!$A:$AA,MATCH($R$1,'DB PMI Manufacturing World'!$A$1:$AA$1,),))=0,#N/A, (VLOOKUP(B65,'DB PMI Manufacturing World'!$A:$AA,MATCH($R$1,'DB PMI Manufacturing World'!$A$1:$AA$1,),)))</f>
        <v/>
      </c>
      <c r="S65" s="38">
        <f>IF((VLOOKUP(B65,'DB PMI Manufacturing World'!$A:$AA,MATCH($S$1,'DB PMI Manufacturing World'!$A$1:$AA$1,),))=0,#N/A, (VLOOKUP(B65,'DB PMI Manufacturing World'!$A:$AA,MATCH($S$1,'DB PMI Manufacturing World'!$A$1:$AA$1,),)))</f>
        <v/>
      </c>
      <c r="T65" s="38">
        <f>IF((VLOOKUP(B65,'DB PMI Manufacturing World'!$A:$AA,MATCH($T$1,'DB PMI Manufacturing World'!$A$1:$AA$1,),))=0,#N/A, (VLOOKUP(B65,'DB PMI Manufacturing World'!$A:$AA,MATCH($T$1,'DB PMI Manufacturing World'!$A$1:$AA$1,),)))</f>
        <v/>
      </c>
      <c r="U65" s="38">
        <f>IF((VLOOKUP(B65,'DB PMI Manufacturing World'!$A:$AA,MATCH($U$1,'DB PMI Manufacturing World'!$A$1:$AA$1,),))=0,#N/A, (VLOOKUP(B65,'DB PMI Manufacturing World'!$A:$AA,MATCH($U$1,'DB PMI Manufacturing World'!$A$1:$AA$1,),)))</f>
        <v/>
      </c>
      <c r="V65" s="38">
        <f>IF((VLOOKUP(B65,'DB PMI Manufacturing World'!$A:$AA,MATCH($V$1,'DB PMI Manufacturing World'!$A$1:$AA$1,),))=0,#N/A, (VLOOKUP(B65,'DB PMI Manufacturing World'!$A:$AA,MATCH($V$1,'DB PMI Manufacturing World'!$A$1:$AA$1,),)))</f>
        <v/>
      </c>
      <c r="W65" s="38">
        <f>IF((VLOOKUP(B65,'DB PMI Manufacturing World'!$A:$AA,MATCH($W$1,'DB PMI Manufacturing World'!$A$1:$AA$1,),))=0,#N/A, (VLOOKUP(B65,'DB PMI Manufacturing World'!$A:$AA,MATCH($W$1,'DB PMI Manufacturing World'!$A$1:$AA$1,),)))</f>
        <v/>
      </c>
      <c r="X65" s="38">
        <f>IF((VLOOKUP(B65,'DB PMI Manufacturing World'!$A:$AA,MATCH($X$1,'DB PMI Manufacturing World'!$A$1:$AA$1,),))=0,#N/A, (VLOOKUP(B65,'DB PMI Manufacturing World'!$A:$AA,MATCH($X$1,'DB PMI Manufacturing World'!$A$1:$AA$1,),)))</f>
        <v/>
      </c>
      <c r="Y65" s="38">
        <f>IF((VLOOKUP(B65,'DB PMI Manufacturing World'!$A:$AA,MATCH($Y$1,'DB PMI Manufacturing World'!$A$1:$AA$1,),))=0,#N/A, (VLOOKUP(B65,'DB PMI Manufacturing World'!$A:$AA,MATCH($Y$1,'DB PMI Manufacturing World'!$A$1:$AA$1,),)))</f>
        <v/>
      </c>
      <c r="Z65" s="38">
        <f>IF((VLOOKUP(B65,'DB PMI Manufacturing World'!$A:$AA,MATCH($Z$1,'DB PMI Manufacturing World'!$A$1:$AA$1,),))=0,#N/A, (VLOOKUP(B65,'DB PMI Manufacturing World'!$A:$AA,MATCH($Z$1,'DB PMI Manufacturing World'!$A$1:$AA$1,),)))</f>
        <v/>
      </c>
      <c r="AA65" s="38">
        <f>IF((VLOOKUP(B65,'DB PMI Manufacturing World'!$A:$AA,MATCH($AA$1,'DB PMI Manufacturing World'!$A$1:$AA$1,),))=0,#N/A, (VLOOKUP(B65,'DB PMI Manufacturing World'!$A:$AA,MATCH($AA$1,'DB PMI Manufacturing World'!$A$1:$AA$1,),)))</f>
        <v/>
      </c>
      <c r="AB65" s="38">
        <f>IF((VLOOKUP(B65,'DB PMI Manufacturing World'!$A:$AA,MATCH($AB$1,'DB PMI Manufacturing World'!$A$1:$AA$1,),))=0,#N/A, (VLOOKUP(B65,'DB PMI Manufacturing World'!$A:$AA,MATCH($AB$1,'DB PMI Manufacturing World'!$A$1:$AA$1,),)))</f>
        <v/>
      </c>
    </row>
    <row r="66" customFormat="1" s="61">
      <c r="B66" s="29" t="n">
        <v>44531</v>
      </c>
      <c r="C66" s="38">
        <f>IF((VLOOKUP(B66,'DB PMI Manufacturing World'!$A:$AA,MATCH($C$1,'DB PMI Manufacturing World'!$A$1:$AA$1,),))=0,#N/A, (VLOOKUP(B66,'DB PMI Manufacturing World'!$A:$AA,MATCH($C$1,'DB PMI Manufacturing World'!$A$1:$AA$1,),)))</f>
        <v/>
      </c>
      <c r="D66" s="38">
        <f>IF((VLOOKUP(B66,'DB PMI Manufacturing World'!$A:$AA,MATCH($D$1,'DB PMI Manufacturing World'!$A$1:$AA$1,),))=0,#N/A, (VLOOKUP(B66,'DB PMI Manufacturing World'!$A:$AA,MATCH($D$1,'DB PMI Manufacturing World'!$A$1:$AA$1,),)))</f>
        <v/>
      </c>
      <c r="E66" s="38">
        <f>IF((VLOOKUP(B66,'DB PMI Manufacturing World'!$A:$AA,MATCH($E$1,'DB PMI Manufacturing World'!$A$1:$AA$1,),))=0,#N/A, (VLOOKUP(B66,'DB PMI Manufacturing World'!$A:$AA,MATCH($E$1,'DB PMI Manufacturing World'!$A$1:$AA$1,),)))</f>
        <v/>
      </c>
      <c r="F66" s="38">
        <f>IF((VLOOKUP(B66,'DB PMI Manufacturing World'!$A:$AA,MATCH($F$1,'DB PMI Manufacturing World'!$A$1:$AA$1,),))=0,#N/A, (VLOOKUP(B66,'DB PMI Manufacturing World'!$A:$AA,MATCH($F$1,'DB PMI Manufacturing World'!$A$1:$AA$1,),)))</f>
        <v/>
      </c>
      <c r="G66" s="38">
        <f>IF((VLOOKUP(B66,'DB PMI Manufacturing World'!$A:$AA,MATCH($G$1,'DB PMI Manufacturing World'!$A$1:$AA$1,),))=0,#N/A, (VLOOKUP(B66,'DB PMI Manufacturing World'!$A:$AA,MATCH($G$1,'DB PMI Manufacturing World'!$A$1:$AA$1,),)))</f>
        <v/>
      </c>
      <c r="H66" s="38">
        <f>IF((VLOOKUP(B66,'DB PMI Manufacturing World'!$A:$AA,MATCH($H$1,'DB PMI Manufacturing World'!$A$1:$AA$1,),))=0,#N/A, (VLOOKUP(B66,'DB PMI Manufacturing World'!$A:$AA,MATCH($H$1,'DB PMI Manufacturing World'!$A$1:$AA$1,),)))</f>
        <v/>
      </c>
      <c r="I66" s="38">
        <f>IF((VLOOKUP(B66,'DB PMI Manufacturing World'!$A:$AA,MATCH($I$1,'DB PMI Manufacturing World'!$A$1:$AA$1,),))=0,#N/A, (VLOOKUP(B66,'DB PMI Manufacturing World'!$A:$AA,MATCH($I$1,'DB PMI Manufacturing World'!$A$1:$AA$1,),)))</f>
        <v/>
      </c>
      <c r="J66" s="38">
        <f>IF((VLOOKUP(B66,'DB PMI Manufacturing World'!$A:$AA,MATCH($J$1,'DB PMI Manufacturing World'!$A$1:$AA$1,),))=0,#N/A, (VLOOKUP(B66,'DB PMI Manufacturing World'!$A:$AA,MATCH($J$1,'DB PMI Manufacturing World'!$A$1:$AA$1,),)))</f>
        <v/>
      </c>
      <c r="K66" s="38">
        <f>IF((VLOOKUP(B66,'DB PMI Manufacturing World'!$A:$AA,MATCH($K$1,'DB PMI Manufacturing World'!$A$1:$AA$1,),))=0,#N/A, (VLOOKUP(B66,'DB PMI Manufacturing World'!$A:$AA,MATCH($K$1,'DB PMI Manufacturing World'!$A$1:$AA$1,),)))</f>
        <v/>
      </c>
      <c r="L66" s="38">
        <f>IF((VLOOKUP(B66,'DB PMI Manufacturing World'!$A:$AA,MATCH($L$1,'DB PMI Manufacturing World'!$A$1:$AA$1,),))=0,#N/A, (VLOOKUP(B66,'DB PMI Manufacturing World'!$A:$AA,MATCH($L$1,'DB PMI Manufacturing World'!$A$1:$AA$1,),)))</f>
        <v/>
      </c>
      <c r="M66" s="38">
        <f>IF((VLOOKUP(B66,'DB PMI Manufacturing World'!$A:$AA,MATCH($M$1,'DB PMI Manufacturing World'!$A$1:$AA$1,),))=0,#N/A, (VLOOKUP(B66,'DB PMI Manufacturing World'!$A:$AA,MATCH($M$1,'DB PMI Manufacturing World'!$A$1:$AA$1,),)))</f>
        <v/>
      </c>
      <c r="N66" s="38">
        <f>IF((VLOOKUP(B66,'DB PMI Manufacturing World'!$A:$AA,MATCH($N$1,'DB PMI Manufacturing World'!$A$1:$AA$1,),))=0,#N/A, (VLOOKUP(B66,'DB PMI Manufacturing World'!$A:$AA,MATCH($N$1,'DB PMI Manufacturing World'!$A$1:$AA$1,),)))</f>
        <v/>
      </c>
      <c r="O66" s="38">
        <f>IF((VLOOKUP(B66,'DB PMI Manufacturing World'!$A:$AA,MATCH($O$1,'DB PMI Manufacturing World'!$A$1:$AA$1,),))=0,#N/A, (VLOOKUP(B66,'DB PMI Manufacturing World'!$A:$AA,MATCH($O$1,'DB PMI Manufacturing World'!$A$1:$AA$1,),)))</f>
        <v/>
      </c>
      <c r="P66" s="38">
        <f>IF((VLOOKUP(B66,'DB PMI Manufacturing World'!$A:$AA,MATCH($P$1,'DB PMI Manufacturing World'!$A$1:$AA$1,),))=0,#N/A, (VLOOKUP(B66,'DB PMI Manufacturing World'!$A:$AA,MATCH($P$1,'DB PMI Manufacturing World'!$A$1:$AA$1,),)))</f>
        <v/>
      </c>
      <c r="Q66" s="38">
        <f>IF((VLOOKUP(B66,'DB PMI Manufacturing World'!$A:$AA,MATCH($Q$1,'DB PMI Manufacturing World'!$A$1:$AA$1,),))=0,#N/A, (VLOOKUP(B66,'DB PMI Manufacturing World'!$A:$AA,MATCH($Q$1,'DB PMI Manufacturing World'!$A$1:$AA$1,),)))</f>
        <v/>
      </c>
      <c r="R66" s="38">
        <f>IF((VLOOKUP(B66,'DB PMI Manufacturing World'!$A:$AA,MATCH($R$1,'DB PMI Manufacturing World'!$A$1:$AA$1,),))=0,#N/A, (VLOOKUP(B66,'DB PMI Manufacturing World'!$A:$AA,MATCH($R$1,'DB PMI Manufacturing World'!$A$1:$AA$1,),)))</f>
        <v/>
      </c>
      <c r="S66" s="38">
        <f>IF((VLOOKUP(B66,'DB PMI Manufacturing World'!$A:$AA,MATCH($S$1,'DB PMI Manufacturing World'!$A$1:$AA$1,),))=0,#N/A, (VLOOKUP(B66,'DB PMI Manufacturing World'!$A:$AA,MATCH($S$1,'DB PMI Manufacturing World'!$A$1:$AA$1,),)))</f>
        <v/>
      </c>
      <c r="T66" s="38">
        <f>IF((VLOOKUP(B66,'DB PMI Manufacturing World'!$A:$AA,MATCH($T$1,'DB PMI Manufacturing World'!$A$1:$AA$1,),))=0,#N/A, (VLOOKUP(B66,'DB PMI Manufacturing World'!$A:$AA,MATCH($T$1,'DB PMI Manufacturing World'!$A$1:$AA$1,),)))</f>
        <v/>
      </c>
      <c r="U66" s="38">
        <f>IF((VLOOKUP(B66,'DB PMI Manufacturing World'!$A:$AA,MATCH($U$1,'DB PMI Manufacturing World'!$A$1:$AA$1,),))=0,#N/A, (VLOOKUP(B66,'DB PMI Manufacturing World'!$A:$AA,MATCH($U$1,'DB PMI Manufacturing World'!$A$1:$AA$1,),)))</f>
        <v/>
      </c>
      <c r="V66" s="38">
        <f>IF((VLOOKUP(B66,'DB PMI Manufacturing World'!$A:$AA,MATCH($V$1,'DB PMI Manufacturing World'!$A$1:$AA$1,),))=0,#N/A, (VLOOKUP(B66,'DB PMI Manufacturing World'!$A:$AA,MATCH($V$1,'DB PMI Manufacturing World'!$A$1:$AA$1,),)))</f>
        <v/>
      </c>
      <c r="W66" s="38">
        <f>IF((VLOOKUP(B66,'DB PMI Manufacturing World'!$A:$AA,MATCH($W$1,'DB PMI Manufacturing World'!$A$1:$AA$1,),))=0,#N/A, (VLOOKUP(B66,'DB PMI Manufacturing World'!$A:$AA,MATCH($W$1,'DB PMI Manufacturing World'!$A$1:$AA$1,),)))</f>
        <v/>
      </c>
      <c r="X66" s="38">
        <f>IF((VLOOKUP(B66,'DB PMI Manufacturing World'!$A:$AA,MATCH($X$1,'DB PMI Manufacturing World'!$A$1:$AA$1,),))=0,#N/A, (VLOOKUP(B66,'DB PMI Manufacturing World'!$A:$AA,MATCH($X$1,'DB PMI Manufacturing World'!$A$1:$AA$1,),)))</f>
        <v/>
      </c>
      <c r="Y66" s="38">
        <f>IF((VLOOKUP(B66,'DB PMI Manufacturing World'!$A:$AA,MATCH($Y$1,'DB PMI Manufacturing World'!$A$1:$AA$1,),))=0,#N/A, (VLOOKUP(B66,'DB PMI Manufacturing World'!$A:$AA,MATCH($Y$1,'DB PMI Manufacturing World'!$A$1:$AA$1,),)))</f>
        <v/>
      </c>
      <c r="Z66" s="38">
        <f>IF((VLOOKUP(B66,'DB PMI Manufacturing World'!$A:$AA,MATCH($Z$1,'DB PMI Manufacturing World'!$A$1:$AA$1,),))=0,#N/A, (VLOOKUP(B66,'DB PMI Manufacturing World'!$A:$AA,MATCH($Z$1,'DB PMI Manufacturing World'!$A$1:$AA$1,),)))</f>
        <v/>
      </c>
      <c r="AA66" s="38">
        <f>IF((VLOOKUP(B66,'DB PMI Manufacturing World'!$A:$AA,MATCH($AA$1,'DB PMI Manufacturing World'!$A$1:$AA$1,),))=0,#N/A, (VLOOKUP(B66,'DB PMI Manufacturing World'!$A:$AA,MATCH($AA$1,'DB PMI Manufacturing World'!$A$1:$AA$1,),)))</f>
        <v/>
      </c>
      <c r="AB66" s="38">
        <f>IF((VLOOKUP(B66,'DB PMI Manufacturing World'!$A:$AA,MATCH($AB$1,'DB PMI Manufacturing World'!$A$1:$AA$1,),))=0,#N/A, (VLOOKUP(B66,'DB PMI Manufacturing World'!$A:$AA,MATCH($AB$1,'DB PMI Manufacturing World'!$A$1:$AA$1,),)))</f>
        <v/>
      </c>
    </row>
    <row r="67" customFormat="1" s="61">
      <c r="B67" s="29" t="n">
        <v>44562</v>
      </c>
      <c r="C67" s="38">
        <f>IF((VLOOKUP(B67,'DB PMI Manufacturing World'!$A:$AA,MATCH($C$1,'DB PMI Manufacturing World'!$A$1:$AA$1,),))=0,#N/A, (VLOOKUP(B67,'DB PMI Manufacturing World'!$A:$AA,MATCH($C$1,'DB PMI Manufacturing World'!$A$1:$AA$1,),)))</f>
        <v/>
      </c>
      <c r="D67" s="38">
        <f>IF((VLOOKUP(B67,'DB PMI Manufacturing World'!$A:$AA,MATCH($D$1,'DB PMI Manufacturing World'!$A$1:$AA$1,),))=0,#N/A, (VLOOKUP(B67,'DB PMI Manufacturing World'!$A:$AA,MATCH($D$1,'DB PMI Manufacturing World'!$A$1:$AA$1,),)))</f>
        <v/>
      </c>
      <c r="E67" s="38">
        <f>IF((VLOOKUP(B67,'DB PMI Manufacturing World'!$A:$AA,MATCH($E$1,'DB PMI Manufacturing World'!$A$1:$AA$1,),))=0,#N/A, (VLOOKUP(B67,'DB PMI Manufacturing World'!$A:$AA,MATCH($E$1,'DB PMI Manufacturing World'!$A$1:$AA$1,),)))</f>
        <v/>
      </c>
      <c r="F67" s="38">
        <f>IF((VLOOKUP(B67,'DB PMI Manufacturing World'!$A:$AA,MATCH($F$1,'DB PMI Manufacturing World'!$A$1:$AA$1,),))=0,#N/A, (VLOOKUP(B67,'DB PMI Manufacturing World'!$A:$AA,MATCH($F$1,'DB PMI Manufacturing World'!$A$1:$AA$1,),)))</f>
        <v/>
      </c>
      <c r="G67" s="38">
        <f>IF((VLOOKUP(B67,'DB PMI Manufacturing World'!$A:$AA,MATCH($G$1,'DB PMI Manufacturing World'!$A$1:$AA$1,),))=0,#N/A, (VLOOKUP(B67,'DB PMI Manufacturing World'!$A:$AA,MATCH($G$1,'DB PMI Manufacturing World'!$A$1:$AA$1,),)))</f>
        <v/>
      </c>
      <c r="H67" s="38">
        <f>IF((VLOOKUP(B67,'DB PMI Manufacturing World'!$A:$AA,MATCH($H$1,'DB PMI Manufacturing World'!$A$1:$AA$1,),))=0,#N/A, (VLOOKUP(B67,'DB PMI Manufacturing World'!$A:$AA,MATCH($H$1,'DB PMI Manufacturing World'!$A$1:$AA$1,),)))</f>
        <v/>
      </c>
      <c r="I67" s="38">
        <f>IF((VLOOKUP(B67,'DB PMI Manufacturing World'!$A:$AA,MATCH($I$1,'DB PMI Manufacturing World'!$A$1:$AA$1,),))=0,#N/A, (VLOOKUP(B67,'DB PMI Manufacturing World'!$A:$AA,MATCH($I$1,'DB PMI Manufacturing World'!$A$1:$AA$1,),)))</f>
        <v/>
      </c>
      <c r="J67" s="38">
        <f>IF((VLOOKUP(B67,'DB PMI Manufacturing World'!$A:$AA,MATCH($J$1,'DB PMI Manufacturing World'!$A$1:$AA$1,),))=0,#N/A, (VLOOKUP(B67,'DB PMI Manufacturing World'!$A:$AA,MATCH($J$1,'DB PMI Manufacturing World'!$A$1:$AA$1,),)))</f>
        <v/>
      </c>
      <c r="K67" s="38">
        <f>IF((VLOOKUP(B67,'DB PMI Manufacturing World'!$A:$AA,MATCH($K$1,'DB PMI Manufacturing World'!$A$1:$AA$1,),))=0,#N/A, (VLOOKUP(B67,'DB PMI Manufacturing World'!$A:$AA,MATCH($K$1,'DB PMI Manufacturing World'!$A$1:$AA$1,),)))</f>
        <v/>
      </c>
      <c r="L67" s="38">
        <f>IF((VLOOKUP(B67,'DB PMI Manufacturing World'!$A:$AA,MATCH($L$1,'DB PMI Manufacturing World'!$A$1:$AA$1,),))=0,#N/A, (VLOOKUP(B67,'DB PMI Manufacturing World'!$A:$AA,MATCH($L$1,'DB PMI Manufacturing World'!$A$1:$AA$1,),)))</f>
        <v/>
      </c>
      <c r="M67" s="38">
        <f>IF((VLOOKUP(B67,'DB PMI Manufacturing World'!$A:$AA,MATCH($M$1,'DB PMI Manufacturing World'!$A$1:$AA$1,),))=0,#N/A, (VLOOKUP(B67,'DB PMI Manufacturing World'!$A:$AA,MATCH($M$1,'DB PMI Manufacturing World'!$A$1:$AA$1,),)))</f>
        <v/>
      </c>
      <c r="N67" s="38">
        <f>IF((VLOOKUP(B67,'DB PMI Manufacturing World'!$A:$AA,MATCH($N$1,'DB PMI Manufacturing World'!$A$1:$AA$1,),))=0,#N/A, (VLOOKUP(B67,'DB PMI Manufacturing World'!$A:$AA,MATCH($N$1,'DB PMI Manufacturing World'!$A$1:$AA$1,),)))</f>
        <v/>
      </c>
      <c r="O67" s="38">
        <f>IF((VLOOKUP(B67,'DB PMI Manufacturing World'!$A:$AA,MATCH($O$1,'DB PMI Manufacturing World'!$A$1:$AA$1,),))=0,#N/A, (VLOOKUP(B67,'DB PMI Manufacturing World'!$A:$AA,MATCH($O$1,'DB PMI Manufacturing World'!$A$1:$AA$1,),)))</f>
        <v/>
      </c>
      <c r="P67" s="38">
        <f>IF((VLOOKUP(B67,'DB PMI Manufacturing World'!$A:$AA,MATCH($P$1,'DB PMI Manufacturing World'!$A$1:$AA$1,),))=0,#N/A, (VLOOKUP(B67,'DB PMI Manufacturing World'!$A:$AA,MATCH($P$1,'DB PMI Manufacturing World'!$A$1:$AA$1,),)))</f>
        <v/>
      </c>
      <c r="Q67" s="38">
        <f>IF((VLOOKUP(B67,'DB PMI Manufacturing World'!$A:$AA,MATCH($Q$1,'DB PMI Manufacturing World'!$A$1:$AA$1,),))=0,#N/A, (VLOOKUP(B67,'DB PMI Manufacturing World'!$A:$AA,MATCH($Q$1,'DB PMI Manufacturing World'!$A$1:$AA$1,),)))</f>
        <v/>
      </c>
      <c r="R67" s="38">
        <f>IF((VLOOKUP(B67,'DB PMI Manufacturing World'!$A:$AA,MATCH($R$1,'DB PMI Manufacturing World'!$A$1:$AA$1,),))=0,#N/A, (VLOOKUP(B67,'DB PMI Manufacturing World'!$A:$AA,MATCH($R$1,'DB PMI Manufacturing World'!$A$1:$AA$1,),)))</f>
        <v/>
      </c>
      <c r="S67" s="38">
        <f>IF((VLOOKUP(B67,'DB PMI Manufacturing World'!$A:$AA,MATCH($S$1,'DB PMI Manufacturing World'!$A$1:$AA$1,),))=0,#N/A, (VLOOKUP(B67,'DB PMI Manufacturing World'!$A:$AA,MATCH($S$1,'DB PMI Manufacturing World'!$A$1:$AA$1,),)))</f>
        <v/>
      </c>
      <c r="T67" s="38">
        <f>IF((VLOOKUP(B67,'DB PMI Manufacturing World'!$A:$AA,MATCH($T$1,'DB PMI Manufacturing World'!$A$1:$AA$1,),))=0,#N/A, (VLOOKUP(B67,'DB PMI Manufacturing World'!$A:$AA,MATCH($T$1,'DB PMI Manufacturing World'!$A$1:$AA$1,),)))</f>
        <v/>
      </c>
      <c r="U67" s="38">
        <f>IF((VLOOKUP(B67,'DB PMI Manufacturing World'!$A:$AA,MATCH($U$1,'DB PMI Manufacturing World'!$A$1:$AA$1,),))=0,#N/A, (VLOOKUP(B67,'DB PMI Manufacturing World'!$A:$AA,MATCH($U$1,'DB PMI Manufacturing World'!$A$1:$AA$1,),)))</f>
        <v/>
      </c>
      <c r="V67" s="38">
        <f>IF((VLOOKUP(B67,'DB PMI Manufacturing World'!$A:$AA,MATCH($V$1,'DB PMI Manufacturing World'!$A$1:$AA$1,),))=0,#N/A, (VLOOKUP(B67,'DB PMI Manufacturing World'!$A:$AA,MATCH($V$1,'DB PMI Manufacturing World'!$A$1:$AA$1,),)))</f>
        <v/>
      </c>
      <c r="W67" s="38">
        <f>IF((VLOOKUP(B67,'DB PMI Manufacturing World'!$A:$AA,MATCH($W$1,'DB PMI Manufacturing World'!$A$1:$AA$1,),))=0,#N/A, (VLOOKUP(B67,'DB PMI Manufacturing World'!$A:$AA,MATCH($W$1,'DB PMI Manufacturing World'!$A$1:$AA$1,),)))</f>
        <v/>
      </c>
      <c r="X67" s="38">
        <f>IF((VLOOKUP(B67,'DB PMI Manufacturing World'!$A:$AA,MATCH($X$1,'DB PMI Manufacturing World'!$A$1:$AA$1,),))=0,#N/A, (VLOOKUP(B67,'DB PMI Manufacturing World'!$A:$AA,MATCH($X$1,'DB PMI Manufacturing World'!$A$1:$AA$1,),)))</f>
        <v/>
      </c>
      <c r="Y67" s="38">
        <f>IF((VLOOKUP(B67,'DB PMI Manufacturing World'!$A:$AA,MATCH($Y$1,'DB PMI Manufacturing World'!$A$1:$AA$1,),))=0,#N/A, (VLOOKUP(B67,'DB PMI Manufacturing World'!$A:$AA,MATCH($Y$1,'DB PMI Manufacturing World'!$A$1:$AA$1,),)))</f>
        <v/>
      </c>
      <c r="Z67" s="38">
        <f>IF((VLOOKUP(B67,'DB PMI Manufacturing World'!$A:$AA,MATCH($Z$1,'DB PMI Manufacturing World'!$A$1:$AA$1,),))=0,#N/A, (VLOOKUP(B67,'DB PMI Manufacturing World'!$A:$AA,MATCH($Z$1,'DB PMI Manufacturing World'!$A$1:$AA$1,),)))</f>
        <v/>
      </c>
      <c r="AA67" s="38">
        <f>IF((VLOOKUP(B67,'DB PMI Manufacturing World'!$A:$AA,MATCH($AA$1,'DB PMI Manufacturing World'!$A$1:$AA$1,),))=0,#N/A, (VLOOKUP(B67,'DB PMI Manufacturing World'!$A:$AA,MATCH($AA$1,'DB PMI Manufacturing World'!$A$1:$AA$1,),)))</f>
        <v/>
      </c>
      <c r="AB67" s="38">
        <f>IF((VLOOKUP(B67,'DB PMI Manufacturing World'!$A:$AA,MATCH($AB$1,'DB PMI Manufacturing World'!$A$1:$AA$1,),))=0,#N/A, (VLOOKUP(B67,'DB PMI Manufacturing World'!$A:$AA,MATCH($AB$1,'DB PMI Manufacturing World'!$A$1:$AA$1,),)))</f>
        <v/>
      </c>
    </row>
    <row r="68" customFormat="1" s="61">
      <c r="B68" s="29" t="n">
        <v>44593</v>
      </c>
      <c r="C68" s="38">
        <f>IF((VLOOKUP(B68,'DB PMI Manufacturing World'!$A:$AA,MATCH($C$1,'DB PMI Manufacturing World'!$A$1:$AA$1,),))=0,#N/A, (VLOOKUP(B68,'DB PMI Manufacturing World'!$A:$AA,MATCH($C$1,'DB PMI Manufacturing World'!$A$1:$AA$1,),)))</f>
        <v/>
      </c>
      <c r="D68" s="38">
        <f>IF((VLOOKUP(B68,'DB PMI Manufacturing World'!$A:$AA,MATCH($D$1,'DB PMI Manufacturing World'!$A$1:$AA$1,),))=0,#N/A, (VLOOKUP(B68,'DB PMI Manufacturing World'!$A:$AA,MATCH($D$1,'DB PMI Manufacturing World'!$A$1:$AA$1,),)))</f>
        <v/>
      </c>
      <c r="E68" s="38">
        <f>IF((VLOOKUP(B68,'DB PMI Manufacturing World'!$A:$AA,MATCH($E$1,'DB PMI Manufacturing World'!$A$1:$AA$1,),))=0,#N/A, (VLOOKUP(B68,'DB PMI Manufacturing World'!$A:$AA,MATCH($E$1,'DB PMI Manufacturing World'!$A$1:$AA$1,),)))</f>
        <v/>
      </c>
      <c r="F68" s="38">
        <f>IF((VLOOKUP(B68,'DB PMI Manufacturing World'!$A:$AA,MATCH($F$1,'DB PMI Manufacturing World'!$A$1:$AA$1,),))=0,#N/A, (VLOOKUP(B68,'DB PMI Manufacturing World'!$A:$AA,MATCH($F$1,'DB PMI Manufacturing World'!$A$1:$AA$1,),)))</f>
        <v/>
      </c>
      <c r="G68" s="38">
        <f>IF((VLOOKUP(B68,'DB PMI Manufacturing World'!$A:$AA,MATCH($G$1,'DB PMI Manufacturing World'!$A$1:$AA$1,),))=0,#N/A, (VLOOKUP(B68,'DB PMI Manufacturing World'!$A:$AA,MATCH($G$1,'DB PMI Manufacturing World'!$A$1:$AA$1,),)))</f>
        <v/>
      </c>
      <c r="H68" s="38">
        <f>IF((VLOOKUP(B68,'DB PMI Manufacturing World'!$A:$AA,MATCH($H$1,'DB PMI Manufacturing World'!$A$1:$AA$1,),))=0,#N/A, (VLOOKUP(B68,'DB PMI Manufacturing World'!$A:$AA,MATCH($H$1,'DB PMI Manufacturing World'!$A$1:$AA$1,),)))</f>
        <v/>
      </c>
      <c r="I68" s="38">
        <f>IF((VLOOKUP(B68,'DB PMI Manufacturing World'!$A:$AA,MATCH($I$1,'DB PMI Manufacturing World'!$A$1:$AA$1,),))=0,#N/A, (VLOOKUP(B68,'DB PMI Manufacturing World'!$A:$AA,MATCH($I$1,'DB PMI Manufacturing World'!$A$1:$AA$1,),)))</f>
        <v/>
      </c>
      <c r="J68" s="38">
        <f>IF((VLOOKUP(B68,'DB PMI Manufacturing World'!$A:$AA,MATCH($J$1,'DB PMI Manufacturing World'!$A$1:$AA$1,),))=0,#N/A, (VLOOKUP(B68,'DB PMI Manufacturing World'!$A:$AA,MATCH($J$1,'DB PMI Manufacturing World'!$A$1:$AA$1,),)))</f>
        <v/>
      </c>
      <c r="K68" s="38">
        <f>IF((VLOOKUP(B68,'DB PMI Manufacturing World'!$A:$AA,MATCH($K$1,'DB PMI Manufacturing World'!$A$1:$AA$1,),))=0,#N/A, (VLOOKUP(B68,'DB PMI Manufacturing World'!$A:$AA,MATCH($K$1,'DB PMI Manufacturing World'!$A$1:$AA$1,),)))</f>
        <v/>
      </c>
      <c r="L68" s="38">
        <f>IF((VLOOKUP(B68,'DB PMI Manufacturing World'!$A:$AA,MATCH($L$1,'DB PMI Manufacturing World'!$A$1:$AA$1,),))=0,#N/A, (VLOOKUP(B68,'DB PMI Manufacturing World'!$A:$AA,MATCH($L$1,'DB PMI Manufacturing World'!$A$1:$AA$1,),)))</f>
        <v/>
      </c>
      <c r="M68" s="38">
        <f>IF((VLOOKUP(B68,'DB PMI Manufacturing World'!$A:$AA,MATCH($M$1,'DB PMI Manufacturing World'!$A$1:$AA$1,),))=0,#N/A, (VLOOKUP(B68,'DB PMI Manufacturing World'!$A:$AA,MATCH($M$1,'DB PMI Manufacturing World'!$A$1:$AA$1,),)))</f>
        <v/>
      </c>
      <c r="N68" s="38">
        <f>IF((VLOOKUP(B68,'DB PMI Manufacturing World'!$A:$AA,MATCH($N$1,'DB PMI Manufacturing World'!$A$1:$AA$1,),))=0,#N/A, (VLOOKUP(B68,'DB PMI Manufacturing World'!$A:$AA,MATCH($N$1,'DB PMI Manufacturing World'!$A$1:$AA$1,),)))</f>
        <v/>
      </c>
      <c r="O68" s="38">
        <f>IF((VLOOKUP(B68,'DB PMI Manufacturing World'!$A:$AA,MATCH($O$1,'DB PMI Manufacturing World'!$A$1:$AA$1,),))=0,#N/A, (VLOOKUP(B68,'DB PMI Manufacturing World'!$A:$AA,MATCH($O$1,'DB PMI Manufacturing World'!$A$1:$AA$1,),)))</f>
        <v/>
      </c>
      <c r="P68" s="38">
        <f>IF((VLOOKUP(B68,'DB PMI Manufacturing World'!$A:$AA,MATCH($P$1,'DB PMI Manufacturing World'!$A$1:$AA$1,),))=0,#N/A, (VLOOKUP(B68,'DB PMI Manufacturing World'!$A:$AA,MATCH($P$1,'DB PMI Manufacturing World'!$A$1:$AA$1,),)))</f>
        <v/>
      </c>
      <c r="Q68" s="38">
        <f>IF((VLOOKUP(B68,'DB PMI Manufacturing World'!$A:$AA,MATCH($Q$1,'DB PMI Manufacturing World'!$A$1:$AA$1,),))=0,#N/A, (VLOOKUP(B68,'DB PMI Manufacturing World'!$A:$AA,MATCH($Q$1,'DB PMI Manufacturing World'!$A$1:$AA$1,),)))</f>
        <v/>
      </c>
      <c r="R68" s="38">
        <f>IF((VLOOKUP(B68,'DB PMI Manufacturing World'!$A:$AA,MATCH($R$1,'DB PMI Manufacturing World'!$A$1:$AA$1,),))=0,#N/A, (VLOOKUP(B68,'DB PMI Manufacturing World'!$A:$AA,MATCH($R$1,'DB PMI Manufacturing World'!$A$1:$AA$1,),)))</f>
        <v/>
      </c>
      <c r="S68" s="38">
        <f>IF((VLOOKUP(B68,'DB PMI Manufacturing World'!$A:$AA,MATCH($S$1,'DB PMI Manufacturing World'!$A$1:$AA$1,),))=0,#N/A, (VLOOKUP(B68,'DB PMI Manufacturing World'!$A:$AA,MATCH($S$1,'DB PMI Manufacturing World'!$A$1:$AA$1,),)))</f>
        <v/>
      </c>
      <c r="T68" s="38">
        <f>IF((VLOOKUP(B68,'DB PMI Manufacturing World'!$A:$AA,MATCH($T$1,'DB PMI Manufacturing World'!$A$1:$AA$1,),))=0,#N/A, (VLOOKUP(B68,'DB PMI Manufacturing World'!$A:$AA,MATCH($T$1,'DB PMI Manufacturing World'!$A$1:$AA$1,),)))</f>
        <v/>
      </c>
      <c r="U68" s="38">
        <f>IF((VLOOKUP(B68,'DB PMI Manufacturing World'!$A:$AA,MATCH($U$1,'DB PMI Manufacturing World'!$A$1:$AA$1,),))=0,#N/A, (VLOOKUP(B68,'DB PMI Manufacturing World'!$A:$AA,MATCH($U$1,'DB PMI Manufacturing World'!$A$1:$AA$1,),)))</f>
        <v/>
      </c>
      <c r="V68" s="38">
        <f>IF((VLOOKUP(B68,'DB PMI Manufacturing World'!$A:$AA,MATCH($V$1,'DB PMI Manufacturing World'!$A$1:$AA$1,),))=0,#N/A, (VLOOKUP(B68,'DB PMI Manufacturing World'!$A:$AA,MATCH($V$1,'DB PMI Manufacturing World'!$A$1:$AA$1,),)))</f>
        <v/>
      </c>
      <c r="W68" s="38">
        <f>IF((VLOOKUP(B68,'DB PMI Manufacturing World'!$A:$AA,MATCH($W$1,'DB PMI Manufacturing World'!$A$1:$AA$1,),))=0,#N/A, (VLOOKUP(B68,'DB PMI Manufacturing World'!$A:$AA,MATCH($W$1,'DB PMI Manufacturing World'!$A$1:$AA$1,),)))</f>
        <v/>
      </c>
      <c r="X68" s="38">
        <f>IF((VLOOKUP(B68,'DB PMI Manufacturing World'!$A:$AA,MATCH($X$1,'DB PMI Manufacturing World'!$A$1:$AA$1,),))=0,#N/A, (VLOOKUP(B68,'DB PMI Manufacturing World'!$A:$AA,MATCH($X$1,'DB PMI Manufacturing World'!$A$1:$AA$1,),)))</f>
        <v/>
      </c>
      <c r="Y68" s="38">
        <f>IF((VLOOKUP(B68,'DB PMI Manufacturing World'!$A:$AA,MATCH($Y$1,'DB PMI Manufacturing World'!$A$1:$AA$1,),))=0,#N/A, (VLOOKUP(B68,'DB PMI Manufacturing World'!$A:$AA,MATCH($Y$1,'DB PMI Manufacturing World'!$A$1:$AA$1,),)))</f>
        <v/>
      </c>
      <c r="Z68" s="38">
        <f>IF((VLOOKUP(B68,'DB PMI Manufacturing World'!$A:$AA,MATCH($Z$1,'DB PMI Manufacturing World'!$A$1:$AA$1,),))=0,#N/A, (VLOOKUP(B68,'DB PMI Manufacturing World'!$A:$AA,MATCH($Z$1,'DB PMI Manufacturing World'!$A$1:$AA$1,),)))</f>
        <v/>
      </c>
      <c r="AA68" s="38">
        <f>IF((VLOOKUP(B68,'DB PMI Manufacturing World'!$A:$AA,MATCH($AA$1,'DB PMI Manufacturing World'!$A$1:$AA$1,),))=0,#N/A, (VLOOKUP(B68,'DB PMI Manufacturing World'!$A:$AA,MATCH($AA$1,'DB PMI Manufacturing World'!$A$1:$AA$1,),)))</f>
        <v/>
      </c>
      <c r="AB68" s="38">
        <f>IF((VLOOKUP(B68,'DB PMI Manufacturing World'!$A:$AA,MATCH($AB$1,'DB PMI Manufacturing World'!$A$1:$AA$1,),))=0,#N/A, (VLOOKUP(B68,'DB PMI Manufacturing World'!$A:$AA,MATCH($AB$1,'DB PMI Manufacturing World'!$A$1:$AA$1,),)))</f>
        <v/>
      </c>
    </row>
    <row r="69" customFormat="1" s="61">
      <c r="B69" s="29" t="n">
        <v>44621</v>
      </c>
      <c r="C69" s="38">
        <f>IF((VLOOKUP(B69,'DB PMI Manufacturing World'!$A:$AA,MATCH($C$1,'DB PMI Manufacturing World'!$A$1:$AA$1,),))=0,#N/A, (VLOOKUP(B69,'DB PMI Manufacturing World'!$A:$AA,MATCH($C$1,'DB PMI Manufacturing World'!$A$1:$AA$1,),)))</f>
        <v/>
      </c>
      <c r="D69" s="38">
        <f>IF((VLOOKUP(B69,'DB PMI Manufacturing World'!$A:$AA,MATCH($D$1,'DB PMI Manufacturing World'!$A$1:$AA$1,),))=0,#N/A, (VLOOKUP(B69,'DB PMI Manufacturing World'!$A:$AA,MATCH($D$1,'DB PMI Manufacturing World'!$A$1:$AA$1,),)))</f>
        <v/>
      </c>
      <c r="E69" s="38">
        <f>IF((VLOOKUP(B69,'DB PMI Manufacturing World'!$A:$AA,MATCH($E$1,'DB PMI Manufacturing World'!$A$1:$AA$1,),))=0,#N/A, (VLOOKUP(B69,'DB PMI Manufacturing World'!$A:$AA,MATCH($E$1,'DB PMI Manufacturing World'!$A$1:$AA$1,),)))</f>
        <v/>
      </c>
      <c r="F69" s="38">
        <f>IF((VLOOKUP(B69,'DB PMI Manufacturing World'!$A:$AA,MATCH($F$1,'DB PMI Manufacturing World'!$A$1:$AA$1,),))=0,#N/A, (VLOOKUP(B69,'DB PMI Manufacturing World'!$A:$AA,MATCH($F$1,'DB PMI Manufacturing World'!$A$1:$AA$1,),)))</f>
        <v/>
      </c>
      <c r="G69" s="38">
        <f>IF((VLOOKUP(B69,'DB PMI Manufacturing World'!$A:$AA,MATCH($G$1,'DB PMI Manufacturing World'!$A$1:$AA$1,),))=0,#N/A, (VLOOKUP(B69,'DB PMI Manufacturing World'!$A:$AA,MATCH($G$1,'DB PMI Manufacturing World'!$A$1:$AA$1,),)))</f>
        <v/>
      </c>
      <c r="H69" s="38">
        <f>IF((VLOOKUP(B69,'DB PMI Manufacturing World'!$A:$AA,MATCH($H$1,'DB PMI Manufacturing World'!$A$1:$AA$1,),))=0,#N/A, (VLOOKUP(B69,'DB PMI Manufacturing World'!$A:$AA,MATCH($H$1,'DB PMI Manufacturing World'!$A$1:$AA$1,),)))</f>
        <v/>
      </c>
      <c r="I69" s="38">
        <f>IF((VLOOKUP(B69,'DB PMI Manufacturing World'!$A:$AA,MATCH($I$1,'DB PMI Manufacturing World'!$A$1:$AA$1,),))=0,#N/A, (VLOOKUP(B69,'DB PMI Manufacturing World'!$A:$AA,MATCH($I$1,'DB PMI Manufacturing World'!$A$1:$AA$1,),)))</f>
        <v/>
      </c>
      <c r="J69" s="38">
        <f>IF((VLOOKUP(B69,'DB PMI Manufacturing World'!$A:$AA,MATCH($J$1,'DB PMI Manufacturing World'!$A$1:$AA$1,),))=0,#N/A, (VLOOKUP(B69,'DB PMI Manufacturing World'!$A:$AA,MATCH($J$1,'DB PMI Manufacturing World'!$A$1:$AA$1,),)))</f>
        <v/>
      </c>
      <c r="K69" s="38">
        <f>IF((VLOOKUP(B69,'DB PMI Manufacturing World'!$A:$AA,MATCH($K$1,'DB PMI Manufacturing World'!$A$1:$AA$1,),))=0,#N/A, (VLOOKUP(B69,'DB PMI Manufacturing World'!$A:$AA,MATCH($K$1,'DB PMI Manufacturing World'!$A$1:$AA$1,),)))</f>
        <v/>
      </c>
      <c r="L69" s="38">
        <f>IF((VLOOKUP(B69,'DB PMI Manufacturing World'!$A:$AA,MATCH($L$1,'DB PMI Manufacturing World'!$A$1:$AA$1,),))=0,#N/A, (VLOOKUP(B69,'DB PMI Manufacturing World'!$A:$AA,MATCH($L$1,'DB PMI Manufacturing World'!$A$1:$AA$1,),)))</f>
        <v/>
      </c>
      <c r="M69" s="38">
        <f>IF((VLOOKUP(B69,'DB PMI Manufacturing World'!$A:$AA,MATCH($M$1,'DB PMI Manufacturing World'!$A$1:$AA$1,),))=0,#N/A, (VLOOKUP(B69,'DB PMI Manufacturing World'!$A:$AA,MATCH($M$1,'DB PMI Manufacturing World'!$A$1:$AA$1,),)))</f>
        <v/>
      </c>
      <c r="N69" s="38">
        <f>IF((VLOOKUP(B69,'DB PMI Manufacturing World'!$A:$AA,MATCH($N$1,'DB PMI Manufacturing World'!$A$1:$AA$1,),))=0,#N/A, (VLOOKUP(B69,'DB PMI Manufacturing World'!$A:$AA,MATCH($N$1,'DB PMI Manufacturing World'!$A$1:$AA$1,),)))</f>
        <v/>
      </c>
      <c r="O69" s="38">
        <f>IF((VLOOKUP(B69,'DB PMI Manufacturing World'!$A:$AA,MATCH($O$1,'DB PMI Manufacturing World'!$A$1:$AA$1,),))=0,#N/A, (VLOOKUP(B69,'DB PMI Manufacturing World'!$A:$AA,MATCH($O$1,'DB PMI Manufacturing World'!$A$1:$AA$1,),)))</f>
        <v/>
      </c>
      <c r="P69" s="38">
        <f>IF((VLOOKUP(B69,'DB PMI Manufacturing World'!$A:$AA,MATCH($P$1,'DB PMI Manufacturing World'!$A$1:$AA$1,),))=0,#N/A, (VLOOKUP(B69,'DB PMI Manufacturing World'!$A:$AA,MATCH($P$1,'DB PMI Manufacturing World'!$A$1:$AA$1,),)))</f>
        <v/>
      </c>
      <c r="Q69" s="38">
        <f>IF((VLOOKUP(B69,'DB PMI Manufacturing World'!$A:$AA,MATCH($Q$1,'DB PMI Manufacturing World'!$A$1:$AA$1,),))=0,#N/A, (VLOOKUP(B69,'DB PMI Manufacturing World'!$A:$AA,MATCH($Q$1,'DB PMI Manufacturing World'!$A$1:$AA$1,),)))</f>
        <v/>
      </c>
      <c r="R69" s="38">
        <f>IF((VLOOKUP(B69,'DB PMI Manufacturing World'!$A:$AA,MATCH($R$1,'DB PMI Manufacturing World'!$A$1:$AA$1,),))=0,#N/A, (VLOOKUP(B69,'DB PMI Manufacturing World'!$A:$AA,MATCH($R$1,'DB PMI Manufacturing World'!$A$1:$AA$1,),)))</f>
        <v/>
      </c>
      <c r="S69" s="38">
        <f>IF((VLOOKUP(B69,'DB PMI Manufacturing World'!$A:$AA,MATCH($S$1,'DB PMI Manufacturing World'!$A$1:$AA$1,),))=0,#N/A, (VLOOKUP(B69,'DB PMI Manufacturing World'!$A:$AA,MATCH($S$1,'DB PMI Manufacturing World'!$A$1:$AA$1,),)))</f>
        <v/>
      </c>
      <c r="T69" s="38">
        <f>IF((VLOOKUP(B69,'DB PMI Manufacturing World'!$A:$AA,MATCH($T$1,'DB PMI Manufacturing World'!$A$1:$AA$1,),))=0,#N/A, (VLOOKUP(B69,'DB PMI Manufacturing World'!$A:$AA,MATCH($T$1,'DB PMI Manufacturing World'!$A$1:$AA$1,),)))</f>
        <v/>
      </c>
      <c r="U69" s="38">
        <f>IF((VLOOKUP(B69,'DB PMI Manufacturing World'!$A:$AA,MATCH($U$1,'DB PMI Manufacturing World'!$A$1:$AA$1,),))=0,#N/A, (VLOOKUP(B69,'DB PMI Manufacturing World'!$A:$AA,MATCH($U$1,'DB PMI Manufacturing World'!$A$1:$AA$1,),)))</f>
        <v/>
      </c>
      <c r="V69" s="38">
        <f>IF((VLOOKUP(B69,'DB PMI Manufacturing World'!$A:$AA,MATCH($V$1,'DB PMI Manufacturing World'!$A$1:$AA$1,),))=0,#N/A, (VLOOKUP(B69,'DB PMI Manufacturing World'!$A:$AA,MATCH($V$1,'DB PMI Manufacturing World'!$A$1:$AA$1,),)))</f>
        <v/>
      </c>
      <c r="W69" s="38">
        <f>IF((VLOOKUP(B69,'DB PMI Manufacturing World'!$A:$AA,MATCH($W$1,'DB PMI Manufacturing World'!$A$1:$AA$1,),))=0,#N/A, (VLOOKUP(B69,'DB PMI Manufacturing World'!$A:$AA,MATCH($W$1,'DB PMI Manufacturing World'!$A$1:$AA$1,),)))</f>
        <v/>
      </c>
      <c r="X69" s="38">
        <f>IF((VLOOKUP(B69,'DB PMI Manufacturing World'!$A:$AA,MATCH($X$1,'DB PMI Manufacturing World'!$A$1:$AA$1,),))=0,#N/A, (VLOOKUP(B69,'DB PMI Manufacturing World'!$A:$AA,MATCH($X$1,'DB PMI Manufacturing World'!$A$1:$AA$1,),)))</f>
        <v/>
      </c>
      <c r="Y69" s="38">
        <f>IF((VLOOKUP(B69,'DB PMI Manufacturing World'!$A:$AA,MATCH($Y$1,'DB PMI Manufacturing World'!$A$1:$AA$1,),))=0,#N/A, (VLOOKUP(B69,'DB PMI Manufacturing World'!$A:$AA,MATCH($Y$1,'DB PMI Manufacturing World'!$A$1:$AA$1,),)))</f>
        <v/>
      </c>
      <c r="Z69" s="38">
        <f>IF((VLOOKUP(B69,'DB PMI Manufacturing World'!$A:$AA,MATCH($Z$1,'DB PMI Manufacturing World'!$A$1:$AA$1,),))=0,#N/A, (VLOOKUP(B69,'DB PMI Manufacturing World'!$A:$AA,MATCH($Z$1,'DB PMI Manufacturing World'!$A$1:$AA$1,),)))</f>
        <v/>
      </c>
      <c r="AA69" s="38">
        <f>IF((VLOOKUP(B69,'DB PMI Manufacturing World'!$A:$AA,MATCH($AA$1,'DB PMI Manufacturing World'!$A$1:$AA$1,),))=0,#N/A, (VLOOKUP(B69,'DB PMI Manufacturing World'!$A:$AA,MATCH($AA$1,'DB PMI Manufacturing World'!$A$1:$AA$1,),)))</f>
        <v/>
      </c>
      <c r="AB69" s="38">
        <f>IF((VLOOKUP(B69,'DB PMI Manufacturing World'!$A:$AA,MATCH($AB$1,'DB PMI Manufacturing World'!$A$1:$AA$1,),))=0,#N/A, (VLOOKUP(B69,'DB PMI Manufacturing World'!$A:$AA,MATCH($AB$1,'DB PMI Manufacturing World'!$A$1:$AA$1,),)))</f>
        <v/>
      </c>
    </row>
    <row r="70" customFormat="1" s="61">
      <c r="B70" s="29" t="n">
        <v>44652</v>
      </c>
      <c r="C70" s="38">
        <f>IF((VLOOKUP(B70,'DB PMI Manufacturing World'!$A:$AA,MATCH($C$1,'DB PMI Manufacturing World'!$A$1:$AA$1,),))=0,#N/A, (VLOOKUP(B70,'DB PMI Manufacturing World'!$A:$AA,MATCH($C$1,'DB PMI Manufacturing World'!$A$1:$AA$1,),)))</f>
        <v/>
      </c>
      <c r="D70" s="38">
        <f>IF((VLOOKUP(B70,'DB PMI Manufacturing World'!$A:$AA,MATCH($D$1,'DB PMI Manufacturing World'!$A$1:$AA$1,),))=0,#N/A, (VLOOKUP(B70,'DB PMI Manufacturing World'!$A:$AA,MATCH($D$1,'DB PMI Manufacturing World'!$A$1:$AA$1,),)))</f>
        <v/>
      </c>
      <c r="E70" s="38">
        <f>IF((VLOOKUP(B70,'DB PMI Manufacturing World'!$A:$AA,MATCH($E$1,'DB PMI Manufacturing World'!$A$1:$AA$1,),))=0,#N/A, (VLOOKUP(B70,'DB PMI Manufacturing World'!$A:$AA,MATCH($E$1,'DB PMI Manufacturing World'!$A$1:$AA$1,),)))</f>
        <v/>
      </c>
      <c r="F70" s="38">
        <f>IF((VLOOKUP(B70,'DB PMI Manufacturing World'!$A:$AA,MATCH($F$1,'DB PMI Manufacturing World'!$A$1:$AA$1,),))=0,#N/A, (VLOOKUP(B70,'DB PMI Manufacturing World'!$A:$AA,MATCH($F$1,'DB PMI Manufacturing World'!$A$1:$AA$1,),)))</f>
        <v/>
      </c>
      <c r="G70" s="38">
        <f>IF((VLOOKUP(B70,'DB PMI Manufacturing World'!$A:$AA,MATCH($G$1,'DB PMI Manufacturing World'!$A$1:$AA$1,),))=0,#N/A, (VLOOKUP(B70,'DB PMI Manufacturing World'!$A:$AA,MATCH($G$1,'DB PMI Manufacturing World'!$A$1:$AA$1,),)))</f>
        <v/>
      </c>
      <c r="H70" s="38">
        <f>IF((VLOOKUP(B70,'DB PMI Manufacturing World'!$A:$AA,MATCH($H$1,'DB PMI Manufacturing World'!$A$1:$AA$1,),))=0,#N/A, (VLOOKUP(B70,'DB PMI Manufacturing World'!$A:$AA,MATCH($H$1,'DB PMI Manufacturing World'!$A$1:$AA$1,),)))</f>
        <v/>
      </c>
      <c r="I70" s="38">
        <f>IF((VLOOKUP(B70,'DB PMI Manufacturing World'!$A:$AA,MATCH($I$1,'DB PMI Manufacturing World'!$A$1:$AA$1,),))=0,#N/A, (VLOOKUP(B70,'DB PMI Manufacturing World'!$A:$AA,MATCH($I$1,'DB PMI Manufacturing World'!$A$1:$AA$1,),)))</f>
        <v/>
      </c>
      <c r="J70" s="38">
        <f>IF((VLOOKUP(B70,'DB PMI Manufacturing World'!$A:$AA,MATCH($J$1,'DB PMI Manufacturing World'!$A$1:$AA$1,),))=0,#N/A, (VLOOKUP(B70,'DB PMI Manufacturing World'!$A:$AA,MATCH($J$1,'DB PMI Manufacturing World'!$A$1:$AA$1,),)))</f>
        <v/>
      </c>
      <c r="K70" s="38">
        <f>IF((VLOOKUP(B70,'DB PMI Manufacturing World'!$A:$AA,MATCH($K$1,'DB PMI Manufacturing World'!$A$1:$AA$1,),))=0,#N/A, (VLOOKUP(B70,'DB PMI Manufacturing World'!$A:$AA,MATCH($K$1,'DB PMI Manufacturing World'!$A$1:$AA$1,),)))</f>
        <v/>
      </c>
      <c r="L70" s="38">
        <f>IF((VLOOKUP(B70,'DB PMI Manufacturing World'!$A:$AA,MATCH($L$1,'DB PMI Manufacturing World'!$A$1:$AA$1,),))=0,#N/A, (VLOOKUP(B70,'DB PMI Manufacturing World'!$A:$AA,MATCH($L$1,'DB PMI Manufacturing World'!$A$1:$AA$1,),)))</f>
        <v/>
      </c>
      <c r="M70" s="38">
        <f>IF((VLOOKUP(B70,'DB PMI Manufacturing World'!$A:$AA,MATCH($M$1,'DB PMI Manufacturing World'!$A$1:$AA$1,),))=0,#N/A, (VLOOKUP(B70,'DB PMI Manufacturing World'!$A:$AA,MATCH($M$1,'DB PMI Manufacturing World'!$A$1:$AA$1,),)))</f>
        <v/>
      </c>
      <c r="N70" s="38">
        <f>IF((VLOOKUP(B70,'DB PMI Manufacturing World'!$A:$AA,MATCH($N$1,'DB PMI Manufacturing World'!$A$1:$AA$1,),))=0,#N/A, (VLOOKUP(B70,'DB PMI Manufacturing World'!$A:$AA,MATCH($N$1,'DB PMI Manufacturing World'!$A$1:$AA$1,),)))</f>
        <v/>
      </c>
      <c r="O70" s="38">
        <f>IF((VLOOKUP(B70,'DB PMI Manufacturing World'!$A:$AA,MATCH($O$1,'DB PMI Manufacturing World'!$A$1:$AA$1,),))=0,#N/A, (VLOOKUP(B70,'DB PMI Manufacturing World'!$A:$AA,MATCH($O$1,'DB PMI Manufacturing World'!$A$1:$AA$1,),)))</f>
        <v/>
      </c>
      <c r="P70" s="38">
        <f>IF((VLOOKUP(B70,'DB PMI Manufacturing World'!$A:$AA,MATCH($P$1,'DB PMI Manufacturing World'!$A$1:$AA$1,),))=0,#N/A, (VLOOKUP(B70,'DB PMI Manufacturing World'!$A:$AA,MATCH($P$1,'DB PMI Manufacturing World'!$A$1:$AA$1,),)))</f>
        <v/>
      </c>
      <c r="Q70" s="38">
        <f>IF((VLOOKUP(B70,'DB PMI Manufacturing World'!$A:$AA,MATCH($Q$1,'DB PMI Manufacturing World'!$A$1:$AA$1,),))=0,#N/A, (VLOOKUP(B70,'DB PMI Manufacturing World'!$A:$AA,MATCH($Q$1,'DB PMI Manufacturing World'!$A$1:$AA$1,),)))</f>
        <v/>
      </c>
      <c r="R70" s="38">
        <f>IF((VLOOKUP(B70,'DB PMI Manufacturing World'!$A:$AA,MATCH($R$1,'DB PMI Manufacturing World'!$A$1:$AA$1,),))=0,#N/A, (VLOOKUP(B70,'DB PMI Manufacturing World'!$A:$AA,MATCH($R$1,'DB PMI Manufacturing World'!$A$1:$AA$1,),)))</f>
        <v/>
      </c>
      <c r="S70" s="38">
        <f>IF((VLOOKUP(B70,'DB PMI Manufacturing World'!$A:$AA,MATCH($S$1,'DB PMI Manufacturing World'!$A$1:$AA$1,),))=0,#N/A, (VLOOKUP(B70,'DB PMI Manufacturing World'!$A:$AA,MATCH($S$1,'DB PMI Manufacturing World'!$A$1:$AA$1,),)))</f>
        <v/>
      </c>
      <c r="T70" s="38">
        <f>IF((VLOOKUP(B70,'DB PMI Manufacturing World'!$A:$AA,MATCH($T$1,'DB PMI Manufacturing World'!$A$1:$AA$1,),))=0,#N/A, (VLOOKUP(B70,'DB PMI Manufacturing World'!$A:$AA,MATCH($T$1,'DB PMI Manufacturing World'!$A$1:$AA$1,),)))</f>
        <v/>
      </c>
      <c r="U70" s="38">
        <f>IF((VLOOKUP(B70,'DB PMI Manufacturing World'!$A:$AA,MATCH($U$1,'DB PMI Manufacturing World'!$A$1:$AA$1,),))=0,#N/A, (VLOOKUP(B70,'DB PMI Manufacturing World'!$A:$AA,MATCH($U$1,'DB PMI Manufacturing World'!$A$1:$AA$1,),)))</f>
        <v/>
      </c>
      <c r="V70" s="38">
        <f>IF((VLOOKUP(B70,'DB PMI Manufacturing World'!$A:$AA,MATCH($V$1,'DB PMI Manufacturing World'!$A$1:$AA$1,),))=0,#N/A, (VLOOKUP(B70,'DB PMI Manufacturing World'!$A:$AA,MATCH($V$1,'DB PMI Manufacturing World'!$A$1:$AA$1,),)))</f>
        <v/>
      </c>
      <c r="W70" s="38">
        <f>IF((VLOOKUP(B70,'DB PMI Manufacturing World'!$A:$AA,MATCH($W$1,'DB PMI Manufacturing World'!$A$1:$AA$1,),))=0,#N/A, (VLOOKUP(B70,'DB PMI Manufacturing World'!$A:$AA,MATCH($W$1,'DB PMI Manufacturing World'!$A$1:$AA$1,),)))</f>
        <v/>
      </c>
      <c r="X70" s="38">
        <f>IF((VLOOKUP(B70,'DB PMI Manufacturing World'!$A:$AA,MATCH($X$1,'DB PMI Manufacturing World'!$A$1:$AA$1,),))=0,#N/A, (VLOOKUP(B70,'DB PMI Manufacturing World'!$A:$AA,MATCH($X$1,'DB PMI Manufacturing World'!$A$1:$AA$1,),)))</f>
        <v/>
      </c>
      <c r="Y70" s="38">
        <f>IF((VLOOKUP(B70,'DB PMI Manufacturing World'!$A:$AA,MATCH($Y$1,'DB PMI Manufacturing World'!$A$1:$AA$1,),))=0,#N/A, (VLOOKUP(B70,'DB PMI Manufacturing World'!$A:$AA,MATCH($Y$1,'DB PMI Manufacturing World'!$A$1:$AA$1,),)))</f>
        <v/>
      </c>
      <c r="Z70" s="38">
        <f>IF((VLOOKUP(B70,'DB PMI Manufacturing World'!$A:$AA,MATCH($Z$1,'DB PMI Manufacturing World'!$A$1:$AA$1,),))=0,#N/A, (VLOOKUP(B70,'DB PMI Manufacturing World'!$A:$AA,MATCH($Z$1,'DB PMI Manufacturing World'!$A$1:$AA$1,),)))</f>
        <v/>
      </c>
      <c r="AA70" s="38">
        <f>IF((VLOOKUP(B70,'DB PMI Manufacturing World'!$A:$AA,MATCH($AA$1,'DB PMI Manufacturing World'!$A$1:$AA$1,),))=0,#N/A, (VLOOKUP(B70,'DB PMI Manufacturing World'!$A:$AA,MATCH($AA$1,'DB PMI Manufacturing World'!$A$1:$AA$1,),)))</f>
        <v/>
      </c>
      <c r="AB70" s="38">
        <f>IF((VLOOKUP(B70,'DB PMI Manufacturing World'!$A:$AA,MATCH($AB$1,'DB PMI Manufacturing World'!$A$1:$AA$1,),))=0,#N/A, (VLOOKUP(B70,'DB PMI Manufacturing World'!$A:$AA,MATCH($AB$1,'DB PMI Manufacturing World'!$A$1:$AA$1,),)))</f>
        <v/>
      </c>
    </row>
    <row r="71" customFormat="1" s="61">
      <c r="B71" s="29" t="n">
        <v>44682</v>
      </c>
      <c r="C71" s="38">
        <f>IF((VLOOKUP(B71,'DB PMI Manufacturing World'!$A:$AA,MATCH($C$1,'DB PMI Manufacturing World'!$A$1:$AA$1,),))=0,#N/A, (VLOOKUP(B71,'DB PMI Manufacturing World'!$A:$AA,MATCH($C$1,'DB PMI Manufacturing World'!$A$1:$AA$1,),)))</f>
        <v/>
      </c>
      <c r="D71" s="38">
        <f>IF((VLOOKUP(B71,'DB PMI Manufacturing World'!$A:$AA,MATCH($D$1,'DB PMI Manufacturing World'!$A$1:$AA$1,),))=0,#N/A, (VLOOKUP(B71,'DB PMI Manufacturing World'!$A:$AA,MATCH($D$1,'DB PMI Manufacturing World'!$A$1:$AA$1,),)))</f>
        <v/>
      </c>
      <c r="E71" s="38">
        <f>IF((VLOOKUP(B71,'DB PMI Manufacturing World'!$A:$AA,MATCH($E$1,'DB PMI Manufacturing World'!$A$1:$AA$1,),))=0,#N/A, (VLOOKUP(B71,'DB PMI Manufacturing World'!$A:$AA,MATCH($E$1,'DB PMI Manufacturing World'!$A$1:$AA$1,),)))</f>
        <v/>
      </c>
      <c r="F71" s="38">
        <f>IF((VLOOKUP(B71,'DB PMI Manufacturing World'!$A:$AA,MATCH($F$1,'DB PMI Manufacturing World'!$A$1:$AA$1,),))=0,#N/A, (VLOOKUP(B71,'DB PMI Manufacturing World'!$A:$AA,MATCH($F$1,'DB PMI Manufacturing World'!$A$1:$AA$1,),)))</f>
        <v/>
      </c>
      <c r="G71" s="38">
        <f>IF((VLOOKUP(B71,'DB PMI Manufacturing World'!$A:$AA,MATCH($G$1,'DB PMI Manufacturing World'!$A$1:$AA$1,),))=0,#N/A, (VLOOKUP(B71,'DB PMI Manufacturing World'!$A:$AA,MATCH($G$1,'DB PMI Manufacturing World'!$A$1:$AA$1,),)))</f>
        <v/>
      </c>
      <c r="H71" s="38">
        <f>IF((VLOOKUP(B71,'DB PMI Manufacturing World'!$A:$AA,MATCH($H$1,'DB PMI Manufacturing World'!$A$1:$AA$1,),))=0,#N/A, (VLOOKUP(B71,'DB PMI Manufacturing World'!$A:$AA,MATCH($H$1,'DB PMI Manufacturing World'!$A$1:$AA$1,),)))</f>
        <v/>
      </c>
      <c r="I71" s="38">
        <f>IF((VLOOKUP(B71,'DB PMI Manufacturing World'!$A:$AA,MATCH($I$1,'DB PMI Manufacturing World'!$A$1:$AA$1,),))=0,#N/A, (VLOOKUP(B71,'DB PMI Manufacturing World'!$A:$AA,MATCH($I$1,'DB PMI Manufacturing World'!$A$1:$AA$1,),)))</f>
        <v/>
      </c>
      <c r="J71" s="38">
        <f>IF((VLOOKUP(B71,'DB PMI Manufacturing World'!$A:$AA,MATCH($J$1,'DB PMI Manufacturing World'!$A$1:$AA$1,),))=0,#N/A, (VLOOKUP(B71,'DB PMI Manufacturing World'!$A:$AA,MATCH($J$1,'DB PMI Manufacturing World'!$A$1:$AA$1,),)))</f>
        <v/>
      </c>
      <c r="K71" s="38">
        <f>IF((VLOOKUP(B71,'DB PMI Manufacturing World'!$A:$AA,MATCH($K$1,'DB PMI Manufacturing World'!$A$1:$AA$1,),))=0,#N/A, (VLOOKUP(B71,'DB PMI Manufacturing World'!$A:$AA,MATCH($K$1,'DB PMI Manufacturing World'!$A$1:$AA$1,),)))</f>
        <v/>
      </c>
      <c r="L71" s="38">
        <f>IF((VLOOKUP(B71,'DB PMI Manufacturing World'!$A:$AA,MATCH($L$1,'DB PMI Manufacturing World'!$A$1:$AA$1,),))=0,#N/A, (VLOOKUP(B71,'DB PMI Manufacturing World'!$A:$AA,MATCH($L$1,'DB PMI Manufacturing World'!$A$1:$AA$1,),)))</f>
        <v/>
      </c>
      <c r="M71" s="38">
        <f>IF((VLOOKUP(B71,'DB PMI Manufacturing World'!$A:$AA,MATCH($M$1,'DB PMI Manufacturing World'!$A$1:$AA$1,),))=0,#N/A, (VLOOKUP(B71,'DB PMI Manufacturing World'!$A:$AA,MATCH($M$1,'DB PMI Manufacturing World'!$A$1:$AA$1,),)))</f>
        <v/>
      </c>
      <c r="N71" s="38">
        <f>IF((VLOOKUP(B71,'DB PMI Manufacturing World'!$A:$AA,MATCH($N$1,'DB PMI Manufacturing World'!$A$1:$AA$1,),))=0,#N/A, (VLOOKUP(B71,'DB PMI Manufacturing World'!$A:$AA,MATCH($N$1,'DB PMI Manufacturing World'!$A$1:$AA$1,),)))</f>
        <v/>
      </c>
      <c r="O71" s="38">
        <f>IF((VLOOKUP(B71,'DB PMI Manufacturing World'!$A:$AA,MATCH($O$1,'DB PMI Manufacturing World'!$A$1:$AA$1,),))=0,#N/A, (VLOOKUP(B71,'DB PMI Manufacturing World'!$A:$AA,MATCH($O$1,'DB PMI Manufacturing World'!$A$1:$AA$1,),)))</f>
        <v/>
      </c>
      <c r="P71" s="38">
        <f>IF((VLOOKUP(B71,'DB PMI Manufacturing World'!$A:$AA,MATCH($P$1,'DB PMI Manufacturing World'!$A$1:$AA$1,),))=0,#N/A, (VLOOKUP(B71,'DB PMI Manufacturing World'!$A:$AA,MATCH($P$1,'DB PMI Manufacturing World'!$A$1:$AA$1,),)))</f>
        <v/>
      </c>
      <c r="Q71" s="38">
        <f>IF((VLOOKUP(B71,'DB PMI Manufacturing World'!$A:$AA,MATCH($Q$1,'DB PMI Manufacturing World'!$A$1:$AA$1,),))=0,#N/A, (VLOOKUP(B71,'DB PMI Manufacturing World'!$A:$AA,MATCH($Q$1,'DB PMI Manufacturing World'!$A$1:$AA$1,),)))</f>
        <v/>
      </c>
      <c r="R71" s="38">
        <f>IF((VLOOKUP(B71,'DB PMI Manufacturing World'!$A:$AA,MATCH($R$1,'DB PMI Manufacturing World'!$A$1:$AA$1,),))=0,#N/A, (VLOOKUP(B71,'DB PMI Manufacturing World'!$A:$AA,MATCH($R$1,'DB PMI Manufacturing World'!$A$1:$AA$1,),)))</f>
        <v/>
      </c>
      <c r="S71" s="38">
        <f>IF((VLOOKUP(B71,'DB PMI Manufacturing World'!$A:$AA,MATCH($S$1,'DB PMI Manufacturing World'!$A$1:$AA$1,),))=0,#N/A, (VLOOKUP(B71,'DB PMI Manufacturing World'!$A:$AA,MATCH($S$1,'DB PMI Manufacturing World'!$A$1:$AA$1,),)))</f>
        <v/>
      </c>
      <c r="T71" s="38">
        <f>IF((VLOOKUP(B71,'DB PMI Manufacturing World'!$A:$AA,MATCH($T$1,'DB PMI Manufacturing World'!$A$1:$AA$1,),))=0,#N/A, (VLOOKUP(B71,'DB PMI Manufacturing World'!$A:$AA,MATCH($T$1,'DB PMI Manufacturing World'!$A$1:$AA$1,),)))</f>
        <v/>
      </c>
      <c r="U71" s="38">
        <f>IF((VLOOKUP(B71,'DB PMI Manufacturing World'!$A:$AA,MATCH($U$1,'DB PMI Manufacturing World'!$A$1:$AA$1,),))=0,#N/A, (VLOOKUP(B71,'DB PMI Manufacturing World'!$A:$AA,MATCH($U$1,'DB PMI Manufacturing World'!$A$1:$AA$1,),)))</f>
        <v/>
      </c>
      <c r="V71" s="38">
        <f>IF((VLOOKUP(B71,'DB PMI Manufacturing World'!$A:$AA,MATCH($V$1,'DB PMI Manufacturing World'!$A$1:$AA$1,),))=0,#N/A, (VLOOKUP(B71,'DB PMI Manufacturing World'!$A:$AA,MATCH($V$1,'DB PMI Manufacturing World'!$A$1:$AA$1,),)))</f>
        <v/>
      </c>
      <c r="W71" s="38">
        <f>IF((VLOOKUP(B71,'DB PMI Manufacturing World'!$A:$AA,MATCH($W$1,'DB PMI Manufacturing World'!$A$1:$AA$1,),))=0,#N/A, (VLOOKUP(B71,'DB PMI Manufacturing World'!$A:$AA,MATCH($W$1,'DB PMI Manufacturing World'!$A$1:$AA$1,),)))</f>
        <v/>
      </c>
      <c r="X71" s="38">
        <f>IF((VLOOKUP(B71,'DB PMI Manufacturing World'!$A:$AA,MATCH($X$1,'DB PMI Manufacturing World'!$A$1:$AA$1,),))=0,#N/A, (VLOOKUP(B71,'DB PMI Manufacturing World'!$A:$AA,MATCH($X$1,'DB PMI Manufacturing World'!$A$1:$AA$1,),)))</f>
        <v/>
      </c>
      <c r="Y71" s="38">
        <f>IF((VLOOKUP(B71,'DB PMI Manufacturing World'!$A:$AA,MATCH($Y$1,'DB PMI Manufacturing World'!$A$1:$AA$1,),))=0,#N/A, (VLOOKUP(B71,'DB PMI Manufacturing World'!$A:$AA,MATCH($Y$1,'DB PMI Manufacturing World'!$A$1:$AA$1,),)))</f>
        <v/>
      </c>
      <c r="Z71" s="38">
        <f>IF((VLOOKUP(B71,'DB PMI Manufacturing World'!$A:$AA,MATCH($Z$1,'DB PMI Manufacturing World'!$A$1:$AA$1,),))=0,#N/A, (VLOOKUP(B71,'DB PMI Manufacturing World'!$A:$AA,MATCH($Z$1,'DB PMI Manufacturing World'!$A$1:$AA$1,),)))</f>
        <v/>
      </c>
      <c r="AA71" s="38">
        <f>IF((VLOOKUP(B71,'DB PMI Manufacturing World'!$A:$AA,MATCH($AA$1,'DB PMI Manufacturing World'!$A$1:$AA$1,),))=0,#N/A, (VLOOKUP(B71,'DB PMI Manufacturing World'!$A:$AA,MATCH($AA$1,'DB PMI Manufacturing World'!$A$1:$AA$1,),)))</f>
        <v/>
      </c>
      <c r="AB71" s="38">
        <f>IF((VLOOKUP(B71,'DB PMI Manufacturing World'!$A:$AA,MATCH($AB$1,'DB PMI Manufacturing World'!$A$1:$AA$1,),))=0,#N/A, (VLOOKUP(B71,'DB PMI Manufacturing World'!$A:$AA,MATCH($AB$1,'DB PMI Manufacturing World'!$A$1:$AA$1,),)))</f>
        <v/>
      </c>
    </row>
    <row r="72" customFormat="1" s="61">
      <c r="B72" s="29" t="n">
        <v>44713</v>
      </c>
      <c r="C72" s="38">
        <f>IF((VLOOKUP(B72,'DB PMI Manufacturing World'!$A:$AA,MATCH($C$1,'DB PMI Manufacturing World'!$A$1:$AA$1,),))=0,#N/A, (VLOOKUP(B72,'DB PMI Manufacturing World'!$A:$AA,MATCH($C$1,'DB PMI Manufacturing World'!$A$1:$AA$1,),)))</f>
        <v/>
      </c>
      <c r="D72" s="38">
        <f>IF((VLOOKUP(B72,'DB PMI Manufacturing World'!$A:$AA,MATCH($D$1,'DB PMI Manufacturing World'!$A$1:$AA$1,),))=0,#N/A, (VLOOKUP(B72,'DB PMI Manufacturing World'!$A:$AA,MATCH($D$1,'DB PMI Manufacturing World'!$A$1:$AA$1,),)))</f>
        <v/>
      </c>
      <c r="E72" s="38">
        <f>IF((VLOOKUP(B72,'DB PMI Manufacturing World'!$A:$AA,MATCH($E$1,'DB PMI Manufacturing World'!$A$1:$AA$1,),))=0,#N/A, (VLOOKUP(B72,'DB PMI Manufacturing World'!$A:$AA,MATCH($E$1,'DB PMI Manufacturing World'!$A$1:$AA$1,),)))</f>
        <v/>
      </c>
      <c r="F72" s="38">
        <f>IF((VLOOKUP(B72,'DB PMI Manufacturing World'!$A:$AA,MATCH($F$1,'DB PMI Manufacturing World'!$A$1:$AA$1,),))=0,#N/A, (VLOOKUP(B72,'DB PMI Manufacturing World'!$A:$AA,MATCH($F$1,'DB PMI Manufacturing World'!$A$1:$AA$1,),)))</f>
        <v/>
      </c>
      <c r="G72" s="38">
        <f>IF((VLOOKUP(B72,'DB PMI Manufacturing World'!$A:$AA,MATCH($G$1,'DB PMI Manufacturing World'!$A$1:$AA$1,),))=0,#N/A, (VLOOKUP(B72,'DB PMI Manufacturing World'!$A:$AA,MATCH($G$1,'DB PMI Manufacturing World'!$A$1:$AA$1,),)))</f>
        <v/>
      </c>
      <c r="H72" s="38">
        <f>IF((VLOOKUP(B72,'DB PMI Manufacturing World'!$A:$AA,MATCH($H$1,'DB PMI Manufacturing World'!$A$1:$AA$1,),))=0,#N/A, (VLOOKUP(B72,'DB PMI Manufacturing World'!$A:$AA,MATCH($H$1,'DB PMI Manufacturing World'!$A$1:$AA$1,),)))</f>
        <v/>
      </c>
      <c r="I72" s="38">
        <f>IF((VLOOKUP(B72,'DB PMI Manufacturing World'!$A:$AA,MATCH($I$1,'DB PMI Manufacturing World'!$A$1:$AA$1,),))=0,#N/A, (VLOOKUP(B72,'DB PMI Manufacturing World'!$A:$AA,MATCH($I$1,'DB PMI Manufacturing World'!$A$1:$AA$1,),)))</f>
        <v/>
      </c>
      <c r="J72" s="38">
        <f>IF((VLOOKUP(B72,'DB PMI Manufacturing World'!$A:$AA,MATCH($J$1,'DB PMI Manufacturing World'!$A$1:$AA$1,),))=0,#N/A, (VLOOKUP(B72,'DB PMI Manufacturing World'!$A:$AA,MATCH($J$1,'DB PMI Manufacturing World'!$A$1:$AA$1,),)))</f>
        <v/>
      </c>
      <c r="K72" s="38">
        <f>IF((VLOOKUP(B72,'DB PMI Manufacturing World'!$A:$AA,MATCH($K$1,'DB PMI Manufacturing World'!$A$1:$AA$1,),))=0,#N/A, (VLOOKUP(B72,'DB PMI Manufacturing World'!$A:$AA,MATCH($K$1,'DB PMI Manufacturing World'!$A$1:$AA$1,),)))</f>
        <v/>
      </c>
      <c r="L72" s="38">
        <f>IF((VLOOKUP(B72,'DB PMI Manufacturing World'!$A:$AA,MATCH($L$1,'DB PMI Manufacturing World'!$A$1:$AA$1,),))=0,#N/A, (VLOOKUP(B72,'DB PMI Manufacturing World'!$A:$AA,MATCH($L$1,'DB PMI Manufacturing World'!$A$1:$AA$1,),)))</f>
        <v/>
      </c>
      <c r="M72" s="38">
        <f>IF((VLOOKUP(B72,'DB PMI Manufacturing World'!$A:$AA,MATCH($M$1,'DB PMI Manufacturing World'!$A$1:$AA$1,),))=0,#N/A, (VLOOKUP(B72,'DB PMI Manufacturing World'!$A:$AA,MATCH($M$1,'DB PMI Manufacturing World'!$A$1:$AA$1,),)))</f>
        <v/>
      </c>
      <c r="N72" s="38">
        <f>IF((VLOOKUP(B72,'DB PMI Manufacturing World'!$A:$AA,MATCH($N$1,'DB PMI Manufacturing World'!$A$1:$AA$1,),))=0,#N/A, (VLOOKUP(B72,'DB PMI Manufacturing World'!$A:$AA,MATCH($N$1,'DB PMI Manufacturing World'!$A$1:$AA$1,),)))</f>
        <v/>
      </c>
      <c r="O72" s="38">
        <f>IF((VLOOKUP(B72,'DB PMI Manufacturing World'!$A:$AA,MATCH($O$1,'DB PMI Manufacturing World'!$A$1:$AA$1,),))=0,#N/A, (VLOOKUP(B72,'DB PMI Manufacturing World'!$A:$AA,MATCH($O$1,'DB PMI Manufacturing World'!$A$1:$AA$1,),)))</f>
        <v/>
      </c>
      <c r="P72" s="38">
        <f>IF((VLOOKUP(B72,'DB PMI Manufacturing World'!$A:$AA,MATCH($P$1,'DB PMI Manufacturing World'!$A$1:$AA$1,),))=0,#N/A, (VLOOKUP(B72,'DB PMI Manufacturing World'!$A:$AA,MATCH($P$1,'DB PMI Manufacturing World'!$A$1:$AA$1,),)))</f>
        <v/>
      </c>
      <c r="Q72" s="38">
        <f>IF((VLOOKUP(B72,'DB PMI Manufacturing World'!$A:$AA,MATCH($Q$1,'DB PMI Manufacturing World'!$A$1:$AA$1,),))=0,#N/A, (VLOOKUP(B72,'DB PMI Manufacturing World'!$A:$AA,MATCH($Q$1,'DB PMI Manufacturing World'!$A$1:$AA$1,),)))</f>
        <v/>
      </c>
      <c r="R72" s="38">
        <f>IF((VLOOKUP(B72,'DB PMI Manufacturing World'!$A:$AA,MATCH($R$1,'DB PMI Manufacturing World'!$A$1:$AA$1,),))=0,#N/A, (VLOOKUP(B72,'DB PMI Manufacturing World'!$A:$AA,MATCH($R$1,'DB PMI Manufacturing World'!$A$1:$AA$1,),)))</f>
        <v/>
      </c>
      <c r="S72" s="38">
        <f>IF((VLOOKUP(B72,'DB PMI Manufacturing World'!$A:$AA,MATCH($S$1,'DB PMI Manufacturing World'!$A$1:$AA$1,),))=0,#N/A, (VLOOKUP(B72,'DB PMI Manufacturing World'!$A:$AA,MATCH($S$1,'DB PMI Manufacturing World'!$A$1:$AA$1,),)))</f>
        <v/>
      </c>
      <c r="T72" s="38">
        <f>IF((VLOOKUP(B72,'DB PMI Manufacturing World'!$A:$AA,MATCH($T$1,'DB PMI Manufacturing World'!$A$1:$AA$1,),))=0,#N/A, (VLOOKUP(B72,'DB PMI Manufacturing World'!$A:$AA,MATCH($T$1,'DB PMI Manufacturing World'!$A$1:$AA$1,),)))</f>
        <v/>
      </c>
      <c r="U72" s="38">
        <f>IF((VLOOKUP(B72,'DB PMI Manufacturing World'!$A:$AA,MATCH($U$1,'DB PMI Manufacturing World'!$A$1:$AA$1,),))=0,#N/A, (VLOOKUP(B72,'DB PMI Manufacturing World'!$A:$AA,MATCH($U$1,'DB PMI Manufacturing World'!$A$1:$AA$1,),)))</f>
        <v/>
      </c>
      <c r="V72" s="38">
        <f>IF((VLOOKUP(B72,'DB PMI Manufacturing World'!$A:$AA,MATCH($V$1,'DB PMI Manufacturing World'!$A$1:$AA$1,),))=0,#N/A, (VLOOKUP(B72,'DB PMI Manufacturing World'!$A:$AA,MATCH($V$1,'DB PMI Manufacturing World'!$A$1:$AA$1,),)))</f>
        <v/>
      </c>
      <c r="W72" s="38">
        <f>IF((VLOOKUP(B72,'DB PMI Manufacturing World'!$A:$AA,MATCH($W$1,'DB PMI Manufacturing World'!$A$1:$AA$1,),))=0,#N/A, (VLOOKUP(B72,'DB PMI Manufacturing World'!$A:$AA,MATCH($W$1,'DB PMI Manufacturing World'!$A$1:$AA$1,),)))</f>
        <v/>
      </c>
      <c r="X72" s="38">
        <f>IF((VLOOKUP(B72,'DB PMI Manufacturing World'!$A:$AA,MATCH($X$1,'DB PMI Manufacturing World'!$A$1:$AA$1,),))=0,#N/A, (VLOOKUP(B72,'DB PMI Manufacturing World'!$A:$AA,MATCH($X$1,'DB PMI Manufacturing World'!$A$1:$AA$1,),)))</f>
        <v/>
      </c>
      <c r="Y72" s="38">
        <f>IF((VLOOKUP(B72,'DB PMI Manufacturing World'!$A:$AA,MATCH($Y$1,'DB PMI Manufacturing World'!$A$1:$AA$1,),))=0,#N/A, (VLOOKUP(B72,'DB PMI Manufacturing World'!$A:$AA,MATCH($Y$1,'DB PMI Manufacturing World'!$A$1:$AA$1,),)))</f>
        <v/>
      </c>
      <c r="Z72" s="38">
        <f>IF((VLOOKUP(B72,'DB PMI Manufacturing World'!$A:$AA,MATCH($Z$1,'DB PMI Manufacturing World'!$A$1:$AA$1,),))=0,#N/A, (VLOOKUP(B72,'DB PMI Manufacturing World'!$A:$AA,MATCH($Z$1,'DB PMI Manufacturing World'!$A$1:$AA$1,),)))</f>
        <v/>
      </c>
      <c r="AA72" s="38">
        <f>IF((VLOOKUP(B72,'DB PMI Manufacturing World'!$A:$AA,MATCH($AA$1,'DB PMI Manufacturing World'!$A$1:$AA$1,),))=0,#N/A, (VLOOKUP(B72,'DB PMI Manufacturing World'!$A:$AA,MATCH($AA$1,'DB PMI Manufacturing World'!$A$1:$AA$1,),)))</f>
        <v/>
      </c>
      <c r="AB72" s="38">
        <f>IF((VLOOKUP(B72,'DB PMI Manufacturing World'!$A:$AA,MATCH($AB$1,'DB PMI Manufacturing World'!$A$1:$AA$1,),))=0,#N/A, (VLOOKUP(B72,'DB PMI Manufacturing World'!$A:$AA,MATCH($AB$1,'DB PMI Manufacturing World'!$A$1:$AA$1,),)))</f>
        <v/>
      </c>
    </row>
    <row r="73" customFormat="1" s="61"/>
    <row r="74" customFormat="1" s="61"/>
    <row r="75" customFormat="1" s="61"/>
    <row r="76" customFormat="1" s="61"/>
    <row r="77" customFormat="1" s="61"/>
    <row r="78" customFormat="1" s="61"/>
    <row r="79" customFormat="1" s="61"/>
    <row r="80" customFormat="1" s="61"/>
    <row r="81" customFormat="1" s="61"/>
    <row r="82" customFormat="1" s="61"/>
    <row r="83" customFormat="1" s="61"/>
    <row r="84" customFormat="1" s="61"/>
    <row r="85" customFormat="1" s="61"/>
    <row r="86" customFormat="1" s="61"/>
    <row r="87" customFormat="1" s="61"/>
    <row r="88" customFormat="1" s="61"/>
    <row r="89" customFormat="1" s="61"/>
    <row r="90" customFormat="1" s="61"/>
    <row r="91" customFormat="1" s="61"/>
    <row r="92" customFormat="1" s="61"/>
    <row r="93" customFormat="1" s="61"/>
    <row r="94" customFormat="1" s="61"/>
    <row r="95" customFormat="1" s="61"/>
    <row r="96" customFormat="1" s="61"/>
    <row r="97" customFormat="1" s="61"/>
    <row r="98" customFormat="1" s="61"/>
    <row r="99" customFormat="1" s="61"/>
    <row r="100" customFormat="1" s="61"/>
    <row r="101" customFormat="1" s="61"/>
    <row r="102" customFormat="1" s="61"/>
    <row r="103" customFormat="1" s="61"/>
    <row r="104" customFormat="1" s="61"/>
    <row r="105" customFormat="1" s="61"/>
    <row r="106" customFormat="1" s="61"/>
    <row r="107" customFormat="1" s="61"/>
    <row r="108" customFormat="1" s="61"/>
    <row r="109" customFormat="1" s="61"/>
    <row r="110" customFormat="1" s="61"/>
    <row r="111" customFormat="1" s="61"/>
    <row r="112" customFormat="1" s="61"/>
    <row r="113" customFormat="1" s="61"/>
    <row r="114" customFormat="1" s="61"/>
    <row r="115" customFormat="1" s="61"/>
    <row r="116" customFormat="1" s="61"/>
    <row r="117" customFormat="1" s="61"/>
    <row r="118" customFormat="1" s="61"/>
    <row r="119" customFormat="1" s="61"/>
    <row r="120" customFormat="1" s="61"/>
    <row r="121" customFormat="1" s="61"/>
    <row r="122" customFormat="1" s="61"/>
    <row r="123" customFormat="1" s="61"/>
    <row r="124" customFormat="1" s="61"/>
    <row r="125" customFormat="1" s="61"/>
    <row r="126" customFormat="1" s="61"/>
    <row r="127" customFormat="1" s="61"/>
    <row r="128" customFormat="1" s="61"/>
    <row r="129" customFormat="1" s="61"/>
    <row r="130" customFormat="1" s="61"/>
    <row r="131" customFormat="1" s="61"/>
    <row r="132" customFormat="1" s="61"/>
    <row r="133" customFormat="1" s="61"/>
    <row r="134" customFormat="1" s="61"/>
    <row r="135" customFormat="1" s="61"/>
    <row r="136" customFormat="1" s="61"/>
    <row r="137" customFormat="1" s="61"/>
    <row r="138" customFormat="1" s="61"/>
    <row r="139" customFormat="1" s="61"/>
    <row r="140" customFormat="1" s="61"/>
    <row r="141" customFormat="1" s="61"/>
    <row r="142" customFormat="1" s="61"/>
    <row r="143" customFormat="1" s="61"/>
    <row r="144" customFormat="1" s="61"/>
    <row r="145" customFormat="1" s="61"/>
    <row r="146" customFormat="1" s="61"/>
    <row r="147" customFormat="1" s="61"/>
    <row r="148" customFormat="1" s="61"/>
    <row r="149" customFormat="1" s="61"/>
    <row r="150" customFormat="1" s="61"/>
    <row r="151" customFormat="1" s="61"/>
    <row r="152" customFormat="1" s="61"/>
    <row r="153" customFormat="1" s="61"/>
    <row r="154" customFormat="1" s="61"/>
    <row r="155" customFormat="1" s="61"/>
    <row r="156" customFormat="1" s="61"/>
    <row r="157" customFormat="1" s="61"/>
    <row r="158" customFormat="1" s="61"/>
    <row r="159" customFormat="1" s="61"/>
    <row r="160" customFormat="1" s="61"/>
    <row r="161" customFormat="1" s="61"/>
    <row r="162" customFormat="1" s="61"/>
    <row r="163" customFormat="1" s="61"/>
    <row r="164" customFormat="1" s="61"/>
    <row r="165" customFormat="1" s="61"/>
    <row r="166" customFormat="1" s="61"/>
    <row r="167" customFormat="1" s="61"/>
    <row r="168" customFormat="1" s="61"/>
    <row r="169" customFormat="1" s="61"/>
    <row r="170" customFormat="1" s="61"/>
    <row r="171" customFormat="1" s="61"/>
    <row r="172" customFormat="1" s="61"/>
    <row r="173" customFormat="1" s="61"/>
    <row r="174" customFormat="1" s="61"/>
    <row r="175" customFormat="1" s="61"/>
    <row r="176" customFormat="1" s="61"/>
    <row r="177" customFormat="1" s="61"/>
    <row r="178" customFormat="1" s="61"/>
    <row r="179" customFormat="1" s="61"/>
    <row r="180" customFormat="1" s="61"/>
    <row r="181" customFormat="1" s="61"/>
    <row r="182" customFormat="1" s="61"/>
    <row r="183" customFormat="1" s="61"/>
    <row r="184" customFormat="1" s="61"/>
    <row r="185" customFormat="1" s="61"/>
    <row r="186" customFormat="1" s="61"/>
    <row r="187" customFormat="1" s="61"/>
    <row r="188" customFormat="1" s="61"/>
    <row r="189" customFormat="1" s="61"/>
    <row r="190" customFormat="1" s="61"/>
    <row r="191" customFormat="1" s="61"/>
    <row r="192" customFormat="1" s="61"/>
    <row r="193" customFormat="1" s="61"/>
    <row r="194" customFormat="1" s="61"/>
    <row r="195" customFormat="1" s="61"/>
    <row r="196" customFormat="1" s="61"/>
    <row r="197" customFormat="1" s="61"/>
    <row r="198" customFormat="1" s="61"/>
    <row r="199" customFormat="1" s="61"/>
    <row r="200" customFormat="1" s="61"/>
    <row r="201" customFormat="1" s="61"/>
    <row r="202" customFormat="1" s="61"/>
    <row r="203" customFormat="1" s="61"/>
    <row r="204" customFormat="1" s="61"/>
    <row r="205" customFormat="1" s="61"/>
    <row r="206" customFormat="1" s="61"/>
    <row r="207" customFormat="1" s="61"/>
    <row r="208" customFormat="1" s="61"/>
    <row r="209" customFormat="1" s="61"/>
    <row r="210" customFormat="1" s="61"/>
    <row r="211" customFormat="1" s="61"/>
    <row r="212" customFormat="1" s="61"/>
    <row r="213" customFormat="1" s="61"/>
    <row r="214" customFormat="1" s="61"/>
    <row r="215" customFormat="1" s="61"/>
    <row r="216" customFormat="1" s="61"/>
    <row r="217" customFormat="1" s="61"/>
    <row r="218" customFormat="1" s="61"/>
    <row r="219" customFormat="1" s="61"/>
    <row r="220" customFormat="1" s="61"/>
    <row r="221" customFormat="1" s="61"/>
    <row r="222" customFormat="1" s="61"/>
    <row r="223" customFormat="1" s="61"/>
    <row r="224" customFormat="1" s="61"/>
    <row r="225" customFormat="1" s="61"/>
    <row r="226" customFormat="1" s="61"/>
    <row r="227" customFormat="1" s="61"/>
    <row r="228" customFormat="1" s="61"/>
    <row r="229" customFormat="1" s="61"/>
    <row r="230" customFormat="1" s="61"/>
    <row r="231" customFormat="1" s="61"/>
    <row r="232" customFormat="1" s="61"/>
    <row r="233" customFormat="1" s="61"/>
    <row r="234" customFormat="1" s="61"/>
    <row r="235" customFormat="1" s="61"/>
    <row r="236" customFormat="1" s="61"/>
    <row r="237" customFormat="1" s="61"/>
    <row r="238" customFormat="1" s="61"/>
    <row r="239" customFormat="1" s="61"/>
    <row r="240" customFormat="1" s="61"/>
    <row r="241" customFormat="1" s="61"/>
    <row r="242" customFormat="1" s="61"/>
    <row r="243" customFormat="1" s="61"/>
    <row r="244" customFormat="1" s="61"/>
    <row r="245" customFormat="1" s="61"/>
    <row r="246" customFormat="1" s="61"/>
    <row r="247" customFormat="1" s="61"/>
    <row r="248" customFormat="1" s="61"/>
    <row r="249" customFormat="1" s="61"/>
    <row r="250" customFormat="1" s="61"/>
    <row r="251" customFormat="1" s="61"/>
    <row r="252" customFormat="1" s="61"/>
    <row r="253" customFormat="1" s="61"/>
    <row r="254" customFormat="1" s="61"/>
    <row r="255" customFormat="1" s="61"/>
    <row r="256" customFormat="1" s="61"/>
    <row r="257" customFormat="1" s="61"/>
    <row r="258" customFormat="1" s="61"/>
    <row r="259" customFormat="1" s="61"/>
    <row r="260" customFormat="1" s="61"/>
    <row r="261" customFormat="1" s="61"/>
    <row r="262" customFormat="1" s="61"/>
    <row r="263" customFormat="1" s="61"/>
    <row r="264" customFormat="1" s="61"/>
    <row r="265" customFormat="1" s="61"/>
    <row r="266" customFormat="1" s="61"/>
    <row r="267" customFormat="1" s="61"/>
    <row r="268" customFormat="1" s="61"/>
    <row r="269" customFormat="1" s="61"/>
    <row r="270" customFormat="1" s="61"/>
    <row r="271" customFormat="1" s="61"/>
    <row r="272" customFormat="1" s="61"/>
    <row r="273" customFormat="1" s="61"/>
    <row r="274" customFormat="1" s="61"/>
    <row r="275" customFormat="1" s="61"/>
    <row r="276" customFormat="1" s="61"/>
    <row r="277" customFormat="1" s="61"/>
    <row r="278" customFormat="1" s="61"/>
    <row r="279" customFormat="1" s="61"/>
    <row r="280" customFormat="1" s="61"/>
    <row r="281" customFormat="1" s="61"/>
    <row r="282" customFormat="1" s="61"/>
    <row r="283" customFormat="1" s="61"/>
    <row r="284" customFormat="1" s="61"/>
    <row r="285" customFormat="1" s="61"/>
    <row r="286" customFormat="1" s="61"/>
    <row r="287" customFormat="1" s="61"/>
    <row r="288" customFormat="1" s="61"/>
    <row r="289" customFormat="1" s="61"/>
    <row r="290" customFormat="1" s="61"/>
    <row r="291" customFormat="1" s="61"/>
    <row r="292" customFormat="1" s="61"/>
    <row r="293" customFormat="1" s="61"/>
    <row r="294" customFormat="1" s="61"/>
    <row r="295" customFormat="1" s="61"/>
    <row r="296" customFormat="1" s="61"/>
    <row r="297" customFormat="1" s="61"/>
    <row r="298" customFormat="1" s="61"/>
    <row r="299" customFormat="1" s="61"/>
    <row r="300" customFormat="1" s="61"/>
    <row r="301" customFormat="1" s="61"/>
    <row r="302" customFormat="1" s="61"/>
    <row r="303" customFormat="1" s="61"/>
    <row r="304" customFormat="1" s="61"/>
    <row r="305" customFormat="1" s="61"/>
    <row r="306" customFormat="1" s="61"/>
    <row r="307" customFormat="1" s="61"/>
    <row r="308" customFormat="1" s="61"/>
    <row r="309" customFormat="1" s="61"/>
    <row r="310" customFormat="1" s="61"/>
    <row r="311" customFormat="1" s="61"/>
    <row r="312" customFormat="1" s="61"/>
    <row r="313" customFormat="1" s="61"/>
    <row r="314" customFormat="1" s="61"/>
    <row r="315" customFormat="1" s="61"/>
    <row r="316" customFormat="1" s="61"/>
    <row r="317" customFormat="1" s="61"/>
    <row r="318" customFormat="1" s="61"/>
    <row r="319" customFormat="1" s="61"/>
    <row r="320" customFormat="1" s="61"/>
  </sheetData>
  <conditionalFormatting sqref="C6:AB6">
    <cfRule type="containsText" priority="15" operator="containsText" dxfId="7" text="below">
      <formula>NOT(ISERROR(SEARCH("below",C6)))</formula>
    </cfRule>
    <cfRule type="containsText" priority="16" operator="containsText" dxfId="6" text="above">
      <formula>NOT(ISERROR(SEARCH("above",C6)))</formula>
    </cfRule>
  </conditionalFormatting>
  <conditionalFormatting sqref="C8:AB8">
    <cfRule type="cellIs" priority="13" operator="lessThan" dxfId="5">
      <formula>0</formula>
    </cfRule>
    <cfRule type="cellIs" priority="14" operator="greaterThan" dxfId="4">
      <formula>0</formula>
    </cfRule>
  </conditionalFormatting>
  <conditionalFormatting sqref="C9:AB9">
    <cfRule type="cellIs" priority="7" operator="equal" dxfId="3">
      <formula>"Growth"</formula>
    </cfRule>
    <cfRule type="cellIs" priority="8" operator="equal" dxfId="2">
      <formula>"Contraction"</formula>
    </cfRule>
  </conditionalFormatting>
  <conditionalFormatting sqref="C10:AB10">
    <cfRule type="cellIs" priority="5" operator="equal" dxfId="1">
      <formula>"+"</formula>
    </cfRule>
    <cfRule type="cellIs" priority="6" operator="equal" dxfId="0">
      <formula>"-"</formula>
    </cfRule>
  </conditionalFormatting>
  <conditionalFormatting sqref="C12:AB72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2018-05-02T12:33:10Z</dcterms:created>
  <dcterms:modified xmlns:dcterms="http://purl.org/dc/terms/" xmlns:xsi="http://www.w3.org/2001/XMLSchema-instance" xsi:type="dcterms:W3CDTF">2022-07-27T13:31:22Z</dcterms:modified>
  <cp:lastModifiedBy>Mark Mukherjee</cp:lastModifiedBy>
</cp:coreProperties>
</file>