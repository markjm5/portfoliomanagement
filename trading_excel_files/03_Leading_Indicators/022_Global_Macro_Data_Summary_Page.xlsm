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8040" yWindow="-500" windowWidth="58040" windowHeight="2816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5">
    <numFmt numFmtId="164" formatCode="0.0%"/>
    <numFmt numFmtId="165" formatCode="0.0"/>
    <numFmt numFmtId="166" formatCode="dd\-mm\-yyyy"/>
    <numFmt numFmtId="167" formatCode="dd-mm-YYYY"/>
    <numFmt numFmtId="168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7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0" applyAlignment="1" pivotButton="0" quotePrefix="0" xfId="2">
      <alignment horizontal="center"/>
    </xf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5" pivotButton="0" quotePrefix="0" xfId="0"/>
    <xf numFmtId="0" fontId="1" fillId="4" borderId="25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3" borderId="3" applyAlignment="1" pivotButton="0" quotePrefix="0" xfId="0">
      <alignment horizontal="center" vertical="center" textRotation="90"/>
    </xf>
    <xf numFmtId="0" fontId="1" fillId="3" borderId="19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20" applyAlignment="1" pivotButton="0" quotePrefix="0" xfId="0">
      <alignment horizontal="center" vertical="center"/>
    </xf>
    <xf numFmtId="0" fontId="11" fillId="3" borderId="21" applyAlignment="1" pivotButton="0" quotePrefix="0" xfId="0">
      <alignment horizontal="center" vertical="center"/>
    </xf>
    <xf numFmtId="0" fontId="11" fillId="3" borderId="22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4" fillId="2" borderId="0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10" fontId="0" fillId="2" borderId="0" applyAlignment="1" pivotButton="0" quotePrefix="0" xfId="0">
      <alignment horizontal="center"/>
    </xf>
    <xf numFmtId="0" fontId="4" fillId="2" borderId="10" applyAlignment="1" pivotButton="0" quotePrefix="0" xfId="0">
      <alignment horizontal="center"/>
    </xf>
    <xf numFmtId="0" fontId="0" fillId="0" borderId="0" pivotButton="0" quotePrefix="0" xfId="0"/>
    <xf numFmtId="164" fontId="5" fillId="2" borderId="0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0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5" fontId="0" fillId="2" borderId="8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4" fontId="0" fillId="2" borderId="10" applyAlignment="1" pivotButton="0" quotePrefix="0" xfId="2">
      <alignment horizontal="center"/>
    </xf>
    <xf numFmtId="164" fontId="0" fillId="2" borderId="11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19" applyAlignment="1" pivotButton="0" quotePrefix="0" xfId="0">
      <alignment horizontal="center" vertical="center"/>
    </xf>
    <xf numFmtId="165" fontId="12" fillId="3" borderId="23" applyAlignment="1" pivotButton="0" quotePrefix="0" xfId="0">
      <alignment horizontal="center" vertical="center"/>
    </xf>
    <xf numFmtId="165" fontId="12" fillId="3" borderId="24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6" applyAlignment="1" pivotButton="0" quotePrefix="0" xfId="0">
      <alignment horizontal="center" vertical="center"/>
    </xf>
    <xf numFmtId="165" fontId="12" fillId="3" borderId="17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0" fontId="0" fillId="2" borderId="0" pivotButton="0" quotePrefix="0" xfId="0"/>
    <xf numFmtId="0" fontId="1" fillId="2" borderId="0" pivotButton="0" quotePrefix="0" xfId="0"/>
    <xf numFmtId="17" fontId="9" fillId="2" borderId="0" applyAlignment="1" pivotButton="0" quotePrefix="0" xfId="0">
      <alignment horizontal="left" vertical="top" wrapText="1"/>
    </xf>
    <xf numFmtId="166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12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11</v>
                </pt>
                <pt idx="1">
                  <v>14</v>
                </pt>
                <pt idx="2">
                  <v>13</v>
                </pt>
                <pt idx="3">
                  <v>11</v>
                </pt>
                <pt idx="4">
                  <v>7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10</v>
                </pt>
                <pt idx="1">
                  <v>5</v>
                </pt>
                <pt idx="2">
                  <v>7</v>
                </pt>
                <pt idx="3">
                  <v>2</v>
                </pt>
                <pt idx="4">
                  <v>6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6</v>
                </pt>
                <pt idx="1">
                  <v>6</v>
                </pt>
                <pt idx="2">
                  <v>10</v>
                </pt>
                <pt idx="3">
                  <v>6</v>
                </pt>
                <pt idx="4">
                  <v>4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15</v>
                </pt>
                <pt idx="1">
                  <v>17</v>
                </pt>
                <pt idx="2">
                  <v>15</v>
                </pt>
                <pt idx="3">
                  <v>12</v>
                </pt>
                <pt idx="4">
                  <v>14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13</v>
                </pt>
                <pt idx="1">
                  <v>15</v>
                </pt>
                <pt idx="2">
                  <v>12</v>
                </pt>
                <pt idx="3">
                  <v>9</v>
                </pt>
                <pt idx="4">
                  <v>11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7</v>
                </pt>
                <pt idx="1">
                  <v>7</v>
                </pt>
                <pt idx="2">
                  <v>6</v>
                </pt>
                <pt idx="3">
                  <v>5</v>
                </pt>
                <pt idx="4">
                  <v>9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-1</v>
                </pt>
                <pt idx="1">
                  <v>2</v>
                </pt>
                <pt idx="2">
                  <v>-1</v>
                </pt>
                <pt idx="3">
                  <v>0</v>
                </pt>
                <pt idx="4">
                  <v>10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2</v>
                </pt>
                <pt idx="1">
                  <v>9</v>
                </pt>
                <pt idx="2">
                  <v>3</v>
                </pt>
                <pt idx="3">
                  <v>7</v>
                </pt>
                <pt idx="4">
                  <v>-1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1</v>
                </pt>
                <pt idx="1">
                  <v>16</v>
                </pt>
                <pt idx="2">
                  <v>5</v>
                </pt>
                <pt idx="3">
                  <v>3</v>
                </pt>
                <pt idx="4">
                  <v>1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9</v>
                </pt>
                <pt idx="1">
                  <v>1</v>
                </pt>
                <pt idx="2">
                  <v>4</v>
                </pt>
                <pt idx="3">
                  <v>8</v>
                </pt>
                <pt idx="4">
                  <v>12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12</v>
                </pt>
                <pt idx="1">
                  <v>3</v>
                </pt>
                <pt idx="2">
                  <v>2</v>
                </pt>
                <pt idx="3">
                  <v>-1</v>
                </pt>
                <pt idx="4">
                  <v>2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3</v>
                </pt>
                <pt idx="1">
                  <v>8</v>
                </pt>
                <pt idx="2">
                  <v>11</v>
                </pt>
                <pt idx="3">
                  <v>-2</v>
                </pt>
                <pt idx="4">
                  <v>-2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-2</v>
                </pt>
                <pt idx="1">
                  <v>10</v>
                </pt>
                <pt idx="2">
                  <v>14</v>
                </pt>
                <pt idx="3">
                  <v>0</v>
                </pt>
                <pt idx="4">
                  <v>13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5</v>
                </pt>
                <pt idx="1">
                  <v>4</v>
                </pt>
                <pt idx="2">
                  <v>1</v>
                </pt>
                <pt idx="3">
                  <v>1</v>
                </pt>
                <pt idx="4">
                  <v>3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4</v>
                </pt>
                <pt idx="1">
                  <v>-1</v>
                </pt>
                <pt idx="2">
                  <v>-2</v>
                </pt>
                <pt idx="3">
                  <v>0</v>
                </pt>
                <pt idx="4">
                  <v>-3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0</v>
                </pt>
                <pt idx="1">
                  <v>11</v>
                </pt>
                <pt idx="2">
                  <v>16</v>
                </pt>
                <pt idx="3">
                  <v>13</v>
                </pt>
                <pt idx="4">
                  <v>15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8</v>
                </pt>
                <pt idx="1">
                  <v>12</v>
                </pt>
                <pt idx="2">
                  <v>8</v>
                </pt>
                <pt idx="3">
                  <v>4</v>
                </pt>
                <pt idx="4">
                  <v>8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14</v>
                </pt>
                <pt idx="1">
                  <v>13</v>
                </pt>
                <pt idx="2">
                  <v>9</v>
                </pt>
                <pt idx="3">
                  <v>10</v>
                </pt>
                <pt idx="4">
                  <v>5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17</v>
                </pt>
                <pt idx="1">
                  <v>-1</v>
                </pt>
                <pt idx="2">
                  <v>16</v>
                </pt>
                <pt idx="3">
                  <v>15</v>
                </pt>
                <pt idx="4">
                  <v>7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9</v>
                </pt>
                <pt idx="1">
                  <v>11</v>
                </pt>
                <pt idx="2">
                  <v>7</v>
                </pt>
                <pt idx="3">
                  <v>14</v>
                </pt>
                <pt idx="4">
                  <v>6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6</v>
                </pt>
                <pt idx="1">
                  <v>7</v>
                </pt>
                <pt idx="2">
                  <v>5</v>
                </pt>
                <pt idx="3">
                  <v>7</v>
                </pt>
                <pt idx="4">
                  <v>8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15</v>
                </pt>
                <pt idx="1">
                  <v>17</v>
                </pt>
                <pt idx="2">
                  <v>11</v>
                </pt>
                <pt idx="3">
                  <v>8</v>
                </pt>
                <pt idx="4">
                  <v>1</v>
                </pt>
                <pt idx="5">
                  <v>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2</v>
                </pt>
                <pt idx="1">
                  <v>3</v>
                </pt>
                <pt idx="2">
                  <v>1</v>
                </pt>
                <pt idx="3">
                  <v>4</v>
                </pt>
                <pt idx="4">
                  <v>4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12</v>
                </pt>
                <pt idx="1">
                  <v>2</v>
                </pt>
                <pt idx="2">
                  <v>12</v>
                </pt>
                <pt idx="3">
                  <v>16</v>
                </pt>
                <pt idx="4">
                  <v>18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11</v>
                </pt>
                <pt idx="1">
                  <v>8</v>
                </pt>
                <pt idx="2">
                  <v>13</v>
                </pt>
                <pt idx="3">
                  <v>17</v>
                </pt>
                <pt idx="4">
                  <v>17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1</v>
                </pt>
                <pt idx="1">
                  <v>12</v>
                </pt>
                <pt idx="2">
                  <v>9</v>
                </pt>
                <pt idx="3">
                  <v>1</v>
                </pt>
                <pt idx="4">
                  <v>11</v>
                </pt>
                <pt idx="5">
                  <v>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7</v>
                </pt>
                <pt idx="1">
                  <v>15</v>
                </pt>
                <pt idx="2">
                  <v>10</v>
                </pt>
                <pt idx="3">
                  <v>12</v>
                </pt>
                <pt idx="4">
                  <v>9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16</v>
                </pt>
                <pt idx="1">
                  <v>6</v>
                </pt>
                <pt idx="2">
                  <v>2</v>
                </pt>
                <pt idx="3">
                  <v>9</v>
                </pt>
                <pt idx="4">
                  <v>12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8</v>
                </pt>
                <pt idx="1">
                  <v>9</v>
                </pt>
                <pt idx="2">
                  <v>3</v>
                </pt>
                <pt idx="3">
                  <v>2</v>
                </pt>
                <pt idx="4">
                  <v>10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4</v>
                </pt>
                <pt idx="1">
                  <v>1</v>
                </pt>
                <pt idx="2">
                  <v>8</v>
                </pt>
                <pt idx="3">
                  <v>3</v>
                </pt>
                <pt idx="4">
                  <v>5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0</v>
                </pt>
                <pt idx="1">
                  <v>4</v>
                </pt>
                <pt idx="2">
                  <v>-1</v>
                </pt>
                <pt idx="3">
                  <v>6</v>
                </pt>
                <pt idx="4">
                  <v>15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10</v>
                </pt>
                <pt idx="1">
                  <v>13</v>
                </pt>
                <pt idx="2">
                  <v>6</v>
                </pt>
                <pt idx="3">
                  <v>11</v>
                </pt>
                <pt idx="4">
                  <v>3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3</v>
                </pt>
                <pt idx="1">
                  <v>14</v>
                </pt>
                <pt idx="2">
                  <v>14</v>
                </pt>
                <pt idx="3">
                  <v>10</v>
                </pt>
                <pt idx="4">
                  <v>2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14</v>
                </pt>
                <pt idx="1">
                  <v>5</v>
                </pt>
                <pt idx="2">
                  <v>15</v>
                </pt>
                <pt idx="3">
                  <v>5</v>
                </pt>
                <pt idx="4">
                  <v>14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13</v>
                </pt>
                <pt idx="1">
                  <v>16</v>
                </pt>
                <pt idx="2">
                  <v>17</v>
                </pt>
                <pt idx="3">
                  <v>18</v>
                </pt>
                <pt idx="4">
                  <v>16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5</v>
                </pt>
                <pt idx="1">
                  <v>10</v>
                </pt>
                <pt idx="2">
                  <v>4</v>
                </pt>
                <pt idx="3">
                  <v>13</v>
                </pt>
                <pt idx="4">
                  <v>13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World'!$A$2:$A$137</f>
              <numCache>
                <formatCode>dd\-mm\-yyyy</formatCode>
                <ptCount val="13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</numCache>
            </numRef>
          </cat>
          <val>
            <numRef>
              <f>'DB PMI Manufacturing World'!$C$2:$C$137</f>
              <numCache>
                <formatCode>General</formatCode>
                <ptCount val="136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  <pt idx="96">
                  <v>57.7</v>
                </pt>
                <pt idx="97">
                  <v>59.3</v>
                </pt>
                <pt idx="98">
                  <v>54.3</v>
                </pt>
                <pt idx="99">
                  <v>56.6</v>
                </pt>
                <pt idx="100">
                  <v>54.3</v>
                </pt>
                <pt idx="101">
                  <v>54.3</v>
                </pt>
                <pt idx="102">
                  <v>52.8</v>
                </pt>
                <pt idx="103">
                  <v>52.1</v>
                </pt>
                <pt idx="104">
                  <v>51.7</v>
                </pt>
                <pt idx="105">
                  <v>51.2</v>
                </pt>
                <pt idx="106">
                  <v>49.1</v>
                </pt>
                <pt idx="107">
                  <v>47.8</v>
                </pt>
                <pt idx="108">
                  <v>48.3</v>
                </pt>
                <pt idx="109">
                  <v>48.1</v>
                </pt>
                <pt idx="110">
                  <v>47.8</v>
                </pt>
                <pt idx="111">
                  <v>50.9</v>
                </pt>
                <pt idx="112">
                  <v>50.1</v>
                </pt>
                <pt idx="113">
                  <v>49.1</v>
                </pt>
                <pt idx="114">
                  <v>41.5</v>
                </pt>
                <pt idx="115">
                  <v>43.1</v>
                </pt>
                <pt idx="116">
                  <v>52.6</v>
                </pt>
                <pt idx="117">
                  <v>54.2</v>
                </pt>
                <pt idx="118">
                  <v>56</v>
                </pt>
                <pt idx="119">
                  <v>57.8</v>
                </pt>
                <pt idx="120">
                  <v>59.3</v>
                </pt>
                <pt idx="121">
                  <v>57.5</v>
                </pt>
                <pt idx="122">
                  <v>60.5</v>
                </pt>
                <pt idx="123">
                  <v>58.7</v>
                </pt>
                <pt idx="124">
                  <v>60.8</v>
                </pt>
                <pt idx="125">
                  <v>64.7</v>
                </pt>
                <pt idx="126">
                  <v>60.7</v>
                </pt>
                <pt idx="127">
                  <v>61.2</v>
                </pt>
                <pt idx="128">
                  <v>60.6</v>
                </pt>
                <pt idx="129">
                  <v>59.5</v>
                </pt>
                <pt idx="130">
                  <v>59.9</v>
                </pt>
                <pt idx="131">
                  <v>60.3</v>
                </pt>
                <pt idx="132">
                  <v>60.7</v>
                </pt>
                <pt idx="133">
                  <v>61.1</v>
                </pt>
                <pt idx="134">
                  <v>61.5</v>
                </pt>
                <pt idx="135">
                  <v>57.6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World'!$A$2:$A$137</f>
              <numCache>
                <formatCode>dd\-mm\-yyyy</formatCode>
                <ptCount val="13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</numCache>
            </numRef>
          </cat>
          <val>
            <numRef>
              <f>'DB PMI Manufacturing World'!$F$2:$F$137</f>
              <numCache>
                <formatCode>General</formatCode>
                <ptCount val="136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  <pt idx="96">
                  <v>52</v>
                </pt>
                <pt idx="97">
                  <v>51.8</v>
                </pt>
                <pt idx="98">
                  <v>51.4</v>
                </pt>
                <pt idx="99">
                  <v>50.5</v>
                </pt>
                <pt idx="100">
                  <v>49.3</v>
                </pt>
                <pt idx="101">
                  <v>47.5</v>
                </pt>
                <pt idx="102">
                  <v>47.9</v>
                </pt>
                <pt idx="103">
                  <v>47.7</v>
                </pt>
                <pt idx="104">
                  <v>47.6</v>
                </pt>
                <pt idx="105">
                  <v>46.5</v>
                </pt>
                <pt idx="106">
                  <v>47</v>
                </pt>
                <pt idx="107">
                  <v>45.7</v>
                </pt>
                <pt idx="108">
                  <v>45.9</v>
                </pt>
                <pt idx="109">
                  <v>46.9</v>
                </pt>
                <pt idx="110">
                  <v>46.3</v>
                </pt>
                <pt idx="111">
                  <v>47.9</v>
                </pt>
                <pt idx="112">
                  <v>49.2</v>
                </pt>
                <pt idx="113">
                  <v>44.5</v>
                </pt>
                <pt idx="114">
                  <v>33.4</v>
                </pt>
                <pt idx="115">
                  <v>39.4</v>
                </pt>
                <pt idx="116">
                  <v>47.4</v>
                </pt>
                <pt idx="117">
                  <v>51.8</v>
                </pt>
                <pt idx="118">
                  <v>51.7</v>
                </pt>
                <pt idx="119">
                  <v>53.7</v>
                </pt>
                <pt idx="120">
                  <v>54.8</v>
                </pt>
                <pt idx="121">
                  <v>53.8</v>
                </pt>
                <pt idx="122">
                  <v>55.2</v>
                </pt>
                <pt idx="123">
                  <v>54.8</v>
                </pt>
                <pt idx="124">
                  <v>57.9</v>
                </pt>
                <pt idx="125">
                  <v>62.5</v>
                </pt>
                <pt idx="126">
                  <v>62.9</v>
                </pt>
                <pt idx="127">
                  <v>63.1</v>
                </pt>
                <pt idx="128">
                  <v>63.4</v>
                </pt>
                <pt idx="129">
                  <v>62.8</v>
                </pt>
                <pt idx="130">
                  <v>61.4</v>
                </pt>
                <pt idx="131">
                  <v>58.6</v>
                </pt>
                <pt idx="132">
                  <v>58.3</v>
                </pt>
                <pt idx="133">
                  <v>58.4</v>
                </pt>
                <pt idx="134">
                  <v>58</v>
                </pt>
                <pt idx="135">
                  <v>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39</col>
      <colOff>279398</colOff>
      <row>69</row>
      <rowOff>110065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tabSelected="1" zoomScale="160" zoomScaleNormal="160" workbookViewId="0">
      <selection activeCell="F145" sqref="F145"/>
    </sheetView>
  </sheetViews>
  <sheetFormatPr baseColWidth="10" defaultColWidth="9.1640625" defaultRowHeight="15"/>
  <cols>
    <col width="23.1640625" customWidth="1" style="66" min="1" max="1"/>
    <col width="12.83203125" customWidth="1" style="66" min="2" max="5"/>
    <col width="13.6640625" customWidth="1" style="66" min="6" max="6"/>
    <col width="12.83203125" customWidth="1" style="66" min="7" max="10"/>
    <col width="2" customWidth="1" style="66" min="11" max="13"/>
    <col width="9.1640625" customWidth="1" style="66" min="14" max="30"/>
    <col width="9.1640625" customWidth="1" style="66" min="31" max="16384"/>
  </cols>
  <sheetData>
    <row r="1">
      <c r="B1" s="17" t="n"/>
      <c r="C1" s="18" t="n"/>
      <c r="D1" s="18" t="n"/>
      <c r="E1" s="18" t="n"/>
    </row>
    <row r="2">
      <c r="B2" s="69" t="inlineStr">
        <is>
          <t>Process / TO DO LIST</t>
        </is>
      </c>
      <c r="C2" s="70" t="n"/>
      <c r="D2" s="70" t="n"/>
      <c r="E2" s="70" t="n"/>
      <c r="F2" s="70" t="n"/>
      <c r="G2" s="70" t="n"/>
      <c r="H2" s="70" t="n"/>
      <c r="I2" s="70" t="n"/>
      <c r="J2" s="71" t="n"/>
    </row>
    <row r="4">
      <c r="B4" s="69" t="inlineStr">
        <is>
          <t>TO DO LIST</t>
        </is>
      </c>
      <c r="C4" s="70" t="n"/>
      <c r="D4" s="70" t="n"/>
      <c r="E4" s="70" t="n"/>
      <c r="F4" s="71" t="n"/>
      <c r="G4" s="69" t="inlineStr">
        <is>
          <t>Comments</t>
        </is>
      </c>
      <c r="H4" s="70" t="n"/>
      <c r="I4" s="70" t="n"/>
      <c r="J4" s="71" t="n"/>
    </row>
    <row r="6">
      <c r="B6" s="66" t="inlineStr">
        <is>
          <t>Collect Data on one page</t>
        </is>
      </c>
      <c r="G6" s="66" t="inlineStr">
        <is>
          <t>Do for Macro Data</t>
        </is>
      </c>
    </row>
    <row r="7" ht="30.75" customHeight="1" s="42">
      <c r="G7" s="65" t="inlineStr">
        <is>
          <t>Do the same for market conditions.</t>
        </is>
      </c>
    </row>
    <row r="8">
      <c r="B8" s="65" t="n"/>
      <c r="G8" s="66" t="n"/>
    </row>
    <row r="9">
      <c r="B9" s="67" t="n"/>
    </row>
    <row r="10">
      <c r="B10" s="65" t="n"/>
    </row>
    <row r="11">
      <c r="B11" s="68" t="n"/>
    </row>
  </sheetData>
  <mergeCells count="11">
    <mergeCell ref="B2:J2"/>
    <mergeCell ref="B4:F4"/>
    <mergeCell ref="G4:J4"/>
    <mergeCell ref="B6:F6"/>
    <mergeCell ref="G6:J6"/>
    <mergeCell ref="G7:J7"/>
    <mergeCell ref="B9:M9"/>
    <mergeCell ref="B10:M10"/>
    <mergeCell ref="B11:M11"/>
    <mergeCell ref="B8:F8"/>
    <mergeCell ref="G8:J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8"/>
  <sheetViews>
    <sheetView zoomScale="190" zoomScaleNormal="190" workbookViewId="0">
      <selection activeCell="F22" sqref="F22"/>
    </sheetView>
  </sheetViews>
  <sheetFormatPr baseColWidth="10" defaultRowHeight="15"/>
  <cols>
    <col width="34.1640625" customWidth="1" style="42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GDP_QoQ</t>
        </is>
      </c>
      <c r="B2" t="n">
        <v>0.01679094392068376</v>
      </c>
      <c r="C2" t="n">
        <v>0.01640746539544311</v>
      </c>
      <c r="D2" t="n">
        <v>0.01115276765936578</v>
      </c>
    </row>
    <row r="3">
      <c r="A3" t="inlineStr">
        <is>
          <t>GDP_YoY</t>
        </is>
      </c>
      <c r="B3" t="n">
        <v>0.05531736362184171</v>
      </c>
      <c r="C3" t="n">
        <v>0.12226677108077</v>
      </c>
      <c r="D3" t="n">
        <v>-0.0226291524300984</v>
      </c>
    </row>
    <row r="4">
      <c r="A4" t="inlineStr">
        <is>
          <t>CORE_CPI_MoM</t>
        </is>
      </c>
      <c r="B4" t="n">
        <v>0.00583277732907259</v>
      </c>
      <c r="C4" t="n">
        <v>0.003137570973150586</v>
      </c>
      <c r="D4" t="n">
        <v>0.0004815100154083037</v>
      </c>
    </row>
    <row r="5">
      <c r="A5" t="inlineStr">
        <is>
          <t>CORE_PCE_MoM</t>
        </is>
      </c>
      <c r="B5" t="n">
        <v>0.004981080266550571</v>
      </c>
      <c r="C5" t="n">
        <v>0.004804480756384503</v>
      </c>
      <c r="D5" t="n">
        <v>0.003154187183486073</v>
      </c>
    </row>
    <row r="6">
      <c r="A6" t="inlineStr">
        <is>
          <t>RETAIL_SALES_MoM</t>
        </is>
      </c>
      <c r="B6" t="n">
        <v>-0.01914353268123687</v>
      </c>
      <c r="C6" t="n">
        <v>0.008524170360850096</v>
      </c>
      <c r="D6" t="n">
        <v>-0.008344202999102674</v>
      </c>
    </row>
    <row r="7">
      <c r="A7" t="inlineStr">
        <is>
          <t>CORE_RETAIL_SALES_MoM</t>
        </is>
      </c>
      <c r="B7" t="n">
        <v>-0.02480502836547504</v>
      </c>
      <c r="C7" t="n">
        <v>0.01468871684038702</v>
      </c>
      <c r="D7" t="n">
        <v>-0.02689431216830306</v>
      </c>
    </row>
    <row r="8">
      <c r="A8" t="inlineStr">
        <is>
          <t>UNEMPLOYMENT_RATE_MoM</t>
        </is>
      </c>
      <c r="B8" t="n">
        <v>0.02564102564102566</v>
      </c>
      <c r="C8" t="n">
        <v>-0.0847457627118644</v>
      </c>
      <c r="D8" t="n">
        <v>-0.04477611940298504</v>
      </c>
    </row>
    <row r="9">
      <c r="A9" t="inlineStr">
        <is>
          <t>PAYEMS</t>
        </is>
      </c>
      <c r="B9" t="n">
        <v>149629</v>
      </c>
      <c r="C9" t="n">
        <v>146387</v>
      </c>
      <c r="D9" t="n">
        <v>143017</v>
      </c>
    </row>
    <row r="10">
      <c r="A10" t="inlineStr">
        <is>
          <t>ICSA</t>
        </is>
      </c>
      <c r="B10" t="n">
        <v>223000</v>
      </c>
      <c r="C10" t="n">
        <v>377000</v>
      </c>
      <c r="D10" t="n">
        <v>863000</v>
      </c>
    </row>
    <row r="11">
      <c r="A11" t="inlineStr">
        <is>
          <t>INDUSTRIAL_PRODUCTION_MoM</t>
        </is>
      </c>
      <c r="B11" t="n">
        <v>-0.001023559516456349</v>
      </c>
      <c r="C11" t="n">
        <v>0.005482243256280312</v>
      </c>
      <c r="D11" t="n">
        <v>0.01157358567077907</v>
      </c>
    </row>
    <row r="12">
      <c r="A12" t="inlineStr">
        <is>
          <t>Fed Funds Target Rate</t>
        </is>
      </c>
      <c r="B12" t="inlineStr">
        <is>
          <t>0.00-0.25%</t>
        </is>
      </c>
    </row>
    <row r="13">
      <c r="A13" t="inlineStr">
        <is>
          <t>Euro Futures 1m</t>
        </is>
      </c>
      <c r="B13" t="n">
        <v>0.4300000000000068</v>
      </c>
    </row>
    <row r="14">
      <c r="A14" t="inlineStr">
        <is>
          <t>Euro Futures 6m</t>
        </is>
      </c>
      <c r="B14" t="n">
        <v>0.9699999999999989</v>
      </c>
    </row>
    <row r="15">
      <c r="A15" t="inlineStr">
        <is>
          <t>Euro Futures 12m</t>
        </is>
      </c>
      <c r="B15" t="n">
        <v>1.795000000000002</v>
      </c>
    </row>
    <row r="16">
      <c r="A16" t="inlineStr">
        <is>
          <t>2Y</t>
        </is>
      </c>
      <c r="B16" t="n">
        <v>1.18</v>
      </c>
      <c r="C16" t="n">
        <v>0.1742</v>
      </c>
      <c r="D16" t="n">
        <v>0.1113</v>
      </c>
    </row>
    <row r="17">
      <c r="A17" t="inlineStr">
        <is>
          <t>10Y</t>
        </is>
      </c>
      <c r="B17" t="n">
        <v>1.81</v>
      </c>
      <c r="C17" t="n">
        <v>1.179</v>
      </c>
      <c r="D17" t="n">
        <v>1.079</v>
      </c>
    </row>
    <row r="18">
      <c r="A18" t="inlineStr">
        <is>
          <t>30Y</t>
        </is>
      </c>
      <c r="B18" t="n">
        <v>2.12</v>
      </c>
    </row>
    <row r="19">
      <c r="A19" t="inlineStr">
        <is>
          <t>DXY</t>
        </is>
      </c>
      <c r="B19" t="n">
        <v>96.38999938964844</v>
      </c>
      <c r="C19" t="n">
        <v>92.05000305175781</v>
      </c>
      <c r="D19" t="n">
        <v>91.01999664306641</v>
      </c>
    </row>
    <row r="20">
      <c r="A20" t="inlineStr">
        <is>
          <t>UMCSI</t>
        </is>
      </c>
      <c r="B20" t="n">
        <v>67.2</v>
      </c>
      <c r="C20" t="n">
        <v>81.2</v>
      </c>
      <c r="D20" t="n">
        <v>79</v>
      </c>
    </row>
    <row r="21">
      <c r="A21" t="inlineStr">
        <is>
          <t>EXPECTED</t>
        </is>
      </c>
      <c r="B21" t="n">
        <v>64.09999999999999</v>
      </c>
      <c r="C21" t="n">
        <v>79</v>
      </c>
      <c r="D21" t="n">
        <v>74</v>
      </c>
    </row>
    <row r="22">
      <c r="A22" t="inlineStr">
        <is>
          <t>LEI</t>
        </is>
      </c>
      <c r="B22" t="n">
        <v>120.8</v>
      </c>
      <c r="C22" t="n">
        <v>115.1</v>
      </c>
      <c r="D22" t="n">
        <v>109.6</v>
      </c>
    </row>
    <row r="23">
      <c r="A23" t="inlineStr">
        <is>
          <t>PERMIT</t>
        </is>
      </c>
      <c r="B23" t="n">
        <v>1885</v>
      </c>
      <c r="C23" t="n">
        <v>1594</v>
      </c>
      <c r="D23" t="n">
        <v>1758</v>
      </c>
    </row>
    <row r="24">
      <c r="A24" t="inlineStr">
        <is>
          <t>ISM</t>
        </is>
      </c>
      <c r="B24" t="n">
        <v>57.6</v>
      </c>
      <c r="C24" t="n">
        <v>59.5</v>
      </c>
      <c r="D24" t="n">
        <v>58.7</v>
      </c>
    </row>
    <row r="25">
      <c r="A25" t="inlineStr">
        <is>
          <t>NEW_ORDERS</t>
        </is>
      </c>
      <c r="B25" t="n">
        <v>57.9</v>
      </c>
      <c r="C25" t="n">
        <v>64.90000000000001</v>
      </c>
      <c r="D25" t="n">
        <v>61.1</v>
      </c>
    </row>
    <row r="26">
      <c r="A26" t="inlineStr">
        <is>
          <t>ISM_SERVICES</t>
        </is>
      </c>
      <c r="B26" t="n">
        <v>62</v>
      </c>
      <c r="C26" t="n">
        <v>60.1</v>
      </c>
      <c r="D26" t="n">
        <v>57.2</v>
      </c>
    </row>
    <row r="27">
      <c r="A27" t="inlineStr">
        <is>
          <t>M1_MoM</t>
        </is>
      </c>
      <c r="B27" t="n">
        <v>0.004435500431229283</v>
      </c>
      <c r="C27" t="n">
        <v>-0.006292298226970188</v>
      </c>
      <c r="D27" t="n">
        <v>0.009442212768480474</v>
      </c>
    </row>
    <row r="28">
      <c r="A28" t="inlineStr">
        <is>
          <t>M2_MoM</t>
        </is>
      </c>
      <c r="B28" t="n">
        <v>0.003611984512641851</v>
      </c>
      <c r="C28" t="n">
        <v>-0.007398630858346474</v>
      </c>
      <c r="D28" t="n">
        <v>0.005762143132185439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10" defaultRowHeight="15"/>
  <cols>
    <col width="23.1640625" customWidth="1" style="42" min="1" max="1"/>
    <col width="10.83203125" customWidth="1" style="42" min="2" max="17"/>
    <col width="10.83203125" customWidth="1" style="42" min="18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6" t="n">
        <v>44409</v>
      </c>
      <c r="B2" t="n">
        <v>0</v>
      </c>
      <c r="C2" t="n">
        <v>8</v>
      </c>
      <c r="D2" t="n">
        <v>14</v>
      </c>
      <c r="E2" t="n">
        <v>11</v>
      </c>
      <c r="F2" t="n">
        <v>10</v>
      </c>
      <c r="G2" t="n">
        <v>6</v>
      </c>
      <c r="H2" t="n">
        <v>15</v>
      </c>
      <c r="I2" t="n">
        <v>13</v>
      </c>
      <c r="J2" t="n">
        <v>7</v>
      </c>
      <c r="K2" t="n">
        <v>-1</v>
      </c>
      <c r="L2" t="n">
        <v>2</v>
      </c>
      <c r="M2" t="n">
        <v>1</v>
      </c>
      <c r="N2" t="n">
        <v>9</v>
      </c>
      <c r="O2" t="n">
        <v>12</v>
      </c>
      <c r="P2" t="n">
        <v>3</v>
      </c>
      <c r="Q2" t="n">
        <v>-2</v>
      </c>
      <c r="R2" t="n">
        <v>5</v>
      </c>
      <c r="S2" t="n">
        <v>4</v>
      </c>
    </row>
    <row r="3">
      <c r="A3" s="76" t="n">
        <v>44440</v>
      </c>
      <c r="B3" t="n">
        <v>11</v>
      </c>
      <c r="C3" t="n">
        <v>12</v>
      </c>
      <c r="D3" t="n">
        <v>13</v>
      </c>
      <c r="E3" t="n">
        <v>14</v>
      </c>
      <c r="F3" t="n">
        <v>5</v>
      </c>
      <c r="G3" t="n">
        <v>6</v>
      </c>
      <c r="H3" t="n">
        <v>17</v>
      </c>
      <c r="I3" t="n">
        <v>15</v>
      </c>
      <c r="J3" t="n">
        <v>7</v>
      </c>
      <c r="K3" t="n">
        <v>2</v>
      </c>
      <c r="L3" t="n">
        <v>9</v>
      </c>
      <c r="M3" t="n">
        <v>16</v>
      </c>
      <c r="N3" t="n">
        <v>1</v>
      </c>
      <c r="O3" t="n">
        <v>3</v>
      </c>
      <c r="P3" t="n">
        <v>8</v>
      </c>
      <c r="Q3" t="n">
        <v>10</v>
      </c>
      <c r="R3" t="n">
        <v>4</v>
      </c>
      <c r="S3" t="n">
        <v>-1</v>
      </c>
    </row>
    <row r="4">
      <c r="A4" s="76" t="n">
        <v>44470</v>
      </c>
      <c r="B4" t="n">
        <v>16</v>
      </c>
      <c r="C4" t="n">
        <v>8</v>
      </c>
      <c r="D4" t="n">
        <v>9</v>
      </c>
      <c r="E4" t="n">
        <v>13</v>
      </c>
      <c r="F4" t="n">
        <v>7</v>
      </c>
      <c r="G4" t="n">
        <v>10</v>
      </c>
      <c r="H4" t="n">
        <v>15</v>
      </c>
      <c r="I4" t="n">
        <v>12</v>
      </c>
      <c r="J4" t="n">
        <v>6</v>
      </c>
      <c r="K4" t="n">
        <v>-1</v>
      </c>
      <c r="L4" t="n">
        <v>3</v>
      </c>
      <c r="M4" t="n">
        <v>5</v>
      </c>
      <c r="N4" t="n">
        <v>4</v>
      </c>
      <c r="O4" t="n">
        <v>2</v>
      </c>
      <c r="P4" t="n">
        <v>11</v>
      </c>
      <c r="Q4" t="n">
        <v>14</v>
      </c>
      <c r="R4" t="n">
        <v>1</v>
      </c>
      <c r="S4" t="n">
        <v>-2</v>
      </c>
    </row>
    <row r="5">
      <c r="A5" s="76" t="n">
        <v>44501</v>
      </c>
      <c r="B5" t="n">
        <v>13</v>
      </c>
      <c r="C5" t="n">
        <v>4</v>
      </c>
      <c r="D5" t="n">
        <v>10</v>
      </c>
      <c r="E5" t="n">
        <v>11</v>
      </c>
      <c r="F5" t="n">
        <v>2</v>
      </c>
      <c r="G5" t="n">
        <v>6</v>
      </c>
      <c r="H5" t="n">
        <v>12</v>
      </c>
      <c r="I5" t="n">
        <v>9</v>
      </c>
      <c r="J5" t="n">
        <v>5</v>
      </c>
      <c r="K5" t="n">
        <v>0</v>
      </c>
      <c r="L5" t="n">
        <v>7</v>
      </c>
      <c r="M5" t="n">
        <v>3</v>
      </c>
      <c r="N5" t="n">
        <v>8</v>
      </c>
      <c r="O5" t="n">
        <v>-1</v>
      </c>
      <c r="P5" t="n">
        <v>-2</v>
      </c>
      <c r="Q5" t="n">
        <v>0</v>
      </c>
      <c r="R5" t="n">
        <v>1</v>
      </c>
      <c r="S5" t="n">
        <v>0</v>
      </c>
    </row>
    <row r="6">
      <c r="A6" s="76" t="n">
        <v>44531</v>
      </c>
      <c r="B6" t="n">
        <v>15</v>
      </c>
      <c r="C6" t="n">
        <v>8</v>
      </c>
      <c r="D6" t="n">
        <v>5</v>
      </c>
      <c r="E6" t="n">
        <v>7</v>
      </c>
      <c r="F6" t="n">
        <v>6</v>
      </c>
      <c r="G6" t="n">
        <v>4</v>
      </c>
      <c r="H6" t="n">
        <v>14</v>
      </c>
      <c r="I6" t="n">
        <v>11</v>
      </c>
      <c r="J6" t="n">
        <v>9</v>
      </c>
      <c r="K6" t="n">
        <v>10</v>
      </c>
      <c r="L6" t="n">
        <v>-1</v>
      </c>
      <c r="M6" t="n">
        <v>1</v>
      </c>
      <c r="N6" t="n">
        <v>12</v>
      </c>
      <c r="O6" t="n">
        <v>2</v>
      </c>
      <c r="P6" t="n">
        <v>-2</v>
      </c>
      <c r="Q6" t="n">
        <v>13</v>
      </c>
      <c r="R6" t="n">
        <v>3</v>
      </c>
      <c r="S6" t="n">
        <v>-3</v>
      </c>
    </row>
    <row r="7">
      <c r="A7" s="76" t="n">
        <v>44562</v>
      </c>
      <c r="B7" t="n">
        <v>14</v>
      </c>
      <c r="C7" t="n">
        <v>3</v>
      </c>
      <c r="D7" t="n">
        <v>4</v>
      </c>
      <c r="E7" t="n">
        <v>9</v>
      </c>
      <c r="F7" t="n">
        <v>5</v>
      </c>
      <c r="G7" t="n">
        <v>8</v>
      </c>
      <c r="H7" t="n">
        <v>13</v>
      </c>
      <c r="I7" t="n">
        <v>10</v>
      </c>
      <c r="J7" t="n">
        <v>12</v>
      </c>
      <c r="K7" t="n">
        <v>11</v>
      </c>
      <c r="L7" t="n">
        <v>-1</v>
      </c>
      <c r="M7" t="n">
        <v>2</v>
      </c>
      <c r="N7" t="n">
        <v>1</v>
      </c>
      <c r="O7" t="n">
        <v>6</v>
      </c>
      <c r="P7" t="n">
        <v>0</v>
      </c>
      <c r="Q7" t="n">
        <v>0</v>
      </c>
      <c r="R7" t="n">
        <v>7</v>
      </c>
      <c r="S7" t="n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10" defaultRowHeight="15"/>
  <cols>
    <col width="23.1640625" customWidth="1" style="42" min="1" max="1"/>
    <col width="10.83203125" customWidth="1" style="42" min="2" max="8"/>
    <col width="10.83203125" customWidth="1" style="42" min="9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6" t="n">
        <v>44409</v>
      </c>
      <c r="B2" t="n">
        <v>-1</v>
      </c>
      <c r="C2" t="n">
        <v>11</v>
      </c>
      <c r="D2" t="n">
        <v>7</v>
      </c>
      <c r="E2" t="n">
        <v>17</v>
      </c>
      <c r="F2" t="n">
        <v>3</v>
      </c>
      <c r="G2" t="n">
        <v>2</v>
      </c>
      <c r="H2" t="n">
        <v>8</v>
      </c>
      <c r="I2" t="n">
        <v>12</v>
      </c>
      <c r="J2" t="n">
        <v>15</v>
      </c>
      <c r="K2" t="n">
        <v>6</v>
      </c>
      <c r="L2" t="n">
        <v>9</v>
      </c>
      <c r="M2" t="n">
        <v>1</v>
      </c>
      <c r="N2" t="n">
        <v>4</v>
      </c>
      <c r="O2" t="n">
        <v>13</v>
      </c>
      <c r="P2" t="n">
        <v>14</v>
      </c>
      <c r="Q2" t="n">
        <v>5</v>
      </c>
      <c r="R2" t="n">
        <v>16</v>
      </c>
      <c r="S2" t="n">
        <v>10</v>
      </c>
    </row>
    <row r="3">
      <c r="A3" s="76" t="n">
        <v>44440</v>
      </c>
      <c r="B3" t="n">
        <v>16</v>
      </c>
      <c r="C3" t="n">
        <v>7</v>
      </c>
      <c r="D3" t="n">
        <v>5</v>
      </c>
      <c r="E3" t="n">
        <v>11</v>
      </c>
      <c r="F3" t="n">
        <v>1</v>
      </c>
      <c r="G3" t="n">
        <v>12</v>
      </c>
      <c r="H3" t="n">
        <v>13</v>
      </c>
      <c r="I3" t="n">
        <v>9</v>
      </c>
      <c r="J3" t="n">
        <v>10</v>
      </c>
      <c r="K3" t="n">
        <v>2</v>
      </c>
      <c r="L3" t="n">
        <v>3</v>
      </c>
      <c r="M3" t="n">
        <v>8</v>
      </c>
      <c r="N3" t="n">
        <v>-1</v>
      </c>
      <c r="O3" t="n">
        <v>6</v>
      </c>
      <c r="P3" t="n">
        <v>14</v>
      </c>
      <c r="Q3" t="n">
        <v>15</v>
      </c>
      <c r="R3" t="n">
        <v>17</v>
      </c>
      <c r="S3" t="n">
        <v>4</v>
      </c>
    </row>
    <row r="4">
      <c r="A4" s="76" t="n">
        <v>44470</v>
      </c>
      <c r="B4" t="n">
        <v>15</v>
      </c>
      <c r="C4" t="n">
        <v>14</v>
      </c>
      <c r="D4" t="n">
        <v>7</v>
      </c>
      <c r="E4" t="n">
        <v>8</v>
      </c>
      <c r="F4" t="n">
        <v>4</v>
      </c>
      <c r="G4" t="n">
        <v>16</v>
      </c>
      <c r="H4" t="n">
        <v>17</v>
      </c>
      <c r="I4" t="n">
        <v>1</v>
      </c>
      <c r="J4" t="n">
        <v>12</v>
      </c>
      <c r="K4" t="n">
        <v>9</v>
      </c>
      <c r="L4" t="n">
        <v>2</v>
      </c>
      <c r="M4" t="n">
        <v>3</v>
      </c>
      <c r="N4" t="n">
        <v>6</v>
      </c>
      <c r="O4" t="n">
        <v>11</v>
      </c>
      <c r="P4" t="n">
        <v>10</v>
      </c>
      <c r="Q4" t="n">
        <v>5</v>
      </c>
      <c r="R4" t="n">
        <v>18</v>
      </c>
      <c r="S4" t="n">
        <v>13</v>
      </c>
    </row>
    <row r="5">
      <c r="A5" s="76" t="n">
        <v>44501</v>
      </c>
      <c r="B5" t="n">
        <v>7</v>
      </c>
      <c r="C5" t="n">
        <v>6</v>
      </c>
      <c r="D5" t="n">
        <v>8</v>
      </c>
      <c r="E5" t="n">
        <v>1</v>
      </c>
      <c r="F5" t="n">
        <v>4</v>
      </c>
      <c r="G5" t="n">
        <v>18</v>
      </c>
      <c r="H5" t="n">
        <v>17</v>
      </c>
      <c r="I5" t="n">
        <v>11</v>
      </c>
      <c r="J5" t="n">
        <v>9</v>
      </c>
      <c r="K5" t="n">
        <v>12</v>
      </c>
      <c r="L5" t="n">
        <v>10</v>
      </c>
      <c r="M5" t="n">
        <v>5</v>
      </c>
      <c r="N5" t="n">
        <v>15</v>
      </c>
      <c r="O5" t="n">
        <v>3</v>
      </c>
      <c r="P5" t="n">
        <v>2</v>
      </c>
      <c r="Q5" t="n">
        <v>14</v>
      </c>
      <c r="R5" t="n">
        <v>16</v>
      </c>
      <c r="S5" t="n">
        <v>13</v>
      </c>
    </row>
    <row r="6">
      <c r="A6" s="76" t="n">
        <v>44531</v>
      </c>
      <c r="B6" t="n">
        <v>12</v>
      </c>
      <c r="C6" t="n">
        <v>15</v>
      </c>
      <c r="D6" t="n">
        <v>3</v>
      </c>
      <c r="E6" t="n">
        <v>18</v>
      </c>
      <c r="F6" t="n">
        <v>4</v>
      </c>
      <c r="G6" t="n">
        <v>6</v>
      </c>
      <c r="H6" t="n">
        <v>8</v>
      </c>
      <c r="I6" t="n">
        <v>17</v>
      </c>
      <c r="J6" t="n">
        <v>11</v>
      </c>
      <c r="K6" t="n">
        <v>14</v>
      </c>
      <c r="L6" t="n">
        <v>7</v>
      </c>
      <c r="M6" t="n">
        <v>2</v>
      </c>
      <c r="N6" t="n">
        <v>1</v>
      </c>
      <c r="O6" t="n">
        <v>9</v>
      </c>
      <c r="P6" t="n">
        <v>10</v>
      </c>
      <c r="Q6" t="n">
        <v>16</v>
      </c>
      <c r="R6" t="n">
        <v>5</v>
      </c>
      <c r="S6" t="n">
        <v>13</v>
      </c>
    </row>
    <row r="7">
      <c r="A7" s="76" t="n">
        <v>44562</v>
      </c>
      <c r="B7" t="n">
        <v>17</v>
      </c>
      <c r="C7" t="n">
        <v>1</v>
      </c>
      <c r="D7" t="n">
        <v>5</v>
      </c>
      <c r="E7" t="n">
        <v>14</v>
      </c>
      <c r="F7" t="n">
        <v>6</v>
      </c>
      <c r="G7" t="n">
        <v>3</v>
      </c>
      <c r="H7" t="n">
        <v>12</v>
      </c>
      <c r="I7" t="n">
        <v>9</v>
      </c>
      <c r="J7" t="n">
        <v>16</v>
      </c>
      <c r="K7" t="n">
        <v>11</v>
      </c>
      <c r="L7" t="n">
        <v>7</v>
      </c>
      <c r="M7" t="n">
        <v>8</v>
      </c>
      <c r="N7" t="n">
        <v>18</v>
      </c>
      <c r="O7" t="n">
        <v>4</v>
      </c>
      <c r="P7" t="n">
        <v>2</v>
      </c>
      <c r="Q7" t="n">
        <v>15</v>
      </c>
      <c r="R7" t="n">
        <v>13</v>
      </c>
      <c r="S7" t="n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37"/>
  <sheetViews>
    <sheetView zoomScale="170" zoomScaleNormal="170" workbookViewId="0">
      <pane ySplit="1" topLeftCell="A2" activePane="bottomLeft" state="frozen"/>
      <selection activeCell="AE27" sqref="AE27"/>
      <selection pane="bottomLeft" activeCell="AE27" sqref="AE27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6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6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6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6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6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6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6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6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6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6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6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6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6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6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6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6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6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6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6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6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6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6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6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6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6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6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6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6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6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6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6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6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6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6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6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6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6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6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6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6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6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6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6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6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6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6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6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6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6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6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6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6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6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6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6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6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6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6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6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6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6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6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6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6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6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6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6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6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6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6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6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6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6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6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6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6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6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6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6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6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6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6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6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6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6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6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6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6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6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6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6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6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6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6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6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6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6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6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6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6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6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6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6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6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6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6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6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6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6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6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6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6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6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6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6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6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6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6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6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6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6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6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6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6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6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6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6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6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6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6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6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6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6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6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6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6" t="n">
        <v>44562</v>
      </c>
      <c r="B137" t="n">
        <v>51.4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opLeftCell="B1" zoomScale="140" zoomScaleNormal="140" workbookViewId="0">
      <selection activeCell="G140" sqref="G140"/>
    </sheetView>
  </sheetViews>
  <sheetFormatPr baseColWidth="10" defaultColWidth="9.1640625" defaultRowHeight="15"/>
  <cols>
    <col width="9.1640625" customWidth="1" style="66" min="1" max="2"/>
    <col width="24.33203125" customWidth="1" style="66" min="3" max="3"/>
    <col width="9.1640625" customWidth="1" style="66" min="4" max="7"/>
    <col width="21.33203125" customWidth="1" style="66" min="8" max="8"/>
    <col width="9.33203125" customWidth="1" style="66" min="9" max="12"/>
    <col width="23.33203125" customWidth="1" style="66" min="13" max="13"/>
    <col width="9.1640625" customWidth="1" style="66" min="14" max="30"/>
    <col width="9.1640625" customWidth="1" style="66" min="31" max="16384"/>
  </cols>
  <sheetData>
    <row r="1" ht="16" customHeight="1" s="42" thickBot="1"/>
    <row r="2" ht="16" customHeight="1" s="42" thickBot="1">
      <c r="C2" s="72" t="inlineStr">
        <is>
          <t>United - States</t>
        </is>
      </c>
      <c r="D2" s="73" t="n"/>
      <c r="E2" s="73" t="n"/>
      <c r="F2" s="73" t="n"/>
      <c r="G2" s="73" t="n"/>
      <c r="H2" s="73" t="n"/>
      <c r="I2" s="73" t="n"/>
      <c r="J2" s="73" t="n"/>
      <c r="K2" s="73" t="n"/>
      <c r="L2" s="73" t="n"/>
      <c r="M2" s="73" t="n"/>
      <c r="N2" s="73" t="n"/>
      <c r="O2" s="73" t="n"/>
      <c r="P2" s="74" t="n"/>
    </row>
    <row r="3" ht="16" customHeight="1" s="42" thickBot="1"/>
    <row r="4" ht="16" customHeight="1" s="42" thickBot="1">
      <c r="C4" s="72" t="inlineStr">
        <is>
          <t>Lagging - Coincident</t>
        </is>
      </c>
      <c r="D4" s="73" t="n"/>
      <c r="E4" s="73" t="n"/>
      <c r="F4" s="74" t="n"/>
      <c r="H4" s="72" t="inlineStr">
        <is>
          <t>Rates - Currency</t>
        </is>
      </c>
      <c r="I4" s="73" t="n"/>
      <c r="J4" s="73" t="n"/>
      <c r="K4" s="74" t="n"/>
      <c r="M4" s="72" t="inlineStr">
        <is>
          <t>Leading</t>
        </is>
      </c>
      <c r="N4" s="73" t="n"/>
      <c r="O4" s="73" t="n"/>
      <c r="P4" s="74" t="n"/>
    </row>
    <row r="5" ht="16" customHeight="1" s="42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3" t="n">
        <v>0.334</v>
      </c>
      <c r="E7" s="44" t="n">
        <v>-0.0496</v>
      </c>
      <c r="F7" s="45" t="n">
        <v>0.0257</v>
      </c>
      <c r="G7" s="44" t="n"/>
      <c r="H7" s="6" t="inlineStr">
        <is>
          <t>Fed Funds Target rate</t>
        </is>
      </c>
      <c r="I7" s="8" t="inlineStr">
        <is>
          <t>0 to 0.25%</t>
        </is>
      </c>
      <c r="J7" s="8" t="n"/>
      <c r="K7" s="9" t="n"/>
      <c r="L7" s="1" t="n"/>
      <c r="M7" s="6" t="inlineStr">
        <is>
          <t>UMCSI Index</t>
        </is>
      </c>
      <c r="N7" s="37" t="n">
        <v>80.7</v>
      </c>
      <c r="O7" s="38" t="n">
        <v>78.09999999999999</v>
      </c>
      <c r="P7" s="13" t="n">
        <v>99.3</v>
      </c>
    </row>
    <row r="8">
      <c r="C8" s="6" t="inlineStr">
        <is>
          <t>GDP yoy</t>
        </is>
      </c>
      <c r="D8" s="46" t="n">
        <v>-0.0285</v>
      </c>
      <c r="E8" s="44" t="n">
        <v>0.0032</v>
      </c>
      <c r="F8" s="45" t="n">
        <v>0.0208</v>
      </c>
      <c r="G8" s="44" t="n"/>
      <c r="H8" s="6" t="inlineStr">
        <is>
          <t>Euro Futures 1m</t>
        </is>
      </c>
      <c r="I8" s="40" t="n">
        <v>0.0002</v>
      </c>
      <c r="J8" s="40" t="n"/>
      <c r="K8" s="10" t="n"/>
      <c r="L8" s="2" t="n"/>
      <c r="M8" s="6" t="inlineStr">
        <is>
          <t>UMCSI Exp</t>
        </is>
      </c>
      <c r="N8" s="37" t="n">
        <v>74.59999999999999</v>
      </c>
      <c r="O8" s="38" t="n">
        <v>72.3</v>
      </c>
      <c r="P8" s="13" t="n">
        <v>88.90000000000001</v>
      </c>
    </row>
    <row r="9">
      <c r="C9" s="6" t="inlineStr">
        <is>
          <t>Core CPI</t>
        </is>
      </c>
      <c r="D9" s="44" t="n">
        <v>0.0165</v>
      </c>
      <c r="E9" s="44" t="n">
        <v>0.0124</v>
      </c>
      <c r="F9" s="45" t="n">
        <v>0.0232</v>
      </c>
      <c r="G9" s="44" t="n"/>
      <c r="H9" s="6" t="inlineStr">
        <is>
          <t>Euro Futures 6m</t>
        </is>
      </c>
      <c r="I9" s="40" t="n">
        <v>0.0002</v>
      </c>
      <c r="J9" s="40" t="n"/>
      <c r="K9" s="10" t="n"/>
      <c r="L9" s="2" t="n"/>
      <c r="M9" s="6" t="inlineStr">
        <is>
          <t>Conference Board LEI</t>
        </is>
      </c>
      <c r="N9" s="39" t="n">
        <v>109.1</v>
      </c>
      <c r="O9" s="38" t="n">
        <v>99.8</v>
      </c>
      <c r="P9" s="13" t="n">
        <v>111.5</v>
      </c>
    </row>
    <row r="10">
      <c r="C10" s="6" t="inlineStr">
        <is>
          <t>Core PCE</t>
        </is>
      </c>
      <c r="D10" s="46" t="n">
        <v>0.0138</v>
      </c>
      <c r="E10" s="44" t="n">
        <v>0.0101</v>
      </c>
      <c r="F10" s="45" t="n">
        <v>0.0158</v>
      </c>
      <c r="G10" s="44" t="n"/>
      <c r="H10" s="6" t="inlineStr">
        <is>
          <t>Euro Futures 12m</t>
        </is>
      </c>
      <c r="I10" s="40" t="n">
        <v>-0.0002</v>
      </c>
      <c r="J10" s="40" t="n"/>
      <c r="K10" s="10" t="n"/>
      <c r="L10" s="2" t="n"/>
      <c r="M10" s="6" t="inlineStr">
        <is>
          <t>Building Permits</t>
        </is>
      </c>
      <c r="N10" s="39" t="n">
        <v>1635</v>
      </c>
      <c r="O10" s="38" t="n">
        <v>12.16</v>
      </c>
      <c r="P10" s="13" t="n">
        <v>1510</v>
      </c>
    </row>
    <row r="11">
      <c r="C11" s="6" t="inlineStr">
        <is>
          <t>Core Retail Sales</t>
        </is>
      </c>
      <c r="D11" s="43" t="n">
        <v>0.0593</v>
      </c>
      <c r="E11" s="46" t="n">
        <v>-0.039</v>
      </c>
      <c r="F11" s="45" t="n">
        <v>0.0266</v>
      </c>
      <c r="G11" s="44" t="n"/>
      <c r="H11" s="6" t="inlineStr">
        <is>
          <t>30y</t>
        </is>
      </c>
      <c r="I11" s="8" t="n">
        <v>0.01845</v>
      </c>
      <c r="J11" s="8" t="n">
        <v>0.01331</v>
      </c>
      <c r="K11" s="9" t="n">
        <v>0.0224</v>
      </c>
      <c r="M11" s="6" t="inlineStr">
        <is>
          <t>ISM Manufacturing</t>
        </is>
      </c>
      <c r="N11" s="39" t="n">
        <v>60.7</v>
      </c>
      <c r="O11" s="38" t="n">
        <v>52.6</v>
      </c>
      <c r="P11" s="13" t="n">
        <v>47.8</v>
      </c>
    </row>
    <row r="12">
      <c r="C12" s="6" t="inlineStr">
        <is>
          <t>Retail Sales MoM</t>
        </is>
      </c>
      <c r="D12" s="46" t="n">
        <v>-0.008</v>
      </c>
      <c r="E12" s="44" t="n">
        <v>0.1233</v>
      </c>
      <c r="F12" s="45" t="n">
        <v>-0.0038</v>
      </c>
      <c r="G12" s="44" t="n"/>
      <c r="H12" s="6" t="inlineStr">
        <is>
          <t>10 y</t>
        </is>
      </c>
      <c r="I12" s="8" t="n">
        <v>0.011</v>
      </c>
      <c r="J12" s="8" t="n">
        <v>0.0063</v>
      </c>
      <c r="K12" s="9" t="n">
        <v>0.01788</v>
      </c>
      <c r="L12" s="1" t="n"/>
      <c r="M12" s="6" t="inlineStr">
        <is>
          <t>ISM Manuf New orders</t>
        </is>
      </c>
      <c r="N12" s="39" t="n">
        <v>67.90000000000001</v>
      </c>
      <c r="O12" s="38" t="n">
        <v>56.4</v>
      </c>
      <c r="P12" s="13" t="n">
        <v>47.6</v>
      </c>
    </row>
    <row r="13">
      <c r="C13" s="6" t="inlineStr">
        <is>
          <t>Unemployment Rate</t>
        </is>
      </c>
      <c r="D13" s="46" t="n">
        <v>0.067</v>
      </c>
      <c r="E13" s="44" t="n">
        <v>0.111</v>
      </c>
      <c r="F13" s="45" t="n">
        <v>0.036</v>
      </c>
      <c r="G13" s="44" t="n"/>
      <c r="H13" s="6" t="inlineStr">
        <is>
          <t>2 y</t>
        </is>
      </c>
      <c r="I13" s="8" t="n">
        <v>0.00141</v>
      </c>
      <c r="J13" s="8" t="n">
        <v>0.00139</v>
      </c>
      <c r="K13" s="9" t="n">
        <v>0.01562</v>
      </c>
      <c r="L13" s="1" t="n"/>
      <c r="M13" s="6" t="inlineStr">
        <is>
          <t>ISM Services</t>
        </is>
      </c>
      <c r="N13" s="39" t="n">
        <v>57.2</v>
      </c>
      <c r="O13" s="38" t="n">
        <v>57.1</v>
      </c>
      <c r="P13" s="13" t="n">
        <v>55</v>
      </c>
    </row>
    <row r="14">
      <c r="C14" s="6" t="inlineStr">
        <is>
          <t>Non-Farm Payroll</t>
        </is>
      </c>
      <c r="D14" s="46" t="inlineStr">
        <is>
          <t xml:space="preserve"> -140k</t>
        </is>
      </c>
      <c r="E14" s="47" t="inlineStr">
        <is>
          <t>4781k</t>
        </is>
      </c>
      <c r="F14" s="48" t="inlineStr">
        <is>
          <t>184k</t>
        </is>
      </c>
      <c r="G14" s="47" t="n"/>
      <c r="H14" s="6" t="inlineStr">
        <is>
          <t>3 Months</t>
        </is>
      </c>
      <c r="I14" s="8" t="n">
        <v>0.000837</v>
      </c>
      <c r="J14" s="8" t="n">
        <v>0.00137</v>
      </c>
      <c r="K14" s="9" t="n">
        <v>0.01569</v>
      </c>
      <c r="L14" s="1" t="n"/>
      <c r="M14" s="6" t="inlineStr">
        <is>
          <t>Money Supply M1</t>
        </is>
      </c>
      <c r="N14" s="40" t="n">
        <v>0.6899999999999999</v>
      </c>
      <c r="O14" s="38" t="n"/>
      <c r="P14" s="13" t="n"/>
    </row>
    <row r="15">
      <c r="C15" s="6" t="inlineStr">
        <is>
          <t>Weekly Claims</t>
        </is>
      </c>
      <c r="D15" s="46" t="inlineStr">
        <is>
          <t>965k</t>
        </is>
      </c>
      <c r="E15" s="47" t="inlineStr">
        <is>
          <t>1310k</t>
        </is>
      </c>
      <c r="F15" s="48" t="inlineStr">
        <is>
          <t>207k</t>
        </is>
      </c>
      <c r="G15" s="47" t="n"/>
      <c r="H15" s="6" t="inlineStr">
        <is>
          <t>10y -2y</t>
        </is>
      </c>
      <c r="I15" s="8">
        <f>I12-I13</f>
        <v/>
      </c>
      <c r="J15" s="8">
        <f>J12-J13</f>
        <v/>
      </c>
      <c r="K15" s="9">
        <f>K12-K13</f>
        <v/>
      </c>
      <c r="L15" s="1" t="n"/>
      <c r="M15" s="6" t="inlineStr">
        <is>
          <t>Money Supply M2</t>
        </is>
      </c>
      <c r="N15" s="40" t="n">
        <v>0.25</v>
      </c>
      <c r="O15" s="38" t="n"/>
      <c r="P15" s="13" t="n"/>
    </row>
    <row r="16" ht="16" customHeight="1" s="42" thickBot="1">
      <c r="C16" s="7" t="inlineStr">
        <is>
          <t>Industrial Production</t>
        </is>
      </c>
      <c r="D16" s="49" t="n">
        <v>-0.055</v>
      </c>
      <c r="E16" s="50" t="n">
        <v>-0.1572</v>
      </c>
      <c r="F16" s="51" t="n">
        <v>-0.0042</v>
      </c>
      <c r="G16" s="44" t="n"/>
      <c r="H16" s="7" t="inlineStr">
        <is>
          <t>DXY</t>
        </is>
      </c>
      <c r="I16" s="41" t="n">
        <v>90.48999999999999</v>
      </c>
      <c r="J16" s="11" t="n">
        <v>96.08</v>
      </c>
      <c r="K16" s="12" t="n">
        <v>97.23</v>
      </c>
      <c r="L16" s="1" t="n"/>
      <c r="M16" s="14" t="n"/>
      <c r="N16" s="15" t="n"/>
      <c r="O16" s="15" t="n"/>
      <c r="P16" s="16" t="n"/>
    </row>
    <row r="19">
      <c r="C19" s="67" t="inlineStr">
        <is>
          <t>ISM Manufacturing Sectors</t>
        </is>
      </c>
    </row>
    <row r="98">
      <c r="C98" s="67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67"/>
  <sheetViews>
    <sheetView zoomScale="150" zoomScaleNormal="150" workbookViewId="0">
      <pane xSplit="2" ySplit="10" topLeftCell="C43" activePane="bottomRight" state="frozen"/>
      <selection activeCell="AE27" sqref="AE27"/>
      <selection pane="topRight" activeCell="AE27" sqref="AE27"/>
      <selection pane="bottomLeft" activeCell="AE27" sqref="AE27"/>
      <selection pane="bottomRight" activeCell="AE27" sqref="AE27"/>
    </sheetView>
  </sheetViews>
  <sheetFormatPr baseColWidth="10" defaultColWidth="9.1640625" defaultRowHeight="15"/>
  <cols>
    <col width="9.1640625" customWidth="1" style="66" min="1" max="1"/>
    <col width="17.83203125" customWidth="1" style="42" min="2" max="2"/>
    <col width="6.1640625" customWidth="1" style="42" min="3" max="27"/>
    <col width="7.33203125" customWidth="1" style="42" min="28" max="28"/>
    <col width="9.1640625" customWidth="1" style="66" min="29" max="29"/>
    <col width="12.33203125" customWidth="1" style="66" min="30" max="30"/>
    <col width="9.1640625" customWidth="1" style="66" min="31" max="31"/>
    <col width="10.6640625" customWidth="1" style="66" min="32" max="32"/>
    <col width="10.6640625" bestFit="1" customWidth="1" style="66" min="33" max="33"/>
    <col width="9.1640625" customWidth="1" style="66" min="34" max="74"/>
  </cols>
  <sheetData>
    <row r="1" ht="16" customFormat="1" customHeight="1" s="66" thickBot="1">
      <c r="C1" s="66" t="inlineStr">
        <is>
          <t>Global</t>
        </is>
      </c>
      <c r="D1" s="66" t="inlineStr">
        <is>
          <t>ISM</t>
        </is>
      </c>
      <c r="E1" s="66" t="inlineStr">
        <is>
          <t>US</t>
        </is>
      </c>
      <c r="F1" s="66" t="inlineStr">
        <is>
          <t>CHN</t>
        </is>
      </c>
      <c r="G1" s="66" t="inlineStr">
        <is>
          <t>EU</t>
        </is>
      </c>
      <c r="H1" s="66" t="inlineStr">
        <is>
          <t>JPN</t>
        </is>
      </c>
      <c r="I1" s="66" t="inlineStr">
        <is>
          <t>DEU</t>
        </is>
      </c>
      <c r="J1" s="66" t="inlineStr">
        <is>
          <t>FRA</t>
        </is>
      </c>
      <c r="K1" s="66" t="inlineStr">
        <is>
          <t>UK</t>
        </is>
      </c>
      <c r="L1" s="66" t="inlineStr">
        <is>
          <t>ITA</t>
        </is>
      </c>
      <c r="M1" s="66" t="inlineStr">
        <is>
          <t>ESP</t>
        </is>
      </c>
      <c r="N1" s="66" t="inlineStr">
        <is>
          <t>BRA</t>
        </is>
      </c>
      <c r="O1" s="66" t="inlineStr">
        <is>
          <t>MEX</t>
        </is>
      </c>
      <c r="P1" s="66" t="inlineStr">
        <is>
          <t>RUS</t>
        </is>
      </c>
      <c r="Q1" s="66" t="inlineStr">
        <is>
          <t>IND</t>
        </is>
      </c>
      <c r="R1" s="66" t="inlineStr">
        <is>
          <t>CAN</t>
        </is>
      </c>
      <c r="S1" s="66" t="inlineStr">
        <is>
          <t>AUS</t>
        </is>
      </c>
      <c r="T1" s="66" t="inlineStr">
        <is>
          <t>IDN</t>
        </is>
      </c>
      <c r="U1" s="66" t="inlineStr">
        <is>
          <t>KOR</t>
        </is>
      </c>
      <c r="V1" s="66" t="inlineStr">
        <is>
          <t>TAI</t>
        </is>
      </c>
      <c r="W1" s="66" t="inlineStr">
        <is>
          <t>GRE</t>
        </is>
      </c>
      <c r="X1" s="66" t="inlineStr">
        <is>
          <t>IRE</t>
        </is>
      </c>
      <c r="Y1" s="66" t="inlineStr">
        <is>
          <t>TUR</t>
        </is>
      </c>
      <c r="Z1" s="66" t="inlineStr">
        <is>
          <t>CZE</t>
        </is>
      </c>
      <c r="AA1" s="66" t="inlineStr">
        <is>
          <t>POL</t>
        </is>
      </c>
      <c r="AB1" s="66" t="inlineStr">
        <is>
          <t>DEN</t>
        </is>
      </c>
      <c r="AD1" s="20" t="n"/>
      <c r="AG1" s="63" t="n"/>
      <c r="AJ1" s="19" t="n"/>
    </row>
    <row r="2" ht="72.75" customHeight="1" s="42">
      <c r="B2" s="21" t="n"/>
      <c r="C2" s="22" t="inlineStr">
        <is>
          <t>Global</t>
        </is>
      </c>
      <c r="D2" s="22" t="inlineStr">
        <is>
          <t>US ISM</t>
        </is>
      </c>
      <c r="E2" s="22" t="inlineStr">
        <is>
          <t>US</t>
        </is>
      </c>
      <c r="F2" s="22" t="inlineStr">
        <is>
          <t xml:space="preserve">China </t>
        </is>
      </c>
      <c r="G2" s="22" t="inlineStr">
        <is>
          <t>Eurozone</t>
        </is>
      </c>
      <c r="H2" s="22" t="inlineStr">
        <is>
          <t xml:space="preserve">Japan </t>
        </is>
      </c>
      <c r="I2" s="22" t="inlineStr">
        <is>
          <t>Germany</t>
        </is>
      </c>
      <c r="J2" s="22" t="inlineStr">
        <is>
          <t>France</t>
        </is>
      </c>
      <c r="K2" s="22" t="inlineStr">
        <is>
          <t>UK</t>
        </is>
      </c>
      <c r="L2" s="22" t="inlineStr">
        <is>
          <t xml:space="preserve">Italy </t>
        </is>
      </c>
      <c r="M2" s="22" t="inlineStr">
        <is>
          <t>Spain</t>
        </is>
      </c>
      <c r="N2" s="22" t="inlineStr">
        <is>
          <t>Brazil</t>
        </is>
      </c>
      <c r="O2" s="22" t="inlineStr">
        <is>
          <t>Mexico</t>
        </is>
      </c>
      <c r="P2" s="22" t="inlineStr">
        <is>
          <t>Russia</t>
        </is>
      </c>
      <c r="Q2" s="22" t="inlineStr">
        <is>
          <t>India</t>
        </is>
      </c>
      <c r="R2" s="22" t="inlineStr">
        <is>
          <t>Canada</t>
        </is>
      </c>
      <c r="S2" s="22" t="inlineStr">
        <is>
          <t>Australia</t>
        </is>
      </c>
      <c r="T2" s="23" t="inlineStr">
        <is>
          <t>Indonesia</t>
        </is>
      </c>
      <c r="U2" s="22" t="inlineStr">
        <is>
          <t xml:space="preserve">S Korea </t>
        </is>
      </c>
      <c r="V2" s="22" t="inlineStr">
        <is>
          <t>Taiwan</t>
        </is>
      </c>
      <c r="W2" s="22" t="inlineStr">
        <is>
          <t>Greece</t>
        </is>
      </c>
      <c r="X2" s="22" t="inlineStr">
        <is>
          <t>Ireland</t>
        </is>
      </c>
      <c r="Y2" s="22" t="inlineStr">
        <is>
          <t>Turkey</t>
        </is>
      </c>
      <c r="Z2" s="22" t="inlineStr">
        <is>
          <t xml:space="preserve">Czech </t>
        </is>
      </c>
      <c r="AA2" s="22" t="inlineStr">
        <is>
          <t>Poland</t>
        </is>
      </c>
      <c r="AB2" s="24" t="inlineStr">
        <is>
          <t>Denmark</t>
        </is>
      </c>
      <c r="AG2" s="25" t="n"/>
    </row>
    <row r="3">
      <c r="B3" s="26" t="inlineStr">
        <is>
          <t>max 12m</t>
        </is>
      </c>
      <c r="C3" s="52">
        <f>MAX(C$55:C$66)</f>
        <v/>
      </c>
      <c r="D3" s="52">
        <f>MAX(D$55:D$66)</f>
        <v/>
      </c>
      <c r="E3" s="52">
        <f>MAX(E$55:E$66)</f>
        <v/>
      </c>
      <c r="F3" s="52">
        <f>MAX(F$55:F$66)</f>
        <v/>
      </c>
      <c r="G3" s="52">
        <f>MAX(G$55:G$66)</f>
        <v/>
      </c>
      <c r="H3" s="52">
        <f>MAX(H$55:H$66)</f>
        <v/>
      </c>
      <c r="I3" s="52">
        <f>MAX(I$55:I$66)</f>
        <v/>
      </c>
      <c r="J3" s="52">
        <f>MAX(J$55:J$66)</f>
        <v/>
      </c>
      <c r="K3" s="52">
        <f>MAX(K$55:K$66)</f>
        <v/>
      </c>
      <c r="L3" s="52">
        <f>MAX(L$55:L$66)</f>
        <v/>
      </c>
      <c r="M3" s="52">
        <f>MAX(M$55:M$66)</f>
        <v/>
      </c>
      <c r="N3" s="52">
        <f>MAX(N$55:N$66)</f>
        <v/>
      </c>
      <c r="O3" s="52">
        <f>MAX(O$55:O$66)</f>
        <v/>
      </c>
      <c r="P3" s="52">
        <f>MAX(P$55:P$66)</f>
        <v/>
      </c>
      <c r="Q3" s="52">
        <f>MAX(Q$55:Q$66)</f>
        <v/>
      </c>
      <c r="R3" s="52">
        <f>MAX(R$55:R$66)</f>
        <v/>
      </c>
      <c r="S3" s="52">
        <f>MAX(S$55:S$66)</f>
        <v/>
      </c>
      <c r="T3" s="52">
        <f>MAX(T$55:T$66)</f>
        <v/>
      </c>
      <c r="U3" s="52">
        <f>MAX(U$55:U$66)</f>
        <v/>
      </c>
      <c r="V3" s="52">
        <f>MAX(V$55:V$66)</f>
        <v/>
      </c>
      <c r="W3" s="52">
        <f>MAX(W$55:W$66)</f>
        <v/>
      </c>
      <c r="X3" s="52">
        <f>MAX(X$55:X$66)</f>
        <v/>
      </c>
      <c r="Y3" s="52">
        <f>MAX(Y$55:Y$66)</f>
        <v/>
      </c>
      <c r="Z3" s="52">
        <f>MAX(Z$55:Z$66)</f>
        <v/>
      </c>
      <c r="AA3" s="52">
        <f>MAX(AA$55:AA$66)</f>
        <v/>
      </c>
      <c r="AB3" s="52">
        <f>MAX(AB$55:AB$66)</f>
        <v/>
      </c>
      <c r="AF3" s="66" t="inlineStr">
        <is>
          <t>12 months</t>
        </is>
      </c>
      <c r="AG3" s="25" t="n">
        <v>44228</v>
      </c>
    </row>
    <row r="4">
      <c r="B4" s="26" t="inlineStr">
        <is>
          <t>min 12m</t>
        </is>
      </c>
      <c r="C4" s="52">
        <f>MIN(C$55:C$66)</f>
        <v/>
      </c>
      <c r="D4" s="52">
        <f>MIN(D$55:D$66)</f>
        <v/>
      </c>
      <c r="E4" s="52">
        <f>MIN(E$55:E$66)</f>
        <v/>
      </c>
      <c r="F4" s="52">
        <f>MIN(F$55:F$66)</f>
        <v/>
      </c>
      <c r="G4" s="52">
        <f>MIN(G$55:G$66)</f>
        <v/>
      </c>
      <c r="H4" s="52">
        <f>MIN(H$55:H$66)</f>
        <v/>
      </c>
      <c r="I4" s="52">
        <f>MIN(I$55:I$66)</f>
        <v/>
      </c>
      <c r="J4" s="52">
        <f>MIN(J$55:J$66)</f>
        <v/>
      </c>
      <c r="K4" s="52">
        <f>MIN(K$55:K$66)</f>
        <v/>
      </c>
      <c r="L4" s="52">
        <f>MIN(L$55:L$66)</f>
        <v/>
      </c>
      <c r="M4" s="52">
        <f>MIN(M$55:M$66)</f>
        <v/>
      </c>
      <c r="N4" s="52">
        <f>MIN(N$55:N$66)</f>
        <v/>
      </c>
      <c r="O4" s="52">
        <f>MIN(O$55:O$66)</f>
        <v/>
      </c>
      <c r="P4" s="52">
        <f>MIN(P$55:P$66)</f>
        <v/>
      </c>
      <c r="Q4" s="52">
        <f>MIN(Q$55:Q$66)</f>
        <v/>
      </c>
      <c r="R4" s="52">
        <f>MIN(R$55:R$66)</f>
        <v/>
      </c>
      <c r="S4" s="52">
        <f>MIN(S$55:S$66)</f>
        <v/>
      </c>
      <c r="T4" s="52">
        <f>MIN(T$55:T$66)</f>
        <v/>
      </c>
      <c r="U4" s="52">
        <f>MIN(U$55:U$66)</f>
        <v/>
      </c>
      <c r="V4" s="52">
        <f>MIN(V$55:V$66)</f>
        <v/>
      </c>
      <c r="W4" s="52">
        <f>MIN(W$55:W$66)</f>
        <v/>
      </c>
      <c r="X4" s="52">
        <f>MIN(X$55:X$66)</f>
        <v/>
      </c>
      <c r="Y4" s="52">
        <f>MIN(Y$55:Y$66)</f>
        <v/>
      </c>
      <c r="Z4" s="52">
        <f>MIN(Z$55:Z$66)</f>
        <v/>
      </c>
      <c r="AA4" s="52">
        <f>MIN(AA$55:AA$66)</f>
        <v/>
      </c>
      <c r="AB4" s="52">
        <f>MIN(AB$55:AB$66)</f>
        <v/>
      </c>
    </row>
    <row r="5" ht="16" customHeight="1" s="42" thickBot="1">
      <c r="B5" s="26" t="inlineStr">
        <is>
          <t>12m avg</t>
        </is>
      </c>
      <c r="C5" s="54" t="n">
        <v>52.27500000000001</v>
      </c>
      <c r="D5" s="54" t="n">
        <v>59.24166666666667</v>
      </c>
      <c r="E5" s="54" t="n">
        <v>55.51666666666666</v>
      </c>
      <c r="F5" s="54" t="n">
        <v>50.87500000000001</v>
      </c>
      <c r="G5" s="54" t="n">
        <v>55.725</v>
      </c>
      <c r="H5" s="54" t="n">
        <v>53.175</v>
      </c>
      <c r="I5" s="54" t="n">
        <v>57.06666666666666</v>
      </c>
      <c r="J5" s="54" t="n">
        <v>54.125</v>
      </c>
      <c r="K5" s="54" t="n">
        <v>54.025</v>
      </c>
      <c r="L5" s="54" t="n">
        <v>53.1</v>
      </c>
      <c r="M5" s="54" t="n">
        <v>53.72499999999999</v>
      </c>
      <c r="N5" s="54" t="n">
        <v>51.60833333333334</v>
      </c>
      <c r="O5" s="54" t="n">
        <v>51.49166666666668</v>
      </c>
      <c r="P5" s="54" t="n">
        <v>50.53333333333333</v>
      </c>
      <c r="Q5" s="54" t="n">
        <v>52.45000000000001</v>
      </c>
      <c r="R5" s="54" t="n">
        <v>55.66666666666666</v>
      </c>
      <c r="S5" s="54" t="n">
        <v>57.16666666666666</v>
      </c>
      <c r="T5" s="54" t="n">
        <v>50.74166666666667</v>
      </c>
      <c r="U5" s="54" t="n">
        <v>49.68333333333333</v>
      </c>
      <c r="V5" s="54" t="n">
        <v>53.45833333333334</v>
      </c>
      <c r="W5" s="54" t="n">
        <v>54.00833333333333</v>
      </c>
      <c r="X5" s="54" t="n">
        <v>56.22499999999999</v>
      </c>
      <c r="Y5" s="54" t="n">
        <v>48.93333333333333</v>
      </c>
      <c r="Z5" s="54" t="n">
        <v>56.18333333333333</v>
      </c>
      <c r="AA5" s="54" t="n">
        <v>52.75833333333333</v>
      </c>
      <c r="AB5" s="55" t="n">
        <v>58.73833333333334</v>
      </c>
    </row>
    <row r="6">
      <c r="B6" s="27" t="inlineStr">
        <is>
          <t>Last vs 12m avg</t>
        </is>
      </c>
      <c r="C6" s="56" t="inlineStr">
        <is>
          <t>above</t>
        </is>
      </c>
      <c r="D6" s="57" t="inlineStr">
        <is>
          <t>above</t>
        </is>
      </c>
      <c r="E6" s="57" t="inlineStr">
        <is>
          <t>above</t>
        </is>
      </c>
      <c r="F6" s="57" t="inlineStr">
        <is>
          <t>above</t>
        </is>
      </c>
      <c r="G6" s="57" t="inlineStr">
        <is>
          <t>below</t>
        </is>
      </c>
      <c r="H6" s="57" t="inlineStr">
        <is>
          <t>below</t>
        </is>
      </c>
      <c r="I6" s="57" t="inlineStr">
        <is>
          <t>above</t>
        </is>
      </c>
      <c r="J6" s="57" t="inlineStr">
        <is>
          <t>below</t>
        </is>
      </c>
      <c r="K6" s="57" t="inlineStr">
        <is>
          <t>above</t>
        </is>
      </c>
      <c r="L6" s="57" t="inlineStr">
        <is>
          <t>below</t>
        </is>
      </c>
      <c r="M6" s="57" t="inlineStr">
        <is>
          <t>below</t>
        </is>
      </c>
      <c r="N6" s="57" t="inlineStr">
        <is>
          <t>above</t>
        </is>
      </c>
      <c r="O6" s="57" t="inlineStr">
        <is>
          <t>below</t>
        </is>
      </c>
      <c r="P6" s="57" t="inlineStr">
        <is>
          <t>below</t>
        </is>
      </c>
      <c r="Q6" s="57" t="inlineStr">
        <is>
          <t>above</t>
        </is>
      </c>
      <c r="R6" s="57" t="inlineStr">
        <is>
          <t>above</t>
        </is>
      </c>
      <c r="S6" s="57" t="inlineStr">
        <is>
          <t>below</t>
        </is>
      </c>
      <c r="T6" s="57" t="inlineStr">
        <is>
          <t>above</t>
        </is>
      </c>
      <c r="U6" s="57" t="inlineStr">
        <is>
          <t>above</t>
        </is>
      </c>
      <c r="V6" s="57" t="inlineStr">
        <is>
          <t>above</t>
        </is>
      </c>
      <c r="W6" s="57" t="inlineStr">
        <is>
          <t>below</t>
        </is>
      </c>
      <c r="X6" s="57" t="inlineStr">
        <is>
          <t>above</t>
        </is>
      </c>
      <c r="Y6" s="57" t="inlineStr">
        <is>
          <t>above</t>
        </is>
      </c>
      <c r="Z6" s="57" t="inlineStr">
        <is>
          <t>above</t>
        </is>
      </c>
      <c r="AA6" s="57" t="inlineStr">
        <is>
          <t>below</t>
        </is>
      </c>
      <c r="AB6" s="58" t="inlineStr">
        <is>
          <t>below</t>
        </is>
      </c>
    </row>
    <row r="7">
      <c r="B7" s="27" t="inlineStr">
        <is>
          <t>Y/Y</t>
        </is>
      </c>
      <c r="C7" s="59" t="n">
        <v>3.699999999999996</v>
      </c>
      <c r="D7" s="52" t="n">
        <v>12.90000000000001</v>
      </c>
      <c r="E7" s="52" t="n">
        <v>4.700000000000003</v>
      </c>
      <c r="F7" s="52" t="n">
        <v>1.5</v>
      </c>
      <c r="G7" s="52" t="n">
        <v>8.900000000000006</v>
      </c>
      <c r="H7" s="52" t="n">
        <v>1.600000000000001</v>
      </c>
      <c r="I7" s="52" t="n">
        <v>14.59999999999999</v>
      </c>
      <c r="J7" s="52" t="n">
        <v>0.7000000000000028</v>
      </c>
      <c r="K7" s="52" t="n">
        <v>10</v>
      </c>
      <c r="L7" s="52" t="n">
        <v>6.599999999999994</v>
      </c>
      <c r="M7" s="52" t="n">
        <v>3.600000000000001</v>
      </c>
      <c r="N7" s="52" t="n">
        <v>11.3</v>
      </c>
      <c r="O7" s="52" t="n">
        <v>-4.700000000000003</v>
      </c>
      <c r="P7" s="52" t="n">
        <v>2.200000000000003</v>
      </c>
      <c r="Q7" s="52" t="n">
        <v>3.699999999999996</v>
      </c>
      <c r="R7" s="52" t="n">
        <v>7.5</v>
      </c>
      <c r="S7" s="52" t="n">
        <v>-48.3</v>
      </c>
      <c r="T7" s="52" t="n">
        <v>1.799999999999997</v>
      </c>
      <c r="U7" s="52" t="n">
        <v>2.799999999999997</v>
      </c>
      <c r="V7" s="52" t="n">
        <v>8.600000000000001</v>
      </c>
      <c r="W7" s="52" t="n">
        <v>-7</v>
      </c>
      <c r="X7" s="52" t="n">
        <v>7.700000000000003</v>
      </c>
      <c r="Y7" s="52" t="n">
        <v>1.299999999999997</v>
      </c>
      <c r="Z7" s="52" t="n">
        <v>13.4</v>
      </c>
      <c r="AA7" s="52" t="n">
        <v>3.700000000000003</v>
      </c>
      <c r="AB7" s="53" t="n">
        <v>-8.800000000000004</v>
      </c>
    </row>
    <row r="8">
      <c r="B8" s="27" t="inlineStr">
        <is>
          <t>M/M</t>
        </is>
      </c>
      <c r="C8" s="59" t="n">
        <v>0</v>
      </c>
      <c r="D8" s="52" t="n">
        <v>3.200000000000003</v>
      </c>
      <c r="E8" s="52" t="n">
        <v>0.3999999999999986</v>
      </c>
      <c r="F8" s="52" t="n">
        <v>-1.899999999999999</v>
      </c>
      <c r="G8" s="52" t="n">
        <v>1.400000000000006</v>
      </c>
      <c r="H8" s="52" t="n">
        <v>1</v>
      </c>
      <c r="I8" s="52" t="n">
        <v>0.5</v>
      </c>
      <c r="J8" s="52" t="n">
        <v>1.5</v>
      </c>
      <c r="K8" s="52" t="n">
        <v>1.899999999999999</v>
      </c>
      <c r="L8" s="52" t="n">
        <v>1.299999999999997</v>
      </c>
      <c r="M8" s="52" t="n">
        <v>1.200000000000003</v>
      </c>
      <c r="N8" s="52" t="n">
        <v>-2.5</v>
      </c>
      <c r="O8" s="52" t="n">
        <v>-1.300000000000004</v>
      </c>
      <c r="P8" s="52" t="n">
        <v>3.400000000000006</v>
      </c>
      <c r="Q8" s="52" t="n">
        <v>0.1000000000000014</v>
      </c>
      <c r="R8" s="52" t="n">
        <v>2.100000000000001</v>
      </c>
      <c r="S8" s="52" t="n">
        <v>-52.1</v>
      </c>
      <c r="T8" s="52" t="n">
        <v>0.6999999999999957</v>
      </c>
      <c r="U8" s="52" t="n">
        <v>0</v>
      </c>
      <c r="V8" s="52" t="n">
        <v>2.5</v>
      </c>
      <c r="W8" s="52" t="n">
        <v>4.600000000000001</v>
      </c>
      <c r="X8" s="52" t="n">
        <v>5</v>
      </c>
      <c r="Y8" s="52" t="n">
        <v>-0.6000000000000014</v>
      </c>
      <c r="Z8" s="52" t="n">
        <v>3.100000000000001</v>
      </c>
      <c r="AA8" s="52" t="n">
        <v>0.9000000000000057</v>
      </c>
      <c r="AB8" s="53" t="n">
        <v>-5.800000000000004</v>
      </c>
    </row>
    <row r="9" ht="66.75" customHeight="1" s="42">
      <c r="B9" s="28" t="inlineStr">
        <is>
          <t>Growth / Contraction</t>
        </is>
      </c>
      <c r="C9" s="29" t="inlineStr">
        <is>
          <t>Growth</t>
        </is>
      </c>
      <c r="D9" s="30" t="inlineStr">
        <is>
          <t>Growth</t>
        </is>
      </c>
      <c r="E9" s="30" t="inlineStr">
        <is>
          <t>Growth</t>
        </is>
      </c>
      <c r="F9" s="30" t="inlineStr">
        <is>
          <t>Growth</t>
        </is>
      </c>
      <c r="G9" s="30" t="inlineStr">
        <is>
          <t>Growth</t>
        </is>
      </c>
      <c r="H9" s="30" t="inlineStr">
        <is>
          <t>Contraction</t>
        </is>
      </c>
      <c r="I9" s="30" t="inlineStr">
        <is>
          <t>Growth</t>
        </is>
      </c>
      <c r="J9" s="30" t="inlineStr">
        <is>
          <t>Growth</t>
        </is>
      </c>
      <c r="K9" s="30" t="inlineStr">
        <is>
          <t>Growth</t>
        </is>
      </c>
      <c r="L9" s="30" t="inlineStr">
        <is>
          <t>Growth</t>
        </is>
      </c>
      <c r="M9" s="30" t="inlineStr">
        <is>
          <t>Growth</t>
        </is>
      </c>
      <c r="N9" s="30" t="inlineStr">
        <is>
          <t>Growth</t>
        </is>
      </c>
      <c r="O9" s="30" t="inlineStr">
        <is>
          <t>Contraction</t>
        </is>
      </c>
      <c r="P9" s="30" t="inlineStr">
        <is>
          <t>Contraction</t>
        </is>
      </c>
      <c r="Q9" s="30" t="inlineStr">
        <is>
          <t>Growth</t>
        </is>
      </c>
      <c r="R9" s="30" t="inlineStr">
        <is>
          <t>Growth</t>
        </is>
      </c>
      <c r="S9" s="30" t="inlineStr">
        <is>
          <t>Contraction</t>
        </is>
      </c>
      <c r="T9" s="30" t="inlineStr">
        <is>
          <t>Growth</t>
        </is>
      </c>
      <c r="U9" s="30" t="inlineStr">
        <is>
          <t>Growth</t>
        </is>
      </c>
      <c r="V9" s="30" t="inlineStr">
        <is>
          <t>Growth</t>
        </is>
      </c>
      <c r="W9" s="30" t="inlineStr">
        <is>
          <t>Contraction</t>
        </is>
      </c>
      <c r="X9" s="30" t="inlineStr">
        <is>
          <t>Growth</t>
        </is>
      </c>
      <c r="Y9" s="30" t="inlineStr">
        <is>
          <t>Growth</t>
        </is>
      </c>
      <c r="Z9" s="30" t="inlineStr">
        <is>
          <t>Growth</t>
        </is>
      </c>
      <c r="AA9" s="30" t="inlineStr">
        <is>
          <t>Growth</t>
        </is>
      </c>
      <c r="AB9" s="31" t="inlineStr">
        <is>
          <t>Contraction</t>
        </is>
      </c>
    </row>
    <row r="10" ht="26.25" customHeight="1" s="42" thickBot="1">
      <c r="B10" s="32" t="inlineStr">
        <is>
          <t>Slower/Faster</t>
        </is>
      </c>
      <c r="C10" s="33" t="inlineStr">
        <is>
          <t>-</t>
        </is>
      </c>
      <c r="D10" s="34" t="inlineStr">
        <is>
          <t>+</t>
        </is>
      </c>
      <c r="E10" s="34" t="inlineStr">
        <is>
          <t>+</t>
        </is>
      </c>
      <c r="F10" s="34" t="inlineStr">
        <is>
          <t>-</t>
        </is>
      </c>
      <c r="G10" s="34" t="inlineStr">
        <is>
          <t>+</t>
        </is>
      </c>
      <c r="H10" s="34" t="inlineStr">
        <is>
          <t>+</t>
        </is>
      </c>
      <c r="I10" s="34" t="inlineStr">
        <is>
          <t>+</t>
        </is>
      </c>
      <c r="J10" s="34" t="inlineStr">
        <is>
          <t>+</t>
        </is>
      </c>
      <c r="K10" s="34" t="inlineStr">
        <is>
          <t>+</t>
        </is>
      </c>
      <c r="L10" s="34" t="inlineStr">
        <is>
          <t>+</t>
        </is>
      </c>
      <c r="M10" s="34" t="inlineStr">
        <is>
          <t>+</t>
        </is>
      </c>
      <c r="N10" s="34" t="inlineStr">
        <is>
          <t>-</t>
        </is>
      </c>
      <c r="O10" s="34" t="inlineStr">
        <is>
          <t>-</t>
        </is>
      </c>
      <c r="P10" s="34" t="inlineStr">
        <is>
          <t>+</t>
        </is>
      </c>
      <c r="Q10" s="34" t="inlineStr">
        <is>
          <t>+</t>
        </is>
      </c>
      <c r="R10" s="34" t="inlineStr">
        <is>
          <t>+</t>
        </is>
      </c>
      <c r="S10" s="34" t="inlineStr">
        <is>
          <t>-</t>
        </is>
      </c>
      <c r="T10" s="34" t="inlineStr">
        <is>
          <t>+</t>
        </is>
      </c>
      <c r="U10" s="34" t="inlineStr">
        <is>
          <t>-</t>
        </is>
      </c>
      <c r="V10" s="34" t="inlineStr">
        <is>
          <t>+</t>
        </is>
      </c>
      <c r="W10" s="34" t="inlineStr">
        <is>
          <t>+</t>
        </is>
      </c>
      <c r="X10" s="34" t="inlineStr">
        <is>
          <t>+</t>
        </is>
      </c>
      <c r="Y10" s="34" t="inlineStr">
        <is>
          <t>-</t>
        </is>
      </c>
      <c r="Z10" s="34" t="inlineStr">
        <is>
          <t>+</t>
        </is>
      </c>
      <c r="AA10" s="34" t="inlineStr">
        <is>
          <t>+</t>
        </is>
      </c>
      <c r="AB10" s="35" t="inlineStr">
        <is>
          <t>-</t>
        </is>
      </c>
    </row>
    <row r="11" ht="26.25" customHeight="1" s="42">
      <c r="B11" s="66" t="n"/>
      <c r="C11" s="66" t="n"/>
      <c r="D11" s="66" t="n"/>
      <c r="E11" s="66" t="n"/>
      <c r="F11" s="66" t="n"/>
      <c r="G11" s="66" t="n"/>
      <c r="H11" s="66" t="n"/>
      <c r="I11" s="66" t="n"/>
      <c r="J11" s="66" t="n"/>
      <c r="K11" s="66" t="n"/>
      <c r="L11" s="66" t="n"/>
      <c r="M11" s="66" t="n"/>
      <c r="N11" s="66" t="n"/>
      <c r="O11" s="66" t="n"/>
      <c r="P11" s="66" t="n"/>
      <c r="Q11" s="66" t="n"/>
      <c r="R11" s="66" t="n"/>
      <c r="S11" s="66" t="n"/>
      <c r="T11" s="66" t="n"/>
      <c r="U11" s="66" t="n"/>
      <c r="V11" s="66" t="n"/>
      <c r="W11" s="66" t="n"/>
      <c r="X11" s="66" t="n"/>
      <c r="Y11" s="66" t="n"/>
      <c r="Z11" s="66" t="n"/>
      <c r="AA11" s="66" t="n"/>
      <c r="AB11" s="66" t="n"/>
    </row>
    <row r="12">
      <c r="B12" s="36" t="n">
        <v>42887</v>
      </c>
      <c r="C12" s="60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60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60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60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60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60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60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60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60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60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60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60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60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60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60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60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60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60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60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60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60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60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60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60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60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60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36" t="n">
        <v>42917</v>
      </c>
      <c r="C13" s="60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60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60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60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60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60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60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60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60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60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60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60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60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60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60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60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60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60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60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60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60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60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60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60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60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60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36" t="n">
        <v>42948</v>
      </c>
      <c r="C14" s="60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60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60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60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60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60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60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60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60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60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60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60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60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60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60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60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60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60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60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60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60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60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60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60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60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60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36" t="n">
        <v>42979</v>
      </c>
      <c r="C15" s="60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60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60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60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60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60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60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60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60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60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60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60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60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60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60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60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60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60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60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60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60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60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60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60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60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60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36" t="n">
        <v>43009</v>
      </c>
      <c r="C16" s="60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60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60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60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60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60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60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60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60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60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60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60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60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60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60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60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60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60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60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60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60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60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60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60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60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60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36" t="n">
        <v>43040</v>
      </c>
      <c r="C17" s="60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60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60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60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60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60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60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60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60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60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60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60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60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60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60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60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60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60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60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60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60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60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60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60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60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60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36" t="n">
        <v>43070</v>
      </c>
      <c r="C18" s="60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60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60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60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60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60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60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60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60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60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60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60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60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60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60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60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60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60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60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60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60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60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60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60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60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60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36" t="n">
        <v>43101</v>
      </c>
      <c r="C19" s="60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60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60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60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60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60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60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60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60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60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60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60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60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60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60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60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60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60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60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60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60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60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60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60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60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60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36" t="n">
        <v>43132</v>
      </c>
      <c r="C20" s="60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60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60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60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60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60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60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60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60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60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60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60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60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60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60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60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60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60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60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60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60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60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60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60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60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60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36" t="n">
        <v>43160</v>
      </c>
      <c r="C21" s="60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60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60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60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60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60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60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60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60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60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60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60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60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60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60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60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60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60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60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60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60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60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60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60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60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60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36" t="n">
        <v>43191</v>
      </c>
      <c r="C22" s="60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60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60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60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60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60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60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60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60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60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60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60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60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60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60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60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60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60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60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60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60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60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60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60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60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60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36" t="n">
        <v>43221</v>
      </c>
      <c r="C23" s="60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60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60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60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60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60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60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60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60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60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60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60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60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60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60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60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60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60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60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60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60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60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60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60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60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60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36" t="n">
        <v>43252</v>
      </c>
      <c r="C24" s="60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60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60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60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60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60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60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60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60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60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60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60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60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60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60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60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60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60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60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60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60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60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60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60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60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60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36" t="n">
        <v>43282</v>
      </c>
      <c r="C25" s="60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60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60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60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60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60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60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60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60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60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60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60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60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60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60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60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60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60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60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60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60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60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60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60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60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60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36" t="n">
        <v>43313</v>
      </c>
      <c r="C26" s="60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60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60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60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60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60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60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60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60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60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60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60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60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60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60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60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60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60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60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60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60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60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60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60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60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60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36" t="n">
        <v>43344</v>
      </c>
      <c r="C27" s="60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60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60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60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60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60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60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60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60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60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60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60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60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60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60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60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60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60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60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60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60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60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60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60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60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60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36" t="n">
        <v>43374</v>
      </c>
      <c r="C28" s="60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60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60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60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60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60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60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60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60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60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60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60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60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60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60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60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60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60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60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60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60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60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60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60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60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60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36" t="n">
        <v>43405</v>
      </c>
      <c r="C29" s="60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60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60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60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60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60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60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60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60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60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60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60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60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60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60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60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60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60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60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60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60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60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60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60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60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60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36" t="n">
        <v>43435</v>
      </c>
      <c r="C30" s="60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60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60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60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60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60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60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60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60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60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60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60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60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60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60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60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60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60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60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60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60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60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60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60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60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60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36" t="n">
        <v>43466</v>
      </c>
      <c r="C31" s="60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60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60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60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60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60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60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60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60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60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60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60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60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60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60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60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60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60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60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60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60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60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60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60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60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60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36" t="n">
        <v>43497</v>
      </c>
      <c r="C32" s="60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60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60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60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60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60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60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60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60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60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60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60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60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60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60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60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60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60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60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60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60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60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60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60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60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60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36" t="n">
        <v>43525</v>
      </c>
      <c r="C33" s="60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60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60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60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60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60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60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60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60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60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60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60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60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60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60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60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60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60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60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60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60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60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60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60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60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60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36" t="n">
        <v>43556</v>
      </c>
      <c r="C34" s="60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60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60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60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60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60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60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60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60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60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60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60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60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60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60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60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60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60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60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60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60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60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60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60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60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60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36" t="n">
        <v>43586</v>
      </c>
      <c r="C35" s="60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60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60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60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60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60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60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60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60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60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60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60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60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60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60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60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60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60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60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60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60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60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60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60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60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60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36" t="n">
        <v>43617</v>
      </c>
      <c r="C36" s="60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60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60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60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60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60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60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60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60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60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60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60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60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60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60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60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60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60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60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60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60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60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60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60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60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60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36" t="n">
        <v>43647</v>
      </c>
      <c r="C37" s="60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60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60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60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60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60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60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60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60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60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60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60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60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60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60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60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60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60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60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60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60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60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60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60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60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60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36" t="n">
        <v>43678</v>
      </c>
      <c r="C38" s="60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60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60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60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60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60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60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60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60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60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60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60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60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60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60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60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60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60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60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60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60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60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60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60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60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60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36" t="n">
        <v>43709</v>
      </c>
      <c r="C39" s="60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60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60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60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60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60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60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60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60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60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60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60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60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60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60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60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60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60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60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60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60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60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60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60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60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60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36" t="n">
        <v>43739</v>
      </c>
      <c r="C40" s="60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60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60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60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60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60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60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60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60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60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60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60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60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60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60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60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60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60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60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60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60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60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60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60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60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60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36" t="n">
        <v>43770</v>
      </c>
      <c r="C41" s="60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60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60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60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60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60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60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60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60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60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60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60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60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60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60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60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60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60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60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60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60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60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60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60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60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60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36" t="n">
        <v>43800</v>
      </c>
      <c r="C42" s="60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60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60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60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60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60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60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60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60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60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60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60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60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60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60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60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60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60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60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60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60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60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60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60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60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60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36" t="n">
        <v>43831</v>
      </c>
      <c r="C43" s="60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60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60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60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60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60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60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60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60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60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60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60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60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60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60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60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60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60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60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60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60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60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60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60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60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60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36" t="n">
        <v>43862</v>
      </c>
      <c r="C44" s="60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60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60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60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60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60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60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60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60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60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60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60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60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60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60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60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60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60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60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60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60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60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60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60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60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60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36" t="n">
        <v>43891</v>
      </c>
      <c r="C45" s="60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60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60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60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60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60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60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60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60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60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60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60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60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60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60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60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60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60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60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60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60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60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60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60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60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60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36" t="n">
        <v>43922</v>
      </c>
      <c r="C46" s="60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60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60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60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60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60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60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60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60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60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60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60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60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60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60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60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60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60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60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60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60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60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60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60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60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60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36" t="n">
        <v>43952</v>
      </c>
      <c r="C47" s="60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60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60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60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60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60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60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60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60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60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60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60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60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60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60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60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60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60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60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60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60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60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60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60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60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60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36" t="n">
        <v>43983</v>
      </c>
      <c r="C48" s="60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60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60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60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60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60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60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60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60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60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60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60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60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60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60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60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60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60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60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60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60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60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60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60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60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60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6">
      <c r="B49" s="36" t="n">
        <v>44013</v>
      </c>
      <c r="C49" s="60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60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60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60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60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60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60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60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60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60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60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60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60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60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60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60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60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60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60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60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60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60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60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60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60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60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6">
      <c r="B50" s="36" t="n">
        <v>44044</v>
      </c>
      <c r="C50" s="60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60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60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60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60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60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60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60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60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60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60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60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60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60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60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60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60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60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60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60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60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60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60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60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60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60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6">
      <c r="B51" s="36" t="n">
        <v>44075</v>
      </c>
      <c r="C51" s="60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60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60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60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60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60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60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60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60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60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60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60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60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60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60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60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60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60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60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60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60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60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60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60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60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60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6">
      <c r="B52" s="36" t="n">
        <v>44105</v>
      </c>
      <c r="C52" s="60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60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60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60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60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60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60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60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60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60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60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60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60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60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60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60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60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60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60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60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60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60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60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60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60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60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6">
      <c r="B53" s="36" t="n">
        <v>44136</v>
      </c>
      <c r="C53" s="60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60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60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60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60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60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60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60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60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60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60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60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60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60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60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60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60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60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60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60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60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60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60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60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60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60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6">
      <c r="B54" s="36" t="n">
        <v>44166</v>
      </c>
      <c r="C54" s="60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60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60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60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60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60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60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60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60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60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60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60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60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60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60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60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60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60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60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60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60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60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60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60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60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60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6">
      <c r="B55" s="36" t="n">
        <v>44197</v>
      </c>
      <c r="C55" s="60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60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60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60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60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60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60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60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60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60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60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60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60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60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60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60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60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60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60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60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60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60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60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60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60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60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6">
      <c r="B56" s="36" t="n">
        <v>44228</v>
      </c>
      <c r="C56" s="60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60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60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60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60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60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60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60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60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60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60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60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60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60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60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60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60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60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60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60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60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60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60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60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60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60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6">
      <c r="B57" s="36" t="n">
        <v>44256</v>
      </c>
      <c r="C57" s="60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60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60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60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60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60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60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60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60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60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60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60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60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60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60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60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60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60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60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60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60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60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60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60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60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60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6">
      <c r="B58" s="36" t="n">
        <v>44287</v>
      </c>
      <c r="C58" s="60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60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60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60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60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60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60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60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60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60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60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60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60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60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60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60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60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60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60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60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60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60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60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60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60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60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6">
      <c r="B59" s="36" t="n">
        <v>44317</v>
      </c>
      <c r="C59" s="60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60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60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60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60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60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60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60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60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60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60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60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60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60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60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60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60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60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60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60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60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60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60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60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60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60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6">
      <c r="B60" s="36" t="n">
        <v>44348</v>
      </c>
      <c r="C60" s="60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60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60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60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60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60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60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60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60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60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60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60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60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60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60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60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60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60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60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60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60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60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60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60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60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60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6">
      <c r="B61" s="36" t="n">
        <v>44378</v>
      </c>
      <c r="C61" s="60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60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60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60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60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60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60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60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60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60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60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60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60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60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60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60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60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60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60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60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60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60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60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60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60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60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6">
      <c r="B62" s="36" t="n">
        <v>44409</v>
      </c>
      <c r="C62" s="60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60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60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60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60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60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60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60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60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60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60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60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60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60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60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60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60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60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60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60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60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60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60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60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60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60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6">
      <c r="B63" s="36" t="n">
        <v>44440</v>
      </c>
      <c r="C63" s="60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60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60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60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60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60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60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60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60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60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60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60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60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60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60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60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60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60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60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60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60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60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60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60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60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60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6">
      <c r="B64" s="36" t="n">
        <v>44470</v>
      </c>
      <c r="C64" s="60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60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60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60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60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60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60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60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60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60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60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60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60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60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60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60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60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60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60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60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60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60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60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60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60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60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6">
      <c r="B65" s="36" t="n">
        <v>44501</v>
      </c>
      <c r="C65" s="60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60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60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60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60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60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60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60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60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60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60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60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60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60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60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60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60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60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60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60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60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60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60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60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60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60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6">
      <c r="B66" s="36" t="n">
        <v>44531</v>
      </c>
      <c r="C66" s="60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60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60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60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60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60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60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60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60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60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60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60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60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60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60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60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60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60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60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60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60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60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60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60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60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60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6">
      <c r="B67" s="36" t="n">
        <v>44562</v>
      </c>
      <c r="C67" s="60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60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60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60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60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60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60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60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60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60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60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60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60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60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60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60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60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60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60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60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60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60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60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60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60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60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6"/>
    <row r="69" customFormat="1" s="66"/>
    <row r="70" customFormat="1" s="66"/>
    <row r="71" customFormat="1" s="66"/>
    <row r="72" customFormat="1" s="66"/>
    <row r="73" customFormat="1" s="66"/>
    <row r="74" customFormat="1" s="66"/>
    <row r="75" customFormat="1" s="66"/>
    <row r="76" customFormat="1" s="66"/>
    <row r="77" customFormat="1" s="66"/>
    <row r="78" customFormat="1" s="66"/>
    <row r="79" customFormat="1" s="66"/>
    <row r="80" customFormat="1" s="66"/>
    <row r="81" customFormat="1" s="66"/>
    <row r="82" customFormat="1" s="66"/>
    <row r="83" customFormat="1" s="66"/>
    <row r="84" customFormat="1" s="66"/>
    <row r="85" customFormat="1" s="66"/>
    <row r="86" customFormat="1" s="66"/>
    <row r="87" customFormat="1" s="66"/>
    <row r="88" customFormat="1" s="66"/>
    <row r="89" customFormat="1" s="66"/>
    <row r="90" customFormat="1" s="66"/>
    <row r="91" customFormat="1" s="66"/>
    <row r="92" customFormat="1" s="66"/>
    <row r="93" customFormat="1" s="66"/>
    <row r="94" customFormat="1" s="66"/>
    <row r="95" customFormat="1" s="66"/>
    <row r="96" customFormat="1" s="66"/>
    <row r="97" customFormat="1" s="66"/>
    <row r="98" customFormat="1" s="66"/>
    <row r="99" customFormat="1" s="66"/>
    <row r="100" customFormat="1" s="66"/>
    <row r="101" customFormat="1" s="66"/>
    <row r="102" customFormat="1" s="66"/>
    <row r="103" customFormat="1" s="66"/>
    <row r="104" customFormat="1" s="66"/>
    <row r="105" customFormat="1" s="66"/>
    <row r="106" customFormat="1" s="66"/>
    <row r="107" customFormat="1" s="66"/>
    <row r="108" customFormat="1" s="66"/>
    <row r="109" customFormat="1" s="66"/>
    <row r="110" customFormat="1" s="66"/>
    <row r="111" customFormat="1" s="66"/>
    <row r="112" customFormat="1" s="66"/>
    <row r="113" customFormat="1" s="66"/>
    <row r="114" customFormat="1" s="66"/>
    <row r="115" customFormat="1" s="66"/>
    <row r="116" customFormat="1" s="66"/>
    <row r="117" customFormat="1" s="66"/>
    <row r="118" customFormat="1" s="66"/>
    <row r="119" customFormat="1" s="66"/>
    <row r="120" customFormat="1" s="66"/>
    <row r="121" customFormat="1" s="66"/>
    <row r="122" customFormat="1" s="66"/>
    <row r="123" customFormat="1" s="66"/>
    <row r="124" customFormat="1" s="66"/>
    <row r="125" customFormat="1" s="66"/>
    <row r="126" customFormat="1" s="66"/>
    <row r="127" customFormat="1" s="66"/>
    <row r="128" customFormat="1" s="66"/>
    <row r="129" customFormat="1" s="66"/>
    <row r="130" customFormat="1" s="66"/>
    <row r="131" customFormat="1" s="66"/>
    <row r="132" customFormat="1" s="66"/>
    <row r="133" customFormat="1" s="66"/>
    <row r="134" customFormat="1" s="66"/>
    <row r="135" customFormat="1" s="66"/>
    <row r="136" customFormat="1" s="66"/>
    <row r="137" customFormat="1" s="66"/>
    <row r="138" customFormat="1" s="66"/>
    <row r="139" customFormat="1" s="66"/>
    <row r="140" customFormat="1" s="66"/>
    <row r="141" customFormat="1" s="66"/>
    <row r="142" customFormat="1" s="66"/>
    <row r="143" customFormat="1" s="66"/>
    <row r="144" customFormat="1" s="66"/>
    <row r="145" customFormat="1" s="66"/>
    <row r="146" customFormat="1" s="66"/>
    <row r="147" customFormat="1" s="66"/>
    <row r="148" customFormat="1" s="66"/>
    <row r="149" customFormat="1" s="66"/>
    <row r="150" customFormat="1" s="66"/>
    <row r="151" customFormat="1" s="66"/>
    <row r="152" customFormat="1" s="66"/>
    <row r="153" customFormat="1" s="66"/>
    <row r="154" customFormat="1" s="66"/>
    <row r="155" customFormat="1" s="66"/>
    <row r="156" customFormat="1" s="66"/>
    <row r="157" customFormat="1" s="66"/>
    <row r="158" customFormat="1" s="66"/>
    <row r="159" customFormat="1" s="66"/>
    <row r="160" customFormat="1" s="66"/>
    <row r="161" customFormat="1" s="66"/>
    <row r="162" customFormat="1" s="66"/>
    <row r="163" customFormat="1" s="66"/>
    <row r="164" customFormat="1" s="66"/>
    <row r="165" customFormat="1" s="66"/>
    <row r="166" customFormat="1" s="66"/>
    <row r="167" customFormat="1" s="66"/>
    <row r="168" customFormat="1" s="66"/>
    <row r="169" customFormat="1" s="66"/>
    <row r="170" customFormat="1" s="66"/>
    <row r="171" customFormat="1" s="66"/>
    <row r="172" customFormat="1" s="66"/>
    <row r="173" customFormat="1" s="66"/>
    <row r="174" customFormat="1" s="66"/>
    <row r="175" customFormat="1" s="66"/>
    <row r="176" customFormat="1" s="66"/>
    <row r="177" customFormat="1" s="66"/>
    <row r="178" customFormat="1" s="66"/>
    <row r="179" customFormat="1" s="66"/>
    <row r="180" customFormat="1" s="66"/>
    <row r="181" customFormat="1" s="66"/>
    <row r="182" customFormat="1" s="66"/>
    <row r="183" customFormat="1" s="66"/>
    <row r="184" customFormat="1" s="66"/>
    <row r="185" customFormat="1" s="66"/>
    <row r="186" customFormat="1" s="66"/>
    <row r="187" customFormat="1" s="66"/>
    <row r="188" customFormat="1" s="66"/>
    <row r="189" customFormat="1" s="66"/>
    <row r="190" customFormat="1" s="66"/>
    <row r="191" customFormat="1" s="66"/>
    <row r="192" customFormat="1" s="66"/>
    <row r="193" customFormat="1" s="66"/>
    <row r="194" customFormat="1" s="66"/>
    <row r="195" customFormat="1" s="66"/>
    <row r="196" customFormat="1" s="66"/>
    <row r="197" customFormat="1" s="66"/>
    <row r="198" customFormat="1" s="66"/>
    <row r="199" customFormat="1" s="66"/>
    <row r="200" customFormat="1" s="66"/>
    <row r="201" customFormat="1" s="66"/>
    <row r="202" customFormat="1" s="66"/>
    <row r="203" customFormat="1" s="66"/>
    <row r="204" customFormat="1" s="66"/>
    <row r="205" customFormat="1" s="66"/>
    <row r="206" customFormat="1" s="66"/>
    <row r="207" customFormat="1" s="66"/>
    <row r="208" customFormat="1" s="66"/>
    <row r="209" customFormat="1" s="66"/>
    <row r="210" customFormat="1" s="66"/>
    <row r="211" customFormat="1" s="66"/>
    <row r="212" customFormat="1" s="66"/>
    <row r="213" customFormat="1" s="66"/>
    <row r="214" customFormat="1" s="66"/>
    <row r="215" customFormat="1" s="66"/>
    <row r="216" customFormat="1" s="66"/>
    <row r="217" customFormat="1" s="66"/>
    <row r="218" customFormat="1" s="66"/>
    <row r="219" customFormat="1" s="66"/>
    <row r="220" customFormat="1" s="66"/>
    <row r="221" customFormat="1" s="66"/>
    <row r="222" customFormat="1" s="66"/>
    <row r="223" customFormat="1" s="66"/>
    <row r="224" customFormat="1" s="66"/>
    <row r="225" customFormat="1" s="66"/>
    <row r="226" customFormat="1" s="66"/>
    <row r="227" customFormat="1" s="66"/>
    <row r="228" customFormat="1" s="66"/>
    <row r="229" customFormat="1" s="66"/>
    <row r="230" customFormat="1" s="66"/>
    <row r="231" customFormat="1" s="66"/>
    <row r="232" customFormat="1" s="66"/>
    <row r="233" customFormat="1" s="66"/>
    <row r="234" customFormat="1" s="66"/>
    <row r="235" customFormat="1" s="66"/>
    <row r="236" customFormat="1" s="66"/>
    <row r="237" customFormat="1" s="66"/>
    <row r="238" customFormat="1" s="66"/>
    <row r="239" customFormat="1" s="66"/>
    <row r="240" customFormat="1" s="66"/>
    <row r="241" customFormat="1" s="66"/>
    <row r="242" customFormat="1" s="66"/>
    <row r="243" customFormat="1" s="66"/>
    <row r="244" customFormat="1" s="66"/>
    <row r="245" customFormat="1" s="66"/>
    <row r="246" customFormat="1" s="66"/>
    <row r="247" customFormat="1" s="66"/>
    <row r="248" customFormat="1" s="66"/>
    <row r="249" customFormat="1" s="66"/>
    <row r="250" customFormat="1" s="66"/>
    <row r="251" customFormat="1" s="66"/>
    <row r="252" customFormat="1" s="66"/>
    <row r="253" customFormat="1" s="66"/>
    <row r="254" customFormat="1" s="66"/>
    <row r="255" customFormat="1" s="66"/>
    <row r="256" customFormat="1" s="66"/>
    <row r="257" customFormat="1" s="66"/>
    <row r="258" customFormat="1" s="66"/>
    <row r="259" customFormat="1" s="66"/>
    <row r="260" customFormat="1" s="66"/>
    <row r="261" customFormat="1" s="66"/>
    <row r="262" customFormat="1" s="66"/>
    <row r="263" customFormat="1" s="66"/>
    <row r="264" customFormat="1" s="66"/>
    <row r="265" customFormat="1" s="66"/>
    <row r="266" customFormat="1" s="66"/>
    <row r="267" customFormat="1" s="66"/>
    <row r="268" customFormat="1" s="66"/>
    <row r="269" customFormat="1" s="66"/>
    <row r="270" customFormat="1" s="66"/>
    <row r="271" customFormat="1" s="66"/>
    <row r="272" customFormat="1" s="66"/>
    <row r="273" customFormat="1" s="66"/>
    <row r="274" customFormat="1" s="66"/>
    <row r="275" customFormat="1" s="66"/>
    <row r="276" customFormat="1" s="66"/>
    <row r="277" customFormat="1" s="66"/>
    <row r="278" customFormat="1" s="66"/>
    <row r="279" customFormat="1" s="66"/>
    <row r="280" customFormat="1" s="66"/>
    <row r="281" customFormat="1" s="66"/>
    <row r="282" customFormat="1" s="66"/>
    <row r="283" customFormat="1" s="66"/>
    <row r="284" customFormat="1" s="66"/>
    <row r="285" customFormat="1" s="66"/>
    <row r="286" customFormat="1" s="66"/>
    <row r="287" customFormat="1" s="66"/>
    <row r="288" customFormat="1" s="66"/>
    <row r="289" customFormat="1" s="66"/>
    <row r="290" customFormat="1" s="66"/>
    <row r="291" customFormat="1" s="66"/>
    <row r="292" customFormat="1" s="66"/>
    <row r="293" customFormat="1" s="66"/>
    <row r="294" customFormat="1" s="66"/>
    <row r="295" customFormat="1" s="66"/>
    <row r="296" customFormat="1" s="66"/>
    <row r="297" customFormat="1" s="66"/>
    <row r="298" customFormat="1" s="66"/>
    <row r="299" customFormat="1" s="66"/>
    <row r="300" customFormat="1" s="66"/>
    <row r="301" customFormat="1" s="66"/>
    <row r="302" customFormat="1" s="66"/>
    <row r="303" customFormat="1" s="66"/>
    <row r="304" customFormat="1" s="66"/>
    <row r="305" customFormat="1" s="66"/>
    <row r="306" customFormat="1" s="66"/>
    <row r="307" customFormat="1" s="66"/>
    <row r="308" customFormat="1" s="66"/>
    <row r="309" customFormat="1" s="66"/>
    <row r="310" customFormat="1" s="66"/>
    <row r="311" customFormat="1" s="66"/>
    <row r="312" customFormat="1" s="66"/>
    <row r="313" customFormat="1" s="66"/>
    <row r="314" customFormat="1" s="66"/>
    <row r="315" customFormat="1" s="66"/>
    <row r="316" customFormat="1" s="66"/>
    <row r="317" customFormat="1" s="66"/>
    <row r="318" customFormat="1" s="66"/>
    <row r="319" customFormat="1" s="66"/>
    <row r="320" customFormat="1" s="66"/>
  </sheetData>
  <conditionalFormatting sqref="C6:AA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A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AB6">
    <cfRule type="containsText" priority="11" operator="containsText" dxfId="7" text="below">
      <formula>NOT(ISERROR(SEARCH("below",AB6)))</formula>
    </cfRule>
    <cfRule type="containsText" priority="12" operator="containsText" dxfId="6" text="above">
      <formula>NOT(ISERROR(SEARCH("above",AB6)))</formula>
    </cfRule>
  </conditionalFormatting>
  <conditionalFormatting sqref="AB8">
    <cfRule type="cellIs" priority="9" operator="lessThan" dxfId="5">
      <formula>0</formula>
    </cfRule>
    <cfRule type="cellIs" priority="10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67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2022-02-13T08:36:11Z</dcterms:modified>
  <cp:lastModifiedBy>Mark Mukherjee</cp:lastModifiedBy>
</cp:coreProperties>
</file>