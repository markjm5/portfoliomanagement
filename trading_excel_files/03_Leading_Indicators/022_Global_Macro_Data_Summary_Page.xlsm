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3FDDF4E3-68AE-2B41-81EE-EF3C14362135}" xr6:coauthVersionLast="47" xr6:coauthVersionMax="47" xr10:uidLastSave="{00000000-0000-0000-0000-000000000000}"/>
  <bookViews>
    <workbookView xWindow="-59000" yWindow="2820" windowWidth="38320" windowHeight="17500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3" i="6" l="1"/>
  <c r="K12" i="6"/>
  <c r="J13" i="6"/>
  <c r="J12" i="6"/>
  <c r="I14" i="6"/>
  <c r="I13" i="6"/>
  <c r="I12" i="6"/>
  <c r="I11" i="6"/>
  <c r="AB67" i="7" l="1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B14" i="7"/>
  <c r="AA14" i="7"/>
  <c r="Z14" i="7"/>
  <c r="Y14" i="7"/>
  <c r="X14" i="7"/>
  <c r="X3" i="7" s="1"/>
  <c r="W14" i="7"/>
  <c r="W3" i="7" s="1"/>
  <c r="V14" i="7"/>
  <c r="U14" i="7"/>
  <c r="T14" i="7"/>
  <c r="S14" i="7"/>
  <c r="R14" i="7"/>
  <c r="Q14" i="7"/>
  <c r="P14" i="7"/>
  <c r="P4" i="7" s="1"/>
  <c r="O14" i="7"/>
  <c r="O4" i="7" s="1"/>
  <c r="N14" i="7"/>
  <c r="M14" i="7"/>
  <c r="L14" i="7"/>
  <c r="K14" i="7"/>
  <c r="J14" i="7"/>
  <c r="I14" i="7"/>
  <c r="H14" i="7"/>
  <c r="H4" i="7" s="1"/>
  <c r="G14" i="7"/>
  <c r="G3" i="7" s="1"/>
  <c r="F14" i="7"/>
  <c r="E14" i="7"/>
  <c r="D14" i="7"/>
  <c r="C14" i="7"/>
  <c r="AB13" i="7"/>
  <c r="AA13" i="7"/>
  <c r="Z13" i="7"/>
  <c r="Z3" i="7" s="1"/>
  <c r="Y13" i="7"/>
  <c r="Y4" i="7" s="1"/>
  <c r="X13" i="7"/>
  <c r="W13" i="7"/>
  <c r="V13" i="7"/>
  <c r="U13" i="7"/>
  <c r="T13" i="7"/>
  <c r="S13" i="7"/>
  <c r="R13" i="7"/>
  <c r="R3" i="7" s="1"/>
  <c r="Q13" i="7"/>
  <c r="Q4" i="7" s="1"/>
  <c r="P13" i="7"/>
  <c r="O13" i="7"/>
  <c r="N13" i="7"/>
  <c r="M13" i="7"/>
  <c r="L13" i="7"/>
  <c r="K13" i="7"/>
  <c r="J13" i="7"/>
  <c r="J5" i="7" s="1"/>
  <c r="J6" i="7" s="1"/>
  <c r="I13" i="7"/>
  <c r="I4" i="7" s="1"/>
  <c r="H13" i="7"/>
  <c r="G13" i="7"/>
  <c r="F13" i="7"/>
  <c r="E13" i="7"/>
  <c r="D13" i="7"/>
  <c r="C13" i="7"/>
  <c r="AB12" i="7"/>
  <c r="AB3" i="7" s="1"/>
  <c r="AA12" i="7"/>
  <c r="AA3" i="7" s="1"/>
  <c r="Z12" i="7"/>
  <c r="Y12" i="7"/>
  <c r="X12" i="7"/>
  <c r="W12" i="7"/>
  <c r="V12" i="7"/>
  <c r="V5" i="7" s="1"/>
  <c r="V6" i="7" s="1"/>
  <c r="U12" i="7"/>
  <c r="U5" i="7" s="1"/>
  <c r="U6" i="7" s="1"/>
  <c r="T12" i="7"/>
  <c r="T3" i="7" s="1"/>
  <c r="S12" i="7"/>
  <c r="S3" i="7" s="1"/>
  <c r="R12" i="7"/>
  <c r="Q12" i="7"/>
  <c r="P12" i="7"/>
  <c r="O12" i="7"/>
  <c r="N12" i="7"/>
  <c r="N5" i="7" s="1"/>
  <c r="N6" i="7" s="1"/>
  <c r="M12" i="7"/>
  <c r="M5" i="7" s="1"/>
  <c r="M6" i="7" s="1"/>
  <c r="L12" i="7"/>
  <c r="L3" i="7" s="1"/>
  <c r="K12" i="7"/>
  <c r="K3" i="7" s="1"/>
  <c r="J12" i="7"/>
  <c r="I12" i="7"/>
  <c r="H12" i="7"/>
  <c r="G12" i="7"/>
  <c r="F12" i="7"/>
  <c r="F5" i="7" s="1"/>
  <c r="F6" i="7" s="1"/>
  <c r="E12" i="7"/>
  <c r="E5" i="7" s="1"/>
  <c r="E6" i="7" s="1"/>
  <c r="D12" i="7"/>
  <c r="D3" i="7" s="1"/>
  <c r="C12" i="7"/>
  <c r="C3" i="7" s="1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AB7" i="7"/>
  <c r="AA7" i="7"/>
  <c r="U7" i="7"/>
  <c r="T7" i="7"/>
  <c r="S7" i="7"/>
  <c r="M7" i="7"/>
  <c r="L7" i="7"/>
  <c r="K7" i="7"/>
  <c r="E7" i="7"/>
  <c r="D7" i="7"/>
  <c r="C7" i="7"/>
  <c r="X5" i="7"/>
  <c r="X6" i="7" s="1"/>
  <c r="W5" i="7"/>
  <c r="W6" i="7" s="1"/>
  <c r="P5" i="7"/>
  <c r="P6" i="7" s="1"/>
  <c r="O5" i="7"/>
  <c r="O6" i="7" s="1"/>
  <c r="H5" i="7"/>
  <c r="H6" i="7" s="1"/>
  <c r="G5" i="7"/>
  <c r="G6" i="7" s="1"/>
  <c r="AG4" i="7"/>
  <c r="Z7" i="7" s="1"/>
  <c r="Z4" i="7"/>
  <c r="R4" i="7"/>
  <c r="J4" i="7"/>
  <c r="AG3" i="7"/>
  <c r="X8" i="7" s="1"/>
  <c r="X10" i="7" s="1"/>
  <c r="V3" i="7"/>
  <c r="U3" i="7"/>
  <c r="N3" i="7"/>
  <c r="M3" i="7"/>
  <c r="F3" i="7"/>
  <c r="E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F14" i="6"/>
  <c r="E14" i="6"/>
  <c r="D14" i="6"/>
  <c r="P13" i="6"/>
  <c r="O13" i="6"/>
  <c r="N13" i="6"/>
  <c r="J15" i="6"/>
  <c r="F13" i="6"/>
  <c r="E13" i="6"/>
  <c r="D13" i="6"/>
  <c r="P12" i="6"/>
  <c r="O12" i="6"/>
  <c r="N12" i="6"/>
  <c r="K15" i="6"/>
  <c r="I15" i="6"/>
  <c r="F12" i="6"/>
  <c r="E12" i="6"/>
  <c r="D12" i="6"/>
  <c r="P11" i="6"/>
  <c r="O11" i="6"/>
  <c r="N11" i="6"/>
  <c r="K11" i="6"/>
  <c r="J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S4" i="7" l="1"/>
  <c r="Q8" i="7"/>
  <c r="Q10" i="7" s="1"/>
  <c r="C4" i="7"/>
  <c r="K4" i="7"/>
  <c r="AA4" i="7"/>
  <c r="O3" i="7"/>
  <c r="L4" i="7"/>
  <c r="T4" i="7"/>
  <c r="AB4" i="7"/>
  <c r="I5" i="7"/>
  <c r="I6" i="7" s="1"/>
  <c r="Q5" i="7"/>
  <c r="Q6" i="7" s="1"/>
  <c r="Y5" i="7"/>
  <c r="Y6" i="7" s="1"/>
  <c r="H3" i="7"/>
  <c r="E4" i="7"/>
  <c r="M4" i="7"/>
  <c r="U4" i="7"/>
  <c r="R5" i="7"/>
  <c r="R6" i="7" s="1"/>
  <c r="N7" i="7"/>
  <c r="D8" i="7"/>
  <c r="D10" i="7" s="1"/>
  <c r="L8" i="7"/>
  <c r="L10" i="7" s="1"/>
  <c r="AB8" i="7"/>
  <c r="AB10" i="7" s="1"/>
  <c r="I3" i="7"/>
  <c r="Q3" i="7"/>
  <c r="Y3" i="7"/>
  <c r="F4" i="7"/>
  <c r="N4" i="7"/>
  <c r="V4" i="7"/>
  <c r="C5" i="7"/>
  <c r="C6" i="7" s="1"/>
  <c r="K5" i="7"/>
  <c r="K6" i="7" s="1"/>
  <c r="S5" i="7"/>
  <c r="S6" i="7" s="1"/>
  <c r="AA5" i="7"/>
  <c r="AA6" i="7" s="1"/>
  <c r="G7" i="7"/>
  <c r="O7" i="7"/>
  <c r="W7" i="7"/>
  <c r="E8" i="7"/>
  <c r="E10" i="7" s="1"/>
  <c r="M8" i="7"/>
  <c r="M10" i="7" s="1"/>
  <c r="U8" i="7"/>
  <c r="U10" i="7" s="1"/>
  <c r="J8" i="7"/>
  <c r="J10" i="7" s="1"/>
  <c r="R8" i="7"/>
  <c r="R10" i="7" s="1"/>
  <c r="Z8" i="7"/>
  <c r="Z10" i="7" s="1"/>
  <c r="D4" i="7"/>
  <c r="Z5" i="7"/>
  <c r="Z6" i="7" s="1"/>
  <c r="F7" i="7"/>
  <c r="V7" i="7"/>
  <c r="T8" i="7"/>
  <c r="T10" i="7" s="1"/>
  <c r="J3" i="7"/>
  <c r="G4" i="7"/>
  <c r="W4" i="7"/>
  <c r="D5" i="7"/>
  <c r="D6" i="7" s="1"/>
  <c r="L5" i="7"/>
  <c r="L6" i="7" s="1"/>
  <c r="T5" i="7"/>
  <c r="T6" i="7" s="1"/>
  <c r="AB5" i="7"/>
  <c r="AB6" i="7" s="1"/>
  <c r="H7" i="7"/>
  <c r="P7" i="7"/>
  <c r="X7" i="7"/>
  <c r="F8" i="7"/>
  <c r="F10" i="7" s="1"/>
  <c r="N8" i="7"/>
  <c r="N10" i="7" s="1"/>
  <c r="V8" i="7"/>
  <c r="V10" i="7" s="1"/>
  <c r="I8" i="7"/>
  <c r="I10" i="7" s="1"/>
  <c r="Y8" i="7"/>
  <c r="Y10" i="7" s="1"/>
  <c r="C8" i="7"/>
  <c r="C10" i="7" s="1"/>
  <c r="K8" i="7"/>
  <c r="K10" i="7" s="1"/>
  <c r="S8" i="7"/>
  <c r="S10" i="7" s="1"/>
  <c r="P3" i="7"/>
  <c r="X4" i="7"/>
  <c r="I7" i="7"/>
  <c r="Q7" i="7"/>
  <c r="Y7" i="7"/>
  <c r="G8" i="7"/>
  <c r="G10" i="7" s="1"/>
  <c r="O8" i="7"/>
  <c r="O10" i="7" s="1"/>
  <c r="W8" i="7"/>
  <c r="W10" i="7" s="1"/>
  <c r="AA8" i="7"/>
  <c r="AA10" i="7" s="1"/>
  <c r="J7" i="7"/>
  <c r="R7" i="7"/>
  <c r="H8" i="7"/>
  <c r="H10" i="7" s="1"/>
  <c r="P8" i="7"/>
  <c r="P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<sst xmlns="http://schemas.openxmlformats.org/spreadsheetml/2006/main" count="212" uniqueCount="149">
  <si>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</si>
  <si>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</si>
  <si>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</si>
  <si>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</si>
  <si>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</si>
  <si>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</si>
  <si>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</si>
  <si>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</si>
  <si>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</si>
  <si>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</si>
  <si>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</si>
  <si>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</si>
  <si>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</si>
  <si>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</si>
  <si>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</si>
  <si>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</si>
  <si>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</si>
  <si>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</si>
  <si>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</si>
  <si>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</si>
  <si>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</si>
  <si>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0.00-0.25%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</si>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</sst>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0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0" fillId="0" borderId="0" xfId="0"/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/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167" fontId="0" fillId="0" borderId="0" xfId="0" applyNumberFormat="1"/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11</c:v>
                </c:pt>
                <c:pt idx="1">
                  <c:v>14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7-CA4C-88A9-B705C7F81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E-B74F-8BCC-43781322E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F-7E49-9E40-0B351CAF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15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9-914E-A9FA-C8B773437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13</c:v>
                </c:pt>
                <c:pt idx="1">
                  <c:v>15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1-C94E-BA5D-380492F83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9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F-3346-8AAC-66DEE53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-1</c:v>
                </c:pt>
                <c:pt idx="1">
                  <c:v>2</c:v>
                </c:pt>
                <c:pt idx="2">
                  <c:v>-1</c:v>
                </c:pt>
                <c:pt idx="3">
                  <c:v>0</c:v>
                </c:pt>
                <c:pt idx="4">
                  <c:v>10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5-E042-A11D-03AA00CCE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2</c:v>
                </c:pt>
                <c:pt idx="1">
                  <c:v>9</c:v>
                </c:pt>
                <c:pt idx="2">
                  <c:v>3</c:v>
                </c:pt>
                <c:pt idx="3">
                  <c:v>7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1-1A40-A6C4-97A3B3B7E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4-FD41-80EE-DF0F4F702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4-2E4F-BE95-DA6994E0B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</c:v>
                </c:pt>
                <c:pt idx="3">
                  <c:v>-1</c:v>
                </c:pt>
                <c:pt idx="4">
                  <c:v>2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B3-424E-A91E-52C1A4872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11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4-E949-B5B4-B734A0CD7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-2</c:v>
                </c:pt>
                <c:pt idx="1">
                  <c:v>10</c:v>
                </c:pt>
                <c:pt idx="2">
                  <c:v>14</c:v>
                </c:pt>
                <c:pt idx="3">
                  <c:v>0</c:v>
                </c:pt>
                <c:pt idx="4">
                  <c:v>13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C-704A-9FB0-3AB5D25D3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D-1D4D-A5C8-A982157BF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-2</c:v>
                </c:pt>
                <c:pt idx="3">
                  <c:v>0</c:v>
                </c:pt>
                <c:pt idx="4">
                  <c:v>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5-AB48-AD80-68AF16B41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11</c:v>
                </c:pt>
                <c:pt idx="2">
                  <c:v>16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0-1C4E-A8FA-92F2BC6FB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E-9343-AE2A-7B82A0BC1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6-B448-833E-0BDC57FE8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-1</c:v>
                </c:pt>
                <c:pt idx="1">
                  <c:v>16</c:v>
                </c:pt>
                <c:pt idx="2">
                  <c:v>15</c:v>
                </c:pt>
                <c:pt idx="3">
                  <c:v>7</c:v>
                </c:pt>
                <c:pt idx="4">
                  <c:v>12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9-104D-BED2-B7F5665F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11</c:v>
                </c:pt>
                <c:pt idx="1">
                  <c:v>7</c:v>
                </c:pt>
                <c:pt idx="2">
                  <c:v>14</c:v>
                </c:pt>
                <c:pt idx="3">
                  <c:v>6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7-9041-B9E3-C586FB159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3-B44C-B392-EE7FCE45E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8</c:v>
                </c:pt>
                <c:pt idx="3">
                  <c:v>1</c:v>
                </c:pt>
                <c:pt idx="4">
                  <c:v>18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E-EC45-8AAA-8F15AD3C0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5-C848-8914-149655F4E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16</c:v>
                </c:pt>
                <c:pt idx="3">
                  <c:v>18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4-B04E-81E4-06F574E5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8</c:v>
                </c:pt>
                <c:pt idx="1">
                  <c:v>13</c:v>
                </c:pt>
                <c:pt idx="2">
                  <c:v>17</c:v>
                </c:pt>
                <c:pt idx="3">
                  <c:v>17</c:v>
                </c:pt>
                <c:pt idx="4">
                  <c:v>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4-BE42-80B1-C0A26E45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</c:v>
                </c:pt>
                <c:pt idx="3">
                  <c:v>11</c:v>
                </c:pt>
                <c:pt idx="4">
                  <c:v>17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B845-B020-39C9DCD3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15</c:v>
                </c:pt>
                <c:pt idx="1">
                  <c:v>10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B-7246-8FE8-3145E8686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12</c:v>
                </c:pt>
                <c:pt idx="4">
                  <c:v>14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1-AE41-AEDA-50934D29C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9</c:v>
                </c:pt>
                <c:pt idx="1">
                  <c:v>3</c:v>
                </c:pt>
                <c:pt idx="2">
                  <c:v>2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E-2541-91A7-35C377153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D-EC49-B216-AA05230C5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4</c:v>
                </c:pt>
                <c:pt idx="1">
                  <c:v>-1</c:v>
                </c:pt>
                <c:pt idx="2">
                  <c:v>6</c:v>
                </c:pt>
                <c:pt idx="3">
                  <c:v>15</c:v>
                </c:pt>
                <c:pt idx="4">
                  <c:v>1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5-354A-B444-237EB71D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13</c:v>
                </c:pt>
                <c:pt idx="1">
                  <c:v>6</c:v>
                </c:pt>
                <c:pt idx="2">
                  <c:v>11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7-A049-8FAD-32D310CB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14</c:v>
                </c:pt>
                <c:pt idx="1">
                  <c:v>14</c:v>
                </c:pt>
                <c:pt idx="2">
                  <c:v>10</c:v>
                </c:pt>
                <c:pt idx="3">
                  <c:v>2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8-5E4F-93B1-DF623AB1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5</c:v>
                </c:pt>
                <c:pt idx="1">
                  <c:v>15</c:v>
                </c:pt>
                <c:pt idx="2">
                  <c:v>5</c:v>
                </c:pt>
                <c:pt idx="3">
                  <c:v>14</c:v>
                </c:pt>
                <c:pt idx="4">
                  <c:v>16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6-004D-9508-EB825A0BB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16</c:v>
                </c:pt>
                <c:pt idx="4">
                  <c:v>5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C-7544-A8CD-04DF7F22B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4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C-8F48-B09A-508498F5C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World'!$C$2:$C$97</c:f>
              <c:numCache>
                <c:formatCode>General</c:formatCode>
                <c:ptCount val="96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4-7E45-BBD0-34E97462D62C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World'!$F$2:$F$97</c:f>
              <c:numCache>
                <c:formatCode>General</c:formatCode>
                <c:ptCount val="96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4-7E45-BBD0-34E97462D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39</xdr:col>
      <xdr:colOff>279398</xdr:colOff>
      <xdr:row>69</xdr:row>
      <xdr:rowOff>110065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 x14ac:dyDescent="0.2"/>
  <cols>
    <col min="1" max="1" width="23.1640625" style="55" customWidth="1"/>
    <col min="2" max="5" width="12.83203125" style="55" customWidth="1"/>
    <col min="6" max="6" width="13.6640625" style="55" customWidth="1"/>
    <col min="7" max="10" width="12.83203125" style="55" customWidth="1"/>
    <col min="11" max="13" width="2" style="55" customWidth="1"/>
    <col min="14" max="38" width="9.1640625" style="55" customWidth="1"/>
    <col min="39" max="16384" width="9.1640625" style="55"/>
  </cols>
  <sheetData>
    <row r="1" spans="2:13" x14ac:dyDescent="0.2">
      <c r="B1" s="14"/>
      <c r="C1" s="15"/>
      <c r="D1" s="15"/>
      <c r="E1" s="15"/>
    </row>
    <row r="2" spans="2:13" x14ac:dyDescent="0.2">
      <c r="B2" s="60" t="s">
        <v>0</v>
      </c>
      <c r="C2" s="61"/>
      <c r="D2" s="61"/>
      <c r="E2" s="61"/>
      <c r="F2" s="61"/>
      <c r="G2" s="61"/>
      <c r="H2" s="61"/>
      <c r="I2" s="61"/>
      <c r="J2" s="62"/>
    </row>
    <row r="4" spans="2:13" x14ac:dyDescent="0.2">
      <c r="B4" s="60" t="s">
        <v>1</v>
      </c>
      <c r="C4" s="61"/>
      <c r="D4" s="61"/>
      <c r="E4" s="61"/>
      <c r="F4" s="62"/>
      <c r="G4" s="60" t="s">
        <v>2</v>
      </c>
      <c r="H4" s="61"/>
      <c r="I4" s="61"/>
      <c r="J4" s="62"/>
    </row>
    <row r="6" spans="2:13" x14ac:dyDescent="0.2">
      <c r="B6" s="63" t="s">
        <v>3</v>
      </c>
      <c r="C6" s="63"/>
      <c r="D6" s="63"/>
      <c r="E6" s="63"/>
      <c r="F6" s="63"/>
      <c r="G6" s="63" t="s">
        <v>4</v>
      </c>
      <c r="H6" s="63"/>
      <c r="I6" s="63"/>
      <c r="J6" s="63"/>
    </row>
    <row r="7" spans="2:13" ht="30.75" customHeight="1" x14ac:dyDescent="0.2">
      <c r="G7" s="64" t="s">
        <v>5</v>
      </c>
      <c r="H7" s="63"/>
      <c r="I7" s="63"/>
      <c r="J7" s="63"/>
    </row>
    <row r="8" spans="2:13" x14ac:dyDescent="0.2">
      <c r="B8" s="64"/>
      <c r="C8" s="63"/>
      <c r="D8" s="63"/>
      <c r="E8" s="63"/>
      <c r="F8" s="63"/>
      <c r="G8" s="63"/>
      <c r="H8" s="63"/>
      <c r="I8" s="63"/>
      <c r="J8" s="63"/>
    </row>
    <row r="9" spans="2:13" x14ac:dyDescent="0.2">
      <c r="B9" s="65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</row>
    <row r="10" spans="2:13" x14ac:dyDescent="0.2">
      <c r="B10" s="64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</row>
    <row r="11" spans="2:13" x14ac:dyDescent="0.2">
      <c r="B11" s="66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="190" zoomScaleNormal="190" workbookViewId="0">
      <selection activeCell="F16" sqref="F16"/>
    </sheetView>
  </sheetViews>
  <sheetFormatPr baseColWidth="10" defaultRowHeight="15" x14ac:dyDescent="0.2"/>
  <cols>
    <col min="1" max="1" width="34.1640625" style="30" customWidth="1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1.6790943920683761E-2</v>
      </c>
      <c r="C2">
        <v>1.6407465395443108E-2</v>
      </c>
      <c r="D2">
        <v>1.115276765936578E-2</v>
      </c>
    </row>
    <row r="3" spans="1:4" x14ac:dyDescent="0.2">
      <c r="A3" t="s">
        <v>11</v>
      </c>
      <c r="B3">
        <v>5.5317363621841711E-2</v>
      </c>
      <c r="C3">
        <v>0.12226677108077</v>
      </c>
      <c r="D3">
        <v>-2.2629152430098401E-2</v>
      </c>
    </row>
    <row r="4" spans="1:4" x14ac:dyDescent="0.2">
      <c r="A4" t="s">
        <v>12</v>
      </c>
      <c r="B4">
        <v>5.8327773290725903E-3</v>
      </c>
      <c r="C4">
        <v>3.1375709731505858E-3</v>
      </c>
      <c r="D4">
        <v>4.8151001540830369E-4</v>
      </c>
    </row>
    <row r="5" spans="1:4" x14ac:dyDescent="0.2">
      <c r="A5" t="s">
        <v>13</v>
      </c>
      <c r="B5">
        <v>4.9810802665505713E-3</v>
      </c>
      <c r="C5">
        <v>4.8044807563845026E-3</v>
      </c>
      <c r="D5">
        <v>3.1541871834860728E-3</v>
      </c>
    </row>
    <row r="6" spans="1:4" x14ac:dyDescent="0.2">
      <c r="A6" t="s">
        <v>14</v>
      </c>
      <c r="B6">
        <v>-1.914353268123687E-2</v>
      </c>
      <c r="C6">
        <v>8.5241703608500956E-3</v>
      </c>
      <c r="D6">
        <v>-8.3442029991026741E-3</v>
      </c>
    </row>
    <row r="7" spans="1:4" x14ac:dyDescent="0.2">
      <c r="A7" t="s">
        <v>15</v>
      </c>
      <c r="B7">
        <v>-2.4805028365475039E-2</v>
      </c>
      <c r="C7">
        <v>1.468871684038702E-2</v>
      </c>
      <c r="D7">
        <v>-2.6894312168303059E-2</v>
      </c>
    </row>
    <row r="8" spans="1:4" x14ac:dyDescent="0.2">
      <c r="A8" t="s">
        <v>16</v>
      </c>
      <c r="B8">
        <v>2.5641025641025661E-2</v>
      </c>
      <c r="C8">
        <v>-8.4745762711864403E-2</v>
      </c>
      <c r="D8">
        <v>-4.4776119402985037E-2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223000</v>
      </c>
      <c r="C10">
        <v>377000</v>
      </c>
      <c r="D10">
        <v>863000</v>
      </c>
    </row>
    <row r="11" spans="1:4" x14ac:dyDescent="0.2">
      <c r="A11" t="s">
        <v>19</v>
      </c>
      <c r="B11">
        <v>-1.0235595164563491E-3</v>
      </c>
      <c r="C11">
        <v>5.4822432562803116E-3</v>
      </c>
      <c r="D11">
        <v>1.157358567077907E-2</v>
      </c>
    </row>
    <row r="12" spans="1:4" x14ac:dyDescent="0.2">
      <c r="A12" t="s">
        <v>20</v>
      </c>
      <c r="B12" t="s">
        <v>21</v>
      </c>
    </row>
    <row r="13" spans="1:4" x14ac:dyDescent="0.2">
      <c r="A13" t="s">
        <v>22</v>
      </c>
      <c r="B13">
        <v>3.9499999999999596E-3</v>
      </c>
    </row>
    <row r="14" spans="1:4" x14ac:dyDescent="0.2">
      <c r="A14" t="s">
        <v>23</v>
      </c>
    </row>
    <row r="15" spans="1:4" x14ac:dyDescent="0.2">
      <c r="A15" t="s">
        <v>24</v>
      </c>
      <c r="B15">
        <v>1.6449999999999961E-2</v>
      </c>
    </row>
    <row r="16" spans="1:4" x14ac:dyDescent="0.2">
      <c r="A16" t="s">
        <v>25</v>
      </c>
      <c r="B16">
        <v>0.19</v>
      </c>
    </row>
    <row r="17" spans="1:4" x14ac:dyDescent="0.2">
      <c r="A17" t="s">
        <v>26</v>
      </c>
      <c r="B17">
        <v>1.18</v>
      </c>
      <c r="C17">
        <v>0.17419999999999999</v>
      </c>
      <c r="D17">
        <v>0.1113</v>
      </c>
    </row>
    <row r="18" spans="1:4" x14ac:dyDescent="0.2">
      <c r="A18" t="s">
        <v>27</v>
      </c>
      <c r="B18">
        <v>1.81</v>
      </c>
      <c r="C18">
        <v>1.179</v>
      </c>
      <c r="D18">
        <v>1.079</v>
      </c>
    </row>
    <row r="19" spans="1:4" x14ac:dyDescent="0.2">
      <c r="A19" t="s">
        <v>28</v>
      </c>
      <c r="B19">
        <v>2.12</v>
      </c>
    </row>
    <row r="20" spans="1:4" x14ac:dyDescent="0.2">
      <c r="A20" t="s">
        <v>29</v>
      </c>
      <c r="B20">
        <v>96.389999389648438</v>
      </c>
      <c r="C20">
        <v>92.050003051757812</v>
      </c>
      <c r="D20">
        <v>91.019996643066406</v>
      </c>
    </row>
    <row r="21" spans="1:4" x14ac:dyDescent="0.2">
      <c r="A21" t="s">
        <v>30</v>
      </c>
      <c r="B21">
        <v>67.2</v>
      </c>
      <c r="C21">
        <v>81.2</v>
      </c>
      <c r="D21">
        <v>79</v>
      </c>
    </row>
    <row r="22" spans="1:4" x14ac:dyDescent="0.2">
      <c r="A22" t="s">
        <v>31</v>
      </c>
      <c r="B22">
        <v>64.099999999999994</v>
      </c>
      <c r="C22">
        <v>79</v>
      </c>
      <c r="D22">
        <v>74</v>
      </c>
    </row>
    <row r="23" spans="1:4" x14ac:dyDescent="0.2">
      <c r="A23" t="s">
        <v>32</v>
      </c>
      <c r="B23">
        <v>120.8</v>
      </c>
      <c r="C23">
        <v>115.1</v>
      </c>
      <c r="D23">
        <v>109.6</v>
      </c>
    </row>
    <row r="24" spans="1:4" x14ac:dyDescent="0.2">
      <c r="A24" t="s">
        <v>33</v>
      </c>
      <c r="B24">
        <v>1885</v>
      </c>
      <c r="C24">
        <v>1594</v>
      </c>
      <c r="D24">
        <v>1758</v>
      </c>
    </row>
    <row r="25" spans="1:4" x14ac:dyDescent="0.2">
      <c r="A25" t="s">
        <v>34</v>
      </c>
      <c r="B25">
        <v>57.6</v>
      </c>
      <c r="C25">
        <v>59.5</v>
      </c>
      <c r="D25">
        <v>58.7</v>
      </c>
    </row>
    <row r="26" spans="1:4" x14ac:dyDescent="0.2">
      <c r="A26" t="s">
        <v>35</v>
      </c>
      <c r="B26">
        <v>57.9</v>
      </c>
      <c r="C26">
        <v>64.900000000000006</v>
      </c>
      <c r="D26">
        <v>61.1</v>
      </c>
    </row>
    <row r="27" spans="1:4" x14ac:dyDescent="0.2">
      <c r="A27" t="s">
        <v>36</v>
      </c>
      <c r="B27">
        <v>59.9</v>
      </c>
      <c r="C27">
        <v>64.099999999999994</v>
      </c>
      <c r="D27">
        <v>58.7</v>
      </c>
    </row>
    <row r="28" spans="1:4" x14ac:dyDescent="0.2">
      <c r="A28" t="s">
        <v>37</v>
      </c>
      <c r="B28">
        <v>4.4355004312292834E-3</v>
      </c>
      <c r="C28">
        <v>-6.2922982269701883E-3</v>
      </c>
      <c r="D28">
        <v>9.4422127684804739E-3</v>
      </c>
    </row>
    <row r="29" spans="1:4" x14ac:dyDescent="0.2">
      <c r="A29" t="s">
        <v>38</v>
      </c>
      <c r="B29">
        <v>3.6119845126418508E-3</v>
      </c>
      <c r="C29">
        <v>-7.3986308583464744E-3</v>
      </c>
      <c r="D29">
        <v>5.7621431321854388E-3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baseColWidth="10" defaultRowHeight="15" x14ac:dyDescent="0.2"/>
  <cols>
    <col min="1" max="1" width="23.1640625" style="30" customWidth="1"/>
    <col min="2" max="25" width="10.83203125" style="30" customWidth="1"/>
    <col min="26" max="16384" width="10.83203125" style="30"/>
  </cols>
  <sheetData>
    <row r="1" spans="1:19" x14ac:dyDescent="0.2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2">
      <c r="A2" s="59">
        <v>44409</v>
      </c>
      <c r="B2">
        <v>0</v>
      </c>
      <c r="C2">
        <v>8</v>
      </c>
      <c r="D2">
        <v>14</v>
      </c>
      <c r="E2">
        <v>11</v>
      </c>
      <c r="F2">
        <v>10</v>
      </c>
      <c r="G2">
        <v>6</v>
      </c>
      <c r="H2">
        <v>15</v>
      </c>
      <c r="I2">
        <v>13</v>
      </c>
      <c r="J2">
        <v>7</v>
      </c>
      <c r="K2">
        <v>-1</v>
      </c>
      <c r="L2">
        <v>2</v>
      </c>
      <c r="M2">
        <v>1</v>
      </c>
      <c r="N2">
        <v>9</v>
      </c>
      <c r="O2">
        <v>12</v>
      </c>
      <c r="P2">
        <v>3</v>
      </c>
      <c r="Q2">
        <v>-2</v>
      </c>
      <c r="R2">
        <v>5</v>
      </c>
      <c r="S2">
        <v>4</v>
      </c>
    </row>
    <row r="3" spans="1:19" x14ac:dyDescent="0.2">
      <c r="A3" s="59">
        <v>44440</v>
      </c>
      <c r="B3">
        <v>11</v>
      </c>
      <c r="C3">
        <v>12</v>
      </c>
      <c r="D3">
        <v>13</v>
      </c>
      <c r="E3">
        <v>14</v>
      </c>
      <c r="F3">
        <v>5</v>
      </c>
      <c r="G3">
        <v>6</v>
      </c>
      <c r="H3">
        <v>17</v>
      </c>
      <c r="I3">
        <v>15</v>
      </c>
      <c r="J3">
        <v>7</v>
      </c>
      <c r="K3">
        <v>2</v>
      </c>
      <c r="L3">
        <v>9</v>
      </c>
      <c r="M3">
        <v>16</v>
      </c>
      <c r="N3">
        <v>1</v>
      </c>
      <c r="O3">
        <v>3</v>
      </c>
      <c r="P3">
        <v>8</v>
      </c>
      <c r="Q3">
        <v>10</v>
      </c>
      <c r="R3">
        <v>4</v>
      </c>
      <c r="S3">
        <v>-1</v>
      </c>
    </row>
    <row r="4" spans="1:19" x14ac:dyDescent="0.2">
      <c r="A4" s="59">
        <v>44470</v>
      </c>
      <c r="B4">
        <v>16</v>
      </c>
      <c r="C4">
        <v>8</v>
      </c>
      <c r="D4">
        <v>9</v>
      </c>
      <c r="E4">
        <v>13</v>
      </c>
      <c r="F4">
        <v>7</v>
      </c>
      <c r="G4">
        <v>10</v>
      </c>
      <c r="H4">
        <v>15</v>
      </c>
      <c r="I4">
        <v>12</v>
      </c>
      <c r="J4">
        <v>6</v>
      </c>
      <c r="K4">
        <v>-1</v>
      </c>
      <c r="L4">
        <v>3</v>
      </c>
      <c r="M4">
        <v>5</v>
      </c>
      <c r="N4">
        <v>4</v>
      </c>
      <c r="O4">
        <v>2</v>
      </c>
      <c r="P4">
        <v>11</v>
      </c>
      <c r="Q4">
        <v>14</v>
      </c>
      <c r="R4">
        <v>1</v>
      </c>
      <c r="S4">
        <v>-2</v>
      </c>
    </row>
    <row r="5" spans="1:19" x14ac:dyDescent="0.2">
      <c r="A5" s="59">
        <v>44501</v>
      </c>
      <c r="B5">
        <v>13</v>
      </c>
      <c r="C5">
        <v>4</v>
      </c>
      <c r="D5">
        <v>10</v>
      </c>
      <c r="E5">
        <v>11</v>
      </c>
      <c r="F5">
        <v>2</v>
      </c>
      <c r="G5">
        <v>6</v>
      </c>
      <c r="H5">
        <v>12</v>
      </c>
      <c r="I5">
        <v>9</v>
      </c>
      <c r="J5">
        <v>5</v>
      </c>
      <c r="K5">
        <v>0</v>
      </c>
      <c r="L5">
        <v>7</v>
      </c>
      <c r="M5">
        <v>3</v>
      </c>
      <c r="N5">
        <v>8</v>
      </c>
      <c r="O5">
        <v>-1</v>
      </c>
      <c r="P5">
        <v>-2</v>
      </c>
      <c r="Q5">
        <v>0</v>
      </c>
      <c r="R5">
        <v>1</v>
      </c>
      <c r="S5">
        <v>0</v>
      </c>
    </row>
    <row r="6" spans="1:19" x14ac:dyDescent="0.2">
      <c r="A6" s="59">
        <v>44531</v>
      </c>
      <c r="B6">
        <v>15</v>
      </c>
      <c r="C6">
        <v>8</v>
      </c>
      <c r="D6">
        <v>5</v>
      </c>
      <c r="E6">
        <v>7</v>
      </c>
      <c r="F6">
        <v>6</v>
      </c>
      <c r="G6">
        <v>4</v>
      </c>
      <c r="H6">
        <v>14</v>
      </c>
      <c r="I6">
        <v>11</v>
      </c>
      <c r="J6">
        <v>9</v>
      </c>
      <c r="K6">
        <v>10</v>
      </c>
      <c r="L6">
        <v>-1</v>
      </c>
      <c r="M6">
        <v>1</v>
      </c>
      <c r="N6">
        <v>12</v>
      </c>
      <c r="O6">
        <v>2</v>
      </c>
      <c r="P6">
        <v>-2</v>
      </c>
      <c r="Q6">
        <v>13</v>
      </c>
      <c r="R6">
        <v>3</v>
      </c>
      <c r="S6">
        <v>-3</v>
      </c>
    </row>
    <row r="7" spans="1:19" x14ac:dyDescent="0.2">
      <c r="A7" s="59">
        <v>44562</v>
      </c>
      <c r="B7">
        <v>14</v>
      </c>
      <c r="C7">
        <v>3</v>
      </c>
      <c r="D7">
        <v>4</v>
      </c>
      <c r="E7">
        <v>9</v>
      </c>
      <c r="F7">
        <v>5</v>
      </c>
      <c r="G7">
        <v>8</v>
      </c>
      <c r="H7">
        <v>13</v>
      </c>
      <c r="I7">
        <v>10</v>
      </c>
      <c r="J7">
        <v>12</v>
      </c>
      <c r="K7">
        <v>11</v>
      </c>
      <c r="L7">
        <v>-1</v>
      </c>
      <c r="M7">
        <v>2</v>
      </c>
      <c r="N7">
        <v>1</v>
      </c>
      <c r="O7">
        <v>6</v>
      </c>
      <c r="P7">
        <v>0</v>
      </c>
      <c r="Q7">
        <v>0</v>
      </c>
      <c r="R7">
        <v>7</v>
      </c>
      <c r="S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baseColWidth="10" defaultRowHeight="15" x14ac:dyDescent="0.2"/>
  <cols>
    <col min="1" max="1" width="23.1640625" style="30" customWidth="1"/>
    <col min="2" max="16" width="10.83203125" style="30" customWidth="1"/>
    <col min="17" max="16384" width="10.83203125" style="30"/>
  </cols>
  <sheetData>
    <row r="1" spans="1:19" x14ac:dyDescent="0.2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2">
      <c r="A2" s="59">
        <v>44409</v>
      </c>
      <c r="B2">
        <v>-1</v>
      </c>
      <c r="C2">
        <v>11</v>
      </c>
      <c r="D2">
        <v>7</v>
      </c>
      <c r="E2">
        <v>17</v>
      </c>
      <c r="F2">
        <v>3</v>
      </c>
      <c r="G2">
        <v>2</v>
      </c>
      <c r="H2">
        <v>8</v>
      </c>
      <c r="I2">
        <v>12</v>
      </c>
      <c r="J2">
        <v>15</v>
      </c>
      <c r="K2">
        <v>6</v>
      </c>
      <c r="L2">
        <v>9</v>
      </c>
      <c r="M2">
        <v>1</v>
      </c>
      <c r="N2">
        <v>4</v>
      </c>
      <c r="O2">
        <v>13</v>
      </c>
      <c r="P2">
        <v>14</v>
      </c>
      <c r="Q2">
        <v>5</v>
      </c>
      <c r="R2">
        <v>16</v>
      </c>
      <c r="S2">
        <v>10</v>
      </c>
    </row>
    <row r="3" spans="1:19" x14ac:dyDescent="0.2">
      <c r="A3" s="59">
        <v>44440</v>
      </c>
      <c r="B3">
        <v>16</v>
      </c>
      <c r="C3">
        <v>7</v>
      </c>
      <c r="D3">
        <v>5</v>
      </c>
      <c r="E3">
        <v>11</v>
      </c>
      <c r="F3">
        <v>1</v>
      </c>
      <c r="G3">
        <v>12</v>
      </c>
      <c r="H3">
        <v>13</v>
      </c>
      <c r="I3">
        <v>9</v>
      </c>
      <c r="J3">
        <v>10</v>
      </c>
      <c r="K3">
        <v>2</v>
      </c>
      <c r="L3">
        <v>3</v>
      </c>
      <c r="M3">
        <v>8</v>
      </c>
      <c r="N3">
        <v>-1</v>
      </c>
      <c r="O3">
        <v>6</v>
      </c>
      <c r="P3">
        <v>14</v>
      </c>
      <c r="Q3">
        <v>15</v>
      </c>
      <c r="R3">
        <v>17</v>
      </c>
      <c r="S3">
        <v>4</v>
      </c>
    </row>
    <row r="4" spans="1:19" x14ac:dyDescent="0.2">
      <c r="A4" s="59">
        <v>44470</v>
      </c>
      <c r="B4">
        <v>15</v>
      </c>
      <c r="C4">
        <v>14</v>
      </c>
      <c r="D4">
        <v>7</v>
      </c>
      <c r="E4">
        <v>8</v>
      </c>
      <c r="F4">
        <v>4</v>
      </c>
      <c r="G4">
        <v>16</v>
      </c>
      <c r="H4">
        <v>17</v>
      </c>
      <c r="I4">
        <v>1</v>
      </c>
      <c r="J4">
        <v>12</v>
      </c>
      <c r="K4">
        <v>9</v>
      </c>
      <c r="L4">
        <v>2</v>
      </c>
      <c r="M4">
        <v>3</v>
      </c>
      <c r="N4">
        <v>6</v>
      </c>
      <c r="O4">
        <v>11</v>
      </c>
      <c r="P4">
        <v>10</v>
      </c>
      <c r="Q4">
        <v>5</v>
      </c>
      <c r="R4">
        <v>18</v>
      </c>
      <c r="S4">
        <v>13</v>
      </c>
    </row>
    <row r="5" spans="1:19" x14ac:dyDescent="0.2">
      <c r="A5" s="59">
        <v>44501</v>
      </c>
      <c r="B5">
        <v>7</v>
      </c>
      <c r="C5">
        <v>6</v>
      </c>
      <c r="D5">
        <v>8</v>
      </c>
      <c r="E5">
        <v>1</v>
      </c>
      <c r="F5">
        <v>4</v>
      </c>
      <c r="G5">
        <v>18</v>
      </c>
      <c r="H5">
        <v>17</v>
      </c>
      <c r="I5">
        <v>11</v>
      </c>
      <c r="J5">
        <v>9</v>
      </c>
      <c r="K5">
        <v>12</v>
      </c>
      <c r="L5">
        <v>10</v>
      </c>
      <c r="M5">
        <v>5</v>
      </c>
      <c r="N5">
        <v>15</v>
      </c>
      <c r="O5">
        <v>3</v>
      </c>
      <c r="P5">
        <v>2</v>
      </c>
      <c r="Q5">
        <v>14</v>
      </c>
      <c r="R5">
        <v>16</v>
      </c>
      <c r="S5">
        <v>13</v>
      </c>
    </row>
    <row r="6" spans="1:19" x14ac:dyDescent="0.2">
      <c r="A6" s="59">
        <v>44531</v>
      </c>
      <c r="B6">
        <v>12</v>
      </c>
      <c r="C6">
        <v>15</v>
      </c>
      <c r="D6">
        <v>3</v>
      </c>
      <c r="E6">
        <v>18</v>
      </c>
      <c r="F6">
        <v>4</v>
      </c>
      <c r="G6">
        <v>6</v>
      </c>
      <c r="H6">
        <v>8</v>
      </c>
      <c r="I6">
        <v>17</v>
      </c>
      <c r="J6">
        <v>11</v>
      </c>
      <c r="K6">
        <v>14</v>
      </c>
      <c r="L6">
        <v>7</v>
      </c>
      <c r="M6">
        <v>2</v>
      </c>
      <c r="N6">
        <v>1</v>
      </c>
      <c r="O6">
        <v>9</v>
      </c>
      <c r="P6">
        <v>10</v>
      </c>
      <c r="Q6">
        <v>16</v>
      </c>
      <c r="R6">
        <v>5</v>
      </c>
      <c r="S6">
        <v>13</v>
      </c>
    </row>
    <row r="7" spans="1:19" x14ac:dyDescent="0.2">
      <c r="A7" s="59">
        <v>44562</v>
      </c>
      <c r="B7">
        <v>17</v>
      </c>
      <c r="C7">
        <v>1</v>
      </c>
      <c r="D7">
        <v>5</v>
      </c>
      <c r="E7">
        <v>14</v>
      </c>
      <c r="F7">
        <v>6</v>
      </c>
      <c r="G7">
        <v>3</v>
      </c>
      <c r="H7">
        <v>12</v>
      </c>
      <c r="I7">
        <v>9</v>
      </c>
      <c r="J7">
        <v>16</v>
      </c>
      <c r="K7">
        <v>11</v>
      </c>
      <c r="L7">
        <v>7</v>
      </c>
      <c r="M7">
        <v>8</v>
      </c>
      <c r="N7">
        <v>18</v>
      </c>
      <c r="O7">
        <v>4</v>
      </c>
      <c r="P7">
        <v>2</v>
      </c>
      <c r="Q7">
        <v>15</v>
      </c>
      <c r="R7">
        <v>13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37"/>
  <sheetViews>
    <sheetView zoomScale="170" zoomScaleNormal="170" workbookViewId="0">
      <pane ySplit="1" topLeftCell="A130" activePane="bottomLeft" state="frozen"/>
      <selection activeCell="F16" sqref="F16"/>
      <selection pane="bottomLeft" activeCell="F16" sqref="F16"/>
    </sheetView>
  </sheetViews>
  <sheetFormatPr baseColWidth="10" defaultRowHeight="15" x14ac:dyDescent="0.2"/>
  <sheetData>
    <row r="1" spans="1:27" x14ac:dyDescent="0.2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2">
      <c r="A2" s="59">
        <v>40452</v>
      </c>
      <c r="B2">
        <v>53.7</v>
      </c>
      <c r="C2">
        <v>56.9</v>
      </c>
    </row>
    <row r="3" spans="1:27" x14ac:dyDescent="0.2">
      <c r="A3" s="59">
        <v>40483</v>
      </c>
      <c r="B3">
        <v>54</v>
      </c>
      <c r="C3">
        <v>57.3</v>
      </c>
    </row>
    <row r="4" spans="1:27" x14ac:dyDescent="0.2">
      <c r="A4" s="59">
        <v>40513</v>
      </c>
      <c r="B4">
        <v>54.9</v>
      </c>
      <c r="C4">
        <v>56.6</v>
      </c>
    </row>
    <row r="5" spans="1:27" x14ac:dyDescent="0.2">
      <c r="A5" s="59">
        <v>40544</v>
      </c>
      <c r="B5">
        <v>57.2</v>
      </c>
      <c r="C5">
        <v>59.1</v>
      </c>
    </row>
    <row r="6" spans="1:27" x14ac:dyDescent="0.2">
      <c r="A6" s="59">
        <v>40575</v>
      </c>
      <c r="B6">
        <v>58.2</v>
      </c>
      <c r="C6">
        <v>59.2</v>
      </c>
    </row>
    <row r="7" spans="1:27" x14ac:dyDescent="0.2">
      <c r="A7" s="59">
        <v>40603</v>
      </c>
      <c r="B7">
        <v>56</v>
      </c>
      <c r="C7">
        <v>58.4</v>
      </c>
    </row>
    <row r="8" spans="1:27" x14ac:dyDescent="0.2">
      <c r="A8" s="59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59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59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59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59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59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59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59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59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59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59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59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59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59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59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59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59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59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59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59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59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59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59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59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59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59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59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59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59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59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59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59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59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59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59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59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59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59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59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59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59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59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59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59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59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59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59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59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59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59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59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59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59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59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59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59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59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59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59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59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59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59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59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59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59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59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59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59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59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59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59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59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59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59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59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59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59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59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59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59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59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59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59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59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59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59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59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59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59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59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59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59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59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59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59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59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59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59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59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59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59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59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59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59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59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59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59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59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59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59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59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59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59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59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59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59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59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59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59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59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59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59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59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59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59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59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59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59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59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59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topLeftCell="B1" zoomScale="140" zoomScaleNormal="140" workbookViewId="0">
      <selection activeCell="H17" sqref="H17"/>
    </sheetView>
  </sheetViews>
  <sheetFormatPr baseColWidth="10" defaultColWidth="9.1640625" defaultRowHeight="15" x14ac:dyDescent="0.2"/>
  <cols>
    <col min="1" max="2" width="9.1640625" style="55" customWidth="1"/>
    <col min="3" max="3" width="24.33203125" style="55" customWidth="1"/>
    <col min="4" max="7" width="9.1640625" style="55" customWidth="1"/>
    <col min="8" max="8" width="21.33203125" style="55" customWidth="1"/>
    <col min="9" max="12" width="9.33203125" style="55" customWidth="1"/>
    <col min="13" max="13" width="23.33203125" style="55" customWidth="1"/>
    <col min="14" max="38" width="9.1640625" style="55" customWidth="1"/>
    <col min="39" max="16384" width="9.1640625" style="55"/>
  </cols>
  <sheetData>
    <row r="1" spans="3:16" ht="16" customHeight="1" thickBot="1" x14ac:dyDescent="0.25"/>
    <row r="2" spans="3:16" ht="16" customHeight="1" thickBot="1" x14ac:dyDescent="0.25">
      <c r="C2" s="67" t="s">
        <v>102</v>
      </c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9"/>
    </row>
    <row r="3" spans="3:16" ht="16" customHeight="1" thickBot="1" x14ac:dyDescent="0.25"/>
    <row r="4" spans="3:16" ht="16" customHeight="1" thickBot="1" x14ac:dyDescent="0.25">
      <c r="C4" s="67" t="s">
        <v>103</v>
      </c>
      <c r="D4" s="68"/>
      <c r="E4" s="68"/>
      <c r="F4" s="69"/>
      <c r="H4" s="67" t="s">
        <v>104</v>
      </c>
      <c r="I4" s="68"/>
      <c r="J4" s="68"/>
      <c r="K4" s="69"/>
      <c r="M4" s="67" t="s">
        <v>105</v>
      </c>
      <c r="N4" s="68"/>
      <c r="O4" s="68"/>
      <c r="P4" s="69"/>
    </row>
    <row r="5" spans="3:16" ht="16" customHeight="1" thickBot="1" x14ac:dyDescent="0.25"/>
    <row r="6" spans="3:16" x14ac:dyDescent="0.2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2">
      <c r="C7" s="6" t="s">
        <v>10</v>
      </c>
      <c r="D7" s="40">
        <f>VLOOKUP($C$7,'DB US Indicators'!$A:$D,MATCH(D$6,'DB US Indicators'!$A$1:$S$1,0),0)</f>
        <v>1.6790943920683761E-2</v>
      </c>
      <c r="E7" s="40">
        <f>VLOOKUP($C$7,'DB US Indicators'!$A:$D,MATCH(E$6,'DB US Indicators'!$A$1:$S$1,0),0)</f>
        <v>1.6407465395443108E-2</v>
      </c>
      <c r="F7" s="41">
        <f>VLOOKUP($C$7,'DB US Indicators'!$A:$D,MATCH(F$6,'DB US Indicators'!$A$1:$S$1,0),0)</f>
        <v>1.115276765936578E-2</v>
      </c>
      <c r="G7" s="44"/>
      <c r="H7" s="6" t="s">
        <v>106</v>
      </c>
      <c r="I7" s="47" t="str">
        <f>VLOOKUP($H$7,'DB US Indicators'!$A:$D,MATCH(I$6,'DB US Indicators'!$A$1:$S$1,0),0)</f>
        <v>0.00-0.25%</v>
      </c>
      <c r="J7" s="47"/>
      <c r="K7" s="8"/>
      <c r="L7" s="1"/>
      <c r="M7" s="6" t="s">
        <v>30</v>
      </c>
      <c r="N7" s="50">
        <f>IF(VLOOKUP($M$7,'DB US Indicators'!$A:$D,MATCH(N$6,'DB US Indicators'!$A$1:$S$1,0),0)="","",VLOOKUP($M$7,'DB US Indicators'!$A:$D,MATCH(N$6,'DB US Indicators'!$A$1:$S$1,0),0))</f>
        <v>67.2</v>
      </c>
      <c r="O7" s="50">
        <f>IF(VLOOKUP($M$7,'DB US Indicators'!$A:$D,MATCH(O$6,'DB US Indicators'!$A$1:$S$1,0),0)="","",VLOOKUP($M$7,'DB US Indicators'!$A:$D,MATCH(O$6,'DB US Indicators'!$A$1:$S$1,0),0))</f>
        <v>81.2</v>
      </c>
      <c r="P7" s="51">
        <f>IF(VLOOKUP($M$7,'DB US Indicators'!$A:$D,MATCH(P$6,'DB US Indicators'!$A$1:$S$1,0),0)="","",VLOOKUP($M$7,'DB US Indicators'!$A:$D,MATCH(P$6,'DB US Indicators'!$A$1:$S$1,0),0))</f>
        <v>79</v>
      </c>
    </row>
    <row r="8" spans="3:16" x14ac:dyDescent="0.2">
      <c r="C8" s="6" t="s">
        <v>11</v>
      </c>
      <c r="D8" s="42">
        <f>VLOOKUP($C$8,'DB US Indicators'!$A:$D,MATCH(D$6,'DB US Indicators'!$A$1:$S$1,0),0)</f>
        <v>5.5317363621841711E-2</v>
      </c>
      <c r="E8" s="42">
        <f>VLOOKUP($C$8,'DB US Indicators'!$A:$D,MATCH(E$6,'DB US Indicators'!$A$1:$S$1,0),0)</f>
        <v>0.12226677108077</v>
      </c>
      <c r="F8" s="43">
        <f>VLOOKUP($C$8,'DB US Indicators'!$A:$D,MATCH(F$6,'DB US Indicators'!$A$1:$S$1,0),0)</f>
        <v>-2.2629152430098401E-2</v>
      </c>
      <c r="G8" s="44"/>
      <c r="H8" s="6" t="s">
        <v>22</v>
      </c>
      <c r="I8" s="48">
        <f>VLOOKUP($H$8,'DB US Indicators'!$A:$D,MATCH(I$6,'DB US Indicators'!$A$1:$S$1,0),0)</f>
        <v>3.9499999999999596E-3</v>
      </c>
      <c r="J8" s="48"/>
      <c r="K8" s="9"/>
      <c r="L8" s="2"/>
      <c r="M8" s="6" t="s">
        <v>31</v>
      </c>
      <c r="N8" s="50">
        <f>IF(VLOOKUP($M$8,'DB US Indicators'!$A:$D,MATCH(N$6,'DB US Indicators'!$A$1:$S$1,0),0)="","",VLOOKUP($M$8,'DB US Indicators'!$A:$D,MATCH(N$6,'DB US Indicators'!$A$1:$S$1,0),0))</f>
        <v>64.099999999999994</v>
      </c>
      <c r="O8" s="50">
        <f>IF(VLOOKUP($M$8,'DB US Indicators'!$A:$D,MATCH(O$6,'DB US Indicators'!$A$1:$S$1,0),0)="","",VLOOKUP($M$8,'DB US Indicators'!$A:$D,MATCH(O$6,'DB US Indicators'!$A$1:$S$1,0),0))</f>
        <v>79</v>
      </c>
      <c r="P8" s="51">
        <f>IF(VLOOKUP($M$8,'DB US Indicators'!$A:$D,MATCH(P$6,'DB US Indicators'!$A$1:$S$1,0),0)="","",VLOOKUP($M$8,'DB US Indicators'!$A:$D,MATCH(P$6,'DB US Indicators'!$A$1:$S$1,0),0))</f>
        <v>74</v>
      </c>
    </row>
    <row r="9" spans="3:16" x14ac:dyDescent="0.2">
      <c r="C9" s="6" t="s">
        <v>12</v>
      </c>
      <c r="D9" s="44">
        <f>VLOOKUP($C$9,'DB US Indicators'!$A:$D,MATCH(D$6,'DB US Indicators'!$A$1:$S$1,0),0)</f>
        <v>5.8327773290725903E-3</v>
      </c>
      <c r="E9" s="44">
        <f>VLOOKUP($C$9,'DB US Indicators'!$A:$D,MATCH(E$6,'DB US Indicators'!$A$1:$S$1,0),0)</f>
        <v>3.1375709731505858E-3</v>
      </c>
      <c r="F9" s="31">
        <f>VLOOKUP($C$9,'DB US Indicators'!$A:$D,MATCH(F$6,'DB US Indicators'!$A$1:$S$1,0),0)</f>
        <v>4.8151001540830369E-4</v>
      </c>
      <c r="G9" s="44"/>
      <c r="H9" s="6" t="s">
        <v>23</v>
      </c>
      <c r="I9" s="48">
        <f>VLOOKUP($H$9,'DB US Indicators'!$A:$D,MATCH(I$6,'DB US Indicators'!$A$1:$S$1,0),0)</f>
        <v>0</v>
      </c>
      <c r="J9" s="48"/>
      <c r="K9" s="9"/>
      <c r="L9" s="2"/>
      <c r="M9" s="6" t="s">
        <v>32</v>
      </c>
      <c r="N9" s="52">
        <f>IF(VLOOKUP($M$9,'DB US Indicators'!$A:$D,MATCH(N$6,'DB US Indicators'!$A$1:$S$1,0),0)="","",VLOOKUP($M$9,'DB US Indicators'!$A:$D,MATCH(N$6,'DB US Indicators'!$A$1:$S$1,0),0))</f>
        <v>120.8</v>
      </c>
      <c r="O9" s="52">
        <f>IF(VLOOKUP($M$9,'DB US Indicators'!$A:$D,MATCH(O$6,'DB US Indicators'!$A$1:$S$1,0),0)="","",VLOOKUP($M$9,'DB US Indicators'!$A:$D,MATCH(O$6,'DB US Indicators'!$A$1:$S$1,0),0))</f>
        <v>115.1</v>
      </c>
      <c r="P9" s="53">
        <f>IF(VLOOKUP($M$9,'DB US Indicators'!$A:$D,MATCH(P$6,'DB US Indicators'!$A$1:$S$1,0),0)="","",VLOOKUP($M$9,'DB US Indicators'!$A:$D,MATCH(P$6,'DB US Indicators'!$A$1:$S$1,0),0))</f>
        <v>109.6</v>
      </c>
    </row>
    <row r="10" spans="3:16" x14ac:dyDescent="0.2">
      <c r="C10" s="6" t="s">
        <v>13</v>
      </c>
      <c r="D10" s="42">
        <f>VLOOKUP($C$10,'DB US Indicators'!$A:$D,MATCH(D$6,'DB US Indicators'!$A$1:$S$1,0),0)</f>
        <v>4.9810802665505713E-3</v>
      </c>
      <c r="E10" s="42">
        <f>VLOOKUP($C$10,'DB US Indicators'!$A:$D,MATCH(E$6,'DB US Indicators'!$A$1:$S$1,0),0)</f>
        <v>4.8044807563845026E-3</v>
      </c>
      <c r="F10" s="43">
        <f>VLOOKUP($C$10,'DB US Indicators'!$A:$D,MATCH(F$6,'DB US Indicators'!$A$1:$S$1,0),0)</f>
        <v>3.1541871834860728E-3</v>
      </c>
      <c r="G10" s="44"/>
      <c r="H10" s="6" t="s">
        <v>24</v>
      </c>
      <c r="I10" s="48">
        <f>VLOOKUP($H$10,'DB US Indicators'!$A:$D,MATCH(I$6,'DB US Indicators'!$A$1:$S$1,0),0)</f>
        <v>1.6449999999999961E-2</v>
      </c>
      <c r="J10" s="48"/>
      <c r="K10" s="9"/>
      <c r="L10" s="2"/>
      <c r="M10" s="6" t="s">
        <v>33</v>
      </c>
      <c r="N10" s="52">
        <f>IF(VLOOKUP($M$10,'DB US Indicators'!$A:$D,MATCH(N$6,'DB US Indicators'!$A$1:$S$1,0),0)="","",VLOOKUP($M$10,'DB US Indicators'!$A:$D,MATCH(N$6,'DB US Indicators'!$A$1:$S$1,0),0))</f>
        <v>1885</v>
      </c>
      <c r="O10" s="52">
        <f>IF(VLOOKUP($M$10,'DB US Indicators'!$A:$D,MATCH(O$6,'DB US Indicators'!$A$1:$S$1,0),0)="","",VLOOKUP($M$10,'DB US Indicators'!$A:$D,MATCH(O$6,'DB US Indicators'!$A$1:$S$1,0),0))</f>
        <v>1594</v>
      </c>
      <c r="P10" s="53">
        <f>IF(VLOOKUP($M$10,'DB US Indicators'!$A:$D,MATCH(P$6,'DB US Indicators'!$A$1:$S$1,0),0)="","",VLOOKUP($M$10,'DB US Indicators'!$A:$D,MATCH(P$6,'DB US Indicators'!$A$1:$S$1,0),0))</f>
        <v>1758</v>
      </c>
    </row>
    <row r="11" spans="3:16" x14ac:dyDescent="0.2">
      <c r="C11" s="6" t="s">
        <v>15</v>
      </c>
      <c r="D11" s="40">
        <f>VLOOKUP($C$11,'DB US Indicators'!$A:$D,MATCH(D$6,'DB US Indicators'!$A$1:$S$1,0),0)</f>
        <v>-2.4805028365475039E-2</v>
      </c>
      <c r="E11" s="40">
        <f>VLOOKUP($C$11,'DB US Indicators'!$A:$D,MATCH(E$6,'DB US Indicators'!$A$1:$S$1,0),0)</f>
        <v>1.468871684038702E-2</v>
      </c>
      <c r="F11" s="41">
        <f>VLOOKUP($C$11,'DB US Indicators'!$A:$D,MATCH(F$6,'DB US Indicators'!$A$1:$S$1,0),0)</f>
        <v>-2.6894312168303059E-2</v>
      </c>
      <c r="G11" s="44"/>
      <c r="H11" s="6" t="s">
        <v>107</v>
      </c>
      <c r="I11" s="44">
        <f>IF(VLOOKUP($H$11,'DB US Indicators'!$A:$D,MATCH(I$6,'DB US Indicators'!$A$1:$S$1,0),0)="","",VLOOKUP($H$11,'DB US Indicators'!$A:$D,MATCH(I$6,'DB US Indicators'!$A$1:$S$1,0),0)/100)</f>
        <v>2.12E-2</v>
      </c>
      <c r="J11" s="44" t="str">
        <f>IF(VLOOKUP($H$11,'DB US Indicators'!$A:$D,MATCH(J$6,'DB US Indicators'!$A$1:$S$1,0),0)="","",VLOOKUP($H$11,'DB US Indicators'!$A:$D,MATCH(J$6,'DB US Indicators'!$A$1:$S$1,0),0))</f>
        <v/>
      </c>
      <c r="K11" s="31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2">
        <f>IF(VLOOKUP($M$11,'DB US Indicators'!$A:$D,MATCH(N$6,'DB US Indicators'!$A$1:$S$1,0),0)="","",VLOOKUP($M$11,'DB US Indicators'!$A:$D,MATCH(N$6,'DB US Indicators'!$A$1:$S$1,0),0))</f>
        <v>57.6</v>
      </c>
      <c r="O11" s="52">
        <f>IF(VLOOKUP($M$11,'DB US Indicators'!$A:$D,MATCH(O$6,'DB US Indicators'!$A$1:$S$1,0),0)="","",VLOOKUP($M$11,'DB US Indicators'!$A:$D,MATCH(O$6,'DB US Indicators'!$A$1:$S$1,0),0))</f>
        <v>59.5</v>
      </c>
      <c r="P11" s="53">
        <f>IF(VLOOKUP($M$11,'DB US Indicators'!$A:$D,MATCH(P$6,'DB US Indicators'!$A$1:$S$1,0),0)="","",VLOOKUP($M$11,'DB US Indicators'!$A:$D,MATCH(P$6,'DB US Indicators'!$A$1:$S$1,0),0))</f>
        <v>58.7</v>
      </c>
    </row>
    <row r="12" spans="3:16" x14ac:dyDescent="0.2">
      <c r="C12" s="6" t="s">
        <v>14</v>
      </c>
      <c r="D12" s="42">
        <f>VLOOKUP($C$12,'DB US Indicators'!$A:$D,MATCH(D$6,'DB US Indicators'!$A$1:$S$1,0),0)</f>
        <v>-1.914353268123687E-2</v>
      </c>
      <c r="E12" s="42">
        <f>VLOOKUP($C$12,'DB US Indicators'!$A:$D,MATCH(E$6,'DB US Indicators'!$A$1:$S$1,0),0)</f>
        <v>8.5241703608500956E-3</v>
      </c>
      <c r="F12" s="43">
        <f>VLOOKUP($C$12,'DB US Indicators'!$A:$D,MATCH(F$6,'DB US Indicators'!$A$1:$S$1,0),0)</f>
        <v>-8.3442029991026741E-3</v>
      </c>
      <c r="G12" s="44"/>
      <c r="H12" s="6" t="s">
        <v>108</v>
      </c>
      <c r="I12" s="47">
        <f>IF(VLOOKUP($H$12,'DB US Indicators'!$A:$D,MATCH(I$6,'DB US Indicators'!$A$1:$S$1,0),0)="","",VLOOKUP($H$12,'DB US Indicators'!$A:$D,MATCH(I$6,'DB US Indicators'!$A$1:$S$1,0),0)/100)</f>
        <v>1.8100000000000002E-2</v>
      </c>
      <c r="J12" s="47">
        <f>IF(VLOOKUP($H$12,'DB US Indicators'!$A:$D,MATCH(J$6,'DB US Indicators'!$A$1:$S$1,0),0)="","",VLOOKUP($H$12,'DB US Indicators'!$A:$D,MATCH(J$6,'DB US Indicators'!$A$1:$S$1,0),0)/100)</f>
        <v>1.179E-2</v>
      </c>
      <c r="K12" s="8">
        <f>IF(VLOOKUP($H$12,'DB US Indicators'!$A:$D,MATCH(K$6,'DB US Indicators'!$A$1:$S$1,0),0)="","",VLOOKUP($H$12,'DB US Indicators'!$A:$D,MATCH(K$6,'DB US Indicators'!$A$1:$S$1,0),0)/100)</f>
        <v>1.0789999999999999E-2</v>
      </c>
      <c r="L12" s="1"/>
      <c r="M12" s="6" t="s">
        <v>35</v>
      </c>
      <c r="N12" s="52">
        <f>IF(VLOOKUP($M$12,'DB US Indicators'!$A:$D,MATCH(N$6,'DB US Indicators'!$A$1:$S$1,0),0)="","",VLOOKUP($M$12,'DB US Indicators'!$A:$D,MATCH(N$6,'DB US Indicators'!$A$1:$S$1,0),0))</f>
        <v>57.9</v>
      </c>
      <c r="O12" s="52">
        <f>IF(VLOOKUP($M$12,'DB US Indicators'!$A:$D,MATCH(O$6,'DB US Indicators'!$A$1:$S$1,0),0)="","",VLOOKUP($M$12,'DB US Indicators'!$A:$D,MATCH(O$6,'DB US Indicators'!$A$1:$S$1,0),0))</f>
        <v>64.900000000000006</v>
      </c>
      <c r="P12" s="53">
        <f>IF(VLOOKUP($M$12,'DB US Indicators'!$A:$D,MATCH(P$6,'DB US Indicators'!$A$1:$S$1,0),0)="","",VLOOKUP($M$12,'DB US Indicators'!$A:$D,MATCH(P$6,'DB US Indicators'!$A$1:$S$1,0),0))</f>
        <v>61.1</v>
      </c>
    </row>
    <row r="13" spans="3:16" x14ac:dyDescent="0.2">
      <c r="C13" s="6" t="s">
        <v>16</v>
      </c>
      <c r="D13" s="42">
        <f>VLOOKUP($C$13,'DB US Indicators'!$A:$D,MATCH(D$6,'DB US Indicators'!$A$1:$S$1,0),0)</f>
        <v>2.5641025641025661E-2</v>
      </c>
      <c r="E13" s="42">
        <f>VLOOKUP($C$13,'DB US Indicators'!$A:$D,MATCH(E$6,'DB US Indicators'!$A$1:$S$1,0),0)</f>
        <v>-8.4745762711864403E-2</v>
      </c>
      <c r="F13" s="43">
        <f>VLOOKUP($C$13,'DB US Indicators'!$A:$D,MATCH(F$6,'DB US Indicators'!$A$1:$S$1,0),0)</f>
        <v>-4.4776119402985037E-2</v>
      </c>
      <c r="G13" s="44"/>
      <c r="H13" s="6" t="s">
        <v>109</v>
      </c>
      <c r="I13" s="47">
        <f>IF(VLOOKUP($H$13,'DB US Indicators'!$A:$D,MATCH(I$6,'DB US Indicators'!$A$1:$S$1,0),0)="","",VLOOKUP($H$13,'DB US Indicators'!$A:$D,MATCH(I$6,'DB US Indicators'!$A$1:$S$1,0),0)/100)</f>
        <v>1.18E-2</v>
      </c>
      <c r="J13" s="47">
        <f>IF(VLOOKUP($H$13,'DB US Indicators'!$A:$D,MATCH(J$6,'DB US Indicators'!$A$1:$S$1,0),0)="","",VLOOKUP($H$13,'DB US Indicators'!$A:$D,MATCH(J$6,'DB US Indicators'!$A$1:$S$1,0),0)/100)</f>
        <v>1.7419999999999998E-3</v>
      </c>
      <c r="K13" s="8">
        <f>IF(VLOOKUP($H$13,'DB US Indicators'!$A:$D,MATCH(K$6,'DB US Indicators'!$A$1:$S$1,0),0)="","",VLOOKUP($H$13,'DB US Indicators'!$A:$D,MATCH(K$6,'DB US Indicators'!$A$1:$S$1,0),0)/100)</f>
        <v>1.1130000000000001E-3</v>
      </c>
      <c r="L13" s="1"/>
      <c r="M13" s="6" t="s">
        <v>36</v>
      </c>
      <c r="N13" s="52">
        <f>IF(VLOOKUP($M$13,'DB US Indicators'!$A:$D,MATCH(N$6,'DB US Indicators'!$A$1:$S$1,0),0)="","",VLOOKUP($M$13,'DB US Indicators'!$A:$D,MATCH(N$6,'DB US Indicators'!$A$1:$S$1,0),0))</f>
        <v>59.9</v>
      </c>
      <c r="O13" s="52">
        <f>IF(VLOOKUP($M$13,'DB US Indicators'!$A:$D,MATCH(O$6,'DB US Indicators'!$A$1:$S$1,0),0)="","",VLOOKUP($M$13,'DB US Indicators'!$A:$D,MATCH(O$6,'DB US Indicators'!$A$1:$S$1,0),0))</f>
        <v>64.099999999999994</v>
      </c>
      <c r="P13" s="53">
        <f>IF(VLOOKUP($M$13,'DB US Indicators'!$A:$D,MATCH(P$6,'DB US Indicators'!$A$1:$S$1,0),0)="","",VLOOKUP($M$13,'DB US Indicators'!$A:$D,MATCH(P$6,'DB US Indicators'!$A$1:$S$1,0),0))</f>
        <v>58.7</v>
      </c>
    </row>
    <row r="14" spans="3:16" x14ac:dyDescent="0.2">
      <c r="C14" s="6" t="s">
        <v>17</v>
      </c>
      <c r="D14" s="57">
        <f>VLOOKUP($C$14,'DB US Indicators'!$A:$D,MATCH(D$6,'DB US Indicators'!$A$1:$S$1,0),0)</f>
        <v>149629</v>
      </c>
      <c r="E14" s="57">
        <f>VLOOKUP($C$14,'DB US Indicators'!$A:$D,MATCH(E$6,'DB US Indicators'!$A$1:$S$1,0),0)</f>
        <v>146387</v>
      </c>
      <c r="F14" s="58">
        <f>VLOOKUP($C$14,'DB US Indicators'!$A:$D,MATCH(F$6,'DB US Indicators'!$A$1:$S$1,0),0)</f>
        <v>143017</v>
      </c>
      <c r="G14" s="32"/>
      <c r="H14" s="6" t="s">
        <v>110</v>
      </c>
      <c r="I14" s="47">
        <f>IF(VLOOKUP($H$14,'DB US Indicators'!$A:$D,MATCH(I$6,'DB US Indicators'!$A$1:$S$1,0),0)="","",VLOOKUP($H$14,'DB US Indicators'!$A:$D,MATCH(I$6,'DB US Indicators'!$A$1:$S$1,0),0)/100)</f>
        <v>1.9E-3</v>
      </c>
      <c r="J14" s="47" t="str">
        <f>IF(VLOOKUP($H$14,'DB US Indicators'!$A:$D,MATCH(J$6,'DB US Indicators'!$A$1:$S$1,0),0)="","",VLOOKUP($H$14,'DB US Indicators'!$A:$D,MATCH(J$6,'DB US Indicators'!$A$1:$S$1,0),0))</f>
        <v/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8">
        <f>IF(VLOOKUP($M$14,'DB US Indicators'!$A:$D,MATCH(N$6,'DB US Indicators'!$A$1:$S$1,0),0)="","",VLOOKUP($M$14,'DB US Indicators'!$A:$D,MATCH(N$6,'DB US Indicators'!$A$1:$S$1,0),0))</f>
        <v>4.4355004312292834E-3</v>
      </c>
      <c r="O14" s="54"/>
      <c r="P14" s="10"/>
    </row>
    <row r="15" spans="3:16" x14ac:dyDescent="0.2">
      <c r="C15" s="6" t="s">
        <v>18</v>
      </c>
      <c r="D15" s="57">
        <f>VLOOKUP($C$15,'DB US Indicators'!$A:$D,MATCH(D$6,'DB US Indicators'!$A$1:$S$1,0),0)</f>
        <v>223000</v>
      </c>
      <c r="E15" s="57">
        <f>VLOOKUP($C$15,'DB US Indicators'!$A:$D,MATCH(E$6,'DB US Indicators'!$A$1:$S$1,0),0)</f>
        <v>377000</v>
      </c>
      <c r="F15" s="58">
        <f>VLOOKUP($C$15,'DB US Indicators'!$A:$D,MATCH(F$6,'DB US Indicators'!$A$1:$S$1,0),0)</f>
        <v>863000</v>
      </c>
      <c r="G15" s="32"/>
      <c r="H15" s="6" t="s">
        <v>111</v>
      </c>
      <c r="I15" s="47">
        <f>I12-I13</f>
        <v>6.3000000000000018E-3</v>
      </c>
      <c r="J15" s="47">
        <f>J12-J13</f>
        <v>1.0048E-2</v>
      </c>
      <c r="K15" s="8">
        <f>K12-K13</f>
        <v>9.6769999999999998E-3</v>
      </c>
      <c r="L15" s="1"/>
      <c r="M15" s="6" t="s">
        <v>38</v>
      </c>
      <c r="N15" s="48">
        <f>IF(VLOOKUP($M$15,'DB US Indicators'!$A:$D,MATCH(N$6,'DB US Indicators'!$A$1:$S$1,0),0)="","",VLOOKUP($M$15,'DB US Indicators'!$A:$D,MATCH(N$6,'DB US Indicators'!$A$1:$S$1,0),0))</f>
        <v>3.6119845126418508E-3</v>
      </c>
      <c r="O15" s="54"/>
      <c r="P15" s="10"/>
    </row>
    <row r="16" spans="3:16" ht="16" customHeight="1" thickBot="1" x14ac:dyDescent="0.25">
      <c r="C16" s="7" t="s">
        <v>19</v>
      </c>
      <c r="D16" s="33">
        <f>VLOOKUP($C$16,'DB US Indicators'!$A:$D,MATCH(D$6,'DB US Indicators'!$A$1:$S$1,0),0)</f>
        <v>-1.0235595164563491E-3</v>
      </c>
      <c r="E16" s="33">
        <f>VLOOKUP($C$16,'DB US Indicators'!$A:$D,MATCH(E$6,'DB US Indicators'!$A$1:$S$1,0),0)</f>
        <v>5.4822432562803116E-3</v>
      </c>
      <c r="F16" s="45">
        <f>VLOOKUP($C$16,'DB US Indicators'!$A:$D,MATCH(F$6,'DB US Indicators'!$A$1:$S$1,0),0)</f>
        <v>1.157358567077907E-2</v>
      </c>
      <c r="G16" s="44"/>
      <c r="H16" s="7" t="s">
        <v>29</v>
      </c>
      <c r="I16" s="46">
        <f>IF(VLOOKUP($H$16,'DB US Indicators'!$A:$D,MATCH(I$6,'DB US Indicators'!$A$1:$S$1,0),0)="","",VLOOKUP($H$16,'DB US Indicators'!$A:$D,MATCH(I$6,'DB US Indicators'!$A$1:$S$1,0),0))</f>
        <v>96.389999389648438</v>
      </c>
      <c r="J16" s="46">
        <f>IF(VLOOKUP($H$16,'DB US Indicators'!$A:$D,MATCH(J$6,'DB US Indicators'!$A$1:$S$1,0),0)="","",VLOOKUP($H$16,'DB US Indicators'!$A:$D,MATCH(J$6,'DB US Indicators'!$A$1:$S$1,0),0))</f>
        <v>92.050003051757812</v>
      </c>
      <c r="K16" s="49">
        <f>IF(VLOOKUP($H$16,'DB US Indicators'!$A:$D,MATCH(K$6,'DB US Indicators'!$A$1:$S$1,0),0)="","",VLOOKUP($H$16,'DB US Indicators'!$A:$D,MATCH(K$6,'DB US Indicators'!$A$1:$S$1,0),0))</f>
        <v>91.019996643066406</v>
      </c>
      <c r="L16" s="1"/>
      <c r="M16" s="11"/>
      <c r="N16" s="12"/>
      <c r="O16" s="12"/>
      <c r="P16" s="13"/>
    </row>
    <row r="19" spans="3:3" x14ac:dyDescent="0.2">
      <c r="C19" s="56" t="s">
        <v>112</v>
      </c>
    </row>
    <row r="98" spans="3:3" x14ac:dyDescent="0.2">
      <c r="C98" s="56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50" zoomScaleNormal="150" workbookViewId="0">
      <pane xSplit="2" ySplit="10" topLeftCell="C11" activePane="bottomRight" state="frozen"/>
      <selection activeCell="AE27" sqref="AE27"/>
      <selection pane="topRight" activeCell="AE27" sqref="AE27"/>
      <selection pane="bottomLeft" activeCell="AE27" sqref="AE27"/>
      <selection pane="bottomRight" activeCell="C67" sqref="C67"/>
    </sheetView>
  </sheetViews>
  <sheetFormatPr baseColWidth="10" defaultColWidth="9.1640625" defaultRowHeight="15" x14ac:dyDescent="0.2"/>
  <cols>
    <col min="1" max="1" width="9.1640625" style="55" customWidth="1"/>
    <col min="2" max="2" width="17.83203125" style="30" customWidth="1"/>
    <col min="3" max="27" width="6.1640625" style="30" customWidth="1"/>
    <col min="28" max="28" width="7.33203125" style="30" customWidth="1"/>
    <col min="29" max="29" width="9.1640625" style="55" customWidth="1"/>
    <col min="30" max="30" width="12.33203125" style="55" customWidth="1"/>
    <col min="31" max="31" width="9.1640625" style="55" customWidth="1"/>
    <col min="32" max="32" width="10.6640625" style="55" customWidth="1"/>
    <col min="33" max="33" width="10.6640625" style="55" bestFit="1" customWidth="1"/>
    <col min="34" max="74" width="9.1640625" style="55" customWidth="1"/>
  </cols>
  <sheetData>
    <row r="1" spans="2:36" s="55" customFormat="1" ht="16" customHeight="1" thickBot="1" x14ac:dyDescent="0.25">
      <c r="C1" s="55" t="s">
        <v>76</v>
      </c>
      <c r="D1" s="55" t="s">
        <v>77</v>
      </c>
      <c r="E1" s="55" t="s">
        <v>78</v>
      </c>
      <c r="F1" s="55" t="s">
        <v>79</v>
      </c>
      <c r="G1" s="55" t="s">
        <v>80</v>
      </c>
      <c r="H1" s="55" t="s">
        <v>81</v>
      </c>
      <c r="I1" s="55" t="s">
        <v>82</v>
      </c>
      <c r="J1" s="55" t="s">
        <v>83</v>
      </c>
      <c r="K1" s="55" t="s">
        <v>84</v>
      </c>
      <c r="L1" s="55" t="s">
        <v>85</v>
      </c>
      <c r="M1" s="55" t="s">
        <v>86</v>
      </c>
      <c r="N1" s="55" t="s">
        <v>87</v>
      </c>
      <c r="O1" s="55" t="s">
        <v>88</v>
      </c>
      <c r="P1" s="55" t="s">
        <v>89</v>
      </c>
      <c r="Q1" s="55" t="s">
        <v>90</v>
      </c>
      <c r="R1" s="55" t="s">
        <v>91</v>
      </c>
      <c r="S1" s="55" t="s">
        <v>92</v>
      </c>
      <c r="T1" s="55" t="s">
        <v>93</v>
      </c>
      <c r="U1" s="55" t="s">
        <v>94</v>
      </c>
      <c r="V1" s="55" t="s">
        <v>95</v>
      </c>
      <c r="W1" s="55" t="s">
        <v>96</v>
      </c>
      <c r="X1" s="55" t="s">
        <v>97</v>
      </c>
      <c r="Y1" s="55" t="s">
        <v>98</v>
      </c>
      <c r="Z1" s="55" t="s">
        <v>99</v>
      </c>
      <c r="AA1" s="55" t="s">
        <v>100</v>
      </c>
      <c r="AB1" s="55" t="s">
        <v>101</v>
      </c>
      <c r="AD1" s="17" t="s">
        <v>114</v>
      </c>
      <c r="AE1" s="55" t="s">
        <v>115</v>
      </c>
      <c r="AG1" s="39">
        <v>44562</v>
      </c>
      <c r="AJ1" s="16"/>
    </row>
    <row r="2" spans="2:36" ht="72.75" customHeight="1" thickBot="1" x14ac:dyDescent="0.25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2">
      <c r="B3" s="23" t="s">
        <v>139</v>
      </c>
      <c r="C3" s="34">
        <f t="shared" ref="C3:AB3" ca="1" si="0">MAX(OFFSET(C$12,COUNT(C$12:C$105),0,-13,1))</f>
        <v>56</v>
      </c>
      <c r="D3" s="34">
        <f t="shared" ca="1" si="0"/>
        <v>64.7</v>
      </c>
      <c r="E3" s="34">
        <f t="shared" ca="1" si="0"/>
        <v>63.4</v>
      </c>
      <c r="F3" s="34">
        <f t="shared" ca="1" si="0"/>
        <v>52</v>
      </c>
      <c r="G3" s="34">
        <f t="shared" ca="1" si="0"/>
        <v>63.4</v>
      </c>
      <c r="H3" s="34">
        <f t="shared" ca="1" si="0"/>
        <v>55.4</v>
      </c>
      <c r="I3" s="34">
        <f t="shared" ca="1" si="0"/>
        <v>66.599999999999994</v>
      </c>
      <c r="J3" s="34">
        <f t="shared" ca="1" si="0"/>
        <v>59.4</v>
      </c>
      <c r="K3" s="34">
        <f t="shared" ca="1" si="0"/>
        <v>65.599999999999994</v>
      </c>
      <c r="L3" s="34">
        <f t="shared" ca="1" si="0"/>
        <v>62.8</v>
      </c>
      <c r="M3" s="34">
        <f t="shared" ca="1" si="0"/>
        <v>60.4</v>
      </c>
      <c r="N3" s="34">
        <f t="shared" ca="1" si="0"/>
        <v>58.4</v>
      </c>
      <c r="O3" s="34">
        <f t="shared" ca="1" si="0"/>
        <v>49.6</v>
      </c>
      <c r="P3" s="34">
        <f t="shared" ca="1" si="0"/>
        <v>51.9</v>
      </c>
      <c r="Q3" s="34">
        <f t="shared" ca="1" si="0"/>
        <v>57.6</v>
      </c>
      <c r="R3" s="34">
        <f t="shared" ca="1" si="0"/>
        <v>58.5</v>
      </c>
      <c r="S3" s="34">
        <f t="shared" ca="1" si="0"/>
        <v>63.2</v>
      </c>
      <c r="T3" s="34">
        <f t="shared" ca="1" si="0"/>
        <v>57.2</v>
      </c>
      <c r="U3" s="34">
        <f t="shared" ca="1" si="0"/>
        <v>55.3</v>
      </c>
      <c r="V3" s="34">
        <f t="shared" ca="1" si="0"/>
        <v>62.4</v>
      </c>
      <c r="W3" s="34">
        <f t="shared" ca="1" si="0"/>
        <v>59.3</v>
      </c>
      <c r="X3" s="34">
        <f t="shared" ca="1" si="0"/>
        <v>64.099999999999994</v>
      </c>
      <c r="Y3" s="34">
        <f t="shared" ca="1" si="0"/>
        <v>54.1</v>
      </c>
      <c r="Z3" s="34">
        <f t="shared" ca="1" si="0"/>
        <v>62.7</v>
      </c>
      <c r="AA3" s="34">
        <f t="shared" ca="1" si="0"/>
        <v>59.4</v>
      </c>
      <c r="AB3" s="34">
        <f t="shared" ca="1" si="0"/>
        <v>72</v>
      </c>
      <c r="AE3" s="55" t="s">
        <v>140</v>
      </c>
      <c r="AG3" s="22">
        <f>DATE(YEAR(AG1),MONTH(AG1)-1,DAY(AG1))</f>
        <v>44531</v>
      </c>
    </row>
    <row r="4" spans="2:36" hidden="1" x14ac:dyDescent="0.2">
      <c r="B4" s="23" t="s">
        <v>141</v>
      </c>
      <c r="C4" s="34">
        <f t="shared" ref="C4:AB4" ca="1" si="1">MIN(OFFSET(C$12,COUNT(C$12:C$105),0,-13,1))</f>
        <v>51.4</v>
      </c>
      <c r="D4" s="34">
        <f t="shared" ca="1" si="1"/>
        <v>57.6</v>
      </c>
      <c r="E4" s="34">
        <f t="shared" ca="1" si="1"/>
        <v>55</v>
      </c>
      <c r="F4" s="34">
        <f t="shared" ca="1" si="1"/>
        <v>49.1</v>
      </c>
      <c r="G4" s="34">
        <f t="shared" ca="1" si="1"/>
        <v>57.9</v>
      </c>
      <c r="H4" s="34">
        <f t="shared" ca="1" si="1"/>
        <v>51.4</v>
      </c>
      <c r="I4" s="34">
        <f t="shared" ca="1" si="1"/>
        <v>57.4</v>
      </c>
      <c r="J4" s="34">
        <f t="shared" ca="1" si="1"/>
        <v>53.6</v>
      </c>
      <c r="K4" s="34">
        <f t="shared" ca="1" si="1"/>
        <v>55.1</v>
      </c>
      <c r="L4" s="34">
        <f t="shared" ca="1" si="1"/>
        <v>56.9</v>
      </c>
      <c r="M4" s="34">
        <f t="shared" ca="1" si="1"/>
        <v>52.9</v>
      </c>
      <c r="N4" s="34">
        <f t="shared" ca="1" si="1"/>
        <v>47.8</v>
      </c>
      <c r="O4" s="34">
        <f t="shared" ca="1" si="1"/>
        <v>44.2</v>
      </c>
      <c r="P4" s="34">
        <f t="shared" ca="1" si="1"/>
        <v>46.5</v>
      </c>
      <c r="Q4" s="34">
        <f t="shared" ca="1" si="1"/>
        <v>48.1</v>
      </c>
      <c r="R4" s="34">
        <f t="shared" ca="1" si="1"/>
        <v>54.8</v>
      </c>
      <c r="S4" s="34">
        <f t="shared" ca="1" si="1"/>
        <v>48.4</v>
      </c>
      <c r="T4" s="34">
        <f t="shared" ca="1" si="1"/>
        <v>40.1</v>
      </c>
      <c r="U4" s="34">
        <f t="shared" ca="1" si="1"/>
        <v>50.2</v>
      </c>
      <c r="V4" s="34">
        <f t="shared" ca="1" si="1"/>
        <v>54.7</v>
      </c>
      <c r="W4" s="34">
        <f t="shared" ca="1" si="1"/>
        <v>49.4</v>
      </c>
      <c r="X4" s="34">
        <f t="shared" ca="1" si="1"/>
        <v>52</v>
      </c>
      <c r="Y4" s="34">
        <f t="shared" ca="1" si="1"/>
        <v>49.3</v>
      </c>
      <c r="Z4" s="34">
        <f t="shared" ca="1" si="1"/>
        <v>55.1</v>
      </c>
      <c r="AA4" s="34">
        <f t="shared" ca="1" si="1"/>
        <v>53.4</v>
      </c>
      <c r="AB4" s="34">
        <f t="shared" ca="1" si="1"/>
        <v>40.799999999999997</v>
      </c>
      <c r="AE4" s="55" t="s">
        <v>142</v>
      </c>
      <c r="AG4" s="22">
        <f>DATE(YEAR(AG1),MONTH(AG1)-12,DAY(AG1))</f>
        <v>44197</v>
      </c>
    </row>
    <row r="5" spans="2:36" ht="16" hidden="1" customHeight="1" thickBot="1" x14ac:dyDescent="0.25">
      <c r="B5" s="23" t="s">
        <v>143</v>
      </c>
      <c r="C5" s="35">
        <f t="shared" ref="C5:AB5" ca="1" si="2">AVERAGE(OFFSET(C$12,COUNT(C$12:C$105),0,-13,1))</f>
        <v>54.5</v>
      </c>
      <c r="D5" s="35">
        <f t="shared" ca="1" si="2"/>
        <v>60.716666666666669</v>
      </c>
      <c r="E5" s="35">
        <f t="shared" ca="1" si="2"/>
        <v>59.791666666666664</v>
      </c>
      <c r="F5" s="35">
        <f t="shared" ca="1" si="2"/>
        <v>50.558333333333337</v>
      </c>
      <c r="G5" s="35">
        <f t="shared" ca="1" si="2"/>
        <v>60.524999999999999</v>
      </c>
      <c r="H5" s="35">
        <f t="shared" ca="1" si="2"/>
        <v>53.141666666666659</v>
      </c>
      <c r="I5" s="35">
        <f t="shared" ca="1" si="2"/>
        <v>61.916666666666657</v>
      </c>
      <c r="J5" s="35">
        <f t="shared" ca="1" si="2"/>
        <v>56.983333333333341</v>
      </c>
      <c r="K5" s="35">
        <f t="shared" ca="1" si="2"/>
        <v>59.408333333333331</v>
      </c>
      <c r="L5" s="35">
        <f t="shared" ca="1" si="2"/>
        <v>60.583333333333321</v>
      </c>
      <c r="M5" s="35">
        <f t="shared" ca="1" si="2"/>
        <v>57.566666666666684</v>
      </c>
      <c r="N5" s="35">
        <f t="shared" ca="1" si="2"/>
        <v>53.116666666666653</v>
      </c>
      <c r="O5" s="35">
        <f t="shared" ca="1" si="2"/>
        <v>47.841666666666676</v>
      </c>
      <c r="P5" s="35">
        <f t="shared" ca="1" si="2"/>
        <v>50.383333333333333</v>
      </c>
      <c r="Q5" s="35">
        <f t="shared" ca="1" si="2"/>
        <v>54.300000000000004</v>
      </c>
      <c r="R5" s="35">
        <f t="shared" ca="1" si="2"/>
        <v>56.750000000000007</v>
      </c>
      <c r="S5" s="35">
        <f t="shared" ca="1" si="2"/>
        <v>55.916666666666657</v>
      </c>
      <c r="T5" s="35">
        <f t="shared" ca="1" si="2"/>
        <v>51.81666666666667</v>
      </c>
      <c r="U5" s="35">
        <f t="shared" ca="1" si="2"/>
        <v>52.933333333333316</v>
      </c>
      <c r="V5" s="35">
        <f t="shared" ca="1" si="2"/>
        <v>58.066666666666663</v>
      </c>
      <c r="W5" s="35">
        <f t="shared" ca="1" si="2"/>
        <v>56.824999999999989</v>
      </c>
      <c r="X5" s="35">
        <f t="shared" ca="1" si="2"/>
        <v>60.341666666666661</v>
      </c>
      <c r="Y5" s="35">
        <f t="shared" ca="1" si="2"/>
        <v>51.808333333333337</v>
      </c>
      <c r="Z5" s="35">
        <f t="shared" ca="1" si="2"/>
        <v>59.1</v>
      </c>
      <c r="AA5" s="35">
        <f t="shared" ca="1" si="2"/>
        <v>55.316666666666663</v>
      </c>
      <c r="AB5" s="35">
        <f t="shared" ca="1" si="2"/>
        <v>64.825000000000003</v>
      </c>
    </row>
    <row r="6" spans="2:36" x14ac:dyDescent="0.2">
      <c r="B6" s="24" t="s">
        <v>144</v>
      </c>
      <c r="C6" s="36" t="str">
        <f t="shared" ref="C6:AB6" ca="1" si="3">IF((VLOOKUP($AG$1,$B:$AB,MATCH(C2,$B$2:$AB$2,),))&gt;C5,"above","below")</f>
        <v>below</v>
      </c>
      <c r="D6" s="36" t="str">
        <f t="shared" ca="1" si="3"/>
        <v>below</v>
      </c>
      <c r="E6" s="36" t="str">
        <f t="shared" ca="1" si="3"/>
        <v>below</v>
      </c>
      <c r="F6" s="36" t="str">
        <f t="shared" ca="1" si="3"/>
        <v>below</v>
      </c>
      <c r="G6" s="36" t="str">
        <f t="shared" ca="1" si="3"/>
        <v>below</v>
      </c>
      <c r="H6" s="36" t="str">
        <f t="shared" ca="1" si="3"/>
        <v>above</v>
      </c>
      <c r="I6" s="36" t="str">
        <f t="shared" ca="1" si="3"/>
        <v>below</v>
      </c>
      <c r="J6" s="36" t="str">
        <f t="shared" ca="1" si="3"/>
        <v>below</v>
      </c>
      <c r="K6" s="36" t="str">
        <f t="shared" ca="1" si="3"/>
        <v>below</v>
      </c>
      <c r="L6" s="36" t="str">
        <f t="shared" ca="1" si="3"/>
        <v>below</v>
      </c>
      <c r="M6" s="36" t="str">
        <f t="shared" ca="1" si="3"/>
        <v>below</v>
      </c>
      <c r="N6" s="36" t="str">
        <f t="shared" ca="1" si="3"/>
        <v>below</v>
      </c>
      <c r="O6" s="36" t="str">
        <f t="shared" ca="1" si="3"/>
        <v>below</v>
      </c>
      <c r="P6" s="36" t="str">
        <f t="shared" ca="1" si="3"/>
        <v>above</v>
      </c>
      <c r="Q6" s="36" t="str">
        <f t="shared" ca="1" si="3"/>
        <v>below</v>
      </c>
      <c r="R6" s="36" t="str">
        <f t="shared" ca="1" si="3"/>
        <v>below</v>
      </c>
      <c r="S6" s="36" t="str">
        <f t="shared" ca="1" si="3"/>
        <v>below</v>
      </c>
      <c r="T6" s="36" t="str">
        <f t="shared" ca="1" si="3"/>
        <v>above</v>
      </c>
      <c r="U6" s="36" t="str">
        <f t="shared" ca="1" si="3"/>
        <v>below</v>
      </c>
      <c r="V6" s="36" t="str">
        <f t="shared" ca="1" si="3"/>
        <v>below</v>
      </c>
      <c r="W6" s="36" t="str">
        <f t="shared" ca="1" si="3"/>
        <v>above</v>
      </c>
      <c r="X6" s="36" t="str">
        <f t="shared" ca="1" si="3"/>
        <v>below</v>
      </c>
      <c r="Y6" s="36" t="str">
        <f t="shared" ca="1" si="3"/>
        <v>below</v>
      </c>
      <c r="Z6" s="36" t="str">
        <f t="shared" ca="1" si="3"/>
        <v>below</v>
      </c>
      <c r="AA6" s="36" t="str">
        <f t="shared" ca="1" si="3"/>
        <v>below</v>
      </c>
      <c r="AB6" s="36" t="str">
        <f t="shared" ca="1" si="3"/>
        <v>below</v>
      </c>
    </row>
    <row r="7" spans="2:36" x14ac:dyDescent="0.2">
      <c r="B7" s="24" t="s">
        <v>145</v>
      </c>
      <c r="C7" s="37">
        <f t="shared" ref="C7:AB7" si="4">VLOOKUP($AG$1,$B:$AB,MATCH(C2,$B$2:$AB$2,),)-VLOOKUP($AG$4,$B:$AB,MATCH(C2,$B$2:$AB$2,),)</f>
        <v>-2.2000000000000028</v>
      </c>
      <c r="D7" s="37">
        <f t="shared" si="4"/>
        <v>-1.1000000000000014</v>
      </c>
      <c r="E7" s="37">
        <f t="shared" si="4"/>
        <v>-4.2000000000000028</v>
      </c>
      <c r="F7" s="37">
        <f t="shared" si="4"/>
        <v>-2.3999999999999986</v>
      </c>
      <c r="G7" s="37">
        <f t="shared" si="4"/>
        <v>4.2000000000000028</v>
      </c>
      <c r="H7" s="37">
        <f t="shared" si="4"/>
        <v>5.6000000000000014</v>
      </c>
      <c r="I7" s="37">
        <f t="shared" si="4"/>
        <v>3.3999999999999986</v>
      </c>
      <c r="J7" s="37">
        <f t="shared" si="4"/>
        <v>3.8999999999999986</v>
      </c>
      <c r="K7" s="37">
        <f t="shared" si="4"/>
        <v>2.7999999999999972</v>
      </c>
      <c r="L7" s="37">
        <f t="shared" si="4"/>
        <v>3.1999999999999957</v>
      </c>
      <c r="M7" s="37">
        <f t="shared" si="4"/>
        <v>6.9000000000000057</v>
      </c>
      <c r="N7" s="37">
        <f t="shared" si="4"/>
        <v>-8.7000000000000028</v>
      </c>
      <c r="O7" s="37">
        <f t="shared" si="4"/>
        <v>3.1000000000000014</v>
      </c>
      <c r="P7" s="37">
        <f t="shared" si="4"/>
        <v>0.89999999999999858</v>
      </c>
      <c r="Q7" s="37">
        <f t="shared" si="4"/>
        <v>-3.7000000000000028</v>
      </c>
      <c r="R7" s="37">
        <f t="shared" si="4"/>
        <v>1.8000000000000043</v>
      </c>
      <c r="S7" s="37">
        <f t="shared" si="4"/>
        <v>-6.8999999999999986</v>
      </c>
      <c r="T7" s="37">
        <f t="shared" si="4"/>
        <v>1.5</v>
      </c>
      <c r="U7" s="37">
        <f t="shared" si="4"/>
        <v>-0.40000000000000568</v>
      </c>
      <c r="V7" s="37">
        <f t="shared" si="4"/>
        <v>-5.1000000000000014</v>
      </c>
      <c r="W7" s="37">
        <f t="shared" si="4"/>
        <v>7.8999999999999986</v>
      </c>
      <c r="X7" s="37">
        <f t="shared" si="4"/>
        <v>7.6000000000000014</v>
      </c>
      <c r="Y7" s="37">
        <f t="shared" si="4"/>
        <v>-3.8999999999999986</v>
      </c>
      <c r="Z7" s="37">
        <f t="shared" si="4"/>
        <v>2</v>
      </c>
      <c r="AA7" s="37">
        <f t="shared" si="4"/>
        <v>2.6000000000000014</v>
      </c>
      <c r="AB7" s="37">
        <f t="shared" si="4"/>
        <v>18.799999999999997</v>
      </c>
    </row>
    <row r="8" spans="2:36" x14ac:dyDescent="0.2">
      <c r="B8" s="24" t="s">
        <v>146</v>
      </c>
      <c r="C8" s="37">
        <f t="shared" ref="C8:AB8" si="5">VLOOKUP($AG$1,$B:$AB,MATCH(C2,$B$2:$AB$2,),)-VLOOKUP($AG$3,$B:$AB,MATCH(C2,$B$2:$AB$2,),)</f>
        <v>-2.8999999999999986</v>
      </c>
      <c r="D8" s="37">
        <f t="shared" si="5"/>
        <v>-3.8999999999999986</v>
      </c>
      <c r="E8" s="37">
        <f t="shared" si="5"/>
        <v>-2.7000000000000028</v>
      </c>
      <c r="F8" s="37">
        <f t="shared" si="5"/>
        <v>-1.7999999999999972</v>
      </c>
      <c r="G8" s="37">
        <f t="shared" si="5"/>
        <v>1</v>
      </c>
      <c r="H8" s="37">
        <f t="shared" si="5"/>
        <v>1.1000000000000014</v>
      </c>
      <c r="I8" s="37">
        <f t="shared" si="5"/>
        <v>3.1000000000000014</v>
      </c>
      <c r="J8" s="37">
        <f t="shared" si="5"/>
        <v>-0.10000000000000142</v>
      </c>
      <c r="K8" s="37">
        <f t="shared" si="5"/>
        <v>-1</v>
      </c>
      <c r="L8" s="37">
        <f t="shared" si="5"/>
        <v>-3.7000000000000028</v>
      </c>
      <c r="M8" s="37">
        <f t="shared" si="5"/>
        <v>0</v>
      </c>
      <c r="N8" s="37">
        <f t="shared" si="5"/>
        <v>-2</v>
      </c>
      <c r="O8" s="37">
        <f t="shared" si="5"/>
        <v>-3.2999999999999972</v>
      </c>
      <c r="P8" s="37">
        <f t="shared" si="5"/>
        <v>0.19999999999999574</v>
      </c>
      <c r="Q8" s="37">
        <f t="shared" si="5"/>
        <v>-1.5</v>
      </c>
      <c r="R8" s="37">
        <f t="shared" si="5"/>
        <v>0.70000000000000284</v>
      </c>
      <c r="S8" s="37">
        <f t="shared" si="5"/>
        <v>0</v>
      </c>
      <c r="T8" s="37">
        <f t="shared" si="5"/>
        <v>0.20000000000000284</v>
      </c>
      <c r="U8" s="37">
        <f t="shared" si="5"/>
        <v>0.89999999999999858</v>
      </c>
      <c r="V8" s="37">
        <f t="shared" si="5"/>
        <v>-0.39999999999999858</v>
      </c>
      <c r="W8" s="37">
        <f t="shared" si="5"/>
        <v>-1.1000000000000014</v>
      </c>
      <c r="X8" s="37">
        <f t="shared" si="5"/>
        <v>1.1000000000000014</v>
      </c>
      <c r="Y8" s="37">
        <f t="shared" si="5"/>
        <v>-1.6000000000000014</v>
      </c>
      <c r="Z8" s="37">
        <f t="shared" si="5"/>
        <v>-0.10000000000000142</v>
      </c>
      <c r="AA8" s="37">
        <f t="shared" si="5"/>
        <v>-1.6000000000000014</v>
      </c>
      <c r="AB8" s="37">
        <f t="shared" si="5"/>
        <v>-3.5000000000000071</v>
      </c>
    </row>
    <row r="9" spans="2:36" ht="66.75" customHeight="1" x14ac:dyDescent="0.2">
      <c r="B9" s="25" t="s">
        <v>147</v>
      </c>
      <c r="C9" s="26" t="str">
        <f t="shared" ref="C9:AB9" si="6">IF(VLOOKUP($AG$1,$B:$AB,MATCH(C2,$B$2:$AB$2,),)&gt;50,"Growth","Contraction")</f>
        <v>Growth</v>
      </c>
      <c r="D9" s="26" t="str">
        <f t="shared" si="6"/>
        <v>Growth</v>
      </c>
      <c r="E9" s="26" t="str">
        <f t="shared" si="6"/>
        <v>Growth</v>
      </c>
      <c r="F9" s="26" t="str">
        <f t="shared" si="6"/>
        <v>Contraction</v>
      </c>
      <c r="G9" s="26" t="str">
        <f t="shared" si="6"/>
        <v>Growth</v>
      </c>
      <c r="H9" s="26" t="str">
        <f t="shared" si="6"/>
        <v>Growth</v>
      </c>
      <c r="I9" s="26" t="str">
        <f t="shared" si="6"/>
        <v>Growth</v>
      </c>
      <c r="J9" s="26" t="str">
        <f t="shared" si="6"/>
        <v>Growth</v>
      </c>
      <c r="K9" s="26" t="str">
        <f t="shared" si="6"/>
        <v>Growth</v>
      </c>
      <c r="L9" s="26" t="str">
        <f t="shared" si="6"/>
        <v>Growth</v>
      </c>
      <c r="M9" s="26" t="str">
        <f t="shared" si="6"/>
        <v>Growth</v>
      </c>
      <c r="N9" s="26" t="str">
        <f t="shared" si="6"/>
        <v>Contraction</v>
      </c>
      <c r="O9" s="26" t="str">
        <f t="shared" si="6"/>
        <v>Contraction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Growth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Growth</v>
      </c>
      <c r="V9" s="26" t="str">
        <f t="shared" si="6"/>
        <v>Growth</v>
      </c>
      <c r="W9" s="26" t="str">
        <f t="shared" si="6"/>
        <v>Growth</v>
      </c>
      <c r="X9" s="26" t="str">
        <f t="shared" si="6"/>
        <v>Growth</v>
      </c>
      <c r="Y9" s="26" t="str">
        <f t="shared" si="6"/>
        <v>Growth</v>
      </c>
      <c r="Z9" s="26" t="str">
        <f t="shared" si="6"/>
        <v>Growth</v>
      </c>
      <c r="AA9" s="26" t="str">
        <f t="shared" si="6"/>
        <v>Growth</v>
      </c>
      <c r="AB9" s="26" t="str">
        <f t="shared" si="6"/>
        <v>Growth</v>
      </c>
    </row>
    <row r="10" spans="2:36" ht="26.25" customHeight="1" thickBot="1" x14ac:dyDescent="0.25">
      <c r="B10" s="27" t="s">
        <v>148</v>
      </c>
      <c r="C10" s="28" t="str">
        <f t="shared" ref="C10:AB10" si="7">IF(C8&gt;0,"+","-")</f>
        <v>-</v>
      </c>
      <c r="D10" s="28" t="str">
        <f t="shared" si="7"/>
        <v>-</v>
      </c>
      <c r="E10" s="28" t="str">
        <f t="shared" si="7"/>
        <v>-</v>
      </c>
      <c r="F10" s="28" t="str">
        <f t="shared" si="7"/>
        <v>-</v>
      </c>
      <c r="G10" s="28" t="str">
        <f t="shared" si="7"/>
        <v>+</v>
      </c>
      <c r="H10" s="28" t="str">
        <f t="shared" si="7"/>
        <v>+</v>
      </c>
      <c r="I10" s="28" t="str">
        <f t="shared" si="7"/>
        <v>+</v>
      </c>
      <c r="J10" s="28" t="str">
        <f t="shared" si="7"/>
        <v>-</v>
      </c>
      <c r="K10" s="28" t="str">
        <f t="shared" si="7"/>
        <v>-</v>
      </c>
      <c r="L10" s="28" t="str">
        <f t="shared" si="7"/>
        <v>-</v>
      </c>
      <c r="M10" s="28" t="str">
        <f t="shared" si="7"/>
        <v>-</v>
      </c>
      <c r="N10" s="28" t="str">
        <f t="shared" si="7"/>
        <v>-</v>
      </c>
      <c r="O10" s="28" t="str">
        <f t="shared" si="7"/>
        <v>-</v>
      </c>
      <c r="P10" s="28" t="str">
        <f t="shared" si="7"/>
        <v>+</v>
      </c>
      <c r="Q10" s="28" t="str">
        <f t="shared" si="7"/>
        <v>-</v>
      </c>
      <c r="R10" s="28" t="str">
        <f t="shared" si="7"/>
        <v>+</v>
      </c>
      <c r="S10" s="28" t="str">
        <f t="shared" si="7"/>
        <v>-</v>
      </c>
      <c r="T10" s="28" t="str">
        <f t="shared" si="7"/>
        <v>+</v>
      </c>
      <c r="U10" s="28" t="str">
        <f t="shared" si="7"/>
        <v>+</v>
      </c>
      <c r="V10" s="28" t="str">
        <f t="shared" si="7"/>
        <v>-</v>
      </c>
      <c r="W10" s="28" t="str">
        <f t="shared" si="7"/>
        <v>-</v>
      </c>
      <c r="X10" s="28" t="str">
        <f t="shared" si="7"/>
        <v>+</v>
      </c>
      <c r="Y10" s="28" t="str">
        <f t="shared" si="7"/>
        <v>-</v>
      </c>
      <c r="Z10" s="28" t="str">
        <f t="shared" si="7"/>
        <v>-</v>
      </c>
      <c r="AA10" s="28" t="str">
        <f t="shared" si="7"/>
        <v>-</v>
      </c>
      <c r="AB10" s="28" t="str">
        <f t="shared" si="7"/>
        <v>-</v>
      </c>
    </row>
    <row r="11" spans="2:36" ht="26.25" customHeight="1" x14ac:dyDescent="0.2"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</row>
    <row r="12" spans="2:36" x14ac:dyDescent="0.2">
      <c r="B12" s="29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2">
      <c r="B13" s="29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2">
      <c r="B14" s="29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2">
      <c r="B15" s="29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2">
      <c r="B16" s="29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2">
      <c r="B17" s="29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2">
      <c r="B18" s="29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2">
      <c r="B19" s="29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2">
      <c r="B20" s="29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2">
      <c r="B21" s="29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2">
      <c r="B22" s="29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2">
      <c r="B23" s="29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2">
      <c r="B24" s="29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2">
      <c r="B25" s="29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2">
      <c r="B26" s="29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2">
      <c r="B27" s="29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2">
      <c r="B28" s="29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2">
      <c r="B29" s="29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2">
      <c r="B30" s="29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2">
      <c r="B31" s="29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2">
      <c r="B32" s="29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2">
      <c r="B33" s="29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2">
      <c r="B34" s="29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2">
      <c r="B35" s="29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2">
      <c r="B36" s="29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2">
      <c r="B37" s="29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2">
      <c r="B38" s="29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2">
      <c r="B39" s="29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2">
      <c r="B40" s="29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2">
      <c r="B41" s="29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2">
      <c r="B42" s="29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2">
      <c r="B43" s="29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2">
      <c r="B44" s="29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2">
      <c r="B45" s="29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2">
      <c r="B46" s="29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2">
      <c r="B47" s="29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2">
      <c r="B48" s="29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5" customFormat="1" x14ac:dyDescent="0.2">
      <c r="B49" s="29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5" customFormat="1" x14ac:dyDescent="0.2">
      <c r="B50" s="29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5" customFormat="1" x14ac:dyDescent="0.2">
      <c r="B51" s="29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5" customFormat="1" x14ac:dyDescent="0.2">
      <c r="B52" s="29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5" customFormat="1" x14ac:dyDescent="0.2">
      <c r="B53" s="29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5" customFormat="1" x14ac:dyDescent="0.2">
      <c r="B54" s="29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5" customFormat="1" x14ac:dyDescent="0.2">
      <c r="B55" s="29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5" customFormat="1" x14ac:dyDescent="0.2">
      <c r="B56" s="29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5" customFormat="1" x14ac:dyDescent="0.2">
      <c r="B57" s="29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5" customFormat="1" x14ac:dyDescent="0.2">
      <c r="B58" s="29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5" customFormat="1" x14ac:dyDescent="0.2">
      <c r="B59" s="29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5" customFormat="1" x14ac:dyDescent="0.2">
      <c r="B60" s="29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5" customFormat="1" x14ac:dyDescent="0.2">
      <c r="B61" s="29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5" customFormat="1" x14ac:dyDescent="0.2">
      <c r="B62" s="29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5" customFormat="1" x14ac:dyDescent="0.2">
      <c r="B63" s="29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5" customFormat="1" x14ac:dyDescent="0.2">
      <c r="B64" s="29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5" customFormat="1" x14ac:dyDescent="0.2">
      <c r="B65" s="29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5" customFormat="1" x14ac:dyDescent="0.2">
      <c r="B66" s="29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5" customFormat="1" x14ac:dyDescent="0.2">
      <c r="B67" s="29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>51.4</v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5" customFormat="1" x14ac:dyDescent="0.2"/>
    <row r="69" spans="2:28" s="55" customFormat="1" x14ac:dyDescent="0.2"/>
    <row r="70" spans="2:28" s="55" customFormat="1" x14ac:dyDescent="0.2"/>
    <row r="71" spans="2:28" s="55" customFormat="1" x14ac:dyDescent="0.2"/>
    <row r="72" spans="2:28" s="55" customFormat="1" x14ac:dyDescent="0.2"/>
    <row r="73" spans="2:28" s="55" customFormat="1" x14ac:dyDescent="0.2"/>
    <row r="74" spans="2:28" s="55" customFormat="1" x14ac:dyDescent="0.2"/>
    <row r="75" spans="2:28" s="55" customFormat="1" x14ac:dyDescent="0.2"/>
    <row r="76" spans="2:28" s="55" customFormat="1" x14ac:dyDescent="0.2"/>
    <row r="77" spans="2:28" s="55" customFormat="1" x14ac:dyDescent="0.2"/>
    <row r="78" spans="2:28" s="55" customFormat="1" x14ac:dyDescent="0.2"/>
    <row r="79" spans="2:28" s="55" customFormat="1" x14ac:dyDescent="0.2"/>
    <row r="80" spans="2:28" s="55" customFormat="1" x14ac:dyDescent="0.2"/>
    <row r="81" s="55" customFormat="1" x14ac:dyDescent="0.2"/>
    <row r="82" s="55" customFormat="1" x14ac:dyDescent="0.2"/>
    <row r="83" s="55" customFormat="1" x14ac:dyDescent="0.2"/>
    <row r="84" s="55" customFormat="1" x14ac:dyDescent="0.2"/>
    <row r="85" s="55" customFormat="1" x14ac:dyDescent="0.2"/>
    <row r="86" s="55" customFormat="1" x14ac:dyDescent="0.2"/>
    <row r="87" s="55" customFormat="1" x14ac:dyDescent="0.2"/>
    <row r="88" s="55" customFormat="1" x14ac:dyDescent="0.2"/>
    <row r="89" s="55" customFormat="1" x14ac:dyDescent="0.2"/>
    <row r="90" s="55" customFormat="1" x14ac:dyDescent="0.2"/>
    <row r="91" s="55" customFormat="1" x14ac:dyDescent="0.2"/>
    <row r="92" s="55" customFormat="1" x14ac:dyDescent="0.2"/>
    <row r="93" s="55" customFormat="1" x14ac:dyDescent="0.2"/>
    <row r="94" s="55" customFormat="1" x14ac:dyDescent="0.2"/>
    <row r="95" s="55" customFormat="1" x14ac:dyDescent="0.2"/>
    <row r="96" s="55" customFormat="1" x14ac:dyDescent="0.2"/>
    <row r="97" s="55" customFormat="1" x14ac:dyDescent="0.2"/>
    <row r="98" s="55" customFormat="1" x14ac:dyDescent="0.2"/>
    <row r="99" s="55" customFormat="1" x14ac:dyDescent="0.2"/>
    <row r="100" s="55" customFormat="1" x14ac:dyDescent="0.2"/>
    <row r="101" s="55" customFormat="1" x14ac:dyDescent="0.2"/>
    <row r="102" s="55" customFormat="1" x14ac:dyDescent="0.2"/>
    <row r="103" s="55" customFormat="1" x14ac:dyDescent="0.2"/>
    <row r="104" s="55" customFormat="1" x14ac:dyDescent="0.2"/>
    <row r="105" s="55" customFormat="1" x14ac:dyDescent="0.2"/>
    <row r="106" s="55" customFormat="1" x14ac:dyDescent="0.2"/>
    <row r="107" s="55" customFormat="1" x14ac:dyDescent="0.2"/>
    <row r="108" s="55" customFormat="1" x14ac:dyDescent="0.2"/>
    <row r="109" s="55" customFormat="1" x14ac:dyDescent="0.2"/>
    <row r="110" s="55" customFormat="1" x14ac:dyDescent="0.2"/>
    <row r="111" s="55" customFormat="1" x14ac:dyDescent="0.2"/>
    <row r="112" s="55" customFormat="1" x14ac:dyDescent="0.2"/>
    <row r="113" s="55" customFormat="1" x14ac:dyDescent="0.2"/>
    <row r="114" s="55" customFormat="1" x14ac:dyDescent="0.2"/>
    <row r="115" s="55" customFormat="1" x14ac:dyDescent="0.2"/>
    <row r="116" s="55" customFormat="1" x14ac:dyDescent="0.2"/>
    <row r="117" s="55" customFormat="1" x14ac:dyDescent="0.2"/>
    <row r="118" s="55" customFormat="1" x14ac:dyDescent="0.2"/>
    <row r="119" s="55" customFormat="1" x14ac:dyDescent="0.2"/>
    <row r="120" s="55" customFormat="1" x14ac:dyDescent="0.2"/>
    <row r="121" s="55" customFormat="1" x14ac:dyDescent="0.2"/>
    <row r="122" s="55" customFormat="1" x14ac:dyDescent="0.2"/>
    <row r="123" s="55" customFormat="1" x14ac:dyDescent="0.2"/>
    <row r="124" s="55" customFormat="1" x14ac:dyDescent="0.2"/>
    <row r="125" s="55" customFormat="1" x14ac:dyDescent="0.2"/>
    <row r="126" s="55" customFormat="1" x14ac:dyDescent="0.2"/>
    <row r="127" s="55" customFormat="1" x14ac:dyDescent="0.2"/>
    <row r="128" s="55" customFormat="1" x14ac:dyDescent="0.2"/>
    <row r="129" s="55" customFormat="1" x14ac:dyDescent="0.2"/>
    <row r="130" s="55" customFormat="1" x14ac:dyDescent="0.2"/>
    <row r="131" s="55" customFormat="1" x14ac:dyDescent="0.2"/>
    <row r="132" s="55" customFormat="1" x14ac:dyDescent="0.2"/>
    <row r="133" s="55" customFormat="1" x14ac:dyDescent="0.2"/>
    <row r="134" s="55" customFormat="1" x14ac:dyDescent="0.2"/>
    <row r="135" s="55" customFormat="1" x14ac:dyDescent="0.2"/>
    <row r="136" s="55" customFormat="1" x14ac:dyDescent="0.2"/>
    <row r="137" s="55" customFormat="1" x14ac:dyDescent="0.2"/>
    <row r="138" s="55" customFormat="1" x14ac:dyDescent="0.2"/>
    <row r="139" s="55" customFormat="1" x14ac:dyDescent="0.2"/>
    <row r="140" s="55" customFormat="1" x14ac:dyDescent="0.2"/>
    <row r="141" s="55" customFormat="1" x14ac:dyDescent="0.2"/>
    <row r="142" s="55" customFormat="1" x14ac:dyDescent="0.2"/>
    <row r="143" s="55" customFormat="1" x14ac:dyDescent="0.2"/>
    <row r="144" s="55" customFormat="1" x14ac:dyDescent="0.2"/>
    <row r="145" s="55" customFormat="1" x14ac:dyDescent="0.2"/>
    <row r="146" s="55" customFormat="1" x14ac:dyDescent="0.2"/>
    <row r="147" s="55" customFormat="1" x14ac:dyDescent="0.2"/>
    <row r="148" s="55" customFormat="1" x14ac:dyDescent="0.2"/>
    <row r="149" s="55" customFormat="1" x14ac:dyDescent="0.2"/>
    <row r="150" s="55" customFormat="1" x14ac:dyDescent="0.2"/>
    <row r="151" s="55" customFormat="1" x14ac:dyDescent="0.2"/>
    <row r="152" s="55" customFormat="1" x14ac:dyDescent="0.2"/>
    <row r="153" s="55" customFormat="1" x14ac:dyDescent="0.2"/>
    <row r="154" s="55" customFormat="1" x14ac:dyDescent="0.2"/>
    <row r="155" s="55" customFormat="1" x14ac:dyDescent="0.2"/>
    <row r="156" s="55" customFormat="1" x14ac:dyDescent="0.2"/>
    <row r="157" s="55" customFormat="1" x14ac:dyDescent="0.2"/>
    <row r="158" s="55" customFormat="1" x14ac:dyDescent="0.2"/>
    <row r="159" s="55" customFormat="1" x14ac:dyDescent="0.2"/>
    <row r="160" s="55" customFormat="1" x14ac:dyDescent="0.2"/>
    <row r="161" s="55" customFormat="1" x14ac:dyDescent="0.2"/>
    <row r="162" s="55" customFormat="1" x14ac:dyDescent="0.2"/>
    <row r="163" s="55" customFormat="1" x14ac:dyDescent="0.2"/>
    <row r="164" s="55" customFormat="1" x14ac:dyDescent="0.2"/>
    <row r="165" s="55" customFormat="1" x14ac:dyDescent="0.2"/>
    <row r="166" s="55" customFormat="1" x14ac:dyDescent="0.2"/>
    <row r="167" s="55" customFormat="1" x14ac:dyDescent="0.2"/>
    <row r="168" s="55" customFormat="1" x14ac:dyDescent="0.2"/>
    <row r="169" s="55" customFormat="1" x14ac:dyDescent="0.2"/>
    <row r="170" s="55" customFormat="1" x14ac:dyDescent="0.2"/>
    <row r="171" s="55" customFormat="1" x14ac:dyDescent="0.2"/>
    <row r="172" s="55" customFormat="1" x14ac:dyDescent="0.2"/>
    <row r="173" s="55" customFormat="1" x14ac:dyDescent="0.2"/>
    <row r="174" s="55" customFormat="1" x14ac:dyDescent="0.2"/>
    <row r="175" s="55" customFormat="1" x14ac:dyDescent="0.2"/>
    <row r="176" s="55" customFormat="1" x14ac:dyDescent="0.2"/>
    <row r="177" s="55" customFormat="1" x14ac:dyDescent="0.2"/>
    <row r="178" s="55" customFormat="1" x14ac:dyDescent="0.2"/>
    <row r="179" s="55" customFormat="1" x14ac:dyDescent="0.2"/>
    <row r="180" s="55" customFormat="1" x14ac:dyDescent="0.2"/>
    <row r="181" s="55" customFormat="1" x14ac:dyDescent="0.2"/>
    <row r="182" s="55" customFormat="1" x14ac:dyDescent="0.2"/>
    <row r="183" s="55" customFormat="1" x14ac:dyDescent="0.2"/>
    <row r="184" s="55" customFormat="1" x14ac:dyDescent="0.2"/>
    <row r="185" s="55" customFormat="1" x14ac:dyDescent="0.2"/>
    <row r="186" s="55" customFormat="1" x14ac:dyDescent="0.2"/>
    <row r="187" s="55" customFormat="1" x14ac:dyDescent="0.2"/>
    <row r="188" s="55" customFormat="1" x14ac:dyDescent="0.2"/>
    <row r="189" s="55" customFormat="1" x14ac:dyDescent="0.2"/>
    <row r="190" s="55" customFormat="1" x14ac:dyDescent="0.2"/>
    <row r="191" s="55" customFormat="1" x14ac:dyDescent="0.2"/>
    <row r="192" s="55" customFormat="1" x14ac:dyDescent="0.2"/>
    <row r="193" s="55" customFormat="1" x14ac:dyDescent="0.2"/>
    <row r="194" s="55" customFormat="1" x14ac:dyDescent="0.2"/>
    <row r="195" s="55" customFormat="1" x14ac:dyDescent="0.2"/>
    <row r="196" s="55" customFormat="1" x14ac:dyDescent="0.2"/>
    <row r="197" s="55" customFormat="1" x14ac:dyDescent="0.2"/>
    <row r="198" s="55" customFormat="1" x14ac:dyDescent="0.2"/>
    <row r="199" s="55" customFormat="1" x14ac:dyDescent="0.2"/>
    <row r="200" s="55" customFormat="1" x14ac:dyDescent="0.2"/>
    <row r="201" s="55" customFormat="1" x14ac:dyDescent="0.2"/>
    <row r="202" s="55" customFormat="1" x14ac:dyDescent="0.2"/>
    <row r="203" s="55" customFormat="1" x14ac:dyDescent="0.2"/>
    <row r="204" s="55" customFormat="1" x14ac:dyDescent="0.2"/>
    <row r="205" s="55" customFormat="1" x14ac:dyDescent="0.2"/>
    <row r="206" s="55" customFormat="1" x14ac:dyDescent="0.2"/>
    <row r="207" s="55" customFormat="1" x14ac:dyDescent="0.2"/>
    <row r="208" s="55" customFormat="1" x14ac:dyDescent="0.2"/>
    <row r="209" s="55" customFormat="1" x14ac:dyDescent="0.2"/>
    <row r="210" s="55" customFormat="1" x14ac:dyDescent="0.2"/>
    <row r="211" s="55" customFormat="1" x14ac:dyDescent="0.2"/>
    <row r="212" s="55" customFormat="1" x14ac:dyDescent="0.2"/>
    <row r="213" s="55" customFormat="1" x14ac:dyDescent="0.2"/>
    <row r="214" s="55" customFormat="1" x14ac:dyDescent="0.2"/>
    <row r="215" s="55" customFormat="1" x14ac:dyDescent="0.2"/>
    <row r="216" s="55" customFormat="1" x14ac:dyDescent="0.2"/>
    <row r="217" s="55" customFormat="1" x14ac:dyDescent="0.2"/>
    <row r="218" s="55" customFormat="1" x14ac:dyDescent="0.2"/>
    <row r="219" s="55" customFormat="1" x14ac:dyDescent="0.2"/>
    <row r="220" s="55" customFormat="1" x14ac:dyDescent="0.2"/>
    <row r="221" s="55" customFormat="1" x14ac:dyDescent="0.2"/>
    <row r="222" s="55" customFormat="1" x14ac:dyDescent="0.2"/>
    <row r="223" s="55" customFormat="1" x14ac:dyDescent="0.2"/>
    <row r="224" s="55" customFormat="1" x14ac:dyDescent="0.2"/>
    <row r="225" s="55" customFormat="1" x14ac:dyDescent="0.2"/>
    <row r="226" s="55" customFormat="1" x14ac:dyDescent="0.2"/>
    <row r="227" s="55" customFormat="1" x14ac:dyDescent="0.2"/>
    <row r="228" s="55" customFormat="1" x14ac:dyDescent="0.2"/>
    <row r="229" s="55" customFormat="1" x14ac:dyDescent="0.2"/>
    <row r="230" s="55" customFormat="1" x14ac:dyDescent="0.2"/>
    <row r="231" s="55" customFormat="1" x14ac:dyDescent="0.2"/>
    <row r="232" s="55" customFormat="1" x14ac:dyDescent="0.2"/>
    <row r="233" s="55" customFormat="1" x14ac:dyDescent="0.2"/>
    <row r="234" s="55" customFormat="1" x14ac:dyDescent="0.2"/>
    <row r="235" s="55" customFormat="1" x14ac:dyDescent="0.2"/>
    <row r="236" s="55" customFormat="1" x14ac:dyDescent="0.2"/>
    <row r="237" s="55" customFormat="1" x14ac:dyDescent="0.2"/>
    <row r="238" s="55" customFormat="1" x14ac:dyDescent="0.2"/>
    <row r="239" s="55" customFormat="1" x14ac:dyDescent="0.2"/>
    <row r="240" s="55" customFormat="1" x14ac:dyDescent="0.2"/>
    <row r="241" s="55" customFormat="1" x14ac:dyDescent="0.2"/>
    <row r="242" s="55" customFormat="1" x14ac:dyDescent="0.2"/>
    <row r="243" s="55" customFormat="1" x14ac:dyDescent="0.2"/>
    <row r="244" s="55" customFormat="1" x14ac:dyDescent="0.2"/>
    <row r="245" s="55" customFormat="1" x14ac:dyDescent="0.2"/>
    <row r="246" s="55" customFormat="1" x14ac:dyDescent="0.2"/>
    <row r="247" s="55" customFormat="1" x14ac:dyDescent="0.2"/>
    <row r="248" s="55" customFormat="1" x14ac:dyDescent="0.2"/>
    <row r="249" s="55" customFormat="1" x14ac:dyDescent="0.2"/>
    <row r="250" s="55" customFormat="1" x14ac:dyDescent="0.2"/>
    <row r="251" s="55" customFormat="1" x14ac:dyDescent="0.2"/>
    <row r="252" s="55" customFormat="1" x14ac:dyDescent="0.2"/>
    <row r="253" s="55" customFormat="1" x14ac:dyDescent="0.2"/>
    <row r="254" s="55" customFormat="1" x14ac:dyDescent="0.2"/>
    <row r="255" s="55" customFormat="1" x14ac:dyDescent="0.2"/>
    <row r="256" s="55" customFormat="1" x14ac:dyDescent="0.2"/>
    <row r="257" s="55" customFormat="1" x14ac:dyDescent="0.2"/>
    <row r="258" s="55" customFormat="1" x14ac:dyDescent="0.2"/>
    <row r="259" s="55" customFormat="1" x14ac:dyDescent="0.2"/>
    <row r="260" s="55" customFormat="1" x14ac:dyDescent="0.2"/>
    <row r="261" s="55" customFormat="1" x14ac:dyDescent="0.2"/>
    <row r="262" s="55" customFormat="1" x14ac:dyDescent="0.2"/>
    <row r="263" s="55" customFormat="1" x14ac:dyDescent="0.2"/>
    <row r="264" s="55" customFormat="1" x14ac:dyDescent="0.2"/>
    <row r="265" s="55" customFormat="1" x14ac:dyDescent="0.2"/>
    <row r="266" s="55" customFormat="1" x14ac:dyDescent="0.2"/>
    <row r="267" s="55" customFormat="1" x14ac:dyDescent="0.2"/>
    <row r="268" s="55" customFormat="1" x14ac:dyDescent="0.2"/>
    <row r="269" s="55" customFormat="1" x14ac:dyDescent="0.2"/>
    <row r="270" s="55" customFormat="1" x14ac:dyDescent="0.2"/>
    <row r="271" s="55" customFormat="1" x14ac:dyDescent="0.2"/>
    <row r="272" s="55" customFormat="1" x14ac:dyDescent="0.2"/>
    <row r="273" s="55" customFormat="1" x14ac:dyDescent="0.2"/>
    <row r="274" s="55" customFormat="1" x14ac:dyDescent="0.2"/>
    <row r="275" s="55" customFormat="1" x14ac:dyDescent="0.2"/>
    <row r="276" s="55" customFormat="1" x14ac:dyDescent="0.2"/>
    <row r="277" s="55" customFormat="1" x14ac:dyDescent="0.2"/>
    <row r="278" s="55" customFormat="1" x14ac:dyDescent="0.2"/>
    <row r="279" s="55" customFormat="1" x14ac:dyDescent="0.2"/>
    <row r="280" s="55" customFormat="1" x14ac:dyDescent="0.2"/>
    <row r="281" s="55" customFormat="1" x14ac:dyDescent="0.2"/>
    <row r="282" s="55" customFormat="1" x14ac:dyDescent="0.2"/>
    <row r="283" s="55" customFormat="1" x14ac:dyDescent="0.2"/>
    <row r="284" s="55" customFormat="1" x14ac:dyDescent="0.2"/>
    <row r="285" s="55" customFormat="1" x14ac:dyDescent="0.2"/>
    <row r="286" s="55" customFormat="1" x14ac:dyDescent="0.2"/>
    <row r="287" s="55" customFormat="1" x14ac:dyDescent="0.2"/>
    <row r="288" s="55" customFormat="1" x14ac:dyDescent="0.2"/>
    <row r="289" s="55" customFormat="1" x14ac:dyDescent="0.2"/>
    <row r="290" s="55" customFormat="1" x14ac:dyDescent="0.2"/>
    <row r="291" s="55" customFormat="1" x14ac:dyDescent="0.2"/>
    <row r="292" s="55" customFormat="1" x14ac:dyDescent="0.2"/>
    <row r="293" s="55" customFormat="1" x14ac:dyDescent="0.2"/>
    <row r="294" s="55" customFormat="1" x14ac:dyDescent="0.2"/>
    <row r="295" s="55" customFormat="1" x14ac:dyDescent="0.2"/>
    <row r="296" s="55" customFormat="1" x14ac:dyDescent="0.2"/>
    <row r="297" s="55" customFormat="1" x14ac:dyDescent="0.2"/>
    <row r="298" s="55" customFormat="1" x14ac:dyDescent="0.2"/>
    <row r="299" s="55" customFormat="1" x14ac:dyDescent="0.2"/>
    <row r="300" s="55" customFormat="1" x14ac:dyDescent="0.2"/>
    <row r="301" s="55" customFormat="1" x14ac:dyDescent="0.2"/>
    <row r="302" s="55" customFormat="1" x14ac:dyDescent="0.2"/>
    <row r="303" s="55" customFormat="1" x14ac:dyDescent="0.2"/>
    <row r="304" s="55" customFormat="1" x14ac:dyDescent="0.2"/>
    <row r="305" s="55" customFormat="1" x14ac:dyDescent="0.2"/>
    <row r="306" s="55" customFormat="1" x14ac:dyDescent="0.2"/>
    <row r="307" s="55" customFormat="1" x14ac:dyDescent="0.2"/>
    <row r="308" s="55" customFormat="1" x14ac:dyDescent="0.2"/>
    <row r="309" s="55" customFormat="1" x14ac:dyDescent="0.2"/>
    <row r="310" s="55" customFormat="1" x14ac:dyDescent="0.2"/>
    <row r="311" s="55" customFormat="1" x14ac:dyDescent="0.2"/>
    <row r="312" s="55" customFormat="1" x14ac:dyDescent="0.2"/>
    <row r="313" s="55" customFormat="1" x14ac:dyDescent="0.2"/>
    <row r="314" s="55" customFormat="1" x14ac:dyDescent="0.2"/>
    <row r="315" s="55" customFormat="1" x14ac:dyDescent="0.2"/>
    <row r="316" s="55" customFormat="1" x14ac:dyDescent="0.2"/>
    <row r="317" s="55" customFormat="1" x14ac:dyDescent="0.2"/>
    <row r="318" s="55" customFormat="1" x14ac:dyDescent="0.2"/>
    <row r="319" s="55" customFormat="1" x14ac:dyDescent="0.2"/>
    <row r="320" s="55" customFormat="1" x14ac:dyDescent="0.2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2022-02-16T15:59:31Z</dcterms:modified>
</cp:coreProperties>
</file>