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markmukherjee/Documents/PythonProjects/PortfolioManagement/Trading_Excel_Files/03_Leading_Indicators/"/>
    </mc:Choice>
  </mc:AlternateContent>
  <xr:revisionPtr revIDLastSave="0" documentId="13_ncr:1_{2AF246F2-CEDE-6C48-AFA9-445710C21105}" xr6:coauthVersionLast="47" xr6:coauthVersionMax="47" xr10:uidLastSave="{00000000-0000-0000-0000-000000000000}"/>
  <bookViews>
    <workbookView xWindow="-68040" yWindow="-580" windowWidth="41620" windowHeight="27200" xr2:uid="{00000000-000D-0000-FFFF-FFFF00000000}"/>
  </bookViews>
  <sheets>
    <sheet name="Note" sheetId="1" r:id="rId1"/>
    <sheet name="Database New" sheetId="3" r:id="rId2"/>
    <sheet name="Building Permits - Authorized" sheetId="4" r:id="rId3"/>
    <sheet name="Started" sheetId="5" r:id="rId4"/>
    <sheet name="Completed" sheetId="6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652" i="6" l="1"/>
  <c r="B653" i="6"/>
  <c r="C653" i="6"/>
  <c r="B654" i="6"/>
  <c r="C654" i="6" s="1"/>
  <c r="B748" i="5"/>
  <c r="B749" i="5"/>
  <c r="C749" i="5"/>
  <c r="B750" i="5"/>
  <c r="C750" i="5"/>
  <c r="B748" i="4"/>
  <c r="B749" i="4"/>
  <c r="C749" i="4" s="1"/>
  <c r="B750" i="4"/>
  <c r="C750" i="4" s="1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C133" i="6" s="1"/>
  <c r="B134" i="6"/>
  <c r="B135" i="6"/>
  <c r="B136" i="6"/>
  <c r="B137" i="6"/>
  <c r="B138" i="6"/>
  <c r="B139" i="6"/>
  <c r="B140" i="6"/>
  <c r="B141" i="6"/>
  <c r="C141" i="6" s="1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C166" i="6" s="1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C189" i="6" s="1"/>
  <c r="B190" i="6"/>
  <c r="B191" i="6"/>
  <c r="B192" i="6"/>
  <c r="B193" i="6"/>
  <c r="B194" i="6"/>
  <c r="B195" i="6"/>
  <c r="B196" i="6"/>
  <c r="B197" i="6"/>
  <c r="C198" i="6" s="1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B211" i="6"/>
  <c r="B212" i="6"/>
  <c r="B213" i="6"/>
  <c r="C213" i="6" s="1"/>
  <c r="B214" i="6"/>
  <c r="B215" i="6"/>
  <c r="B216" i="6"/>
  <c r="B217" i="6"/>
  <c r="B218" i="6"/>
  <c r="B219" i="6"/>
  <c r="B220" i="6"/>
  <c r="B221" i="6"/>
  <c r="C222" i="6" s="1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B235" i="6"/>
  <c r="B236" i="6"/>
  <c r="B237" i="6"/>
  <c r="B238" i="6"/>
  <c r="B239" i="6"/>
  <c r="B240" i="6"/>
  <c r="B241" i="6"/>
  <c r="B242" i="6"/>
  <c r="B243" i="6"/>
  <c r="B244" i="6"/>
  <c r="B245" i="6"/>
  <c r="C245" i="6" s="1"/>
  <c r="B246" i="6"/>
  <c r="B247" i="6"/>
  <c r="B248" i="6"/>
  <c r="B249" i="6"/>
  <c r="B250" i="6"/>
  <c r="B251" i="6"/>
  <c r="B252" i="6"/>
  <c r="B253" i="6"/>
  <c r="C253" i="6" s="1"/>
  <c r="B254" i="6"/>
  <c r="B255" i="6"/>
  <c r="B256" i="6"/>
  <c r="B257" i="6"/>
  <c r="B258" i="6"/>
  <c r="B259" i="6"/>
  <c r="B260" i="6"/>
  <c r="B261" i="6"/>
  <c r="B262" i="6"/>
  <c r="B263" i="6"/>
  <c r="B264" i="6"/>
  <c r="B265" i="6"/>
  <c r="B266" i="6"/>
  <c r="B267" i="6"/>
  <c r="B268" i="6"/>
  <c r="B269" i="6"/>
  <c r="B270" i="6"/>
  <c r="B271" i="6"/>
  <c r="B272" i="6"/>
  <c r="B273" i="6"/>
  <c r="B274" i="6"/>
  <c r="B275" i="6"/>
  <c r="B276" i="6"/>
  <c r="B277" i="6"/>
  <c r="B278" i="6"/>
  <c r="B279" i="6"/>
  <c r="B280" i="6"/>
  <c r="B281" i="6"/>
  <c r="B282" i="6"/>
  <c r="B283" i="6"/>
  <c r="B284" i="6"/>
  <c r="B285" i="6"/>
  <c r="C285" i="6" s="1"/>
  <c r="B286" i="6"/>
  <c r="B287" i="6"/>
  <c r="B288" i="6"/>
  <c r="B289" i="6"/>
  <c r="B290" i="6"/>
  <c r="B291" i="6"/>
  <c r="B292" i="6"/>
  <c r="B293" i="6"/>
  <c r="B294" i="6"/>
  <c r="B295" i="6"/>
  <c r="B296" i="6"/>
  <c r="B297" i="6"/>
  <c r="B298" i="6"/>
  <c r="B299" i="6"/>
  <c r="B300" i="6"/>
  <c r="B301" i="6"/>
  <c r="C301" i="6" s="1"/>
  <c r="B302" i="6"/>
  <c r="B303" i="6"/>
  <c r="B304" i="6"/>
  <c r="B305" i="6"/>
  <c r="B306" i="6"/>
  <c r="B307" i="6"/>
  <c r="B308" i="6"/>
  <c r="B309" i="6"/>
  <c r="B310" i="6"/>
  <c r="B311" i="6"/>
  <c r="B312" i="6"/>
  <c r="B313" i="6"/>
  <c r="B314" i="6"/>
  <c r="B315" i="6"/>
  <c r="B316" i="6"/>
  <c r="B317" i="6"/>
  <c r="C317" i="6" s="1"/>
  <c r="B318" i="6"/>
  <c r="B319" i="6"/>
  <c r="B320" i="6"/>
  <c r="B321" i="6"/>
  <c r="B322" i="6"/>
  <c r="B323" i="6"/>
  <c r="B324" i="6"/>
  <c r="B325" i="6"/>
  <c r="B326" i="6"/>
  <c r="B327" i="6"/>
  <c r="B328" i="6"/>
  <c r="B329" i="6"/>
  <c r="B330" i="6"/>
  <c r="B331" i="6"/>
  <c r="B332" i="6"/>
  <c r="B333" i="6"/>
  <c r="B334" i="6"/>
  <c r="B335" i="6"/>
  <c r="B336" i="6"/>
  <c r="B337" i="6"/>
  <c r="B338" i="6"/>
  <c r="B339" i="6"/>
  <c r="B340" i="6"/>
  <c r="B341" i="6"/>
  <c r="B342" i="6"/>
  <c r="B343" i="6"/>
  <c r="B344" i="6"/>
  <c r="B345" i="6"/>
  <c r="B346" i="6"/>
  <c r="B347" i="6"/>
  <c r="B348" i="6"/>
  <c r="B349" i="6"/>
  <c r="B350" i="6"/>
  <c r="B351" i="6"/>
  <c r="B352" i="6"/>
  <c r="B353" i="6"/>
  <c r="B354" i="6"/>
  <c r="B355" i="6"/>
  <c r="B356" i="6"/>
  <c r="B357" i="6"/>
  <c r="B358" i="6"/>
  <c r="B359" i="6"/>
  <c r="B360" i="6"/>
  <c r="B361" i="6"/>
  <c r="B362" i="6"/>
  <c r="B363" i="6"/>
  <c r="B364" i="6"/>
  <c r="B365" i="6"/>
  <c r="C366" i="6" s="1"/>
  <c r="B366" i="6"/>
  <c r="B367" i="6"/>
  <c r="B368" i="6"/>
  <c r="B369" i="6"/>
  <c r="B370" i="6"/>
  <c r="B371" i="6"/>
  <c r="B372" i="6"/>
  <c r="B373" i="6"/>
  <c r="C373" i="6" s="1"/>
  <c r="B374" i="6"/>
  <c r="B375" i="6"/>
  <c r="B376" i="6"/>
  <c r="B377" i="6"/>
  <c r="B378" i="6"/>
  <c r="B379" i="6"/>
  <c r="B380" i="6"/>
  <c r="B381" i="6"/>
  <c r="B382" i="6"/>
  <c r="B383" i="6"/>
  <c r="B384" i="6"/>
  <c r="B385" i="6"/>
  <c r="B386" i="6"/>
  <c r="B387" i="6"/>
  <c r="B388" i="6"/>
  <c r="B389" i="6"/>
  <c r="C389" i="6" s="1"/>
  <c r="B390" i="6"/>
  <c r="B391" i="6"/>
  <c r="C392" i="6" s="1"/>
  <c r="B392" i="6"/>
  <c r="B393" i="6"/>
  <c r="B394" i="6"/>
  <c r="B395" i="6"/>
  <c r="B396" i="6"/>
  <c r="B397" i="6"/>
  <c r="B398" i="6"/>
  <c r="B399" i="6"/>
  <c r="B400" i="6"/>
  <c r="B401" i="6"/>
  <c r="B402" i="6"/>
  <c r="B403" i="6"/>
  <c r="B404" i="6"/>
  <c r="B405" i="6"/>
  <c r="C405" i="6" s="1"/>
  <c r="B406" i="6"/>
  <c r="B407" i="6"/>
  <c r="B408" i="6"/>
  <c r="C408" i="6" s="1"/>
  <c r="B409" i="6"/>
  <c r="B410" i="6"/>
  <c r="B411" i="6"/>
  <c r="B412" i="6"/>
  <c r="C413" i="6" s="1"/>
  <c r="B413" i="6"/>
  <c r="B414" i="6"/>
  <c r="B415" i="6"/>
  <c r="B416" i="6"/>
  <c r="B417" i="6"/>
  <c r="B418" i="6"/>
  <c r="B419" i="6"/>
  <c r="B420" i="6"/>
  <c r="B421" i="6"/>
  <c r="B422" i="6"/>
  <c r="B423" i="6"/>
  <c r="B424" i="6"/>
  <c r="C425" i="6" s="1"/>
  <c r="B425" i="6"/>
  <c r="B426" i="6"/>
  <c r="B427" i="6"/>
  <c r="B428" i="6"/>
  <c r="C428" i="6" s="1"/>
  <c r="B429" i="6"/>
  <c r="B430" i="6"/>
  <c r="B431" i="6"/>
  <c r="B432" i="6"/>
  <c r="B433" i="6"/>
  <c r="B434" i="6"/>
  <c r="B435" i="6"/>
  <c r="B436" i="6"/>
  <c r="C436" i="6" s="1"/>
  <c r="B437" i="6"/>
  <c r="B438" i="6"/>
  <c r="B439" i="6"/>
  <c r="C439" i="6" s="1"/>
  <c r="B440" i="6"/>
  <c r="B441" i="6"/>
  <c r="B442" i="6"/>
  <c r="B443" i="6"/>
  <c r="B444" i="6"/>
  <c r="B445" i="6"/>
  <c r="B446" i="6"/>
  <c r="C446" i="6" s="1"/>
  <c r="B447" i="6"/>
  <c r="B448" i="6"/>
  <c r="B449" i="6"/>
  <c r="C450" i="6" s="1"/>
  <c r="B450" i="6"/>
  <c r="B451" i="6"/>
  <c r="B452" i="6"/>
  <c r="B453" i="6"/>
  <c r="B454" i="6"/>
  <c r="B455" i="6"/>
  <c r="B456" i="6"/>
  <c r="C456" i="6" s="1"/>
  <c r="B457" i="6"/>
  <c r="B458" i="6"/>
  <c r="B459" i="6"/>
  <c r="B460" i="6"/>
  <c r="B461" i="6"/>
  <c r="B462" i="6"/>
  <c r="B463" i="6"/>
  <c r="B464" i="6"/>
  <c r="B465" i="6"/>
  <c r="B466" i="6"/>
  <c r="B467" i="6"/>
  <c r="B468" i="6"/>
  <c r="C468" i="6" s="1"/>
  <c r="B469" i="6"/>
  <c r="B470" i="6"/>
  <c r="B471" i="6"/>
  <c r="B472" i="6"/>
  <c r="C473" i="6" s="1"/>
  <c r="B473" i="6"/>
  <c r="B474" i="6"/>
  <c r="B475" i="6"/>
  <c r="B476" i="6"/>
  <c r="B477" i="6"/>
  <c r="B478" i="6"/>
  <c r="B479" i="6"/>
  <c r="B480" i="6"/>
  <c r="C481" i="6" s="1"/>
  <c r="B481" i="6"/>
  <c r="C482" i="6" s="1"/>
  <c r="B482" i="6"/>
  <c r="B483" i="6"/>
  <c r="B484" i="6"/>
  <c r="C484" i="6" s="1"/>
  <c r="B485" i="6"/>
  <c r="C485" i="6" s="1"/>
  <c r="B486" i="6"/>
  <c r="B487" i="6"/>
  <c r="B488" i="6"/>
  <c r="C489" i="6" s="1"/>
  <c r="B489" i="6"/>
  <c r="B490" i="6"/>
  <c r="B491" i="6"/>
  <c r="B492" i="6"/>
  <c r="B493" i="6"/>
  <c r="B494" i="6"/>
  <c r="B495" i="6"/>
  <c r="C495" i="6" s="1"/>
  <c r="B496" i="6"/>
  <c r="C497" i="6" s="1"/>
  <c r="B497" i="6"/>
  <c r="B498" i="6"/>
  <c r="B499" i="6"/>
  <c r="B500" i="6"/>
  <c r="B501" i="6"/>
  <c r="B502" i="6"/>
  <c r="B503" i="6"/>
  <c r="B504" i="6"/>
  <c r="C504" i="6" s="1"/>
  <c r="B505" i="6"/>
  <c r="B506" i="6"/>
  <c r="B507" i="6"/>
  <c r="B508" i="6"/>
  <c r="B509" i="6"/>
  <c r="B510" i="6"/>
  <c r="B511" i="6"/>
  <c r="C511" i="6" s="1"/>
  <c r="B512" i="6"/>
  <c r="C512" i="6" s="1"/>
  <c r="B513" i="6"/>
  <c r="C514" i="6" s="1"/>
  <c r="B514" i="6"/>
  <c r="B515" i="6"/>
  <c r="B516" i="6"/>
  <c r="B517" i="6"/>
  <c r="B518" i="6"/>
  <c r="C518" i="6" s="1"/>
  <c r="B519" i="6"/>
  <c r="B520" i="6"/>
  <c r="C520" i="6" s="1"/>
  <c r="B521" i="6"/>
  <c r="B522" i="6"/>
  <c r="B523" i="6"/>
  <c r="B524" i="6"/>
  <c r="B525" i="6"/>
  <c r="B526" i="6"/>
  <c r="B527" i="6"/>
  <c r="B528" i="6"/>
  <c r="C529" i="6" s="1"/>
  <c r="B529" i="6"/>
  <c r="B530" i="6"/>
  <c r="B531" i="6"/>
  <c r="B532" i="6"/>
  <c r="B533" i="6"/>
  <c r="B534" i="6"/>
  <c r="B535" i="6"/>
  <c r="B536" i="6"/>
  <c r="C537" i="6" s="1"/>
  <c r="B537" i="6"/>
  <c r="B538" i="6"/>
  <c r="B539" i="6"/>
  <c r="B540" i="6"/>
  <c r="B541" i="6"/>
  <c r="B542" i="6"/>
  <c r="C542" i="6" s="1"/>
  <c r="B543" i="6"/>
  <c r="C543" i="6" s="1"/>
  <c r="B544" i="6"/>
  <c r="C545" i="6" s="1"/>
  <c r="B545" i="6"/>
  <c r="B546" i="6"/>
  <c r="B547" i="6"/>
  <c r="B548" i="6"/>
  <c r="C548" i="6" s="1"/>
  <c r="B549" i="6"/>
  <c r="B550" i="6"/>
  <c r="B551" i="6"/>
  <c r="B552" i="6"/>
  <c r="B553" i="6"/>
  <c r="B554" i="6"/>
  <c r="B555" i="6"/>
  <c r="B556" i="6"/>
  <c r="C556" i="6" s="1"/>
  <c r="B557" i="6"/>
  <c r="B558" i="6"/>
  <c r="B559" i="6"/>
  <c r="B560" i="6"/>
  <c r="C561" i="6" s="1"/>
  <c r="B561" i="6"/>
  <c r="B562" i="6"/>
  <c r="B563" i="6"/>
  <c r="B564" i="6"/>
  <c r="C564" i="6" s="1"/>
  <c r="B565" i="6"/>
  <c r="B566" i="6"/>
  <c r="C566" i="6" s="1"/>
  <c r="B567" i="6"/>
  <c r="B568" i="6"/>
  <c r="C568" i="6" s="1"/>
  <c r="B569" i="6"/>
  <c r="B570" i="6"/>
  <c r="B571" i="6"/>
  <c r="B572" i="6"/>
  <c r="B573" i="6"/>
  <c r="B574" i="6"/>
  <c r="B575" i="6"/>
  <c r="B576" i="6"/>
  <c r="B577" i="6"/>
  <c r="B578" i="6"/>
  <c r="B579" i="6"/>
  <c r="B580" i="6"/>
  <c r="C580" i="6" s="1"/>
  <c r="B581" i="6"/>
  <c r="B582" i="6"/>
  <c r="B583" i="6"/>
  <c r="B584" i="6"/>
  <c r="C585" i="6" s="1"/>
  <c r="B585" i="6"/>
  <c r="B586" i="6"/>
  <c r="B587" i="6"/>
  <c r="B588" i="6"/>
  <c r="C588" i="6" s="1"/>
  <c r="B589" i="6"/>
  <c r="B590" i="6"/>
  <c r="B591" i="6"/>
  <c r="B592" i="6"/>
  <c r="C593" i="6" s="1"/>
  <c r="B593" i="6"/>
  <c r="B594" i="6"/>
  <c r="B595" i="6"/>
  <c r="B596" i="6"/>
  <c r="B597" i="6"/>
  <c r="B598" i="6"/>
  <c r="B599" i="6"/>
  <c r="B600" i="6"/>
  <c r="C601" i="6" s="1"/>
  <c r="B601" i="6"/>
  <c r="B602" i="6"/>
  <c r="B603" i="6"/>
  <c r="B604" i="6"/>
  <c r="C604" i="6" s="1"/>
  <c r="B605" i="6"/>
  <c r="B606" i="6"/>
  <c r="B607" i="6"/>
  <c r="B608" i="6"/>
  <c r="C609" i="6" s="1"/>
  <c r="B609" i="6"/>
  <c r="B610" i="6"/>
  <c r="B611" i="6"/>
  <c r="B612" i="6"/>
  <c r="B613" i="6"/>
  <c r="B614" i="6"/>
  <c r="B615" i="6"/>
  <c r="B616" i="6"/>
  <c r="C617" i="6" s="1"/>
  <c r="B617" i="6"/>
  <c r="B618" i="6"/>
  <c r="B619" i="6"/>
  <c r="B620" i="6"/>
  <c r="C620" i="6" s="1"/>
  <c r="B621" i="6"/>
  <c r="B622" i="6"/>
  <c r="B623" i="6"/>
  <c r="C623" i="6" s="1"/>
  <c r="B624" i="6"/>
  <c r="C624" i="6" s="1"/>
  <c r="B625" i="6"/>
  <c r="B626" i="6"/>
  <c r="B627" i="6"/>
  <c r="B628" i="6"/>
  <c r="C628" i="6" s="1"/>
  <c r="B629" i="6"/>
  <c r="B630" i="6"/>
  <c r="B631" i="6"/>
  <c r="B632" i="6"/>
  <c r="C633" i="6" s="1"/>
  <c r="B633" i="6"/>
  <c r="B634" i="6"/>
  <c r="B635" i="6"/>
  <c r="B636" i="6"/>
  <c r="C636" i="6" s="1"/>
  <c r="B637" i="6"/>
  <c r="C637" i="6" s="1"/>
  <c r="B638" i="6"/>
  <c r="B639" i="6"/>
  <c r="R21" i="1" s="1"/>
  <c r="B640" i="6"/>
  <c r="C641" i="6" s="1"/>
  <c r="B641" i="6"/>
  <c r="C642" i="6" s="1"/>
  <c r="B642" i="6"/>
  <c r="B643" i="6"/>
  <c r="B644" i="6"/>
  <c r="B645" i="6"/>
  <c r="B646" i="6"/>
  <c r="B647" i="6"/>
  <c r="B648" i="6"/>
  <c r="C649" i="6" s="1"/>
  <c r="B649" i="6"/>
  <c r="B650" i="6"/>
  <c r="P21" i="1" s="1"/>
  <c r="B651" i="6"/>
  <c r="C652" i="6" s="1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C129" i="4" s="1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C169" i="4" s="1"/>
  <c r="B170" i="4"/>
  <c r="B171" i="4"/>
  <c r="B172" i="4"/>
  <c r="B173" i="4"/>
  <c r="B174" i="4"/>
  <c r="B175" i="4"/>
  <c r="B176" i="4"/>
  <c r="B177" i="4"/>
  <c r="C178" i="4" s="1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C226" i="4" s="1"/>
  <c r="B226" i="4"/>
  <c r="B227" i="4"/>
  <c r="B228" i="4"/>
  <c r="B229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249" i="4"/>
  <c r="C250" i="4" s="1"/>
  <c r="B250" i="4"/>
  <c r="B251" i="4"/>
  <c r="B252" i="4"/>
  <c r="B253" i="4"/>
  <c r="B254" i="4"/>
  <c r="B255" i="4"/>
  <c r="B256" i="4"/>
  <c r="B257" i="4"/>
  <c r="B258" i="4"/>
  <c r="B259" i="4"/>
  <c r="B260" i="4"/>
  <c r="B261" i="4"/>
  <c r="B262" i="4"/>
  <c r="B263" i="4"/>
  <c r="B264" i="4"/>
  <c r="B265" i="4"/>
  <c r="B266" i="4"/>
  <c r="B267" i="4"/>
  <c r="B268" i="4"/>
  <c r="B269" i="4"/>
  <c r="B270" i="4"/>
  <c r="B271" i="4"/>
  <c r="B272" i="4"/>
  <c r="B273" i="4"/>
  <c r="C273" i="4" s="1"/>
  <c r="B274" i="4"/>
  <c r="B275" i="4"/>
  <c r="B276" i="4"/>
  <c r="B277" i="4"/>
  <c r="B278" i="4"/>
  <c r="B279" i="4"/>
  <c r="B280" i="4"/>
  <c r="B281" i="4"/>
  <c r="B282" i="4"/>
  <c r="B283" i="4"/>
  <c r="B284" i="4"/>
  <c r="B285" i="4"/>
  <c r="B286" i="4"/>
  <c r="B287" i="4"/>
  <c r="B288" i="4"/>
  <c r="B289" i="4"/>
  <c r="C289" i="4" s="1"/>
  <c r="B290" i="4"/>
  <c r="B291" i="4"/>
  <c r="B292" i="4"/>
  <c r="B293" i="4"/>
  <c r="B294" i="4"/>
  <c r="B295" i="4"/>
  <c r="B296" i="4"/>
  <c r="B297" i="4"/>
  <c r="B298" i="4"/>
  <c r="B299" i="4"/>
  <c r="B300" i="4"/>
  <c r="B301" i="4"/>
  <c r="B302" i="4"/>
  <c r="B303" i="4"/>
  <c r="B304" i="4"/>
  <c r="B305" i="4"/>
  <c r="C305" i="4" s="1"/>
  <c r="B306" i="4"/>
  <c r="B307" i="4"/>
  <c r="B308" i="4"/>
  <c r="B309" i="4"/>
  <c r="B310" i="4"/>
  <c r="B311" i="4"/>
  <c r="B312" i="4"/>
  <c r="B313" i="4"/>
  <c r="B314" i="4"/>
  <c r="B315" i="4"/>
  <c r="B316" i="4"/>
  <c r="B317" i="4"/>
  <c r="B318" i="4"/>
  <c r="B319" i="4"/>
  <c r="B320" i="4"/>
  <c r="B321" i="4"/>
  <c r="C321" i="4" s="1"/>
  <c r="B322" i="4"/>
  <c r="B323" i="4"/>
  <c r="B324" i="4"/>
  <c r="B325" i="4"/>
  <c r="B326" i="4"/>
  <c r="B327" i="4"/>
  <c r="B328" i="4"/>
  <c r="B329" i="4"/>
  <c r="B330" i="4"/>
  <c r="B331" i="4"/>
  <c r="B332" i="4"/>
  <c r="B333" i="4"/>
  <c r="B334" i="4"/>
  <c r="B335" i="4"/>
  <c r="B336" i="4"/>
  <c r="B337" i="4"/>
  <c r="C337" i="4" s="1"/>
  <c r="B338" i="4"/>
  <c r="B339" i="4"/>
  <c r="B340" i="4"/>
  <c r="B341" i="4"/>
  <c r="B342" i="4"/>
  <c r="B343" i="4"/>
  <c r="B344" i="4"/>
  <c r="B345" i="4"/>
  <c r="B346" i="4"/>
  <c r="B347" i="4"/>
  <c r="B348" i="4"/>
  <c r="B349" i="4"/>
  <c r="B350" i="4"/>
  <c r="B351" i="4"/>
  <c r="B352" i="4"/>
  <c r="B353" i="4"/>
  <c r="B354" i="4"/>
  <c r="B355" i="4"/>
  <c r="B356" i="4"/>
  <c r="B357" i="4"/>
  <c r="B358" i="4"/>
  <c r="B359" i="4"/>
  <c r="B360" i="4"/>
  <c r="B361" i="4"/>
  <c r="C361" i="4" s="1"/>
  <c r="B362" i="4"/>
  <c r="B363" i="4"/>
  <c r="B364" i="4"/>
  <c r="B365" i="4"/>
  <c r="B366" i="4"/>
  <c r="B367" i="4"/>
  <c r="B368" i="4"/>
  <c r="B369" i="4"/>
  <c r="B370" i="4"/>
  <c r="B371" i="4"/>
  <c r="B372" i="4"/>
  <c r="B373" i="4"/>
  <c r="B374" i="4"/>
  <c r="B375" i="4"/>
  <c r="B376" i="4"/>
  <c r="B377" i="4"/>
  <c r="B378" i="4"/>
  <c r="B379" i="4"/>
  <c r="B380" i="4"/>
  <c r="B381" i="4"/>
  <c r="B382" i="4"/>
  <c r="B383" i="4"/>
  <c r="B384" i="4"/>
  <c r="B385" i="4"/>
  <c r="C385" i="4" s="1"/>
  <c r="B386" i="4"/>
  <c r="B387" i="4"/>
  <c r="B388" i="4"/>
  <c r="B389" i="4"/>
  <c r="B390" i="4"/>
  <c r="B391" i="4"/>
  <c r="B392" i="4"/>
  <c r="B393" i="4"/>
  <c r="C393" i="4" s="1"/>
  <c r="B394" i="4"/>
  <c r="B395" i="4"/>
  <c r="B396" i="4"/>
  <c r="B397" i="4"/>
  <c r="B398" i="4"/>
  <c r="B399" i="4"/>
  <c r="B400" i="4"/>
  <c r="B401" i="4"/>
  <c r="B402" i="4"/>
  <c r="B403" i="4"/>
  <c r="B404" i="4"/>
  <c r="B405" i="4"/>
  <c r="B406" i="4"/>
  <c r="B407" i="4"/>
  <c r="B408" i="4"/>
  <c r="B409" i="4"/>
  <c r="B410" i="4"/>
  <c r="B411" i="4"/>
  <c r="B412" i="4"/>
  <c r="B413" i="4"/>
  <c r="B414" i="4"/>
  <c r="B415" i="4"/>
  <c r="B416" i="4"/>
  <c r="B417" i="4"/>
  <c r="C417" i="4" s="1"/>
  <c r="B418" i="4"/>
  <c r="B419" i="4"/>
  <c r="B420" i="4"/>
  <c r="B421" i="4"/>
  <c r="B422" i="4"/>
  <c r="B423" i="4"/>
  <c r="B424" i="4"/>
  <c r="B425" i="4"/>
  <c r="C425" i="4" s="1"/>
  <c r="B426" i="4"/>
  <c r="B427" i="4"/>
  <c r="B428" i="4"/>
  <c r="B429" i="4"/>
  <c r="B430" i="4"/>
  <c r="B431" i="4"/>
  <c r="B432" i="4"/>
  <c r="B433" i="4"/>
  <c r="B434" i="4"/>
  <c r="B435" i="4"/>
  <c r="B436" i="4"/>
  <c r="B437" i="4"/>
  <c r="B438" i="4"/>
  <c r="B439" i="4"/>
  <c r="B440" i="4"/>
  <c r="B441" i="4"/>
  <c r="B442" i="4"/>
  <c r="B443" i="4"/>
  <c r="B444" i="4"/>
  <c r="B445" i="4"/>
  <c r="B446" i="4"/>
  <c r="B447" i="4"/>
  <c r="B448" i="4"/>
  <c r="B449" i="4"/>
  <c r="C449" i="4" s="1"/>
  <c r="B450" i="4"/>
  <c r="B451" i="4"/>
  <c r="B452" i="4"/>
  <c r="B453" i="4"/>
  <c r="B454" i="4"/>
  <c r="B455" i="4"/>
  <c r="B456" i="4"/>
  <c r="B457" i="4"/>
  <c r="B458" i="4"/>
  <c r="B459" i="4"/>
  <c r="B460" i="4"/>
  <c r="B461" i="4"/>
  <c r="B462" i="4"/>
  <c r="B463" i="4"/>
  <c r="B464" i="4"/>
  <c r="B465" i="4"/>
  <c r="B466" i="4"/>
  <c r="B467" i="4"/>
  <c r="B468" i="4"/>
  <c r="B469" i="4"/>
  <c r="B470" i="4"/>
  <c r="B471" i="4"/>
  <c r="B472" i="4"/>
  <c r="B473" i="4"/>
  <c r="B474" i="4"/>
  <c r="B475" i="4"/>
  <c r="B476" i="4"/>
  <c r="B477" i="4"/>
  <c r="B478" i="4"/>
  <c r="B479" i="4"/>
  <c r="B480" i="4"/>
  <c r="B481" i="4"/>
  <c r="C481" i="4" s="1"/>
  <c r="B482" i="4"/>
  <c r="B483" i="4"/>
  <c r="B484" i="4"/>
  <c r="B485" i="4"/>
  <c r="B486" i="4"/>
  <c r="B487" i="4"/>
  <c r="B488" i="4"/>
  <c r="C488" i="4" s="1"/>
  <c r="B489" i="4"/>
  <c r="B490" i="4"/>
  <c r="C490" i="4" s="1"/>
  <c r="B491" i="4"/>
  <c r="B492" i="4"/>
  <c r="B493" i="4"/>
  <c r="B494" i="4"/>
  <c r="B495" i="4"/>
  <c r="B496" i="4"/>
  <c r="B497" i="4"/>
  <c r="B498" i="4"/>
  <c r="B499" i="4"/>
  <c r="B500" i="4"/>
  <c r="B501" i="4"/>
  <c r="B502" i="4"/>
  <c r="B503" i="4"/>
  <c r="B504" i="4"/>
  <c r="B505" i="4"/>
  <c r="B506" i="4"/>
  <c r="B507" i="4"/>
  <c r="C507" i="4" s="1"/>
  <c r="B508" i="4"/>
  <c r="B509" i="4"/>
  <c r="B510" i="4"/>
  <c r="B511" i="4"/>
  <c r="B512" i="4"/>
  <c r="B513" i="4"/>
  <c r="B514" i="4"/>
  <c r="B515" i="4"/>
  <c r="C515" i="4" s="1"/>
  <c r="B516" i="4"/>
  <c r="C516" i="4" s="1"/>
  <c r="B517" i="4"/>
  <c r="C518" i="4" s="1"/>
  <c r="B518" i="4"/>
  <c r="B519" i="4"/>
  <c r="B520" i="4"/>
  <c r="B521" i="4"/>
  <c r="C521" i="4" s="1"/>
  <c r="B522" i="4"/>
  <c r="B523" i="4"/>
  <c r="C524" i="4" s="1"/>
  <c r="B524" i="4"/>
  <c r="B525" i="4"/>
  <c r="B526" i="4"/>
  <c r="B527" i="4"/>
  <c r="C527" i="4" s="1"/>
  <c r="B528" i="4"/>
  <c r="B529" i="4"/>
  <c r="B530" i="4"/>
  <c r="C530" i="4" s="1"/>
  <c r="B531" i="4"/>
  <c r="B532" i="4"/>
  <c r="B533" i="4"/>
  <c r="B534" i="4"/>
  <c r="B535" i="4"/>
  <c r="B536" i="4"/>
  <c r="B537" i="4"/>
  <c r="B538" i="4"/>
  <c r="C538" i="4" s="1"/>
  <c r="B539" i="4"/>
  <c r="B540" i="4"/>
  <c r="B541" i="4"/>
  <c r="B542" i="4"/>
  <c r="B543" i="4"/>
  <c r="C543" i="4" s="1"/>
  <c r="B544" i="4"/>
  <c r="B545" i="4"/>
  <c r="C545" i="4" s="1"/>
  <c r="B546" i="4"/>
  <c r="C546" i="4" s="1"/>
  <c r="B547" i="4"/>
  <c r="C548" i="4" s="1"/>
  <c r="B548" i="4"/>
  <c r="B549" i="4"/>
  <c r="C550" i="4" s="1"/>
  <c r="B550" i="4"/>
  <c r="B551" i="4"/>
  <c r="B552" i="4"/>
  <c r="B553" i="4"/>
  <c r="B554" i="4"/>
  <c r="C554" i="4" s="1"/>
  <c r="B555" i="4"/>
  <c r="C556" i="4" s="1"/>
  <c r="B556" i="4"/>
  <c r="B557" i="4"/>
  <c r="C558" i="4" s="1"/>
  <c r="B558" i="4"/>
  <c r="B559" i="4"/>
  <c r="B560" i="4"/>
  <c r="B561" i="4"/>
  <c r="B562" i="4"/>
  <c r="C562" i="4" s="1"/>
  <c r="B563" i="4"/>
  <c r="B564" i="4"/>
  <c r="B565" i="4"/>
  <c r="C566" i="4" s="1"/>
  <c r="B566" i="4"/>
  <c r="B567" i="4"/>
  <c r="B568" i="4"/>
  <c r="B569" i="4"/>
  <c r="B570" i="4"/>
  <c r="B571" i="4"/>
  <c r="C571" i="4" s="1"/>
  <c r="B572" i="4"/>
  <c r="B573" i="4"/>
  <c r="B574" i="4"/>
  <c r="B575" i="4"/>
  <c r="B576" i="4"/>
  <c r="B577" i="4"/>
  <c r="B578" i="4"/>
  <c r="C578" i="4" s="1"/>
  <c r="B579" i="4"/>
  <c r="C580" i="4" s="1"/>
  <c r="B580" i="4"/>
  <c r="B581" i="4"/>
  <c r="C582" i="4" s="1"/>
  <c r="B582" i="4"/>
  <c r="B583" i="4"/>
  <c r="B584" i="4"/>
  <c r="B585" i="4"/>
  <c r="B586" i="4"/>
  <c r="C586" i="4" s="1"/>
  <c r="B587" i="4"/>
  <c r="B588" i="4"/>
  <c r="B589" i="4"/>
  <c r="B590" i="4"/>
  <c r="B591" i="4"/>
  <c r="B592" i="4"/>
  <c r="B593" i="4"/>
  <c r="C593" i="4" s="1"/>
  <c r="B594" i="4"/>
  <c r="B595" i="4"/>
  <c r="B596" i="4"/>
  <c r="B597" i="4"/>
  <c r="C598" i="4" s="1"/>
  <c r="B598" i="4"/>
  <c r="B599" i="4"/>
  <c r="B600" i="4"/>
  <c r="B601" i="4"/>
  <c r="C601" i="4" s="1"/>
  <c r="B602" i="4"/>
  <c r="B603" i="4"/>
  <c r="C603" i="4" s="1"/>
  <c r="B604" i="4"/>
  <c r="B605" i="4"/>
  <c r="B606" i="4"/>
  <c r="B607" i="4"/>
  <c r="B608" i="4"/>
  <c r="B609" i="4"/>
  <c r="C609" i="4" s="1"/>
  <c r="B610" i="4"/>
  <c r="C610" i="4" s="1"/>
  <c r="B611" i="4"/>
  <c r="B612" i="4"/>
  <c r="B613" i="4"/>
  <c r="C614" i="4" s="1"/>
  <c r="B614" i="4"/>
  <c r="B615" i="4"/>
  <c r="B616" i="4"/>
  <c r="B617" i="4"/>
  <c r="C617" i="4" s="1"/>
  <c r="B618" i="4"/>
  <c r="B619" i="4"/>
  <c r="C619" i="4" s="1"/>
  <c r="B620" i="4"/>
  <c r="B621" i="4"/>
  <c r="C622" i="4" s="1"/>
  <c r="B622" i="4"/>
  <c r="B623" i="4"/>
  <c r="B624" i="4"/>
  <c r="B625" i="4"/>
  <c r="B626" i="4"/>
  <c r="C626" i="4" s="1"/>
  <c r="B627" i="4"/>
  <c r="B628" i="4"/>
  <c r="B629" i="4"/>
  <c r="C629" i="4" s="1"/>
  <c r="B630" i="4"/>
  <c r="B631" i="4"/>
  <c r="B632" i="4"/>
  <c r="B633" i="4"/>
  <c r="C633" i="4" s="1"/>
  <c r="B634" i="4"/>
  <c r="B635" i="4"/>
  <c r="C635" i="4" s="1"/>
  <c r="B636" i="4"/>
  <c r="B637" i="4"/>
  <c r="C638" i="4" s="1"/>
  <c r="B638" i="4"/>
  <c r="B639" i="4"/>
  <c r="B640" i="4"/>
  <c r="B641" i="4"/>
  <c r="C641" i="4" s="1"/>
  <c r="B642" i="4"/>
  <c r="B643" i="4"/>
  <c r="C643" i="4" s="1"/>
  <c r="B644" i="4"/>
  <c r="B645" i="4"/>
  <c r="C645" i="4" s="1"/>
  <c r="B646" i="4"/>
  <c r="B647" i="4"/>
  <c r="C647" i="4" s="1"/>
  <c r="B648" i="4"/>
  <c r="B649" i="4"/>
  <c r="C649" i="4" s="1"/>
  <c r="B650" i="4"/>
  <c r="B651" i="4"/>
  <c r="C651" i="4" s="1"/>
  <c r="B652" i="4"/>
  <c r="B653" i="4"/>
  <c r="C653" i="4" s="1"/>
  <c r="B654" i="4"/>
  <c r="B655" i="4"/>
  <c r="B656" i="4"/>
  <c r="B657" i="4"/>
  <c r="C657" i="4" s="1"/>
  <c r="B658" i="4"/>
  <c r="C658" i="4" s="1"/>
  <c r="B659" i="4"/>
  <c r="C659" i="4" s="1"/>
  <c r="B660" i="4"/>
  <c r="B661" i="4"/>
  <c r="C661" i="4" s="1"/>
  <c r="B662" i="4"/>
  <c r="B663" i="4"/>
  <c r="C663" i="4" s="1"/>
  <c r="B664" i="4"/>
  <c r="B665" i="4"/>
  <c r="C665" i="4" s="1"/>
  <c r="B666" i="4"/>
  <c r="C666" i="4" s="1"/>
  <c r="B667" i="4"/>
  <c r="C667" i="4" s="1"/>
  <c r="B668" i="4"/>
  <c r="B669" i="4"/>
  <c r="C669" i="4" s="1"/>
  <c r="B670" i="4"/>
  <c r="B671" i="4"/>
  <c r="B672" i="4"/>
  <c r="B673" i="4"/>
  <c r="C673" i="4" s="1"/>
  <c r="B674" i="4"/>
  <c r="B675" i="4"/>
  <c r="C675" i="4" s="1"/>
  <c r="B676" i="4"/>
  <c r="B677" i="4"/>
  <c r="C677" i="4" s="1"/>
  <c r="B678" i="4"/>
  <c r="B679" i="4"/>
  <c r="C679" i="4" s="1"/>
  <c r="B680" i="4"/>
  <c r="B681" i="4"/>
  <c r="C681" i="4" s="1"/>
  <c r="B682" i="4"/>
  <c r="B683" i="4"/>
  <c r="C683" i="4" s="1"/>
  <c r="B684" i="4"/>
  <c r="B685" i="4"/>
  <c r="C686" i="4" s="1"/>
  <c r="B686" i="4"/>
  <c r="B687" i="4"/>
  <c r="B688" i="4"/>
  <c r="B689" i="4"/>
  <c r="B690" i="4"/>
  <c r="C690" i="4" s="1"/>
  <c r="B691" i="4"/>
  <c r="C691" i="4" s="1"/>
  <c r="B692" i="4"/>
  <c r="B693" i="4"/>
  <c r="C693" i="4" s="1"/>
  <c r="B694" i="4"/>
  <c r="B695" i="4"/>
  <c r="B696" i="4"/>
  <c r="B697" i="4"/>
  <c r="B698" i="4"/>
  <c r="C698" i="4" s="1"/>
  <c r="B699" i="4"/>
  <c r="C699" i="4" s="1"/>
  <c r="B700" i="4"/>
  <c r="B701" i="4"/>
  <c r="C701" i="4" s="1"/>
  <c r="B702" i="4"/>
  <c r="B703" i="4"/>
  <c r="B704" i="4"/>
  <c r="B705" i="4"/>
  <c r="C705" i="4" s="1"/>
  <c r="B706" i="4"/>
  <c r="B707" i="4"/>
  <c r="B708" i="4"/>
  <c r="B709" i="4"/>
  <c r="C710" i="4" s="1"/>
  <c r="B710" i="4"/>
  <c r="B711" i="4"/>
  <c r="B712" i="4"/>
  <c r="B713" i="4"/>
  <c r="C713" i="4" s="1"/>
  <c r="B714" i="4"/>
  <c r="C714" i="4" s="1"/>
  <c r="B715" i="4"/>
  <c r="B716" i="4"/>
  <c r="B717" i="4"/>
  <c r="C717" i="4" s="1"/>
  <c r="B718" i="4"/>
  <c r="B719" i="4"/>
  <c r="B720" i="4"/>
  <c r="B721" i="4"/>
  <c r="C721" i="4" s="1"/>
  <c r="B722" i="4"/>
  <c r="B723" i="4"/>
  <c r="C723" i="4" s="1"/>
  <c r="B724" i="4"/>
  <c r="B725" i="4"/>
  <c r="C725" i="4" s="1"/>
  <c r="B726" i="4"/>
  <c r="B727" i="4"/>
  <c r="B728" i="4"/>
  <c r="B729" i="4"/>
  <c r="C729" i="4" s="1"/>
  <c r="B730" i="4"/>
  <c r="B731" i="4"/>
  <c r="C731" i="4" s="1"/>
  <c r="B732" i="4"/>
  <c r="B733" i="4"/>
  <c r="C733" i="4" s="1"/>
  <c r="B734" i="4"/>
  <c r="B735" i="4"/>
  <c r="B736" i="4"/>
  <c r="B737" i="4"/>
  <c r="C737" i="4" s="1"/>
  <c r="B738" i="4"/>
  <c r="B739" i="4"/>
  <c r="B740" i="4"/>
  <c r="B741" i="4"/>
  <c r="C741" i="4" s="1"/>
  <c r="B742" i="4"/>
  <c r="B743" i="4"/>
  <c r="B744" i="4"/>
  <c r="B745" i="4"/>
  <c r="C745" i="4" s="1"/>
  <c r="B746" i="4"/>
  <c r="P19" i="1" s="1"/>
  <c r="B747" i="4"/>
  <c r="C747" i="4" s="1"/>
  <c r="B7" i="4"/>
  <c r="C8" i="4" s="1"/>
  <c r="C637" i="4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63" i="5"/>
  <c r="B64" i="5"/>
  <c r="B65" i="5"/>
  <c r="B66" i="5"/>
  <c r="B67" i="5"/>
  <c r="B68" i="5"/>
  <c r="B69" i="5"/>
  <c r="B70" i="5"/>
  <c r="B71" i="5"/>
  <c r="B72" i="5"/>
  <c r="B73" i="5"/>
  <c r="B74" i="5"/>
  <c r="B75" i="5"/>
  <c r="B76" i="5"/>
  <c r="B77" i="5"/>
  <c r="B78" i="5"/>
  <c r="B79" i="5"/>
  <c r="B80" i="5"/>
  <c r="B81" i="5"/>
  <c r="B82" i="5"/>
  <c r="B83" i="5"/>
  <c r="B84" i="5"/>
  <c r="B85" i="5"/>
  <c r="B86" i="5"/>
  <c r="B87" i="5"/>
  <c r="B88" i="5"/>
  <c r="B89" i="5"/>
  <c r="B90" i="5"/>
  <c r="B91" i="5"/>
  <c r="B92" i="5"/>
  <c r="B93" i="5"/>
  <c r="B94" i="5"/>
  <c r="B95" i="5"/>
  <c r="B96" i="5"/>
  <c r="B97" i="5"/>
  <c r="B98" i="5"/>
  <c r="B99" i="5"/>
  <c r="B100" i="5"/>
  <c r="B101" i="5"/>
  <c r="B102" i="5"/>
  <c r="B103" i="5"/>
  <c r="B104" i="5"/>
  <c r="B105" i="5"/>
  <c r="B106" i="5"/>
  <c r="B107" i="5"/>
  <c r="B108" i="5"/>
  <c r="B109" i="5"/>
  <c r="B110" i="5"/>
  <c r="B111" i="5"/>
  <c r="B112" i="5"/>
  <c r="B113" i="5"/>
  <c r="B114" i="5"/>
  <c r="B115" i="5"/>
  <c r="B116" i="5"/>
  <c r="B117" i="5"/>
  <c r="B118" i="5"/>
  <c r="B119" i="5"/>
  <c r="B120" i="5"/>
  <c r="B121" i="5"/>
  <c r="B122" i="5"/>
  <c r="B123" i="5"/>
  <c r="B124" i="5"/>
  <c r="B125" i="5"/>
  <c r="B126" i="5"/>
  <c r="B127" i="5"/>
  <c r="B128" i="5"/>
  <c r="B129" i="5"/>
  <c r="B130" i="5"/>
  <c r="B131" i="5"/>
  <c r="B132" i="5"/>
  <c r="B133" i="5"/>
  <c r="B134" i="5"/>
  <c r="B135" i="5"/>
  <c r="B136" i="5"/>
  <c r="B137" i="5"/>
  <c r="B138" i="5"/>
  <c r="B139" i="5"/>
  <c r="B140" i="5"/>
  <c r="B141" i="5"/>
  <c r="B142" i="5"/>
  <c r="B143" i="5"/>
  <c r="B144" i="5"/>
  <c r="B145" i="5"/>
  <c r="B146" i="5"/>
  <c r="B147" i="5"/>
  <c r="B148" i="5"/>
  <c r="B149" i="5"/>
  <c r="B150" i="5"/>
  <c r="B151" i="5"/>
  <c r="B152" i="5"/>
  <c r="B153" i="5"/>
  <c r="B154" i="5"/>
  <c r="B155" i="5"/>
  <c r="B156" i="5"/>
  <c r="B157" i="5"/>
  <c r="B158" i="5"/>
  <c r="B159" i="5"/>
  <c r="B160" i="5"/>
  <c r="B161" i="5"/>
  <c r="B162" i="5"/>
  <c r="B163" i="5"/>
  <c r="B164" i="5"/>
  <c r="B165" i="5"/>
  <c r="B166" i="5"/>
  <c r="B167" i="5"/>
  <c r="B168" i="5"/>
  <c r="B169" i="5"/>
  <c r="B170" i="5"/>
  <c r="B171" i="5"/>
  <c r="B172" i="5"/>
  <c r="B173" i="5"/>
  <c r="B174" i="5"/>
  <c r="B175" i="5"/>
  <c r="B176" i="5"/>
  <c r="B177" i="5"/>
  <c r="B178" i="5"/>
  <c r="B179" i="5"/>
  <c r="B180" i="5"/>
  <c r="B181" i="5"/>
  <c r="B182" i="5"/>
  <c r="B183" i="5"/>
  <c r="B184" i="5"/>
  <c r="B185" i="5"/>
  <c r="B186" i="5"/>
  <c r="B187" i="5"/>
  <c r="B188" i="5"/>
  <c r="B189" i="5"/>
  <c r="B190" i="5"/>
  <c r="B191" i="5"/>
  <c r="B192" i="5"/>
  <c r="B193" i="5"/>
  <c r="B194" i="5"/>
  <c r="B195" i="5"/>
  <c r="B196" i="5"/>
  <c r="B197" i="5"/>
  <c r="B198" i="5"/>
  <c r="B199" i="5"/>
  <c r="B200" i="5"/>
  <c r="B201" i="5"/>
  <c r="B202" i="5"/>
  <c r="B203" i="5"/>
  <c r="B204" i="5"/>
  <c r="B205" i="5"/>
  <c r="B206" i="5"/>
  <c r="B207" i="5"/>
  <c r="B208" i="5"/>
  <c r="B209" i="5"/>
  <c r="B210" i="5"/>
  <c r="B211" i="5"/>
  <c r="B212" i="5"/>
  <c r="B213" i="5"/>
  <c r="B214" i="5"/>
  <c r="B215" i="5"/>
  <c r="B216" i="5"/>
  <c r="B217" i="5"/>
  <c r="B218" i="5"/>
  <c r="B219" i="5"/>
  <c r="B220" i="5"/>
  <c r="B221" i="5"/>
  <c r="B222" i="5"/>
  <c r="B223" i="5"/>
  <c r="B224" i="5"/>
  <c r="B225" i="5"/>
  <c r="B226" i="5"/>
  <c r="B227" i="5"/>
  <c r="B228" i="5"/>
  <c r="B229" i="5"/>
  <c r="B230" i="5"/>
  <c r="B231" i="5"/>
  <c r="B232" i="5"/>
  <c r="B233" i="5"/>
  <c r="B234" i="5"/>
  <c r="B235" i="5"/>
  <c r="B236" i="5"/>
  <c r="B237" i="5"/>
  <c r="B238" i="5"/>
  <c r="B239" i="5"/>
  <c r="B240" i="5"/>
  <c r="B241" i="5"/>
  <c r="B242" i="5"/>
  <c r="B243" i="5"/>
  <c r="B244" i="5"/>
  <c r="B245" i="5"/>
  <c r="B246" i="5"/>
  <c r="B247" i="5"/>
  <c r="B248" i="5"/>
  <c r="B249" i="5"/>
  <c r="B250" i="5"/>
  <c r="B251" i="5"/>
  <c r="B252" i="5"/>
  <c r="B253" i="5"/>
  <c r="B254" i="5"/>
  <c r="B255" i="5"/>
  <c r="B256" i="5"/>
  <c r="B257" i="5"/>
  <c r="B258" i="5"/>
  <c r="B259" i="5"/>
  <c r="B260" i="5"/>
  <c r="B261" i="5"/>
  <c r="B262" i="5"/>
  <c r="B263" i="5"/>
  <c r="B264" i="5"/>
  <c r="B265" i="5"/>
  <c r="B266" i="5"/>
  <c r="B267" i="5"/>
  <c r="B268" i="5"/>
  <c r="B269" i="5"/>
  <c r="B270" i="5"/>
  <c r="B271" i="5"/>
  <c r="B272" i="5"/>
  <c r="B273" i="5"/>
  <c r="B274" i="5"/>
  <c r="B275" i="5"/>
  <c r="B276" i="5"/>
  <c r="B277" i="5"/>
  <c r="B278" i="5"/>
  <c r="B279" i="5"/>
  <c r="B280" i="5"/>
  <c r="B281" i="5"/>
  <c r="B282" i="5"/>
  <c r="B283" i="5"/>
  <c r="B284" i="5"/>
  <c r="B285" i="5"/>
  <c r="B286" i="5"/>
  <c r="B287" i="5"/>
  <c r="B288" i="5"/>
  <c r="B289" i="5"/>
  <c r="B290" i="5"/>
  <c r="B291" i="5"/>
  <c r="B292" i="5"/>
  <c r="B293" i="5"/>
  <c r="B294" i="5"/>
  <c r="B295" i="5"/>
  <c r="B296" i="5"/>
  <c r="B297" i="5"/>
  <c r="B298" i="5"/>
  <c r="B299" i="5"/>
  <c r="B300" i="5"/>
  <c r="B301" i="5"/>
  <c r="B302" i="5"/>
  <c r="B303" i="5"/>
  <c r="B304" i="5"/>
  <c r="B305" i="5"/>
  <c r="B306" i="5"/>
  <c r="B307" i="5"/>
  <c r="B308" i="5"/>
  <c r="B309" i="5"/>
  <c r="B310" i="5"/>
  <c r="B311" i="5"/>
  <c r="B312" i="5"/>
  <c r="B313" i="5"/>
  <c r="B314" i="5"/>
  <c r="B315" i="5"/>
  <c r="B316" i="5"/>
  <c r="B317" i="5"/>
  <c r="B318" i="5"/>
  <c r="B319" i="5"/>
  <c r="B320" i="5"/>
  <c r="B321" i="5"/>
  <c r="B322" i="5"/>
  <c r="B323" i="5"/>
  <c r="B324" i="5"/>
  <c r="B325" i="5"/>
  <c r="B326" i="5"/>
  <c r="B327" i="5"/>
  <c r="B328" i="5"/>
  <c r="B329" i="5"/>
  <c r="B330" i="5"/>
  <c r="B331" i="5"/>
  <c r="B332" i="5"/>
  <c r="B333" i="5"/>
  <c r="B334" i="5"/>
  <c r="B335" i="5"/>
  <c r="B336" i="5"/>
  <c r="B337" i="5"/>
  <c r="B338" i="5"/>
  <c r="B339" i="5"/>
  <c r="B340" i="5"/>
  <c r="B341" i="5"/>
  <c r="B342" i="5"/>
  <c r="B343" i="5"/>
  <c r="B344" i="5"/>
  <c r="B345" i="5"/>
  <c r="B346" i="5"/>
  <c r="B347" i="5"/>
  <c r="B348" i="5"/>
  <c r="B349" i="5"/>
  <c r="B350" i="5"/>
  <c r="B351" i="5"/>
  <c r="B352" i="5"/>
  <c r="B353" i="5"/>
  <c r="B354" i="5"/>
  <c r="B355" i="5"/>
  <c r="B356" i="5"/>
  <c r="B357" i="5"/>
  <c r="B358" i="5"/>
  <c r="B359" i="5"/>
  <c r="B360" i="5"/>
  <c r="B361" i="5"/>
  <c r="B362" i="5"/>
  <c r="B363" i="5"/>
  <c r="B364" i="5"/>
  <c r="B365" i="5"/>
  <c r="B366" i="5"/>
  <c r="B367" i="5"/>
  <c r="B368" i="5"/>
  <c r="B369" i="5"/>
  <c r="B370" i="5"/>
  <c r="B371" i="5"/>
  <c r="B372" i="5"/>
  <c r="B373" i="5"/>
  <c r="B374" i="5"/>
  <c r="B375" i="5"/>
  <c r="B376" i="5"/>
  <c r="B377" i="5"/>
  <c r="B378" i="5"/>
  <c r="B379" i="5"/>
  <c r="B380" i="5"/>
  <c r="B381" i="5"/>
  <c r="B382" i="5"/>
  <c r="B383" i="5"/>
  <c r="B384" i="5"/>
  <c r="B385" i="5"/>
  <c r="B386" i="5"/>
  <c r="B387" i="5"/>
  <c r="B388" i="5"/>
  <c r="B389" i="5"/>
  <c r="B390" i="5"/>
  <c r="B391" i="5"/>
  <c r="B392" i="5"/>
  <c r="B393" i="5"/>
  <c r="B394" i="5"/>
  <c r="B395" i="5"/>
  <c r="B396" i="5"/>
  <c r="B397" i="5"/>
  <c r="B398" i="5"/>
  <c r="B399" i="5"/>
  <c r="B400" i="5"/>
  <c r="B401" i="5"/>
  <c r="B402" i="5"/>
  <c r="B403" i="5"/>
  <c r="B404" i="5"/>
  <c r="B405" i="5"/>
  <c r="B406" i="5"/>
  <c r="B407" i="5"/>
  <c r="B408" i="5"/>
  <c r="B409" i="5"/>
  <c r="B410" i="5"/>
  <c r="B411" i="5"/>
  <c r="B412" i="5"/>
  <c r="B413" i="5"/>
  <c r="B414" i="5"/>
  <c r="B415" i="5"/>
  <c r="B416" i="5"/>
  <c r="B417" i="5"/>
  <c r="B418" i="5"/>
  <c r="B419" i="5"/>
  <c r="B420" i="5"/>
  <c r="B421" i="5"/>
  <c r="B422" i="5"/>
  <c r="B423" i="5"/>
  <c r="B424" i="5"/>
  <c r="B425" i="5"/>
  <c r="B426" i="5"/>
  <c r="B427" i="5"/>
  <c r="B428" i="5"/>
  <c r="B429" i="5"/>
  <c r="B430" i="5"/>
  <c r="B431" i="5"/>
  <c r="B432" i="5"/>
  <c r="C433" i="5" s="1"/>
  <c r="B433" i="5"/>
  <c r="B434" i="5"/>
  <c r="C434" i="5" s="1"/>
  <c r="B435" i="5"/>
  <c r="B436" i="5"/>
  <c r="B437" i="5"/>
  <c r="B438" i="5"/>
  <c r="B439" i="5"/>
  <c r="B440" i="5"/>
  <c r="B441" i="5"/>
  <c r="B442" i="5"/>
  <c r="B443" i="5"/>
  <c r="B444" i="5"/>
  <c r="B445" i="5"/>
  <c r="B446" i="5"/>
  <c r="C447" i="5" s="1"/>
  <c r="B447" i="5"/>
  <c r="B448" i="5"/>
  <c r="B449" i="5"/>
  <c r="B450" i="5"/>
  <c r="B451" i="5"/>
  <c r="B452" i="5"/>
  <c r="B453" i="5"/>
  <c r="B454" i="5"/>
  <c r="C455" i="5" s="1"/>
  <c r="B455" i="5"/>
  <c r="B456" i="5"/>
  <c r="B457" i="5"/>
  <c r="B458" i="5"/>
  <c r="B459" i="5"/>
  <c r="B460" i="5"/>
  <c r="B461" i="5"/>
  <c r="B462" i="5"/>
  <c r="B463" i="5"/>
  <c r="B464" i="5"/>
  <c r="B465" i="5"/>
  <c r="B466" i="5"/>
  <c r="C466" i="5" s="1"/>
  <c r="B467" i="5"/>
  <c r="B468" i="5"/>
  <c r="B469" i="5"/>
  <c r="B470" i="5"/>
  <c r="C470" i="5" s="1"/>
  <c r="B471" i="5"/>
  <c r="B472" i="5"/>
  <c r="B473" i="5"/>
  <c r="B474" i="5"/>
  <c r="B475" i="5"/>
  <c r="B476" i="5"/>
  <c r="B477" i="5"/>
  <c r="B478" i="5"/>
  <c r="B479" i="5"/>
  <c r="B480" i="5"/>
  <c r="B481" i="5"/>
  <c r="C481" i="5" s="1"/>
  <c r="B482" i="5"/>
  <c r="B483" i="5"/>
  <c r="B484" i="5"/>
  <c r="B485" i="5"/>
  <c r="B486" i="5"/>
  <c r="C486" i="5" s="1"/>
  <c r="B487" i="5"/>
  <c r="B488" i="5"/>
  <c r="C488" i="5" s="1"/>
  <c r="B489" i="5"/>
  <c r="B490" i="5"/>
  <c r="B491" i="5"/>
  <c r="B492" i="5"/>
  <c r="B493" i="5"/>
  <c r="B494" i="5"/>
  <c r="B495" i="5"/>
  <c r="B496" i="5"/>
  <c r="C496" i="5" s="1"/>
  <c r="B497" i="5"/>
  <c r="C497" i="5" s="1"/>
  <c r="B498" i="5"/>
  <c r="C498" i="5" s="1"/>
  <c r="B499" i="5"/>
  <c r="B500" i="5"/>
  <c r="B501" i="5"/>
  <c r="B502" i="5"/>
  <c r="B503" i="5"/>
  <c r="B504" i="5"/>
  <c r="C504" i="5" s="1"/>
  <c r="B505" i="5"/>
  <c r="C505" i="5" s="1"/>
  <c r="B506" i="5"/>
  <c r="B507" i="5"/>
  <c r="B508" i="5"/>
  <c r="B509" i="5"/>
  <c r="B510" i="5"/>
  <c r="B511" i="5"/>
  <c r="B512" i="5"/>
  <c r="B513" i="5"/>
  <c r="B514" i="5"/>
  <c r="B515" i="5"/>
  <c r="C515" i="5" s="1"/>
  <c r="B516" i="5"/>
  <c r="B517" i="5"/>
  <c r="B518" i="5"/>
  <c r="B519" i="5"/>
  <c r="B520" i="5"/>
  <c r="B521" i="5"/>
  <c r="C521" i="5" s="1"/>
  <c r="B522" i="5"/>
  <c r="C522" i="5" s="1"/>
  <c r="B523" i="5"/>
  <c r="B524" i="5"/>
  <c r="B525" i="5"/>
  <c r="B526" i="5"/>
  <c r="B527" i="5"/>
  <c r="B528" i="5"/>
  <c r="B529" i="5"/>
  <c r="B530" i="5"/>
  <c r="C531" i="5" s="1"/>
  <c r="B531" i="5"/>
  <c r="B532" i="5"/>
  <c r="B533" i="5"/>
  <c r="B534" i="5"/>
  <c r="C534" i="5" s="1"/>
  <c r="B535" i="5"/>
  <c r="B536" i="5"/>
  <c r="B537" i="5"/>
  <c r="C537" i="5" s="1"/>
  <c r="B538" i="5"/>
  <c r="C538" i="5" s="1"/>
  <c r="B539" i="5"/>
  <c r="C540" i="5" s="1"/>
  <c r="B540" i="5"/>
  <c r="B541" i="5"/>
  <c r="B542" i="5"/>
  <c r="C542" i="5" s="1"/>
  <c r="B543" i="5"/>
  <c r="B544" i="5"/>
  <c r="C544" i="5" s="1"/>
  <c r="B545" i="5"/>
  <c r="C545" i="5" s="1"/>
  <c r="B546" i="5"/>
  <c r="B547" i="5"/>
  <c r="B548" i="5"/>
  <c r="B549" i="5"/>
  <c r="B550" i="5"/>
  <c r="B551" i="5"/>
  <c r="B552" i="5"/>
  <c r="C552" i="5" s="1"/>
  <c r="B553" i="5"/>
  <c r="C553" i="5" s="1"/>
  <c r="B554" i="5"/>
  <c r="B555" i="5"/>
  <c r="C555" i="5" s="1"/>
  <c r="B556" i="5"/>
  <c r="B557" i="5"/>
  <c r="B558" i="5"/>
  <c r="B559" i="5"/>
  <c r="B560" i="5"/>
  <c r="C560" i="5" s="1"/>
  <c r="B561" i="5"/>
  <c r="C561" i="5" s="1"/>
  <c r="B562" i="5"/>
  <c r="B563" i="5"/>
  <c r="C563" i="5" s="1"/>
  <c r="B564" i="5"/>
  <c r="B565" i="5"/>
  <c r="B566" i="5"/>
  <c r="B567" i="5"/>
  <c r="B568" i="5"/>
  <c r="C568" i="5" s="1"/>
  <c r="B569" i="5"/>
  <c r="B570" i="5"/>
  <c r="B571" i="5"/>
  <c r="C572" i="5" s="1"/>
  <c r="B572" i="5"/>
  <c r="B573" i="5"/>
  <c r="B574" i="5"/>
  <c r="B575" i="5"/>
  <c r="B576" i="5"/>
  <c r="C576" i="5" s="1"/>
  <c r="B577" i="5"/>
  <c r="C577" i="5" s="1"/>
  <c r="B578" i="5"/>
  <c r="B579" i="5"/>
  <c r="B580" i="5"/>
  <c r="B581" i="5"/>
  <c r="B582" i="5"/>
  <c r="B583" i="5"/>
  <c r="B584" i="5"/>
  <c r="B585" i="5"/>
  <c r="C585" i="5" s="1"/>
  <c r="B586" i="5"/>
  <c r="B587" i="5"/>
  <c r="B588" i="5"/>
  <c r="B589" i="5"/>
  <c r="B590" i="5"/>
  <c r="C590" i="5" s="1"/>
  <c r="B591" i="5"/>
  <c r="B592" i="5"/>
  <c r="B593" i="5"/>
  <c r="B594" i="5"/>
  <c r="B595" i="5"/>
  <c r="C595" i="5" s="1"/>
  <c r="B596" i="5"/>
  <c r="B597" i="5"/>
  <c r="B598" i="5"/>
  <c r="C598" i="5" s="1"/>
  <c r="B599" i="5"/>
  <c r="B600" i="5"/>
  <c r="B601" i="5"/>
  <c r="B602" i="5"/>
  <c r="B603" i="5"/>
  <c r="B604" i="5"/>
  <c r="B605" i="5"/>
  <c r="B606" i="5"/>
  <c r="C606" i="5" s="1"/>
  <c r="B607" i="5"/>
  <c r="B608" i="5"/>
  <c r="C608" i="5" s="1"/>
  <c r="B609" i="5"/>
  <c r="C609" i="5" s="1"/>
  <c r="B610" i="5"/>
  <c r="B611" i="5"/>
  <c r="B612" i="5"/>
  <c r="B613" i="5"/>
  <c r="B614" i="5"/>
  <c r="C614" i="5" s="1"/>
  <c r="B615" i="5"/>
  <c r="B616" i="5"/>
  <c r="C616" i="5" s="1"/>
  <c r="B617" i="5"/>
  <c r="B618" i="5"/>
  <c r="B619" i="5"/>
  <c r="B620" i="5"/>
  <c r="B621" i="5"/>
  <c r="B622" i="5"/>
  <c r="C622" i="5" s="1"/>
  <c r="B623" i="5"/>
  <c r="B624" i="5"/>
  <c r="B625" i="5"/>
  <c r="C625" i="5" s="1"/>
  <c r="B626" i="5"/>
  <c r="B627" i="5"/>
  <c r="B628" i="5"/>
  <c r="B629" i="5"/>
  <c r="B630" i="5"/>
  <c r="B631" i="5"/>
  <c r="B632" i="5"/>
  <c r="B633" i="5"/>
  <c r="B634" i="5"/>
  <c r="B635" i="5"/>
  <c r="C635" i="5" s="1"/>
  <c r="B636" i="5"/>
  <c r="B637" i="5"/>
  <c r="B638" i="5"/>
  <c r="B639" i="5"/>
  <c r="B640" i="5"/>
  <c r="C640" i="5" s="1"/>
  <c r="B641" i="5"/>
  <c r="B642" i="5"/>
  <c r="B643" i="5"/>
  <c r="C644" i="5" s="1"/>
  <c r="B644" i="5"/>
  <c r="B645" i="5"/>
  <c r="B646" i="5"/>
  <c r="B647" i="5"/>
  <c r="B648" i="5"/>
  <c r="B649" i="5"/>
  <c r="C649" i="5" s="1"/>
  <c r="B650" i="5"/>
  <c r="B651" i="5"/>
  <c r="B652" i="5"/>
  <c r="B653" i="5"/>
  <c r="B654" i="5"/>
  <c r="C654" i="5" s="1"/>
  <c r="B655" i="5"/>
  <c r="B656" i="5"/>
  <c r="C656" i="5" s="1"/>
  <c r="B657" i="5"/>
  <c r="B658" i="5"/>
  <c r="B659" i="5"/>
  <c r="B660" i="5"/>
  <c r="B661" i="5"/>
  <c r="B662" i="5"/>
  <c r="B663" i="5"/>
  <c r="B664" i="5"/>
  <c r="B665" i="5"/>
  <c r="B666" i="5"/>
  <c r="B667" i="5"/>
  <c r="C668" i="5" s="1"/>
  <c r="B668" i="5"/>
  <c r="B669" i="5"/>
  <c r="B670" i="5"/>
  <c r="C670" i="5" s="1"/>
  <c r="B671" i="5"/>
  <c r="B672" i="5"/>
  <c r="C672" i="5" s="1"/>
  <c r="B673" i="5"/>
  <c r="C673" i="5" s="1"/>
  <c r="B674" i="5"/>
  <c r="B675" i="5"/>
  <c r="B676" i="5"/>
  <c r="B677" i="5"/>
  <c r="B678" i="5"/>
  <c r="C678" i="5" s="1"/>
  <c r="B679" i="5"/>
  <c r="B680" i="5"/>
  <c r="B681" i="5"/>
  <c r="B682" i="5"/>
  <c r="B683" i="5"/>
  <c r="B684" i="5"/>
  <c r="B685" i="5"/>
  <c r="B686" i="5"/>
  <c r="C686" i="5" s="1"/>
  <c r="B687" i="5"/>
  <c r="B688" i="5"/>
  <c r="B689" i="5"/>
  <c r="C689" i="5" s="1"/>
  <c r="B690" i="5"/>
  <c r="C690" i="5" s="1"/>
  <c r="B691" i="5"/>
  <c r="B692" i="5"/>
  <c r="B693" i="5"/>
  <c r="B694" i="5"/>
  <c r="B695" i="5"/>
  <c r="B696" i="5"/>
  <c r="B697" i="5"/>
  <c r="C697" i="5" s="1"/>
  <c r="B698" i="5"/>
  <c r="B699" i="5"/>
  <c r="B700" i="5"/>
  <c r="B701" i="5"/>
  <c r="B702" i="5"/>
  <c r="B703" i="5"/>
  <c r="B704" i="5"/>
  <c r="C704" i="5" s="1"/>
  <c r="B705" i="5"/>
  <c r="C705" i="5" s="1"/>
  <c r="B706" i="5"/>
  <c r="B707" i="5"/>
  <c r="C707" i="5" s="1"/>
  <c r="B708" i="5"/>
  <c r="B709" i="5"/>
  <c r="B710" i="5"/>
  <c r="C710" i="5" s="1"/>
  <c r="B711" i="5"/>
  <c r="B712" i="5"/>
  <c r="B713" i="5"/>
  <c r="C713" i="5" s="1"/>
  <c r="B714" i="5"/>
  <c r="B715" i="5"/>
  <c r="B716" i="5"/>
  <c r="B717" i="5"/>
  <c r="B718" i="5"/>
  <c r="B719" i="5"/>
  <c r="B720" i="5"/>
  <c r="C720" i="5" s="1"/>
  <c r="B721" i="5"/>
  <c r="B722" i="5"/>
  <c r="B723" i="5"/>
  <c r="B724" i="5"/>
  <c r="B725" i="5"/>
  <c r="B726" i="5"/>
  <c r="C726" i="5" s="1"/>
  <c r="B727" i="5"/>
  <c r="B728" i="5"/>
  <c r="B729" i="5"/>
  <c r="B730" i="5"/>
  <c r="B731" i="5"/>
  <c r="C731" i="5" s="1"/>
  <c r="B732" i="5"/>
  <c r="B733" i="5"/>
  <c r="B734" i="5"/>
  <c r="C734" i="5" s="1"/>
  <c r="B735" i="5"/>
  <c r="R20" i="1" s="1"/>
  <c r="B736" i="5"/>
  <c r="C736" i="5" s="1"/>
  <c r="B737" i="5"/>
  <c r="C737" i="5" s="1"/>
  <c r="B738" i="5"/>
  <c r="B739" i="5"/>
  <c r="B740" i="5"/>
  <c r="B741" i="5"/>
  <c r="C741" i="5" s="1"/>
  <c r="B742" i="5"/>
  <c r="C742" i="5" s="1"/>
  <c r="B743" i="5"/>
  <c r="B744" i="5"/>
  <c r="B745" i="5"/>
  <c r="C745" i="5" s="1"/>
  <c r="B746" i="5"/>
  <c r="P20" i="1" s="1"/>
  <c r="B747" i="5"/>
  <c r="C748" i="5" s="1"/>
  <c r="B8" i="5"/>
  <c r="B9" i="5"/>
  <c r="B10" i="5"/>
  <c r="C10" i="5" s="1"/>
  <c r="B11" i="5"/>
  <c r="B12" i="5"/>
  <c r="C12" i="5" s="1"/>
  <c r="B13" i="5"/>
  <c r="C13" i="5" s="1"/>
  <c r="B14" i="5"/>
  <c r="C14" i="5" s="1"/>
  <c r="B7" i="5"/>
  <c r="C8" i="5" s="1"/>
  <c r="C511" i="4"/>
  <c r="C574" i="4"/>
  <c r="C588" i="4"/>
  <c r="C591" i="4"/>
  <c r="C597" i="4"/>
  <c r="C631" i="4"/>
  <c r="C14" i="4"/>
  <c r="C46" i="4"/>
  <c r="C86" i="4"/>
  <c r="C127" i="4"/>
  <c r="C143" i="4"/>
  <c r="C158" i="4"/>
  <c r="C166" i="4"/>
  <c r="C175" i="4"/>
  <c r="C198" i="4"/>
  <c r="C206" i="4"/>
  <c r="C214" i="4"/>
  <c r="C222" i="4"/>
  <c r="C230" i="4"/>
  <c r="C239" i="4"/>
  <c r="C263" i="4"/>
  <c r="C271" i="4"/>
  <c r="C287" i="4"/>
  <c r="C295" i="4"/>
  <c r="C302" i="4"/>
  <c r="C311" i="4"/>
  <c r="C334" i="4"/>
  <c r="C342" i="4"/>
  <c r="C351" i="4"/>
  <c r="C359" i="4"/>
  <c r="C367" i="4"/>
  <c r="C375" i="4"/>
  <c r="C383" i="4"/>
  <c r="C406" i="4"/>
  <c r="C415" i="4"/>
  <c r="C423" i="4"/>
  <c r="C431" i="4"/>
  <c r="C438" i="4"/>
  <c r="C447" i="4"/>
  <c r="C466" i="4"/>
  <c r="C470" i="4"/>
  <c r="C479" i="4"/>
  <c r="C486" i="4"/>
  <c r="C495" i="4"/>
  <c r="C502" i="4"/>
  <c r="C505" i="4"/>
  <c r="C612" i="4"/>
  <c r="C581" i="4"/>
  <c r="C22" i="4"/>
  <c r="C31" i="4"/>
  <c r="C38" i="4"/>
  <c r="C55" i="4"/>
  <c r="C62" i="4"/>
  <c r="C78" i="4"/>
  <c r="C95" i="4"/>
  <c r="C103" i="4"/>
  <c r="C118" i="4"/>
  <c r="C134" i="4"/>
  <c r="C183" i="4"/>
  <c r="C191" i="4"/>
  <c r="C207" i="4"/>
  <c r="C247" i="4"/>
  <c r="C255" i="4"/>
  <c r="C319" i="4"/>
  <c r="C327" i="4"/>
  <c r="C391" i="4"/>
  <c r="C399" i="4"/>
  <c r="C455" i="4"/>
  <c r="C462" i="4"/>
  <c r="C534" i="4"/>
  <c r="C594" i="4"/>
  <c r="C15" i="4"/>
  <c r="C110" i="4"/>
  <c r="C279" i="4"/>
  <c r="C387" i="4"/>
  <c r="C395" i="4"/>
  <c r="C451" i="4"/>
  <c r="C459" i="4"/>
  <c r="C498" i="4"/>
  <c r="C569" i="4"/>
  <c r="C577" i="4"/>
  <c r="C34" i="4"/>
  <c r="C42" i="4"/>
  <c r="C50" i="4"/>
  <c r="C59" i="4"/>
  <c r="C67" i="4"/>
  <c r="C75" i="4"/>
  <c r="C83" i="4"/>
  <c r="C99" i="4"/>
  <c r="C162" i="4"/>
  <c r="C171" i="4"/>
  <c r="C187" i="4"/>
  <c r="C195" i="4"/>
  <c r="C203" i="4"/>
  <c r="C211" i="4"/>
  <c r="C227" i="4"/>
  <c r="C235" i="4"/>
  <c r="C267" i="4"/>
  <c r="C275" i="4"/>
  <c r="C283" i="4"/>
  <c r="C291" i="4"/>
  <c r="C299" i="4"/>
  <c r="C307" i="4"/>
  <c r="C315" i="4"/>
  <c r="C323" i="4"/>
  <c r="C331" i="4"/>
  <c r="C339" i="4"/>
  <c r="C347" i="4"/>
  <c r="C355" i="4"/>
  <c r="C363" i="4"/>
  <c r="C371" i="4"/>
  <c r="C379" i="4"/>
  <c r="C403" i="4"/>
  <c r="C411" i="4"/>
  <c r="C419" i="4"/>
  <c r="C427" i="4"/>
  <c r="C435" i="4"/>
  <c r="C443" i="4"/>
  <c r="C475" i="4"/>
  <c r="C482" i="4"/>
  <c r="C491" i="4"/>
  <c r="C651" i="6"/>
  <c r="C650" i="6"/>
  <c r="C627" i="6"/>
  <c r="C619" i="6"/>
  <c r="C614" i="6"/>
  <c r="C605" i="6"/>
  <c r="C587" i="6"/>
  <c r="C582" i="6"/>
  <c r="C555" i="6"/>
  <c r="C532" i="6"/>
  <c r="C531" i="6"/>
  <c r="C523" i="6"/>
  <c r="C522" i="6"/>
  <c r="C508" i="6"/>
  <c r="C506" i="6"/>
  <c r="C507" i="6"/>
  <c r="C492" i="6"/>
  <c r="C491" i="6"/>
  <c r="C476" i="6"/>
  <c r="C466" i="6"/>
  <c r="C465" i="6"/>
  <c r="C459" i="6"/>
  <c r="C458" i="6"/>
  <c r="C444" i="6"/>
  <c r="C441" i="6"/>
  <c r="C435" i="6"/>
  <c r="C434" i="6"/>
  <c r="C430" i="6"/>
  <c r="C427" i="6"/>
  <c r="C418" i="6"/>
  <c r="C414" i="6"/>
  <c r="C415" i="6"/>
  <c r="C410" i="6"/>
  <c r="C409" i="6"/>
  <c r="C404" i="6"/>
  <c r="C403" i="6"/>
  <c r="C400" i="6"/>
  <c r="C399" i="6"/>
  <c r="C395" i="6"/>
  <c r="C394" i="6"/>
  <c r="C386" i="6"/>
  <c r="C384" i="6"/>
  <c r="C378" i="6"/>
  <c r="C379" i="6"/>
  <c r="C377" i="6"/>
  <c r="C376" i="6"/>
  <c r="C372" i="6"/>
  <c r="C369" i="6"/>
  <c r="C368" i="6"/>
  <c r="C367" i="6"/>
  <c r="C365" i="6"/>
  <c r="C364" i="6"/>
  <c r="C363" i="6"/>
  <c r="C358" i="6"/>
  <c r="C356" i="6"/>
  <c r="C354" i="6"/>
  <c r="C353" i="6"/>
  <c r="C349" i="6"/>
  <c r="C348" i="6"/>
  <c r="C346" i="6"/>
  <c r="C347" i="6"/>
  <c r="C345" i="6"/>
  <c r="C343" i="6"/>
  <c r="C340" i="6"/>
  <c r="C338" i="6"/>
  <c r="C337" i="6"/>
  <c r="C336" i="6"/>
  <c r="C331" i="6"/>
  <c r="C330" i="6"/>
  <c r="C328" i="6"/>
  <c r="C326" i="6"/>
  <c r="C322" i="6"/>
  <c r="C320" i="6"/>
  <c r="C318" i="6"/>
  <c r="C316" i="6"/>
  <c r="C313" i="6"/>
  <c r="C312" i="6"/>
  <c r="C310" i="6"/>
  <c r="C309" i="6"/>
  <c r="C308" i="6"/>
  <c r="C305" i="6"/>
  <c r="C299" i="6"/>
  <c r="C298" i="6"/>
  <c r="C297" i="6"/>
  <c r="C294" i="6"/>
  <c r="C293" i="6"/>
  <c r="C290" i="6"/>
  <c r="C289" i="6"/>
  <c r="C287" i="6"/>
  <c r="C284" i="6"/>
  <c r="C281" i="6"/>
  <c r="C280" i="6"/>
  <c r="C279" i="6"/>
  <c r="C276" i="6"/>
  <c r="C274" i="6"/>
  <c r="C275" i="6"/>
  <c r="C273" i="6"/>
  <c r="C271" i="6"/>
  <c r="C269" i="6"/>
  <c r="C267" i="6"/>
  <c r="C262" i="6"/>
  <c r="C261" i="6"/>
  <c r="C258" i="6"/>
  <c r="C257" i="6"/>
  <c r="C252" i="6"/>
  <c r="C250" i="6"/>
  <c r="C249" i="6"/>
  <c r="C248" i="6"/>
  <c r="C246" i="6"/>
  <c r="C247" i="6"/>
  <c r="C244" i="6"/>
  <c r="C243" i="6"/>
  <c r="C241" i="6"/>
  <c r="C239" i="6"/>
  <c r="C238" i="6"/>
  <c r="C237" i="6"/>
  <c r="C235" i="6"/>
  <c r="C233" i="6"/>
  <c r="C234" i="6"/>
  <c r="C230" i="6"/>
  <c r="C229" i="6"/>
  <c r="C226" i="6"/>
  <c r="C225" i="6"/>
  <c r="C223" i="6"/>
  <c r="C220" i="6"/>
  <c r="C218" i="6"/>
  <c r="C219" i="6"/>
  <c r="C217" i="6"/>
  <c r="C216" i="6"/>
  <c r="C215" i="6"/>
  <c r="C212" i="6"/>
  <c r="C211" i="6"/>
  <c r="C210" i="6"/>
  <c r="C209" i="6"/>
  <c r="C207" i="6"/>
  <c r="C205" i="6"/>
  <c r="C203" i="6"/>
  <c r="C202" i="6"/>
  <c r="C197" i="6"/>
  <c r="C194" i="6"/>
  <c r="C193" i="6"/>
  <c r="C191" i="6"/>
  <c r="C190" i="6"/>
  <c r="C188" i="6"/>
  <c r="C186" i="6"/>
  <c r="C187" i="6"/>
  <c r="C185" i="6"/>
  <c r="C184" i="6"/>
  <c r="C183" i="6"/>
  <c r="C181" i="6"/>
  <c r="C179" i="6"/>
  <c r="C180" i="6"/>
  <c r="C178" i="6"/>
  <c r="C176" i="6"/>
  <c r="C174" i="6"/>
  <c r="C173" i="6"/>
  <c r="C170" i="6"/>
  <c r="C169" i="6"/>
  <c r="C168" i="6"/>
  <c r="C164" i="6"/>
  <c r="C162" i="6"/>
  <c r="C161" i="6"/>
  <c r="C159" i="6"/>
  <c r="C158" i="6"/>
  <c r="C156" i="6"/>
  <c r="C154" i="6"/>
  <c r="C153" i="6"/>
  <c r="C150" i="6"/>
  <c r="C149" i="6"/>
  <c r="C148" i="6"/>
  <c r="C146" i="6"/>
  <c r="C147" i="6"/>
  <c r="C145" i="6"/>
  <c r="C144" i="6"/>
  <c r="C139" i="6"/>
  <c r="C140" i="6"/>
  <c r="C138" i="6"/>
  <c r="C137" i="6"/>
  <c r="C136" i="6"/>
  <c r="C135" i="6"/>
  <c r="C132" i="6"/>
  <c r="C130" i="6"/>
  <c r="C131" i="6"/>
  <c r="C129" i="6"/>
  <c r="C128" i="6"/>
  <c r="C125" i="6"/>
  <c r="C123" i="6"/>
  <c r="C124" i="6"/>
  <c r="C122" i="6"/>
  <c r="C121" i="6"/>
  <c r="C119" i="6"/>
  <c r="C120" i="6"/>
  <c r="C118" i="6"/>
  <c r="C117" i="6"/>
  <c r="C116" i="6"/>
  <c r="C114" i="6"/>
  <c r="C115" i="6"/>
  <c r="C113" i="6"/>
  <c r="C112" i="6"/>
  <c r="C109" i="6"/>
  <c r="C107" i="6"/>
  <c r="C108" i="6"/>
  <c r="C106" i="6"/>
  <c r="C105" i="6"/>
  <c r="C104" i="6"/>
  <c r="C103" i="6"/>
  <c r="C101" i="6"/>
  <c r="C100" i="6"/>
  <c r="C98" i="6"/>
  <c r="C99" i="6"/>
  <c r="C97" i="6"/>
  <c r="C96" i="6"/>
  <c r="C93" i="6"/>
  <c r="C91" i="6"/>
  <c r="C92" i="6"/>
  <c r="C90" i="6"/>
  <c r="C89" i="6"/>
  <c r="C87" i="6"/>
  <c r="C88" i="6"/>
  <c r="C86" i="6"/>
  <c r="C85" i="6"/>
  <c r="C84" i="6"/>
  <c r="C82" i="6"/>
  <c r="C83" i="6"/>
  <c r="C81" i="6"/>
  <c r="C80" i="6"/>
  <c r="C77" i="6"/>
  <c r="C75" i="6"/>
  <c r="C76" i="6"/>
  <c r="C74" i="6"/>
  <c r="C73" i="6"/>
  <c r="C72" i="6"/>
  <c r="C71" i="6"/>
  <c r="C69" i="6"/>
  <c r="C68" i="6"/>
  <c r="C66" i="6"/>
  <c r="C67" i="6"/>
  <c r="C65" i="6"/>
  <c r="C64" i="6"/>
  <c r="C61" i="6"/>
  <c r="C59" i="6"/>
  <c r="C60" i="6"/>
  <c r="C58" i="6"/>
  <c r="C57" i="6"/>
  <c r="C55" i="6"/>
  <c r="C56" i="6"/>
  <c r="C54" i="6"/>
  <c r="C53" i="6"/>
  <c r="C52" i="6"/>
  <c r="C50" i="6"/>
  <c r="C51" i="6"/>
  <c r="C49" i="6"/>
  <c r="C48" i="6"/>
  <c r="C45" i="6"/>
  <c r="C43" i="6"/>
  <c r="C44" i="6"/>
  <c r="C42" i="6"/>
  <c r="C41" i="6"/>
  <c r="C40" i="6"/>
  <c r="C39" i="6"/>
  <c r="C37" i="6"/>
  <c r="C36" i="6"/>
  <c r="C34" i="6"/>
  <c r="C35" i="6"/>
  <c r="C33" i="6"/>
  <c r="C32" i="6"/>
  <c r="C29" i="6"/>
  <c r="C27" i="6"/>
  <c r="C28" i="6"/>
  <c r="C26" i="6"/>
  <c r="C25" i="6"/>
  <c r="C23" i="6"/>
  <c r="C24" i="6"/>
  <c r="C22" i="6"/>
  <c r="C21" i="6"/>
  <c r="C20" i="6"/>
  <c r="C18" i="6"/>
  <c r="C19" i="6"/>
  <c r="C17" i="6"/>
  <c r="C16" i="6"/>
  <c r="C13" i="6"/>
  <c r="C11" i="6"/>
  <c r="C12" i="6"/>
  <c r="C10" i="6"/>
  <c r="C9" i="6"/>
  <c r="C8" i="6"/>
  <c r="C746" i="5"/>
  <c r="C702" i="5"/>
  <c r="C681" i="5"/>
  <c r="C677" i="5"/>
  <c r="C661" i="5"/>
  <c r="C631" i="5"/>
  <c r="C627" i="5"/>
  <c r="C613" i="5"/>
  <c r="C581" i="5"/>
  <c r="C580" i="5"/>
  <c r="C574" i="5"/>
  <c r="C571" i="5"/>
  <c r="C557" i="5"/>
  <c r="C550" i="5"/>
  <c r="C549" i="5"/>
  <c r="C547" i="5"/>
  <c r="C548" i="5"/>
  <c r="C541" i="5"/>
  <c r="C527" i="5"/>
  <c r="C524" i="5"/>
  <c r="C509" i="5"/>
  <c r="C508" i="5"/>
  <c r="C503" i="5"/>
  <c r="C501" i="5"/>
  <c r="C499" i="5"/>
  <c r="C494" i="5"/>
  <c r="C493" i="5"/>
  <c r="C491" i="5"/>
  <c r="C492" i="5"/>
  <c r="C490" i="5"/>
  <c r="C489" i="5"/>
  <c r="C484" i="5"/>
  <c r="C475" i="5"/>
  <c r="C476" i="5"/>
  <c r="C474" i="5"/>
  <c r="C473" i="5"/>
  <c r="C469" i="5"/>
  <c r="C467" i="5"/>
  <c r="C463" i="5"/>
  <c r="C462" i="5"/>
  <c r="C458" i="5"/>
  <c r="C457" i="5"/>
  <c r="C453" i="5"/>
  <c r="C452" i="5"/>
  <c r="C450" i="5"/>
  <c r="C451" i="5"/>
  <c r="C449" i="5"/>
  <c r="C448" i="5"/>
  <c r="C445" i="5"/>
  <c r="C443" i="5"/>
  <c r="C444" i="5"/>
  <c r="C442" i="5"/>
  <c r="C440" i="5"/>
  <c r="C439" i="5"/>
  <c r="C437" i="5"/>
  <c r="C432" i="5"/>
  <c r="C430" i="5"/>
  <c r="C426" i="5"/>
  <c r="C425" i="5"/>
  <c r="C423" i="5"/>
  <c r="C422" i="5"/>
  <c r="C418" i="5"/>
  <c r="C417" i="5"/>
  <c r="C414" i="5"/>
  <c r="C415" i="5"/>
  <c r="C413" i="5"/>
  <c r="C412" i="5"/>
  <c r="C410" i="5"/>
  <c r="C409" i="5"/>
  <c r="C406" i="5"/>
  <c r="C407" i="5"/>
  <c r="C403" i="5"/>
  <c r="C402" i="5"/>
  <c r="C401" i="5"/>
  <c r="C399" i="5"/>
  <c r="C398" i="5"/>
  <c r="C394" i="5"/>
  <c r="C393" i="5"/>
  <c r="C390" i="5"/>
  <c r="C391" i="5"/>
  <c r="C389" i="5"/>
  <c r="C388" i="5"/>
  <c r="C386" i="5"/>
  <c r="C387" i="5"/>
  <c r="C385" i="5"/>
  <c r="C384" i="5"/>
  <c r="C382" i="5"/>
  <c r="C383" i="5"/>
  <c r="C381" i="5"/>
  <c r="C380" i="5"/>
  <c r="C379" i="5"/>
  <c r="C378" i="5"/>
  <c r="C377" i="5"/>
  <c r="C374" i="5"/>
  <c r="C373" i="5"/>
  <c r="C371" i="5"/>
  <c r="C370" i="5"/>
  <c r="C369" i="5"/>
  <c r="C367" i="5"/>
  <c r="C365" i="5"/>
  <c r="C361" i="5"/>
  <c r="C362" i="5"/>
  <c r="C360" i="5"/>
  <c r="C358" i="5"/>
  <c r="C359" i="5"/>
  <c r="C357" i="5"/>
  <c r="C355" i="5"/>
  <c r="C354" i="5"/>
  <c r="C353" i="5"/>
  <c r="C352" i="5"/>
  <c r="C346" i="5"/>
  <c r="C345" i="5"/>
  <c r="C341" i="5"/>
  <c r="C339" i="5"/>
  <c r="C337" i="5"/>
  <c r="C338" i="5"/>
  <c r="C336" i="5"/>
  <c r="C335" i="5"/>
  <c r="C333" i="5"/>
  <c r="C331" i="5"/>
  <c r="C329" i="5"/>
  <c r="C330" i="5"/>
  <c r="C328" i="5"/>
  <c r="C326" i="5"/>
  <c r="C325" i="5"/>
  <c r="C323" i="5"/>
  <c r="C322" i="5"/>
  <c r="C321" i="5"/>
  <c r="C320" i="5"/>
  <c r="C317" i="5"/>
  <c r="C316" i="5"/>
  <c r="C314" i="5"/>
  <c r="C312" i="5"/>
  <c r="C311" i="5"/>
  <c r="C309" i="5"/>
  <c r="C310" i="5"/>
  <c r="C307" i="5"/>
  <c r="C305" i="5"/>
  <c r="C306" i="5"/>
  <c r="C303" i="5"/>
  <c r="C304" i="5"/>
  <c r="C302" i="5"/>
  <c r="C301" i="5"/>
  <c r="C299" i="5"/>
  <c r="C298" i="5"/>
  <c r="C297" i="5"/>
  <c r="C295" i="5"/>
  <c r="C296" i="5"/>
  <c r="C292" i="5"/>
  <c r="C289" i="5"/>
  <c r="C287" i="5"/>
  <c r="C285" i="5"/>
  <c r="C286" i="5"/>
  <c r="C283" i="5"/>
  <c r="C284" i="5"/>
  <c r="C282" i="5"/>
  <c r="C280" i="5"/>
  <c r="C278" i="5"/>
  <c r="C277" i="5"/>
  <c r="C274" i="5"/>
  <c r="C275" i="5"/>
  <c r="C271" i="5"/>
  <c r="C270" i="5"/>
  <c r="C267" i="5"/>
  <c r="C266" i="5"/>
  <c r="C258" i="5"/>
  <c r="C259" i="5"/>
  <c r="C255" i="5"/>
  <c r="C254" i="5"/>
  <c r="C251" i="5"/>
  <c r="C250" i="5"/>
  <c r="C242" i="5"/>
  <c r="C243" i="5"/>
  <c r="C239" i="5"/>
  <c r="C238" i="5"/>
  <c r="C235" i="5"/>
  <c r="C234" i="5"/>
  <c r="C226" i="5"/>
  <c r="C227" i="5"/>
  <c r="C223" i="5"/>
  <c r="C222" i="5"/>
  <c r="C219" i="5"/>
  <c r="C218" i="5"/>
  <c r="C210" i="5"/>
  <c r="C211" i="5"/>
  <c r="C207" i="5"/>
  <c r="C206" i="5"/>
  <c r="C203" i="5"/>
  <c r="C202" i="5"/>
  <c r="C195" i="5"/>
  <c r="C191" i="5"/>
  <c r="C190" i="5"/>
  <c r="C187" i="5"/>
  <c r="C186" i="5"/>
  <c r="C179" i="5"/>
  <c r="C177" i="5"/>
  <c r="C175" i="5"/>
  <c r="C174" i="5"/>
  <c r="C173" i="5"/>
  <c r="C171" i="5"/>
  <c r="C172" i="5"/>
  <c r="C170" i="5"/>
  <c r="C169" i="5"/>
  <c r="C168" i="5"/>
  <c r="C165" i="5"/>
  <c r="C164" i="5"/>
  <c r="C163" i="5"/>
  <c r="C161" i="5"/>
  <c r="C159" i="5"/>
  <c r="C158" i="5"/>
  <c r="C157" i="5"/>
  <c r="C155" i="5"/>
  <c r="C156" i="5"/>
  <c r="C154" i="5"/>
  <c r="C153" i="5"/>
  <c r="C152" i="5"/>
  <c r="C149" i="5"/>
  <c r="C148" i="5"/>
  <c r="C147" i="5"/>
  <c r="C145" i="5"/>
  <c r="C143" i="5"/>
  <c r="C142" i="5"/>
  <c r="C141" i="5"/>
  <c r="C139" i="5"/>
  <c r="C140" i="5"/>
  <c r="C138" i="5"/>
  <c r="C137" i="5"/>
  <c r="C136" i="5"/>
  <c r="C133" i="5"/>
  <c r="C132" i="5"/>
  <c r="C131" i="5"/>
  <c r="C129" i="5"/>
  <c r="C127" i="5"/>
  <c r="C126" i="5"/>
  <c r="C125" i="5"/>
  <c r="C123" i="5"/>
  <c r="C124" i="5"/>
  <c r="C122" i="5"/>
  <c r="C121" i="5"/>
  <c r="C120" i="5"/>
  <c r="C117" i="5"/>
  <c r="C116" i="5"/>
  <c r="C115" i="5"/>
  <c r="C113" i="5"/>
  <c r="C111" i="5"/>
  <c r="C110" i="5"/>
  <c r="C109" i="5"/>
  <c r="C107" i="5"/>
  <c r="C108" i="5"/>
  <c r="C106" i="5"/>
  <c r="C105" i="5"/>
  <c r="C104" i="5"/>
  <c r="C101" i="5"/>
  <c r="C100" i="5"/>
  <c r="C99" i="5"/>
  <c r="C97" i="5"/>
  <c r="C95" i="5"/>
  <c r="C94" i="5"/>
  <c r="C93" i="5"/>
  <c r="C91" i="5"/>
  <c r="C92" i="5"/>
  <c r="C90" i="5"/>
  <c r="C89" i="5"/>
  <c r="C88" i="5"/>
  <c r="C85" i="5"/>
  <c r="C84" i="5"/>
  <c r="C83" i="5"/>
  <c r="C81" i="5"/>
  <c r="C79" i="5"/>
  <c r="C78" i="5"/>
  <c r="C77" i="5"/>
  <c r="C75" i="5"/>
  <c r="C76" i="5"/>
  <c r="C74" i="5"/>
  <c r="C73" i="5"/>
  <c r="C72" i="5"/>
  <c r="C69" i="5"/>
  <c r="C68" i="5"/>
  <c r="C67" i="5"/>
  <c r="C65" i="5"/>
  <c r="C63" i="5"/>
  <c r="C62" i="5"/>
  <c r="C61" i="5"/>
  <c r="C59" i="5"/>
  <c r="C60" i="5"/>
  <c r="C58" i="5"/>
  <c r="C57" i="5"/>
  <c r="C56" i="5"/>
  <c r="C53" i="5"/>
  <c r="C52" i="5"/>
  <c r="C51" i="5"/>
  <c r="C49" i="5"/>
  <c r="C47" i="5"/>
  <c r="C46" i="5"/>
  <c r="C45" i="5"/>
  <c r="C43" i="5"/>
  <c r="C44" i="5"/>
  <c r="C42" i="5"/>
  <c r="C41" i="5"/>
  <c r="C40" i="5"/>
  <c r="C37" i="5"/>
  <c r="C36" i="5"/>
  <c r="C35" i="5"/>
  <c r="C33" i="5"/>
  <c r="C31" i="5"/>
  <c r="C30" i="5"/>
  <c r="C29" i="5"/>
  <c r="C27" i="5"/>
  <c r="C28" i="5"/>
  <c r="C26" i="5"/>
  <c r="C25" i="5"/>
  <c r="C24" i="5"/>
  <c r="C21" i="5"/>
  <c r="C20" i="5"/>
  <c r="C19" i="5"/>
  <c r="C17" i="5"/>
  <c r="C15" i="5"/>
  <c r="C9" i="5"/>
  <c r="C689" i="4"/>
  <c r="C600" i="4"/>
  <c r="C589" i="4"/>
  <c r="C584" i="4"/>
  <c r="C561" i="4"/>
  <c r="C537" i="4"/>
  <c r="C536" i="4"/>
  <c r="C533" i="4"/>
  <c r="C525" i="4"/>
  <c r="C522" i="4"/>
  <c r="C513" i="4"/>
  <c r="C504" i="4"/>
  <c r="C501" i="4"/>
  <c r="C497" i="4"/>
  <c r="C493" i="4"/>
  <c r="C484" i="4"/>
  <c r="C472" i="4"/>
  <c r="C469" i="4"/>
  <c r="C465" i="4"/>
  <c r="C461" i="4"/>
  <c r="C457" i="4"/>
  <c r="C453" i="4"/>
  <c r="C445" i="4"/>
  <c r="C442" i="4"/>
  <c r="C441" i="4"/>
  <c r="C437" i="4"/>
  <c r="C433" i="4"/>
  <c r="C429" i="4"/>
  <c r="C421" i="4"/>
  <c r="C413" i="4"/>
  <c r="C410" i="4"/>
  <c r="C409" i="4"/>
  <c r="C405" i="4"/>
  <c r="C401" i="4"/>
  <c r="C397" i="4"/>
  <c r="C389" i="4"/>
  <c r="C381" i="4"/>
  <c r="C378" i="4"/>
  <c r="C377" i="4"/>
  <c r="C373" i="4"/>
  <c r="C369" i="4"/>
  <c r="C365" i="4"/>
  <c r="C357" i="4"/>
  <c r="C353" i="4"/>
  <c r="C349" i="4"/>
  <c r="C346" i="4"/>
  <c r="C345" i="4"/>
  <c r="C341" i="4"/>
  <c r="C340" i="4"/>
  <c r="C336" i="4"/>
  <c r="C333" i="4"/>
  <c r="C332" i="4"/>
  <c r="C329" i="4"/>
  <c r="C328" i="4"/>
  <c r="C325" i="4"/>
  <c r="C324" i="4"/>
  <c r="C320" i="4"/>
  <c r="C317" i="4"/>
  <c r="C316" i="4"/>
  <c r="C313" i="4"/>
  <c r="C312" i="4"/>
  <c r="C309" i="4"/>
  <c r="C308" i="4"/>
  <c r="C304" i="4"/>
  <c r="C301" i="4"/>
  <c r="C300" i="4"/>
  <c r="C297" i="4"/>
  <c r="C296" i="4"/>
  <c r="C293" i="4"/>
  <c r="C292" i="4"/>
  <c r="C288" i="4"/>
  <c r="C285" i="4"/>
  <c r="C284" i="4"/>
  <c r="C281" i="4"/>
  <c r="C280" i="4"/>
  <c r="C277" i="4"/>
  <c r="C276" i="4"/>
  <c r="C272" i="4"/>
  <c r="C269" i="4"/>
  <c r="C268" i="4"/>
  <c r="C266" i="4"/>
  <c r="C265" i="4"/>
  <c r="C264" i="4"/>
  <c r="C261" i="4"/>
  <c r="C260" i="4"/>
  <c r="C258" i="4"/>
  <c r="C259" i="4"/>
  <c r="C257" i="4"/>
  <c r="C256" i="4"/>
  <c r="C253" i="4"/>
  <c r="C252" i="4"/>
  <c r="C251" i="4"/>
  <c r="C249" i="4"/>
  <c r="C248" i="4"/>
  <c r="C245" i="4"/>
  <c r="C244" i="4"/>
  <c r="C243" i="4"/>
  <c r="C241" i="4"/>
  <c r="C240" i="4"/>
  <c r="C237" i="4"/>
  <c r="C236" i="4"/>
  <c r="C234" i="4"/>
  <c r="C233" i="4"/>
  <c r="C232" i="4"/>
  <c r="C229" i="4"/>
  <c r="C228" i="4"/>
  <c r="C224" i="4"/>
  <c r="C221" i="4"/>
  <c r="C220" i="4"/>
  <c r="C219" i="4"/>
  <c r="C217" i="4"/>
  <c r="C216" i="4"/>
  <c r="C213" i="4"/>
  <c r="C212" i="4"/>
  <c r="C210" i="4"/>
  <c r="C209" i="4"/>
  <c r="C208" i="4"/>
  <c r="C205" i="4"/>
  <c r="C204" i="4"/>
  <c r="C201" i="4"/>
  <c r="C200" i="4"/>
  <c r="C197" i="4"/>
  <c r="C196" i="4"/>
  <c r="C193" i="4"/>
  <c r="C192" i="4"/>
  <c r="C189" i="4"/>
  <c r="C188" i="4"/>
  <c r="C185" i="4"/>
  <c r="C184" i="4"/>
  <c r="C181" i="4"/>
  <c r="C179" i="4"/>
  <c r="C180" i="4"/>
  <c r="C177" i="4"/>
  <c r="C176" i="4"/>
  <c r="C174" i="4"/>
  <c r="C173" i="4"/>
  <c r="C172" i="4"/>
  <c r="C168" i="4"/>
  <c r="C165" i="4"/>
  <c r="C163" i="4"/>
  <c r="C164" i="4"/>
  <c r="C161" i="4"/>
  <c r="C159" i="4"/>
  <c r="C160" i="4"/>
  <c r="C157" i="4"/>
  <c r="C156" i="4"/>
  <c r="C155" i="4"/>
  <c r="C153" i="4"/>
  <c r="C152" i="4"/>
  <c r="C150" i="4"/>
  <c r="C151" i="4"/>
  <c r="C149" i="4"/>
  <c r="C147" i="4"/>
  <c r="C148" i="4"/>
  <c r="C146" i="4"/>
  <c r="C145" i="4"/>
  <c r="C144" i="4"/>
  <c r="C142" i="4"/>
  <c r="C141" i="4"/>
  <c r="C140" i="4"/>
  <c r="C139" i="4"/>
  <c r="C137" i="4"/>
  <c r="C136" i="4"/>
  <c r="C133" i="4"/>
  <c r="C131" i="4"/>
  <c r="C132" i="4"/>
  <c r="C130" i="4"/>
  <c r="C128" i="4"/>
  <c r="C126" i="4"/>
  <c r="C125" i="4"/>
  <c r="C124" i="4"/>
  <c r="C123" i="4"/>
  <c r="C121" i="4"/>
  <c r="C120" i="4"/>
  <c r="C117" i="4"/>
  <c r="C115" i="4"/>
  <c r="C116" i="4"/>
  <c r="C114" i="4"/>
  <c r="C113" i="4"/>
  <c r="C111" i="4"/>
  <c r="C112" i="4"/>
  <c r="C109" i="4"/>
  <c r="C108" i="4"/>
  <c r="C107" i="4"/>
  <c r="C105" i="4"/>
  <c r="C104" i="4"/>
  <c r="C101" i="4"/>
  <c r="C100" i="4"/>
  <c r="C98" i="4"/>
  <c r="C97" i="4"/>
  <c r="C96" i="4"/>
  <c r="C93" i="4"/>
  <c r="C92" i="4"/>
  <c r="C91" i="4"/>
  <c r="C89" i="4"/>
  <c r="C88" i="4"/>
  <c r="C85" i="4"/>
  <c r="C84" i="4"/>
  <c r="C82" i="4"/>
  <c r="C81" i="4"/>
  <c r="C79" i="4"/>
  <c r="C80" i="4"/>
  <c r="C77" i="4"/>
  <c r="C76" i="4"/>
  <c r="C73" i="4"/>
  <c r="C72" i="4"/>
  <c r="C70" i="4"/>
  <c r="C71" i="4"/>
  <c r="C69" i="4"/>
  <c r="C68" i="4"/>
  <c r="C65" i="4"/>
  <c r="C63" i="4"/>
  <c r="C64" i="4"/>
  <c r="C61" i="4"/>
  <c r="C60" i="4"/>
  <c r="C57" i="4"/>
  <c r="C56" i="4"/>
  <c r="C53" i="4"/>
  <c r="C51" i="4"/>
  <c r="C52" i="4"/>
  <c r="C49" i="4"/>
  <c r="C47" i="4"/>
  <c r="C48" i="4"/>
  <c r="C45" i="4"/>
  <c r="C44" i="4"/>
  <c r="C41" i="4"/>
  <c r="C40" i="4"/>
  <c r="C37" i="4"/>
  <c r="C35" i="4"/>
  <c r="C36" i="4"/>
  <c r="C33" i="4"/>
  <c r="C32" i="4"/>
  <c r="C30" i="4"/>
  <c r="C29" i="4"/>
  <c r="C28" i="4"/>
  <c r="C27" i="4"/>
  <c r="C25" i="4"/>
  <c r="C24" i="4"/>
  <c r="C21" i="4"/>
  <c r="C19" i="4"/>
  <c r="C20" i="4"/>
  <c r="C18" i="4"/>
  <c r="C17" i="4"/>
  <c r="C16" i="4"/>
  <c r="C13" i="4"/>
  <c r="C12" i="4"/>
  <c r="C10" i="4"/>
  <c r="C9" i="4"/>
  <c r="O21" i="1"/>
  <c r="C521" i="6" l="1"/>
  <c r="C464" i="6"/>
  <c r="C448" i="6"/>
  <c r="C432" i="6"/>
  <c r="C416" i="6"/>
  <c r="C454" i="6"/>
  <c r="C573" i="6"/>
  <c r="C541" i="6"/>
  <c r="C525" i="6"/>
  <c r="C509" i="6"/>
  <c r="C501" i="6"/>
  <c r="C453" i="6"/>
  <c r="C421" i="6"/>
  <c r="C165" i="6"/>
  <c r="C214" i="6"/>
  <c r="C221" i="6"/>
  <c r="C286" i="6"/>
  <c r="C374" i="6"/>
  <c r="C390" i="6"/>
  <c r="C560" i="6"/>
  <c r="C505" i="6"/>
  <c r="C417" i="6"/>
  <c r="C645" i="6"/>
  <c r="C613" i="6"/>
  <c r="C597" i="6"/>
  <c r="C533" i="6"/>
  <c r="C618" i="6"/>
  <c r="C610" i="6"/>
  <c r="C586" i="6"/>
  <c r="C578" i="6"/>
  <c r="C554" i="6"/>
  <c r="C546" i="6"/>
  <c r="C463" i="6"/>
  <c r="C536" i="6"/>
  <c r="C607" i="6"/>
  <c r="C591" i="6"/>
  <c r="C575" i="6"/>
  <c r="C559" i="6"/>
  <c r="C471" i="6"/>
  <c r="C431" i="6"/>
  <c r="C496" i="6"/>
  <c r="C565" i="6"/>
  <c r="C592" i="6"/>
  <c r="C616" i="6"/>
  <c r="C646" i="6"/>
  <c r="C630" i="6"/>
  <c r="C622" i="6"/>
  <c r="C606" i="6"/>
  <c r="C598" i="6"/>
  <c r="C590" i="6"/>
  <c r="C557" i="6"/>
  <c r="C550" i="6"/>
  <c r="C534" i="6"/>
  <c r="C517" i="6"/>
  <c r="C502" i="6"/>
  <c r="C486" i="6"/>
  <c r="C477" i="6"/>
  <c r="C445" i="6"/>
  <c r="C422" i="6"/>
  <c r="C420" i="6"/>
  <c r="C452" i="6"/>
  <c r="C500" i="6"/>
  <c r="C528" i="6"/>
  <c r="C569" i="6"/>
  <c r="C600" i="6"/>
  <c r="C648" i="6"/>
  <c r="C632" i="6"/>
  <c r="C412" i="6"/>
  <c r="C488" i="6"/>
  <c r="C572" i="6"/>
  <c r="C595" i="6"/>
  <c r="C563" i="6"/>
  <c r="C470" i="6"/>
  <c r="C730" i="5"/>
  <c r="C666" i="5"/>
  <c r="C642" i="5"/>
  <c r="C618" i="5"/>
  <c r="C594" i="5"/>
  <c r="C570" i="5"/>
  <c r="C513" i="5"/>
  <c r="C539" i="5"/>
  <c r="C11" i="5"/>
  <c r="C719" i="5"/>
  <c r="C711" i="5"/>
  <c r="C695" i="5"/>
  <c r="C663" i="5"/>
  <c r="C615" i="5"/>
  <c r="C607" i="5"/>
  <c r="C583" i="5"/>
  <c r="C551" i="5"/>
  <c r="C535" i="5"/>
  <c r="C519" i="5"/>
  <c r="C682" i="5"/>
  <c r="C658" i="5"/>
  <c r="C634" i="5"/>
  <c r="C602" i="5"/>
  <c r="C529" i="5"/>
  <c r="O20" i="1"/>
  <c r="S20" i="1" s="1"/>
  <c r="C516" i="5"/>
  <c r="C454" i="5"/>
  <c r="C671" i="5"/>
  <c r="C709" i="5"/>
  <c r="C514" i="5"/>
  <c r="C667" i="5"/>
  <c r="C506" i="5"/>
  <c r="C546" i="5"/>
  <c r="C554" i="5"/>
  <c r="C738" i="5"/>
  <c r="C714" i="5"/>
  <c r="C674" i="5"/>
  <c r="C650" i="5"/>
  <c r="C610" i="5"/>
  <c r="C586" i="5"/>
  <c r="C578" i="5"/>
  <c r="C562" i="5"/>
  <c r="C727" i="5"/>
  <c r="C591" i="5"/>
  <c r="C530" i="5"/>
  <c r="C601" i="5"/>
  <c r="C617" i="5"/>
  <c r="C641" i="5"/>
  <c r="C626" i="5"/>
  <c r="C599" i="5"/>
  <c r="C575" i="5"/>
  <c r="C733" i="5"/>
  <c r="C725" i="5"/>
  <c r="C708" i="5"/>
  <c r="C701" i="5"/>
  <c r="C693" i="5"/>
  <c r="C685" i="5"/>
  <c r="C676" i="5"/>
  <c r="C669" i="5"/>
  <c r="C645" i="5"/>
  <c r="C637" i="5"/>
  <c r="C629" i="5"/>
  <c r="C621" i="5"/>
  <c r="C612" i="5"/>
  <c r="C604" i="5"/>
  <c r="C589" i="5"/>
  <c r="C573" i="5"/>
  <c r="C565" i="5"/>
  <c r="C639" i="5"/>
  <c r="C723" i="5"/>
  <c r="C699" i="5"/>
  <c r="C683" i="5"/>
  <c r="C675" i="5"/>
  <c r="C659" i="5"/>
  <c r="C643" i="5"/>
  <c r="C611" i="5"/>
  <c r="C603" i="5"/>
  <c r="C726" i="4"/>
  <c r="C529" i="4"/>
  <c r="C225" i="4"/>
  <c r="C549" i="4"/>
  <c r="C565" i="4"/>
  <c r="C517" i="4"/>
  <c r="C553" i="4"/>
  <c r="C557" i="4"/>
  <c r="C547" i="4"/>
  <c r="C708" i="4"/>
  <c r="C579" i="4"/>
  <c r="C616" i="4"/>
  <c r="C608" i="4"/>
  <c r="C568" i="4"/>
  <c r="C552" i="4"/>
  <c r="C520" i="4"/>
  <c r="C734" i="4"/>
  <c r="C694" i="4"/>
  <c r="C748" i="4"/>
  <c r="Q21" i="1"/>
  <c r="C596" i="6"/>
  <c r="C644" i="6"/>
  <c r="C549" i="6"/>
  <c r="S21" i="1"/>
  <c r="C524" i="6"/>
  <c r="C621" i="6"/>
  <c r="C612" i="6"/>
  <c r="C685" i="4"/>
  <c r="C718" i="4"/>
  <c r="C621" i="4"/>
  <c r="C607" i="4"/>
  <c r="C670" i="4"/>
  <c r="C742" i="4"/>
  <c r="C702" i="4"/>
  <c r="C732" i="5"/>
  <c r="C700" i="5"/>
  <c r="C636" i="5"/>
  <c r="C638" i="5"/>
  <c r="C691" i="5"/>
  <c r="C747" i="5"/>
  <c r="C694" i="5"/>
  <c r="C718" i="5"/>
  <c r="C740" i="5"/>
  <c r="C743" i="5"/>
  <c r="C722" i="5"/>
  <c r="C634" i="4"/>
  <c r="C199" i="4"/>
  <c r="C697" i="4"/>
  <c r="C722" i="4"/>
  <c r="C644" i="4"/>
  <c r="C613" i="4"/>
  <c r="C709" i="4"/>
  <c r="C39" i="4"/>
  <c r="C102" i="4"/>
  <c r="C390" i="4"/>
  <c r="C94" i="4"/>
  <c r="C135" i="4"/>
  <c r="C182" i="4"/>
  <c r="C422" i="4"/>
  <c r="C575" i="4"/>
  <c r="C439" i="4"/>
  <c r="C87" i="4"/>
  <c r="C743" i="4"/>
  <c r="C54" i="4"/>
  <c r="C407" i="4"/>
  <c r="C23" i="4"/>
  <c r="C167" i="4"/>
  <c r="C611" i="4"/>
  <c r="C654" i="4"/>
  <c r="C559" i="4"/>
  <c r="C215" i="4"/>
  <c r="C630" i="4"/>
  <c r="C707" i="4"/>
  <c r="C711" i="4"/>
  <c r="C223" i="4"/>
  <c r="C294" i="4"/>
  <c r="C303" i="4"/>
  <c r="C326" i="4"/>
  <c r="C335" i="4"/>
  <c r="C454" i="4"/>
  <c r="C503" i="4"/>
  <c r="C350" i="4"/>
  <c r="C366" i="4"/>
  <c r="C602" i="4"/>
  <c r="C286" i="4"/>
  <c r="C318" i="4"/>
  <c r="C382" i="4"/>
  <c r="C398" i="4"/>
  <c r="C478" i="4"/>
  <c r="C494" i="4"/>
  <c r="C510" i="4"/>
  <c r="C414" i="4"/>
  <c r="C430" i="4"/>
  <c r="C727" i="4"/>
  <c r="C606" i="4"/>
  <c r="C738" i="4"/>
  <c r="C542" i="4"/>
  <c r="C446" i="4"/>
  <c r="C119" i="4"/>
  <c r="C231" i="4"/>
  <c r="C238" i="4"/>
  <c r="C343" i="4"/>
  <c r="C358" i="4"/>
  <c r="C374" i="4"/>
  <c r="C463" i="4"/>
  <c r="C526" i="4"/>
  <c r="C625" i="4"/>
  <c r="C662" i="4"/>
  <c r="C695" i="4"/>
  <c r="C190" i="4"/>
  <c r="C278" i="4"/>
  <c r="C310" i="4"/>
  <c r="C585" i="4"/>
  <c r="C676" i="4"/>
  <c r="O19" i="1"/>
  <c r="Q19" i="1" s="1"/>
  <c r="C362" i="4"/>
  <c r="C394" i="4"/>
  <c r="C426" i="4"/>
  <c r="C458" i="4"/>
  <c r="C483" i="4"/>
  <c r="C506" i="4"/>
  <c r="C539" i="4"/>
  <c r="C627" i="4"/>
  <c r="C682" i="4"/>
  <c r="C706" i="4"/>
  <c r="C715" i="4"/>
  <c r="C739" i="4"/>
  <c r="C650" i="4"/>
  <c r="C674" i="4"/>
  <c r="C354" i="4"/>
  <c r="C386" i="4"/>
  <c r="C418" i="4"/>
  <c r="C450" i="4"/>
  <c r="C474" i="4"/>
  <c r="C618" i="4"/>
  <c r="C642" i="4"/>
  <c r="C730" i="4"/>
  <c r="C66" i="4"/>
  <c r="C194" i="4"/>
  <c r="C282" i="4"/>
  <c r="C290" i="4"/>
  <c r="C298" i="4"/>
  <c r="C306" i="4"/>
  <c r="C314" i="4"/>
  <c r="C322" i="4"/>
  <c r="C330" i="4"/>
  <c r="C338" i="4"/>
  <c r="C514" i="4"/>
  <c r="C590" i="4"/>
  <c r="C678" i="4"/>
  <c r="C746" i="4"/>
  <c r="C370" i="4"/>
  <c r="C402" i="4"/>
  <c r="C434" i="4"/>
  <c r="C570" i="4"/>
  <c r="C646" i="4"/>
  <c r="C270" i="4"/>
  <c r="C477" i="4"/>
  <c r="C476" i="4"/>
  <c r="C512" i="4"/>
  <c r="C535" i="4"/>
  <c r="C639" i="4"/>
  <c r="C640" i="4"/>
  <c r="C724" i="4"/>
  <c r="C103" i="5"/>
  <c r="C102" i="5"/>
  <c r="C588" i="5"/>
  <c r="C587" i="5"/>
  <c r="C31" i="6"/>
  <c r="C30" i="6"/>
  <c r="C639" i="6"/>
  <c r="C638" i="6"/>
  <c r="C278" i="6"/>
  <c r="C277" i="6"/>
  <c r="C541" i="4"/>
  <c r="C540" i="4"/>
  <c r="C241" i="5"/>
  <c r="C240" i="5"/>
  <c r="C620" i="5"/>
  <c r="C619" i="5"/>
  <c r="C26" i="4"/>
  <c r="C58" i="4"/>
  <c r="C154" i="4"/>
  <c r="C202" i="4"/>
  <c r="C218" i="4"/>
  <c r="C605" i="4"/>
  <c r="C604" i="4"/>
  <c r="C719" i="4"/>
  <c r="C720" i="4"/>
  <c r="C23" i="5"/>
  <c r="C22" i="5"/>
  <c r="C151" i="5"/>
  <c r="C150" i="5"/>
  <c r="C264" i="6"/>
  <c r="C263" i="6"/>
  <c r="C246" i="4"/>
  <c r="C471" i="4"/>
  <c r="C509" i="4"/>
  <c r="C508" i="4"/>
  <c r="C532" i="4"/>
  <c r="C531" i="4"/>
  <c r="C576" i="4"/>
  <c r="C599" i="4"/>
  <c r="C628" i="4"/>
  <c r="C671" i="4"/>
  <c r="C672" i="4"/>
  <c r="C71" i="5"/>
  <c r="C70" i="5"/>
  <c r="C199" i="5"/>
  <c r="C198" i="5"/>
  <c r="C231" i="5"/>
  <c r="C230" i="5"/>
  <c r="C263" i="5"/>
  <c r="C262" i="5"/>
  <c r="C318" i="5"/>
  <c r="C319" i="5"/>
  <c r="C559" i="5"/>
  <c r="C582" i="5"/>
  <c r="C706" i="5"/>
  <c r="C95" i="6"/>
  <c r="C94" i="6"/>
  <c r="C687" i="4"/>
  <c r="C688" i="4"/>
  <c r="C657" i="5"/>
  <c r="C209" i="5"/>
  <c r="C208" i="5"/>
  <c r="C74" i="4"/>
  <c r="C122" i="4"/>
  <c r="C138" i="4"/>
  <c r="C170" i="4"/>
  <c r="C186" i="4"/>
  <c r="C11" i="4"/>
  <c r="C43" i="4"/>
  <c r="C623" i="4"/>
  <c r="C624" i="4"/>
  <c r="C119" i="5"/>
  <c r="C118" i="5"/>
  <c r="C596" i="4"/>
  <c r="C595" i="4"/>
  <c r="C660" i="4"/>
  <c r="C193" i="5"/>
  <c r="C192" i="5"/>
  <c r="C274" i="4"/>
  <c r="C468" i="4"/>
  <c r="C467" i="4"/>
  <c r="C480" i="4"/>
  <c r="C500" i="4"/>
  <c r="C499" i="4"/>
  <c r="C544" i="4"/>
  <c r="C567" i="4"/>
  <c r="C655" i="4"/>
  <c r="C656" i="4"/>
  <c r="C740" i="4"/>
  <c r="C87" i="5"/>
  <c r="C86" i="5"/>
  <c r="C291" i="5"/>
  <c r="C290" i="5"/>
  <c r="C652" i="5"/>
  <c r="C651" i="5"/>
  <c r="C63" i="6"/>
  <c r="C62" i="6"/>
  <c r="C564" i="4"/>
  <c r="C563" i="4"/>
  <c r="C55" i="5"/>
  <c r="C54" i="5"/>
  <c r="C183" i="5"/>
  <c r="C182" i="5"/>
  <c r="C273" i="5"/>
  <c r="C272" i="5"/>
  <c r="C647" i="5"/>
  <c r="C646" i="5"/>
  <c r="C90" i="4"/>
  <c r="C106" i="4"/>
  <c r="C225" i="5"/>
  <c r="C224" i="5"/>
  <c r="C257" i="5"/>
  <c r="C256" i="5"/>
  <c r="C242" i="4"/>
  <c r="C254" i="4"/>
  <c r="C573" i="4"/>
  <c r="C572" i="4"/>
  <c r="C703" i="4"/>
  <c r="C704" i="4"/>
  <c r="C39" i="5"/>
  <c r="C38" i="5"/>
  <c r="C167" i="5"/>
  <c r="C166" i="5"/>
  <c r="C313" i="5"/>
  <c r="C262" i="4"/>
  <c r="C692" i="4"/>
  <c r="C735" i="4"/>
  <c r="R19" i="1"/>
  <c r="S19" i="1" s="1"/>
  <c r="C736" i="4"/>
  <c r="C135" i="5"/>
  <c r="C134" i="5"/>
  <c r="C215" i="5"/>
  <c r="C214" i="5"/>
  <c r="C247" i="5"/>
  <c r="C246" i="5"/>
  <c r="C348" i="5"/>
  <c r="C347" i="5"/>
  <c r="C511" i="5"/>
  <c r="C510" i="5"/>
  <c r="C633" i="5"/>
  <c r="C127" i="6"/>
  <c r="C126" i="6"/>
  <c r="C232" i="6"/>
  <c r="C231" i="6"/>
  <c r="C479" i="6"/>
  <c r="C478" i="6"/>
  <c r="C473" i="4"/>
  <c r="C315" i="5"/>
  <c r="C343" i="5"/>
  <c r="C342" i="5"/>
  <c r="C350" i="5"/>
  <c r="C349" i="5"/>
  <c r="C396" i="5"/>
  <c r="C395" i="5"/>
  <c r="C420" i="5"/>
  <c r="C419" i="5"/>
  <c r="C446" i="5"/>
  <c r="C518" i="5"/>
  <c r="C266" i="6"/>
  <c r="C265" i="6"/>
  <c r="C437" i="6"/>
  <c r="C438" i="6"/>
  <c r="C189" i="5"/>
  <c r="C188" i="5"/>
  <c r="C205" i="5"/>
  <c r="C204" i="5"/>
  <c r="C221" i="5"/>
  <c r="C220" i="5"/>
  <c r="C237" i="5"/>
  <c r="C236" i="5"/>
  <c r="C253" i="5"/>
  <c r="C252" i="5"/>
  <c r="C269" i="5"/>
  <c r="C268" i="5"/>
  <c r="C344" i="5"/>
  <c r="C397" i="5"/>
  <c r="C421" i="5"/>
  <c r="C465" i="5"/>
  <c r="C483" i="5"/>
  <c r="C482" i="5"/>
  <c r="C526" i="5"/>
  <c r="C567" i="5"/>
  <c r="C579" i="5"/>
  <c r="C665" i="5"/>
  <c r="C698" i="5"/>
  <c r="C38" i="6"/>
  <c r="C70" i="6"/>
  <c r="C102" i="6"/>
  <c r="C134" i="6"/>
  <c r="C182" i="6"/>
  <c r="C251" i="6"/>
  <c r="C18" i="5"/>
  <c r="C34" i="5"/>
  <c r="C66" i="5"/>
  <c r="C82" i="5"/>
  <c r="C98" i="5"/>
  <c r="C114" i="5"/>
  <c r="C130" i="5"/>
  <c r="C146" i="5"/>
  <c r="C162" i="5"/>
  <c r="C178" i="5"/>
  <c r="C194" i="5"/>
  <c r="C307" i="6"/>
  <c r="C306" i="6"/>
  <c r="C361" i="6"/>
  <c r="C360" i="6"/>
  <c r="C523" i="4"/>
  <c r="C555" i="4"/>
  <c r="C50" i="5"/>
  <c r="C344" i="4"/>
  <c r="C348" i="4"/>
  <c r="C352" i="4"/>
  <c r="C356" i="4"/>
  <c r="C360" i="4"/>
  <c r="C364" i="4"/>
  <c r="C368" i="4"/>
  <c r="C372" i="4"/>
  <c r="C376" i="4"/>
  <c r="C380" i="4"/>
  <c r="C384" i="4"/>
  <c r="C388" i="4"/>
  <c r="C392" i="4"/>
  <c r="C396" i="4"/>
  <c r="C400" i="4"/>
  <c r="C404" i="4"/>
  <c r="C408" i="4"/>
  <c r="C412" i="4"/>
  <c r="C416" i="4"/>
  <c r="C420" i="4"/>
  <c r="C424" i="4"/>
  <c r="C428" i="4"/>
  <c r="C432" i="4"/>
  <c r="C436" i="4"/>
  <c r="C440" i="4"/>
  <c r="C444" i="4"/>
  <c r="C448" i="4"/>
  <c r="C452" i="4"/>
  <c r="C456" i="4"/>
  <c r="C460" i="4"/>
  <c r="C464" i="4"/>
  <c r="C487" i="4"/>
  <c r="C496" i="4"/>
  <c r="C519" i="4"/>
  <c r="C528" i="4"/>
  <c r="C551" i="4"/>
  <c r="C560" i="4"/>
  <c r="C583" i="4"/>
  <c r="C592" i="4"/>
  <c r="C615" i="4"/>
  <c r="C620" i="4"/>
  <c r="C636" i="4"/>
  <c r="C652" i="4"/>
  <c r="C668" i="4"/>
  <c r="C684" i="4"/>
  <c r="C700" i="4"/>
  <c r="C716" i="4"/>
  <c r="C732" i="4"/>
  <c r="C185" i="5"/>
  <c r="C184" i="5"/>
  <c r="C201" i="5"/>
  <c r="C200" i="5"/>
  <c r="C217" i="5"/>
  <c r="C216" i="5"/>
  <c r="C233" i="5"/>
  <c r="C232" i="5"/>
  <c r="C249" i="5"/>
  <c r="C248" i="5"/>
  <c r="C265" i="5"/>
  <c r="C264" i="5"/>
  <c r="C294" i="5"/>
  <c r="C327" i="5"/>
  <c r="C351" i="5"/>
  <c r="C405" i="5"/>
  <c r="C429" i="5"/>
  <c r="C441" i="5"/>
  <c r="C472" i="5"/>
  <c r="C478" i="5"/>
  <c r="C477" i="5"/>
  <c r="C485" i="5"/>
  <c r="C495" i="5"/>
  <c r="C533" i="5"/>
  <c r="C593" i="5"/>
  <c r="C597" i="5"/>
  <c r="C680" i="5"/>
  <c r="C679" i="5"/>
  <c r="C15" i="6"/>
  <c r="C14" i="6"/>
  <c r="C47" i="6"/>
  <c r="C46" i="6"/>
  <c r="C79" i="6"/>
  <c r="C78" i="6"/>
  <c r="C111" i="6"/>
  <c r="C110" i="6"/>
  <c r="C143" i="6"/>
  <c r="C142" i="6"/>
  <c r="C587" i="4"/>
  <c r="C489" i="4"/>
  <c r="C492" i="4"/>
  <c r="C281" i="5"/>
  <c r="C435" i="5"/>
  <c r="C460" i="5"/>
  <c r="C459" i="5"/>
  <c r="C507" i="5"/>
  <c r="C171" i="6"/>
  <c r="C177" i="6"/>
  <c r="C485" i="4"/>
  <c r="C632" i="4"/>
  <c r="C648" i="4"/>
  <c r="C664" i="4"/>
  <c r="C680" i="4"/>
  <c r="C696" i="4"/>
  <c r="C712" i="4"/>
  <c r="C728" i="4"/>
  <c r="C744" i="4"/>
  <c r="C16" i="5"/>
  <c r="C32" i="5"/>
  <c r="C48" i="5"/>
  <c r="C64" i="5"/>
  <c r="C80" i="5"/>
  <c r="C96" i="5"/>
  <c r="C112" i="5"/>
  <c r="C128" i="5"/>
  <c r="C144" i="5"/>
  <c r="C160" i="5"/>
  <c r="C176" i="5"/>
  <c r="C181" i="5"/>
  <c r="C180" i="5"/>
  <c r="C197" i="5"/>
  <c r="C196" i="5"/>
  <c r="C213" i="5"/>
  <c r="C212" i="5"/>
  <c r="C229" i="5"/>
  <c r="C228" i="5"/>
  <c r="C245" i="5"/>
  <c r="C244" i="5"/>
  <c r="C261" i="5"/>
  <c r="C260" i="5"/>
  <c r="C364" i="5"/>
  <c r="C363" i="5"/>
  <c r="C376" i="5"/>
  <c r="C411" i="5"/>
  <c r="C431" i="5"/>
  <c r="C461" i="5"/>
  <c r="C480" i="5"/>
  <c r="C487" i="5"/>
  <c r="C569" i="5"/>
  <c r="C605" i="5"/>
  <c r="C688" i="5"/>
  <c r="C687" i="5"/>
  <c r="C315" i="6"/>
  <c r="C314" i="6"/>
  <c r="C300" i="5"/>
  <c r="C324" i="5"/>
  <c r="C334" i="5"/>
  <c r="C368" i="5"/>
  <c r="C392" i="5"/>
  <c r="C416" i="5"/>
  <c r="C456" i="5"/>
  <c r="C471" i="5"/>
  <c r="C502" i="5"/>
  <c r="C512" i="5"/>
  <c r="C517" i="5"/>
  <c r="C528" i="5"/>
  <c r="C543" i="5"/>
  <c r="C558" i="5"/>
  <c r="C584" i="5"/>
  <c r="C648" i="5"/>
  <c r="C653" i="5"/>
  <c r="C703" i="5"/>
  <c r="C152" i="6"/>
  <c r="C151" i="6"/>
  <c r="C201" i="6"/>
  <c r="C270" i="6"/>
  <c r="C282" i="6"/>
  <c r="C283" i="6"/>
  <c r="C296" i="6"/>
  <c r="C295" i="6"/>
  <c r="C335" i="6"/>
  <c r="C334" i="6"/>
  <c r="C407" i="6"/>
  <c r="C406" i="6"/>
  <c r="C461" i="6"/>
  <c r="C460" i="6"/>
  <c r="C494" i="6"/>
  <c r="C493" i="6"/>
  <c r="C303" i="6"/>
  <c r="C302" i="6"/>
  <c r="C342" i="6"/>
  <c r="C341" i="6"/>
  <c r="C401" i="6"/>
  <c r="C402" i="6"/>
  <c r="C527" i="6"/>
  <c r="C526" i="6"/>
  <c r="C408" i="5"/>
  <c r="C196" i="6"/>
  <c r="C195" i="6"/>
  <c r="C228" i="6"/>
  <c r="C227" i="6"/>
  <c r="C260" i="6"/>
  <c r="C259" i="6"/>
  <c r="C329" i="6"/>
  <c r="C381" i="6"/>
  <c r="C380" i="6"/>
  <c r="C475" i="6"/>
  <c r="C474" i="6"/>
  <c r="C288" i="5"/>
  <c r="C375" i="5"/>
  <c r="C428" i="5"/>
  <c r="C438" i="5"/>
  <c r="C464" i="5"/>
  <c r="C479" i="5"/>
  <c r="C520" i="5"/>
  <c r="C523" i="5"/>
  <c r="C566" i="5"/>
  <c r="C592" i="5"/>
  <c r="C624" i="5"/>
  <c r="C655" i="5"/>
  <c r="C662" i="5"/>
  <c r="C716" i="5"/>
  <c r="C715" i="5"/>
  <c r="C721" i="5"/>
  <c r="C167" i="6"/>
  <c r="C292" i="6"/>
  <c r="C291" i="6"/>
  <c r="C397" i="6"/>
  <c r="C396" i="6"/>
  <c r="C462" i="6"/>
  <c r="C279" i="5"/>
  <c r="C293" i="5"/>
  <c r="C332" i="5"/>
  <c r="C356" i="5"/>
  <c r="C366" i="5"/>
  <c r="C400" i="5"/>
  <c r="C424" i="5"/>
  <c r="C427" i="5"/>
  <c r="C525" i="5"/>
  <c r="C536" i="5"/>
  <c r="C556" i="5"/>
  <c r="C623" i="5"/>
  <c r="C630" i="5"/>
  <c r="C684" i="5"/>
  <c r="C717" i="5"/>
  <c r="C729" i="5"/>
  <c r="C735" i="5"/>
  <c r="C739" i="5"/>
  <c r="C155" i="6"/>
  <c r="C242" i="6"/>
  <c r="C255" i="6"/>
  <c r="C254" i="6"/>
  <c r="C325" i="6"/>
  <c r="C324" i="6"/>
  <c r="C352" i="6"/>
  <c r="C371" i="6"/>
  <c r="C370" i="6"/>
  <c r="C383" i="6"/>
  <c r="C382" i="6"/>
  <c r="C516" i="6"/>
  <c r="C712" i="5"/>
  <c r="C744" i="5"/>
  <c r="C157" i="6"/>
  <c r="C192" i="6"/>
  <c r="C224" i="6"/>
  <c r="C311" i="6"/>
  <c r="C388" i="6"/>
  <c r="C424" i="6"/>
  <c r="C443" i="6"/>
  <c r="C442" i="6"/>
  <c r="C480" i="6"/>
  <c r="C553" i="6"/>
  <c r="C626" i="6"/>
  <c r="C625" i="6"/>
  <c r="C635" i="6"/>
  <c r="C634" i="6"/>
  <c r="C499" i="6"/>
  <c r="C498" i="6"/>
  <c r="C594" i="6"/>
  <c r="C600" i="5"/>
  <c r="C632" i="5"/>
  <c r="C664" i="5"/>
  <c r="C696" i="5"/>
  <c r="C728" i="5"/>
  <c r="C160" i="6"/>
  <c r="C163" i="6"/>
  <c r="C200" i="6"/>
  <c r="C357" i="6"/>
  <c r="C398" i="6"/>
  <c r="C457" i="6"/>
  <c r="C510" i="6"/>
  <c r="C577" i="6"/>
  <c r="C576" i="6"/>
  <c r="C589" i="6"/>
  <c r="C276" i="5"/>
  <c r="C308" i="5"/>
  <c r="C340" i="5"/>
  <c r="C372" i="5"/>
  <c r="C404" i="5"/>
  <c r="C436" i="5"/>
  <c r="C468" i="5"/>
  <c r="C500" i="5"/>
  <c r="C532" i="5"/>
  <c r="C564" i="5"/>
  <c r="C596" i="5"/>
  <c r="C628" i="5"/>
  <c r="C660" i="5"/>
  <c r="C692" i="5"/>
  <c r="C724" i="5"/>
  <c r="C175" i="6"/>
  <c r="C199" i="6"/>
  <c r="C206" i="6"/>
  <c r="C333" i="6"/>
  <c r="C332" i="6"/>
  <c r="C351" i="6"/>
  <c r="C350" i="6"/>
  <c r="C393" i="6"/>
  <c r="C429" i="6"/>
  <c r="C433" i="6"/>
  <c r="C469" i="6"/>
  <c r="C530" i="6"/>
  <c r="C584" i="6"/>
  <c r="C256" i="6"/>
  <c r="C288" i="6"/>
  <c r="C321" i="6"/>
  <c r="C362" i="6"/>
  <c r="C449" i="6"/>
  <c r="C490" i="6"/>
  <c r="C571" i="6"/>
  <c r="C570" i="6"/>
  <c r="C440" i="6"/>
  <c r="C208" i="6"/>
  <c r="C240" i="6"/>
  <c r="C272" i="6"/>
  <c r="C304" i="6"/>
  <c r="C385" i="6"/>
  <c r="C426" i="6"/>
  <c r="C513" i="6"/>
  <c r="C539" i="6"/>
  <c r="C538" i="6"/>
  <c r="C544" i="6"/>
  <c r="C603" i="6"/>
  <c r="C602" i="6"/>
  <c r="C629" i="6"/>
  <c r="C172" i="6"/>
  <c r="C204" i="6"/>
  <c r="C236" i="6"/>
  <c r="C268" i="6"/>
  <c r="C300" i="6"/>
  <c r="C319" i="6"/>
  <c r="C339" i="6"/>
  <c r="C344" i="6"/>
  <c r="C375" i="6"/>
  <c r="C411" i="6"/>
  <c r="C447" i="6"/>
  <c r="C467" i="6"/>
  <c r="C472" i="6"/>
  <c r="C503" i="6"/>
  <c r="C540" i="6"/>
  <c r="C552" i="6"/>
  <c r="C558" i="6"/>
  <c r="C562" i="6"/>
  <c r="C574" i="6"/>
  <c r="C581" i="6"/>
  <c r="C535" i="6"/>
  <c r="C567" i="6"/>
  <c r="C599" i="6"/>
  <c r="C631" i="6"/>
  <c r="C608" i="6"/>
  <c r="C640" i="6"/>
  <c r="C327" i="6"/>
  <c r="C359" i="6"/>
  <c r="C391" i="6"/>
  <c r="C423" i="6"/>
  <c r="C455" i="6"/>
  <c r="C487" i="6"/>
  <c r="C519" i="6"/>
  <c r="C551" i="6"/>
  <c r="C583" i="6"/>
  <c r="C615" i="6"/>
  <c r="C647" i="6"/>
  <c r="C323" i="6"/>
  <c r="C355" i="6"/>
  <c r="C387" i="6"/>
  <c r="C419" i="6"/>
  <c r="C451" i="6"/>
  <c r="C483" i="6"/>
  <c r="C515" i="6"/>
  <c r="C547" i="6"/>
  <c r="C579" i="6"/>
  <c r="C611" i="6"/>
  <c r="C643" i="6"/>
  <c r="Q20" i="1" l="1"/>
</calcChain>
</file>

<file path=xl/sharedStrings.xml><?xml version="1.0" encoding="utf-8"?>
<sst xmlns="http://schemas.openxmlformats.org/spreadsheetml/2006/main" count="52" uniqueCount="36">
  <si>
    <t>Housing Market</t>
  </si>
  <si>
    <t>Definition</t>
  </si>
  <si>
    <t>Building permits provide an estimate of the number of new housing units that have been authorized by the government during a given month.
Building permits provide a picture about the housing market in the near future.
When there is an increase in building permits, that is a good indication that the housing market might record investment in the future.</t>
  </si>
  <si>
    <t>Building Permits Authorised</t>
  </si>
  <si>
    <t xml:space="preserve"> =&gt;</t>
  </si>
  <si>
    <t>Housing Start</t>
  </si>
  <si>
    <t>Housing Completion</t>
  </si>
  <si>
    <t>Leading Indicator</t>
  </si>
  <si>
    <t>Co-incident indicator</t>
  </si>
  <si>
    <t>Lagging indicator</t>
  </si>
  <si>
    <t>https://www.census.gov/construction/bps/</t>
  </si>
  <si>
    <t>Process / TO DO LIST</t>
  </si>
  <si>
    <t>Summary</t>
  </si>
  <si>
    <t>TO DO LIST</t>
  </si>
  <si>
    <t>Comments</t>
  </si>
  <si>
    <t>mom</t>
  </si>
  <si>
    <t>yoy</t>
  </si>
  <si>
    <t>https://fred.stlouisfed.org/series/PERMIT</t>
  </si>
  <si>
    <t>New Private Housing Units Authorized by Building Permits (PERMIT)</t>
  </si>
  <si>
    <t>Last</t>
  </si>
  <si>
    <t>Var.</t>
  </si>
  <si>
    <t>https://fred.stlouisfed.org/series/HOUST</t>
  </si>
  <si>
    <t>Housing Starts: Total: New Privately Owned Housing Units Started (</t>
  </si>
  <si>
    <t>Permit</t>
  </si>
  <si>
    <t>https://fred.stlouisfed.org/series/COMPUTSa</t>
  </si>
  <si>
    <t>New Privately-Owned Housing Units Completed: Total</t>
  </si>
  <si>
    <t>Started</t>
  </si>
  <si>
    <t>Completed</t>
  </si>
  <si>
    <t>DATE</t>
  </si>
  <si>
    <t>COMPUTSA</t>
  </si>
  <si>
    <t>HOUST</t>
  </si>
  <si>
    <t>PERMIT</t>
  </si>
  <si>
    <t>Date</t>
  </si>
  <si>
    <t>Building Permits</t>
  </si>
  <si>
    <t>% mom</t>
  </si>
  <si>
    <t>https://www.nahb.org/news-and-economics/housing-economics/indices/housing-market-index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</si>
</sst>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dd\-mm\-yyyy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sz val="11"/>
      <color rgb="FF333333"/>
      <name val="Calibri"/>
      <family val="2"/>
      <scheme val="minor"/>
    </font>
    <font>
      <sz val="14"/>
      <color rgb="FF00000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sz val="14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2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9" fontId="1" fillId="0" borderId="0"/>
    <xf numFmtId="0" fontId="4" fillId="0" borderId="0"/>
    <xf numFmtId="0" fontId="5" fillId="0" borderId="0"/>
  </cellStyleXfs>
  <cellXfs count="64">
    <xf numFmtId="0" fontId="0" fillId="0" borderId="0" xfId="0"/>
    <xf numFmtId="14" fontId="0" fillId="2" borderId="0" xfId="0" applyNumberFormat="1" applyFill="1"/>
    <xf numFmtId="0" fontId="0" fillId="2" borderId="0" xfId="0" applyFill="1" applyAlignment="1">
      <alignment vertical="center"/>
    </xf>
    <xf numFmtId="0" fontId="6" fillId="2" borderId="0" xfId="3" applyFont="1" applyFill="1"/>
    <xf numFmtId="0" fontId="3" fillId="2" borderId="0" xfId="0" applyFont="1" applyFill="1"/>
    <xf numFmtId="0" fontId="0" fillId="0" borderId="0" xfId="0" applyAlignment="1">
      <alignment vertical="center"/>
    </xf>
    <xf numFmtId="0" fontId="0" fillId="3" borderId="7" xfId="0" applyFill="1" applyBorder="1" applyAlignment="1">
      <alignment horizontal="center" wrapText="1"/>
    </xf>
    <xf numFmtId="0" fontId="0" fillId="3" borderId="8" xfId="0" applyFill="1" applyBorder="1" applyAlignment="1">
      <alignment horizontal="center" wrapText="1"/>
    </xf>
    <xf numFmtId="0" fontId="0" fillId="3" borderId="9" xfId="0" applyFill="1" applyBorder="1" applyAlignment="1">
      <alignment horizontal="center" wrapText="1"/>
    </xf>
    <xf numFmtId="14" fontId="0" fillId="2" borderId="6" xfId="0" applyNumberFormat="1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8" fillId="0" borderId="0" xfId="0" applyFont="1"/>
    <xf numFmtId="14" fontId="0" fillId="2" borderId="6" xfId="0" applyNumberFormat="1" applyFill="1" applyBorder="1" applyAlignment="1">
      <alignment horizontal="center" wrapText="1"/>
    </xf>
    <xf numFmtId="0" fontId="0" fillId="2" borderId="8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12" xfId="0" applyFill="1" applyBorder="1" applyAlignment="1">
      <alignment horizontal="center"/>
    </xf>
    <xf numFmtId="0" fontId="3" fillId="2" borderId="14" xfId="0" applyFont="1" applyFill="1" applyBorder="1"/>
    <xf numFmtId="0" fontId="3" fillId="2" borderId="16" xfId="0" applyFont="1" applyFill="1" applyBorder="1"/>
    <xf numFmtId="0" fontId="3" fillId="2" borderId="15" xfId="0" applyFont="1" applyFill="1" applyBorder="1"/>
    <xf numFmtId="14" fontId="9" fillId="2" borderId="14" xfId="0" applyNumberFormat="1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3" fillId="2" borderId="9" xfId="0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3" fillId="2" borderId="15" xfId="0" applyFont="1" applyFill="1" applyBorder="1" applyAlignment="1">
      <alignment horizontal="center"/>
    </xf>
    <xf numFmtId="0" fontId="3" fillId="2" borderId="0" xfId="0" applyFont="1" applyFill="1" applyAlignment="1">
      <alignment horizontal="center"/>
    </xf>
    <xf numFmtId="0" fontId="3" fillId="2" borderId="11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164" fontId="0" fillId="2" borderId="6" xfId="1" applyNumberFormat="1" applyFont="1" applyFill="1" applyBorder="1" applyAlignment="1">
      <alignment horizontal="center"/>
    </xf>
    <xf numFmtId="0" fontId="3" fillId="2" borderId="17" xfId="0" applyFont="1" applyFill="1" applyBorder="1"/>
    <xf numFmtId="0" fontId="0" fillId="2" borderId="18" xfId="0" applyFill="1" applyBorder="1"/>
    <xf numFmtId="0" fontId="10" fillId="2" borderId="18" xfId="0" applyFont="1" applyFill="1" applyBorder="1" applyAlignment="1">
      <alignment horizontal="center"/>
    </xf>
    <xf numFmtId="0" fontId="3" fillId="2" borderId="18" xfId="0" applyFont="1" applyFill="1" applyBorder="1"/>
    <xf numFmtId="0" fontId="10" fillId="2" borderId="18" xfId="0" applyFont="1" applyFill="1" applyBorder="1"/>
    <xf numFmtId="0" fontId="0" fillId="2" borderId="19" xfId="0" applyFill="1" applyBorder="1"/>
    <xf numFmtId="0" fontId="0" fillId="2" borderId="20" xfId="0" applyFill="1" applyBorder="1"/>
    <xf numFmtId="0" fontId="0" fillId="2" borderId="21" xfId="0" applyFill="1" applyBorder="1"/>
    <xf numFmtId="0" fontId="0" fillId="2" borderId="22" xfId="0" applyFill="1" applyBorder="1"/>
    <xf numFmtId="164" fontId="0" fillId="2" borderId="0" xfId="1" applyNumberFormat="1" applyFont="1" applyFill="1" applyAlignment="1">
      <alignment horizontal="center"/>
    </xf>
    <xf numFmtId="164" fontId="0" fillId="2" borderId="8" xfId="1" applyNumberFormat="1" applyFont="1" applyFill="1" applyBorder="1" applyAlignment="1">
      <alignment horizontal="center"/>
    </xf>
    <xf numFmtId="164" fontId="0" fillId="2" borderId="1" xfId="1" applyNumberFormat="1" applyFont="1" applyFill="1" applyBorder="1" applyAlignment="1">
      <alignment horizontal="center"/>
    </xf>
    <xf numFmtId="164" fontId="0" fillId="2" borderId="9" xfId="1" applyNumberFormat="1" applyFont="1" applyFill="1" applyBorder="1" applyAlignment="1">
      <alignment horizontal="center"/>
    </xf>
    <xf numFmtId="164" fontId="0" fillId="2" borderId="11" xfId="1" applyNumberFormat="1" applyFont="1" applyFill="1" applyBorder="1" applyAlignment="1">
      <alignment horizontal="center"/>
    </xf>
    <xf numFmtId="164" fontId="0" fillId="2" borderId="13" xfId="1" applyNumberFormat="1" applyFont="1" applyFill="1" applyBorder="1" applyAlignment="1">
      <alignment horizontal="center"/>
    </xf>
    <xf numFmtId="0" fontId="0" fillId="2" borderId="0" xfId="0" applyFill="1"/>
    <xf numFmtId="0" fontId="4" fillId="2" borderId="0" xfId="2" applyFill="1"/>
    <xf numFmtId="165" fontId="0" fillId="0" borderId="0" xfId="0" applyNumberFormat="1"/>
    <xf numFmtId="0" fontId="0" fillId="2" borderId="0" xfId="0" applyFill="1"/>
    <xf numFmtId="0" fontId="7" fillId="2" borderId="0" xfId="0" applyFont="1" applyFill="1" applyAlignment="1">
      <alignment wrapText="1"/>
    </xf>
    <xf numFmtId="0" fontId="0" fillId="2" borderId="0" xfId="0" applyFill="1"/>
    <xf numFmtId="0" fontId="0" fillId="2" borderId="0" xfId="0" applyFill="1" applyAlignment="1">
      <alignment wrapText="1"/>
    </xf>
    <xf numFmtId="0" fontId="3" fillId="4" borderId="6" xfId="0" applyFont="1" applyFill="1" applyBorder="1" applyAlignment="1">
      <alignment horizontal="center"/>
    </xf>
    <xf numFmtId="0" fontId="0" fillId="0" borderId="4" xfId="0" applyBorder="1"/>
    <xf numFmtId="0" fontId="0" fillId="0" borderId="5" xfId="0" applyBorder="1"/>
    <xf numFmtId="0" fontId="3" fillId="2" borderId="1" xfId="0" applyFont="1" applyFill="1" applyBorder="1" applyAlignment="1">
      <alignment horizontal="center" vertical="center"/>
    </xf>
    <xf numFmtId="0" fontId="0" fillId="0" borderId="1" xfId="0" applyBorder="1"/>
    <xf numFmtId="0" fontId="2" fillId="3" borderId="23" xfId="0" applyFont="1" applyFill="1" applyBorder="1" applyAlignment="1">
      <alignment horizontal="center"/>
    </xf>
    <xf numFmtId="0" fontId="0" fillId="0" borderId="2" xfId="0" applyBorder="1"/>
    <xf numFmtId="0" fontId="0" fillId="0" borderId="3" xfId="0" applyBorder="1"/>
    <xf numFmtId="0" fontId="0" fillId="2" borderId="0" xfId="0" applyFill="1" applyAlignment="1">
      <alignment vertical="center" wrapText="1"/>
    </xf>
    <xf numFmtId="0" fontId="4" fillId="2" borderId="0" xfId="2" applyFill="1"/>
    <xf numFmtId="0" fontId="4" fillId="0" borderId="0" xfId="2"/>
  </cellXfs>
  <cellStyles count="4">
    <cellStyle name="Hyperlink" xfId="2" builtinId="8"/>
    <cellStyle name="Normal" xfId="0" builtinId="0"/>
    <cellStyle name="Normal 3" xfId="3" xr:uid="{00000000-0005-0000-0000-000003000000}"/>
    <cellStyle name="Per cent" xfId="1" builtinId="5"/>
  </cellStyles>
  <dxfs count="20">
    <dxf>
      <font>
        <color rgb="FF00B050"/>
      </font>
      <fill>
        <patternFill>
          <bgColor theme="0"/>
        </patternFill>
      </fill>
    </dxf>
    <dxf>
      <font>
        <color rgb="FFFF0000"/>
      </font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dd/mm/yy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dd/mm/yy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dd/mm/yy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Building Permits since</a:t>
            </a:r>
            <a:r>
              <a:rPr lang="en-US" b="1" baseline="0"/>
              <a:t> 1960</a:t>
            </a:r>
            <a:endParaRPr lang="en-US" b="1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'Building Permits - Authorized'!$B$6</c:f>
              <c:strCache>
                <c:ptCount val="1"/>
                <c:pt idx="0">
                  <c:v>Building Permits</c:v>
                </c:pt>
              </c:strCache>
            </c:strRef>
          </c:tx>
          <c:spPr>
            <a:ln w="28575" cap="rnd">
              <a:solidFill>
                <a:srgbClr val="00B050"/>
              </a:solidFill>
              <a:prstDash val="solid"/>
              <a:round/>
            </a:ln>
          </c:spPr>
          <c:marker>
            <c:symbol val="none"/>
          </c:marker>
          <c:cat>
            <c:numRef>
              <c:f>'Building Permits - Authorized'!$A$7:$A$758</c:f>
              <c:numCache>
                <c:formatCode>m/d/yy</c:formatCode>
                <c:ptCount val="752"/>
                <c:pt idx="0">
                  <c:v>21916</c:v>
                </c:pt>
                <c:pt idx="1">
                  <c:v>21947</c:v>
                </c:pt>
                <c:pt idx="2">
                  <c:v>21976</c:v>
                </c:pt>
                <c:pt idx="3">
                  <c:v>22007</c:v>
                </c:pt>
                <c:pt idx="4">
                  <c:v>22037</c:v>
                </c:pt>
                <c:pt idx="5">
                  <c:v>22068</c:v>
                </c:pt>
                <c:pt idx="6">
                  <c:v>22098</c:v>
                </c:pt>
                <c:pt idx="7">
                  <c:v>22129</c:v>
                </c:pt>
                <c:pt idx="8">
                  <c:v>22160</c:v>
                </c:pt>
                <c:pt idx="9">
                  <c:v>22190</c:v>
                </c:pt>
                <c:pt idx="10">
                  <c:v>22221</c:v>
                </c:pt>
                <c:pt idx="11">
                  <c:v>22251</c:v>
                </c:pt>
                <c:pt idx="12">
                  <c:v>22282</c:v>
                </c:pt>
                <c:pt idx="13">
                  <c:v>22313</c:v>
                </c:pt>
                <c:pt idx="14">
                  <c:v>22341</c:v>
                </c:pt>
                <c:pt idx="15">
                  <c:v>22372</c:v>
                </c:pt>
                <c:pt idx="16">
                  <c:v>22402</c:v>
                </c:pt>
                <c:pt idx="17">
                  <c:v>22433</c:v>
                </c:pt>
                <c:pt idx="18">
                  <c:v>22463</c:v>
                </c:pt>
                <c:pt idx="19">
                  <c:v>22494</c:v>
                </c:pt>
                <c:pt idx="20">
                  <c:v>22525</c:v>
                </c:pt>
                <c:pt idx="21">
                  <c:v>22555</c:v>
                </c:pt>
                <c:pt idx="22">
                  <c:v>22586</c:v>
                </c:pt>
                <c:pt idx="23">
                  <c:v>22616</c:v>
                </c:pt>
                <c:pt idx="24">
                  <c:v>22647</c:v>
                </c:pt>
                <c:pt idx="25">
                  <c:v>22678</c:v>
                </c:pt>
                <c:pt idx="26">
                  <c:v>22706</c:v>
                </c:pt>
                <c:pt idx="27">
                  <c:v>22737</c:v>
                </c:pt>
                <c:pt idx="28">
                  <c:v>22767</c:v>
                </c:pt>
                <c:pt idx="29">
                  <c:v>22798</c:v>
                </c:pt>
                <c:pt idx="30">
                  <c:v>22828</c:v>
                </c:pt>
                <c:pt idx="31">
                  <c:v>22859</c:v>
                </c:pt>
                <c:pt idx="32">
                  <c:v>22890</c:v>
                </c:pt>
                <c:pt idx="33">
                  <c:v>22920</c:v>
                </c:pt>
                <c:pt idx="34">
                  <c:v>22951</c:v>
                </c:pt>
                <c:pt idx="35">
                  <c:v>22981</c:v>
                </c:pt>
                <c:pt idx="36">
                  <c:v>23012</c:v>
                </c:pt>
                <c:pt idx="37">
                  <c:v>23043</c:v>
                </c:pt>
                <c:pt idx="38">
                  <c:v>23071</c:v>
                </c:pt>
                <c:pt idx="39">
                  <c:v>23102</c:v>
                </c:pt>
                <c:pt idx="40">
                  <c:v>23132</c:v>
                </c:pt>
                <c:pt idx="41">
                  <c:v>23163</c:v>
                </c:pt>
                <c:pt idx="42">
                  <c:v>23193</c:v>
                </c:pt>
                <c:pt idx="43">
                  <c:v>23224</c:v>
                </c:pt>
                <c:pt idx="44">
                  <c:v>23255</c:v>
                </c:pt>
                <c:pt idx="45">
                  <c:v>23285</c:v>
                </c:pt>
                <c:pt idx="46">
                  <c:v>23316</c:v>
                </c:pt>
                <c:pt idx="47">
                  <c:v>23346</c:v>
                </c:pt>
                <c:pt idx="48">
                  <c:v>23377</c:v>
                </c:pt>
                <c:pt idx="49">
                  <c:v>23408</c:v>
                </c:pt>
                <c:pt idx="50">
                  <c:v>23437</c:v>
                </c:pt>
                <c:pt idx="51">
                  <c:v>23468</c:v>
                </c:pt>
                <c:pt idx="52">
                  <c:v>23498</c:v>
                </c:pt>
                <c:pt idx="53">
                  <c:v>23529</c:v>
                </c:pt>
                <c:pt idx="54">
                  <c:v>23559</c:v>
                </c:pt>
                <c:pt idx="55">
                  <c:v>23590</c:v>
                </c:pt>
                <c:pt idx="56">
                  <c:v>23621</c:v>
                </c:pt>
                <c:pt idx="57">
                  <c:v>23651</c:v>
                </c:pt>
                <c:pt idx="58">
                  <c:v>23682</c:v>
                </c:pt>
                <c:pt idx="59">
                  <c:v>23712</c:v>
                </c:pt>
                <c:pt idx="60">
                  <c:v>23743</c:v>
                </c:pt>
                <c:pt idx="61">
                  <c:v>23774</c:v>
                </c:pt>
                <c:pt idx="62">
                  <c:v>23802</c:v>
                </c:pt>
                <c:pt idx="63">
                  <c:v>23833</c:v>
                </c:pt>
                <c:pt idx="64">
                  <c:v>23863</c:v>
                </c:pt>
                <c:pt idx="65">
                  <c:v>23894</c:v>
                </c:pt>
                <c:pt idx="66">
                  <c:v>23924</c:v>
                </c:pt>
                <c:pt idx="67">
                  <c:v>23955</c:v>
                </c:pt>
                <c:pt idx="68">
                  <c:v>23986</c:v>
                </c:pt>
                <c:pt idx="69">
                  <c:v>24016</c:v>
                </c:pt>
                <c:pt idx="70">
                  <c:v>24047</c:v>
                </c:pt>
                <c:pt idx="71">
                  <c:v>24077</c:v>
                </c:pt>
                <c:pt idx="72">
                  <c:v>24108</c:v>
                </c:pt>
                <c:pt idx="73">
                  <c:v>24139</c:v>
                </c:pt>
                <c:pt idx="74">
                  <c:v>24167</c:v>
                </c:pt>
                <c:pt idx="75">
                  <c:v>24198</c:v>
                </c:pt>
                <c:pt idx="76">
                  <c:v>24228</c:v>
                </c:pt>
                <c:pt idx="77">
                  <c:v>24259</c:v>
                </c:pt>
                <c:pt idx="78">
                  <c:v>24289</c:v>
                </c:pt>
                <c:pt idx="79">
                  <c:v>24320</c:v>
                </c:pt>
                <c:pt idx="80">
                  <c:v>24351</c:v>
                </c:pt>
                <c:pt idx="81">
                  <c:v>24381</c:v>
                </c:pt>
                <c:pt idx="82">
                  <c:v>24412</c:v>
                </c:pt>
                <c:pt idx="83">
                  <c:v>24442</c:v>
                </c:pt>
                <c:pt idx="84">
                  <c:v>24473</c:v>
                </c:pt>
                <c:pt idx="85">
                  <c:v>24504</c:v>
                </c:pt>
                <c:pt idx="86">
                  <c:v>24532</c:v>
                </c:pt>
                <c:pt idx="87">
                  <c:v>24563</c:v>
                </c:pt>
                <c:pt idx="88">
                  <c:v>24593</c:v>
                </c:pt>
                <c:pt idx="89">
                  <c:v>24624</c:v>
                </c:pt>
                <c:pt idx="90">
                  <c:v>24654</c:v>
                </c:pt>
                <c:pt idx="91">
                  <c:v>24685</c:v>
                </c:pt>
                <c:pt idx="92">
                  <c:v>24716</c:v>
                </c:pt>
                <c:pt idx="93">
                  <c:v>24746</c:v>
                </c:pt>
                <c:pt idx="94">
                  <c:v>24777</c:v>
                </c:pt>
                <c:pt idx="95">
                  <c:v>24807</c:v>
                </c:pt>
                <c:pt idx="96">
                  <c:v>24838</c:v>
                </c:pt>
                <c:pt idx="97">
                  <c:v>24869</c:v>
                </c:pt>
                <c:pt idx="98">
                  <c:v>24898</c:v>
                </c:pt>
                <c:pt idx="99">
                  <c:v>24929</c:v>
                </c:pt>
                <c:pt idx="100">
                  <c:v>24959</c:v>
                </c:pt>
                <c:pt idx="101">
                  <c:v>24990</c:v>
                </c:pt>
                <c:pt idx="102">
                  <c:v>25020</c:v>
                </c:pt>
                <c:pt idx="103">
                  <c:v>25051</c:v>
                </c:pt>
                <c:pt idx="104">
                  <c:v>25082</c:v>
                </c:pt>
                <c:pt idx="105">
                  <c:v>25112</c:v>
                </c:pt>
                <c:pt idx="106">
                  <c:v>25143</c:v>
                </c:pt>
                <c:pt idx="107">
                  <c:v>25173</c:v>
                </c:pt>
                <c:pt idx="108">
                  <c:v>25204</c:v>
                </c:pt>
                <c:pt idx="109">
                  <c:v>25235</c:v>
                </c:pt>
                <c:pt idx="110">
                  <c:v>25263</c:v>
                </c:pt>
                <c:pt idx="111">
                  <c:v>25294</c:v>
                </c:pt>
                <c:pt idx="112">
                  <c:v>25324</c:v>
                </c:pt>
                <c:pt idx="113">
                  <c:v>25355</c:v>
                </c:pt>
                <c:pt idx="114">
                  <c:v>25385</c:v>
                </c:pt>
                <c:pt idx="115">
                  <c:v>25416</c:v>
                </c:pt>
                <c:pt idx="116">
                  <c:v>25447</c:v>
                </c:pt>
                <c:pt idx="117">
                  <c:v>25477</c:v>
                </c:pt>
                <c:pt idx="118">
                  <c:v>25508</c:v>
                </c:pt>
                <c:pt idx="119">
                  <c:v>25538</c:v>
                </c:pt>
                <c:pt idx="120">
                  <c:v>25569</c:v>
                </c:pt>
                <c:pt idx="121">
                  <c:v>25600</c:v>
                </c:pt>
                <c:pt idx="122">
                  <c:v>25628</c:v>
                </c:pt>
                <c:pt idx="123">
                  <c:v>25659</c:v>
                </c:pt>
                <c:pt idx="124">
                  <c:v>25689</c:v>
                </c:pt>
                <c:pt idx="125">
                  <c:v>25720</c:v>
                </c:pt>
                <c:pt idx="126">
                  <c:v>25750</c:v>
                </c:pt>
                <c:pt idx="127">
                  <c:v>25781</c:v>
                </c:pt>
                <c:pt idx="128">
                  <c:v>25812</c:v>
                </c:pt>
                <c:pt idx="129">
                  <c:v>25842</c:v>
                </c:pt>
                <c:pt idx="130">
                  <c:v>25873</c:v>
                </c:pt>
                <c:pt idx="131">
                  <c:v>25903</c:v>
                </c:pt>
                <c:pt idx="132">
                  <c:v>25934</c:v>
                </c:pt>
                <c:pt idx="133">
                  <c:v>25965</c:v>
                </c:pt>
                <c:pt idx="134">
                  <c:v>25993</c:v>
                </c:pt>
                <c:pt idx="135">
                  <c:v>26024</c:v>
                </c:pt>
                <c:pt idx="136">
                  <c:v>26054</c:v>
                </c:pt>
                <c:pt idx="137">
                  <c:v>26085</c:v>
                </c:pt>
                <c:pt idx="138">
                  <c:v>26115</c:v>
                </c:pt>
                <c:pt idx="139">
                  <c:v>26146</c:v>
                </c:pt>
                <c:pt idx="140">
                  <c:v>26177</c:v>
                </c:pt>
                <c:pt idx="141">
                  <c:v>26207</c:v>
                </c:pt>
                <c:pt idx="142">
                  <c:v>26238</c:v>
                </c:pt>
                <c:pt idx="143">
                  <c:v>26268</c:v>
                </c:pt>
                <c:pt idx="144">
                  <c:v>26299</c:v>
                </c:pt>
                <c:pt idx="145">
                  <c:v>26330</c:v>
                </c:pt>
                <c:pt idx="146">
                  <c:v>26359</c:v>
                </c:pt>
                <c:pt idx="147">
                  <c:v>26390</c:v>
                </c:pt>
                <c:pt idx="148">
                  <c:v>26420</c:v>
                </c:pt>
                <c:pt idx="149">
                  <c:v>26451</c:v>
                </c:pt>
                <c:pt idx="150">
                  <c:v>26481</c:v>
                </c:pt>
                <c:pt idx="151">
                  <c:v>26512</c:v>
                </c:pt>
                <c:pt idx="152">
                  <c:v>26543</c:v>
                </c:pt>
                <c:pt idx="153">
                  <c:v>26573</c:v>
                </c:pt>
                <c:pt idx="154">
                  <c:v>26604</c:v>
                </c:pt>
                <c:pt idx="155">
                  <c:v>26634</c:v>
                </c:pt>
                <c:pt idx="156">
                  <c:v>26665</c:v>
                </c:pt>
                <c:pt idx="157">
                  <c:v>26696</c:v>
                </c:pt>
                <c:pt idx="158">
                  <c:v>26724</c:v>
                </c:pt>
                <c:pt idx="159">
                  <c:v>26755</c:v>
                </c:pt>
                <c:pt idx="160">
                  <c:v>26785</c:v>
                </c:pt>
                <c:pt idx="161">
                  <c:v>26816</c:v>
                </c:pt>
                <c:pt idx="162">
                  <c:v>26846</c:v>
                </c:pt>
                <c:pt idx="163">
                  <c:v>26877</c:v>
                </c:pt>
                <c:pt idx="164">
                  <c:v>26908</c:v>
                </c:pt>
                <c:pt idx="165">
                  <c:v>26938</c:v>
                </c:pt>
                <c:pt idx="166">
                  <c:v>26969</c:v>
                </c:pt>
                <c:pt idx="167">
                  <c:v>26999</c:v>
                </c:pt>
                <c:pt idx="168">
                  <c:v>27030</c:v>
                </c:pt>
                <c:pt idx="169">
                  <c:v>27061</c:v>
                </c:pt>
                <c:pt idx="170">
                  <c:v>27089</c:v>
                </c:pt>
                <c:pt idx="171">
                  <c:v>27120</c:v>
                </c:pt>
                <c:pt idx="172">
                  <c:v>27150</c:v>
                </c:pt>
                <c:pt idx="173">
                  <c:v>27181</c:v>
                </c:pt>
                <c:pt idx="174">
                  <c:v>27211</c:v>
                </c:pt>
                <c:pt idx="175">
                  <c:v>27242</c:v>
                </c:pt>
                <c:pt idx="176">
                  <c:v>27273</c:v>
                </c:pt>
                <c:pt idx="177">
                  <c:v>27303</c:v>
                </c:pt>
                <c:pt idx="178">
                  <c:v>27334</c:v>
                </c:pt>
                <c:pt idx="179">
                  <c:v>27364</c:v>
                </c:pt>
                <c:pt idx="180">
                  <c:v>27395</c:v>
                </c:pt>
                <c:pt idx="181">
                  <c:v>27426</c:v>
                </c:pt>
                <c:pt idx="182">
                  <c:v>27454</c:v>
                </c:pt>
                <c:pt idx="183">
                  <c:v>27485</c:v>
                </c:pt>
                <c:pt idx="184">
                  <c:v>27515</c:v>
                </c:pt>
                <c:pt idx="185">
                  <c:v>27546</c:v>
                </c:pt>
                <c:pt idx="186">
                  <c:v>27576</c:v>
                </c:pt>
                <c:pt idx="187">
                  <c:v>27607</c:v>
                </c:pt>
                <c:pt idx="188">
                  <c:v>27638</c:v>
                </c:pt>
                <c:pt idx="189">
                  <c:v>27668</c:v>
                </c:pt>
                <c:pt idx="190">
                  <c:v>27699</c:v>
                </c:pt>
                <c:pt idx="191">
                  <c:v>27729</c:v>
                </c:pt>
                <c:pt idx="192">
                  <c:v>27760</c:v>
                </c:pt>
                <c:pt idx="193">
                  <c:v>27791</c:v>
                </c:pt>
                <c:pt idx="194">
                  <c:v>27820</c:v>
                </c:pt>
                <c:pt idx="195">
                  <c:v>27851</c:v>
                </c:pt>
                <c:pt idx="196">
                  <c:v>27881</c:v>
                </c:pt>
                <c:pt idx="197">
                  <c:v>27912</c:v>
                </c:pt>
                <c:pt idx="198">
                  <c:v>27942</c:v>
                </c:pt>
                <c:pt idx="199">
                  <c:v>27973</c:v>
                </c:pt>
                <c:pt idx="200">
                  <c:v>28004</c:v>
                </c:pt>
                <c:pt idx="201">
                  <c:v>28034</c:v>
                </c:pt>
                <c:pt idx="202">
                  <c:v>28065</c:v>
                </c:pt>
                <c:pt idx="203">
                  <c:v>28095</c:v>
                </c:pt>
                <c:pt idx="204">
                  <c:v>28126</c:v>
                </c:pt>
                <c:pt idx="205">
                  <c:v>28157</c:v>
                </c:pt>
                <c:pt idx="206">
                  <c:v>28185</c:v>
                </c:pt>
                <c:pt idx="207">
                  <c:v>28216</c:v>
                </c:pt>
                <c:pt idx="208">
                  <c:v>28246</c:v>
                </c:pt>
                <c:pt idx="209">
                  <c:v>28277</c:v>
                </c:pt>
                <c:pt idx="210">
                  <c:v>28307</c:v>
                </c:pt>
                <c:pt idx="211">
                  <c:v>28338</c:v>
                </c:pt>
                <c:pt idx="212">
                  <c:v>28369</c:v>
                </c:pt>
                <c:pt idx="213">
                  <c:v>28399</c:v>
                </c:pt>
                <c:pt idx="214">
                  <c:v>28430</c:v>
                </c:pt>
                <c:pt idx="215">
                  <c:v>28460</c:v>
                </c:pt>
                <c:pt idx="216">
                  <c:v>28491</c:v>
                </c:pt>
                <c:pt idx="217">
                  <c:v>28522</c:v>
                </c:pt>
                <c:pt idx="218">
                  <c:v>28550</c:v>
                </c:pt>
                <c:pt idx="219">
                  <c:v>28581</c:v>
                </c:pt>
                <c:pt idx="220">
                  <c:v>28611</c:v>
                </c:pt>
                <c:pt idx="221">
                  <c:v>28642</c:v>
                </c:pt>
                <c:pt idx="222">
                  <c:v>28672</c:v>
                </c:pt>
                <c:pt idx="223">
                  <c:v>28703</c:v>
                </c:pt>
                <c:pt idx="224">
                  <c:v>28734</c:v>
                </c:pt>
                <c:pt idx="225">
                  <c:v>28764</c:v>
                </c:pt>
                <c:pt idx="226">
                  <c:v>28795</c:v>
                </c:pt>
                <c:pt idx="227">
                  <c:v>28825</c:v>
                </c:pt>
                <c:pt idx="228">
                  <c:v>28856</c:v>
                </c:pt>
                <c:pt idx="229">
                  <c:v>28887</c:v>
                </c:pt>
                <c:pt idx="230">
                  <c:v>28915</c:v>
                </c:pt>
                <c:pt idx="231">
                  <c:v>28946</c:v>
                </c:pt>
                <c:pt idx="232">
                  <c:v>28976</c:v>
                </c:pt>
                <c:pt idx="233">
                  <c:v>29007</c:v>
                </c:pt>
                <c:pt idx="234">
                  <c:v>29037</c:v>
                </c:pt>
                <c:pt idx="235">
                  <c:v>29068</c:v>
                </c:pt>
                <c:pt idx="236">
                  <c:v>29099</c:v>
                </c:pt>
                <c:pt idx="237">
                  <c:v>29129</c:v>
                </c:pt>
                <c:pt idx="238">
                  <c:v>29160</c:v>
                </c:pt>
                <c:pt idx="239">
                  <c:v>29190</c:v>
                </c:pt>
                <c:pt idx="240">
                  <c:v>29221</c:v>
                </c:pt>
                <c:pt idx="241">
                  <c:v>29252</c:v>
                </c:pt>
                <c:pt idx="242">
                  <c:v>29281</c:v>
                </c:pt>
                <c:pt idx="243">
                  <c:v>29312</c:v>
                </c:pt>
                <c:pt idx="244">
                  <c:v>29342</c:v>
                </c:pt>
                <c:pt idx="245">
                  <c:v>29373</c:v>
                </c:pt>
                <c:pt idx="246">
                  <c:v>29403</c:v>
                </c:pt>
                <c:pt idx="247">
                  <c:v>29434</c:v>
                </c:pt>
                <c:pt idx="248">
                  <c:v>29465</c:v>
                </c:pt>
                <c:pt idx="249">
                  <c:v>29495</c:v>
                </c:pt>
                <c:pt idx="250">
                  <c:v>29526</c:v>
                </c:pt>
                <c:pt idx="251">
                  <c:v>29556</c:v>
                </c:pt>
                <c:pt idx="252">
                  <c:v>29587</c:v>
                </c:pt>
                <c:pt idx="253">
                  <c:v>29618</c:v>
                </c:pt>
                <c:pt idx="254">
                  <c:v>29646</c:v>
                </c:pt>
                <c:pt idx="255">
                  <c:v>29677</c:v>
                </c:pt>
                <c:pt idx="256">
                  <c:v>29707</c:v>
                </c:pt>
                <c:pt idx="257">
                  <c:v>29738</c:v>
                </c:pt>
                <c:pt idx="258">
                  <c:v>29768</c:v>
                </c:pt>
                <c:pt idx="259">
                  <c:v>29799</c:v>
                </c:pt>
                <c:pt idx="260">
                  <c:v>29830</c:v>
                </c:pt>
                <c:pt idx="261">
                  <c:v>29860</c:v>
                </c:pt>
                <c:pt idx="262">
                  <c:v>29891</c:v>
                </c:pt>
                <c:pt idx="263">
                  <c:v>29921</c:v>
                </c:pt>
                <c:pt idx="264">
                  <c:v>29952</c:v>
                </c:pt>
                <c:pt idx="265">
                  <c:v>29983</c:v>
                </c:pt>
                <c:pt idx="266">
                  <c:v>30011</c:v>
                </c:pt>
                <c:pt idx="267">
                  <c:v>30042</c:v>
                </c:pt>
                <c:pt idx="268">
                  <c:v>30072</c:v>
                </c:pt>
                <c:pt idx="269">
                  <c:v>30103</c:v>
                </c:pt>
                <c:pt idx="270">
                  <c:v>30133</c:v>
                </c:pt>
                <c:pt idx="271">
                  <c:v>30164</c:v>
                </c:pt>
                <c:pt idx="272">
                  <c:v>30195</c:v>
                </c:pt>
                <c:pt idx="273">
                  <c:v>30225</c:v>
                </c:pt>
                <c:pt idx="274">
                  <c:v>30256</c:v>
                </c:pt>
                <c:pt idx="275">
                  <c:v>30286</c:v>
                </c:pt>
                <c:pt idx="276">
                  <c:v>30317</c:v>
                </c:pt>
                <c:pt idx="277">
                  <c:v>30348</c:v>
                </c:pt>
                <c:pt idx="278">
                  <c:v>30376</c:v>
                </c:pt>
                <c:pt idx="279">
                  <c:v>30407</c:v>
                </c:pt>
                <c:pt idx="280">
                  <c:v>30437</c:v>
                </c:pt>
                <c:pt idx="281">
                  <c:v>30468</c:v>
                </c:pt>
                <c:pt idx="282">
                  <c:v>30498</c:v>
                </c:pt>
                <c:pt idx="283">
                  <c:v>30529</c:v>
                </c:pt>
                <c:pt idx="284">
                  <c:v>30560</c:v>
                </c:pt>
                <c:pt idx="285">
                  <c:v>30590</c:v>
                </c:pt>
                <c:pt idx="286">
                  <c:v>30621</c:v>
                </c:pt>
                <c:pt idx="287">
                  <c:v>30651</c:v>
                </c:pt>
                <c:pt idx="288">
                  <c:v>30682</c:v>
                </c:pt>
                <c:pt idx="289">
                  <c:v>30713</c:v>
                </c:pt>
                <c:pt idx="290">
                  <c:v>30742</c:v>
                </c:pt>
                <c:pt idx="291">
                  <c:v>30773</c:v>
                </c:pt>
                <c:pt idx="292">
                  <c:v>30803</c:v>
                </c:pt>
                <c:pt idx="293">
                  <c:v>30834</c:v>
                </c:pt>
                <c:pt idx="294">
                  <c:v>30864</c:v>
                </c:pt>
                <c:pt idx="295">
                  <c:v>30895</c:v>
                </c:pt>
                <c:pt idx="296">
                  <c:v>30926</c:v>
                </c:pt>
                <c:pt idx="297">
                  <c:v>30956</c:v>
                </c:pt>
                <c:pt idx="298">
                  <c:v>30987</c:v>
                </c:pt>
                <c:pt idx="299">
                  <c:v>31017</c:v>
                </c:pt>
                <c:pt idx="300">
                  <c:v>31048</c:v>
                </c:pt>
                <c:pt idx="301">
                  <c:v>31079</c:v>
                </c:pt>
                <c:pt idx="302">
                  <c:v>31107</c:v>
                </c:pt>
                <c:pt idx="303">
                  <c:v>31138</c:v>
                </c:pt>
                <c:pt idx="304">
                  <c:v>31168</c:v>
                </c:pt>
                <c:pt idx="305">
                  <c:v>31199</c:v>
                </c:pt>
                <c:pt idx="306">
                  <c:v>31229</c:v>
                </c:pt>
                <c:pt idx="307">
                  <c:v>31260</c:v>
                </c:pt>
                <c:pt idx="308">
                  <c:v>31291</c:v>
                </c:pt>
                <c:pt idx="309">
                  <c:v>31321</c:v>
                </c:pt>
                <c:pt idx="310">
                  <c:v>31352</c:v>
                </c:pt>
                <c:pt idx="311">
                  <c:v>31382</c:v>
                </c:pt>
                <c:pt idx="312">
                  <c:v>31413</c:v>
                </c:pt>
                <c:pt idx="313">
                  <c:v>31444</c:v>
                </c:pt>
                <c:pt idx="314">
                  <c:v>31472</c:v>
                </c:pt>
                <c:pt idx="315">
                  <c:v>31503</c:v>
                </c:pt>
                <c:pt idx="316">
                  <c:v>31533</c:v>
                </c:pt>
                <c:pt idx="317">
                  <c:v>31564</c:v>
                </c:pt>
                <c:pt idx="318">
                  <c:v>31594</c:v>
                </c:pt>
                <c:pt idx="319">
                  <c:v>31625</c:v>
                </c:pt>
                <c:pt idx="320">
                  <c:v>31656</c:v>
                </c:pt>
                <c:pt idx="321">
                  <c:v>31686</c:v>
                </c:pt>
                <c:pt idx="322">
                  <c:v>31717</c:v>
                </c:pt>
                <c:pt idx="323">
                  <c:v>31747</c:v>
                </c:pt>
                <c:pt idx="324">
                  <c:v>31778</c:v>
                </c:pt>
                <c:pt idx="325">
                  <c:v>31809</c:v>
                </c:pt>
                <c:pt idx="326">
                  <c:v>31837</c:v>
                </c:pt>
                <c:pt idx="327">
                  <c:v>31868</c:v>
                </c:pt>
                <c:pt idx="328">
                  <c:v>31898</c:v>
                </c:pt>
                <c:pt idx="329">
                  <c:v>31929</c:v>
                </c:pt>
                <c:pt idx="330">
                  <c:v>31959</c:v>
                </c:pt>
                <c:pt idx="331">
                  <c:v>31990</c:v>
                </c:pt>
                <c:pt idx="332">
                  <c:v>32021</c:v>
                </c:pt>
                <c:pt idx="333">
                  <c:v>32051</c:v>
                </c:pt>
                <c:pt idx="334">
                  <c:v>32082</c:v>
                </c:pt>
                <c:pt idx="335">
                  <c:v>32112</c:v>
                </c:pt>
                <c:pt idx="336">
                  <c:v>32143</c:v>
                </c:pt>
                <c:pt idx="337">
                  <c:v>32174</c:v>
                </c:pt>
                <c:pt idx="338">
                  <c:v>32203</c:v>
                </c:pt>
                <c:pt idx="339">
                  <c:v>32234</c:v>
                </c:pt>
                <c:pt idx="340">
                  <c:v>32264</c:v>
                </c:pt>
                <c:pt idx="341">
                  <c:v>32295</c:v>
                </c:pt>
                <c:pt idx="342">
                  <c:v>32325</c:v>
                </c:pt>
                <c:pt idx="343">
                  <c:v>32356</c:v>
                </c:pt>
                <c:pt idx="344">
                  <c:v>32387</c:v>
                </c:pt>
                <c:pt idx="345">
                  <c:v>32417</c:v>
                </c:pt>
                <c:pt idx="346">
                  <c:v>32448</c:v>
                </c:pt>
                <c:pt idx="347">
                  <c:v>32478</c:v>
                </c:pt>
                <c:pt idx="348">
                  <c:v>32509</c:v>
                </c:pt>
                <c:pt idx="349">
                  <c:v>32540</c:v>
                </c:pt>
                <c:pt idx="350">
                  <c:v>32568</c:v>
                </c:pt>
                <c:pt idx="351">
                  <c:v>32599</c:v>
                </c:pt>
                <c:pt idx="352">
                  <c:v>32629</c:v>
                </c:pt>
                <c:pt idx="353">
                  <c:v>32660</c:v>
                </c:pt>
                <c:pt idx="354">
                  <c:v>32690</c:v>
                </c:pt>
                <c:pt idx="355">
                  <c:v>32721</c:v>
                </c:pt>
                <c:pt idx="356">
                  <c:v>32752</c:v>
                </c:pt>
                <c:pt idx="357">
                  <c:v>32782</c:v>
                </c:pt>
                <c:pt idx="358">
                  <c:v>32813</c:v>
                </c:pt>
                <c:pt idx="359">
                  <c:v>32843</c:v>
                </c:pt>
                <c:pt idx="360">
                  <c:v>32874</c:v>
                </c:pt>
                <c:pt idx="361">
                  <c:v>32905</c:v>
                </c:pt>
                <c:pt idx="362">
                  <c:v>32933</c:v>
                </c:pt>
                <c:pt idx="363">
                  <c:v>32964</c:v>
                </c:pt>
                <c:pt idx="364">
                  <c:v>32994</c:v>
                </c:pt>
                <c:pt idx="365">
                  <c:v>33025</c:v>
                </c:pt>
                <c:pt idx="366">
                  <c:v>33055</c:v>
                </c:pt>
                <c:pt idx="367">
                  <c:v>33086</c:v>
                </c:pt>
                <c:pt idx="368">
                  <c:v>33117</c:v>
                </c:pt>
                <c:pt idx="369">
                  <c:v>33147</c:v>
                </c:pt>
                <c:pt idx="370">
                  <c:v>33178</c:v>
                </c:pt>
                <c:pt idx="371">
                  <c:v>33208</c:v>
                </c:pt>
                <c:pt idx="372">
                  <c:v>33239</c:v>
                </c:pt>
                <c:pt idx="373">
                  <c:v>33270</c:v>
                </c:pt>
                <c:pt idx="374">
                  <c:v>33298</c:v>
                </c:pt>
                <c:pt idx="375">
                  <c:v>33329</c:v>
                </c:pt>
                <c:pt idx="376">
                  <c:v>33359</c:v>
                </c:pt>
                <c:pt idx="377">
                  <c:v>33390</c:v>
                </c:pt>
                <c:pt idx="378">
                  <c:v>33420</c:v>
                </c:pt>
                <c:pt idx="379">
                  <c:v>33451</c:v>
                </c:pt>
                <c:pt idx="380">
                  <c:v>33482</c:v>
                </c:pt>
                <c:pt idx="381">
                  <c:v>33512</c:v>
                </c:pt>
                <c:pt idx="382">
                  <c:v>33543</c:v>
                </c:pt>
                <c:pt idx="383">
                  <c:v>33573</c:v>
                </c:pt>
                <c:pt idx="384">
                  <c:v>33604</c:v>
                </c:pt>
                <c:pt idx="385">
                  <c:v>33635</c:v>
                </c:pt>
                <c:pt idx="386">
                  <c:v>33664</c:v>
                </c:pt>
                <c:pt idx="387">
                  <c:v>33695</c:v>
                </c:pt>
                <c:pt idx="388">
                  <c:v>33725</c:v>
                </c:pt>
                <c:pt idx="389">
                  <c:v>33756</c:v>
                </c:pt>
                <c:pt idx="390">
                  <c:v>33786</c:v>
                </c:pt>
                <c:pt idx="391">
                  <c:v>33817</c:v>
                </c:pt>
                <c:pt idx="392">
                  <c:v>33848</c:v>
                </c:pt>
                <c:pt idx="393">
                  <c:v>33878</c:v>
                </c:pt>
                <c:pt idx="394">
                  <c:v>33909</c:v>
                </c:pt>
                <c:pt idx="395">
                  <c:v>33939</c:v>
                </c:pt>
                <c:pt idx="396">
                  <c:v>33970</c:v>
                </c:pt>
                <c:pt idx="397">
                  <c:v>34001</c:v>
                </c:pt>
                <c:pt idx="398">
                  <c:v>34029</c:v>
                </c:pt>
                <c:pt idx="399">
                  <c:v>34060</c:v>
                </c:pt>
                <c:pt idx="400">
                  <c:v>34090</c:v>
                </c:pt>
                <c:pt idx="401">
                  <c:v>34121</c:v>
                </c:pt>
                <c:pt idx="402">
                  <c:v>34151</c:v>
                </c:pt>
                <c:pt idx="403">
                  <c:v>34182</c:v>
                </c:pt>
                <c:pt idx="404">
                  <c:v>34213</c:v>
                </c:pt>
                <c:pt idx="405">
                  <c:v>34243</c:v>
                </c:pt>
                <c:pt idx="406">
                  <c:v>34274</c:v>
                </c:pt>
                <c:pt idx="407">
                  <c:v>34304</c:v>
                </c:pt>
                <c:pt idx="408">
                  <c:v>34335</c:v>
                </c:pt>
                <c:pt idx="409">
                  <c:v>34366</c:v>
                </c:pt>
                <c:pt idx="410">
                  <c:v>34394</c:v>
                </c:pt>
                <c:pt idx="411">
                  <c:v>34425</c:v>
                </c:pt>
                <c:pt idx="412">
                  <c:v>34455</c:v>
                </c:pt>
                <c:pt idx="413">
                  <c:v>34486</c:v>
                </c:pt>
                <c:pt idx="414">
                  <c:v>34516</c:v>
                </c:pt>
                <c:pt idx="415">
                  <c:v>34547</c:v>
                </c:pt>
                <c:pt idx="416">
                  <c:v>34578</c:v>
                </c:pt>
                <c:pt idx="417">
                  <c:v>34608</c:v>
                </c:pt>
                <c:pt idx="418">
                  <c:v>34639</c:v>
                </c:pt>
                <c:pt idx="419">
                  <c:v>34669</c:v>
                </c:pt>
                <c:pt idx="420">
                  <c:v>34700</c:v>
                </c:pt>
                <c:pt idx="421">
                  <c:v>34731</c:v>
                </c:pt>
                <c:pt idx="422">
                  <c:v>34759</c:v>
                </c:pt>
                <c:pt idx="423">
                  <c:v>34790</c:v>
                </c:pt>
                <c:pt idx="424">
                  <c:v>34820</c:v>
                </c:pt>
                <c:pt idx="425">
                  <c:v>34851</c:v>
                </c:pt>
                <c:pt idx="426">
                  <c:v>34881</c:v>
                </c:pt>
                <c:pt idx="427">
                  <c:v>34912</c:v>
                </c:pt>
                <c:pt idx="428">
                  <c:v>34943</c:v>
                </c:pt>
                <c:pt idx="429">
                  <c:v>34973</c:v>
                </c:pt>
                <c:pt idx="430">
                  <c:v>35004</c:v>
                </c:pt>
                <c:pt idx="431">
                  <c:v>35034</c:v>
                </c:pt>
                <c:pt idx="432">
                  <c:v>35065</c:v>
                </c:pt>
                <c:pt idx="433">
                  <c:v>35096</c:v>
                </c:pt>
                <c:pt idx="434">
                  <c:v>35125</c:v>
                </c:pt>
                <c:pt idx="435">
                  <c:v>35156</c:v>
                </c:pt>
                <c:pt idx="436">
                  <c:v>35186</c:v>
                </c:pt>
                <c:pt idx="437">
                  <c:v>35217</c:v>
                </c:pt>
                <c:pt idx="438">
                  <c:v>35247</c:v>
                </c:pt>
                <c:pt idx="439">
                  <c:v>35278</c:v>
                </c:pt>
                <c:pt idx="440">
                  <c:v>35309</c:v>
                </c:pt>
                <c:pt idx="441">
                  <c:v>35339</c:v>
                </c:pt>
                <c:pt idx="442">
                  <c:v>35370</c:v>
                </c:pt>
                <c:pt idx="443">
                  <c:v>35400</c:v>
                </c:pt>
                <c:pt idx="444">
                  <c:v>35431</c:v>
                </c:pt>
                <c:pt idx="445">
                  <c:v>35462</c:v>
                </c:pt>
                <c:pt idx="446">
                  <c:v>35490</c:v>
                </c:pt>
                <c:pt idx="447">
                  <c:v>35521</c:v>
                </c:pt>
                <c:pt idx="448">
                  <c:v>35551</c:v>
                </c:pt>
                <c:pt idx="449">
                  <c:v>35582</c:v>
                </c:pt>
                <c:pt idx="450">
                  <c:v>35612</c:v>
                </c:pt>
                <c:pt idx="451">
                  <c:v>35643</c:v>
                </c:pt>
                <c:pt idx="452">
                  <c:v>35674</c:v>
                </c:pt>
                <c:pt idx="453">
                  <c:v>35704</c:v>
                </c:pt>
                <c:pt idx="454">
                  <c:v>35735</c:v>
                </c:pt>
                <c:pt idx="455">
                  <c:v>35765</c:v>
                </c:pt>
                <c:pt idx="456">
                  <c:v>35796</c:v>
                </c:pt>
                <c:pt idx="457">
                  <c:v>35827</c:v>
                </c:pt>
                <c:pt idx="458">
                  <c:v>35855</c:v>
                </c:pt>
                <c:pt idx="459">
                  <c:v>35886</c:v>
                </c:pt>
                <c:pt idx="460">
                  <c:v>35916</c:v>
                </c:pt>
                <c:pt idx="461">
                  <c:v>35947</c:v>
                </c:pt>
                <c:pt idx="462">
                  <c:v>35977</c:v>
                </c:pt>
                <c:pt idx="463">
                  <c:v>36008</c:v>
                </c:pt>
                <c:pt idx="464">
                  <c:v>36039</c:v>
                </c:pt>
                <c:pt idx="465">
                  <c:v>36069</c:v>
                </c:pt>
                <c:pt idx="466">
                  <c:v>36100</c:v>
                </c:pt>
                <c:pt idx="467">
                  <c:v>36130</c:v>
                </c:pt>
                <c:pt idx="468">
                  <c:v>36161</c:v>
                </c:pt>
                <c:pt idx="469">
                  <c:v>36192</c:v>
                </c:pt>
                <c:pt idx="470">
                  <c:v>36220</c:v>
                </c:pt>
                <c:pt idx="471">
                  <c:v>36251</c:v>
                </c:pt>
                <c:pt idx="472">
                  <c:v>36281</c:v>
                </c:pt>
                <c:pt idx="473">
                  <c:v>36312</c:v>
                </c:pt>
                <c:pt idx="474">
                  <c:v>36342</c:v>
                </c:pt>
                <c:pt idx="475">
                  <c:v>36373</c:v>
                </c:pt>
                <c:pt idx="476">
                  <c:v>36404</c:v>
                </c:pt>
                <c:pt idx="477">
                  <c:v>36434</c:v>
                </c:pt>
                <c:pt idx="478">
                  <c:v>36465</c:v>
                </c:pt>
                <c:pt idx="479">
                  <c:v>36495</c:v>
                </c:pt>
                <c:pt idx="480">
                  <c:v>36526</c:v>
                </c:pt>
                <c:pt idx="481">
                  <c:v>36557</c:v>
                </c:pt>
                <c:pt idx="482">
                  <c:v>36586</c:v>
                </c:pt>
                <c:pt idx="483">
                  <c:v>36617</c:v>
                </c:pt>
                <c:pt idx="484">
                  <c:v>36647</c:v>
                </c:pt>
                <c:pt idx="485">
                  <c:v>36678</c:v>
                </c:pt>
                <c:pt idx="486">
                  <c:v>36708</c:v>
                </c:pt>
                <c:pt idx="487">
                  <c:v>36739</c:v>
                </c:pt>
                <c:pt idx="488">
                  <c:v>36770</c:v>
                </c:pt>
                <c:pt idx="489">
                  <c:v>36800</c:v>
                </c:pt>
                <c:pt idx="490">
                  <c:v>36831</c:v>
                </c:pt>
                <c:pt idx="491">
                  <c:v>36861</c:v>
                </c:pt>
                <c:pt idx="492">
                  <c:v>36892</c:v>
                </c:pt>
                <c:pt idx="493">
                  <c:v>36923</c:v>
                </c:pt>
                <c:pt idx="494">
                  <c:v>36951</c:v>
                </c:pt>
                <c:pt idx="495">
                  <c:v>36982</c:v>
                </c:pt>
                <c:pt idx="496">
                  <c:v>37012</c:v>
                </c:pt>
                <c:pt idx="497">
                  <c:v>37043</c:v>
                </c:pt>
                <c:pt idx="498">
                  <c:v>37073</c:v>
                </c:pt>
                <c:pt idx="499">
                  <c:v>37104</c:v>
                </c:pt>
                <c:pt idx="500">
                  <c:v>37135</c:v>
                </c:pt>
                <c:pt idx="501">
                  <c:v>37165</c:v>
                </c:pt>
                <c:pt idx="502">
                  <c:v>37196</c:v>
                </c:pt>
                <c:pt idx="503">
                  <c:v>37226</c:v>
                </c:pt>
                <c:pt idx="504">
                  <c:v>37257</c:v>
                </c:pt>
                <c:pt idx="505">
                  <c:v>37288</c:v>
                </c:pt>
                <c:pt idx="506">
                  <c:v>37316</c:v>
                </c:pt>
                <c:pt idx="507">
                  <c:v>37347</c:v>
                </c:pt>
                <c:pt idx="508">
                  <c:v>37377</c:v>
                </c:pt>
                <c:pt idx="509">
                  <c:v>37408</c:v>
                </c:pt>
                <c:pt idx="510">
                  <c:v>37438</c:v>
                </c:pt>
                <c:pt idx="511">
                  <c:v>37469</c:v>
                </c:pt>
                <c:pt idx="512">
                  <c:v>37500</c:v>
                </c:pt>
                <c:pt idx="513">
                  <c:v>37530</c:v>
                </c:pt>
                <c:pt idx="514">
                  <c:v>37561</c:v>
                </c:pt>
                <c:pt idx="515">
                  <c:v>37591</c:v>
                </c:pt>
                <c:pt idx="516">
                  <c:v>37622</c:v>
                </c:pt>
                <c:pt idx="517">
                  <c:v>37653</c:v>
                </c:pt>
                <c:pt idx="518">
                  <c:v>37681</c:v>
                </c:pt>
                <c:pt idx="519">
                  <c:v>37712</c:v>
                </c:pt>
                <c:pt idx="520">
                  <c:v>37742</c:v>
                </c:pt>
                <c:pt idx="521">
                  <c:v>37773</c:v>
                </c:pt>
                <c:pt idx="522">
                  <c:v>37803</c:v>
                </c:pt>
                <c:pt idx="523">
                  <c:v>37834</c:v>
                </c:pt>
                <c:pt idx="524">
                  <c:v>37865</c:v>
                </c:pt>
                <c:pt idx="525">
                  <c:v>37895</c:v>
                </c:pt>
                <c:pt idx="526">
                  <c:v>37926</c:v>
                </c:pt>
                <c:pt idx="527">
                  <c:v>37956</c:v>
                </c:pt>
                <c:pt idx="528">
                  <c:v>37987</c:v>
                </c:pt>
                <c:pt idx="529">
                  <c:v>38018</c:v>
                </c:pt>
                <c:pt idx="530">
                  <c:v>38047</c:v>
                </c:pt>
                <c:pt idx="531">
                  <c:v>38078</c:v>
                </c:pt>
                <c:pt idx="532">
                  <c:v>38108</c:v>
                </c:pt>
                <c:pt idx="533">
                  <c:v>38139</c:v>
                </c:pt>
                <c:pt idx="534">
                  <c:v>38169</c:v>
                </c:pt>
                <c:pt idx="535">
                  <c:v>38200</c:v>
                </c:pt>
                <c:pt idx="536">
                  <c:v>38231</c:v>
                </c:pt>
                <c:pt idx="537">
                  <c:v>38261</c:v>
                </c:pt>
                <c:pt idx="538">
                  <c:v>38292</c:v>
                </c:pt>
                <c:pt idx="539">
                  <c:v>38322</c:v>
                </c:pt>
                <c:pt idx="540">
                  <c:v>38353</c:v>
                </c:pt>
                <c:pt idx="541">
                  <c:v>38384</c:v>
                </c:pt>
                <c:pt idx="542">
                  <c:v>38412</c:v>
                </c:pt>
                <c:pt idx="543">
                  <c:v>38443</c:v>
                </c:pt>
                <c:pt idx="544">
                  <c:v>38473</c:v>
                </c:pt>
                <c:pt idx="545">
                  <c:v>38504</c:v>
                </c:pt>
                <c:pt idx="546">
                  <c:v>38534</c:v>
                </c:pt>
                <c:pt idx="547">
                  <c:v>38565</c:v>
                </c:pt>
                <c:pt idx="548">
                  <c:v>38596</c:v>
                </c:pt>
                <c:pt idx="549">
                  <c:v>38626</c:v>
                </c:pt>
                <c:pt idx="550">
                  <c:v>38657</c:v>
                </c:pt>
                <c:pt idx="551">
                  <c:v>38687</c:v>
                </c:pt>
                <c:pt idx="552">
                  <c:v>38718</c:v>
                </c:pt>
                <c:pt idx="553">
                  <c:v>38749</c:v>
                </c:pt>
                <c:pt idx="554">
                  <c:v>38777</c:v>
                </c:pt>
                <c:pt idx="555">
                  <c:v>38808</c:v>
                </c:pt>
                <c:pt idx="556">
                  <c:v>38838</c:v>
                </c:pt>
                <c:pt idx="557">
                  <c:v>38869</c:v>
                </c:pt>
                <c:pt idx="558">
                  <c:v>38899</c:v>
                </c:pt>
                <c:pt idx="559">
                  <c:v>38930</c:v>
                </c:pt>
                <c:pt idx="560">
                  <c:v>38961</c:v>
                </c:pt>
                <c:pt idx="561">
                  <c:v>38991</c:v>
                </c:pt>
                <c:pt idx="562">
                  <c:v>39022</c:v>
                </c:pt>
                <c:pt idx="563">
                  <c:v>39052</c:v>
                </c:pt>
                <c:pt idx="564">
                  <c:v>39083</c:v>
                </c:pt>
                <c:pt idx="565">
                  <c:v>39114</c:v>
                </c:pt>
                <c:pt idx="566">
                  <c:v>39142</c:v>
                </c:pt>
                <c:pt idx="567">
                  <c:v>39173</c:v>
                </c:pt>
                <c:pt idx="568">
                  <c:v>39203</c:v>
                </c:pt>
                <c:pt idx="569">
                  <c:v>39234</c:v>
                </c:pt>
                <c:pt idx="570">
                  <c:v>39264</c:v>
                </c:pt>
                <c:pt idx="571">
                  <c:v>39295</c:v>
                </c:pt>
                <c:pt idx="572">
                  <c:v>39326</c:v>
                </c:pt>
                <c:pt idx="573">
                  <c:v>39356</c:v>
                </c:pt>
                <c:pt idx="574">
                  <c:v>39387</c:v>
                </c:pt>
                <c:pt idx="575">
                  <c:v>39417</c:v>
                </c:pt>
                <c:pt idx="576">
                  <c:v>39448</c:v>
                </c:pt>
                <c:pt idx="577">
                  <c:v>39479</c:v>
                </c:pt>
                <c:pt idx="578">
                  <c:v>39508</c:v>
                </c:pt>
                <c:pt idx="579">
                  <c:v>39539</c:v>
                </c:pt>
                <c:pt idx="580">
                  <c:v>39569</c:v>
                </c:pt>
                <c:pt idx="581">
                  <c:v>39600</c:v>
                </c:pt>
                <c:pt idx="582">
                  <c:v>39630</c:v>
                </c:pt>
                <c:pt idx="583">
                  <c:v>39661</c:v>
                </c:pt>
                <c:pt idx="584">
                  <c:v>39692</c:v>
                </c:pt>
                <c:pt idx="585">
                  <c:v>39722</c:v>
                </c:pt>
                <c:pt idx="586">
                  <c:v>39753</c:v>
                </c:pt>
                <c:pt idx="587">
                  <c:v>39783</c:v>
                </c:pt>
                <c:pt idx="588">
                  <c:v>39814</c:v>
                </c:pt>
                <c:pt idx="589">
                  <c:v>39845</c:v>
                </c:pt>
                <c:pt idx="590">
                  <c:v>39873</c:v>
                </c:pt>
                <c:pt idx="591">
                  <c:v>39904</c:v>
                </c:pt>
                <c:pt idx="592">
                  <c:v>39934</c:v>
                </c:pt>
                <c:pt idx="593">
                  <c:v>39965</c:v>
                </c:pt>
                <c:pt idx="594">
                  <c:v>39995</c:v>
                </c:pt>
                <c:pt idx="595">
                  <c:v>40026</c:v>
                </c:pt>
                <c:pt idx="596">
                  <c:v>40057</c:v>
                </c:pt>
                <c:pt idx="597">
                  <c:v>40087</c:v>
                </c:pt>
                <c:pt idx="598">
                  <c:v>40118</c:v>
                </c:pt>
                <c:pt idx="599">
                  <c:v>40148</c:v>
                </c:pt>
                <c:pt idx="600">
                  <c:v>40179</c:v>
                </c:pt>
                <c:pt idx="601">
                  <c:v>40210</c:v>
                </c:pt>
                <c:pt idx="602">
                  <c:v>40238</c:v>
                </c:pt>
                <c:pt idx="603">
                  <c:v>40269</c:v>
                </c:pt>
                <c:pt idx="604">
                  <c:v>40299</c:v>
                </c:pt>
                <c:pt idx="605">
                  <c:v>40330</c:v>
                </c:pt>
                <c:pt idx="606">
                  <c:v>40360</c:v>
                </c:pt>
                <c:pt idx="607">
                  <c:v>40391</c:v>
                </c:pt>
                <c:pt idx="608">
                  <c:v>40422</c:v>
                </c:pt>
                <c:pt idx="609">
                  <c:v>40452</c:v>
                </c:pt>
                <c:pt idx="610">
                  <c:v>40483</c:v>
                </c:pt>
                <c:pt idx="611">
                  <c:v>40513</c:v>
                </c:pt>
                <c:pt idx="612">
                  <c:v>40544</c:v>
                </c:pt>
                <c:pt idx="613">
                  <c:v>40575</c:v>
                </c:pt>
                <c:pt idx="614">
                  <c:v>40603</c:v>
                </c:pt>
                <c:pt idx="615">
                  <c:v>40634</c:v>
                </c:pt>
                <c:pt idx="616">
                  <c:v>40664</c:v>
                </c:pt>
                <c:pt idx="617">
                  <c:v>40695</c:v>
                </c:pt>
                <c:pt idx="618">
                  <c:v>40725</c:v>
                </c:pt>
                <c:pt idx="619">
                  <c:v>40756</c:v>
                </c:pt>
                <c:pt idx="620">
                  <c:v>40787</c:v>
                </c:pt>
                <c:pt idx="621">
                  <c:v>40817</c:v>
                </c:pt>
                <c:pt idx="622">
                  <c:v>40848</c:v>
                </c:pt>
                <c:pt idx="623">
                  <c:v>40878</c:v>
                </c:pt>
                <c:pt idx="624">
                  <c:v>40909</c:v>
                </c:pt>
                <c:pt idx="625">
                  <c:v>40940</c:v>
                </c:pt>
                <c:pt idx="626">
                  <c:v>40969</c:v>
                </c:pt>
                <c:pt idx="627">
                  <c:v>41000</c:v>
                </c:pt>
                <c:pt idx="628">
                  <c:v>41030</c:v>
                </c:pt>
                <c:pt idx="629">
                  <c:v>41061</c:v>
                </c:pt>
                <c:pt idx="630">
                  <c:v>41091</c:v>
                </c:pt>
                <c:pt idx="631">
                  <c:v>41122</c:v>
                </c:pt>
                <c:pt idx="632">
                  <c:v>41153</c:v>
                </c:pt>
                <c:pt idx="633">
                  <c:v>41183</c:v>
                </c:pt>
                <c:pt idx="634">
                  <c:v>41214</c:v>
                </c:pt>
                <c:pt idx="635">
                  <c:v>41244</c:v>
                </c:pt>
                <c:pt idx="636">
                  <c:v>41275</c:v>
                </c:pt>
                <c:pt idx="637">
                  <c:v>41306</c:v>
                </c:pt>
                <c:pt idx="638">
                  <c:v>41334</c:v>
                </c:pt>
                <c:pt idx="639">
                  <c:v>41365</c:v>
                </c:pt>
                <c:pt idx="640">
                  <c:v>41395</c:v>
                </c:pt>
                <c:pt idx="641">
                  <c:v>41426</c:v>
                </c:pt>
                <c:pt idx="642">
                  <c:v>41456</c:v>
                </c:pt>
                <c:pt idx="643">
                  <c:v>41487</c:v>
                </c:pt>
                <c:pt idx="644">
                  <c:v>41518</c:v>
                </c:pt>
                <c:pt idx="645">
                  <c:v>41548</c:v>
                </c:pt>
                <c:pt idx="646">
                  <c:v>41579</c:v>
                </c:pt>
                <c:pt idx="647">
                  <c:v>41609</c:v>
                </c:pt>
                <c:pt idx="648">
                  <c:v>41640</c:v>
                </c:pt>
                <c:pt idx="649">
                  <c:v>41671</c:v>
                </c:pt>
                <c:pt idx="650">
                  <c:v>41699</c:v>
                </c:pt>
                <c:pt idx="651">
                  <c:v>41730</c:v>
                </c:pt>
                <c:pt idx="652">
                  <c:v>41760</c:v>
                </c:pt>
                <c:pt idx="653">
                  <c:v>41791</c:v>
                </c:pt>
                <c:pt idx="654">
                  <c:v>41821</c:v>
                </c:pt>
                <c:pt idx="655">
                  <c:v>41852</c:v>
                </c:pt>
                <c:pt idx="656">
                  <c:v>41883</c:v>
                </c:pt>
                <c:pt idx="657">
                  <c:v>41913</c:v>
                </c:pt>
                <c:pt idx="658">
                  <c:v>41944</c:v>
                </c:pt>
                <c:pt idx="659">
                  <c:v>41974</c:v>
                </c:pt>
                <c:pt idx="660">
                  <c:v>42005</c:v>
                </c:pt>
                <c:pt idx="661">
                  <c:v>42036</c:v>
                </c:pt>
                <c:pt idx="662">
                  <c:v>42064</c:v>
                </c:pt>
                <c:pt idx="663">
                  <c:v>42095</c:v>
                </c:pt>
                <c:pt idx="664">
                  <c:v>42125</c:v>
                </c:pt>
                <c:pt idx="665">
                  <c:v>42156</c:v>
                </c:pt>
                <c:pt idx="666">
                  <c:v>42186</c:v>
                </c:pt>
                <c:pt idx="667">
                  <c:v>42217</c:v>
                </c:pt>
                <c:pt idx="668">
                  <c:v>42248</c:v>
                </c:pt>
                <c:pt idx="669">
                  <c:v>42278</c:v>
                </c:pt>
                <c:pt idx="670">
                  <c:v>42309</c:v>
                </c:pt>
                <c:pt idx="671">
                  <c:v>42339</c:v>
                </c:pt>
                <c:pt idx="672">
                  <c:v>42370</c:v>
                </c:pt>
                <c:pt idx="673">
                  <c:v>42401</c:v>
                </c:pt>
                <c:pt idx="674">
                  <c:v>42430</c:v>
                </c:pt>
                <c:pt idx="675">
                  <c:v>42461</c:v>
                </c:pt>
                <c:pt idx="676">
                  <c:v>42491</c:v>
                </c:pt>
                <c:pt idx="677">
                  <c:v>42522</c:v>
                </c:pt>
                <c:pt idx="678">
                  <c:v>42552</c:v>
                </c:pt>
                <c:pt idx="679">
                  <c:v>42583</c:v>
                </c:pt>
                <c:pt idx="680">
                  <c:v>42614</c:v>
                </c:pt>
                <c:pt idx="681">
                  <c:v>42644</c:v>
                </c:pt>
                <c:pt idx="682">
                  <c:v>42675</c:v>
                </c:pt>
                <c:pt idx="683">
                  <c:v>42705</c:v>
                </c:pt>
                <c:pt idx="684">
                  <c:v>42736</c:v>
                </c:pt>
                <c:pt idx="685">
                  <c:v>42767</c:v>
                </c:pt>
                <c:pt idx="686">
                  <c:v>42795</c:v>
                </c:pt>
                <c:pt idx="687">
                  <c:v>42826</c:v>
                </c:pt>
                <c:pt idx="688">
                  <c:v>42856</c:v>
                </c:pt>
                <c:pt idx="689">
                  <c:v>42887</c:v>
                </c:pt>
                <c:pt idx="690">
                  <c:v>42917</c:v>
                </c:pt>
                <c:pt idx="691">
                  <c:v>42948</c:v>
                </c:pt>
                <c:pt idx="692">
                  <c:v>42979</c:v>
                </c:pt>
                <c:pt idx="693">
                  <c:v>43009</c:v>
                </c:pt>
                <c:pt idx="694">
                  <c:v>43040</c:v>
                </c:pt>
                <c:pt idx="695">
                  <c:v>43070</c:v>
                </c:pt>
                <c:pt idx="696">
                  <c:v>43101</c:v>
                </c:pt>
                <c:pt idx="697">
                  <c:v>43132</c:v>
                </c:pt>
                <c:pt idx="698">
                  <c:v>43160</c:v>
                </c:pt>
                <c:pt idx="699">
                  <c:v>43191</c:v>
                </c:pt>
                <c:pt idx="700">
                  <c:v>43221</c:v>
                </c:pt>
                <c:pt idx="701">
                  <c:v>43252</c:v>
                </c:pt>
                <c:pt idx="702">
                  <c:v>43282</c:v>
                </c:pt>
                <c:pt idx="703">
                  <c:v>43313</c:v>
                </c:pt>
                <c:pt idx="704">
                  <c:v>43344</c:v>
                </c:pt>
                <c:pt idx="705">
                  <c:v>43374</c:v>
                </c:pt>
                <c:pt idx="706">
                  <c:v>43405</c:v>
                </c:pt>
                <c:pt idx="707">
                  <c:v>43435</c:v>
                </c:pt>
                <c:pt idx="708">
                  <c:v>43466</c:v>
                </c:pt>
                <c:pt idx="709">
                  <c:v>43497</c:v>
                </c:pt>
                <c:pt idx="710">
                  <c:v>43525</c:v>
                </c:pt>
                <c:pt idx="711">
                  <c:v>43556</c:v>
                </c:pt>
                <c:pt idx="712">
                  <c:v>43586</c:v>
                </c:pt>
                <c:pt idx="713">
                  <c:v>43617</c:v>
                </c:pt>
                <c:pt idx="714">
                  <c:v>43647</c:v>
                </c:pt>
                <c:pt idx="715">
                  <c:v>43678</c:v>
                </c:pt>
                <c:pt idx="716">
                  <c:v>43709</c:v>
                </c:pt>
                <c:pt idx="717">
                  <c:v>43739</c:v>
                </c:pt>
                <c:pt idx="718">
                  <c:v>43770</c:v>
                </c:pt>
                <c:pt idx="719">
                  <c:v>43800</c:v>
                </c:pt>
                <c:pt idx="720">
                  <c:v>43831</c:v>
                </c:pt>
                <c:pt idx="721">
                  <c:v>43862</c:v>
                </c:pt>
                <c:pt idx="722">
                  <c:v>43891</c:v>
                </c:pt>
                <c:pt idx="723">
                  <c:v>43922</c:v>
                </c:pt>
                <c:pt idx="724">
                  <c:v>43952</c:v>
                </c:pt>
                <c:pt idx="725">
                  <c:v>43983</c:v>
                </c:pt>
                <c:pt idx="726">
                  <c:v>44013</c:v>
                </c:pt>
                <c:pt idx="727">
                  <c:v>44044</c:v>
                </c:pt>
                <c:pt idx="728">
                  <c:v>44075</c:v>
                </c:pt>
                <c:pt idx="729">
                  <c:v>44105</c:v>
                </c:pt>
                <c:pt idx="730">
                  <c:v>44136</c:v>
                </c:pt>
                <c:pt idx="731">
                  <c:v>44166</c:v>
                </c:pt>
                <c:pt idx="732">
                  <c:v>44197</c:v>
                </c:pt>
                <c:pt idx="733">
                  <c:v>44228</c:v>
                </c:pt>
                <c:pt idx="734">
                  <c:v>44256</c:v>
                </c:pt>
                <c:pt idx="735">
                  <c:v>44287</c:v>
                </c:pt>
                <c:pt idx="736">
                  <c:v>44317</c:v>
                </c:pt>
                <c:pt idx="737">
                  <c:v>44348</c:v>
                </c:pt>
                <c:pt idx="738">
                  <c:v>44378</c:v>
                </c:pt>
                <c:pt idx="739">
                  <c:v>44409</c:v>
                </c:pt>
                <c:pt idx="740">
                  <c:v>44440</c:v>
                </c:pt>
                <c:pt idx="741">
                  <c:v>44470</c:v>
                </c:pt>
                <c:pt idx="742">
                  <c:v>44501</c:v>
                </c:pt>
                <c:pt idx="743">
                  <c:v>44531</c:v>
                </c:pt>
              </c:numCache>
            </c:numRef>
          </c:cat>
          <c:val>
            <c:numRef>
              <c:f>'Building Permits - Authorized'!$B$7:$B$758</c:f>
              <c:numCache>
                <c:formatCode>General</c:formatCode>
                <c:ptCount val="752"/>
                <c:pt idx="0">
                  <c:v>1092</c:v>
                </c:pt>
                <c:pt idx="1">
                  <c:v>1088</c:v>
                </c:pt>
                <c:pt idx="2">
                  <c:v>955</c:v>
                </c:pt>
                <c:pt idx="3">
                  <c:v>1016</c:v>
                </c:pt>
                <c:pt idx="4">
                  <c:v>1052</c:v>
                </c:pt>
                <c:pt idx="5">
                  <c:v>958</c:v>
                </c:pt>
                <c:pt idx="6">
                  <c:v>999</c:v>
                </c:pt>
                <c:pt idx="7">
                  <c:v>994</c:v>
                </c:pt>
                <c:pt idx="8">
                  <c:v>984</c:v>
                </c:pt>
                <c:pt idx="9">
                  <c:v>972</c:v>
                </c:pt>
                <c:pt idx="10">
                  <c:v>979</c:v>
                </c:pt>
                <c:pt idx="11">
                  <c:v>951</c:v>
                </c:pt>
                <c:pt idx="12">
                  <c:v>969</c:v>
                </c:pt>
                <c:pt idx="13">
                  <c:v>961</c:v>
                </c:pt>
                <c:pt idx="14">
                  <c:v>1000</c:v>
                </c:pt>
                <c:pt idx="15">
                  <c:v>1002</c:v>
                </c:pt>
                <c:pt idx="16">
                  <c:v>1027</c:v>
                </c:pt>
                <c:pt idx="17">
                  <c:v>1070</c:v>
                </c:pt>
                <c:pt idx="18">
                  <c:v>1083</c:v>
                </c:pt>
                <c:pt idx="19">
                  <c:v>1159</c:v>
                </c:pt>
                <c:pt idx="20">
                  <c:v>1098</c:v>
                </c:pt>
                <c:pt idx="21">
                  <c:v>1123</c:v>
                </c:pt>
                <c:pt idx="22">
                  <c:v>1152</c:v>
                </c:pt>
                <c:pt idx="23">
                  <c:v>1161</c:v>
                </c:pt>
                <c:pt idx="24">
                  <c:v>1122</c:v>
                </c:pt>
                <c:pt idx="25">
                  <c:v>1194</c:v>
                </c:pt>
                <c:pt idx="26">
                  <c:v>1134</c:v>
                </c:pt>
                <c:pt idx="27">
                  <c:v>1235</c:v>
                </c:pt>
                <c:pt idx="28">
                  <c:v>1142</c:v>
                </c:pt>
                <c:pt idx="29">
                  <c:v>1154</c:v>
                </c:pt>
                <c:pt idx="30">
                  <c:v>1189</c:v>
                </c:pt>
                <c:pt idx="31">
                  <c:v>1200</c:v>
                </c:pt>
                <c:pt idx="32">
                  <c:v>1223</c:v>
                </c:pt>
                <c:pt idx="33">
                  <c:v>1181</c:v>
                </c:pt>
                <c:pt idx="34">
                  <c:v>1236</c:v>
                </c:pt>
                <c:pt idx="35">
                  <c:v>1236</c:v>
                </c:pt>
                <c:pt idx="36">
                  <c:v>1248</c:v>
                </c:pt>
                <c:pt idx="37">
                  <c:v>1212</c:v>
                </c:pt>
                <c:pt idx="38">
                  <c:v>1258</c:v>
                </c:pt>
                <c:pt idx="39">
                  <c:v>1288</c:v>
                </c:pt>
                <c:pt idx="40">
                  <c:v>1350</c:v>
                </c:pt>
                <c:pt idx="41">
                  <c:v>1345</c:v>
                </c:pt>
                <c:pt idx="42">
                  <c:v>1321</c:v>
                </c:pt>
                <c:pt idx="43">
                  <c:v>1310</c:v>
                </c:pt>
                <c:pt idx="44">
                  <c:v>1413</c:v>
                </c:pt>
                <c:pt idx="45">
                  <c:v>1414</c:v>
                </c:pt>
                <c:pt idx="46">
                  <c:v>1357</c:v>
                </c:pt>
                <c:pt idx="47">
                  <c:v>1423</c:v>
                </c:pt>
                <c:pt idx="48">
                  <c:v>1296</c:v>
                </c:pt>
                <c:pt idx="49">
                  <c:v>1442</c:v>
                </c:pt>
                <c:pt idx="50">
                  <c:v>1313</c:v>
                </c:pt>
                <c:pt idx="51">
                  <c:v>1264</c:v>
                </c:pt>
                <c:pt idx="52">
                  <c:v>1299</c:v>
                </c:pt>
                <c:pt idx="53">
                  <c:v>1280</c:v>
                </c:pt>
                <c:pt idx="54">
                  <c:v>1304</c:v>
                </c:pt>
                <c:pt idx="55">
                  <c:v>1306</c:v>
                </c:pt>
                <c:pt idx="56">
                  <c:v>1265</c:v>
                </c:pt>
                <c:pt idx="57">
                  <c:v>1230</c:v>
                </c:pt>
                <c:pt idx="58">
                  <c:v>1254</c:v>
                </c:pt>
                <c:pt idx="59">
                  <c:v>1164</c:v>
                </c:pt>
                <c:pt idx="60">
                  <c:v>1264</c:v>
                </c:pt>
                <c:pt idx="61">
                  <c:v>1185</c:v>
                </c:pt>
                <c:pt idx="62">
                  <c:v>1211</c:v>
                </c:pt>
                <c:pt idx="63">
                  <c:v>1162</c:v>
                </c:pt>
                <c:pt idx="64">
                  <c:v>1207</c:v>
                </c:pt>
                <c:pt idx="65">
                  <c:v>1241</c:v>
                </c:pt>
                <c:pt idx="66">
                  <c:v>1237</c:v>
                </c:pt>
                <c:pt idx="67">
                  <c:v>1249</c:v>
                </c:pt>
                <c:pt idx="68">
                  <c:v>1227</c:v>
                </c:pt>
                <c:pt idx="69">
                  <c:v>1279</c:v>
                </c:pt>
                <c:pt idx="70">
                  <c:v>1306</c:v>
                </c:pt>
                <c:pt idx="71">
                  <c:v>1315</c:v>
                </c:pt>
                <c:pt idx="72">
                  <c:v>1325</c:v>
                </c:pt>
                <c:pt idx="73">
                  <c:v>1159</c:v>
                </c:pt>
                <c:pt idx="74">
                  <c:v>1234</c:v>
                </c:pt>
                <c:pt idx="75">
                  <c:v>1145</c:v>
                </c:pt>
                <c:pt idx="76">
                  <c:v>1078</c:v>
                </c:pt>
                <c:pt idx="77">
                  <c:v>956</c:v>
                </c:pt>
                <c:pt idx="78">
                  <c:v>932</c:v>
                </c:pt>
                <c:pt idx="79">
                  <c:v>877</c:v>
                </c:pt>
                <c:pt idx="80">
                  <c:v>774</c:v>
                </c:pt>
                <c:pt idx="81">
                  <c:v>739</c:v>
                </c:pt>
                <c:pt idx="82">
                  <c:v>736</c:v>
                </c:pt>
                <c:pt idx="83">
                  <c:v>743</c:v>
                </c:pt>
                <c:pt idx="84">
                  <c:v>995</c:v>
                </c:pt>
                <c:pt idx="85">
                  <c:v>907</c:v>
                </c:pt>
                <c:pt idx="86">
                  <c:v>955</c:v>
                </c:pt>
                <c:pt idx="87">
                  <c:v>1035</c:v>
                </c:pt>
                <c:pt idx="88">
                  <c:v>1076</c:v>
                </c:pt>
                <c:pt idx="89">
                  <c:v>1169</c:v>
                </c:pt>
                <c:pt idx="90">
                  <c:v>1177</c:v>
                </c:pt>
                <c:pt idx="91">
                  <c:v>1229</c:v>
                </c:pt>
                <c:pt idx="92">
                  <c:v>1279</c:v>
                </c:pt>
                <c:pt idx="93">
                  <c:v>1280</c:v>
                </c:pt>
                <c:pt idx="94">
                  <c:v>1297</c:v>
                </c:pt>
                <c:pt idx="95">
                  <c:v>1315</c:v>
                </c:pt>
                <c:pt idx="96">
                  <c:v>1179</c:v>
                </c:pt>
                <c:pt idx="97">
                  <c:v>1342</c:v>
                </c:pt>
                <c:pt idx="98">
                  <c:v>1370</c:v>
                </c:pt>
                <c:pt idx="99">
                  <c:v>1286</c:v>
                </c:pt>
                <c:pt idx="100">
                  <c:v>1297</c:v>
                </c:pt>
                <c:pt idx="101">
                  <c:v>1300</c:v>
                </c:pt>
                <c:pt idx="102">
                  <c:v>1344</c:v>
                </c:pt>
                <c:pt idx="103">
                  <c:v>1357</c:v>
                </c:pt>
                <c:pt idx="104">
                  <c:v>1464</c:v>
                </c:pt>
                <c:pt idx="105">
                  <c:v>1421</c:v>
                </c:pt>
                <c:pt idx="106">
                  <c:v>1436</c:v>
                </c:pt>
                <c:pt idx="107">
                  <c:v>1389</c:v>
                </c:pt>
                <c:pt idx="108">
                  <c:v>1459</c:v>
                </c:pt>
                <c:pt idx="109">
                  <c:v>1495</c:v>
                </c:pt>
                <c:pt idx="110">
                  <c:v>1438</c:v>
                </c:pt>
                <c:pt idx="111">
                  <c:v>1441</c:v>
                </c:pt>
                <c:pt idx="112">
                  <c:v>1328</c:v>
                </c:pt>
                <c:pt idx="113">
                  <c:v>1349</c:v>
                </c:pt>
                <c:pt idx="114">
                  <c:v>1278</c:v>
                </c:pt>
                <c:pt idx="115">
                  <c:v>1317</c:v>
                </c:pt>
                <c:pt idx="116">
                  <c:v>1263</c:v>
                </c:pt>
                <c:pt idx="117">
                  <c:v>1216</c:v>
                </c:pt>
                <c:pt idx="118">
                  <c:v>1191</c:v>
                </c:pt>
                <c:pt idx="119">
                  <c:v>1155</c:v>
                </c:pt>
                <c:pt idx="120">
                  <c:v>1062</c:v>
                </c:pt>
                <c:pt idx="121">
                  <c:v>1118</c:v>
                </c:pt>
                <c:pt idx="122">
                  <c:v>1132</c:v>
                </c:pt>
                <c:pt idx="123">
                  <c:v>1224</c:v>
                </c:pt>
                <c:pt idx="124">
                  <c:v>1328</c:v>
                </c:pt>
                <c:pt idx="125">
                  <c:v>1322</c:v>
                </c:pt>
                <c:pt idx="126">
                  <c:v>1324</c:v>
                </c:pt>
                <c:pt idx="127">
                  <c:v>1394</c:v>
                </c:pt>
                <c:pt idx="128">
                  <c:v>1426</c:v>
                </c:pt>
                <c:pt idx="129">
                  <c:v>1564</c:v>
                </c:pt>
                <c:pt idx="130">
                  <c:v>1502</c:v>
                </c:pt>
                <c:pt idx="131">
                  <c:v>1767</c:v>
                </c:pt>
                <c:pt idx="132">
                  <c:v>1643</c:v>
                </c:pt>
                <c:pt idx="133">
                  <c:v>1588</c:v>
                </c:pt>
                <c:pt idx="134">
                  <c:v>1759</c:v>
                </c:pt>
                <c:pt idx="135">
                  <c:v>1745</c:v>
                </c:pt>
                <c:pt idx="136">
                  <c:v>1972</c:v>
                </c:pt>
                <c:pt idx="137">
                  <c:v>1903</c:v>
                </c:pt>
                <c:pt idx="138">
                  <c:v>2069</c:v>
                </c:pt>
                <c:pt idx="139">
                  <c:v>2004</c:v>
                </c:pt>
                <c:pt idx="140">
                  <c:v>1996</c:v>
                </c:pt>
                <c:pt idx="141">
                  <c:v>2026</c:v>
                </c:pt>
                <c:pt idx="142">
                  <c:v>2079</c:v>
                </c:pt>
                <c:pt idx="143">
                  <c:v>2133</c:v>
                </c:pt>
                <c:pt idx="144">
                  <c:v>2238</c:v>
                </c:pt>
                <c:pt idx="145">
                  <c:v>2169</c:v>
                </c:pt>
                <c:pt idx="146">
                  <c:v>2105</c:v>
                </c:pt>
                <c:pt idx="147">
                  <c:v>2139</c:v>
                </c:pt>
                <c:pt idx="148">
                  <c:v>2067</c:v>
                </c:pt>
                <c:pt idx="149">
                  <c:v>2183</c:v>
                </c:pt>
                <c:pt idx="150">
                  <c:v>2195</c:v>
                </c:pt>
                <c:pt idx="151">
                  <c:v>2263</c:v>
                </c:pt>
                <c:pt idx="152">
                  <c:v>2393</c:v>
                </c:pt>
                <c:pt idx="153">
                  <c:v>2354</c:v>
                </c:pt>
                <c:pt idx="154">
                  <c:v>2234</c:v>
                </c:pt>
                <c:pt idx="155">
                  <c:v>2419</c:v>
                </c:pt>
                <c:pt idx="156">
                  <c:v>2271</c:v>
                </c:pt>
                <c:pt idx="157">
                  <c:v>2226</c:v>
                </c:pt>
                <c:pt idx="158">
                  <c:v>2062</c:v>
                </c:pt>
                <c:pt idx="159">
                  <c:v>1908</c:v>
                </c:pt>
                <c:pt idx="160">
                  <c:v>1931</c:v>
                </c:pt>
                <c:pt idx="161">
                  <c:v>2051</c:v>
                </c:pt>
                <c:pt idx="162">
                  <c:v>1819</c:v>
                </c:pt>
                <c:pt idx="163">
                  <c:v>1809</c:v>
                </c:pt>
                <c:pt idx="164">
                  <c:v>1704</c:v>
                </c:pt>
                <c:pt idx="165">
                  <c:v>1411</c:v>
                </c:pt>
                <c:pt idx="166">
                  <c:v>1402</c:v>
                </c:pt>
                <c:pt idx="167">
                  <c:v>1288</c:v>
                </c:pt>
                <c:pt idx="168">
                  <c:v>1331</c:v>
                </c:pt>
                <c:pt idx="169">
                  <c:v>1360</c:v>
                </c:pt>
                <c:pt idx="170">
                  <c:v>1440</c:v>
                </c:pt>
                <c:pt idx="171">
                  <c:v>1254</c:v>
                </c:pt>
                <c:pt idx="172">
                  <c:v>1138</c:v>
                </c:pt>
                <c:pt idx="173">
                  <c:v>1086</c:v>
                </c:pt>
                <c:pt idx="174">
                  <c:v>1002</c:v>
                </c:pt>
                <c:pt idx="175">
                  <c:v>917</c:v>
                </c:pt>
                <c:pt idx="176">
                  <c:v>840</c:v>
                </c:pt>
                <c:pt idx="177">
                  <c:v>824</c:v>
                </c:pt>
                <c:pt idx="178">
                  <c:v>783</c:v>
                </c:pt>
                <c:pt idx="179">
                  <c:v>869</c:v>
                </c:pt>
                <c:pt idx="180">
                  <c:v>726</c:v>
                </c:pt>
                <c:pt idx="181">
                  <c:v>729</c:v>
                </c:pt>
                <c:pt idx="182">
                  <c:v>709</c:v>
                </c:pt>
                <c:pt idx="183">
                  <c:v>866</c:v>
                </c:pt>
                <c:pt idx="184">
                  <c:v>914</c:v>
                </c:pt>
                <c:pt idx="185">
                  <c:v>946</c:v>
                </c:pt>
                <c:pt idx="186">
                  <c:v>1020</c:v>
                </c:pt>
                <c:pt idx="187">
                  <c:v>994</c:v>
                </c:pt>
                <c:pt idx="188">
                  <c:v>1064</c:v>
                </c:pt>
                <c:pt idx="189">
                  <c:v>1096</c:v>
                </c:pt>
                <c:pt idx="190">
                  <c:v>1110</c:v>
                </c:pt>
                <c:pt idx="191">
                  <c:v>1091</c:v>
                </c:pt>
                <c:pt idx="192">
                  <c:v>1195</c:v>
                </c:pt>
                <c:pt idx="193">
                  <c:v>1190</c:v>
                </c:pt>
                <c:pt idx="194">
                  <c:v>1164</c:v>
                </c:pt>
                <c:pt idx="195">
                  <c:v>1132</c:v>
                </c:pt>
                <c:pt idx="196">
                  <c:v>1194</c:v>
                </c:pt>
                <c:pt idx="197">
                  <c:v>1188</c:v>
                </c:pt>
                <c:pt idx="198">
                  <c:v>1245</c:v>
                </c:pt>
                <c:pt idx="199">
                  <c:v>1309</c:v>
                </c:pt>
                <c:pt idx="200">
                  <c:v>1481</c:v>
                </c:pt>
                <c:pt idx="201">
                  <c:v>1425</c:v>
                </c:pt>
                <c:pt idx="202">
                  <c:v>1531</c:v>
                </c:pt>
                <c:pt idx="203">
                  <c:v>1511</c:v>
                </c:pt>
                <c:pt idx="204">
                  <c:v>1466</c:v>
                </c:pt>
                <c:pt idx="205">
                  <c:v>1560</c:v>
                </c:pt>
                <c:pt idx="206">
                  <c:v>1660</c:v>
                </c:pt>
                <c:pt idx="207">
                  <c:v>1660</c:v>
                </c:pt>
                <c:pt idx="208">
                  <c:v>1668</c:v>
                </c:pt>
                <c:pt idx="209">
                  <c:v>1752</c:v>
                </c:pt>
                <c:pt idx="210">
                  <c:v>1687</c:v>
                </c:pt>
                <c:pt idx="211">
                  <c:v>1780</c:v>
                </c:pt>
                <c:pt idx="212">
                  <c:v>1674</c:v>
                </c:pt>
                <c:pt idx="213">
                  <c:v>1758</c:v>
                </c:pt>
                <c:pt idx="214">
                  <c:v>1771</c:v>
                </c:pt>
                <c:pt idx="215">
                  <c:v>1754</c:v>
                </c:pt>
                <c:pt idx="216">
                  <c:v>1740</c:v>
                </c:pt>
                <c:pt idx="217">
                  <c:v>1736</c:v>
                </c:pt>
                <c:pt idx="218">
                  <c:v>1799</c:v>
                </c:pt>
                <c:pt idx="219">
                  <c:v>1948</c:v>
                </c:pt>
                <c:pt idx="220">
                  <c:v>1766</c:v>
                </c:pt>
                <c:pt idx="221">
                  <c:v>1983</c:v>
                </c:pt>
                <c:pt idx="222">
                  <c:v>1786</c:v>
                </c:pt>
                <c:pt idx="223">
                  <c:v>1691</c:v>
                </c:pt>
                <c:pt idx="224">
                  <c:v>1751</c:v>
                </c:pt>
                <c:pt idx="225">
                  <c:v>1781</c:v>
                </c:pt>
                <c:pt idx="226">
                  <c:v>1795</c:v>
                </c:pt>
                <c:pt idx="227">
                  <c:v>1818</c:v>
                </c:pt>
                <c:pt idx="228">
                  <c:v>1461</c:v>
                </c:pt>
                <c:pt idx="229">
                  <c:v>1492</c:v>
                </c:pt>
                <c:pt idx="230">
                  <c:v>1720</c:v>
                </c:pt>
                <c:pt idx="231">
                  <c:v>1597</c:v>
                </c:pt>
                <c:pt idx="232">
                  <c:v>1684</c:v>
                </c:pt>
                <c:pt idx="233">
                  <c:v>1640</c:v>
                </c:pt>
                <c:pt idx="234">
                  <c:v>1534</c:v>
                </c:pt>
                <c:pt idx="235">
                  <c:v>1591</c:v>
                </c:pt>
                <c:pt idx="236">
                  <c:v>1638</c:v>
                </c:pt>
                <c:pt idx="237">
                  <c:v>1481</c:v>
                </c:pt>
                <c:pt idx="238">
                  <c:v>1276</c:v>
                </c:pt>
                <c:pt idx="239">
                  <c:v>1254</c:v>
                </c:pt>
                <c:pt idx="240">
                  <c:v>1280</c:v>
                </c:pt>
                <c:pt idx="241">
                  <c:v>1199</c:v>
                </c:pt>
                <c:pt idx="242">
                  <c:v>988</c:v>
                </c:pt>
                <c:pt idx="243">
                  <c:v>808</c:v>
                </c:pt>
                <c:pt idx="244">
                  <c:v>861</c:v>
                </c:pt>
                <c:pt idx="245">
                  <c:v>1118</c:v>
                </c:pt>
                <c:pt idx="246">
                  <c:v>1259</c:v>
                </c:pt>
                <c:pt idx="247">
                  <c:v>1367</c:v>
                </c:pt>
                <c:pt idx="248">
                  <c:v>1484</c:v>
                </c:pt>
                <c:pt idx="249">
                  <c:v>1366</c:v>
                </c:pt>
                <c:pt idx="250">
                  <c:v>1383</c:v>
                </c:pt>
                <c:pt idx="251">
                  <c:v>1249</c:v>
                </c:pt>
                <c:pt idx="252">
                  <c:v>1221</c:v>
                </c:pt>
                <c:pt idx="253">
                  <c:v>1199</c:v>
                </c:pt>
                <c:pt idx="254">
                  <c:v>1183</c:v>
                </c:pt>
                <c:pt idx="255">
                  <c:v>1190</c:v>
                </c:pt>
                <c:pt idx="256">
                  <c:v>1173</c:v>
                </c:pt>
                <c:pt idx="257">
                  <c:v>976</c:v>
                </c:pt>
                <c:pt idx="258">
                  <c:v>935</c:v>
                </c:pt>
                <c:pt idx="259">
                  <c:v>889</c:v>
                </c:pt>
                <c:pt idx="260">
                  <c:v>847</c:v>
                </c:pt>
                <c:pt idx="261">
                  <c:v>731</c:v>
                </c:pt>
                <c:pt idx="262">
                  <c:v>748</c:v>
                </c:pt>
                <c:pt idx="263">
                  <c:v>796</c:v>
                </c:pt>
                <c:pt idx="264">
                  <c:v>794</c:v>
                </c:pt>
                <c:pt idx="265">
                  <c:v>808</c:v>
                </c:pt>
                <c:pt idx="266">
                  <c:v>891</c:v>
                </c:pt>
                <c:pt idx="267">
                  <c:v>888</c:v>
                </c:pt>
                <c:pt idx="268">
                  <c:v>953</c:v>
                </c:pt>
                <c:pt idx="269">
                  <c:v>913</c:v>
                </c:pt>
                <c:pt idx="270">
                  <c:v>1044</c:v>
                </c:pt>
                <c:pt idx="271">
                  <c:v>926</c:v>
                </c:pt>
                <c:pt idx="272">
                  <c:v>1042</c:v>
                </c:pt>
                <c:pt idx="273">
                  <c:v>1149</c:v>
                </c:pt>
                <c:pt idx="274">
                  <c:v>1229</c:v>
                </c:pt>
                <c:pt idx="275">
                  <c:v>1351</c:v>
                </c:pt>
                <c:pt idx="276">
                  <c:v>1426</c:v>
                </c:pt>
                <c:pt idx="277">
                  <c:v>1471</c:v>
                </c:pt>
                <c:pt idx="278">
                  <c:v>1475</c:v>
                </c:pt>
                <c:pt idx="279">
                  <c:v>1566</c:v>
                </c:pt>
                <c:pt idx="280">
                  <c:v>1669</c:v>
                </c:pt>
                <c:pt idx="281">
                  <c:v>1769</c:v>
                </c:pt>
                <c:pt idx="282">
                  <c:v>1795</c:v>
                </c:pt>
                <c:pt idx="283">
                  <c:v>1713</c:v>
                </c:pt>
                <c:pt idx="284">
                  <c:v>1585</c:v>
                </c:pt>
                <c:pt idx="285">
                  <c:v>1716</c:v>
                </c:pt>
                <c:pt idx="286">
                  <c:v>1668</c:v>
                </c:pt>
                <c:pt idx="287">
                  <c:v>1627</c:v>
                </c:pt>
                <c:pt idx="288">
                  <c:v>1816</c:v>
                </c:pt>
                <c:pt idx="289">
                  <c:v>1987</c:v>
                </c:pt>
                <c:pt idx="290">
                  <c:v>1725</c:v>
                </c:pt>
                <c:pt idx="291">
                  <c:v>1776</c:v>
                </c:pt>
                <c:pt idx="292">
                  <c:v>1741</c:v>
                </c:pt>
                <c:pt idx="293">
                  <c:v>1814</c:v>
                </c:pt>
                <c:pt idx="294">
                  <c:v>1605</c:v>
                </c:pt>
                <c:pt idx="295">
                  <c:v>1530</c:v>
                </c:pt>
                <c:pt idx="296">
                  <c:v>1523</c:v>
                </c:pt>
                <c:pt idx="297">
                  <c:v>1490</c:v>
                </c:pt>
                <c:pt idx="298">
                  <c:v>1643</c:v>
                </c:pt>
                <c:pt idx="299">
                  <c:v>1626</c:v>
                </c:pt>
                <c:pt idx="300">
                  <c:v>1660</c:v>
                </c:pt>
                <c:pt idx="301">
                  <c:v>1662</c:v>
                </c:pt>
                <c:pt idx="302">
                  <c:v>1727</c:v>
                </c:pt>
                <c:pt idx="303">
                  <c:v>1664</c:v>
                </c:pt>
                <c:pt idx="304">
                  <c:v>1709</c:v>
                </c:pt>
                <c:pt idx="305">
                  <c:v>1716</c:v>
                </c:pt>
                <c:pt idx="306">
                  <c:v>1697</c:v>
                </c:pt>
                <c:pt idx="307">
                  <c:v>1808</c:v>
                </c:pt>
                <c:pt idx="308">
                  <c:v>1916</c:v>
                </c:pt>
                <c:pt idx="309">
                  <c:v>1743</c:v>
                </c:pt>
                <c:pt idx="310">
                  <c:v>1692</c:v>
                </c:pt>
                <c:pt idx="311">
                  <c:v>1794</c:v>
                </c:pt>
                <c:pt idx="312">
                  <c:v>1847</c:v>
                </c:pt>
                <c:pt idx="313">
                  <c:v>1767</c:v>
                </c:pt>
                <c:pt idx="314">
                  <c:v>1780</c:v>
                </c:pt>
                <c:pt idx="315">
                  <c:v>1858</c:v>
                </c:pt>
                <c:pt idx="316">
                  <c:v>1797</c:v>
                </c:pt>
                <c:pt idx="317">
                  <c:v>1790</c:v>
                </c:pt>
                <c:pt idx="318">
                  <c:v>1780</c:v>
                </c:pt>
                <c:pt idx="319">
                  <c:v>1726</c:v>
                </c:pt>
                <c:pt idx="320">
                  <c:v>1686</c:v>
                </c:pt>
                <c:pt idx="321">
                  <c:v>1675</c:v>
                </c:pt>
                <c:pt idx="322">
                  <c:v>1644</c:v>
                </c:pt>
                <c:pt idx="323">
                  <c:v>1903</c:v>
                </c:pt>
                <c:pt idx="324">
                  <c:v>1690</c:v>
                </c:pt>
                <c:pt idx="325">
                  <c:v>1689</c:v>
                </c:pt>
                <c:pt idx="326">
                  <c:v>1704</c:v>
                </c:pt>
                <c:pt idx="327">
                  <c:v>1601</c:v>
                </c:pt>
                <c:pt idx="328">
                  <c:v>1500</c:v>
                </c:pt>
                <c:pt idx="329">
                  <c:v>1522</c:v>
                </c:pt>
                <c:pt idx="330">
                  <c:v>1516</c:v>
                </c:pt>
                <c:pt idx="331">
                  <c:v>1511</c:v>
                </c:pt>
                <c:pt idx="332">
                  <c:v>1514</c:v>
                </c:pt>
                <c:pt idx="333">
                  <c:v>1447</c:v>
                </c:pt>
                <c:pt idx="334">
                  <c:v>1457</c:v>
                </c:pt>
                <c:pt idx="335">
                  <c:v>1345</c:v>
                </c:pt>
                <c:pt idx="336">
                  <c:v>1244</c:v>
                </c:pt>
                <c:pt idx="337">
                  <c:v>1438</c:v>
                </c:pt>
                <c:pt idx="338">
                  <c:v>1525</c:v>
                </c:pt>
                <c:pt idx="339">
                  <c:v>1429</c:v>
                </c:pt>
                <c:pt idx="340">
                  <c:v>1444</c:v>
                </c:pt>
                <c:pt idx="341">
                  <c:v>1485</c:v>
                </c:pt>
                <c:pt idx="342">
                  <c:v>1439</c:v>
                </c:pt>
                <c:pt idx="343">
                  <c:v>1460</c:v>
                </c:pt>
                <c:pt idx="344">
                  <c:v>1436</c:v>
                </c:pt>
                <c:pt idx="345">
                  <c:v>1516</c:v>
                </c:pt>
                <c:pt idx="346">
                  <c:v>1508</c:v>
                </c:pt>
                <c:pt idx="347">
                  <c:v>1501</c:v>
                </c:pt>
                <c:pt idx="348">
                  <c:v>1466</c:v>
                </c:pt>
                <c:pt idx="349">
                  <c:v>1383</c:v>
                </c:pt>
                <c:pt idx="350">
                  <c:v>1214</c:v>
                </c:pt>
                <c:pt idx="351">
                  <c:v>1376</c:v>
                </c:pt>
                <c:pt idx="352">
                  <c:v>1381</c:v>
                </c:pt>
                <c:pt idx="353">
                  <c:v>1322</c:v>
                </c:pt>
                <c:pt idx="354">
                  <c:v>1283</c:v>
                </c:pt>
                <c:pt idx="355">
                  <c:v>1334</c:v>
                </c:pt>
                <c:pt idx="356">
                  <c:v>1314</c:v>
                </c:pt>
                <c:pt idx="357">
                  <c:v>1365</c:v>
                </c:pt>
                <c:pt idx="358">
                  <c:v>1344</c:v>
                </c:pt>
                <c:pt idx="359">
                  <c:v>1422</c:v>
                </c:pt>
                <c:pt idx="360">
                  <c:v>1748</c:v>
                </c:pt>
                <c:pt idx="361">
                  <c:v>1329</c:v>
                </c:pt>
                <c:pt idx="362">
                  <c:v>1246</c:v>
                </c:pt>
                <c:pt idx="363">
                  <c:v>1136</c:v>
                </c:pt>
                <c:pt idx="364">
                  <c:v>1067</c:v>
                </c:pt>
                <c:pt idx="365">
                  <c:v>1108</c:v>
                </c:pt>
                <c:pt idx="366">
                  <c:v>1078</c:v>
                </c:pt>
                <c:pt idx="367">
                  <c:v>1069</c:v>
                </c:pt>
                <c:pt idx="368">
                  <c:v>976</c:v>
                </c:pt>
                <c:pt idx="369">
                  <c:v>925</c:v>
                </c:pt>
                <c:pt idx="370">
                  <c:v>941</c:v>
                </c:pt>
                <c:pt idx="371">
                  <c:v>861</c:v>
                </c:pt>
                <c:pt idx="372">
                  <c:v>786</c:v>
                </c:pt>
                <c:pt idx="373">
                  <c:v>853</c:v>
                </c:pt>
                <c:pt idx="374">
                  <c:v>911</c:v>
                </c:pt>
                <c:pt idx="375">
                  <c:v>916</c:v>
                </c:pt>
                <c:pt idx="376">
                  <c:v>991</c:v>
                </c:pt>
                <c:pt idx="377">
                  <c:v>964</c:v>
                </c:pt>
                <c:pt idx="378">
                  <c:v>973</c:v>
                </c:pt>
                <c:pt idx="379">
                  <c:v>944</c:v>
                </c:pt>
                <c:pt idx="380">
                  <c:v>974</c:v>
                </c:pt>
                <c:pt idx="381">
                  <c:v>991</c:v>
                </c:pt>
                <c:pt idx="382">
                  <c:v>984</c:v>
                </c:pt>
                <c:pt idx="383">
                  <c:v>1061</c:v>
                </c:pt>
                <c:pt idx="384">
                  <c:v>1077</c:v>
                </c:pt>
                <c:pt idx="385">
                  <c:v>1146</c:v>
                </c:pt>
                <c:pt idx="386">
                  <c:v>1082</c:v>
                </c:pt>
                <c:pt idx="387">
                  <c:v>1054</c:v>
                </c:pt>
                <c:pt idx="388">
                  <c:v>1056</c:v>
                </c:pt>
                <c:pt idx="389">
                  <c:v>1057</c:v>
                </c:pt>
                <c:pt idx="390">
                  <c:v>1089</c:v>
                </c:pt>
                <c:pt idx="391">
                  <c:v>1075</c:v>
                </c:pt>
                <c:pt idx="392">
                  <c:v>1114</c:v>
                </c:pt>
                <c:pt idx="393">
                  <c:v>1132</c:v>
                </c:pt>
                <c:pt idx="394">
                  <c:v>1118</c:v>
                </c:pt>
                <c:pt idx="395">
                  <c:v>1176</c:v>
                </c:pt>
                <c:pt idx="396">
                  <c:v>1177</c:v>
                </c:pt>
                <c:pt idx="397">
                  <c:v>1148</c:v>
                </c:pt>
                <c:pt idx="398">
                  <c:v>1056</c:v>
                </c:pt>
                <c:pt idx="399">
                  <c:v>1104</c:v>
                </c:pt>
                <c:pt idx="400">
                  <c:v>1112</c:v>
                </c:pt>
                <c:pt idx="401">
                  <c:v>1130</c:v>
                </c:pt>
                <c:pt idx="402">
                  <c:v>1174</c:v>
                </c:pt>
                <c:pt idx="403">
                  <c:v>1230</c:v>
                </c:pt>
                <c:pt idx="404">
                  <c:v>1251</c:v>
                </c:pt>
                <c:pt idx="405">
                  <c:v>1287</c:v>
                </c:pt>
                <c:pt idx="406">
                  <c:v>1357</c:v>
                </c:pt>
                <c:pt idx="407">
                  <c:v>1461</c:v>
                </c:pt>
                <c:pt idx="408">
                  <c:v>1390</c:v>
                </c:pt>
                <c:pt idx="409">
                  <c:v>1269</c:v>
                </c:pt>
                <c:pt idx="410">
                  <c:v>1342</c:v>
                </c:pt>
                <c:pt idx="411">
                  <c:v>1392</c:v>
                </c:pt>
                <c:pt idx="412">
                  <c:v>1396</c:v>
                </c:pt>
                <c:pt idx="413">
                  <c:v>1357</c:v>
                </c:pt>
                <c:pt idx="414">
                  <c:v>1335</c:v>
                </c:pt>
                <c:pt idx="415">
                  <c:v>1377</c:v>
                </c:pt>
                <c:pt idx="416">
                  <c:v>1412</c:v>
                </c:pt>
                <c:pt idx="417">
                  <c:v>1397</c:v>
                </c:pt>
                <c:pt idx="418">
                  <c:v>1340</c:v>
                </c:pt>
                <c:pt idx="419">
                  <c:v>1396</c:v>
                </c:pt>
                <c:pt idx="420">
                  <c:v>1282</c:v>
                </c:pt>
                <c:pt idx="421">
                  <c:v>1254</c:v>
                </c:pt>
                <c:pt idx="422">
                  <c:v>1226</c:v>
                </c:pt>
                <c:pt idx="423">
                  <c:v>1259</c:v>
                </c:pt>
                <c:pt idx="424">
                  <c:v>1271</c:v>
                </c:pt>
                <c:pt idx="425">
                  <c:v>1305</c:v>
                </c:pt>
                <c:pt idx="426">
                  <c:v>1354</c:v>
                </c:pt>
                <c:pt idx="427">
                  <c:v>1386</c:v>
                </c:pt>
                <c:pt idx="428">
                  <c:v>1421</c:v>
                </c:pt>
                <c:pt idx="429">
                  <c:v>1400</c:v>
                </c:pt>
                <c:pt idx="430">
                  <c:v>1430</c:v>
                </c:pt>
                <c:pt idx="431">
                  <c:v>1442</c:v>
                </c:pt>
                <c:pt idx="432">
                  <c:v>1387</c:v>
                </c:pt>
                <c:pt idx="433">
                  <c:v>1420</c:v>
                </c:pt>
                <c:pt idx="434">
                  <c:v>1437</c:v>
                </c:pt>
                <c:pt idx="435">
                  <c:v>1463</c:v>
                </c:pt>
                <c:pt idx="436">
                  <c:v>1457</c:v>
                </c:pt>
                <c:pt idx="437">
                  <c:v>1429</c:v>
                </c:pt>
                <c:pt idx="438">
                  <c:v>1450</c:v>
                </c:pt>
                <c:pt idx="439">
                  <c:v>1413</c:v>
                </c:pt>
                <c:pt idx="440">
                  <c:v>1392</c:v>
                </c:pt>
                <c:pt idx="441">
                  <c:v>1358</c:v>
                </c:pt>
                <c:pt idx="442">
                  <c:v>1412</c:v>
                </c:pt>
                <c:pt idx="443">
                  <c:v>1411</c:v>
                </c:pt>
                <c:pt idx="444">
                  <c:v>1382</c:v>
                </c:pt>
                <c:pt idx="445">
                  <c:v>1445</c:v>
                </c:pt>
                <c:pt idx="446">
                  <c:v>1436</c:v>
                </c:pt>
                <c:pt idx="447">
                  <c:v>1421</c:v>
                </c:pt>
                <c:pt idx="448">
                  <c:v>1414</c:v>
                </c:pt>
                <c:pt idx="449">
                  <c:v>1402</c:v>
                </c:pt>
                <c:pt idx="450">
                  <c:v>1440</c:v>
                </c:pt>
                <c:pt idx="451">
                  <c:v>1449</c:v>
                </c:pt>
                <c:pt idx="452">
                  <c:v>1494</c:v>
                </c:pt>
                <c:pt idx="453">
                  <c:v>1499</c:v>
                </c:pt>
                <c:pt idx="454">
                  <c:v>1469</c:v>
                </c:pt>
                <c:pt idx="455">
                  <c:v>1456</c:v>
                </c:pt>
                <c:pt idx="456">
                  <c:v>1555</c:v>
                </c:pt>
                <c:pt idx="457">
                  <c:v>1647</c:v>
                </c:pt>
                <c:pt idx="458">
                  <c:v>1605</c:v>
                </c:pt>
                <c:pt idx="459">
                  <c:v>1547</c:v>
                </c:pt>
                <c:pt idx="460">
                  <c:v>1554</c:v>
                </c:pt>
                <c:pt idx="461">
                  <c:v>1551</c:v>
                </c:pt>
                <c:pt idx="462">
                  <c:v>1610</c:v>
                </c:pt>
                <c:pt idx="463">
                  <c:v>1654</c:v>
                </c:pt>
                <c:pt idx="464">
                  <c:v>1577</c:v>
                </c:pt>
                <c:pt idx="465">
                  <c:v>1719</c:v>
                </c:pt>
                <c:pt idx="466">
                  <c:v>1672</c:v>
                </c:pt>
                <c:pt idx="467">
                  <c:v>1742</c:v>
                </c:pt>
                <c:pt idx="468">
                  <c:v>1732</c:v>
                </c:pt>
                <c:pt idx="469">
                  <c:v>1720</c:v>
                </c:pt>
                <c:pt idx="470">
                  <c:v>1665</c:v>
                </c:pt>
                <c:pt idx="471">
                  <c:v>1600</c:v>
                </c:pt>
                <c:pt idx="472">
                  <c:v>1640</c:v>
                </c:pt>
                <c:pt idx="473">
                  <c:v>1702</c:v>
                </c:pt>
                <c:pt idx="474">
                  <c:v>1682</c:v>
                </c:pt>
                <c:pt idx="475">
                  <c:v>1671</c:v>
                </c:pt>
                <c:pt idx="476">
                  <c:v>1551</c:v>
                </c:pt>
                <c:pt idx="477">
                  <c:v>1649</c:v>
                </c:pt>
                <c:pt idx="478">
                  <c:v>1672</c:v>
                </c:pt>
                <c:pt idx="479">
                  <c:v>1683</c:v>
                </c:pt>
                <c:pt idx="480">
                  <c:v>1727</c:v>
                </c:pt>
                <c:pt idx="481">
                  <c:v>1692</c:v>
                </c:pt>
                <c:pt idx="482">
                  <c:v>1651</c:v>
                </c:pt>
                <c:pt idx="483">
                  <c:v>1597</c:v>
                </c:pt>
                <c:pt idx="484">
                  <c:v>1543</c:v>
                </c:pt>
                <c:pt idx="485">
                  <c:v>1572</c:v>
                </c:pt>
                <c:pt idx="486">
                  <c:v>1542</c:v>
                </c:pt>
                <c:pt idx="487">
                  <c:v>1552</c:v>
                </c:pt>
                <c:pt idx="488">
                  <c:v>1570</c:v>
                </c:pt>
                <c:pt idx="489">
                  <c:v>1577</c:v>
                </c:pt>
                <c:pt idx="490">
                  <c:v>1614</c:v>
                </c:pt>
                <c:pt idx="491">
                  <c:v>1543</c:v>
                </c:pt>
                <c:pt idx="492">
                  <c:v>1699</c:v>
                </c:pt>
                <c:pt idx="493">
                  <c:v>1656</c:v>
                </c:pt>
                <c:pt idx="494">
                  <c:v>1659</c:v>
                </c:pt>
                <c:pt idx="495">
                  <c:v>1666</c:v>
                </c:pt>
                <c:pt idx="496">
                  <c:v>1665</c:v>
                </c:pt>
                <c:pt idx="497">
                  <c:v>1626</c:v>
                </c:pt>
                <c:pt idx="498">
                  <c:v>1598</c:v>
                </c:pt>
                <c:pt idx="499">
                  <c:v>1615</c:v>
                </c:pt>
                <c:pt idx="500">
                  <c:v>1565</c:v>
                </c:pt>
                <c:pt idx="501">
                  <c:v>1566</c:v>
                </c:pt>
                <c:pt idx="502">
                  <c:v>1651</c:v>
                </c:pt>
                <c:pt idx="503">
                  <c:v>1680</c:v>
                </c:pt>
                <c:pt idx="504">
                  <c:v>1665</c:v>
                </c:pt>
                <c:pt idx="505">
                  <c:v>1787</c:v>
                </c:pt>
                <c:pt idx="506">
                  <c:v>1691</c:v>
                </c:pt>
                <c:pt idx="507">
                  <c:v>1669</c:v>
                </c:pt>
                <c:pt idx="508">
                  <c:v>1716</c:v>
                </c:pt>
                <c:pt idx="509">
                  <c:v>1758</c:v>
                </c:pt>
                <c:pt idx="510">
                  <c:v>1738</c:v>
                </c:pt>
                <c:pt idx="511">
                  <c:v>1695</c:v>
                </c:pt>
                <c:pt idx="512">
                  <c:v>1803</c:v>
                </c:pt>
                <c:pt idx="513">
                  <c:v>1799</c:v>
                </c:pt>
                <c:pt idx="514">
                  <c:v>1771</c:v>
                </c:pt>
                <c:pt idx="515">
                  <c:v>1896</c:v>
                </c:pt>
                <c:pt idx="516">
                  <c:v>1808</c:v>
                </c:pt>
                <c:pt idx="517">
                  <c:v>1854</c:v>
                </c:pt>
                <c:pt idx="518">
                  <c:v>1757</c:v>
                </c:pt>
                <c:pt idx="519">
                  <c:v>1803</c:v>
                </c:pt>
                <c:pt idx="520">
                  <c:v>1835</c:v>
                </c:pt>
                <c:pt idx="521">
                  <c:v>1875</c:v>
                </c:pt>
                <c:pt idx="522">
                  <c:v>1885</c:v>
                </c:pt>
                <c:pt idx="523">
                  <c:v>1966</c:v>
                </c:pt>
                <c:pt idx="524">
                  <c:v>1961</c:v>
                </c:pt>
                <c:pt idx="525">
                  <c:v>2012</c:v>
                </c:pt>
                <c:pt idx="526">
                  <c:v>1918</c:v>
                </c:pt>
                <c:pt idx="527">
                  <c:v>1987</c:v>
                </c:pt>
                <c:pt idx="528">
                  <c:v>1952</c:v>
                </c:pt>
                <c:pt idx="529">
                  <c:v>1966</c:v>
                </c:pt>
                <c:pt idx="530">
                  <c:v>2066</c:v>
                </c:pt>
                <c:pt idx="531">
                  <c:v>2070</c:v>
                </c:pt>
                <c:pt idx="532">
                  <c:v>2150</c:v>
                </c:pt>
                <c:pt idx="533">
                  <c:v>2020</c:v>
                </c:pt>
                <c:pt idx="534">
                  <c:v>2112</c:v>
                </c:pt>
                <c:pt idx="535">
                  <c:v>2056</c:v>
                </c:pt>
                <c:pt idx="536">
                  <c:v>2041</c:v>
                </c:pt>
                <c:pt idx="537">
                  <c:v>2097</c:v>
                </c:pt>
                <c:pt idx="538">
                  <c:v>2079</c:v>
                </c:pt>
                <c:pt idx="539">
                  <c:v>2082</c:v>
                </c:pt>
                <c:pt idx="540">
                  <c:v>2139</c:v>
                </c:pt>
                <c:pt idx="541">
                  <c:v>2114</c:v>
                </c:pt>
                <c:pt idx="542">
                  <c:v>2062</c:v>
                </c:pt>
                <c:pt idx="543">
                  <c:v>2150</c:v>
                </c:pt>
                <c:pt idx="544">
                  <c:v>2085</c:v>
                </c:pt>
                <c:pt idx="545">
                  <c:v>2178</c:v>
                </c:pt>
                <c:pt idx="546">
                  <c:v>2203</c:v>
                </c:pt>
                <c:pt idx="547">
                  <c:v>2219</c:v>
                </c:pt>
                <c:pt idx="548">
                  <c:v>2263</c:v>
                </c:pt>
                <c:pt idx="549">
                  <c:v>2170</c:v>
                </c:pt>
                <c:pt idx="550">
                  <c:v>2218</c:v>
                </c:pt>
                <c:pt idx="551">
                  <c:v>2120</c:v>
                </c:pt>
                <c:pt idx="552">
                  <c:v>2212</c:v>
                </c:pt>
                <c:pt idx="553">
                  <c:v>2141</c:v>
                </c:pt>
                <c:pt idx="554">
                  <c:v>2118</c:v>
                </c:pt>
                <c:pt idx="555">
                  <c:v>1998</c:v>
                </c:pt>
                <c:pt idx="556">
                  <c:v>1905</c:v>
                </c:pt>
                <c:pt idx="557">
                  <c:v>1867</c:v>
                </c:pt>
                <c:pt idx="558">
                  <c:v>1763</c:v>
                </c:pt>
                <c:pt idx="559">
                  <c:v>1722</c:v>
                </c:pt>
                <c:pt idx="560">
                  <c:v>1655</c:v>
                </c:pt>
                <c:pt idx="561">
                  <c:v>1570</c:v>
                </c:pt>
                <c:pt idx="562">
                  <c:v>1535</c:v>
                </c:pt>
                <c:pt idx="563">
                  <c:v>1638</c:v>
                </c:pt>
                <c:pt idx="564">
                  <c:v>1626</c:v>
                </c:pt>
                <c:pt idx="565">
                  <c:v>1598</c:v>
                </c:pt>
                <c:pt idx="566">
                  <c:v>1596</c:v>
                </c:pt>
                <c:pt idx="567">
                  <c:v>1470</c:v>
                </c:pt>
                <c:pt idx="568">
                  <c:v>1493</c:v>
                </c:pt>
                <c:pt idx="569">
                  <c:v>1407</c:v>
                </c:pt>
                <c:pt idx="570">
                  <c:v>1361</c:v>
                </c:pt>
                <c:pt idx="571">
                  <c:v>1321</c:v>
                </c:pt>
                <c:pt idx="572">
                  <c:v>1261</c:v>
                </c:pt>
                <c:pt idx="573">
                  <c:v>1192</c:v>
                </c:pt>
                <c:pt idx="574">
                  <c:v>1224</c:v>
                </c:pt>
                <c:pt idx="575">
                  <c:v>1149</c:v>
                </c:pt>
                <c:pt idx="576">
                  <c:v>1094</c:v>
                </c:pt>
                <c:pt idx="577">
                  <c:v>1014</c:v>
                </c:pt>
                <c:pt idx="578">
                  <c:v>967</c:v>
                </c:pt>
                <c:pt idx="579">
                  <c:v>1008</c:v>
                </c:pt>
                <c:pt idx="580">
                  <c:v>995</c:v>
                </c:pt>
                <c:pt idx="581">
                  <c:v>1180</c:v>
                </c:pt>
                <c:pt idx="582">
                  <c:v>921</c:v>
                </c:pt>
                <c:pt idx="583">
                  <c:v>858</c:v>
                </c:pt>
                <c:pt idx="584">
                  <c:v>797</c:v>
                </c:pt>
                <c:pt idx="585">
                  <c:v>736</c:v>
                </c:pt>
                <c:pt idx="586">
                  <c:v>626</c:v>
                </c:pt>
                <c:pt idx="587">
                  <c:v>554</c:v>
                </c:pt>
                <c:pt idx="588">
                  <c:v>545</c:v>
                </c:pt>
                <c:pt idx="589">
                  <c:v>558</c:v>
                </c:pt>
                <c:pt idx="590">
                  <c:v>513</c:v>
                </c:pt>
                <c:pt idx="591">
                  <c:v>521</c:v>
                </c:pt>
                <c:pt idx="592">
                  <c:v>556</c:v>
                </c:pt>
                <c:pt idx="593">
                  <c:v>601</c:v>
                </c:pt>
                <c:pt idx="594">
                  <c:v>595</c:v>
                </c:pt>
                <c:pt idx="595">
                  <c:v>616</c:v>
                </c:pt>
                <c:pt idx="596">
                  <c:v>609</c:v>
                </c:pt>
                <c:pt idx="597">
                  <c:v>583</c:v>
                </c:pt>
                <c:pt idx="598">
                  <c:v>623</c:v>
                </c:pt>
                <c:pt idx="599">
                  <c:v>664</c:v>
                </c:pt>
                <c:pt idx="600">
                  <c:v>636</c:v>
                </c:pt>
                <c:pt idx="601">
                  <c:v>650</c:v>
                </c:pt>
                <c:pt idx="602">
                  <c:v>687</c:v>
                </c:pt>
                <c:pt idx="603">
                  <c:v>637</c:v>
                </c:pt>
                <c:pt idx="604">
                  <c:v>575</c:v>
                </c:pt>
                <c:pt idx="605">
                  <c:v>587</c:v>
                </c:pt>
                <c:pt idx="606">
                  <c:v>579</c:v>
                </c:pt>
                <c:pt idx="607">
                  <c:v>580</c:v>
                </c:pt>
                <c:pt idx="608">
                  <c:v>563</c:v>
                </c:pt>
                <c:pt idx="609">
                  <c:v>558</c:v>
                </c:pt>
                <c:pt idx="610">
                  <c:v>560</c:v>
                </c:pt>
                <c:pt idx="611">
                  <c:v>632</c:v>
                </c:pt>
                <c:pt idx="612">
                  <c:v>576</c:v>
                </c:pt>
                <c:pt idx="613">
                  <c:v>542</c:v>
                </c:pt>
                <c:pt idx="614">
                  <c:v>583</c:v>
                </c:pt>
                <c:pt idx="615">
                  <c:v>581</c:v>
                </c:pt>
                <c:pt idx="616">
                  <c:v>618</c:v>
                </c:pt>
                <c:pt idx="617">
                  <c:v>636</c:v>
                </c:pt>
                <c:pt idx="618">
                  <c:v>621</c:v>
                </c:pt>
                <c:pt idx="619">
                  <c:v>647</c:v>
                </c:pt>
                <c:pt idx="620">
                  <c:v>610</c:v>
                </c:pt>
                <c:pt idx="621">
                  <c:v>671</c:v>
                </c:pt>
                <c:pt idx="622">
                  <c:v>706</c:v>
                </c:pt>
                <c:pt idx="623">
                  <c:v>697</c:v>
                </c:pt>
                <c:pt idx="624">
                  <c:v>712</c:v>
                </c:pt>
                <c:pt idx="625">
                  <c:v>738</c:v>
                </c:pt>
                <c:pt idx="626">
                  <c:v>806</c:v>
                </c:pt>
                <c:pt idx="627">
                  <c:v>732</c:v>
                </c:pt>
                <c:pt idx="628">
                  <c:v>796</c:v>
                </c:pt>
                <c:pt idx="629">
                  <c:v>794</c:v>
                </c:pt>
                <c:pt idx="630">
                  <c:v>849</c:v>
                </c:pt>
                <c:pt idx="631">
                  <c:v>840</c:v>
                </c:pt>
                <c:pt idx="632">
                  <c:v>930</c:v>
                </c:pt>
                <c:pt idx="633">
                  <c:v>887</c:v>
                </c:pt>
                <c:pt idx="634">
                  <c:v>917</c:v>
                </c:pt>
                <c:pt idx="635">
                  <c:v>941</c:v>
                </c:pt>
                <c:pt idx="636">
                  <c:v>940</c:v>
                </c:pt>
                <c:pt idx="637">
                  <c:v>980</c:v>
                </c:pt>
                <c:pt idx="638">
                  <c:v>936</c:v>
                </c:pt>
                <c:pt idx="639">
                  <c:v>1012</c:v>
                </c:pt>
                <c:pt idx="640">
                  <c:v>1003</c:v>
                </c:pt>
                <c:pt idx="641">
                  <c:v>942</c:v>
                </c:pt>
                <c:pt idx="642">
                  <c:v>997</c:v>
                </c:pt>
                <c:pt idx="643">
                  <c:v>964</c:v>
                </c:pt>
                <c:pt idx="644">
                  <c:v>1004</c:v>
                </c:pt>
                <c:pt idx="645">
                  <c:v>1044</c:v>
                </c:pt>
                <c:pt idx="646">
                  <c:v>1029</c:v>
                </c:pt>
                <c:pt idx="647">
                  <c:v>1005</c:v>
                </c:pt>
                <c:pt idx="648">
                  <c:v>976</c:v>
                </c:pt>
                <c:pt idx="649">
                  <c:v>1039</c:v>
                </c:pt>
                <c:pt idx="650">
                  <c:v>1067</c:v>
                </c:pt>
                <c:pt idx="651">
                  <c:v>1090</c:v>
                </c:pt>
                <c:pt idx="652">
                  <c:v>1018</c:v>
                </c:pt>
                <c:pt idx="653">
                  <c:v>1010</c:v>
                </c:pt>
                <c:pt idx="654">
                  <c:v>1076</c:v>
                </c:pt>
                <c:pt idx="655">
                  <c:v>1047</c:v>
                </c:pt>
                <c:pt idx="656">
                  <c:v>1077</c:v>
                </c:pt>
                <c:pt idx="657">
                  <c:v>1094</c:v>
                </c:pt>
                <c:pt idx="658">
                  <c:v>1059</c:v>
                </c:pt>
                <c:pt idx="659">
                  <c:v>1072</c:v>
                </c:pt>
                <c:pt idx="660">
                  <c:v>1049</c:v>
                </c:pt>
                <c:pt idx="661">
                  <c:v>1127</c:v>
                </c:pt>
                <c:pt idx="662">
                  <c:v>1072</c:v>
                </c:pt>
                <c:pt idx="663">
                  <c:v>1166</c:v>
                </c:pt>
                <c:pt idx="664">
                  <c:v>1272</c:v>
                </c:pt>
                <c:pt idx="665">
                  <c:v>1379</c:v>
                </c:pt>
                <c:pt idx="666">
                  <c:v>1140</c:v>
                </c:pt>
                <c:pt idx="667">
                  <c:v>1165</c:v>
                </c:pt>
                <c:pt idx="668">
                  <c:v>1144</c:v>
                </c:pt>
                <c:pt idx="669">
                  <c:v>1160</c:v>
                </c:pt>
                <c:pt idx="670">
                  <c:v>1244</c:v>
                </c:pt>
                <c:pt idx="671">
                  <c:v>1212</c:v>
                </c:pt>
                <c:pt idx="672">
                  <c:v>1161</c:v>
                </c:pt>
                <c:pt idx="673">
                  <c:v>1187</c:v>
                </c:pt>
                <c:pt idx="674">
                  <c:v>1114</c:v>
                </c:pt>
                <c:pt idx="675">
                  <c:v>1158</c:v>
                </c:pt>
                <c:pt idx="676">
                  <c:v>1196</c:v>
                </c:pt>
                <c:pt idx="677">
                  <c:v>1208</c:v>
                </c:pt>
                <c:pt idx="678">
                  <c:v>1190</c:v>
                </c:pt>
                <c:pt idx="679">
                  <c:v>1205</c:v>
                </c:pt>
                <c:pt idx="680">
                  <c:v>1280</c:v>
                </c:pt>
                <c:pt idx="681">
                  <c:v>1278</c:v>
                </c:pt>
                <c:pt idx="682">
                  <c:v>1236</c:v>
                </c:pt>
                <c:pt idx="683">
                  <c:v>1252</c:v>
                </c:pt>
                <c:pt idx="684">
                  <c:v>1301</c:v>
                </c:pt>
                <c:pt idx="685">
                  <c:v>1240</c:v>
                </c:pt>
                <c:pt idx="686">
                  <c:v>1285</c:v>
                </c:pt>
                <c:pt idx="687">
                  <c:v>1258</c:v>
                </c:pt>
                <c:pt idx="688">
                  <c:v>1209</c:v>
                </c:pt>
                <c:pt idx="689">
                  <c:v>1329</c:v>
                </c:pt>
                <c:pt idx="690">
                  <c:v>1264</c:v>
                </c:pt>
                <c:pt idx="691">
                  <c:v>1314</c:v>
                </c:pt>
                <c:pt idx="692">
                  <c:v>1257</c:v>
                </c:pt>
                <c:pt idx="693">
                  <c:v>1346</c:v>
                </c:pt>
                <c:pt idx="694">
                  <c:v>1302</c:v>
                </c:pt>
                <c:pt idx="695">
                  <c:v>1309</c:v>
                </c:pt>
                <c:pt idx="696">
                  <c:v>1352</c:v>
                </c:pt>
                <c:pt idx="697">
                  <c:v>1332</c:v>
                </c:pt>
                <c:pt idx="698">
                  <c:v>1407</c:v>
                </c:pt>
                <c:pt idx="699">
                  <c:v>1391</c:v>
                </c:pt>
                <c:pt idx="700">
                  <c:v>1331</c:v>
                </c:pt>
                <c:pt idx="701">
                  <c:v>1320</c:v>
                </c:pt>
                <c:pt idx="702">
                  <c:v>1328</c:v>
                </c:pt>
                <c:pt idx="703">
                  <c:v>1264</c:v>
                </c:pt>
                <c:pt idx="704">
                  <c:v>1289</c:v>
                </c:pt>
                <c:pt idx="705">
                  <c:v>1275</c:v>
                </c:pt>
                <c:pt idx="706">
                  <c:v>1318</c:v>
                </c:pt>
                <c:pt idx="707">
                  <c:v>1338</c:v>
                </c:pt>
                <c:pt idx="708">
                  <c:v>1295</c:v>
                </c:pt>
                <c:pt idx="709">
                  <c:v>1304</c:v>
                </c:pt>
                <c:pt idx="710">
                  <c:v>1316</c:v>
                </c:pt>
                <c:pt idx="711">
                  <c:v>1337</c:v>
                </c:pt>
                <c:pt idx="712">
                  <c:v>1337</c:v>
                </c:pt>
                <c:pt idx="713">
                  <c:v>1276</c:v>
                </c:pt>
                <c:pt idx="714">
                  <c:v>1369</c:v>
                </c:pt>
                <c:pt idx="715">
                  <c:v>1479</c:v>
                </c:pt>
                <c:pt idx="716">
                  <c:v>1439</c:v>
                </c:pt>
                <c:pt idx="717">
                  <c:v>1509</c:v>
                </c:pt>
                <c:pt idx="718">
                  <c:v>1509</c:v>
                </c:pt>
                <c:pt idx="719">
                  <c:v>1453</c:v>
                </c:pt>
                <c:pt idx="720">
                  <c:v>1550</c:v>
                </c:pt>
                <c:pt idx="721">
                  <c:v>1478</c:v>
                </c:pt>
                <c:pt idx="722">
                  <c:v>1382</c:v>
                </c:pt>
                <c:pt idx="723">
                  <c:v>1094</c:v>
                </c:pt>
                <c:pt idx="724">
                  <c:v>1246</c:v>
                </c:pt>
                <c:pt idx="725">
                  <c:v>1296</c:v>
                </c:pt>
                <c:pt idx="726">
                  <c:v>1542</c:v>
                </c:pt>
                <c:pt idx="727">
                  <c:v>1522</c:v>
                </c:pt>
                <c:pt idx="728">
                  <c:v>1589</c:v>
                </c:pt>
                <c:pt idx="729">
                  <c:v>1595</c:v>
                </c:pt>
                <c:pt idx="730">
                  <c:v>1696</c:v>
                </c:pt>
                <c:pt idx="731">
                  <c:v>1758</c:v>
                </c:pt>
                <c:pt idx="732">
                  <c:v>1883</c:v>
                </c:pt>
                <c:pt idx="733">
                  <c:v>1726</c:v>
                </c:pt>
                <c:pt idx="734">
                  <c:v>1755</c:v>
                </c:pt>
                <c:pt idx="735">
                  <c:v>1733</c:v>
                </c:pt>
                <c:pt idx="736">
                  <c:v>1683</c:v>
                </c:pt>
                <c:pt idx="737">
                  <c:v>1594</c:v>
                </c:pt>
                <c:pt idx="738">
                  <c:v>1630</c:v>
                </c:pt>
                <c:pt idx="739">
                  <c:v>1721</c:v>
                </c:pt>
                <c:pt idx="740">
                  <c:v>1586</c:v>
                </c:pt>
                <c:pt idx="741">
                  <c:v>1653</c:v>
                </c:pt>
                <c:pt idx="742">
                  <c:v>1717</c:v>
                </c:pt>
                <c:pt idx="743">
                  <c:v>1885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D7-7F4C-83C8-16FA9D8673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11611920"/>
        <c:axId val="1111614872"/>
      </c:lineChart>
      <c:dateAx>
        <c:axId val="1111611920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1614872"/>
        <c:crosses val="autoZero"/>
        <c:auto val="0"/>
        <c:lblOffset val="100"/>
        <c:baseTimeUnit val="months"/>
      </c:dateAx>
      <c:valAx>
        <c:axId val="1111614872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161192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Building Permits since 2016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'Building Permits - Authorized'!$B$6</c:f>
              <c:strCache>
                <c:ptCount val="1"/>
                <c:pt idx="0">
                  <c:v>Building Permits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dPt>
            <c:idx val="699"/>
            <c:bubble3D val="0"/>
            <c:spPr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D2B2-9845-BFF5-8DFEC1CE8B16}"/>
              </c:ext>
            </c:extLst>
          </c:dPt>
          <c:cat>
            <c:numRef>
              <c:f>'Building Permits - Authorized'!$A$7:$A$750</c:f>
              <c:numCache>
                <c:formatCode>m/d/yy</c:formatCode>
                <c:ptCount val="744"/>
                <c:pt idx="0">
                  <c:v>21916</c:v>
                </c:pt>
                <c:pt idx="1">
                  <c:v>21947</c:v>
                </c:pt>
                <c:pt idx="2">
                  <c:v>21976</c:v>
                </c:pt>
                <c:pt idx="3">
                  <c:v>22007</c:v>
                </c:pt>
                <c:pt idx="4">
                  <c:v>22037</c:v>
                </c:pt>
                <c:pt idx="5">
                  <c:v>22068</c:v>
                </c:pt>
                <c:pt idx="6">
                  <c:v>22098</c:v>
                </c:pt>
                <c:pt idx="7">
                  <c:v>22129</c:v>
                </c:pt>
                <c:pt idx="8">
                  <c:v>22160</c:v>
                </c:pt>
                <c:pt idx="9">
                  <c:v>22190</c:v>
                </c:pt>
                <c:pt idx="10">
                  <c:v>22221</c:v>
                </c:pt>
                <c:pt idx="11">
                  <c:v>22251</c:v>
                </c:pt>
                <c:pt idx="12">
                  <c:v>22282</c:v>
                </c:pt>
                <c:pt idx="13">
                  <c:v>22313</c:v>
                </c:pt>
                <c:pt idx="14">
                  <c:v>22341</c:v>
                </c:pt>
                <c:pt idx="15">
                  <c:v>22372</c:v>
                </c:pt>
                <c:pt idx="16">
                  <c:v>22402</c:v>
                </c:pt>
                <c:pt idx="17">
                  <c:v>22433</c:v>
                </c:pt>
                <c:pt idx="18">
                  <c:v>22463</c:v>
                </c:pt>
                <c:pt idx="19">
                  <c:v>22494</c:v>
                </c:pt>
                <c:pt idx="20">
                  <c:v>22525</c:v>
                </c:pt>
                <c:pt idx="21">
                  <c:v>22555</c:v>
                </c:pt>
                <c:pt idx="22">
                  <c:v>22586</c:v>
                </c:pt>
                <c:pt idx="23">
                  <c:v>22616</c:v>
                </c:pt>
                <c:pt idx="24">
                  <c:v>22647</c:v>
                </c:pt>
                <c:pt idx="25">
                  <c:v>22678</c:v>
                </c:pt>
                <c:pt idx="26">
                  <c:v>22706</c:v>
                </c:pt>
                <c:pt idx="27">
                  <c:v>22737</c:v>
                </c:pt>
                <c:pt idx="28">
                  <c:v>22767</c:v>
                </c:pt>
                <c:pt idx="29">
                  <c:v>22798</c:v>
                </c:pt>
                <c:pt idx="30">
                  <c:v>22828</c:v>
                </c:pt>
                <c:pt idx="31">
                  <c:v>22859</c:v>
                </c:pt>
                <c:pt idx="32">
                  <c:v>22890</c:v>
                </c:pt>
                <c:pt idx="33">
                  <c:v>22920</c:v>
                </c:pt>
                <c:pt idx="34">
                  <c:v>22951</c:v>
                </c:pt>
                <c:pt idx="35">
                  <c:v>22981</c:v>
                </c:pt>
                <c:pt idx="36">
                  <c:v>23012</c:v>
                </c:pt>
                <c:pt idx="37">
                  <c:v>23043</c:v>
                </c:pt>
                <c:pt idx="38">
                  <c:v>23071</c:v>
                </c:pt>
                <c:pt idx="39">
                  <c:v>23102</c:v>
                </c:pt>
                <c:pt idx="40">
                  <c:v>23132</c:v>
                </c:pt>
                <c:pt idx="41">
                  <c:v>23163</c:v>
                </c:pt>
                <c:pt idx="42">
                  <c:v>23193</c:v>
                </c:pt>
                <c:pt idx="43">
                  <c:v>23224</c:v>
                </c:pt>
                <c:pt idx="44">
                  <c:v>23255</c:v>
                </c:pt>
                <c:pt idx="45">
                  <c:v>23285</c:v>
                </c:pt>
                <c:pt idx="46">
                  <c:v>23316</c:v>
                </c:pt>
                <c:pt idx="47">
                  <c:v>23346</c:v>
                </c:pt>
                <c:pt idx="48">
                  <c:v>23377</c:v>
                </c:pt>
                <c:pt idx="49">
                  <c:v>23408</c:v>
                </c:pt>
                <c:pt idx="50">
                  <c:v>23437</c:v>
                </c:pt>
                <c:pt idx="51">
                  <c:v>23468</c:v>
                </c:pt>
                <c:pt idx="52">
                  <c:v>23498</c:v>
                </c:pt>
                <c:pt idx="53">
                  <c:v>23529</c:v>
                </c:pt>
                <c:pt idx="54">
                  <c:v>23559</c:v>
                </c:pt>
                <c:pt idx="55">
                  <c:v>23590</c:v>
                </c:pt>
                <c:pt idx="56">
                  <c:v>23621</c:v>
                </c:pt>
                <c:pt idx="57">
                  <c:v>23651</c:v>
                </c:pt>
                <c:pt idx="58">
                  <c:v>23682</c:v>
                </c:pt>
                <c:pt idx="59">
                  <c:v>23712</c:v>
                </c:pt>
                <c:pt idx="60">
                  <c:v>23743</c:v>
                </c:pt>
                <c:pt idx="61">
                  <c:v>23774</c:v>
                </c:pt>
                <c:pt idx="62">
                  <c:v>23802</c:v>
                </c:pt>
                <c:pt idx="63">
                  <c:v>23833</c:v>
                </c:pt>
                <c:pt idx="64">
                  <c:v>23863</c:v>
                </c:pt>
                <c:pt idx="65">
                  <c:v>23894</c:v>
                </c:pt>
                <c:pt idx="66">
                  <c:v>23924</c:v>
                </c:pt>
                <c:pt idx="67">
                  <c:v>23955</c:v>
                </c:pt>
                <c:pt idx="68">
                  <c:v>23986</c:v>
                </c:pt>
                <c:pt idx="69">
                  <c:v>24016</c:v>
                </c:pt>
                <c:pt idx="70">
                  <c:v>24047</c:v>
                </c:pt>
                <c:pt idx="71">
                  <c:v>24077</c:v>
                </c:pt>
                <c:pt idx="72">
                  <c:v>24108</c:v>
                </c:pt>
                <c:pt idx="73">
                  <c:v>24139</c:v>
                </c:pt>
                <c:pt idx="74">
                  <c:v>24167</c:v>
                </c:pt>
                <c:pt idx="75">
                  <c:v>24198</c:v>
                </c:pt>
                <c:pt idx="76">
                  <c:v>24228</c:v>
                </c:pt>
                <c:pt idx="77">
                  <c:v>24259</c:v>
                </c:pt>
                <c:pt idx="78">
                  <c:v>24289</c:v>
                </c:pt>
                <c:pt idx="79">
                  <c:v>24320</c:v>
                </c:pt>
                <c:pt idx="80">
                  <c:v>24351</c:v>
                </c:pt>
                <c:pt idx="81">
                  <c:v>24381</c:v>
                </c:pt>
                <c:pt idx="82">
                  <c:v>24412</c:v>
                </c:pt>
                <c:pt idx="83">
                  <c:v>24442</c:v>
                </c:pt>
                <c:pt idx="84">
                  <c:v>24473</c:v>
                </c:pt>
                <c:pt idx="85">
                  <c:v>24504</c:v>
                </c:pt>
                <c:pt idx="86">
                  <c:v>24532</c:v>
                </c:pt>
                <c:pt idx="87">
                  <c:v>24563</c:v>
                </c:pt>
                <c:pt idx="88">
                  <c:v>24593</c:v>
                </c:pt>
                <c:pt idx="89">
                  <c:v>24624</c:v>
                </c:pt>
                <c:pt idx="90">
                  <c:v>24654</c:v>
                </c:pt>
                <c:pt idx="91">
                  <c:v>24685</c:v>
                </c:pt>
                <c:pt idx="92">
                  <c:v>24716</c:v>
                </c:pt>
                <c:pt idx="93">
                  <c:v>24746</c:v>
                </c:pt>
                <c:pt idx="94">
                  <c:v>24777</c:v>
                </c:pt>
                <c:pt idx="95">
                  <c:v>24807</c:v>
                </c:pt>
                <c:pt idx="96">
                  <c:v>24838</c:v>
                </c:pt>
                <c:pt idx="97">
                  <c:v>24869</c:v>
                </c:pt>
                <c:pt idx="98">
                  <c:v>24898</c:v>
                </c:pt>
                <c:pt idx="99">
                  <c:v>24929</c:v>
                </c:pt>
                <c:pt idx="100">
                  <c:v>24959</c:v>
                </c:pt>
                <c:pt idx="101">
                  <c:v>24990</c:v>
                </c:pt>
                <c:pt idx="102">
                  <c:v>25020</c:v>
                </c:pt>
                <c:pt idx="103">
                  <c:v>25051</c:v>
                </c:pt>
                <c:pt idx="104">
                  <c:v>25082</c:v>
                </c:pt>
                <c:pt idx="105">
                  <c:v>25112</c:v>
                </c:pt>
                <c:pt idx="106">
                  <c:v>25143</c:v>
                </c:pt>
                <c:pt idx="107">
                  <c:v>25173</c:v>
                </c:pt>
                <c:pt idx="108">
                  <c:v>25204</c:v>
                </c:pt>
                <c:pt idx="109">
                  <c:v>25235</c:v>
                </c:pt>
                <c:pt idx="110">
                  <c:v>25263</c:v>
                </c:pt>
                <c:pt idx="111">
                  <c:v>25294</c:v>
                </c:pt>
                <c:pt idx="112">
                  <c:v>25324</c:v>
                </c:pt>
                <c:pt idx="113">
                  <c:v>25355</c:v>
                </c:pt>
                <c:pt idx="114">
                  <c:v>25385</c:v>
                </c:pt>
                <c:pt idx="115">
                  <c:v>25416</c:v>
                </c:pt>
                <c:pt idx="116">
                  <c:v>25447</c:v>
                </c:pt>
                <c:pt idx="117">
                  <c:v>25477</c:v>
                </c:pt>
                <c:pt idx="118">
                  <c:v>25508</c:v>
                </c:pt>
                <c:pt idx="119">
                  <c:v>25538</c:v>
                </c:pt>
                <c:pt idx="120">
                  <c:v>25569</c:v>
                </c:pt>
                <c:pt idx="121">
                  <c:v>25600</c:v>
                </c:pt>
                <c:pt idx="122">
                  <c:v>25628</c:v>
                </c:pt>
                <c:pt idx="123">
                  <c:v>25659</c:v>
                </c:pt>
                <c:pt idx="124">
                  <c:v>25689</c:v>
                </c:pt>
                <c:pt idx="125">
                  <c:v>25720</c:v>
                </c:pt>
                <c:pt idx="126">
                  <c:v>25750</c:v>
                </c:pt>
                <c:pt idx="127">
                  <c:v>25781</c:v>
                </c:pt>
                <c:pt idx="128">
                  <c:v>25812</c:v>
                </c:pt>
                <c:pt idx="129">
                  <c:v>25842</c:v>
                </c:pt>
                <c:pt idx="130">
                  <c:v>25873</c:v>
                </c:pt>
                <c:pt idx="131">
                  <c:v>25903</c:v>
                </c:pt>
                <c:pt idx="132">
                  <c:v>25934</c:v>
                </c:pt>
                <c:pt idx="133">
                  <c:v>25965</c:v>
                </c:pt>
                <c:pt idx="134">
                  <c:v>25993</c:v>
                </c:pt>
                <c:pt idx="135">
                  <c:v>26024</c:v>
                </c:pt>
                <c:pt idx="136">
                  <c:v>26054</c:v>
                </c:pt>
                <c:pt idx="137">
                  <c:v>26085</c:v>
                </c:pt>
                <c:pt idx="138">
                  <c:v>26115</c:v>
                </c:pt>
                <c:pt idx="139">
                  <c:v>26146</c:v>
                </c:pt>
                <c:pt idx="140">
                  <c:v>26177</c:v>
                </c:pt>
                <c:pt idx="141">
                  <c:v>26207</c:v>
                </c:pt>
                <c:pt idx="142">
                  <c:v>26238</c:v>
                </c:pt>
                <c:pt idx="143">
                  <c:v>26268</c:v>
                </c:pt>
                <c:pt idx="144">
                  <c:v>26299</c:v>
                </c:pt>
                <c:pt idx="145">
                  <c:v>26330</c:v>
                </c:pt>
                <c:pt idx="146">
                  <c:v>26359</c:v>
                </c:pt>
                <c:pt idx="147">
                  <c:v>26390</c:v>
                </c:pt>
                <c:pt idx="148">
                  <c:v>26420</c:v>
                </c:pt>
                <c:pt idx="149">
                  <c:v>26451</c:v>
                </c:pt>
                <c:pt idx="150">
                  <c:v>26481</c:v>
                </c:pt>
                <c:pt idx="151">
                  <c:v>26512</c:v>
                </c:pt>
                <c:pt idx="152">
                  <c:v>26543</c:v>
                </c:pt>
                <c:pt idx="153">
                  <c:v>26573</c:v>
                </c:pt>
                <c:pt idx="154">
                  <c:v>26604</c:v>
                </c:pt>
                <c:pt idx="155">
                  <c:v>26634</c:v>
                </c:pt>
                <c:pt idx="156">
                  <c:v>26665</c:v>
                </c:pt>
                <c:pt idx="157">
                  <c:v>26696</c:v>
                </c:pt>
                <c:pt idx="158">
                  <c:v>26724</c:v>
                </c:pt>
                <c:pt idx="159">
                  <c:v>26755</c:v>
                </c:pt>
                <c:pt idx="160">
                  <c:v>26785</c:v>
                </c:pt>
                <c:pt idx="161">
                  <c:v>26816</c:v>
                </c:pt>
                <c:pt idx="162">
                  <c:v>26846</c:v>
                </c:pt>
                <c:pt idx="163">
                  <c:v>26877</c:v>
                </c:pt>
                <c:pt idx="164">
                  <c:v>26908</c:v>
                </c:pt>
                <c:pt idx="165">
                  <c:v>26938</c:v>
                </c:pt>
                <c:pt idx="166">
                  <c:v>26969</c:v>
                </c:pt>
                <c:pt idx="167">
                  <c:v>26999</c:v>
                </c:pt>
                <c:pt idx="168">
                  <c:v>27030</c:v>
                </c:pt>
                <c:pt idx="169">
                  <c:v>27061</c:v>
                </c:pt>
                <c:pt idx="170">
                  <c:v>27089</c:v>
                </c:pt>
                <c:pt idx="171">
                  <c:v>27120</c:v>
                </c:pt>
                <c:pt idx="172">
                  <c:v>27150</c:v>
                </c:pt>
                <c:pt idx="173">
                  <c:v>27181</c:v>
                </c:pt>
                <c:pt idx="174">
                  <c:v>27211</c:v>
                </c:pt>
                <c:pt idx="175">
                  <c:v>27242</c:v>
                </c:pt>
                <c:pt idx="176">
                  <c:v>27273</c:v>
                </c:pt>
                <c:pt idx="177">
                  <c:v>27303</c:v>
                </c:pt>
                <c:pt idx="178">
                  <c:v>27334</c:v>
                </c:pt>
                <c:pt idx="179">
                  <c:v>27364</c:v>
                </c:pt>
                <c:pt idx="180">
                  <c:v>27395</c:v>
                </c:pt>
                <c:pt idx="181">
                  <c:v>27426</c:v>
                </c:pt>
                <c:pt idx="182">
                  <c:v>27454</c:v>
                </c:pt>
                <c:pt idx="183">
                  <c:v>27485</c:v>
                </c:pt>
                <c:pt idx="184">
                  <c:v>27515</c:v>
                </c:pt>
                <c:pt idx="185">
                  <c:v>27546</c:v>
                </c:pt>
                <c:pt idx="186">
                  <c:v>27576</c:v>
                </c:pt>
                <c:pt idx="187">
                  <c:v>27607</c:v>
                </c:pt>
                <c:pt idx="188">
                  <c:v>27638</c:v>
                </c:pt>
                <c:pt idx="189">
                  <c:v>27668</c:v>
                </c:pt>
                <c:pt idx="190">
                  <c:v>27699</c:v>
                </c:pt>
                <c:pt idx="191">
                  <c:v>27729</c:v>
                </c:pt>
                <c:pt idx="192">
                  <c:v>27760</c:v>
                </c:pt>
                <c:pt idx="193">
                  <c:v>27791</c:v>
                </c:pt>
                <c:pt idx="194">
                  <c:v>27820</c:v>
                </c:pt>
                <c:pt idx="195">
                  <c:v>27851</c:v>
                </c:pt>
                <c:pt idx="196">
                  <c:v>27881</c:v>
                </c:pt>
                <c:pt idx="197">
                  <c:v>27912</c:v>
                </c:pt>
                <c:pt idx="198">
                  <c:v>27942</c:v>
                </c:pt>
                <c:pt idx="199">
                  <c:v>27973</c:v>
                </c:pt>
                <c:pt idx="200">
                  <c:v>28004</c:v>
                </c:pt>
                <c:pt idx="201">
                  <c:v>28034</c:v>
                </c:pt>
                <c:pt idx="202">
                  <c:v>28065</c:v>
                </c:pt>
                <c:pt idx="203">
                  <c:v>28095</c:v>
                </c:pt>
                <c:pt idx="204">
                  <c:v>28126</c:v>
                </c:pt>
                <c:pt idx="205">
                  <c:v>28157</c:v>
                </c:pt>
                <c:pt idx="206">
                  <c:v>28185</c:v>
                </c:pt>
                <c:pt idx="207">
                  <c:v>28216</c:v>
                </c:pt>
                <c:pt idx="208">
                  <c:v>28246</c:v>
                </c:pt>
                <c:pt idx="209">
                  <c:v>28277</c:v>
                </c:pt>
                <c:pt idx="210">
                  <c:v>28307</c:v>
                </c:pt>
                <c:pt idx="211">
                  <c:v>28338</c:v>
                </c:pt>
                <c:pt idx="212">
                  <c:v>28369</c:v>
                </c:pt>
                <c:pt idx="213">
                  <c:v>28399</c:v>
                </c:pt>
                <c:pt idx="214">
                  <c:v>28430</c:v>
                </c:pt>
                <c:pt idx="215">
                  <c:v>28460</c:v>
                </c:pt>
                <c:pt idx="216">
                  <c:v>28491</c:v>
                </c:pt>
                <c:pt idx="217">
                  <c:v>28522</c:v>
                </c:pt>
                <c:pt idx="218">
                  <c:v>28550</c:v>
                </c:pt>
                <c:pt idx="219">
                  <c:v>28581</c:v>
                </c:pt>
                <c:pt idx="220">
                  <c:v>28611</c:v>
                </c:pt>
                <c:pt idx="221">
                  <c:v>28642</c:v>
                </c:pt>
                <c:pt idx="222">
                  <c:v>28672</c:v>
                </c:pt>
                <c:pt idx="223">
                  <c:v>28703</c:v>
                </c:pt>
                <c:pt idx="224">
                  <c:v>28734</c:v>
                </c:pt>
                <c:pt idx="225">
                  <c:v>28764</c:v>
                </c:pt>
                <c:pt idx="226">
                  <c:v>28795</c:v>
                </c:pt>
                <c:pt idx="227">
                  <c:v>28825</c:v>
                </c:pt>
                <c:pt idx="228">
                  <c:v>28856</c:v>
                </c:pt>
                <c:pt idx="229">
                  <c:v>28887</c:v>
                </c:pt>
                <c:pt idx="230">
                  <c:v>28915</c:v>
                </c:pt>
                <c:pt idx="231">
                  <c:v>28946</c:v>
                </c:pt>
                <c:pt idx="232">
                  <c:v>28976</c:v>
                </c:pt>
                <c:pt idx="233">
                  <c:v>29007</c:v>
                </c:pt>
                <c:pt idx="234">
                  <c:v>29037</c:v>
                </c:pt>
                <c:pt idx="235">
                  <c:v>29068</c:v>
                </c:pt>
                <c:pt idx="236">
                  <c:v>29099</c:v>
                </c:pt>
                <c:pt idx="237">
                  <c:v>29129</c:v>
                </c:pt>
                <c:pt idx="238">
                  <c:v>29160</c:v>
                </c:pt>
                <c:pt idx="239">
                  <c:v>29190</c:v>
                </c:pt>
                <c:pt idx="240">
                  <c:v>29221</c:v>
                </c:pt>
                <c:pt idx="241">
                  <c:v>29252</c:v>
                </c:pt>
                <c:pt idx="242">
                  <c:v>29281</c:v>
                </c:pt>
                <c:pt idx="243">
                  <c:v>29312</c:v>
                </c:pt>
                <c:pt idx="244">
                  <c:v>29342</c:v>
                </c:pt>
                <c:pt idx="245">
                  <c:v>29373</c:v>
                </c:pt>
                <c:pt idx="246">
                  <c:v>29403</c:v>
                </c:pt>
                <c:pt idx="247">
                  <c:v>29434</c:v>
                </c:pt>
                <c:pt idx="248">
                  <c:v>29465</c:v>
                </c:pt>
                <c:pt idx="249">
                  <c:v>29495</c:v>
                </c:pt>
                <c:pt idx="250">
                  <c:v>29526</c:v>
                </c:pt>
                <c:pt idx="251">
                  <c:v>29556</c:v>
                </c:pt>
                <c:pt idx="252">
                  <c:v>29587</c:v>
                </c:pt>
                <c:pt idx="253">
                  <c:v>29618</c:v>
                </c:pt>
                <c:pt idx="254">
                  <c:v>29646</c:v>
                </c:pt>
                <c:pt idx="255">
                  <c:v>29677</c:v>
                </c:pt>
                <c:pt idx="256">
                  <c:v>29707</c:v>
                </c:pt>
                <c:pt idx="257">
                  <c:v>29738</c:v>
                </c:pt>
                <c:pt idx="258">
                  <c:v>29768</c:v>
                </c:pt>
                <c:pt idx="259">
                  <c:v>29799</c:v>
                </c:pt>
                <c:pt idx="260">
                  <c:v>29830</c:v>
                </c:pt>
                <c:pt idx="261">
                  <c:v>29860</c:v>
                </c:pt>
                <c:pt idx="262">
                  <c:v>29891</c:v>
                </c:pt>
                <c:pt idx="263">
                  <c:v>29921</c:v>
                </c:pt>
                <c:pt idx="264">
                  <c:v>29952</c:v>
                </c:pt>
                <c:pt idx="265">
                  <c:v>29983</c:v>
                </c:pt>
                <c:pt idx="266">
                  <c:v>30011</c:v>
                </c:pt>
                <c:pt idx="267">
                  <c:v>30042</c:v>
                </c:pt>
                <c:pt idx="268">
                  <c:v>30072</c:v>
                </c:pt>
                <c:pt idx="269">
                  <c:v>30103</c:v>
                </c:pt>
                <c:pt idx="270">
                  <c:v>30133</c:v>
                </c:pt>
                <c:pt idx="271">
                  <c:v>30164</c:v>
                </c:pt>
                <c:pt idx="272">
                  <c:v>30195</c:v>
                </c:pt>
                <c:pt idx="273">
                  <c:v>30225</c:v>
                </c:pt>
                <c:pt idx="274">
                  <c:v>30256</c:v>
                </c:pt>
                <c:pt idx="275">
                  <c:v>30286</c:v>
                </c:pt>
                <c:pt idx="276">
                  <c:v>30317</c:v>
                </c:pt>
                <c:pt idx="277">
                  <c:v>30348</c:v>
                </c:pt>
                <c:pt idx="278">
                  <c:v>30376</c:v>
                </c:pt>
                <c:pt idx="279">
                  <c:v>30407</c:v>
                </c:pt>
                <c:pt idx="280">
                  <c:v>30437</c:v>
                </c:pt>
                <c:pt idx="281">
                  <c:v>30468</c:v>
                </c:pt>
                <c:pt idx="282">
                  <c:v>30498</c:v>
                </c:pt>
                <c:pt idx="283">
                  <c:v>30529</c:v>
                </c:pt>
                <c:pt idx="284">
                  <c:v>30560</c:v>
                </c:pt>
                <c:pt idx="285">
                  <c:v>30590</c:v>
                </c:pt>
                <c:pt idx="286">
                  <c:v>30621</c:v>
                </c:pt>
                <c:pt idx="287">
                  <c:v>30651</c:v>
                </c:pt>
                <c:pt idx="288">
                  <c:v>30682</c:v>
                </c:pt>
                <c:pt idx="289">
                  <c:v>30713</c:v>
                </c:pt>
                <c:pt idx="290">
                  <c:v>30742</c:v>
                </c:pt>
                <c:pt idx="291">
                  <c:v>30773</c:v>
                </c:pt>
                <c:pt idx="292">
                  <c:v>30803</c:v>
                </c:pt>
                <c:pt idx="293">
                  <c:v>30834</c:v>
                </c:pt>
                <c:pt idx="294">
                  <c:v>30864</c:v>
                </c:pt>
                <c:pt idx="295">
                  <c:v>30895</c:v>
                </c:pt>
                <c:pt idx="296">
                  <c:v>30926</c:v>
                </c:pt>
                <c:pt idx="297">
                  <c:v>30956</c:v>
                </c:pt>
                <c:pt idx="298">
                  <c:v>30987</c:v>
                </c:pt>
                <c:pt idx="299">
                  <c:v>31017</c:v>
                </c:pt>
                <c:pt idx="300">
                  <c:v>31048</c:v>
                </c:pt>
                <c:pt idx="301">
                  <c:v>31079</c:v>
                </c:pt>
                <c:pt idx="302">
                  <c:v>31107</c:v>
                </c:pt>
                <c:pt idx="303">
                  <c:v>31138</c:v>
                </c:pt>
                <c:pt idx="304">
                  <c:v>31168</c:v>
                </c:pt>
                <c:pt idx="305">
                  <c:v>31199</c:v>
                </c:pt>
                <c:pt idx="306">
                  <c:v>31229</c:v>
                </c:pt>
                <c:pt idx="307">
                  <c:v>31260</c:v>
                </c:pt>
                <c:pt idx="308">
                  <c:v>31291</c:v>
                </c:pt>
                <c:pt idx="309">
                  <c:v>31321</c:v>
                </c:pt>
                <c:pt idx="310">
                  <c:v>31352</c:v>
                </c:pt>
                <c:pt idx="311">
                  <c:v>31382</c:v>
                </c:pt>
                <c:pt idx="312">
                  <c:v>31413</c:v>
                </c:pt>
                <c:pt idx="313">
                  <c:v>31444</c:v>
                </c:pt>
                <c:pt idx="314">
                  <c:v>31472</c:v>
                </c:pt>
                <c:pt idx="315">
                  <c:v>31503</c:v>
                </c:pt>
                <c:pt idx="316">
                  <c:v>31533</c:v>
                </c:pt>
                <c:pt idx="317">
                  <c:v>31564</c:v>
                </c:pt>
                <c:pt idx="318">
                  <c:v>31594</c:v>
                </c:pt>
                <c:pt idx="319">
                  <c:v>31625</c:v>
                </c:pt>
                <c:pt idx="320">
                  <c:v>31656</c:v>
                </c:pt>
                <c:pt idx="321">
                  <c:v>31686</c:v>
                </c:pt>
                <c:pt idx="322">
                  <c:v>31717</c:v>
                </c:pt>
                <c:pt idx="323">
                  <c:v>31747</c:v>
                </c:pt>
                <c:pt idx="324">
                  <c:v>31778</c:v>
                </c:pt>
                <c:pt idx="325">
                  <c:v>31809</c:v>
                </c:pt>
                <c:pt idx="326">
                  <c:v>31837</c:v>
                </c:pt>
                <c:pt idx="327">
                  <c:v>31868</c:v>
                </c:pt>
                <c:pt idx="328">
                  <c:v>31898</c:v>
                </c:pt>
                <c:pt idx="329">
                  <c:v>31929</c:v>
                </c:pt>
                <c:pt idx="330">
                  <c:v>31959</c:v>
                </c:pt>
                <c:pt idx="331">
                  <c:v>31990</c:v>
                </c:pt>
                <c:pt idx="332">
                  <c:v>32021</c:v>
                </c:pt>
                <c:pt idx="333">
                  <c:v>32051</c:v>
                </c:pt>
                <c:pt idx="334">
                  <c:v>32082</c:v>
                </c:pt>
                <c:pt idx="335">
                  <c:v>32112</c:v>
                </c:pt>
                <c:pt idx="336">
                  <c:v>32143</c:v>
                </c:pt>
                <c:pt idx="337">
                  <c:v>32174</c:v>
                </c:pt>
                <c:pt idx="338">
                  <c:v>32203</c:v>
                </c:pt>
                <c:pt idx="339">
                  <c:v>32234</c:v>
                </c:pt>
                <c:pt idx="340">
                  <c:v>32264</c:v>
                </c:pt>
                <c:pt idx="341">
                  <c:v>32295</c:v>
                </c:pt>
                <c:pt idx="342">
                  <c:v>32325</c:v>
                </c:pt>
                <c:pt idx="343">
                  <c:v>32356</c:v>
                </c:pt>
                <c:pt idx="344">
                  <c:v>32387</c:v>
                </c:pt>
                <c:pt idx="345">
                  <c:v>32417</c:v>
                </c:pt>
                <c:pt idx="346">
                  <c:v>32448</c:v>
                </c:pt>
                <c:pt idx="347">
                  <c:v>32478</c:v>
                </c:pt>
                <c:pt idx="348">
                  <c:v>32509</c:v>
                </c:pt>
                <c:pt idx="349">
                  <c:v>32540</c:v>
                </c:pt>
                <c:pt idx="350">
                  <c:v>32568</c:v>
                </c:pt>
                <c:pt idx="351">
                  <c:v>32599</c:v>
                </c:pt>
                <c:pt idx="352">
                  <c:v>32629</c:v>
                </c:pt>
                <c:pt idx="353">
                  <c:v>32660</c:v>
                </c:pt>
                <c:pt idx="354">
                  <c:v>32690</c:v>
                </c:pt>
                <c:pt idx="355">
                  <c:v>32721</c:v>
                </c:pt>
                <c:pt idx="356">
                  <c:v>32752</c:v>
                </c:pt>
                <c:pt idx="357">
                  <c:v>32782</c:v>
                </c:pt>
                <c:pt idx="358">
                  <c:v>32813</c:v>
                </c:pt>
                <c:pt idx="359">
                  <c:v>32843</c:v>
                </c:pt>
                <c:pt idx="360">
                  <c:v>32874</c:v>
                </c:pt>
                <c:pt idx="361">
                  <c:v>32905</c:v>
                </c:pt>
                <c:pt idx="362">
                  <c:v>32933</c:v>
                </c:pt>
                <c:pt idx="363">
                  <c:v>32964</c:v>
                </c:pt>
                <c:pt idx="364">
                  <c:v>32994</c:v>
                </c:pt>
                <c:pt idx="365">
                  <c:v>33025</c:v>
                </c:pt>
                <c:pt idx="366">
                  <c:v>33055</c:v>
                </c:pt>
                <c:pt idx="367">
                  <c:v>33086</c:v>
                </c:pt>
                <c:pt idx="368">
                  <c:v>33117</c:v>
                </c:pt>
                <c:pt idx="369">
                  <c:v>33147</c:v>
                </c:pt>
                <c:pt idx="370">
                  <c:v>33178</c:v>
                </c:pt>
                <c:pt idx="371">
                  <c:v>33208</c:v>
                </c:pt>
                <c:pt idx="372">
                  <c:v>33239</c:v>
                </c:pt>
                <c:pt idx="373">
                  <c:v>33270</c:v>
                </c:pt>
                <c:pt idx="374">
                  <c:v>33298</c:v>
                </c:pt>
                <c:pt idx="375">
                  <c:v>33329</c:v>
                </c:pt>
                <c:pt idx="376">
                  <c:v>33359</c:v>
                </c:pt>
                <c:pt idx="377">
                  <c:v>33390</c:v>
                </c:pt>
                <c:pt idx="378">
                  <c:v>33420</c:v>
                </c:pt>
                <c:pt idx="379">
                  <c:v>33451</c:v>
                </c:pt>
                <c:pt idx="380">
                  <c:v>33482</c:v>
                </c:pt>
                <c:pt idx="381">
                  <c:v>33512</c:v>
                </c:pt>
                <c:pt idx="382">
                  <c:v>33543</c:v>
                </c:pt>
                <c:pt idx="383">
                  <c:v>33573</c:v>
                </c:pt>
                <c:pt idx="384">
                  <c:v>33604</c:v>
                </c:pt>
                <c:pt idx="385">
                  <c:v>33635</c:v>
                </c:pt>
                <c:pt idx="386">
                  <c:v>33664</c:v>
                </c:pt>
                <c:pt idx="387">
                  <c:v>33695</c:v>
                </c:pt>
                <c:pt idx="388">
                  <c:v>33725</c:v>
                </c:pt>
                <c:pt idx="389">
                  <c:v>33756</c:v>
                </c:pt>
                <c:pt idx="390">
                  <c:v>33786</c:v>
                </c:pt>
                <c:pt idx="391">
                  <c:v>33817</c:v>
                </c:pt>
                <c:pt idx="392">
                  <c:v>33848</c:v>
                </c:pt>
                <c:pt idx="393">
                  <c:v>33878</c:v>
                </c:pt>
                <c:pt idx="394">
                  <c:v>33909</c:v>
                </c:pt>
                <c:pt idx="395">
                  <c:v>33939</c:v>
                </c:pt>
                <c:pt idx="396">
                  <c:v>33970</c:v>
                </c:pt>
                <c:pt idx="397">
                  <c:v>34001</c:v>
                </c:pt>
                <c:pt idx="398">
                  <c:v>34029</c:v>
                </c:pt>
                <c:pt idx="399">
                  <c:v>34060</c:v>
                </c:pt>
                <c:pt idx="400">
                  <c:v>34090</c:v>
                </c:pt>
                <c:pt idx="401">
                  <c:v>34121</c:v>
                </c:pt>
                <c:pt idx="402">
                  <c:v>34151</c:v>
                </c:pt>
                <c:pt idx="403">
                  <c:v>34182</c:v>
                </c:pt>
                <c:pt idx="404">
                  <c:v>34213</c:v>
                </c:pt>
                <c:pt idx="405">
                  <c:v>34243</c:v>
                </c:pt>
                <c:pt idx="406">
                  <c:v>34274</c:v>
                </c:pt>
                <c:pt idx="407">
                  <c:v>34304</c:v>
                </c:pt>
                <c:pt idx="408">
                  <c:v>34335</c:v>
                </c:pt>
                <c:pt idx="409">
                  <c:v>34366</c:v>
                </c:pt>
                <c:pt idx="410">
                  <c:v>34394</c:v>
                </c:pt>
                <c:pt idx="411">
                  <c:v>34425</c:v>
                </c:pt>
                <c:pt idx="412">
                  <c:v>34455</c:v>
                </c:pt>
                <c:pt idx="413">
                  <c:v>34486</c:v>
                </c:pt>
                <c:pt idx="414">
                  <c:v>34516</c:v>
                </c:pt>
                <c:pt idx="415">
                  <c:v>34547</c:v>
                </c:pt>
                <c:pt idx="416">
                  <c:v>34578</c:v>
                </c:pt>
                <c:pt idx="417">
                  <c:v>34608</c:v>
                </c:pt>
                <c:pt idx="418">
                  <c:v>34639</c:v>
                </c:pt>
                <c:pt idx="419">
                  <c:v>34669</c:v>
                </c:pt>
                <c:pt idx="420">
                  <c:v>34700</c:v>
                </c:pt>
                <c:pt idx="421">
                  <c:v>34731</c:v>
                </c:pt>
                <c:pt idx="422">
                  <c:v>34759</c:v>
                </c:pt>
                <c:pt idx="423">
                  <c:v>34790</c:v>
                </c:pt>
                <c:pt idx="424">
                  <c:v>34820</c:v>
                </c:pt>
                <c:pt idx="425">
                  <c:v>34851</c:v>
                </c:pt>
                <c:pt idx="426">
                  <c:v>34881</c:v>
                </c:pt>
                <c:pt idx="427">
                  <c:v>34912</c:v>
                </c:pt>
                <c:pt idx="428">
                  <c:v>34943</c:v>
                </c:pt>
                <c:pt idx="429">
                  <c:v>34973</c:v>
                </c:pt>
                <c:pt idx="430">
                  <c:v>35004</c:v>
                </c:pt>
                <c:pt idx="431">
                  <c:v>35034</c:v>
                </c:pt>
                <c:pt idx="432">
                  <c:v>35065</c:v>
                </c:pt>
                <c:pt idx="433">
                  <c:v>35096</c:v>
                </c:pt>
                <c:pt idx="434">
                  <c:v>35125</c:v>
                </c:pt>
                <c:pt idx="435">
                  <c:v>35156</c:v>
                </c:pt>
                <c:pt idx="436">
                  <c:v>35186</c:v>
                </c:pt>
                <c:pt idx="437">
                  <c:v>35217</c:v>
                </c:pt>
                <c:pt idx="438">
                  <c:v>35247</c:v>
                </c:pt>
                <c:pt idx="439">
                  <c:v>35278</c:v>
                </c:pt>
                <c:pt idx="440">
                  <c:v>35309</c:v>
                </c:pt>
                <c:pt idx="441">
                  <c:v>35339</c:v>
                </c:pt>
                <c:pt idx="442">
                  <c:v>35370</c:v>
                </c:pt>
                <c:pt idx="443">
                  <c:v>35400</c:v>
                </c:pt>
                <c:pt idx="444">
                  <c:v>35431</c:v>
                </c:pt>
                <c:pt idx="445">
                  <c:v>35462</c:v>
                </c:pt>
                <c:pt idx="446">
                  <c:v>35490</c:v>
                </c:pt>
                <c:pt idx="447">
                  <c:v>35521</c:v>
                </c:pt>
                <c:pt idx="448">
                  <c:v>35551</c:v>
                </c:pt>
                <c:pt idx="449">
                  <c:v>35582</c:v>
                </c:pt>
                <c:pt idx="450">
                  <c:v>35612</c:v>
                </c:pt>
                <c:pt idx="451">
                  <c:v>35643</c:v>
                </c:pt>
                <c:pt idx="452">
                  <c:v>35674</c:v>
                </c:pt>
                <c:pt idx="453">
                  <c:v>35704</c:v>
                </c:pt>
                <c:pt idx="454">
                  <c:v>35735</c:v>
                </c:pt>
                <c:pt idx="455">
                  <c:v>35765</c:v>
                </c:pt>
                <c:pt idx="456">
                  <c:v>35796</c:v>
                </c:pt>
                <c:pt idx="457">
                  <c:v>35827</c:v>
                </c:pt>
                <c:pt idx="458">
                  <c:v>35855</c:v>
                </c:pt>
                <c:pt idx="459">
                  <c:v>35886</c:v>
                </c:pt>
                <c:pt idx="460">
                  <c:v>35916</c:v>
                </c:pt>
                <c:pt idx="461">
                  <c:v>35947</c:v>
                </c:pt>
                <c:pt idx="462">
                  <c:v>35977</c:v>
                </c:pt>
                <c:pt idx="463">
                  <c:v>36008</c:v>
                </c:pt>
                <c:pt idx="464">
                  <c:v>36039</c:v>
                </c:pt>
                <c:pt idx="465">
                  <c:v>36069</c:v>
                </c:pt>
                <c:pt idx="466">
                  <c:v>36100</c:v>
                </c:pt>
                <c:pt idx="467">
                  <c:v>36130</c:v>
                </c:pt>
                <c:pt idx="468">
                  <c:v>36161</c:v>
                </c:pt>
                <c:pt idx="469">
                  <c:v>36192</c:v>
                </c:pt>
                <c:pt idx="470">
                  <c:v>36220</c:v>
                </c:pt>
                <c:pt idx="471">
                  <c:v>36251</c:v>
                </c:pt>
                <c:pt idx="472">
                  <c:v>36281</c:v>
                </c:pt>
                <c:pt idx="473">
                  <c:v>36312</c:v>
                </c:pt>
                <c:pt idx="474">
                  <c:v>36342</c:v>
                </c:pt>
                <c:pt idx="475">
                  <c:v>36373</c:v>
                </c:pt>
                <c:pt idx="476">
                  <c:v>36404</c:v>
                </c:pt>
                <c:pt idx="477">
                  <c:v>36434</c:v>
                </c:pt>
                <c:pt idx="478">
                  <c:v>36465</c:v>
                </c:pt>
                <c:pt idx="479">
                  <c:v>36495</c:v>
                </c:pt>
                <c:pt idx="480">
                  <c:v>36526</c:v>
                </c:pt>
                <c:pt idx="481">
                  <c:v>36557</c:v>
                </c:pt>
                <c:pt idx="482">
                  <c:v>36586</c:v>
                </c:pt>
                <c:pt idx="483">
                  <c:v>36617</c:v>
                </c:pt>
                <c:pt idx="484">
                  <c:v>36647</c:v>
                </c:pt>
                <c:pt idx="485">
                  <c:v>36678</c:v>
                </c:pt>
                <c:pt idx="486">
                  <c:v>36708</c:v>
                </c:pt>
                <c:pt idx="487">
                  <c:v>36739</c:v>
                </c:pt>
                <c:pt idx="488">
                  <c:v>36770</c:v>
                </c:pt>
                <c:pt idx="489">
                  <c:v>36800</c:v>
                </c:pt>
                <c:pt idx="490">
                  <c:v>36831</c:v>
                </c:pt>
                <c:pt idx="491">
                  <c:v>36861</c:v>
                </c:pt>
                <c:pt idx="492">
                  <c:v>36892</c:v>
                </c:pt>
                <c:pt idx="493">
                  <c:v>36923</c:v>
                </c:pt>
                <c:pt idx="494">
                  <c:v>36951</c:v>
                </c:pt>
                <c:pt idx="495">
                  <c:v>36982</c:v>
                </c:pt>
                <c:pt idx="496">
                  <c:v>37012</c:v>
                </c:pt>
                <c:pt idx="497">
                  <c:v>37043</c:v>
                </c:pt>
                <c:pt idx="498">
                  <c:v>37073</c:v>
                </c:pt>
                <c:pt idx="499">
                  <c:v>37104</c:v>
                </c:pt>
                <c:pt idx="500">
                  <c:v>37135</c:v>
                </c:pt>
                <c:pt idx="501">
                  <c:v>37165</c:v>
                </c:pt>
                <c:pt idx="502">
                  <c:v>37196</c:v>
                </c:pt>
                <c:pt idx="503">
                  <c:v>37226</c:v>
                </c:pt>
                <c:pt idx="504">
                  <c:v>37257</c:v>
                </c:pt>
                <c:pt idx="505">
                  <c:v>37288</c:v>
                </c:pt>
                <c:pt idx="506">
                  <c:v>37316</c:v>
                </c:pt>
                <c:pt idx="507">
                  <c:v>37347</c:v>
                </c:pt>
                <c:pt idx="508">
                  <c:v>37377</c:v>
                </c:pt>
                <c:pt idx="509">
                  <c:v>37408</c:v>
                </c:pt>
                <c:pt idx="510">
                  <c:v>37438</c:v>
                </c:pt>
                <c:pt idx="511">
                  <c:v>37469</c:v>
                </c:pt>
                <c:pt idx="512">
                  <c:v>37500</c:v>
                </c:pt>
                <c:pt idx="513">
                  <c:v>37530</c:v>
                </c:pt>
                <c:pt idx="514">
                  <c:v>37561</c:v>
                </c:pt>
                <c:pt idx="515">
                  <c:v>37591</c:v>
                </c:pt>
                <c:pt idx="516">
                  <c:v>37622</c:v>
                </c:pt>
                <c:pt idx="517">
                  <c:v>37653</c:v>
                </c:pt>
                <c:pt idx="518">
                  <c:v>37681</c:v>
                </c:pt>
                <c:pt idx="519">
                  <c:v>37712</c:v>
                </c:pt>
                <c:pt idx="520">
                  <c:v>37742</c:v>
                </c:pt>
                <c:pt idx="521">
                  <c:v>37773</c:v>
                </c:pt>
                <c:pt idx="522">
                  <c:v>37803</c:v>
                </c:pt>
                <c:pt idx="523">
                  <c:v>37834</c:v>
                </c:pt>
                <c:pt idx="524">
                  <c:v>37865</c:v>
                </c:pt>
                <c:pt idx="525">
                  <c:v>37895</c:v>
                </c:pt>
                <c:pt idx="526">
                  <c:v>37926</c:v>
                </c:pt>
                <c:pt idx="527">
                  <c:v>37956</c:v>
                </c:pt>
                <c:pt idx="528">
                  <c:v>37987</c:v>
                </c:pt>
                <c:pt idx="529">
                  <c:v>38018</c:v>
                </c:pt>
                <c:pt idx="530">
                  <c:v>38047</c:v>
                </c:pt>
                <c:pt idx="531">
                  <c:v>38078</c:v>
                </c:pt>
                <c:pt idx="532">
                  <c:v>38108</c:v>
                </c:pt>
                <c:pt idx="533">
                  <c:v>38139</c:v>
                </c:pt>
                <c:pt idx="534">
                  <c:v>38169</c:v>
                </c:pt>
                <c:pt idx="535">
                  <c:v>38200</c:v>
                </c:pt>
                <c:pt idx="536">
                  <c:v>38231</c:v>
                </c:pt>
                <c:pt idx="537">
                  <c:v>38261</c:v>
                </c:pt>
                <c:pt idx="538">
                  <c:v>38292</c:v>
                </c:pt>
                <c:pt idx="539">
                  <c:v>38322</c:v>
                </c:pt>
                <c:pt idx="540">
                  <c:v>38353</c:v>
                </c:pt>
                <c:pt idx="541">
                  <c:v>38384</c:v>
                </c:pt>
                <c:pt idx="542">
                  <c:v>38412</c:v>
                </c:pt>
                <c:pt idx="543">
                  <c:v>38443</c:v>
                </c:pt>
                <c:pt idx="544">
                  <c:v>38473</c:v>
                </c:pt>
                <c:pt idx="545">
                  <c:v>38504</c:v>
                </c:pt>
                <c:pt idx="546">
                  <c:v>38534</c:v>
                </c:pt>
                <c:pt idx="547">
                  <c:v>38565</c:v>
                </c:pt>
                <c:pt idx="548">
                  <c:v>38596</c:v>
                </c:pt>
                <c:pt idx="549">
                  <c:v>38626</c:v>
                </c:pt>
                <c:pt idx="550">
                  <c:v>38657</c:v>
                </c:pt>
                <c:pt idx="551">
                  <c:v>38687</c:v>
                </c:pt>
                <c:pt idx="552">
                  <c:v>38718</c:v>
                </c:pt>
                <c:pt idx="553">
                  <c:v>38749</c:v>
                </c:pt>
                <c:pt idx="554">
                  <c:v>38777</c:v>
                </c:pt>
                <c:pt idx="555">
                  <c:v>38808</c:v>
                </c:pt>
                <c:pt idx="556">
                  <c:v>38838</c:v>
                </c:pt>
                <c:pt idx="557">
                  <c:v>38869</c:v>
                </c:pt>
                <c:pt idx="558">
                  <c:v>38899</c:v>
                </c:pt>
                <c:pt idx="559">
                  <c:v>38930</c:v>
                </c:pt>
                <c:pt idx="560">
                  <c:v>38961</c:v>
                </c:pt>
                <c:pt idx="561">
                  <c:v>38991</c:v>
                </c:pt>
                <c:pt idx="562">
                  <c:v>39022</c:v>
                </c:pt>
                <c:pt idx="563">
                  <c:v>39052</c:v>
                </c:pt>
                <c:pt idx="564">
                  <c:v>39083</c:v>
                </c:pt>
                <c:pt idx="565">
                  <c:v>39114</c:v>
                </c:pt>
                <c:pt idx="566">
                  <c:v>39142</c:v>
                </c:pt>
                <c:pt idx="567">
                  <c:v>39173</c:v>
                </c:pt>
                <c:pt idx="568">
                  <c:v>39203</c:v>
                </c:pt>
                <c:pt idx="569">
                  <c:v>39234</c:v>
                </c:pt>
                <c:pt idx="570">
                  <c:v>39264</c:v>
                </c:pt>
                <c:pt idx="571">
                  <c:v>39295</c:v>
                </c:pt>
                <c:pt idx="572">
                  <c:v>39326</c:v>
                </c:pt>
                <c:pt idx="573">
                  <c:v>39356</c:v>
                </c:pt>
                <c:pt idx="574">
                  <c:v>39387</c:v>
                </c:pt>
                <c:pt idx="575">
                  <c:v>39417</c:v>
                </c:pt>
                <c:pt idx="576">
                  <c:v>39448</c:v>
                </c:pt>
                <c:pt idx="577">
                  <c:v>39479</c:v>
                </c:pt>
                <c:pt idx="578">
                  <c:v>39508</c:v>
                </c:pt>
                <c:pt idx="579">
                  <c:v>39539</c:v>
                </c:pt>
                <c:pt idx="580">
                  <c:v>39569</c:v>
                </c:pt>
                <c:pt idx="581">
                  <c:v>39600</c:v>
                </c:pt>
                <c:pt idx="582">
                  <c:v>39630</c:v>
                </c:pt>
                <c:pt idx="583">
                  <c:v>39661</c:v>
                </c:pt>
                <c:pt idx="584">
                  <c:v>39692</c:v>
                </c:pt>
                <c:pt idx="585">
                  <c:v>39722</c:v>
                </c:pt>
                <c:pt idx="586">
                  <c:v>39753</c:v>
                </c:pt>
                <c:pt idx="587">
                  <c:v>39783</c:v>
                </c:pt>
                <c:pt idx="588">
                  <c:v>39814</c:v>
                </c:pt>
                <c:pt idx="589">
                  <c:v>39845</c:v>
                </c:pt>
                <c:pt idx="590">
                  <c:v>39873</c:v>
                </c:pt>
                <c:pt idx="591">
                  <c:v>39904</c:v>
                </c:pt>
                <c:pt idx="592">
                  <c:v>39934</c:v>
                </c:pt>
                <c:pt idx="593">
                  <c:v>39965</c:v>
                </c:pt>
                <c:pt idx="594">
                  <c:v>39995</c:v>
                </c:pt>
                <c:pt idx="595">
                  <c:v>40026</c:v>
                </c:pt>
                <c:pt idx="596">
                  <c:v>40057</c:v>
                </c:pt>
                <c:pt idx="597">
                  <c:v>40087</c:v>
                </c:pt>
                <c:pt idx="598">
                  <c:v>40118</c:v>
                </c:pt>
                <c:pt idx="599">
                  <c:v>40148</c:v>
                </c:pt>
                <c:pt idx="600">
                  <c:v>40179</c:v>
                </c:pt>
                <c:pt idx="601">
                  <c:v>40210</c:v>
                </c:pt>
                <c:pt idx="602">
                  <c:v>40238</c:v>
                </c:pt>
                <c:pt idx="603">
                  <c:v>40269</c:v>
                </c:pt>
                <c:pt idx="604">
                  <c:v>40299</c:v>
                </c:pt>
                <c:pt idx="605">
                  <c:v>40330</c:v>
                </c:pt>
                <c:pt idx="606">
                  <c:v>40360</c:v>
                </c:pt>
                <c:pt idx="607">
                  <c:v>40391</c:v>
                </c:pt>
                <c:pt idx="608">
                  <c:v>40422</c:v>
                </c:pt>
                <c:pt idx="609">
                  <c:v>40452</c:v>
                </c:pt>
                <c:pt idx="610">
                  <c:v>40483</c:v>
                </c:pt>
                <c:pt idx="611">
                  <c:v>40513</c:v>
                </c:pt>
                <c:pt idx="612">
                  <c:v>40544</c:v>
                </c:pt>
                <c:pt idx="613">
                  <c:v>40575</c:v>
                </c:pt>
                <c:pt idx="614">
                  <c:v>40603</c:v>
                </c:pt>
                <c:pt idx="615">
                  <c:v>40634</c:v>
                </c:pt>
                <c:pt idx="616">
                  <c:v>40664</c:v>
                </c:pt>
                <c:pt idx="617">
                  <c:v>40695</c:v>
                </c:pt>
                <c:pt idx="618">
                  <c:v>40725</c:v>
                </c:pt>
                <c:pt idx="619">
                  <c:v>40756</c:v>
                </c:pt>
                <c:pt idx="620">
                  <c:v>40787</c:v>
                </c:pt>
                <c:pt idx="621">
                  <c:v>40817</c:v>
                </c:pt>
                <c:pt idx="622">
                  <c:v>40848</c:v>
                </c:pt>
                <c:pt idx="623">
                  <c:v>40878</c:v>
                </c:pt>
                <c:pt idx="624">
                  <c:v>40909</c:v>
                </c:pt>
                <c:pt idx="625">
                  <c:v>40940</c:v>
                </c:pt>
                <c:pt idx="626">
                  <c:v>40969</c:v>
                </c:pt>
                <c:pt idx="627">
                  <c:v>41000</c:v>
                </c:pt>
                <c:pt idx="628">
                  <c:v>41030</c:v>
                </c:pt>
                <c:pt idx="629">
                  <c:v>41061</c:v>
                </c:pt>
                <c:pt idx="630">
                  <c:v>41091</c:v>
                </c:pt>
                <c:pt idx="631">
                  <c:v>41122</c:v>
                </c:pt>
                <c:pt idx="632">
                  <c:v>41153</c:v>
                </c:pt>
                <c:pt idx="633">
                  <c:v>41183</c:v>
                </c:pt>
                <c:pt idx="634">
                  <c:v>41214</c:v>
                </c:pt>
                <c:pt idx="635">
                  <c:v>41244</c:v>
                </c:pt>
                <c:pt idx="636">
                  <c:v>41275</c:v>
                </c:pt>
                <c:pt idx="637">
                  <c:v>41306</c:v>
                </c:pt>
                <c:pt idx="638">
                  <c:v>41334</c:v>
                </c:pt>
                <c:pt idx="639">
                  <c:v>41365</c:v>
                </c:pt>
                <c:pt idx="640">
                  <c:v>41395</c:v>
                </c:pt>
                <c:pt idx="641">
                  <c:v>41426</c:v>
                </c:pt>
                <c:pt idx="642">
                  <c:v>41456</c:v>
                </c:pt>
                <c:pt idx="643">
                  <c:v>41487</c:v>
                </c:pt>
                <c:pt idx="644">
                  <c:v>41518</c:v>
                </c:pt>
                <c:pt idx="645">
                  <c:v>41548</c:v>
                </c:pt>
                <c:pt idx="646">
                  <c:v>41579</c:v>
                </c:pt>
                <c:pt idx="647">
                  <c:v>41609</c:v>
                </c:pt>
                <c:pt idx="648">
                  <c:v>41640</c:v>
                </c:pt>
                <c:pt idx="649">
                  <c:v>41671</c:v>
                </c:pt>
                <c:pt idx="650">
                  <c:v>41699</c:v>
                </c:pt>
                <c:pt idx="651">
                  <c:v>41730</c:v>
                </c:pt>
                <c:pt idx="652">
                  <c:v>41760</c:v>
                </c:pt>
                <c:pt idx="653">
                  <c:v>41791</c:v>
                </c:pt>
                <c:pt idx="654">
                  <c:v>41821</c:v>
                </c:pt>
                <c:pt idx="655">
                  <c:v>41852</c:v>
                </c:pt>
                <c:pt idx="656">
                  <c:v>41883</c:v>
                </c:pt>
                <c:pt idx="657">
                  <c:v>41913</c:v>
                </c:pt>
                <c:pt idx="658">
                  <c:v>41944</c:v>
                </c:pt>
                <c:pt idx="659">
                  <c:v>41974</c:v>
                </c:pt>
                <c:pt idx="660">
                  <c:v>42005</c:v>
                </c:pt>
                <c:pt idx="661">
                  <c:v>42036</c:v>
                </c:pt>
                <c:pt idx="662">
                  <c:v>42064</c:v>
                </c:pt>
                <c:pt idx="663">
                  <c:v>42095</c:v>
                </c:pt>
                <c:pt idx="664">
                  <c:v>42125</c:v>
                </c:pt>
                <c:pt idx="665">
                  <c:v>42156</c:v>
                </c:pt>
                <c:pt idx="666">
                  <c:v>42186</c:v>
                </c:pt>
                <c:pt idx="667">
                  <c:v>42217</c:v>
                </c:pt>
                <c:pt idx="668">
                  <c:v>42248</c:v>
                </c:pt>
                <c:pt idx="669">
                  <c:v>42278</c:v>
                </c:pt>
                <c:pt idx="670">
                  <c:v>42309</c:v>
                </c:pt>
                <c:pt idx="671">
                  <c:v>42339</c:v>
                </c:pt>
                <c:pt idx="672">
                  <c:v>42370</c:v>
                </c:pt>
                <c:pt idx="673">
                  <c:v>42401</c:v>
                </c:pt>
                <c:pt idx="674">
                  <c:v>42430</c:v>
                </c:pt>
                <c:pt idx="675">
                  <c:v>42461</c:v>
                </c:pt>
                <c:pt idx="676">
                  <c:v>42491</c:v>
                </c:pt>
                <c:pt idx="677">
                  <c:v>42522</c:v>
                </c:pt>
                <c:pt idx="678">
                  <c:v>42552</c:v>
                </c:pt>
                <c:pt idx="679">
                  <c:v>42583</c:v>
                </c:pt>
                <c:pt idx="680">
                  <c:v>42614</c:v>
                </c:pt>
                <c:pt idx="681">
                  <c:v>42644</c:v>
                </c:pt>
                <c:pt idx="682">
                  <c:v>42675</c:v>
                </c:pt>
                <c:pt idx="683">
                  <c:v>42705</c:v>
                </c:pt>
                <c:pt idx="684">
                  <c:v>42736</c:v>
                </c:pt>
                <c:pt idx="685">
                  <c:v>42767</c:v>
                </c:pt>
                <c:pt idx="686">
                  <c:v>42795</c:v>
                </c:pt>
                <c:pt idx="687">
                  <c:v>42826</c:v>
                </c:pt>
                <c:pt idx="688">
                  <c:v>42856</c:v>
                </c:pt>
                <c:pt idx="689">
                  <c:v>42887</c:v>
                </c:pt>
                <c:pt idx="690">
                  <c:v>42917</c:v>
                </c:pt>
                <c:pt idx="691">
                  <c:v>42948</c:v>
                </c:pt>
                <c:pt idx="692">
                  <c:v>42979</c:v>
                </c:pt>
                <c:pt idx="693">
                  <c:v>43009</c:v>
                </c:pt>
                <c:pt idx="694">
                  <c:v>43040</c:v>
                </c:pt>
                <c:pt idx="695">
                  <c:v>43070</c:v>
                </c:pt>
                <c:pt idx="696">
                  <c:v>43101</c:v>
                </c:pt>
                <c:pt idx="697">
                  <c:v>43132</c:v>
                </c:pt>
                <c:pt idx="698">
                  <c:v>43160</c:v>
                </c:pt>
                <c:pt idx="699">
                  <c:v>43191</c:v>
                </c:pt>
                <c:pt idx="700">
                  <c:v>43221</c:v>
                </c:pt>
                <c:pt idx="701">
                  <c:v>43252</c:v>
                </c:pt>
                <c:pt idx="702">
                  <c:v>43282</c:v>
                </c:pt>
                <c:pt idx="703">
                  <c:v>43313</c:v>
                </c:pt>
                <c:pt idx="704">
                  <c:v>43344</c:v>
                </c:pt>
                <c:pt idx="705">
                  <c:v>43374</c:v>
                </c:pt>
                <c:pt idx="706">
                  <c:v>43405</c:v>
                </c:pt>
                <c:pt idx="707">
                  <c:v>43435</c:v>
                </c:pt>
                <c:pt idx="708">
                  <c:v>43466</c:v>
                </c:pt>
                <c:pt idx="709">
                  <c:v>43497</c:v>
                </c:pt>
                <c:pt idx="710">
                  <c:v>43525</c:v>
                </c:pt>
                <c:pt idx="711">
                  <c:v>43556</c:v>
                </c:pt>
                <c:pt idx="712">
                  <c:v>43586</c:v>
                </c:pt>
                <c:pt idx="713">
                  <c:v>43617</c:v>
                </c:pt>
                <c:pt idx="714">
                  <c:v>43647</c:v>
                </c:pt>
                <c:pt idx="715">
                  <c:v>43678</c:v>
                </c:pt>
                <c:pt idx="716">
                  <c:v>43709</c:v>
                </c:pt>
                <c:pt idx="717">
                  <c:v>43739</c:v>
                </c:pt>
                <c:pt idx="718">
                  <c:v>43770</c:v>
                </c:pt>
                <c:pt idx="719">
                  <c:v>43800</c:v>
                </c:pt>
                <c:pt idx="720">
                  <c:v>43831</c:v>
                </c:pt>
                <c:pt idx="721">
                  <c:v>43862</c:v>
                </c:pt>
                <c:pt idx="722">
                  <c:v>43891</c:v>
                </c:pt>
                <c:pt idx="723">
                  <c:v>43922</c:v>
                </c:pt>
                <c:pt idx="724">
                  <c:v>43952</c:v>
                </c:pt>
                <c:pt idx="725">
                  <c:v>43983</c:v>
                </c:pt>
                <c:pt idx="726">
                  <c:v>44013</c:v>
                </c:pt>
                <c:pt idx="727">
                  <c:v>44044</c:v>
                </c:pt>
                <c:pt idx="728">
                  <c:v>44075</c:v>
                </c:pt>
                <c:pt idx="729">
                  <c:v>44105</c:v>
                </c:pt>
                <c:pt idx="730">
                  <c:v>44136</c:v>
                </c:pt>
                <c:pt idx="731">
                  <c:v>44166</c:v>
                </c:pt>
                <c:pt idx="732">
                  <c:v>44197</c:v>
                </c:pt>
                <c:pt idx="733">
                  <c:v>44228</c:v>
                </c:pt>
                <c:pt idx="734">
                  <c:v>44256</c:v>
                </c:pt>
                <c:pt idx="735">
                  <c:v>44287</c:v>
                </c:pt>
                <c:pt idx="736">
                  <c:v>44317</c:v>
                </c:pt>
                <c:pt idx="737">
                  <c:v>44348</c:v>
                </c:pt>
                <c:pt idx="738">
                  <c:v>44378</c:v>
                </c:pt>
                <c:pt idx="739">
                  <c:v>44409</c:v>
                </c:pt>
                <c:pt idx="740">
                  <c:v>44440</c:v>
                </c:pt>
                <c:pt idx="741">
                  <c:v>44470</c:v>
                </c:pt>
                <c:pt idx="742">
                  <c:v>44501</c:v>
                </c:pt>
                <c:pt idx="743">
                  <c:v>44531</c:v>
                </c:pt>
              </c:numCache>
            </c:numRef>
          </c:cat>
          <c:val>
            <c:numRef>
              <c:f>'Building Permits - Authorized'!$B$7:$B$750</c:f>
              <c:numCache>
                <c:formatCode>General</c:formatCode>
                <c:ptCount val="744"/>
                <c:pt idx="0">
                  <c:v>1092</c:v>
                </c:pt>
                <c:pt idx="1">
                  <c:v>1088</c:v>
                </c:pt>
                <c:pt idx="2">
                  <c:v>955</c:v>
                </c:pt>
                <c:pt idx="3">
                  <c:v>1016</c:v>
                </c:pt>
                <c:pt idx="4">
                  <c:v>1052</c:v>
                </c:pt>
                <c:pt idx="5">
                  <c:v>958</c:v>
                </c:pt>
                <c:pt idx="6">
                  <c:v>999</c:v>
                </c:pt>
                <c:pt idx="7">
                  <c:v>994</c:v>
                </c:pt>
                <c:pt idx="8">
                  <c:v>984</c:v>
                </c:pt>
                <c:pt idx="9">
                  <c:v>972</c:v>
                </c:pt>
                <c:pt idx="10">
                  <c:v>979</c:v>
                </c:pt>
                <c:pt idx="11">
                  <c:v>951</c:v>
                </c:pt>
                <c:pt idx="12">
                  <c:v>969</c:v>
                </c:pt>
                <c:pt idx="13">
                  <c:v>961</c:v>
                </c:pt>
                <c:pt idx="14">
                  <c:v>1000</c:v>
                </c:pt>
                <c:pt idx="15">
                  <c:v>1002</c:v>
                </c:pt>
                <c:pt idx="16">
                  <c:v>1027</c:v>
                </c:pt>
                <c:pt idx="17">
                  <c:v>1070</c:v>
                </c:pt>
                <c:pt idx="18">
                  <c:v>1083</c:v>
                </c:pt>
                <c:pt idx="19">
                  <c:v>1159</c:v>
                </c:pt>
                <c:pt idx="20">
                  <c:v>1098</c:v>
                </c:pt>
                <c:pt idx="21">
                  <c:v>1123</c:v>
                </c:pt>
                <c:pt idx="22">
                  <c:v>1152</c:v>
                </c:pt>
                <c:pt idx="23">
                  <c:v>1161</c:v>
                </c:pt>
                <c:pt idx="24">
                  <c:v>1122</c:v>
                </c:pt>
                <c:pt idx="25">
                  <c:v>1194</c:v>
                </c:pt>
                <c:pt idx="26">
                  <c:v>1134</c:v>
                </c:pt>
                <c:pt idx="27">
                  <c:v>1235</c:v>
                </c:pt>
                <c:pt idx="28">
                  <c:v>1142</c:v>
                </c:pt>
                <c:pt idx="29">
                  <c:v>1154</c:v>
                </c:pt>
                <c:pt idx="30">
                  <c:v>1189</c:v>
                </c:pt>
                <c:pt idx="31">
                  <c:v>1200</c:v>
                </c:pt>
                <c:pt idx="32">
                  <c:v>1223</c:v>
                </c:pt>
                <c:pt idx="33">
                  <c:v>1181</c:v>
                </c:pt>
                <c:pt idx="34">
                  <c:v>1236</c:v>
                </c:pt>
                <c:pt idx="35">
                  <c:v>1236</c:v>
                </c:pt>
                <c:pt idx="36">
                  <c:v>1248</c:v>
                </c:pt>
                <c:pt idx="37">
                  <c:v>1212</c:v>
                </c:pt>
                <c:pt idx="38">
                  <c:v>1258</c:v>
                </c:pt>
                <c:pt idx="39">
                  <c:v>1288</c:v>
                </c:pt>
                <c:pt idx="40">
                  <c:v>1350</c:v>
                </c:pt>
                <c:pt idx="41">
                  <c:v>1345</c:v>
                </c:pt>
                <c:pt idx="42">
                  <c:v>1321</c:v>
                </c:pt>
                <c:pt idx="43">
                  <c:v>1310</c:v>
                </c:pt>
                <c:pt idx="44">
                  <c:v>1413</c:v>
                </c:pt>
                <c:pt idx="45">
                  <c:v>1414</c:v>
                </c:pt>
                <c:pt idx="46">
                  <c:v>1357</c:v>
                </c:pt>
                <c:pt idx="47">
                  <c:v>1423</c:v>
                </c:pt>
                <c:pt idx="48">
                  <c:v>1296</c:v>
                </c:pt>
                <c:pt idx="49">
                  <c:v>1442</c:v>
                </c:pt>
                <c:pt idx="50">
                  <c:v>1313</c:v>
                </c:pt>
                <c:pt idx="51">
                  <c:v>1264</c:v>
                </c:pt>
                <c:pt idx="52">
                  <c:v>1299</c:v>
                </c:pt>
                <c:pt idx="53">
                  <c:v>1280</c:v>
                </c:pt>
                <c:pt idx="54">
                  <c:v>1304</c:v>
                </c:pt>
                <c:pt idx="55">
                  <c:v>1306</c:v>
                </c:pt>
                <c:pt idx="56">
                  <c:v>1265</c:v>
                </c:pt>
                <c:pt idx="57">
                  <c:v>1230</c:v>
                </c:pt>
                <c:pt idx="58">
                  <c:v>1254</c:v>
                </c:pt>
                <c:pt idx="59">
                  <c:v>1164</c:v>
                </c:pt>
                <c:pt idx="60">
                  <c:v>1264</c:v>
                </c:pt>
                <c:pt idx="61">
                  <c:v>1185</c:v>
                </c:pt>
                <c:pt idx="62">
                  <c:v>1211</c:v>
                </c:pt>
                <c:pt idx="63">
                  <c:v>1162</c:v>
                </c:pt>
                <c:pt idx="64">
                  <c:v>1207</c:v>
                </c:pt>
                <c:pt idx="65">
                  <c:v>1241</c:v>
                </c:pt>
                <c:pt idx="66">
                  <c:v>1237</c:v>
                </c:pt>
                <c:pt idx="67">
                  <c:v>1249</c:v>
                </c:pt>
                <c:pt idx="68">
                  <c:v>1227</c:v>
                </c:pt>
                <c:pt idx="69">
                  <c:v>1279</c:v>
                </c:pt>
                <c:pt idx="70">
                  <c:v>1306</c:v>
                </c:pt>
                <c:pt idx="71">
                  <c:v>1315</c:v>
                </c:pt>
                <c:pt idx="72">
                  <c:v>1325</c:v>
                </c:pt>
                <c:pt idx="73">
                  <c:v>1159</c:v>
                </c:pt>
                <c:pt idx="74">
                  <c:v>1234</c:v>
                </c:pt>
                <c:pt idx="75">
                  <c:v>1145</c:v>
                </c:pt>
                <c:pt idx="76">
                  <c:v>1078</c:v>
                </c:pt>
                <c:pt idx="77">
                  <c:v>956</c:v>
                </c:pt>
                <c:pt idx="78">
                  <c:v>932</c:v>
                </c:pt>
                <c:pt idx="79">
                  <c:v>877</c:v>
                </c:pt>
                <c:pt idx="80">
                  <c:v>774</c:v>
                </c:pt>
                <c:pt idx="81">
                  <c:v>739</c:v>
                </c:pt>
                <c:pt idx="82">
                  <c:v>736</c:v>
                </c:pt>
                <c:pt idx="83">
                  <c:v>743</c:v>
                </c:pt>
                <c:pt idx="84">
                  <c:v>995</c:v>
                </c:pt>
                <c:pt idx="85">
                  <c:v>907</c:v>
                </c:pt>
                <c:pt idx="86">
                  <c:v>955</c:v>
                </c:pt>
                <c:pt idx="87">
                  <c:v>1035</c:v>
                </c:pt>
                <c:pt idx="88">
                  <c:v>1076</c:v>
                </c:pt>
                <c:pt idx="89">
                  <c:v>1169</c:v>
                </c:pt>
                <c:pt idx="90">
                  <c:v>1177</c:v>
                </c:pt>
                <c:pt idx="91">
                  <c:v>1229</c:v>
                </c:pt>
                <c:pt idx="92">
                  <c:v>1279</c:v>
                </c:pt>
                <c:pt idx="93">
                  <c:v>1280</c:v>
                </c:pt>
                <c:pt idx="94">
                  <c:v>1297</c:v>
                </c:pt>
                <c:pt idx="95">
                  <c:v>1315</c:v>
                </c:pt>
                <c:pt idx="96">
                  <c:v>1179</c:v>
                </c:pt>
                <c:pt idx="97">
                  <c:v>1342</c:v>
                </c:pt>
                <c:pt idx="98">
                  <c:v>1370</c:v>
                </c:pt>
                <c:pt idx="99">
                  <c:v>1286</c:v>
                </c:pt>
                <c:pt idx="100">
                  <c:v>1297</c:v>
                </c:pt>
                <c:pt idx="101">
                  <c:v>1300</c:v>
                </c:pt>
                <c:pt idx="102">
                  <c:v>1344</c:v>
                </c:pt>
                <c:pt idx="103">
                  <c:v>1357</c:v>
                </c:pt>
                <c:pt idx="104">
                  <c:v>1464</c:v>
                </c:pt>
                <c:pt idx="105">
                  <c:v>1421</c:v>
                </c:pt>
                <c:pt idx="106">
                  <c:v>1436</c:v>
                </c:pt>
                <c:pt idx="107">
                  <c:v>1389</c:v>
                </c:pt>
                <c:pt idx="108">
                  <c:v>1459</c:v>
                </c:pt>
                <c:pt idx="109">
                  <c:v>1495</c:v>
                </c:pt>
                <c:pt idx="110">
                  <c:v>1438</c:v>
                </c:pt>
                <c:pt idx="111">
                  <c:v>1441</c:v>
                </c:pt>
                <c:pt idx="112">
                  <c:v>1328</c:v>
                </c:pt>
                <c:pt idx="113">
                  <c:v>1349</c:v>
                </c:pt>
                <c:pt idx="114">
                  <c:v>1278</c:v>
                </c:pt>
                <c:pt idx="115">
                  <c:v>1317</c:v>
                </c:pt>
                <c:pt idx="116">
                  <c:v>1263</c:v>
                </c:pt>
                <c:pt idx="117">
                  <c:v>1216</c:v>
                </c:pt>
                <c:pt idx="118">
                  <c:v>1191</c:v>
                </c:pt>
                <c:pt idx="119">
                  <c:v>1155</c:v>
                </c:pt>
                <c:pt idx="120">
                  <c:v>1062</c:v>
                </c:pt>
                <c:pt idx="121">
                  <c:v>1118</c:v>
                </c:pt>
                <c:pt idx="122">
                  <c:v>1132</c:v>
                </c:pt>
                <c:pt idx="123">
                  <c:v>1224</c:v>
                </c:pt>
                <c:pt idx="124">
                  <c:v>1328</c:v>
                </c:pt>
                <c:pt idx="125">
                  <c:v>1322</c:v>
                </c:pt>
                <c:pt idx="126">
                  <c:v>1324</c:v>
                </c:pt>
                <c:pt idx="127">
                  <c:v>1394</c:v>
                </c:pt>
                <c:pt idx="128">
                  <c:v>1426</c:v>
                </c:pt>
                <c:pt idx="129">
                  <c:v>1564</c:v>
                </c:pt>
                <c:pt idx="130">
                  <c:v>1502</c:v>
                </c:pt>
                <c:pt idx="131">
                  <c:v>1767</c:v>
                </c:pt>
                <c:pt idx="132">
                  <c:v>1643</c:v>
                </c:pt>
                <c:pt idx="133">
                  <c:v>1588</c:v>
                </c:pt>
                <c:pt idx="134">
                  <c:v>1759</c:v>
                </c:pt>
                <c:pt idx="135">
                  <c:v>1745</c:v>
                </c:pt>
                <c:pt idx="136">
                  <c:v>1972</c:v>
                </c:pt>
                <c:pt idx="137">
                  <c:v>1903</c:v>
                </c:pt>
                <c:pt idx="138">
                  <c:v>2069</c:v>
                </c:pt>
                <c:pt idx="139">
                  <c:v>2004</c:v>
                </c:pt>
                <c:pt idx="140">
                  <c:v>1996</c:v>
                </c:pt>
                <c:pt idx="141">
                  <c:v>2026</c:v>
                </c:pt>
                <c:pt idx="142">
                  <c:v>2079</c:v>
                </c:pt>
                <c:pt idx="143">
                  <c:v>2133</c:v>
                </c:pt>
                <c:pt idx="144">
                  <c:v>2238</c:v>
                </c:pt>
                <c:pt idx="145">
                  <c:v>2169</c:v>
                </c:pt>
                <c:pt idx="146">
                  <c:v>2105</c:v>
                </c:pt>
                <c:pt idx="147">
                  <c:v>2139</c:v>
                </c:pt>
                <c:pt idx="148">
                  <c:v>2067</c:v>
                </c:pt>
                <c:pt idx="149">
                  <c:v>2183</c:v>
                </c:pt>
                <c:pt idx="150">
                  <c:v>2195</c:v>
                </c:pt>
                <c:pt idx="151">
                  <c:v>2263</c:v>
                </c:pt>
                <c:pt idx="152">
                  <c:v>2393</c:v>
                </c:pt>
                <c:pt idx="153">
                  <c:v>2354</c:v>
                </c:pt>
                <c:pt idx="154">
                  <c:v>2234</c:v>
                </c:pt>
                <c:pt idx="155">
                  <c:v>2419</c:v>
                </c:pt>
                <c:pt idx="156">
                  <c:v>2271</c:v>
                </c:pt>
                <c:pt idx="157">
                  <c:v>2226</c:v>
                </c:pt>
                <c:pt idx="158">
                  <c:v>2062</c:v>
                </c:pt>
                <c:pt idx="159">
                  <c:v>1908</c:v>
                </c:pt>
                <c:pt idx="160">
                  <c:v>1931</c:v>
                </c:pt>
                <c:pt idx="161">
                  <c:v>2051</c:v>
                </c:pt>
                <c:pt idx="162">
                  <c:v>1819</c:v>
                </c:pt>
                <c:pt idx="163">
                  <c:v>1809</c:v>
                </c:pt>
                <c:pt idx="164">
                  <c:v>1704</c:v>
                </c:pt>
                <c:pt idx="165">
                  <c:v>1411</c:v>
                </c:pt>
                <c:pt idx="166">
                  <c:v>1402</c:v>
                </c:pt>
                <c:pt idx="167">
                  <c:v>1288</c:v>
                </c:pt>
                <c:pt idx="168">
                  <c:v>1331</c:v>
                </c:pt>
                <c:pt idx="169">
                  <c:v>1360</c:v>
                </c:pt>
                <c:pt idx="170">
                  <c:v>1440</c:v>
                </c:pt>
                <c:pt idx="171">
                  <c:v>1254</c:v>
                </c:pt>
                <c:pt idx="172">
                  <c:v>1138</c:v>
                </c:pt>
                <c:pt idx="173">
                  <c:v>1086</c:v>
                </c:pt>
                <c:pt idx="174">
                  <c:v>1002</c:v>
                </c:pt>
                <c:pt idx="175">
                  <c:v>917</c:v>
                </c:pt>
                <c:pt idx="176">
                  <c:v>840</c:v>
                </c:pt>
                <c:pt idx="177">
                  <c:v>824</c:v>
                </c:pt>
                <c:pt idx="178">
                  <c:v>783</c:v>
                </c:pt>
                <c:pt idx="179">
                  <c:v>869</c:v>
                </c:pt>
                <c:pt idx="180">
                  <c:v>726</c:v>
                </c:pt>
                <c:pt idx="181">
                  <c:v>729</c:v>
                </c:pt>
                <c:pt idx="182">
                  <c:v>709</c:v>
                </c:pt>
                <c:pt idx="183">
                  <c:v>866</c:v>
                </c:pt>
                <c:pt idx="184">
                  <c:v>914</c:v>
                </c:pt>
                <c:pt idx="185">
                  <c:v>946</c:v>
                </c:pt>
                <c:pt idx="186">
                  <c:v>1020</c:v>
                </c:pt>
                <c:pt idx="187">
                  <c:v>994</c:v>
                </c:pt>
                <c:pt idx="188">
                  <c:v>1064</c:v>
                </c:pt>
                <c:pt idx="189">
                  <c:v>1096</c:v>
                </c:pt>
                <c:pt idx="190">
                  <c:v>1110</c:v>
                </c:pt>
                <c:pt idx="191">
                  <c:v>1091</c:v>
                </c:pt>
                <c:pt idx="192">
                  <c:v>1195</c:v>
                </c:pt>
                <c:pt idx="193">
                  <c:v>1190</c:v>
                </c:pt>
                <c:pt idx="194">
                  <c:v>1164</c:v>
                </c:pt>
                <c:pt idx="195">
                  <c:v>1132</c:v>
                </c:pt>
                <c:pt idx="196">
                  <c:v>1194</c:v>
                </c:pt>
                <c:pt idx="197">
                  <c:v>1188</c:v>
                </c:pt>
                <c:pt idx="198">
                  <c:v>1245</c:v>
                </c:pt>
                <c:pt idx="199">
                  <c:v>1309</c:v>
                </c:pt>
                <c:pt idx="200">
                  <c:v>1481</c:v>
                </c:pt>
                <c:pt idx="201">
                  <c:v>1425</c:v>
                </c:pt>
                <c:pt idx="202">
                  <c:v>1531</c:v>
                </c:pt>
                <c:pt idx="203">
                  <c:v>1511</c:v>
                </c:pt>
                <c:pt idx="204">
                  <c:v>1466</c:v>
                </c:pt>
                <c:pt idx="205">
                  <c:v>1560</c:v>
                </c:pt>
                <c:pt idx="206">
                  <c:v>1660</c:v>
                </c:pt>
                <c:pt idx="207">
                  <c:v>1660</c:v>
                </c:pt>
                <c:pt idx="208">
                  <c:v>1668</c:v>
                </c:pt>
                <c:pt idx="209">
                  <c:v>1752</c:v>
                </c:pt>
                <c:pt idx="210">
                  <c:v>1687</c:v>
                </c:pt>
                <c:pt idx="211">
                  <c:v>1780</c:v>
                </c:pt>
                <c:pt idx="212">
                  <c:v>1674</c:v>
                </c:pt>
                <c:pt idx="213">
                  <c:v>1758</c:v>
                </c:pt>
                <c:pt idx="214">
                  <c:v>1771</c:v>
                </c:pt>
                <c:pt idx="215">
                  <c:v>1754</c:v>
                </c:pt>
                <c:pt idx="216">
                  <c:v>1740</c:v>
                </c:pt>
                <c:pt idx="217">
                  <c:v>1736</c:v>
                </c:pt>
                <c:pt idx="218">
                  <c:v>1799</c:v>
                </c:pt>
                <c:pt idx="219">
                  <c:v>1948</c:v>
                </c:pt>
                <c:pt idx="220">
                  <c:v>1766</c:v>
                </c:pt>
                <c:pt idx="221">
                  <c:v>1983</c:v>
                </c:pt>
                <c:pt idx="222">
                  <c:v>1786</c:v>
                </c:pt>
                <c:pt idx="223">
                  <c:v>1691</c:v>
                </c:pt>
                <c:pt idx="224">
                  <c:v>1751</c:v>
                </c:pt>
                <c:pt idx="225">
                  <c:v>1781</c:v>
                </c:pt>
                <c:pt idx="226">
                  <c:v>1795</c:v>
                </c:pt>
                <c:pt idx="227">
                  <c:v>1818</c:v>
                </c:pt>
                <c:pt idx="228">
                  <c:v>1461</c:v>
                </c:pt>
                <c:pt idx="229">
                  <c:v>1492</c:v>
                </c:pt>
                <c:pt idx="230">
                  <c:v>1720</c:v>
                </c:pt>
                <c:pt idx="231">
                  <c:v>1597</c:v>
                </c:pt>
                <c:pt idx="232">
                  <c:v>1684</c:v>
                </c:pt>
                <c:pt idx="233">
                  <c:v>1640</c:v>
                </c:pt>
                <c:pt idx="234">
                  <c:v>1534</c:v>
                </c:pt>
                <c:pt idx="235">
                  <c:v>1591</c:v>
                </c:pt>
                <c:pt idx="236">
                  <c:v>1638</c:v>
                </c:pt>
                <c:pt idx="237">
                  <c:v>1481</c:v>
                </c:pt>
                <c:pt idx="238">
                  <c:v>1276</c:v>
                </c:pt>
                <c:pt idx="239">
                  <c:v>1254</c:v>
                </c:pt>
                <c:pt idx="240">
                  <c:v>1280</c:v>
                </c:pt>
                <c:pt idx="241">
                  <c:v>1199</c:v>
                </c:pt>
                <c:pt idx="242">
                  <c:v>988</c:v>
                </c:pt>
                <c:pt idx="243">
                  <c:v>808</c:v>
                </c:pt>
                <c:pt idx="244">
                  <c:v>861</c:v>
                </c:pt>
                <c:pt idx="245">
                  <c:v>1118</c:v>
                </c:pt>
                <c:pt idx="246">
                  <c:v>1259</c:v>
                </c:pt>
                <c:pt idx="247">
                  <c:v>1367</c:v>
                </c:pt>
                <c:pt idx="248">
                  <c:v>1484</c:v>
                </c:pt>
                <c:pt idx="249">
                  <c:v>1366</c:v>
                </c:pt>
                <c:pt idx="250">
                  <c:v>1383</c:v>
                </c:pt>
                <c:pt idx="251">
                  <c:v>1249</c:v>
                </c:pt>
                <c:pt idx="252">
                  <c:v>1221</c:v>
                </c:pt>
                <c:pt idx="253">
                  <c:v>1199</c:v>
                </c:pt>
                <c:pt idx="254">
                  <c:v>1183</c:v>
                </c:pt>
                <c:pt idx="255">
                  <c:v>1190</c:v>
                </c:pt>
                <c:pt idx="256">
                  <c:v>1173</c:v>
                </c:pt>
                <c:pt idx="257">
                  <c:v>976</c:v>
                </c:pt>
                <c:pt idx="258">
                  <c:v>935</c:v>
                </c:pt>
                <c:pt idx="259">
                  <c:v>889</c:v>
                </c:pt>
                <c:pt idx="260">
                  <c:v>847</c:v>
                </c:pt>
                <c:pt idx="261">
                  <c:v>731</c:v>
                </c:pt>
                <c:pt idx="262">
                  <c:v>748</c:v>
                </c:pt>
                <c:pt idx="263">
                  <c:v>796</c:v>
                </c:pt>
                <c:pt idx="264">
                  <c:v>794</c:v>
                </c:pt>
                <c:pt idx="265">
                  <c:v>808</c:v>
                </c:pt>
                <c:pt idx="266">
                  <c:v>891</c:v>
                </c:pt>
                <c:pt idx="267">
                  <c:v>888</c:v>
                </c:pt>
                <c:pt idx="268">
                  <c:v>953</c:v>
                </c:pt>
                <c:pt idx="269">
                  <c:v>913</c:v>
                </c:pt>
                <c:pt idx="270">
                  <c:v>1044</c:v>
                </c:pt>
                <c:pt idx="271">
                  <c:v>926</c:v>
                </c:pt>
                <c:pt idx="272">
                  <c:v>1042</c:v>
                </c:pt>
                <c:pt idx="273">
                  <c:v>1149</c:v>
                </c:pt>
                <c:pt idx="274">
                  <c:v>1229</c:v>
                </c:pt>
                <c:pt idx="275">
                  <c:v>1351</c:v>
                </c:pt>
                <c:pt idx="276">
                  <c:v>1426</c:v>
                </c:pt>
                <c:pt idx="277">
                  <c:v>1471</c:v>
                </c:pt>
                <c:pt idx="278">
                  <c:v>1475</c:v>
                </c:pt>
                <c:pt idx="279">
                  <c:v>1566</c:v>
                </c:pt>
                <c:pt idx="280">
                  <c:v>1669</c:v>
                </c:pt>
                <c:pt idx="281">
                  <c:v>1769</c:v>
                </c:pt>
                <c:pt idx="282">
                  <c:v>1795</c:v>
                </c:pt>
                <c:pt idx="283">
                  <c:v>1713</c:v>
                </c:pt>
                <c:pt idx="284">
                  <c:v>1585</c:v>
                </c:pt>
                <c:pt idx="285">
                  <c:v>1716</c:v>
                </c:pt>
                <c:pt idx="286">
                  <c:v>1668</c:v>
                </c:pt>
                <c:pt idx="287">
                  <c:v>1627</c:v>
                </c:pt>
                <c:pt idx="288">
                  <c:v>1816</c:v>
                </c:pt>
                <c:pt idx="289">
                  <c:v>1987</c:v>
                </c:pt>
                <c:pt idx="290">
                  <c:v>1725</c:v>
                </c:pt>
                <c:pt idx="291">
                  <c:v>1776</c:v>
                </c:pt>
                <c:pt idx="292">
                  <c:v>1741</c:v>
                </c:pt>
                <c:pt idx="293">
                  <c:v>1814</c:v>
                </c:pt>
                <c:pt idx="294">
                  <c:v>1605</c:v>
                </c:pt>
                <c:pt idx="295">
                  <c:v>1530</c:v>
                </c:pt>
                <c:pt idx="296">
                  <c:v>1523</c:v>
                </c:pt>
                <c:pt idx="297">
                  <c:v>1490</c:v>
                </c:pt>
                <c:pt idx="298">
                  <c:v>1643</c:v>
                </c:pt>
                <c:pt idx="299">
                  <c:v>1626</c:v>
                </c:pt>
                <c:pt idx="300">
                  <c:v>1660</c:v>
                </c:pt>
                <c:pt idx="301">
                  <c:v>1662</c:v>
                </c:pt>
                <c:pt idx="302">
                  <c:v>1727</c:v>
                </c:pt>
                <c:pt idx="303">
                  <c:v>1664</c:v>
                </c:pt>
                <c:pt idx="304">
                  <c:v>1709</c:v>
                </c:pt>
                <c:pt idx="305">
                  <c:v>1716</c:v>
                </c:pt>
                <c:pt idx="306">
                  <c:v>1697</c:v>
                </c:pt>
                <c:pt idx="307">
                  <c:v>1808</c:v>
                </c:pt>
                <c:pt idx="308">
                  <c:v>1916</c:v>
                </c:pt>
                <c:pt idx="309">
                  <c:v>1743</c:v>
                </c:pt>
                <c:pt idx="310">
                  <c:v>1692</c:v>
                </c:pt>
                <c:pt idx="311">
                  <c:v>1794</c:v>
                </c:pt>
                <c:pt idx="312">
                  <c:v>1847</c:v>
                </c:pt>
                <c:pt idx="313">
                  <c:v>1767</c:v>
                </c:pt>
                <c:pt idx="314">
                  <c:v>1780</c:v>
                </c:pt>
                <c:pt idx="315">
                  <c:v>1858</c:v>
                </c:pt>
                <c:pt idx="316">
                  <c:v>1797</c:v>
                </c:pt>
                <c:pt idx="317">
                  <c:v>1790</c:v>
                </c:pt>
                <c:pt idx="318">
                  <c:v>1780</c:v>
                </c:pt>
                <c:pt idx="319">
                  <c:v>1726</c:v>
                </c:pt>
                <c:pt idx="320">
                  <c:v>1686</c:v>
                </c:pt>
                <c:pt idx="321">
                  <c:v>1675</c:v>
                </c:pt>
                <c:pt idx="322">
                  <c:v>1644</c:v>
                </c:pt>
                <c:pt idx="323">
                  <c:v>1903</c:v>
                </c:pt>
                <c:pt idx="324">
                  <c:v>1690</c:v>
                </c:pt>
                <c:pt idx="325">
                  <c:v>1689</c:v>
                </c:pt>
                <c:pt idx="326">
                  <c:v>1704</c:v>
                </c:pt>
                <c:pt idx="327">
                  <c:v>1601</c:v>
                </c:pt>
                <c:pt idx="328">
                  <c:v>1500</c:v>
                </c:pt>
                <c:pt idx="329">
                  <c:v>1522</c:v>
                </c:pt>
                <c:pt idx="330">
                  <c:v>1516</c:v>
                </c:pt>
                <c:pt idx="331">
                  <c:v>1511</c:v>
                </c:pt>
                <c:pt idx="332">
                  <c:v>1514</c:v>
                </c:pt>
                <c:pt idx="333">
                  <c:v>1447</c:v>
                </c:pt>
                <c:pt idx="334">
                  <c:v>1457</c:v>
                </c:pt>
                <c:pt idx="335">
                  <c:v>1345</c:v>
                </c:pt>
                <c:pt idx="336">
                  <c:v>1244</c:v>
                </c:pt>
                <c:pt idx="337">
                  <c:v>1438</c:v>
                </c:pt>
                <c:pt idx="338">
                  <c:v>1525</c:v>
                </c:pt>
                <c:pt idx="339">
                  <c:v>1429</c:v>
                </c:pt>
                <c:pt idx="340">
                  <c:v>1444</c:v>
                </c:pt>
                <c:pt idx="341">
                  <c:v>1485</c:v>
                </c:pt>
                <c:pt idx="342">
                  <c:v>1439</c:v>
                </c:pt>
                <c:pt idx="343">
                  <c:v>1460</c:v>
                </c:pt>
                <c:pt idx="344">
                  <c:v>1436</c:v>
                </c:pt>
                <c:pt idx="345">
                  <c:v>1516</c:v>
                </c:pt>
                <c:pt idx="346">
                  <c:v>1508</c:v>
                </c:pt>
                <c:pt idx="347">
                  <c:v>1501</c:v>
                </c:pt>
                <c:pt idx="348">
                  <c:v>1466</c:v>
                </c:pt>
                <c:pt idx="349">
                  <c:v>1383</c:v>
                </c:pt>
                <c:pt idx="350">
                  <c:v>1214</c:v>
                </c:pt>
                <c:pt idx="351">
                  <c:v>1376</c:v>
                </c:pt>
                <c:pt idx="352">
                  <c:v>1381</c:v>
                </c:pt>
                <c:pt idx="353">
                  <c:v>1322</c:v>
                </c:pt>
                <c:pt idx="354">
                  <c:v>1283</c:v>
                </c:pt>
                <c:pt idx="355">
                  <c:v>1334</c:v>
                </c:pt>
                <c:pt idx="356">
                  <c:v>1314</c:v>
                </c:pt>
                <c:pt idx="357">
                  <c:v>1365</c:v>
                </c:pt>
                <c:pt idx="358">
                  <c:v>1344</c:v>
                </c:pt>
                <c:pt idx="359">
                  <c:v>1422</c:v>
                </c:pt>
                <c:pt idx="360">
                  <c:v>1748</c:v>
                </c:pt>
                <c:pt idx="361">
                  <c:v>1329</c:v>
                </c:pt>
                <c:pt idx="362">
                  <c:v>1246</c:v>
                </c:pt>
                <c:pt idx="363">
                  <c:v>1136</c:v>
                </c:pt>
                <c:pt idx="364">
                  <c:v>1067</c:v>
                </c:pt>
                <c:pt idx="365">
                  <c:v>1108</c:v>
                </c:pt>
                <c:pt idx="366">
                  <c:v>1078</c:v>
                </c:pt>
                <c:pt idx="367">
                  <c:v>1069</c:v>
                </c:pt>
                <c:pt idx="368">
                  <c:v>976</c:v>
                </c:pt>
                <c:pt idx="369">
                  <c:v>925</c:v>
                </c:pt>
                <c:pt idx="370">
                  <c:v>941</c:v>
                </c:pt>
                <c:pt idx="371">
                  <c:v>861</c:v>
                </c:pt>
                <c:pt idx="372">
                  <c:v>786</c:v>
                </c:pt>
                <c:pt idx="373">
                  <c:v>853</c:v>
                </c:pt>
                <c:pt idx="374">
                  <c:v>911</c:v>
                </c:pt>
                <c:pt idx="375">
                  <c:v>916</c:v>
                </c:pt>
                <c:pt idx="376">
                  <c:v>991</c:v>
                </c:pt>
                <c:pt idx="377">
                  <c:v>964</c:v>
                </c:pt>
                <c:pt idx="378">
                  <c:v>973</c:v>
                </c:pt>
                <c:pt idx="379">
                  <c:v>944</c:v>
                </c:pt>
                <c:pt idx="380">
                  <c:v>974</c:v>
                </c:pt>
                <c:pt idx="381">
                  <c:v>991</c:v>
                </c:pt>
                <c:pt idx="382">
                  <c:v>984</c:v>
                </c:pt>
                <c:pt idx="383">
                  <c:v>1061</c:v>
                </c:pt>
                <c:pt idx="384">
                  <c:v>1077</c:v>
                </c:pt>
                <c:pt idx="385">
                  <c:v>1146</c:v>
                </c:pt>
                <c:pt idx="386">
                  <c:v>1082</c:v>
                </c:pt>
                <c:pt idx="387">
                  <c:v>1054</c:v>
                </c:pt>
                <c:pt idx="388">
                  <c:v>1056</c:v>
                </c:pt>
                <c:pt idx="389">
                  <c:v>1057</c:v>
                </c:pt>
                <c:pt idx="390">
                  <c:v>1089</c:v>
                </c:pt>
                <c:pt idx="391">
                  <c:v>1075</c:v>
                </c:pt>
                <c:pt idx="392">
                  <c:v>1114</c:v>
                </c:pt>
                <c:pt idx="393">
                  <c:v>1132</c:v>
                </c:pt>
                <c:pt idx="394">
                  <c:v>1118</c:v>
                </c:pt>
                <c:pt idx="395">
                  <c:v>1176</c:v>
                </c:pt>
                <c:pt idx="396">
                  <c:v>1177</c:v>
                </c:pt>
                <c:pt idx="397">
                  <c:v>1148</c:v>
                </c:pt>
                <c:pt idx="398">
                  <c:v>1056</c:v>
                </c:pt>
                <c:pt idx="399">
                  <c:v>1104</c:v>
                </c:pt>
                <c:pt idx="400">
                  <c:v>1112</c:v>
                </c:pt>
                <c:pt idx="401">
                  <c:v>1130</c:v>
                </c:pt>
                <c:pt idx="402">
                  <c:v>1174</c:v>
                </c:pt>
                <c:pt idx="403">
                  <c:v>1230</c:v>
                </c:pt>
                <c:pt idx="404">
                  <c:v>1251</c:v>
                </c:pt>
                <c:pt idx="405">
                  <c:v>1287</c:v>
                </c:pt>
                <c:pt idx="406">
                  <c:v>1357</c:v>
                </c:pt>
                <c:pt idx="407">
                  <c:v>1461</c:v>
                </c:pt>
                <c:pt idx="408">
                  <c:v>1390</c:v>
                </c:pt>
                <c:pt idx="409">
                  <c:v>1269</c:v>
                </c:pt>
                <c:pt idx="410">
                  <c:v>1342</c:v>
                </c:pt>
                <c:pt idx="411">
                  <c:v>1392</c:v>
                </c:pt>
                <c:pt idx="412">
                  <c:v>1396</c:v>
                </c:pt>
                <c:pt idx="413">
                  <c:v>1357</c:v>
                </c:pt>
                <c:pt idx="414">
                  <c:v>1335</c:v>
                </c:pt>
                <c:pt idx="415">
                  <c:v>1377</c:v>
                </c:pt>
                <c:pt idx="416">
                  <c:v>1412</c:v>
                </c:pt>
                <c:pt idx="417">
                  <c:v>1397</c:v>
                </c:pt>
                <c:pt idx="418">
                  <c:v>1340</c:v>
                </c:pt>
                <c:pt idx="419">
                  <c:v>1396</c:v>
                </c:pt>
                <c:pt idx="420">
                  <c:v>1282</c:v>
                </c:pt>
                <c:pt idx="421">
                  <c:v>1254</c:v>
                </c:pt>
                <c:pt idx="422">
                  <c:v>1226</c:v>
                </c:pt>
                <c:pt idx="423">
                  <c:v>1259</c:v>
                </c:pt>
                <c:pt idx="424">
                  <c:v>1271</c:v>
                </c:pt>
                <c:pt idx="425">
                  <c:v>1305</c:v>
                </c:pt>
                <c:pt idx="426">
                  <c:v>1354</c:v>
                </c:pt>
                <c:pt idx="427">
                  <c:v>1386</c:v>
                </c:pt>
                <c:pt idx="428">
                  <c:v>1421</c:v>
                </c:pt>
                <c:pt idx="429">
                  <c:v>1400</c:v>
                </c:pt>
                <c:pt idx="430">
                  <c:v>1430</c:v>
                </c:pt>
                <c:pt idx="431">
                  <c:v>1442</c:v>
                </c:pt>
                <c:pt idx="432">
                  <c:v>1387</c:v>
                </c:pt>
                <c:pt idx="433">
                  <c:v>1420</c:v>
                </c:pt>
                <c:pt idx="434">
                  <c:v>1437</c:v>
                </c:pt>
                <c:pt idx="435">
                  <c:v>1463</c:v>
                </c:pt>
                <c:pt idx="436">
                  <c:v>1457</c:v>
                </c:pt>
                <c:pt idx="437">
                  <c:v>1429</c:v>
                </c:pt>
                <c:pt idx="438">
                  <c:v>1450</c:v>
                </c:pt>
                <c:pt idx="439">
                  <c:v>1413</c:v>
                </c:pt>
                <c:pt idx="440">
                  <c:v>1392</c:v>
                </c:pt>
                <c:pt idx="441">
                  <c:v>1358</c:v>
                </c:pt>
                <c:pt idx="442">
                  <c:v>1412</c:v>
                </c:pt>
                <c:pt idx="443">
                  <c:v>1411</c:v>
                </c:pt>
                <c:pt idx="444">
                  <c:v>1382</c:v>
                </c:pt>
                <c:pt idx="445">
                  <c:v>1445</c:v>
                </c:pt>
                <c:pt idx="446">
                  <c:v>1436</c:v>
                </c:pt>
                <c:pt idx="447">
                  <c:v>1421</c:v>
                </c:pt>
                <c:pt idx="448">
                  <c:v>1414</c:v>
                </c:pt>
                <c:pt idx="449">
                  <c:v>1402</c:v>
                </c:pt>
                <c:pt idx="450">
                  <c:v>1440</c:v>
                </c:pt>
                <c:pt idx="451">
                  <c:v>1449</c:v>
                </c:pt>
                <c:pt idx="452">
                  <c:v>1494</c:v>
                </c:pt>
                <c:pt idx="453">
                  <c:v>1499</c:v>
                </c:pt>
                <c:pt idx="454">
                  <c:v>1469</c:v>
                </c:pt>
                <c:pt idx="455">
                  <c:v>1456</c:v>
                </c:pt>
                <c:pt idx="456">
                  <c:v>1555</c:v>
                </c:pt>
                <c:pt idx="457">
                  <c:v>1647</c:v>
                </c:pt>
                <c:pt idx="458">
                  <c:v>1605</c:v>
                </c:pt>
                <c:pt idx="459">
                  <c:v>1547</c:v>
                </c:pt>
                <c:pt idx="460">
                  <c:v>1554</c:v>
                </c:pt>
                <c:pt idx="461">
                  <c:v>1551</c:v>
                </c:pt>
                <c:pt idx="462">
                  <c:v>1610</c:v>
                </c:pt>
                <c:pt idx="463">
                  <c:v>1654</c:v>
                </c:pt>
                <c:pt idx="464">
                  <c:v>1577</c:v>
                </c:pt>
                <c:pt idx="465">
                  <c:v>1719</c:v>
                </c:pt>
                <c:pt idx="466">
                  <c:v>1672</c:v>
                </c:pt>
                <c:pt idx="467">
                  <c:v>1742</c:v>
                </c:pt>
                <c:pt idx="468">
                  <c:v>1732</c:v>
                </c:pt>
                <c:pt idx="469">
                  <c:v>1720</c:v>
                </c:pt>
                <c:pt idx="470">
                  <c:v>1665</c:v>
                </c:pt>
                <c:pt idx="471">
                  <c:v>1600</c:v>
                </c:pt>
                <c:pt idx="472">
                  <c:v>1640</c:v>
                </c:pt>
                <c:pt idx="473">
                  <c:v>1702</c:v>
                </c:pt>
                <c:pt idx="474">
                  <c:v>1682</c:v>
                </c:pt>
                <c:pt idx="475">
                  <c:v>1671</c:v>
                </c:pt>
                <c:pt idx="476">
                  <c:v>1551</c:v>
                </c:pt>
                <c:pt idx="477">
                  <c:v>1649</c:v>
                </c:pt>
                <c:pt idx="478">
                  <c:v>1672</c:v>
                </c:pt>
                <c:pt idx="479">
                  <c:v>1683</c:v>
                </c:pt>
                <c:pt idx="480">
                  <c:v>1727</c:v>
                </c:pt>
                <c:pt idx="481">
                  <c:v>1692</c:v>
                </c:pt>
                <c:pt idx="482">
                  <c:v>1651</c:v>
                </c:pt>
                <c:pt idx="483">
                  <c:v>1597</c:v>
                </c:pt>
                <c:pt idx="484">
                  <c:v>1543</c:v>
                </c:pt>
                <c:pt idx="485">
                  <c:v>1572</c:v>
                </c:pt>
                <c:pt idx="486">
                  <c:v>1542</c:v>
                </c:pt>
                <c:pt idx="487">
                  <c:v>1552</c:v>
                </c:pt>
                <c:pt idx="488">
                  <c:v>1570</c:v>
                </c:pt>
                <c:pt idx="489">
                  <c:v>1577</c:v>
                </c:pt>
                <c:pt idx="490">
                  <c:v>1614</c:v>
                </c:pt>
                <c:pt idx="491">
                  <c:v>1543</c:v>
                </c:pt>
                <c:pt idx="492">
                  <c:v>1699</c:v>
                </c:pt>
                <c:pt idx="493">
                  <c:v>1656</c:v>
                </c:pt>
                <c:pt idx="494">
                  <c:v>1659</c:v>
                </c:pt>
                <c:pt idx="495">
                  <c:v>1666</c:v>
                </c:pt>
                <c:pt idx="496">
                  <c:v>1665</c:v>
                </c:pt>
                <c:pt idx="497">
                  <c:v>1626</c:v>
                </c:pt>
                <c:pt idx="498">
                  <c:v>1598</c:v>
                </c:pt>
                <c:pt idx="499">
                  <c:v>1615</c:v>
                </c:pt>
                <c:pt idx="500">
                  <c:v>1565</c:v>
                </c:pt>
                <c:pt idx="501">
                  <c:v>1566</c:v>
                </c:pt>
                <c:pt idx="502">
                  <c:v>1651</c:v>
                </c:pt>
                <c:pt idx="503">
                  <c:v>1680</c:v>
                </c:pt>
                <c:pt idx="504">
                  <c:v>1665</c:v>
                </c:pt>
                <c:pt idx="505">
                  <c:v>1787</c:v>
                </c:pt>
                <c:pt idx="506">
                  <c:v>1691</c:v>
                </c:pt>
                <c:pt idx="507">
                  <c:v>1669</c:v>
                </c:pt>
                <c:pt idx="508">
                  <c:v>1716</c:v>
                </c:pt>
                <c:pt idx="509">
                  <c:v>1758</c:v>
                </c:pt>
                <c:pt idx="510">
                  <c:v>1738</c:v>
                </c:pt>
                <c:pt idx="511">
                  <c:v>1695</c:v>
                </c:pt>
                <c:pt idx="512">
                  <c:v>1803</c:v>
                </c:pt>
                <c:pt idx="513">
                  <c:v>1799</c:v>
                </c:pt>
                <c:pt idx="514">
                  <c:v>1771</c:v>
                </c:pt>
                <c:pt idx="515">
                  <c:v>1896</c:v>
                </c:pt>
                <c:pt idx="516">
                  <c:v>1808</c:v>
                </c:pt>
                <c:pt idx="517">
                  <c:v>1854</c:v>
                </c:pt>
                <c:pt idx="518">
                  <c:v>1757</c:v>
                </c:pt>
                <c:pt idx="519">
                  <c:v>1803</c:v>
                </c:pt>
                <c:pt idx="520">
                  <c:v>1835</c:v>
                </c:pt>
                <c:pt idx="521">
                  <c:v>1875</c:v>
                </c:pt>
                <c:pt idx="522">
                  <c:v>1885</c:v>
                </c:pt>
                <c:pt idx="523">
                  <c:v>1966</c:v>
                </c:pt>
                <c:pt idx="524">
                  <c:v>1961</c:v>
                </c:pt>
                <c:pt idx="525">
                  <c:v>2012</c:v>
                </c:pt>
                <c:pt idx="526">
                  <c:v>1918</c:v>
                </c:pt>
                <c:pt idx="527">
                  <c:v>1987</c:v>
                </c:pt>
                <c:pt idx="528">
                  <c:v>1952</c:v>
                </c:pt>
                <c:pt idx="529">
                  <c:v>1966</c:v>
                </c:pt>
                <c:pt idx="530">
                  <c:v>2066</c:v>
                </c:pt>
                <c:pt idx="531">
                  <c:v>2070</c:v>
                </c:pt>
                <c:pt idx="532">
                  <c:v>2150</c:v>
                </c:pt>
                <c:pt idx="533">
                  <c:v>2020</c:v>
                </c:pt>
                <c:pt idx="534">
                  <c:v>2112</c:v>
                </c:pt>
                <c:pt idx="535">
                  <c:v>2056</c:v>
                </c:pt>
                <c:pt idx="536">
                  <c:v>2041</c:v>
                </c:pt>
                <c:pt idx="537">
                  <c:v>2097</c:v>
                </c:pt>
                <c:pt idx="538">
                  <c:v>2079</c:v>
                </c:pt>
                <c:pt idx="539">
                  <c:v>2082</c:v>
                </c:pt>
                <c:pt idx="540">
                  <c:v>2139</c:v>
                </c:pt>
                <c:pt idx="541">
                  <c:v>2114</c:v>
                </c:pt>
                <c:pt idx="542">
                  <c:v>2062</c:v>
                </c:pt>
                <c:pt idx="543">
                  <c:v>2150</c:v>
                </c:pt>
                <c:pt idx="544">
                  <c:v>2085</c:v>
                </c:pt>
                <c:pt idx="545">
                  <c:v>2178</c:v>
                </c:pt>
                <c:pt idx="546">
                  <c:v>2203</c:v>
                </c:pt>
                <c:pt idx="547">
                  <c:v>2219</c:v>
                </c:pt>
                <c:pt idx="548">
                  <c:v>2263</c:v>
                </c:pt>
                <c:pt idx="549">
                  <c:v>2170</c:v>
                </c:pt>
                <c:pt idx="550">
                  <c:v>2218</c:v>
                </c:pt>
                <c:pt idx="551">
                  <c:v>2120</c:v>
                </c:pt>
                <c:pt idx="552">
                  <c:v>2212</c:v>
                </c:pt>
                <c:pt idx="553">
                  <c:v>2141</c:v>
                </c:pt>
                <c:pt idx="554">
                  <c:v>2118</c:v>
                </c:pt>
                <c:pt idx="555">
                  <c:v>1998</c:v>
                </c:pt>
                <c:pt idx="556">
                  <c:v>1905</c:v>
                </c:pt>
                <c:pt idx="557">
                  <c:v>1867</c:v>
                </c:pt>
                <c:pt idx="558">
                  <c:v>1763</c:v>
                </c:pt>
                <c:pt idx="559">
                  <c:v>1722</c:v>
                </c:pt>
                <c:pt idx="560">
                  <c:v>1655</c:v>
                </c:pt>
                <c:pt idx="561">
                  <c:v>1570</c:v>
                </c:pt>
                <c:pt idx="562">
                  <c:v>1535</c:v>
                </c:pt>
                <c:pt idx="563">
                  <c:v>1638</c:v>
                </c:pt>
                <c:pt idx="564">
                  <c:v>1626</c:v>
                </c:pt>
                <c:pt idx="565">
                  <c:v>1598</c:v>
                </c:pt>
                <c:pt idx="566">
                  <c:v>1596</c:v>
                </c:pt>
                <c:pt idx="567">
                  <c:v>1470</c:v>
                </c:pt>
                <c:pt idx="568">
                  <c:v>1493</c:v>
                </c:pt>
                <c:pt idx="569">
                  <c:v>1407</c:v>
                </c:pt>
                <c:pt idx="570">
                  <c:v>1361</c:v>
                </c:pt>
                <c:pt idx="571">
                  <c:v>1321</c:v>
                </c:pt>
                <c:pt idx="572">
                  <c:v>1261</c:v>
                </c:pt>
                <c:pt idx="573">
                  <c:v>1192</c:v>
                </c:pt>
                <c:pt idx="574">
                  <c:v>1224</c:v>
                </c:pt>
                <c:pt idx="575">
                  <c:v>1149</c:v>
                </c:pt>
                <c:pt idx="576">
                  <c:v>1094</c:v>
                </c:pt>
                <c:pt idx="577">
                  <c:v>1014</c:v>
                </c:pt>
                <c:pt idx="578">
                  <c:v>967</c:v>
                </c:pt>
                <c:pt idx="579">
                  <c:v>1008</c:v>
                </c:pt>
                <c:pt idx="580">
                  <c:v>995</c:v>
                </c:pt>
                <c:pt idx="581">
                  <c:v>1180</c:v>
                </c:pt>
                <c:pt idx="582">
                  <c:v>921</c:v>
                </c:pt>
                <c:pt idx="583">
                  <c:v>858</c:v>
                </c:pt>
                <c:pt idx="584">
                  <c:v>797</c:v>
                </c:pt>
                <c:pt idx="585">
                  <c:v>736</c:v>
                </c:pt>
                <c:pt idx="586">
                  <c:v>626</c:v>
                </c:pt>
                <c:pt idx="587">
                  <c:v>554</c:v>
                </c:pt>
                <c:pt idx="588">
                  <c:v>545</c:v>
                </c:pt>
                <c:pt idx="589">
                  <c:v>558</c:v>
                </c:pt>
                <c:pt idx="590">
                  <c:v>513</c:v>
                </c:pt>
                <c:pt idx="591">
                  <c:v>521</c:v>
                </c:pt>
                <c:pt idx="592">
                  <c:v>556</c:v>
                </c:pt>
                <c:pt idx="593">
                  <c:v>601</c:v>
                </c:pt>
                <c:pt idx="594">
                  <c:v>595</c:v>
                </c:pt>
                <c:pt idx="595">
                  <c:v>616</c:v>
                </c:pt>
                <c:pt idx="596">
                  <c:v>609</c:v>
                </c:pt>
                <c:pt idx="597">
                  <c:v>583</c:v>
                </c:pt>
                <c:pt idx="598">
                  <c:v>623</c:v>
                </c:pt>
                <c:pt idx="599">
                  <c:v>664</c:v>
                </c:pt>
                <c:pt idx="600">
                  <c:v>636</c:v>
                </c:pt>
                <c:pt idx="601">
                  <c:v>650</c:v>
                </c:pt>
                <c:pt idx="602">
                  <c:v>687</c:v>
                </c:pt>
                <c:pt idx="603">
                  <c:v>637</c:v>
                </c:pt>
                <c:pt idx="604">
                  <c:v>575</c:v>
                </c:pt>
                <c:pt idx="605">
                  <c:v>587</c:v>
                </c:pt>
                <c:pt idx="606">
                  <c:v>579</c:v>
                </c:pt>
                <c:pt idx="607">
                  <c:v>580</c:v>
                </c:pt>
                <c:pt idx="608">
                  <c:v>563</c:v>
                </c:pt>
                <c:pt idx="609">
                  <c:v>558</c:v>
                </c:pt>
                <c:pt idx="610">
                  <c:v>560</c:v>
                </c:pt>
                <c:pt idx="611">
                  <c:v>632</c:v>
                </c:pt>
                <c:pt idx="612">
                  <c:v>576</c:v>
                </c:pt>
                <c:pt idx="613">
                  <c:v>542</c:v>
                </c:pt>
                <c:pt idx="614">
                  <c:v>583</c:v>
                </c:pt>
                <c:pt idx="615">
                  <c:v>581</c:v>
                </c:pt>
                <c:pt idx="616">
                  <c:v>618</c:v>
                </c:pt>
                <c:pt idx="617">
                  <c:v>636</c:v>
                </c:pt>
                <c:pt idx="618">
                  <c:v>621</c:v>
                </c:pt>
                <c:pt idx="619">
                  <c:v>647</c:v>
                </c:pt>
                <c:pt idx="620">
                  <c:v>610</c:v>
                </c:pt>
                <c:pt idx="621">
                  <c:v>671</c:v>
                </c:pt>
                <c:pt idx="622">
                  <c:v>706</c:v>
                </c:pt>
                <c:pt idx="623">
                  <c:v>697</c:v>
                </c:pt>
                <c:pt idx="624">
                  <c:v>712</c:v>
                </c:pt>
                <c:pt idx="625">
                  <c:v>738</c:v>
                </c:pt>
                <c:pt idx="626">
                  <c:v>806</c:v>
                </c:pt>
                <c:pt idx="627">
                  <c:v>732</c:v>
                </c:pt>
                <c:pt idx="628">
                  <c:v>796</c:v>
                </c:pt>
                <c:pt idx="629">
                  <c:v>794</c:v>
                </c:pt>
                <c:pt idx="630">
                  <c:v>849</c:v>
                </c:pt>
                <c:pt idx="631">
                  <c:v>840</c:v>
                </c:pt>
                <c:pt idx="632">
                  <c:v>930</c:v>
                </c:pt>
                <c:pt idx="633">
                  <c:v>887</c:v>
                </c:pt>
                <c:pt idx="634">
                  <c:v>917</c:v>
                </c:pt>
                <c:pt idx="635">
                  <c:v>941</c:v>
                </c:pt>
                <c:pt idx="636">
                  <c:v>940</c:v>
                </c:pt>
                <c:pt idx="637">
                  <c:v>980</c:v>
                </c:pt>
                <c:pt idx="638">
                  <c:v>936</c:v>
                </c:pt>
                <c:pt idx="639">
                  <c:v>1012</c:v>
                </c:pt>
                <c:pt idx="640">
                  <c:v>1003</c:v>
                </c:pt>
                <c:pt idx="641">
                  <c:v>942</c:v>
                </c:pt>
                <c:pt idx="642">
                  <c:v>997</c:v>
                </c:pt>
                <c:pt idx="643">
                  <c:v>964</c:v>
                </c:pt>
                <c:pt idx="644">
                  <c:v>1004</c:v>
                </c:pt>
                <c:pt idx="645">
                  <c:v>1044</c:v>
                </c:pt>
                <c:pt idx="646">
                  <c:v>1029</c:v>
                </c:pt>
                <c:pt idx="647">
                  <c:v>1005</c:v>
                </c:pt>
                <c:pt idx="648">
                  <c:v>976</c:v>
                </c:pt>
                <c:pt idx="649">
                  <c:v>1039</c:v>
                </c:pt>
                <c:pt idx="650">
                  <c:v>1067</c:v>
                </c:pt>
                <c:pt idx="651">
                  <c:v>1090</c:v>
                </c:pt>
                <c:pt idx="652">
                  <c:v>1018</c:v>
                </c:pt>
                <c:pt idx="653">
                  <c:v>1010</c:v>
                </c:pt>
                <c:pt idx="654">
                  <c:v>1076</c:v>
                </c:pt>
                <c:pt idx="655">
                  <c:v>1047</c:v>
                </c:pt>
                <c:pt idx="656">
                  <c:v>1077</c:v>
                </c:pt>
                <c:pt idx="657">
                  <c:v>1094</c:v>
                </c:pt>
                <c:pt idx="658">
                  <c:v>1059</c:v>
                </c:pt>
                <c:pt idx="659">
                  <c:v>1072</c:v>
                </c:pt>
                <c:pt idx="660">
                  <c:v>1049</c:v>
                </c:pt>
                <c:pt idx="661">
                  <c:v>1127</c:v>
                </c:pt>
                <c:pt idx="662">
                  <c:v>1072</c:v>
                </c:pt>
                <c:pt idx="663">
                  <c:v>1166</c:v>
                </c:pt>
                <c:pt idx="664">
                  <c:v>1272</c:v>
                </c:pt>
                <c:pt idx="665">
                  <c:v>1379</c:v>
                </c:pt>
                <c:pt idx="666">
                  <c:v>1140</c:v>
                </c:pt>
                <c:pt idx="667">
                  <c:v>1165</c:v>
                </c:pt>
                <c:pt idx="668">
                  <c:v>1144</c:v>
                </c:pt>
                <c:pt idx="669">
                  <c:v>1160</c:v>
                </c:pt>
                <c:pt idx="670">
                  <c:v>1244</c:v>
                </c:pt>
                <c:pt idx="671">
                  <c:v>1212</c:v>
                </c:pt>
                <c:pt idx="672">
                  <c:v>1161</c:v>
                </c:pt>
                <c:pt idx="673">
                  <c:v>1187</c:v>
                </c:pt>
                <c:pt idx="674">
                  <c:v>1114</c:v>
                </c:pt>
                <c:pt idx="675">
                  <c:v>1158</c:v>
                </c:pt>
                <c:pt idx="676">
                  <c:v>1196</c:v>
                </c:pt>
                <c:pt idx="677">
                  <c:v>1208</c:v>
                </c:pt>
                <c:pt idx="678">
                  <c:v>1190</c:v>
                </c:pt>
                <c:pt idx="679">
                  <c:v>1205</c:v>
                </c:pt>
                <c:pt idx="680">
                  <c:v>1280</c:v>
                </c:pt>
                <c:pt idx="681">
                  <c:v>1278</c:v>
                </c:pt>
                <c:pt idx="682">
                  <c:v>1236</c:v>
                </c:pt>
                <c:pt idx="683">
                  <c:v>1252</c:v>
                </c:pt>
                <c:pt idx="684">
                  <c:v>1301</c:v>
                </c:pt>
                <c:pt idx="685">
                  <c:v>1240</c:v>
                </c:pt>
                <c:pt idx="686">
                  <c:v>1285</c:v>
                </c:pt>
                <c:pt idx="687">
                  <c:v>1258</c:v>
                </c:pt>
                <c:pt idx="688">
                  <c:v>1209</c:v>
                </c:pt>
                <c:pt idx="689">
                  <c:v>1329</c:v>
                </c:pt>
                <c:pt idx="690">
                  <c:v>1264</c:v>
                </c:pt>
                <c:pt idx="691">
                  <c:v>1314</c:v>
                </c:pt>
                <c:pt idx="692">
                  <c:v>1257</c:v>
                </c:pt>
                <c:pt idx="693">
                  <c:v>1346</c:v>
                </c:pt>
                <c:pt idx="694">
                  <c:v>1302</c:v>
                </c:pt>
                <c:pt idx="695">
                  <c:v>1309</c:v>
                </c:pt>
                <c:pt idx="696">
                  <c:v>1352</c:v>
                </c:pt>
                <c:pt idx="697">
                  <c:v>1332</c:v>
                </c:pt>
                <c:pt idx="698">
                  <c:v>1407</c:v>
                </c:pt>
                <c:pt idx="699">
                  <c:v>1391</c:v>
                </c:pt>
                <c:pt idx="700">
                  <c:v>1331</c:v>
                </c:pt>
                <c:pt idx="701">
                  <c:v>1320</c:v>
                </c:pt>
                <c:pt idx="702">
                  <c:v>1328</c:v>
                </c:pt>
                <c:pt idx="703">
                  <c:v>1264</c:v>
                </c:pt>
                <c:pt idx="704">
                  <c:v>1289</c:v>
                </c:pt>
                <c:pt idx="705">
                  <c:v>1275</c:v>
                </c:pt>
                <c:pt idx="706">
                  <c:v>1318</c:v>
                </c:pt>
                <c:pt idx="707">
                  <c:v>1338</c:v>
                </c:pt>
                <c:pt idx="708">
                  <c:v>1295</c:v>
                </c:pt>
                <c:pt idx="709">
                  <c:v>1304</c:v>
                </c:pt>
                <c:pt idx="710">
                  <c:v>1316</c:v>
                </c:pt>
                <c:pt idx="711">
                  <c:v>1337</c:v>
                </c:pt>
                <c:pt idx="712">
                  <c:v>1337</c:v>
                </c:pt>
                <c:pt idx="713">
                  <c:v>1276</c:v>
                </c:pt>
                <c:pt idx="714">
                  <c:v>1369</c:v>
                </c:pt>
                <c:pt idx="715">
                  <c:v>1479</c:v>
                </c:pt>
                <c:pt idx="716">
                  <c:v>1439</c:v>
                </c:pt>
                <c:pt idx="717">
                  <c:v>1509</c:v>
                </c:pt>
                <c:pt idx="718">
                  <c:v>1509</c:v>
                </c:pt>
                <c:pt idx="719">
                  <c:v>1453</c:v>
                </c:pt>
                <c:pt idx="720">
                  <c:v>1550</c:v>
                </c:pt>
                <c:pt idx="721">
                  <c:v>1478</c:v>
                </c:pt>
                <c:pt idx="722">
                  <c:v>1382</c:v>
                </c:pt>
                <c:pt idx="723">
                  <c:v>1094</c:v>
                </c:pt>
                <c:pt idx="724">
                  <c:v>1246</c:v>
                </c:pt>
                <c:pt idx="725">
                  <c:v>1296</c:v>
                </c:pt>
                <c:pt idx="726">
                  <c:v>1542</c:v>
                </c:pt>
                <c:pt idx="727">
                  <c:v>1522</c:v>
                </c:pt>
                <c:pt idx="728">
                  <c:v>1589</c:v>
                </c:pt>
                <c:pt idx="729">
                  <c:v>1595</c:v>
                </c:pt>
                <c:pt idx="730">
                  <c:v>1696</c:v>
                </c:pt>
                <c:pt idx="731">
                  <c:v>1758</c:v>
                </c:pt>
                <c:pt idx="732">
                  <c:v>1883</c:v>
                </c:pt>
                <c:pt idx="733">
                  <c:v>1726</c:v>
                </c:pt>
                <c:pt idx="734">
                  <c:v>1755</c:v>
                </c:pt>
                <c:pt idx="735">
                  <c:v>1733</c:v>
                </c:pt>
                <c:pt idx="736">
                  <c:v>1683</c:v>
                </c:pt>
                <c:pt idx="737">
                  <c:v>1594</c:v>
                </c:pt>
                <c:pt idx="738">
                  <c:v>1630</c:v>
                </c:pt>
                <c:pt idx="739">
                  <c:v>1721</c:v>
                </c:pt>
                <c:pt idx="740">
                  <c:v>1586</c:v>
                </c:pt>
                <c:pt idx="741">
                  <c:v>1653</c:v>
                </c:pt>
                <c:pt idx="742">
                  <c:v>1717</c:v>
                </c:pt>
                <c:pt idx="743">
                  <c:v>1885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2B2-9845-BFF5-8DFEC1CE8B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11611920"/>
        <c:axId val="1111614872"/>
      </c:lineChart>
      <c:dateAx>
        <c:axId val="1111611920"/>
        <c:scaling>
          <c:orientation val="minMax"/>
          <c:min val="42370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1614872"/>
        <c:crosses val="autoZero"/>
        <c:auto val="0"/>
        <c:lblOffset val="100"/>
        <c:baseTimeUnit val="months"/>
      </c:dateAx>
      <c:valAx>
        <c:axId val="1111614872"/>
        <c:scaling>
          <c:orientation val="minMax"/>
          <c:max val="1900"/>
          <c:min val="1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161192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Building Permits since</a:t>
            </a:r>
            <a:r>
              <a:rPr lang="en-US" b="1" baseline="0"/>
              <a:t> 1960</a:t>
            </a:r>
            <a:endParaRPr lang="en-US" b="1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'Building Permits - Authorized'!$B$6</c:f>
              <c:strCache>
                <c:ptCount val="1"/>
                <c:pt idx="0">
                  <c:v>Building Permits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'Building Permits - Authorized'!$A$7:$A$750</c:f>
              <c:numCache>
                <c:formatCode>m/d/yy</c:formatCode>
                <c:ptCount val="744"/>
                <c:pt idx="0">
                  <c:v>21916</c:v>
                </c:pt>
                <c:pt idx="1">
                  <c:v>21947</c:v>
                </c:pt>
                <c:pt idx="2">
                  <c:v>21976</c:v>
                </c:pt>
                <c:pt idx="3">
                  <c:v>22007</c:v>
                </c:pt>
                <c:pt idx="4">
                  <c:v>22037</c:v>
                </c:pt>
                <c:pt idx="5">
                  <c:v>22068</c:v>
                </c:pt>
                <c:pt idx="6">
                  <c:v>22098</c:v>
                </c:pt>
                <c:pt idx="7">
                  <c:v>22129</c:v>
                </c:pt>
                <c:pt idx="8">
                  <c:v>22160</c:v>
                </c:pt>
                <c:pt idx="9">
                  <c:v>22190</c:v>
                </c:pt>
                <c:pt idx="10">
                  <c:v>22221</c:v>
                </c:pt>
                <c:pt idx="11">
                  <c:v>22251</c:v>
                </c:pt>
                <c:pt idx="12">
                  <c:v>22282</c:v>
                </c:pt>
                <c:pt idx="13">
                  <c:v>22313</c:v>
                </c:pt>
                <c:pt idx="14">
                  <c:v>22341</c:v>
                </c:pt>
                <c:pt idx="15">
                  <c:v>22372</c:v>
                </c:pt>
                <c:pt idx="16">
                  <c:v>22402</c:v>
                </c:pt>
                <c:pt idx="17">
                  <c:v>22433</c:v>
                </c:pt>
                <c:pt idx="18">
                  <c:v>22463</c:v>
                </c:pt>
                <c:pt idx="19">
                  <c:v>22494</c:v>
                </c:pt>
                <c:pt idx="20">
                  <c:v>22525</c:v>
                </c:pt>
                <c:pt idx="21">
                  <c:v>22555</c:v>
                </c:pt>
                <c:pt idx="22">
                  <c:v>22586</c:v>
                </c:pt>
                <c:pt idx="23">
                  <c:v>22616</c:v>
                </c:pt>
                <c:pt idx="24">
                  <c:v>22647</c:v>
                </c:pt>
                <c:pt idx="25">
                  <c:v>22678</c:v>
                </c:pt>
                <c:pt idx="26">
                  <c:v>22706</c:v>
                </c:pt>
                <c:pt idx="27">
                  <c:v>22737</c:v>
                </c:pt>
                <c:pt idx="28">
                  <c:v>22767</c:v>
                </c:pt>
                <c:pt idx="29">
                  <c:v>22798</c:v>
                </c:pt>
                <c:pt idx="30">
                  <c:v>22828</c:v>
                </c:pt>
                <c:pt idx="31">
                  <c:v>22859</c:v>
                </c:pt>
                <c:pt idx="32">
                  <c:v>22890</c:v>
                </c:pt>
                <c:pt idx="33">
                  <c:v>22920</c:v>
                </c:pt>
                <c:pt idx="34">
                  <c:v>22951</c:v>
                </c:pt>
                <c:pt idx="35">
                  <c:v>22981</c:v>
                </c:pt>
                <c:pt idx="36">
                  <c:v>23012</c:v>
                </c:pt>
                <c:pt idx="37">
                  <c:v>23043</c:v>
                </c:pt>
                <c:pt idx="38">
                  <c:v>23071</c:v>
                </c:pt>
                <c:pt idx="39">
                  <c:v>23102</c:v>
                </c:pt>
                <c:pt idx="40">
                  <c:v>23132</c:v>
                </c:pt>
                <c:pt idx="41">
                  <c:v>23163</c:v>
                </c:pt>
                <c:pt idx="42">
                  <c:v>23193</c:v>
                </c:pt>
                <c:pt idx="43">
                  <c:v>23224</c:v>
                </c:pt>
                <c:pt idx="44">
                  <c:v>23255</c:v>
                </c:pt>
                <c:pt idx="45">
                  <c:v>23285</c:v>
                </c:pt>
                <c:pt idx="46">
                  <c:v>23316</c:v>
                </c:pt>
                <c:pt idx="47">
                  <c:v>23346</c:v>
                </c:pt>
                <c:pt idx="48">
                  <c:v>23377</c:v>
                </c:pt>
                <c:pt idx="49">
                  <c:v>23408</c:v>
                </c:pt>
                <c:pt idx="50">
                  <c:v>23437</c:v>
                </c:pt>
                <c:pt idx="51">
                  <c:v>23468</c:v>
                </c:pt>
                <c:pt idx="52">
                  <c:v>23498</c:v>
                </c:pt>
                <c:pt idx="53">
                  <c:v>23529</c:v>
                </c:pt>
                <c:pt idx="54">
                  <c:v>23559</c:v>
                </c:pt>
                <c:pt idx="55">
                  <c:v>23590</c:v>
                </c:pt>
                <c:pt idx="56">
                  <c:v>23621</c:v>
                </c:pt>
                <c:pt idx="57">
                  <c:v>23651</c:v>
                </c:pt>
                <c:pt idx="58">
                  <c:v>23682</c:v>
                </c:pt>
                <c:pt idx="59">
                  <c:v>23712</c:v>
                </c:pt>
                <c:pt idx="60">
                  <c:v>23743</c:v>
                </c:pt>
                <c:pt idx="61">
                  <c:v>23774</c:v>
                </c:pt>
                <c:pt idx="62">
                  <c:v>23802</c:v>
                </c:pt>
                <c:pt idx="63">
                  <c:v>23833</c:v>
                </c:pt>
                <c:pt idx="64">
                  <c:v>23863</c:v>
                </c:pt>
                <c:pt idx="65">
                  <c:v>23894</c:v>
                </c:pt>
                <c:pt idx="66">
                  <c:v>23924</c:v>
                </c:pt>
                <c:pt idx="67">
                  <c:v>23955</c:v>
                </c:pt>
                <c:pt idx="68">
                  <c:v>23986</c:v>
                </c:pt>
                <c:pt idx="69">
                  <c:v>24016</c:v>
                </c:pt>
                <c:pt idx="70">
                  <c:v>24047</c:v>
                </c:pt>
                <c:pt idx="71">
                  <c:v>24077</c:v>
                </c:pt>
                <c:pt idx="72">
                  <c:v>24108</c:v>
                </c:pt>
                <c:pt idx="73">
                  <c:v>24139</c:v>
                </c:pt>
                <c:pt idx="74">
                  <c:v>24167</c:v>
                </c:pt>
                <c:pt idx="75">
                  <c:v>24198</c:v>
                </c:pt>
                <c:pt idx="76">
                  <c:v>24228</c:v>
                </c:pt>
                <c:pt idx="77">
                  <c:v>24259</c:v>
                </c:pt>
                <c:pt idx="78">
                  <c:v>24289</c:v>
                </c:pt>
                <c:pt idx="79">
                  <c:v>24320</c:v>
                </c:pt>
                <c:pt idx="80">
                  <c:v>24351</c:v>
                </c:pt>
                <c:pt idx="81">
                  <c:v>24381</c:v>
                </c:pt>
                <c:pt idx="82">
                  <c:v>24412</c:v>
                </c:pt>
                <c:pt idx="83">
                  <c:v>24442</c:v>
                </c:pt>
                <c:pt idx="84">
                  <c:v>24473</c:v>
                </c:pt>
                <c:pt idx="85">
                  <c:v>24504</c:v>
                </c:pt>
                <c:pt idx="86">
                  <c:v>24532</c:v>
                </c:pt>
                <c:pt idx="87">
                  <c:v>24563</c:v>
                </c:pt>
                <c:pt idx="88">
                  <c:v>24593</c:v>
                </c:pt>
                <c:pt idx="89">
                  <c:v>24624</c:v>
                </c:pt>
                <c:pt idx="90">
                  <c:v>24654</c:v>
                </c:pt>
                <c:pt idx="91">
                  <c:v>24685</c:v>
                </c:pt>
                <c:pt idx="92">
                  <c:v>24716</c:v>
                </c:pt>
                <c:pt idx="93">
                  <c:v>24746</c:v>
                </c:pt>
                <c:pt idx="94">
                  <c:v>24777</c:v>
                </c:pt>
                <c:pt idx="95">
                  <c:v>24807</c:v>
                </c:pt>
                <c:pt idx="96">
                  <c:v>24838</c:v>
                </c:pt>
                <c:pt idx="97">
                  <c:v>24869</c:v>
                </c:pt>
                <c:pt idx="98">
                  <c:v>24898</c:v>
                </c:pt>
                <c:pt idx="99">
                  <c:v>24929</c:v>
                </c:pt>
                <c:pt idx="100">
                  <c:v>24959</c:v>
                </c:pt>
                <c:pt idx="101">
                  <c:v>24990</c:v>
                </c:pt>
                <c:pt idx="102">
                  <c:v>25020</c:v>
                </c:pt>
                <c:pt idx="103">
                  <c:v>25051</c:v>
                </c:pt>
                <c:pt idx="104">
                  <c:v>25082</c:v>
                </c:pt>
                <c:pt idx="105">
                  <c:v>25112</c:v>
                </c:pt>
                <c:pt idx="106">
                  <c:v>25143</c:v>
                </c:pt>
                <c:pt idx="107">
                  <c:v>25173</c:v>
                </c:pt>
                <c:pt idx="108">
                  <c:v>25204</c:v>
                </c:pt>
                <c:pt idx="109">
                  <c:v>25235</c:v>
                </c:pt>
                <c:pt idx="110">
                  <c:v>25263</c:v>
                </c:pt>
                <c:pt idx="111">
                  <c:v>25294</c:v>
                </c:pt>
                <c:pt idx="112">
                  <c:v>25324</c:v>
                </c:pt>
                <c:pt idx="113">
                  <c:v>25355</c:v>
                </c:pt>
                <c:pt idx="114">
                  <c:v>25385</c:v>
                </c:pt>
                <c:pt idx="115">
                  <c:v>25416</c:v>
                </c:pt>
                <c:pt idx="116">
                  <c:v>25447</c:v>
                </c:pt>
                <c:pt idx="117">
                  <c:v>25477</c:v>
                </c:pt>
                <c:pt idx="118">
                  <c:v>25508</c:v>
                </c:pt>
                <c:pt idx="119">
                  <c:v>25538</c:v>
                </c:pt>
                <c:pt idx="120">
                  <c:v>25569</c:v>
                </c:pt>
                <c:pt idx="121">
                  <c:v>25600</c:v>
                </c:pt>
                <c:pt idx="122">
                  <c:v>25628</c:v>
                </c:pt>
                <c:pt idx="123">
                  <c:v>25659</c:v>
                </c:pt>
                <c:pt idx="124">
                  <c:v>25689</c:v>
                </c:pt>
                <c:pt idx="125">
                  <c:v>25720</c:v>
                </c:pt>
                <c:pt idx="126">
                  <c:v>25750</c:v>
                </c:pt>
                <c:pt idx="127">
                  <c:v>25781</c:v>
                </c:pt>
                <c:pt idx="128">
                  <c:v>25812</c:v>
                </c:pt>
                <c:pt idx="129">
                  <c:v>25842</c:v>
                </c:pt>
                <c:pt idx="130">
                  <c:v>25873</c:v>
                </c:pt>
                <c:pt idx="131">
                  <c:v>25903</c:v>
                </c:pt>
                <c:pt idx="132">
                  <c:v>25934</c:v>
                </c:pt>
                <c:pt idx="133">
                  <c:v>25965</c:v>
                </c:pt>
                <c:pt idx="134">
                  <c:v>25993</c:v>
                </c:pt>
                <c:pt idx="135">
                  <c:v>26024</c:v>
                </c:pt>
                <c:pt idx="136">
                  <c:v>26054</c:v>
                </c:pt>
                <c:pt idx="137">
                  <c:v>26085</c:v>
                </c:pt>
                <c:pt idx="138">
                  <c:v>26115</c:v>
                </c:pt>
                <c:pt idx="139">
                  <c:v>26146</c:v>
                </c:pt>
                <c:pt idx="140">
                  <c:v>26177</c:v>
                </c:pt>
                <c:pt idx="141">
                  <c:v>26207</c:v>
                </c:pt>
                <c:pt idx="142">
                  <c:v>26238</c:v>
                </c:pt>
                <c:pt idx="143">
                  <c:v>26268</c:v>
                </c:pt>
                <c:pt idx="144">
                  <c:v>26299</c:v>
                </c:pt>
                <c:pt idx="145">
                  <c:v>26330</c:v>
                </c:pt>
                <c:pt idx="146">
                  <c:v>26359</c:v>
                </c:pt>
                <c:pt idx="147">
                  <c:v>26390</c:v>
                </c:pt>
                <c:pt idx="148">
                  <c:v>26420</c:v>
                </c:pt>
                <c:pt idx="149">
                  <c:v>26451</c:v>
                </c:pt>
                <c:pt idx="150">
                  <c:v>26481</c:v>
                </c:pt>
                <c:pt idx="151">
                  <c:v>26512</c:v>
                </c:pt>
                <c:pt idx="152">
                  <c:v>26543</c:v>
                </c:pt>
                <c:pt idx="153">
                  <c:v>26573</c:v>
                </c:pt>
                <c:pt idx="154">
                  <c:v>26604</c:v>
                </c:pt>
                <c:pt idx="155">
                  <c:v>26634</c:v>
                </c:pt>
                <c:pt idx="156">
                  <c:v>26665</c:v>
                </c:pt>
                <c:pt idx="157">
                  <c:v>26696</c:v>
                </c:pt>
                <c:pt idx="158">
                  <c:v>26724</c:v>
                </c:pt>
                <c:pt idx="159">
                  <c:v>26755</c:v>
                </c:pt>
                <c:pt idx="160">
                  <c:v>26785</c:v>
                </c:pt>
                <c:pt idx="161">
                  <c:v>26816</c:v>
                </c:pt>
                <c:pt idx="162">
                  <c:v>26846</c:v>
                </c:pt>
                <c:pt idx="163">
                  <c:v>26877</c:v>
                </c:pt>
                <c:pt idx="164">
                  <c:v>26908</c:v>
                </c:pt>
                <c:pt idx="165">
                  <c:v>26938</c:v>
                </c:pt>
                <c:pt idx="166">
                  <c:v>26969</c:v>
                </c:pt>
                <c:pt idx="167">
                  <c:v>26999</c:v>
                </c:pt>
                <c:pt idx="168">
                  <c:v>27030</c:v>
                </c:pt>
                <c:pt idx="169">
                  <c:v>27061</c:v>
                </c:pt>
                <c:pt idx="170">
                  <c:v>27089</c:v>
                </c:pt>
                <c:pt idx="171">
                  <c:v>27120</c:v>
                </c:pt>
                <c:pt idx="172">
                  <c:v>27150</c:v>
                </c:pt>
                <c:pt idx="173">
                  <c:v>27181</c:v>
                </c:pt>
                <c:pt idx="174">
                  <c:v>27211</c:v>
                </c:pt>
                <c:pt idx="175">
                  <c:v>27242</c:v>
                </c:pt>
                <c:pt idx="176">
                  <c:v>27273</c:v>
                </c:pt>
                <c:pt idx="177">
                  <c:v>27303</c:v>
                </c:pt>
                <c:pt idx="178">
                  <c:v>27334</c:v>
                </c:pt>
                <c:pt idx="179">
                  <c:v>27364</c:v>
                </c:pt>
                <c:pt idx="180">
                  <c:v>27395</c:v>
                </c:pt>
                <c:pt idx="181">
                  <c:v>27426</c:v>
                </c:pt>
                <c:pt idx="182">
                  <c:v>27454</c:v>
                </c:pt>
                <c:pt idx="183">
                  <c:v>27485</c:v>
                </c:pt>
                <c:pt idx="184">
                  <c:v>27515</c:v>
                </c:pt>
                <c:pt idx="185">
                  <c:v>27546</c:v>
                </c:pt>
                <c:pt idx="186">
                  <c:v>27576</c:v>
                </c:pt>
                <c:pt idx="187">
                  <c:v>27607</c:v>
                </c:pt>
                <c:pt idx="188">
                  <c:v>27638</c:v>
                </c:pt>
                <c:pt idx="189">
                  <c:v>27668</c:v>
                </c:pt>
                <c:pt idx="190">
                  <c:v>27699</c:v>
                </c:pt>
                <c:pt idx="191">
                  <c:v>27729</c:v>
                </c:pt>
                <c:pt idx="192">
                  <c:v>27760</c:v>
                </c:pt>
                <c:pt idx="193">
                  <c:v>27791</c:v>
                </c:pt>
                <c:pt idx="194">
                  <c:v>27820</c:v>
                </c:pt>
                <c:pt idx="195">
                  <c:v>27851</c:v>
                </c:pt>
                <c:pt idx="196">
                  <c:v>27881</c:v>
                </c:pt>
                <c:pt idx="197">
                  <c:v>27912</c:v>
                </c:pt>
                <c:pt idx="198">
                  <c:v>27942</c:v>
                </c:pt>
                <c:pt idx="199">
                  <c:v>27973</c:v>
                </c:pt>
                <c:pt idx="200">
                  <c:v>28004</c:v>
                </c:pt>
                <c:pt idx="201">
                  <c:v>28034</c:v>
                </c:pt>
                <c:pt idx="202">
                  <c:v>28065</c:v>
                </c:pt>
                <c:pt idx="203">
                  <c:v>28095</c:v>
                </c:pt>
                <c:pt idx="204">
                  <c:v>28126</c:v>
                </c:pt>
                <c:pt idx="205">
                  <c:v>28157</c:v>
                </c:pt>
                <c:pt idx="206">
                  <c:v>28185</c:v>
                </c:pt>
                <c:pt idx="207">
                  <c:v>28216</c:v>
                </c:pt>
                <c:pt idx="208">
                  <c:v>28246</c:v>
                </c:pt>
                <c:pt idx="209">
                  <c:v>28277</c:v>
                </c:pt>
                <c:pt idx="210">
                  <c:v>28307</c:v>
                </c:pt>
                <c:pt idx="211">
                  <c:v>28338</c:v>
                </c:pt>
                <c:pt idx="212">
                  <c:v>28369</c:v>
                </c:pt>
                <c:pt idx="213">
                  <c:v>28399</c:v>
                </c:pt>
                <c:pt idx="214">
                  <c:v>28430</c:v>
                </c:pt>
                <c:pt idx="215">
                  <c:v>28460</c:v>
                </c:pt>
                <c:pt idx="216">
                  <c:v>28491</c:v>
                </c:pt>
                <c:pt idx="217">
                  <c:v>28522</c:v>
                </c:pt>
                <c:pt idx="218">
                  <c:v>28550</c:v>
                </c:pt>
                <c:pt idx="219">
                  <c:v>28581</c:v>
                </c:pt>
                <c:pt idx="220">
                  <c:v>28611</c:v>
                </c:pt>
                <c:pt idx="221">
                  <c:v>28642</c:v>
                </c:pt>
                <c:pt idx="222">
                  <c:v>28672</c:v>
                </c:pt>
                <c:pt idx="223">
                  <c:v>28703</c:v>
                </c:pt>
                <c:pt idx="224">
                  <c:v>28734</c:v>
                </c:pt>
                <c:pt idx="225">
                  <c:v>28764</c:v>
                </c:pt>
                <c:pt idx="226">
                  <c:v>28795</c:v>
                </c:pt>
                <c:pt idx="227">
                  <c:v>28825</c:v>
                </c:pt>
                <c:pt idx="228">
                  <c:v>28856</c:v>
                </c:pt>
                <c:pt idx="229">
                  <c:v>28887</c:v>
                </c:pt>
                <c:pt idx="230">
                  <c:v>28915</c:v>
                </c:pt>
                <c:pt idx="231">
                  <c:v>28946</c:v>
                </c:pt>
                <c:pt idx="232">
                  <c:v>28976</c:v>
                </c:pt>
                <c:pt idx="233">
                  <c:v>29007</c:v>
                </c:pt>
                <c:pt idx="234">
                  <c:v>29037</c:v>
                </c:pt>
                <c:pt idx="235">
                  <c:v>29068</c:v>
                </c:pt>
                <c:pt idx="236">
                  <c:v>29099</c:v>
                </c:pt>
                <c:pt idx="237">
                  <c:v>29129</c:v>
                </c:pt>
                <c:pt idx="238">
                  <c:v>29160</c:v>
                </c:pt>
                <c:pt idx="239">
                  <c:v>29190</c:v>
                </c:pt>
                <c:pt idx="240">
                  <c:v>29221</c:v>
                </c:pt>
                <c:pt idx="241">
                  <c:v>29252</c:v>
                </c:pt>
                <c:pt idx="242">
                  <c:v>29281</c:v>
                </c:pt>
                <c:pt idx="243">
                  <c:v>29312</c:v>
                </c:pt>
                <c:pt idx="244">
                  <c:v>29342</c:v>
                </c:pt>
                <c:pt idx="245">
                  <c:v>29373</c:v>
                </c:pt>
                <c:pt idx="246">
                  <c:v>29403</c:v>
                </c:pt>
                <c:pt idx="247">
                  <c:v>29434</c:v>
                </c:pt>
                <c:pt idx="248">
                  <c:v>29465</c:v>
                </c:pt>
                <c:pt idx="249">
                  <c:v>29495</c:v>
                </c:pt>
                <c:pt idx="250">
                  <c:v>29526</c:v>
                </c:pt>
                <c:pt idx="251">
                  <c:v>29556</c:v>
                </c:pt>
                <c:pt idx="252">
                  <c:v>29587</c:v>
                </c:pt>
                <c:pt idx="253">
                  <c:v>29618</c:v>
                </c:pt>
                <c:pt idx="254">
                  <c:v>29646</c:v>
                </c:pt>
                <c:pt idx="255">
                  <c:v>29677</c:v>
                </c:pt>
                <c:pt idx="256">
                  <c:v>29707</c:v>
                </c:pt>
                <c:pt idx="257">
                  <c:v>29738</c:v>
                </c:pt>
                <c:pt idx="258">
                  <c:v>29768</c:v>
                </c:pt>
                <c:pt idx="259">
                  <c:v>29799</c:v>
                </c:pt>
                <c:pt idx="260">
                  <c:v>29830</c:v>
                </c:pt>
                <c:pt idx="261">
                  <c:v>29860</c:v>
                </c:pt>
                <c:pt idx="262">
                  <c:v>29891</c:v>
                </c:pt>
                <c:pt idx="263">
                  <c:v>29921</c:v>
                </c:pt>
                <c:pt idx="264">
                  <c:v>29952</c:v>
                </c:pt>
                <c:pt idx="265">
                  <c:v>29983</c:v>
                </c:pt>
                <c:pt idx="266">
                  <c:v>30011</c:v>
                </c:pt>
                <c:pt idx="267">
                  <c:v>30042</c:v>
                </c:pt>
                <c:pt idx="268">
                  <c:v>30072</c:v>
                </c:pt>
                <c:pt idx="269">
                  <c:v>30103</c:v>
                </c:pt>
                <c:pt idx="270">
                  <c:v>30133</c:v>
                </c:pt>
                <c:pt idx="271">
                  <c:v>30164</c:v>
                </c:pt>
                <c:pt idx="272">
                  <c:v>30195</c:v>
                </c:pt>
                <c:pt idx="273">
                  <c:v>30225</c:v>
                </c:pt>
                <c:pt idx="274">
                  <c:v>30256</c:v>
                </c:pt>
                <c:pt idx="275">
                  <c:v>30286</c:v>
                </c:pt>
                <c:pt idx="276">
                  <c:v>30317</c:v>
                </c:pt>
                <c:pt idx="277">
                  <c:v>30348</c:v>
                </c:pt>
                <c:pt idx="278">
                  <c:v>30376</c:v>
                </c:pt>
                <c:pt idx="279">
                  <c:v>30407</c:v>
                </c:pt>
                <c:pt idx="280">
                  <c:v>30437</c:v>
                </c:pt>
                <c:pt idx="281">
                  <c:v>30468</c:v>
                </c:pt>
                <c:pt idx="282">
                  <c:v>30498</c:v>
                </c:pt>
                <c:pt idx="283">
                  <c:v>30529</c:v>
                </c:pt>
                <c:pt idx="284">
                  <c:v>30560</c:v>
                </c:pt>
                <c:pt idx="285">
                  <c:v>30590</c:v>
                </c:pt>
                <c:pt idx="286">
                  <c:v>30621</c:v>
                </c:pt>
                <c:pt idx="287">
                  <c:v>30651</c:v>
                </c:pt>
                <c:pt idx="288">
                  <c:v>30682</c:v>
                </c:pt>
                <c:pt idx="289">
                  <c:v>30713</c:v>
                </c:pt>
                <c:pt idx="290">
                  <c:v>30742</c:v>
                </c:pt>
                <c:pt idx="291">
                  <c:v>30773</c:v>
                </c:pt>
                <c:pt idx="292">
                  <c:v>30803</c:v>
                </c:pt>
                <c:pt idx="293">
                  <c:v>30834</c:v>
                </c:pt>
                <c:pt idx="294">
                  <c:v>30864</c:v>
                </c:pt>
                <c:pt idx="295">
                  <c:v>30895</c:v>
                </c:pt>
                <c:pt idx="296">
                  <c:v>30926</c:v>
                </c:pt>
                <c:pt idx="297">
                  <c:v>30956</c:v>
                </c:pt>
                <c:pt idx="298">
                  <c:v>30987</c:v>
                </c:pt>
                <c:pt idx="299">
                  <c:v>31017</c:v>
                </c:pt>
                <c:pt idx="300">
                  <c:v>31048</c:v>
                </c:pt>
                <c:pt idx="301">
                  <c:v>31079</c:v>
                </c:pt>
                <c:pt idx="302">
                  <c:v>31107</c:v>
                </c:pt>
                <c:pt idx="303">
                  <c:v>31138</c:v>
                </c:pt>
                <c:pt idx="304">
                  <c:v>31168</c:v>
                </c:pt>
                <c:pt idx="305">
                  <c:v>31199</c:v>
                </c:pt>
                <c:pt idx="306">
                  <c:v>31229</c:v>
                </c:pt>
                <c:pt idx="307">
                  <c:v>31260</c:v>
                </c:pt>
                <c:pt idx="308">
                  <c:v>31291</c:v>
                </c:pt>
                <c:pt idx="309">
                  <c:v>31321</c:v>
                </c:pt>
                <c:pt idx="310">
                  <c:v>31352</c:v>
                </c:pt>
                <c:pt idx="311">
                  <c:v>31382</c:v>
                </c:pt>
                <c:pt idx="312">
                  <c:v>31413</c:v>
                </c:pt>
                <c:pt idx="313">
                  <c:v>31444</c:v>
                </c:pt>
                <c:pt idx="314">
                  <c:v>31472</c:v>
                </c:pt>
                <c:pt idx="315">
                  <c:v>31503</c:v>
                </c:pt>
                <c:pt idx="316">
                  <c:v>31533</c:v>
                </c:pt>
                <c:pt idx="317">
                  <c:v>31564</c:v>
                </c:pt>
                <c:pt idx="318">
                  <c:v>31594</c:v>
                </c:pt>
                <c:pt idx="319">
                  <c:v>31625</c:v>
                </c:pt>
                <c:pt idx="320">
                  <c:v>31656</c:v>
                </c:pt>
                <c:pt idx="321">
                  <c:v>31686</c:v>
                </c:pt>
                <c:pt idx="322">
                  <c:v>31717</c:v>
                </c:pt>
                <c:pt idx="323">
                  <c:v>31747</c:v>
                </c:pt>
                <c:pt idx="324">
                  <c:v>31778</c:v>
                </c:pt>
                <c:pt idx="325">
                  <c:v>31809</c:v>
                </c:pt>
                <c:pt idx="326">
                  <c:v>31837</c:v>
                </c:pt>
                <c:pt idx="327">
                  <c:v>31868</c:v>
                </c:pt>
                <c:pt idx="328">
                  <c:v>31898</c:v>
                </c:pt>
                <c:pt idx="329">
                  <c:v>31929</c:v>
                </c:pt>
                <c:pt idx="330">
                  <c:v>31959</c:v>
                </c:pt>
                <c:pt idx="331">
                  <c:v>31990</c:v>
                </c:pt>
                <c:pt idx="332">
                  <c:v>32021</c:v>
                </c:pt>
                <c:pt idx="333">
                  <c:v>32051</c:v>
                </c:pt>
                <c:pt idx="334">
                  <c:v>32082</c:v>
                </c:pt>
                <c:pt idx="335">
                  <c:v>32112</c:v>
                </c:pt>
                <c:pt idx="336">
                  <c:v>32143</c:v>
                </c:pt>
                <c:pt idx="337">
                  <c:v>32174</c:v>
                </c:pt>
                <c:pt idx="338">
                  <c:v>32203</c:v>
                </c:pt>
                <c:pt idx="339">
                  <c:v>32234</c:v>
                </c:pt>
                <c:pt idx="340">
                  <c:v>32264</c:v>
                </c:pt>
                <c:pt idx="341">
                  <c:v>32295</c:v>
                </c:pt>
                <c:pt idx="342">
                  <c:v>32325</c:v>
                </c:pt>
                <c:pt idx="343">
                  <c:v>32356</c:v>
                </c:pt>
                <c:pt idx="344">
                  <c:v>32387</c:v>
                </c:pt>
                <c:pt idx="345">
                  <c:v>32417</c:v>
                </c:pt>
                <c:pt idx="346">
                  <c:v>32448</c:v>
                </c:pt>
                <c:pt idx="347">
                  <c:v>32478</c:v>
                </c:pt>
                <c:pt idx="348">
                  <c:v>32509</c:v>
                </c:pt>
                <c:pt idx="349">
                  <c:v>32540</c:v>
                </c:pt>
                <c:pt idx="350">
                  <c:v>32568</c:v>
                </c:pt>
                <c:pt idx="351">
                  <c:v>32599</c:v>
                </c:pt>
                <c:pt idx="352">
                  <c:v>32629</c:v>
                </c:pt>
                <c:pt idx="353">
                  <c:v>32660</c:v>
                </c:pt>
                <c:pt idx="354">
                  <c:v>32690</c:v>
                </c:pt>
                <c:pt idx="355">
                  <c:v>32721</c:v>
                </c:pt>
                <c:pt idx="356">
                  <c:v>32752</c:v>
                </c:pt>
                <c:pt idx="357">
                  <c:v>32782</c:v>
                </c:pt>
                <c:pt idx="358">
                  <c:v>32813</c:v>
                </c:pt>
                <c:pt idx="359">
                  <c:v>32843</c:v>
                </c:pt>
                <c:pt idx="360">
                  <c:v>32874</c:v>
                </c:pt>
                <c:pt idx="361">
                  <c:v>32905</c:v>
                </c:pt>
                <c:pt idx="362">
                  <c:v>32933</c:v>
                </c:pt>
                <c:pt idx="363">
                  <c:v>32964</c:v>
                </c:pt>
                <c:pt idx="364">
                  <c:v>32994</c:v>
                </c:pt>
                <c:pt idx="365">
                  <c:v>33025</c:v>
                </c:pt>
                <c:pt idx="366">
                  <c:v>33055</c:v>
                </c:pt>
                <c:pt idx="367">
                  <c:v>33086</c:v>
                </c:pt>
                <c:pt idx="368">
                  <c:v>33117</c:v>
                </c:pt>
                <c:pt idx="369">
                  <c:v>33147</c:v>
                </c:pt>
                <c:pt idx="370">
                  <c:v>33178</c:v>
                </c:pt>
                <c:pt idx="371">
                  <c:v>33208</c:v>
                </c:pt>
                <c:pt idx="372">
                  <c:v>33239</c:v>
                </c:pt>
                <c:pt idx="373">
                  <c:v>33270</c:v>
                </c:pt>
                <c:pt idx="374">
                  <c:v>33298</c:v>
                </c:pt>
                <c:pt idx="375">
                  <c:v>33329</c:v>
                </c:pt>
                <c:pt idx="376">
                  <c:v>33359</c:v>
                </c:pt>
                <c:pt idx="377">
                  <c:v>33390</c:v>
                </c:pt>
                <c:pt idx="378">
                  <c:v>33420</c:v>
                </c:pt>
                <c:pt idx="379">
                  <c:v>33451</c:v>
                </c:pt>
                <c:pt idx="380">
                  <c:v>33482</c:v>
                </c:pt>
                <c:pt idx="381">
                  <c:v>33512</c:v>
                </c:pt>
                <c:pt idx="382">
                  <c:v>33543</c:v>
                </c:pt>
                <c:pt idx="383">
                  <c:v>33573</c:v>
                </c:pt>
                <c:pt idx="384">
                  <c:v>33604</c:v>
                </c:pt>
                <c:pt idx="385">
                  <c:v>33635</c:v>
                </c:pt>
                <c:pt idx="386">
                  <c:v>33664</c:v>
                </c:pt>
                <c:pt idx="387">
                  <c:v>33695</c:v>
                </c:pt>
                <c:pt idx="388">
                  <c:v>33725</c:v>
                </c:pt>
                <c:pt idx="389">
                  <c:v>33756</c:v>
                </c:pt>
                <c:pt idx="390">
                  <c:v>33786</c:v>
                </c:pt>
                <c:pt idx="391">
                  <c:v>33817</c:v>
                </c:pt>
                <c:pt idx="392">
                  <c:v>33848</c:v>
                </c:pt>
                <c:pt idx="393">
                  <c:v>33878</c:v>
                </c:pt>
                <c:pt idx="394">
                  <c:v>33909</c:v>
                </c:pt>
                <c:pt idx="395">
                  <c:v>33939</c:v>
                </c:pt>
                <c:pt idx="396">
                  <c:v>33970</c:v>
                </c:pt>
                <c:pt idx="397">
                  <c:v>34001</c:v>
                </c:pt>
                <c:pt idx="398">
                  <c:v>34029</c:v>
                </c:pt>
                <c:pt idx="399">
                  <c:v>34060</c:v>
                </c:pt>
                <c:pt idx="400">
                  <c:v>34090</c:v>
                </c:pt>
                <c:pt idx="401">
                  <c:v>34121</c:v>
                </c:pt>
                <c:pt idx="402">
                  <c:v>34151</c:v>
                </c:pt>
                <c:pt idx="403">
                  <c:v>34182</c:v>
                </c:pt>
                <c:pt idx="404">
                  <c:v>34213</c:v>
                </c:pt>
                <c:pt idx="405">
                  <c:v>34243</c:v>
                </c:pt>
                <c:pt idx="406">
                  <c:v>34274</c:v>
                </c:pt>
                <c:pt idx="407">
                  <c:v>34304</c:v>
                </c:pt>
                <c:pt idx="408">
                  <c:v>34335</c:v>
                </c:pt>
                <c:pt idx="409">
                  <c:v>34366</c:v>
                </c:pt>
                <c:pt idx="410">
                  <c:v>34394</c:v>
                </c:pt>
                <c:pt idx="411">
                  <c:v>34425</c:v>
                </c:pt>
                <c:pt idx="412">
                  <c:v>34455</c:v>
                </c:pt>
                <c:pt idx="413">
                  <c:v>34486</c:v>
                </c:pt>
                <c:pt idx="414">
                  <c:v>34516</c:v>
                </c:pt>
                <c:pt idx="415">
                  <c:v>34547</c:v>
                </c:pt>
                <c:pt idx="416">
                  <c:v>34578</c:v>
                </c:pt>
                <c:pt idx="417">
                  <c:v>34608</c:v>
                </c:pt>
                <c:pt idx="418">
                  <c:v>34639</c:v>
                </c:pt>
                <c:pt idx="419">
                  <c:v>34669</c:v>
                </c:pt>
                <c:pt idx="420">
                  <c:v>34700</c:v>
                </c:pt>
                <c:pt idx="421">
                  <c:v>34731</c:v>
                </c:pt>
                <c:pt idx="422">
                  <c:v>34759</c:v>
                </c:pt>
                <c:pt idx="423">
                  <c:v>34790</c:v>
                </c:pt>
                <c:pt idx="424">
                  <c:v>34820</c:v>
                </c:pt>
                <c:pt idx="425">
                  <c:v>34851</c:v>
                </c:pt>
                <c:pt idx="426">
                  <c:v>34881</c:v>
                </c:pt>
                <c:pt idx="427">
                  <c:v>34912</c:v>
                </c:pt>
                <c:pt idx="428">
                  <c:v>34943</c:v>
                </c:pt>
                <c:pt idx="429">
                  <c:v>34973</c:v>
                </c:pt>
                <c:pt idx="430">
                  <c:v>35004</c:v>
                </c:pt>
                <c:pt idx="431">
                  <c:v>35034</c:v>
                </c:pt>
                <c:pt idx="432">
                  <c:v>35065</c:v>
                </c:pt>
                <c:pt idx="433">
                  <c:v>35096</c:v>
                </c:pt>
                <c:pt idx="434">
                  <c:v>35125</c:v>
                </c:pt>
                <c:pt idx="435">
                  <c:v>35156</c:v>
                </c:pt>
                <c:pt idx="436">
                  <c:v>35186</c:v>
                </c:pt>
                <c:pt idx="437">
                  <c:v>35217</c:v>
                </c:pt>
                <c:pt idx="438">
                  <c:v>35247</c:v>
                </c:pt>
                <c:pt idx="439">
                  <c:v>35278</c:v>
                </c:pt>
                <c:pt idx="440">
                  <c:v>35309</c:v>
                </c:pt>
                <c:pt idx="441">
                  <c:v>35339</c:v>
                </c:pt>
                <c:pt idx="442">
                  <c:v>35370</c:v>
                </c:pt>
                <c:pt idx="443">
                  <c:v>35400</c:v>
                </c:pt>
                <c:pt idx="444">
                  <c:v>35431</c:v>
                </c:pt>
                <c:pt idx="445">
                  <c:v>35462</c:v>
                </c:pt>
                <c:pt idx="446">
                  <c:v>35490</c:v>
                </c:pt>
                <c:pt idx="447">
                  <c:v>35521</c:v>
                </c:pt>
                <c:pt idx="448">
                  <c:v>35551</c:v>
                </c:pt>
                <c:pt idx="449">
                  <c:v>35582</c:v>
                </c:pt>
                <c:pt idx="450">
                  <c:v>35612</c:v>
                </c:pt>
                <c:pt idx="451">
                  <c:v>35643</c:v>
                </c:pt>
                <c:pt idx="452">
                  <c:v>35674</c:v>
                </c:pt>
                <c:pt idx="453">
                  <c:v>35704</c:v>
                </c:pt>
                <c:pt idx="454">
                  <c:v>35735</c:v>
                </c:pt>
                <c:pt idx="455">
                  <c:v>35765</c:v>
                </c:pt>
                <c:pt idx="456">
                  <c:v>35796</c:v>
                </c:pt>
                <c:pt idx="457">
                  <c:v>35827</c:v>
                </c:pt>
                <c:pt idx="458">
                  <c:v>35855</c:v>
                </c:pt>
                <c:pt idx="459">
                  <c:v>35886</c:v>
                </c:pt>
                <c:pt idx="460">
                  <c:v>35916</c:v>
                </c:pt>
                <c:pt idx="461">
                  <c:v>35947</c:v>
                </c:pt>
                <c:pt idx="462">
                  <c:v>35977</c:v>
                </c:pt>
                <c:pt idx="463">
                  <c:v>36008</c:v>
                </c:pt>
                <c:pt idx="464">
                  <c:v>36039</c:v>
                </c:pt>
                <c:pt idx="465">
                  <c:v>36069</c:v>
                </c:pt>
                <c:pt idx="466">
                  <c:v>36100</c:v>
                </c:pt>
                <c:pt idx="467">
                  <c:v>36130</c:v>
                </c:pt>
                <c:pt idx="468">
                  <c:v>36161</c:v>
                </c:pt>
                <c:pt idx="469">
                  <c:v>36192</c:v>
                </c:pt>
                <c:pt idx="470">
                  <c:v>36220</c:v>
                </c:pt>
                <c:pt idx="471">
                  <c:v>36251</c:v>
                </c:pt>
                <c:pt idx="472">
                  <c:v>36281</c:v>
                </c:pt>
                <c:pt idx="473">
                  <c:v>36312</c:v>
                </c:pt>
                <c:pt idx="474">
                  <c:v>36342</c:v>
                </c:pt>
                <c:pt idx="475">
                  <c:v>36373</c:v>
                </c:pt>
                <c:pt idx="476">
                  <c:v>36404</c:v>
                </c:pt>
                <c:pt idx="477">
                  <c:v>36434</c:v>
                </c:pt>
                <c:pt idx="478">
                  <c:v>36465</c:v>
                </c:pt>
                <c:pt idx="479">
                  <c:v>36495</c:v>
                </c:pt>
                <c:pt idx="480">
                  <c:v>36526</c:v>
                </c:pt>
                <c:pt idx="481">
                  <c:v>36557</c:v>
                </c:pt>
                <c:pt idx="482">
                  <c:v>36586</c:v>
                </c:pt>
                <c:pt idx="483">
                  <c:v>36617</c:v>
                </c:pt>
                <c:pt idx="484">
                  <c:v>36647</c:v>
                </c:pt>
                <c:pt idx="485">
                  <c:v>36678</c:v>
                </c:pt>
                <c:pt idx="486">
                  <c:v>36708</c:v>
                </c:pt>
                <c:pt idx="487">
                  <c:v>36739</c:v>
                </c:pt>
                <c:pt idx="488">
                  <c:v>36770</c:v>
                </c:pt>
                <c:pt idx="489">
                  <c:v>36800</c:v>
                </c:pt>
                <c:pt idx="490">
                  <c:v>36831</c:v>
                </c:pt>
                <c:pt idx="491">
                  <c:v>36861</c:v>
                </c:pt>
                <c:pt idx="492">
                  <c:v>36892</c:v>
                </c:pt>
                <c:pt idx="493">
                  <c:v>36923</c:v>
                </c:pt>
                <c:pt idx="494">
                  <c:v>36951</c:v>
                </c:pt>
                <c:pt idx="495">
                  <c:v>36982</c:v>
                </c:pt>
                <c:pt idx="496">
                  <c:v>37012</c:v>
                </c:pt>
                <c:pt idx="497">
                  <c:v>37043</c:v>
                </c:pt>
                <c:pt idx="498">
                  <c:v>37073</c:v>
                </c:pt>
                <c:pt idx="499">
                  <c:v>37104</c:v>
                </c:pt>
                <c:pt idx="500">
                  <c:v>37135</c:v>
                </c:pt>
                <c:pt idx="501">
                  <c:v>37165</c:v>
                </c:pt>
                <c:pt idx="502">
                  <c:v>37196</c:v>
                </c:pt>
                <c:pt idx="503">
                  <c:v>37226</c:v>
                </c:pt>
                <c:pt idx="504">
                  <c:v>37257</c:v>
                </c:pt>
                <c:pt idx="505">
                  <c:v>37288</c:v>
                </c:pt>
                <c:pt idx="506">
                  <c:v>37316</c:v>
                </c:pt>
                <c:pt idx="507">
                  <c:v>37347</c:v>
                </c:pt>
                <c:pt idx="508">
                  <c:v>37377</c:v>
                </c:pt>
                <c:pt idx="509">
                  <c:v>37408</c:v>
                </c:pt>
                <c:pt idx="510">
                  <c:v>37438</c:v>
                </c:pt>
                <c:pt idx="511">
                  <c:v>37469</c:v>
                </c:pt>
                <c:pt idx="512">
                  <c:v>37500</c:v>
                </c:pt>
                <c:pt idx="513">
                  <c:v>37530</c:v>
                </c:pt>
                <c:pt idx="514">
                  <c:v>37561</c:v>
                </c:pt>
                <c:pt idx="515">
                  <c:v>37591</c:v>
                </c:pt>
                <c:pt idx="516">
                  <c:v>37622</c:v>
                </c:pt>
                <c:pt idx="517">
                  <c:v>37653</c:v>
                </c:pt>
                <c:pt idx="518">
                  <c:v>37681</c:v>
                </c:pt>
                <c:pt idx="519">
                  <c:v>37712</c:v>
                </c:pt>
                <c:pt idx="520">
                  <c:v>37742</c:v>
                </c:pt>
                <c:pt idx="521">
                  <c:v>37773</c:v>
                </c:pt>
                <c:pt idx="522">
                  <c:v>37803</c:v>
                </c:pt>
                <c:pt idx="523">
                  <c:v>37834</c:v>
                </c:pt>
                <c:pt idx="524">
                  <c:v>37865</c:v>
                </c:pt>
                <c:pt idx="525">
                  <c:v>37895</c:v>
                </c:pt>
                <c:pt idx="526">
                  <c:v>37926</c:v>
                </c:pt>
                <c:pt idx="527">
                  <c:v>37956</c:v>
                </c:pt>
                <c:pt idx="528">
                  <c:v>37987</c:v>
                </c:pt>
                <c:pt idx="529">
                  <c:v>38018</c:v>
                </c:pt>
                <c:pt idx="530">
                  <c:v>38047</c:v>
                </c:pt>
                <c:pt idx="531">
                  <c:v>38078</c:v>
                </c:pt>
                <c:pt idx="532">
                  <c:v>38108</c:v>
                </c:pt>
                <c:pt idx="533">
                  <c:v>38139</c:v>
                </c:pt>
                <c:pt idx="534">
                  <c:v>38169</c:v>
                </c:pt>
                <c:pt idx="535">
                  <c:v>38200</c:v>
                </c:pt>
                <c:pt idx="536">
                  <c:v>38231</c:v>
                </c:pt>
                <c:pt idx="537">
                  <c:v>38261</c:v>
                </c:pt>
                <c:pt idx="538">
                  <c:v>38292</c:v>
                </c:pt>
                <c:pt idx="539">
                  <c:v>38322</c:v>
                </c:pt>
                <c:pt idx="540">
                  <c:v>38353</c:v>
                </c:pt>
                <c:pt idx="541">
                  <c:v>38384</c:v>
                </c:pt>
                <c:pt idx="542">
                  <c:v>38412</c:v>
                </c:pt>
                <c:pt idx="543">
                  <c:v>38443</c:v>
                </c:pt>
                <c:pt idx="544">
                  <c:v>38473</c:v>
                </c:pt>
                <c:pt idx="545">
                  <c:v>38504</c:v>
                </c:pt>
                <c:pt idx="546">
                  <c:v>38534</c:v>
                </c:pt>
                <c:pt idx="547">
                  <c:v>38565</c:v>
                </c:pt>
                <c:pt idx="548">
                  <c:v>38596</c:v>
                </c:pt>
                <c:pt idx="549">
                  <c:v>38626</c:v>
                </c:pt>
                <c:pt idx="550">
                  <c:v>38657</c:v>
                </c:pt>
                <c:pt idx="551">
                  <c:v>38687</c:v>
                </c:pt>
                <c:pt idx="552">
                  <c:v>38718</c:v>
                </c:pt>
                <c:pt idx="553">
                  <c:v>38749</c:v>
                </c:pt>
                <c:pt idx="554">
                  <c:v>38777</c:v>
                </c:pt>
                <c:pt idx="555">
                  <c:v>38808</c:v>
                </c:pt>
                <c:pt idx="556">
                  <c:v>38838</c:v>
                </c:pt>
                <c:pt idx="557">
                  <c:v>38869</c:v>
                </c:pt>
                <c:pt idx="558">
                  <c:v>38899</c:v>
                </c:pt>
                <c:pt idx="559">
                  <c:v>38930</c:v>
                </c:pt>
                <c:pt idx="560">
                  <c:v>38961</c:v>
                </c:pt>
                <c:pt idx="561">
                  <c:v>38991</c:v>
                </c:pt>
                <c:pt idx="562">
                  <c:v>39022</c:v>
                </c:pt>
                <c:pt idx="563">
                  <c:v>39052</c:v>
                </c:pt>
                <c:pt idx="564">
                  <c:v>39083</c:v>
                </c:pt>
                <c:pt idx="565">
                  <c:v>39114</c:v>
                </c:pt>
                <c:pt idx="566">
                  <c:v>39142</c:v>
                </c:pt>
                <c:pt idx="567">
                  <c:v>39173</c:v>
                </c:pt>
                <c:pt idx="568">
                  <c:v>39203</c:v>
                </c:pt>
                <c:pt idx="569">
                  <c:v>39234</c:v>
                </c:pt>
                <c:pt idx="570">
                  <c:v>39264</c:v>
                </c:pt>
                <c:pt idx="571">
                  <c:v>39295</c:v>
                </c:pt>
                <c:pt idx="572">
                  <c:v>39326</c:v>
                </c:pt>
                <c:pt idx="573">
                  <c:v>39356</c:v>
                </c:pt>
                <c:pt idx="574">
                  <c:v>39387</c:v>
                </c:pt>
                <c:pt idx="575">
                  <c:v>39417</c:v>
                </c:pt>
                <c:pt idx="576">
                  <c:v>39448</c:v>
                </c:pt>
                <c:pt idx="577">
                  <c:v>39479</c:v>
                </c:pt>
                <c:pt idx="578">
                  <c:v>39508</c:v>
                </c:pt>
                <c:pt idx="579">
                  <c:v>39539</c:v>
                </c:pt>
                <c:pt idx="580">
                  <c:v>39569</c:v>
                </c:pt>
                <c:pt idx="581">
                  <c:v>39600</c:v>
                </c:pt>
                <c:pt idx="582">
                  <c:v>39630</c:v>
                </c:pt>
                <c:pt idx="583">
                  <c:v>39661</c:v>
                </c:pt>
                <c:pt idx="584">
                  <c:v>39692</c:v>
                </c:pt>
                <c:pt idx="585">
                  <c:v>39722</c:v>
                </c:pt>
                <c:pt idx="586">
                  <c:v>39753</c:v>
                </c:pt>
                <c:pt idx="587">
                  <c:v>39783</c:v>
                </c:pt>
                <c:pt idx="588">
                  <c:v>39814</c:v>
                </c:pt>
                <c:pt idx="589">
                  <c:v>39845</c:v>
                </c:pt>
                <c:pt idx="590">
                  <c:v>39873</c:v>
                </c:pt>
                <c:pt idx="591">
                  <c:v>39904</c:v>
                </c:pt>
                <c:pt idx="592">
                  <c:v>39934</c:v>
                </c:pt>
                <c:pt idx="593">
                  <c:v>39965</c:v>
                </c:pt>
                <c:pt idx="594">
                  <c:v>39995</c:v>
                </c:pt>
                <c:pt idx="595">
                  <c:v>40026</c:v>
                </c:pt>
                <c:pt idx="596">
                  <c:v>40057</c:v>
                </c:pt>
                <c:pt idx="597">
                  <c:v>40087</c:v>
                </c:pt>
                <c:pt idx="598">
                  <c:v>40118</c:v>
                </c:pt>
                <c:pt idx="599">
                  <c:v>40148</c:v>
                </c:pt>
                <c:pt idx="600">
                  <c:v>40179</c:v>
                </c:pt>
                <c:pt idx="601">
                  <c:v>40210</c:v>
                </c:pt>
                <c:pt idx="602">
                  <c:v>40238</c:v>
                </c:pt>
                <c:pt idx="603">
                  <c:v>40269</c:v>
                </c:pt>
                <c:pt idx="604">
                  <c:v>40299</c:v>
                </c:pt>
                <c:pt idx="605">
                  <c:v>40330</c:v>
                </c:pt>
                <c:pt idx="606">
                  <c:v>40360</c:v>
                </c:pt>
                <c:pt idx="607">
                  <c:v>40391</c:v>
                </c:pt>
                <c:pt idx="608">
                  <c:v>40422</c:v>
                </c:pt>
                <c:pt idx="609">
                  <c:v>40452</c:v>
                </c:pt>
                <c:pt idx="610">
                  <c:v>40483</c:v>
                </c:pt>
                <c:pt idx="611">
                  <c:v>40513</c:v>
                </c:pt>
                <c:pt idx="612">
                  <c:v>40544</c:v>
                </c:pt>
                <c:pt idx="613">
                  <c:v>40575</c:v>
                </c:pt>
                <c:pt idx="614">
                  <c:v>40603</c:v>
                </c:pt>
                <c:pt idx="615">
                  <c:v>40634</c:v>
                </c:pt>
                <c:pt idx="616">
                  <c:v>40664</c:v>
                </c:pt>
                <c:pt idx="617">
                  <c:v>40695</c:v>
                </c:pt>
                <c:pt idx="618">
                  <c:v>40725</c:v>
                </c:pt>
                <c:pt idx="619">
                  <c:v>40756</c:v>
                </c:pt>
                <c:pt idx="620">
                  <c:v>40787</c:v>
                </c:pt>
                <c:pt idx="621">
                  <c:v>40817</c:v>
                </c:pt>
                <c:pt idx="622">
                  <c:v>40848</c:v>
                </c:pt>
                <c:pt idx="623">
                  <c:v>40878</c:v>
                </c:pt>
                <c:pt idx="624">
                  <c:v>40909</c:v>
                </c:pt>
                <c:pt idx="625">
                  <c:v>40940</c:v>
                </c:pt>
                <c:pt idx="626">
                  <c:v>40969</c:v>
                </c:pt>
                <c:pt idx="627">
                  <c:v>41000</c:v>
                </c:pt>
                <c:pt idx="628">
                  <c:v>41030</c:v>
                </c:pt>
                <c:pt idx="629">
                  <c:v>41061</c:v>
                </c:pt>
                <c:pt idx="630">
                  <c:v>41091</c:v>
                </c:pt>
                <c:pt idx="631">
                  <c:v>41122</c:v>
                </c:pt>
                <c:pt idx="632">
                  <c:v>41153</c:v>
                </c:pt>
                <c:pt idx="633">
                  <c:v>41183</c:v>
                </c:pt>
                <c:pt idx="634">
                  <c:v>41214</c:v>
                </c:pt>
                <c:pt idx="635">
                  <c:v>41244</c:v>
                </c:pt>
                <c:pt idx="636">
                  <c:v>41275</c:v>
                </c:pt>
                <c:pt idx="637">
                  <c:v>41306</c:v>
                </c:pt>
                <c:pt idx="638">
                  <c:v>41334</c:v>
                </c:pt>
                <c:pt idx="639">
                  <c:v>41365</c:v>
                </c:pt>
                <c:pt idx="640">
                  <c:v>41395</c:v>
                </c:pt>
                <c:pt idx="641">
                  <c:v>41426</c:v>
                </c:pt>
                <c:pt idx="642">
                  <c:v>41456</c:v>
                </c:pt>
                <c:pt idx="643">
                  <c:v>41487</c:v>
                </c:pt>
                <c:pt idx="644">
                  <c:v>41518</c:v>
                </c:pt>
                <c:pt idx="645">
                  <c:v>41548</c:v>
                </c:pt>
                <c:pt idx="646">
                  <c:v>41579</c:v>
                </c:pt>
                <c:pt idx="647">
                  <c:v>41609</c:v>
                </c:pt>
                <c:pt idx="648">
                  <c:v>41640</c:v>
                </c:pt>
                <c:pt idx="649">
                  <c:v>41671</c:v>
                </c:pt>
                <c:pt idx="650">
                  <c:v>41699</c:v>
                </c:pt>
                <c:pt idx="651">
                  <c:v>41730</c:v>
                </c:pt>
                <c:pt idx="652">
                  <c:v>41760</c:v>
                </c:pt>
                <c:pt idx="653">
                  <c:v>41791</c:v>
                </c:pt>
                <c:pt idx="654">
                  <c:v>41821</c:v>
                </c:pt>
                <c:pt idx="655">
                  <c:v>41852</c:v>
                </c:pt>
                <c:pt idx="656">
                  <c:v>41883</c:v>
                </c:pt>
                <c:pt idx="657">
                  <c:v>41913</c:v>
                </c:pt>
                <c:pt idx="658">
                  <c:v>41944</c:v>
                </c:pt>
                <c:pt idx="659">
                  <c:v>41974</c:v>
                </c:pt>
                <c:pt idx="660">
                  <c:v>42005</c:v>
                </c:pt>
                <c:pt idx="661">
                  <c:v>42036</c:v>
                </c:pt>
                <c:pt idx="662">
                  <c:v>42064</c:v>
                </c:pt>
                <c:pt idx="663">
                  <c:v>42095</c:v>
                </c:pt>
                <c:pt idx="664">
                  <c:v>42125</c:v>
                </c:pt>
                <c:pt idx="665">
                  <c:v>42156</c:v>
                </c:pt>
                <c:pt idx="666">
                  <c:v>42186</c:v>
                </c:pt>
                <c:pt idx="667">
                  <c:v>42217</c:v>
                </c:pt>
                <c:pt idx="668">
                  <c:v>42248</c:v>
                </c:pt>
                <c:pt idx="669">
                  <c:v>42278</c:v>
                </c:pt>
                <c:pt idx="670">
                  <c:v>42309</c:v>
                </c:pt>
                <c:pt idx="671">
                  <c:v>42339</c:v>
                </c:pt>
                <c:pt idx="672">
                  <c:v>42370</c:v>
                </c:pt>
                <c:pt idx="673">
                  <c:v>42401</c:v>
                </c:pt>
                <c:pt idx="674">
                  <c:v>42430</c:v>
                </c:pt>
                <c:pt idx="675">
                  <c:v>42461</c:v>
                </c:pt>
                <c:pt idx="676">
                  <c:v>42491</c:v>
                </c:pt>
                <c:pt idx="677">
                  <c:v>42522</c:v>
                </c:pt>
                <c:pt idx="678">
                  <c:v>42552</c:v>
                </c:pt>
                <c:pt idx="679">
                  <c:v>42583</c:v>
                </c:pt>
                <c:pt idx="680">
                  <c:v>42614</c:v>
                </c:pt>
                <c:pt idx="681">
                  <c:v>42644</c:v>
                </c:pt>
                <c:pt idx="682">
                  <c:v>42675</c:v>
                </c:pt>
                <c:pt idx="683">
                  <c:v>42705</c:v>
                </c:pt>
                <c:pt idx="684">
                  <c:v>42736</c:v>
                </c:pt>
                <c:pt idx="685">
                  <c:v>42767</c:v>
                </c:pt>
                <c:pt idx="686">
                  <c:v>42795</c:v>
                </c:pt>
                <c:pt idx="687">
                  <c:v>42826</c:v>
                </c:pt>
                <c:pt idx="688">
                  <c:v>42856</c:v>
                </c:pt>
                <c:pt idx="689">
                  <c:v>42887</c:v>
                </c:pt>
                <c:pt idx="690">
                  <c:v>42917</c:v>
                </c:pt>
                <c:pt idx="691">
                  <c:v>42948</c:v>
                </c:pt>
                <c:pt idx="692">
                  <c:v>42979</c:v>
                </c:pt>
                <c:pt idx="693">
                  <c:v>43009</c:v>
                </c:pt>
                <c:pt idx="694">
                  <c:v>43040</c:v>
                </c:pt>
                <c:pt idx="695">
                  <c:v>43070</c:v>
                </c:pt>
                <c:pt idx="696">
                  <c:v>43101</c:v>
                </c:pt>
                <c:pt idx="697">
                  <c:v>43132</c:v>
                </c:pt>
                <c:pt idx="698">
                  <c:v>43160</c:v>
                </c:pt>
                <c:pt idx="699">
                  <c:v>43191</c:v>
                </c:pt>
                <c:pt idx="700">
                  <c:v>43221</c:v>
                </c:pt>
                <c:pt idx="701">
                  <c:v>43252</c:v>
                </c:pt>
                <c:pt idx="702">
                  <c:v>43282</c:v>
                </c:pt>
                <c:pt idx="703">
                  <c:v>43313</c:v>
                </c:pt>
                <c:pt idx="704">
                  <c:v>43344</c:v>
                </c:pt>
                <c:pt idx="705">
                  <c:v>43374</c:v>
                </c:pt>
                <c:pt idx="706">
                  <c:v>43405</c:v>
                </c:pt>
                <c:pt idx="707">
                  <c:v>43435</c:v>
                </c:pt>
                <c:pt idx="708">
                  <c:v>43466</c:v>
                </c:pt>
                <c:pt idx="709">
                  <c:v>43497</c:v>
                </c:pt>
                <c:pt idx="710">
                  <c:v>43525</c:v>
                </c:pt>
                <c:pt idx="711">
                  <c:v>43556</c:v>
                </c:pt>
                <c:pt idx="712">
                  <c:v>43586</c:v>
                </c:pt>
                <c:pt idx="713">
                  <c:v>43617</c:v>
                </c:pt>
                <c:pt idx="714">
                  <c:v>43647</c:v>
                </c:pt>
                <c:pt idx="715">
                  <c:v>43678</c:v>
                </c:pt>
                <c:pt idx="716">
                  <c:v>43709</c:v>
                </c:pt>
                <c:pt idx="717">
                  <c:v>43739</c:v>
                </c:pt>
                <c:pt idx="718">
                  <c:v>43770</c:v>
                </c:pt>
                <c:pt idx="719">
                  <c:v>43800</c:v>
                </c:pt>
                <c:pt idx="720">
                  <c:v>43831</c:v>
                </c:pt>
                <c:pt idx="721">
                  <c:v>43862</c:v>
                </c:pt>
                <c:pt idx="722">
                  <c:v>43891</c:v>
                </c:pt>
                <c:pt idx="723">
                  <c:v>43922</c:v>
                </c:pt>
                <c:pt idx="724">
                  <c:v>43952</c:v>
                </c:pt>
                <c:pt idx="725">
                  <c:v>43983</c:v>
                </c:pt>
                <c:pt idx="726">
                  <c:v>44013</c:v>
                </c:pt>
                <c:pt idx="727">
                  <c:v>44044</c:v>
                </c:pt>
                <c:pt idx="728">
                  <c:v>44075</c:v>
                </c:pt>
                <c:pt idx="729">
                  <c:v>44105</c:v>
                </c:pt>
                <c:pt idx="730">
                  <c:v>44136</c:v>
                </c:pt>
                <c:pt idx="731">
                  <c:v>44166</c:v>
                </c:pt>
                <c:pt idx="732">
                  <c:v>44197</c:v>
                </c:pt>
                <c:pt idx="733">
                  <c:v>44228</c:v>
                </c:pt>
                <c:pt idx="734">
                  <c:v>44256</c:v>
                </c:pt>
                <c:pt idx="735">
                  <c:v>44287</c:v>
                </c:pt>
                <c:pt idx="736">
                  <c:v>44317</c:v>
                </c:pt>
                <c:pt idx="737">
                  <c:v>44348</c:v>
                </c:pt>
                <c:pt idx="738">
                  <c:v>44378</c:v>
                </c:pt>
                <c:pt idx="739">
                  <c:v>44409</c:v>
                </c:pt>
                <c:pt idx="740">
                  <c:v>44440</c:v>
                </c:pt>
                <c:pt idx="741">
                  <c:v>44470</c:v>
                </c:pt>
                <c:pt idx="742">
                  <c:v>44501</c:v>
                </c:pt>
                <c:pt idx="743">
                  <c:v>44531</c:v>
                </c:pt>
              </c:numCache>
            </c:numRef>
          </c:cat>
          <c:val>
            <c:numRef>
              <c:f>'Building Permits - Authorized'!$B$7:$B$750</c:f>
              <c:numCache>
                <c:formatCode>General</c:formatCode>
                <c:ptCount val="744"/>
                <c:pt idx="0">
                  <c:v>1092</c:v>
                </c:pt>
                <c:pt idx="1">
                  <c:v>1088</c:v>
                </c:pt>
                <c:pt idx="2">
                  <c:v>955</c:v>
                </c:pt>
                <c:pt idx="3">
                  <c:v>1016</c:v>
                </c:pt>
                <c:pt idx="4">
                  <c:v>1052</c:v>
                </c:pt>
                <c:pt idx="5">
                  <c:v>958</c:v>
                </c:pt>
                <c:pt idx="6">
                  <c:v>999</c:v>
                </c:pt>
                <c:pt idx="7">
                  <c:v>994</c:v>
                </c:pt>
                <c:pt idx="8">
                  <c:v>984</c:v>
                </c:pt>
                <c:pt idx="9">
                  <c:v>972</c:v>
                </c:pt>
                <c:pt idx="10">
                  <c:v>979</c:v>
                </c:pt>
                <c:pt idx="11">
                  <c:v>951</c:v>
                </c:pt>
                <c:pt idx="12">
                  <c:v>969</c:v>
                </c:pt>
                <c:pt idx="13">
                  <c:v>961</c:v>
                </c:pt>
                <c:pt idx="14">
                  <c:v>1000</c:v>
                </c:pt>
                <c:pt idx="15">
                  <c:v>1002</c:v>
                </c:pt>
                <c:pt idx="16">
                  <c:v>1027</c:v>
                </c:pt>
                <c:pt idx="17">
                  <c:v>1070</c:v>
                </c:pt>
                <c:pt idx="18">
                  <c:v>1083</c:v>
                </c:pt>
                <c:pt idx="19">
                  <c:v>1159</c:v>
                </c:pt>
                <c:pt idx="20">
                  <c:v>1098</c:v>
                </c:pt>
                <c:pt idx="21">
                  <c:v>1123</c:v>
                </c:pt>
                <c:pt idx="22">
                  <c:v>1152</c:v>
                </c:pt>
                <c:pt idx="23">
                  <c:v>1161</c:v>
                </c:pt>
                <c:pt idx="24">
                  <c:v>1122</c:v>
                </c:pt>
                <c:pt idx="25">
                  <c:v>1194</c:v>
                </c:pt>
                <c:pt idx="26">
                  <c:v>1134</c:v>
                </c:pt>
                <c:pt idx="27">
                  <c:v>1235</c:v>
                </c:pt>
                <c:pt idx="28">
                  <c:v>1142</c:v>
                </c:pt>
                <c:pt idx="29">
                  <c:v>1154</c:v>
                </c:pt>
                <c:pt idx="30">
                  <c:v>1189</c:v>
                </c:pt>
                <c:pt idx="31">
                  <c:v>1200</c:v>
                </c:pt>
                <c:pt idx="32">
                  <c:v>1223</c:v>
                </c:pt>
                <c:pt idx="33">
                  <c:v>1181</c:v>
                </c:pt>
                <c:pt idx="34">
                  <c:v>1236</c:v>
                </c:pt>
                <c:pt idx="35">
                  <c:v>1236</c:v>
                </c:pt>
                <c:pt idx="36">
                  <c:v>1248</c:v>
                </c:pt>
                <c:pt idx="37">
                  <c:v>1212</c:v>
                </c:pt>
                <c:pt idx="38">
                  <c:v>1258</c:v>
                </c:pt>
                <c:pt idx="39">
                  <c:v>1288</c:v>
                </c:pt>
                <c:pt idx="40">
                  <c:v>1350</c:v>
                </c:pt>
                <c:pt idx="41">
                  <c:v>1345</c:v>
                </c:pt>
                <c:pt idx="42">
                  <c:v>1321</c:v>
                </c:pt>
                <c:pt idx="43">
                  <c:v>1310</c:v>
                </c:pt>
                <c:pt idx="44">
                  <c:v>1413</c:v>
                </c:pt>
                <c:pt idx="45">
                  <c:v>1414</c:v>
                </c:pt>
                <c:pt idx="46">
                  <c:v>1357</c:v>
                </c:pt>
                <c:pt idx="47">
                  <c:v>1423</c:v>
                </c:pt>
                <c:pt idx="48">
                  <c:v>1296</c:v>
                </c:pt>
                <c:pt idx="49">
                  <c:v>1442</c:v>
                </c:pt>
                <c:pt idx="50">
                  <c:v>1313</c:v>
                </c:pt>
                <c:pt idx="51">
                  <c:v>1264</c:v>
                </c:pt>
                <c:pt idx="52">
                  <c:v>1299</c:v>
                </c:pt>
                <c:pt idx="53">
                  <c:v>1280</c:v>
                </c:pt>
                <c:pt idx="54">
                  <c:v>1304</c:v>
                </c:pt>
                <c:pt idx="55">
                  <c:v>1306</c:v>
                </c:pt>
                <c:pt idx="56">
                  <c:v>1265</c:v>
                </c:pt>
                <c:pt idx="57">
                  <c:v>1230</c:v>
                </c:pt>
                <c:pt idx="58">
                  <c:v>1254</c:v>
                </c:pt>
                <c:pt idx="59">
                  <c:v>1164</c:v>
                </c:pt>
                <c:pt idx="60">
                  <c:v>1264</c:v>
                </c:pt>
                <c:pt idx="61">
                  <c:v>1185</c:v>
                </c:pt>
                <c:pt idx="62">
                  <c:v>1211</c:v>
                </c:pt>
                <c:pt idx="63">
                  <c:v>1162</c:v>
                </c:pt>
                <c:pt idx="64">
                  <c:v>1207</c:v>
                </c:pt>
                <c:pt idx="65">
                  <c:v>1241</c:v>
                </c:pt>
                <c:pt idx="66">
                  <c:v>1237</c:v>
                </c:pt>
                <c:pt idx="67">
                  <c:v>1249</c:v>
                </c:pt>
                <c:pt idx="68">
                  <c:v>1227</c:v>
                </c:pt>
                <c:pt idx="69">
                  <c:v>1279</c:v>
                </c:pt>
                <c:pt idx="70">
                  <c:v>1306</c:v>
                </c:pt>
                <c:pt idx="71">
                  <c:v>1315</c:v>
                </c:pt>
                <c:pt idx="72">
                  <c:v>1325</c:v>
                </c:pt>
                <c:pt idx="73">
                  <c:v>1159</c:v>
                </c:pt>
                <c:pt idx="74">
                  <c:v>1234</c:v>
                </c:pt>
                <c:pt idx="75">
                  <c:v>1145</c:v>
                </c:pt>
                <c:pt idx="76">
                  <c:v>1078</c:v>
                </c:pt>
                <c:pt idx="77">
                  <c:v>956</c:v>
                </c:pt>
                <c:pt idx="78">
                  <c:v>932</c:v>
                </c:pt>
                <c:pt idx="79">
                  <c:v>877</c:v>
                </c:pt>
                <c:pt idx="80">
                  <c:v>774</c:v>
                </c:pt>
                <c:pt idx="81">
                  <c:v>739</c:v>
                </c:pt>
                <c:pt idx="82">
                  <c:v>736</c:v>
                </c:pt>
                <c:pt idx="83">
                  <c:v>743</c:v>
                </c:pt>
                <c:pt idx="84">
                  <c:v>995</c:v>
                </c:pt>
                <c:pt idx="85">
                  <c:v>907</c:v>
                </c:pt>
                <c:pt idx="86">
                  <c:v>955</c:v>
                </c:pt>
                <c:pt idx="87">
                  <c:v>1035</c:v>
                </c:pt>
                <c:pt idx="88">
                  <c:v>1076</c:v>
                </c:pt>
                <c:pt idx="89">
                  <c:v>1169</c:v>
                </c:pt>
                <c:pt idx="90">
                  <c:v>1177</c:v>
                </c:pt>
                <c:pt idx="91">
                  <c:v>1229</c:v>
                </c:pt>
                <c:pt idx="92">
                  <c:v>1279</c:v>
                </c:pt>
                <c:pt idx="93">
                  <c:v>1280</c:v>
                </c:pt>
                <c:pt idx="94">
                  <c:v>1297</c:v>
                </c:pt>
                <c:pt idx="95">
                  <c:v>1315</c:v>
                </c:pt>
                <c:pt idx="96">
                  <c:v>1179</c:v>
                </c:pt>
                <c:pt idx="97">
                  <c:v>1342</c:v>
                </c:pt>
                <c:pt idx="98">
                  <c:v>1370</c:v>
                </c:pt>
                <c:pt idx="99">
                  <c:v>1286</c:v>
                </c:pt>
                <c:pt idx="100">
                  <c:v>1297</c:v>
                </c:pt>
                <c:pt idx="101">
                  <c:v>1300</c:v>
                </c:pt>
                <c:pt idx="102">
                  <c:v>1344</c:v>
                </c:pt>
                <c:pt idx="103">
                  <c:v>1357</c:v>
                </c:pt>
                <c:pt idx="104">
                  <c:v>1464</c:v>
                </c:pt>
                <c:pt idx="105">
                  <c:v>1421</c:v>
                </c:pt>
                <c:pt idx="106">
                  <c:v>1436</c:v>
                </c:pt>
                <c:pt idx="107">
                  <c:v>1389</c:v>
                </c:pt>
                <c:pt idx="108">
                  <c:v>1459</c:v>
                </c:pt>
                <c:pt idx="109">
                  <c:v>1495</c:v>
                </c:pt>
                <c:pt idx="110">
                  <c:v>1438</c:v>
                </c:pt>
                <c:pt idx="111">
                  <c:v>1441</c:v>
                </c:pt>
                <c:pt idx="112">
                  <c:v>1328</c:v>
                </c:pt>
                <c:pt idx="113">
                  <c:v>1349</c:v>
                </c:pt>
                <c:pt idx="114">
                  <c:v>1278</c:v>
                </c:pt>
                <c:pt idx="115">
                  <c:v>1317</c:v>
                </c:pt>
                <c:pt idx="116">
                  <c:v>1263</c:v>
                </c:pt>
                <c:pt idx="117">
                  <c:v>1216</c:v>
                </c:pt>
                <c:pt idx="118">
                  <c:v>1191</c:v>
                </c:pt>
                <c:pt idx="119">
                  <c:v>1155</c:v>
                </c:pt>
                <c:pt idx="120">
                  <c:v>1062</c:v>
                </c:pt>
                <c:pt idx="121">
                  <c:v>1118</c:v>
                </c:pt>
                <c:pt idx="122">
                  <c:v>1132</c:v>
                </c:pt>
                <c:pt idx="123">
                  <c:v>1224</c:v>
                </c:pt>
                <c:pt idx="124">
                  <c:v>1328</c:v>
                </c:pt>
                <c:pt idx="125">
                  <c:v>1322</c:v>
                </c:pt>
                <c:pt idx="126">
                  <c:v>1324</c:v>
                </c:pt>
                <c:pt idx="127">
                  <c:v>1394</c:v>
                </c:pt>
                <c:pt idx="128">
                  <c:v>1426</c:v>
                </c:pt>
                <c:pt idx="129">
                  <c:v>1564</c:v>
                </c:pt>
                <c:pt idx="130">
                  <c:v>1502</c:v>
                </c:pt>
                <c:pt idx="131">
                  <c:v>1767</c:v>
                </c:pt>
                <c:pt idx="132">
                  <c:v>1643</c:v>
                </c:pt>
                <c:pt idx="133">
                  <c:v>1588</c:v>
                </c:pt>
                <c:pt idx="134">
                  <c:v>1759</c:v>
                </c:pt>
                <c:pt idx="135">
                  <c:v>1745</c:v>
                </c:pt>
                <c:pt idx="136">
                  <c:v>1972</c:v>
                </c:pt>
                <c:pt idx="137">
                  <c:v>1903</c:v>
                </c:pt>
                <c:pt idx="138">
                  <c:v>2069</c:v>
                </c:pt>
                <c:pt idx="139">
                  <c:v>2004</c:v>
                </c:pt>
                <c:pt idx="140">
                  <c:v>1996</c:v>
                </c:pt>
                <c:pt idx="141">
                  <c:v>2026</c:v>
                </c:pt>
                <c:pt idx="142">
                  <c:v>2079</c:v>
                </c:pt>
                <c:pt idx="143">
                  <c:v>2133</c:v>
                </c:pt>
                <c:pt idx="144">
                  <c:v>2238</c:v>
                </c:pt>
                <c:pt idx="145">
                  <c:v>2169</c:v>
                </c:pt>
                <c:pt idx="146">
                  <c:v>2105</c:v>
                </c:pt>
                <c:pt idx="147">
                  <c:v>2139</c:v>
                </c:pt>
                <c:pt idx="148">
                  <c:v>2067</c:v>
                </c:pt>
                <c:pt idx="149">
                  <c:v>2183</c:v>
                </c:pt>
                <c:pt idx="150">
                  <c:v>2195</c:v>
                </c:pt>
                <c:pt idx="151">
                  <c:v>2263</c:v>
                </c:pt>
                <c:pt idx="152">
                  <c:v>2393</c:v>
                </c:pt>
                <c:pt idx="153">
                  <c:v>2354</c:v>
                </c:pt>
                <c:pt idx="154">
                  <c:v>2234</c:v>
                </c:pt>
                <c:pt idx="155">
                  <c:v>2419</c:v>
                </c:pt>
                <c:pt idx="156">
                  <c:v>2271</c:v>
                </c:pt>
                <c:pt idx="157">
                  <c:v>2226</c:v>
                </c:pt>
                <c:pt idx="158">
                  <c:v>2062</c:v>
                </c:pt>
                <c:pt idx="159">
                  <c:v>1908</c:v>
                </c:pt>
                <c:pt idx="160">
                  <c:v>1931</c:v>
                </c:pt>
                <c:pt idx="161">
                  <c:v>2051</c:v>
                </c:pt>
                <c:pt idx="162">
                  <c:v>1819</c:v>
                </c:pt>
                <c:pt idx="163">
                  <c:v>1809</c:v>
                </c:pt>
                <c:pt idx="164">
                  <c:v>1704</c:v>
                </c:pt>
                <c:pt idx="165">
                  <c:v>1411</c:v>
                </c:pt>
                <c:pt idx="166">
                  <c:v>1402</c:v>
                </c:pt>
                <c:pt idx="167">
                  <c:v>1288</c:v>
                </c:pt>
                <c:pt idx="168">
                  <c:v>1331</c:v>
                </c:pt>
                <c:pt idx="169">
                  <c:v>1360</c:v>
                </c:pt>
                <c:pt idx="170">
                  <c:v>1440</c:v>
                </c:pt>
                <c:pt idx="171">
                  <c:v>1254</c:v>
                </c:pt>
                <c:pt idx="172">
                  <c:v>1138</c:v>
                </c:pt>
                <c:pt idx="173">
                  <c:v>1086</c:v>
                </c:pt>
                <c:pt idx="174">
                  <c:v>1002</c:v>
                </c:pt>
                <c:pt idx="175">
                  <c:v>917</c:v>
                </c:pt>
                <c:pt idx="176">
                  <c:v>840</c:v>
                </c:pt>
                <c:pt idx="177">
                  <c:v>824</c:v>
                </c:pt>
                <c:pt idx="178">
                  <c:v>783</c:v>
                </c:pt>
                <c:pt idx="179">
                  <c:v>869</c:v>
                </c:pt>
                <c:pt idx="180">
                  <c:v>726</c:v>
                </c:pt>
                <c:pt idx="181">
                  <c:v>729</c:v>
                </c:pt>
                <c:pt idx="182">
                  <c:v>709</c:v>
                </c:pt>
                <c:pt idx="183">
                  <c:v>866</c:v>
                </c:pt>
                <c:pt idx="184">
                  <c:v>914</c:v>
                </c:pt>
                <c:pt idx="185">
                  <c:v>946</c:v>
                </c:pt>
                <c:pt idx="186">
                  <c:v>1020</c:v>
                </c:pt>
                <c:pt idx="187">
                  <c:v>994</c:v>
                </c:pt>
                <c:pt idx="188">
                  <c:v>1064</c:v>
                </c:pt>
                <c:pt idx="189">
                  <c:v>1096</c:v>
                </c:pt>
                <c:pt idx="190">
                  <c:v>1110</c:v>
                </c:pt>
                <c:pt idx="191">
                  <c:v>1091</c:v>
                </c:pt>
                <c:pt idx="192">
                  <c:v>1195</c:v>
                </c:pt>
                <c:pt idx="193">
                  <c:v>1190</c:v>
                </c:pt>
                <c:pt idx="194">
                  <c:v>1164</c:v>
                </c:pt>
                <c:pt idx="195">
                  <c:v>1132</c:v>
                </c:pt>
                <c:pt idx="196">
                  <c:v>1194</c:v>
                </c:pt>
                <c:pt idx="197">
                  <c:v>1188</c:v>
                </c:pt>
                <c:pt idx="198">
                  <c:v>1245</c:v>
                </c:pt>
                <c:pt idx="199">
                  <c:v>1309</c:v>
                </c:pt>
                <c:pt idx="200">
                  <c:v>1481</c:v>
                </c:pt>
                <c:pt idx="201">
                  <c:v>1425</c:v>
                </c:pt>
                <c:pt idx="202">
                  <c:v>1531</c:v>
                </c:pt>
                <c:pt idx="203">
                  <c:v>1511</c:v>
                </c:pt>
                <c:pt idx="204">
                  <c:v>1466</c:v>
                </c:pt>
                <c:pt idx="205">
                  <c:v>1560</c:v>
                </c:pt>
                <c:pt idx="206">
                  <c:v>1660</c:v>
                </c:pt>
                <c:pt idx="207">
                  <c:v>1660</c:v>
                </c:pt>
                <c:pt idx="208">
                  <c:v>1668</c:v>
                </c:pt>
                <c:pt idx="209">
                  <c:v>1752</c:v>
                </c:pt>
                <c:pt idx="210">
                  <c:v>1687</c:v>
                </c:pt>
                <c:pt idx="211">
                  <c:v>1780</c:v>
                </c:pt>
                <c:pt idx="212">
                  <c:v>1674</c:v>
                </c:pt>
                <c:pt idx="213">
                  <c:v>1758</c:v>
                </c:pt>
                <c:pt idx="214">
                  <c:v>1771</c:v>
                </c:pt>
                <c:pt idx="215">
                  <c:v>1754</c:v>
                </c:pt>
                <c:pt idx="216">
                  <c:v>1740</c:v>
                </c:pt>
                <c:pt idx="217">
                  <c:v>1736</c:v>
                </c:pt>
                <c:pt idx="218">
                  <c:v>1799</c:v>
                </c:pt>
                <c:pt idx="219">
                  <c:v>1948</c:v>
                </c:pt>
                <c:pt idx="220">
                  <c:v>1766</c:v>
                </c:pt>
                <c:pt idx="221">
                  <c:v>1983</c:v>
                </c:pt>
                <c:pt idx="222">
                  <c:v>1786</c:v>
                </c:pt>
                <c:pt idx="223">
                  <c:v>1691</c:v>
                </c:pt>
                <c:pt idx="224">
                  <c:v>1751</c:v>
                </c:pt>
                <c:pt idx="225">
                  <c:v>1781</c:v>
                </c:pt>
                <c:pt idx="226">
                  <c:v>1795</c:v>
                </c:pt>
                <c:pt idx="227">
                  <c:v>1818</c:v>
                </c:pt>
                <c:pt idx="228">
                  <c:v>1461</c:v>
                </c:pt>
                <c:pt idx="229">
                  <c:v>1492</c:v>
                </c:pt>
                <c:pt idx="230">
                  <c:v>1720</c:v>
                </c:pt>
                <c:pt idx="231">
                  <c:v>1597</c:v>
                </c:pt>
                <c:pt idx="232">
                  <c:v>1684</c:v>
                </c:pt>
                <c:pt idx="233">
                  <c:v>1640</c:v>
                </c:pt>
                <c:pt idx="234">
                  <c:v>1534</c:v>
                </c:pt>
                <c:pt idx="235">
                  <c:v>1591</c:v>
                </c:pt>
                <c:pt idx="236">
                  <c:v>1638</c:v>
                </c:pt>
                <c:pt idx="237">
                  <c:v>1481</c:v>
                </c:pt>
                <c:pt idx="238">
                  <c:v>1276</c:v>
                </c:pt>
                <c:pt idx="239">
                  <c:v>1254</c:v>
                </c:pt>
                <c:pt idx="240">
                  <c:v>1280</c:v>
                </c:pt>
                <c:pt idx="241">
                  <c:v>1199</c:v>
                </c:pt>
                <c:pt idx="242">
                  <c:v>988</c:v>
                </c:pt>
                <c:pt idx="243">
                  <c:v>808</c:v>
                </c:pt>
                <c:pt idx="244">
                  <c:v>861</c:v>
                </c:pt>
                <c:pt idx="245">
                  <c:v>1118</c:v>
                </c:pt>
                <c:pt idx="246">
                  <c:v>1259</c:v>
                </c:pt>
                <c:pt idx="247">
                  <c:v>1367</c:v>
                </c:pt>
                <c:pt idx="248">
                  <c:v>1484</c:v>
                </c:pt>
                <c:pt idx="249">
                  <c:v>1366</c:v>
                </c:pt>
                <c:pt idx="250">
                  <c:v>1383</c:v>
                </c:pt>
                <c:pt idx="251">
                  <c:v>1249</c:v>
                </c:pt>
                <c:pt idx="252">
                  <c:v>1221</c:v>
                </c:pt>
                <c:pt idx="253">
                  <c:v>1199</c:v>
                </c:pt>
                <c:pt idx="254">
                  <c:v>1183</c:v>
                </c:pt>
                <c:pt idx="255">
                  <c:v>1190</c:v>
                </c:pt>
                <c:pt idx="256">
                  <c:v>1173</c:v>
                </c:pt>
                <c:pt idx="257">
                  <c:v>976</c:v>
                </c:pt>
                <c:pt idx="258">
                  <c:v>935</c:v>
                </c:pt>
                <c:pt idx="259">
                  <c:v>889</c:v>
                </c:pt>
                <c:pt idx="260">
                  <c:v>847</c:v>
                </c:pt>
                <c:pt idx="261">
                  <c:v>731</c:v>
                </c:pt>
                <c:pt idx="262">
                  <c:v>748</c:v>
                </c:pt>
                <c:pt idx="263">
                  <c:v>796</c:v>
                </c:pt>
                <c:pt idx="264">
                  <c:v>794</c:v>
                </c:pt>
                <c:pt idx="265">
                  <c:v>808</c:v>
                </c:pt>
                <c:pt idx="266">
                  <c:v>891</c:v>
                </c:pt>
                <c:pt idx="267">
                  <c:v>888</c:v>
                </c:pt>
                <c:pt idx="268">
                  <c:v>953</c:v>
                </c:pt>
                <c:pt idx="269">
                  <c:v>913</c:v>
                </c:pt>
                <c:pt idx="270">
                  <c:v>1044</c:v>
                </c:pt>
                <c:pt idx="271">
                  <c:v>926</c:v>
                </c:pt>
                <c:pt idx="272">
                  <c:v>1042</c:v>
                </c:pt>
                <c:pt idx="273">
                  <c:v>1149</c:v>
                </c:pt>
                <c:pt idx="274">
                  <c:v>1229</c:v>
                </c:pt>
                <c:pt idx="275">
                  <c:v>1351</c:v>
                </c:pt>
                <c:pt idx="276">
                  <c:v>1426</c:v>
                </c:pt>
                <c:pt idx="277">
                  <c:v>1471</c:v>
                </c:pt>
                <c:pt idx="278">
                  <c:v>1475</c:v>
                </c:pt>
                <c:pt idx="279">
                  <c:v>1566</c:v>
                </c:pt>
                <c:pt idx="280">
                  <c:v>1669</c:v>
                </c:pt>
                <c:pt idx="281">
                  <c:v>1769</c:v>
                </c:pt>
                <c:pt idx="282">
                  <c:v>1795</c:v>
                </c:pt>
                <c:pt idx="283">
                  <c:v>1713</c:v>
                </c:pt>
                <c:pt idx="284">
                  <c:v>1585</c:v>
                </c:pt>
                <c:pt idx="285">
                  <c:v>1716</c:v>
                </c:pt>
                <c:pt idx="286">
                  <c:v>1668</c:v>
                </c:pt>
                <c:pt idx="287">
                  <c:v>1627</c:v>
                </c:pt>
                <c:pt idx="288">
                  <c:v>1816</c:v>
                </c:pt>
                <c:pt idx="289">
                  <c:v>1987</c:v>
                </c:pt>
                <c:pt idx="290">
                  <c:v>1725</c:v>
                </c:pt>
                <c:pt idx="291">
                  <c:v>1776</c:v>
                </c:pt>
                <c:pt idx="292">
                  <c:v>1741</c:v>
                </c:pt>
                <c:pt idx="293">
                  <c:v>1814</c:v>
                </c:pt>
                <c:pt idx="294">
                  <c:v>1605</c:v>
                </c:pt>
                <c:pt idx="295">
                  <c:v>1530</c:v>
                </c:pt>
                <c:pt idx="296">
                  <c:v>1523</c:v>
                </c:pt>
                <c:pt idx="297">
                  <c:v>1490</c:v>
                </c:pt>
                <c:pt idx="298">
                  <c:v>1643</c:v>
                </c:pt>
                <c:pt idx="299">
                  <c:v>1626</c:v>
                </c:pt>
                <c:pt idx="300">
                  <c:v>1660</c:v>
                </c:pt>
                <c:pt idx="301">
                  <c:v>1662</c:v>
                </c:pt>
                <c:pt idx="302">
                  <c:v>1727</c:v>
                </c:pt>
                <c:pt idx="303">
                  <c:v>1664</c:v>
                </c:pt>
                <c:pt idx="304">
                  <c:v>1709</c:v>
                </c:pt>
                <c:pt idx="305">
                  <c:v>1716</c:v>
                </c:pt>
                <c:pt idx="306">
                  <c:v>1697</c:v>
                </c:pt>
                <c:pt idx="307">
                  <c:v>1808</c:v>
                </c:pt>
                <c:pt idx="308">
                  <c:v>1916</c:v>
                </c:pt>
                <c:pt idx="309">
                  <c:v>1743</c:v>
                </c:pt>
                <c:pt idx="310">
                  <c:v>1692</c:v>
                </c:pt>
                <c:pt idx="311">
                  <c:v>1794</c:v>
                </c:pt>
                <c:pt idx="312">
                  <c:v>1847</c:v>
                </c:pt>
                <c:pt idx="313">
                  <c:v>1767</c:v>
                </c:pt>
                <c:pt idx="314">
                  <c:v>1780</c:v>
                </c:pt>
                <c:pt idx="315">
                  <c:v>1858</c:v>
                </c:pt>
                <c:pt idx="316">
                  <c:v>1797</c:v>
                </c:pt>
                <c:pt idx="317">
                  <c:v>1790</c:v>
                </c:pt>
                <c:pt idx="318">
                  <c:v>1780</c:v>
                </c:pt>
                <c:pt idx="319">
                  <c:v>1726</c:v>
                </c:pt>
                <c:pt idx="320">
                  <c:v>1686</c:v>
                </c:pt>
                <c:pt idx="321">
                  <c:v>1675</c:v>
                </c:pt>
                <c:pt idx="322">
                  <c:v>1644</c:v>
                </c:pt>
                <c:pt idx="323">
                  <c:v>1903</c:v>
                </c:pt>
                <c:pt idx="324">
                  <c:v>1690</c:v>
                </c:pt>
                <c:pt idx="325">
                  <c:v>1689</c:v>
                </c:pt>
                <c:pt idx="326">
                  <c:v>1704</c:v>
                </c:pt>
                <c:pt idx="327">
                  <c:v>1601</c:v>
                </c:pt>
                <c:pt idx="328">
                  <c:v>1500</c:v>
                </c:pt>
                <c:pt idx="329">
                  <c:v>1522</c:v>
                </c:pt>
                <c:pt idx="330">
                  <c:v>1516</c:v>
                </c:pt>
                <c:pt idx="331">
                  <c:v>1511</c:v>
                </c:pt>
                <c:pt idx="332">
                  <c:v>1514</c:v>
                </c:pt>
                <c:pt idx="333">
                  <c:v>1447</c:v>
                </c:pt>
                <c:pt idx="334">
                  <c:v>1457</c:v>
                </c:pt>
                <c:pt idx="335">
                  <c:v>1345</c:v>
                </c:pt>
                <c:pt idx="336">
                  <c:v>1244</c:v>
                </c:pt>
                <c:pt idx="337">
                  <c:v>1438</c:v>
                </c:pt>
                <c:pt idx="338">
                  <c:v>1525</c:v>
                </c:pt>
                <c:pt idx="339">
                  <c:v>1429</c:v>
                </c:pt>
                <c:pt idx="340">
                  <c:v>1444</c:v>
                </c:pt>
                <c:pt idx="341">
                  <c:v>1485</c:v>
                </c:pt>
                <c:pt idx="342">
                  <c:v>1439</c:v>
                </c:pt>
                <c:pt idx="343">
                  <c:v>1460</c:v>
                </c:pt>
                <c:pt idx="344">
                  <c:v>1436</c:v>
                </c:pt>
                <c:pt idx="345">
                  <c:v>1516</c:v>
                </c:pt>
                <c:pt idx="346">
                  <c:v>1508</c:v>
                </c:pt>
                <c:pt idx="347">
                  <c:v>1501</c:v>
                </c:pt>
                <c:pt idx="348">
                  <c:v>1466</c:v>
                </c:pt>
                <c:pt idx="349">
                  <c:v>1383</c:v>
                </c:pt>
                <c:pt idx="350">
                  <c:v>1214</c:v>
                </c:pt>
                <c:pt idx="351">
                  <c:v>1376</c:v>
                </c:pt>
                <c:pt idx="352">
                  <c:v>1381</c:v>
                </c:pt>
                <c:pt idx="353">
                  <c:v>1322</c:v>
                </c:pt>
                <c:pt idx="354">
                  <c:v>1283</c:v>
                </c:pt>
                <c:pt idx="355">
                  <c:v>1334</c:v>
                </c:pt>
                <c:pt idx="356">
                  <c:v>1314</c:v>
                </c:pt>
                <c:pt idx="357">
                  <c:v>1365</c:v>
                </c:pt>
                <c:pt idx="358">
                  <c:v>1344</c:v>
                </c:pt>
                <c:pt idx="359">
                  <c:v>1422</c:v>
                </c:pt>
                <c:pt idx="360">
                  <c:v>1748</c:v>
                </c:pt>
                <c:pt idx="361">
                  <c:v>1329</c:v>
                </c:pt>
                <c:pt idx="362">
                  <c:v>1246</c:v>
                </c:pt>
                <c:pt idx="363">
                  <c:v>1136</c:v>
                </c:pt>
                <c:pt idx="364">
                  <c:v>1067</c:v>
                </c:pt>
                <c:pt idx="365">
                  <c:v>1108</c:v>
                </c:pt>
                <c:pt idx="366">
                  <c:v>1078</c:v>
                </c:pt>
                <c:pt idx="367">
                  <c:v>1069</c:v>
                </c:pt>
                <c:pt idx="368">
                  <c:v>976</c:v>
                </c:pt>
                <c:pt idx="369">
                  <c:v>925</c:v>
                </c:pt>
                <c:pt idx="370">
                  <c:v>941</c:v>
                </c:pt>
                <c:pt idx="371">
                  <c:v>861</c:v>
                </c:pt>
                <c:pt idx="372">
                  <c:v>786</c:v>
                </c:pt>
                <c:pt idx="373">
                  <c:v>853</c:v>
                </c:pt>
                <c:pt idx="374">
                  <c:v>911</c:v>
                </c:pt>
                <c:pt idx="375">
                  <c:v>916</c:v>
                </c:pt>
                <c:pt idx="376">
                  <c:v>991</c:v>
                </c:pt>
                <c:pt idx="377">
                  <c:v>964</c:v>
                </c:pt>
                <c:pt idx="378">
                  <c:v>973</c:v>
                </c:pt>
                <c:pt idx="379">
                  <c:v>944</c:v>
                </c:pt>
                <c:pt idx="380">
                  <c:v>974</c:v>
                </c:pt>
                <c:pt idx="381">
                  <c:v>991</c:v>
                </c:pt>
                <c:pt idx="382">
                  <c:v>984</c:v>
                </c:pt>
                <c:pt idx="383">
                  <c:v>1061</c:v>
                </c:pt>
                <c:pt idx="384">
                  <c:v>1077</c:v>
                </c:pt>
                <c:pt idx="385">
                  <c:v>1146</c:v>
                </c:pt>
                <c:pt idx="386">
                  <c:v>1082</c:v>
                </c:pt>
                <c:pt idx="387">
                  <c:v>1054</c:v>
                </c:pt>
                <c:pt idx="388">
                  <c:v>1056</c:v>
                </c:pt>
                <c:pt idx="389">
                  <c:v>1057</c:v>
                </c:pt>
                <c:pt idx="390">
                  <c:v>1089</c:v>
                </c:pt>
                <c:pt idx="391">
                  <c:v>1075</c:v>
                </c:pt>
                <c:pt idx="392">
                  <c:v>1114</c:v>
                </c:pt>
                <c:pt idx="393">
                  <c:v>1132</c:v>
                </c:pt>
                <c:pt idx="394">
                  <c:v>1118</c:v>
                </c:pt>
                <c:pt idx="395">
                  <c:v>1176</c:v>
                </c:pt>
                <c:pt idx="396">
                  <c:v>1177</c:v>
                </c:pt>
                <c:pt idx="397">
                  <c:v>1148</c:v>
                </c:pt>
                <c:pt idx="398">
                  <c:v>1056</c:v>
                </c:pt>
                <c:pt idx="399">
                  <c:v>1104</c:v>
                </c:pt>
                <c:pt idx="400">
                  <c:v>1112</c:v>
                </c:pt>
                <c:pt idx="401">
                  <c:v>1130</c:v>
                </c:pt>
                <c:pt idx="402">
                  <c:v>1174</c:v>
                </c:pt>
                <c:pt idx="403">
                  <c:v>1230</c:v>
                </c:pt>
                <c:pt idx="404">
                  <c:v>1251</c:v>
                </c:pt>
                <c:pt idx="405">
                  <c:v>1287</c:v>
                </c:pt>
                <c:pt idx="406">
                  <c:v>1357</c:v>
                </c:pt>
                <c:pt idx="407">
                  <c:v>1461</c:v>
                </c:pt>
                <c:pt idx="408">
                  <c:v>1390</c:v>
                </c:pt>
                <c:pt idx="409">
                  <c:v>1269</c:v>
                </c:pt>
                <c:pt idx="410">
                  <c:v>1342</c:v>
                </c:pt>
                <c:pt idx="411">
                  <c:v>1392</c:v>
                </c:pt>
                <c:pt idx="412">
                  <c:v>1396</c:v>
                </c:pt>
                <c:pt idx="413">
                  <c:v>1357</c:v>
                </c:pt>
                <c:pt idx="414">
                  <c:v>1335</c:v>
                </c:pt>
                <c:pt idx="415">
                  <c:v>1377</c:v>
                </c:pt>
                <c:pt idx="416">
                  <c:v>1412</c:v>
                </c:pt>
                <c:pt idx="417">
                  <c:v>1397</c:v>
                </c:pt>
                <c:pt idx="418">
                  <c:v>1340</c:v>
                </c:pt>
                <c:pt idx="419">
                  <c:v>1396</c:v>
                </c:pt>
                <c:pt idx="420">
                  <c:v>1282</c:v>
                </c:pt>
                <c:pt idx="421">
                  <c:v>1254</c:v>
                </c:pt>
                <c:pt idx="422">
                  <c:v>1226</c:v>
                </c:pt>
                <c:pt idx="423">
                  <c:v>1259</c:v>
                </c:pt>
                <c:pt idx="424">
                  <c:v>1271</c:v>
                </c:pt>
                <c:pt idx="425">
                  <c:v>1305</c:v>
                </c:pt>
                <c:pt idx="426">
                  <c:v>1354</c:v>
                </c:pt>
                <c:pt idx="427">
                  <c:v>1386</c:v>
                </c:pt>
                <c:pt idx="428">
                  <c:v>1421</c:v>
                </c:pt>
                <c:pt idx="429">
                  <c:v>1400</c:v>
                </c:pt>
                <c:pt idx="430">
                  <c:v>1430</c:v>
                </c:pt>
                <c:pt idx="431">
                  <c:v>1442</c:v>
                </c:pt>
                <c:pt idx="432">
                  <c:v>1387</c:v>
                </c:pt>
                <c:pt idx="433">
                  <c:v>1420</c:v>
                </c:pt>
                <c:pt idx="434">
                  <c:v>1437</c:v>
                </c:pt>
                <c:pt idx="435">
                  <c:v>1463</c:v>
                </c:pt>
                <c:pt idx="436">
                  <c:v>1457</c:v>
                </c:pt>
                <c:pt idx="437">
                  <c:v>1429</c:v>
                </c:pt>
                <c:pt idx="438">
                  <c:v>1450</c:v>
                </c:pt>
                <c:pt idx="439">
                  <c:v>1413</c:v>
                </c:pt>
                <c:pt idx="440">
                  <c:v>1392</c:v>
                </c:pt>
                <c:pt idx="441">
                  <c:v>1358</c:v>
                </c:pt>
                <c:pt idx="442">
                  <c:v>1412</c:v>
                </c:pt>
                <c:pt idx="443">
                  <c:v>1411</c:v>
                </c:pt>
                <c:pt idx="444">
                  <c:v>1382</c:v>
                </c:pt>
                <c:pt idx="445">
                  <c:v>1445</c:v>
                </c:pt>
                <c:pt idx="446">
                  <c:v>1436</c:v>
                </c:pt>
                <c:pt idx="447">
                  <c:v>1421</c:v>
                </c:pt>
                <c:pt idx="448">
                  <c:v>1414</c:v>
                </c:pt>
                <c:pt idx="449">
                  <c:v>1402</c:v>
                </c:pt>
                <c:pt idx="450">
                  <c:v>1440</c:v>
                </c:pt>
                <c:pt idx="451">
                  <c:v>1449</c:v>
                </c:pt>
                <c:pt idx="452">
                  <c:v>1494</c:v>
                </c:pt>
                <c:pt idx="453">
                  <c:v>1499</c:v>
                </c:pt>
                <c:pt idx="454">
                  <c:v>1469</c:v>
                </c:pt>
                <c:pt idx="455">
                  <c:v>1456</c:v>
                </c:pt>
                <c:pt idx="456">
                  <c:v>1555</c:v>
                </c:pt>
                <c:pt idx="457">
                  <c:v>1647</c:v>
                </c:pt>
                <c:pt idx="458">
                  <c:v>1605</c:v>
                </c:pt>
                <c:pt idx="459">
                  <c:v>1547</c:v>
                </c:pt>
                <c:pt idx="460">
                  <c:v>1554</c:v>
                </c:pt>
                <c:pt idx="461">
                  <c:v>1551</c:v>
                </c:pt>
                <c:pt idx="462">
                  <c:v>1610</c:v>
                </c:pt>
                <c:pt idx="463">
                  <c:v>1654</c:v>
                </c:pt>
                <c:pt idx="464">
                  <c:v>1577</c:v>
                </c:pt>
                <c:pt idx="465">
                  <c:v>1719</c:v>
                </c:pt>
                <c:pt idx="466">
                  <c:v>1672</c:v>
                </c:pt>
                <c:pt idx="467">
                  <c:v>1742</c:v>
                </c:pt>
                <c:pt idx="468">
                  <c:v>1732</c:v>
                </c:pt>
                <c:pt idx="469">
                  <c:v>1720</c:v>
                </c:pt>
                <c:pt idx="470">
                  <c:v>1665</c:v>
                </c:pt>
                <c:pt idx="471">
                  <c:v>1600</c:v>
                </c:pt>
                <c:pt idx="472">
                  <c:v>1640</c:v>
                </c:pt>
                <c:pt idx="473">
                  <c:v>1702</c:v>
                </c:pt>
                <c:pt idx="474">
                  <c:v>1682</c:v>
                </c:pt>
                <c:pt idx="475">
                  <c:v>1671</c:v>
                </c:pt>
                <c:pt idx="476">
                  <c:v>1551</c:v>
                </c:pt>
                <c:pt idx="477">
                  <c:v>1649</c:v>
                </c:pt>
                <c:pt idx="478">
                  <c:v>1672</c:v>
                </c:pt>
                <c:pt idx="479">
                  <c:v>1683</c:v>
                </c:pt>
                <c:pt idx="480">
                  <c:v>1727</c:v>
                </c:pt>
                <c:pt idx="481">
                  <c:v>1692</c:v>
                </c:pt>
                <c:pt idx="482">
                  <c:v>1651</c:v>
                </c:pt>
                <c:pt idx="483">
                  <c:v>1597</c:v>
                </c:pt>
                <c:pt idx="484">
                  <c:v>1543</c:v>
                </c:pt>
                <c:pt idx="485">
                  <c:v>1572</c:v>
                </c:pt>
                <c:pt idx="486">
                  <c:v>1542</c:v>
                </c:pt>
                <c:pt idx="487">
                  <c:v>1552</c:v>
                </c:pt>
                <c:pt idx="488">
                  <c:v>1570</c:v>
                </c:pt>
                <c:pt idx="489">
                  <c:v>1577</c:v>
                </c:pt>
                <c:pt idx="490">
                  <c:v>1614</c:v>
                </c:pt>
                <c:pt idx="491">
                  <c:v>1543</c:v>
                </c:pt>
                <c:pt idx="492">
                  <c:v>1699</c:v>
                </c:pt>
                <c:pt idx="493">
                  <c:v>1656</c:v>
                </c:pt>
                <c:pt idx="494">
                  <c:v>1659</c:v>
                </c:pt>
                <c:pt idx="495">
                  <c:v>1666</c:v>
                </c:pt>
                <c:pt idx="496">
                  <c:v>1665</c:v>
                </c:pt>
                <c:pt idx="497">
                  <c:v>1626</c:v>
                </c:pt>
                <c:pt idx="498">
                  <c:v>1598</c:v>
                </c:pt>
                <c:pt idx="499">
                  <c:v>1615</c:v>
                </c:pt>
                <c:pt idx="500">
                  <c:v>1565</c:v>
                </c:pt>
                <c:pt idx="501">
                  <c:v>1566</c:v>
                </c:pt>
                <c:pt idx="502">
                  <c:v>1651</c:v>
                </c:pt>
                <c:pt idx="503">
                  <c:v>1680</c:v>
                </c:pt>
                <c:pt idx="504">
                  <c:v>1665</c:v>
                </c:pt>
                <c:pt idx="505">
                  <c:v>1787</c:v>
                </c:pt>
                <c:pt idx="506">
                  <c:v>1691</c:v>
                </c:pt>
                <c:pt idx="507">
                  <c:v>1669</c:v>
                </c:pt>
                <c:pt idx="508">
                  <c:v>1716</c:v>
                </c:pt>
                <c:pt idx="509">
                  <c:v>1758</c:v>
                </c:pt>
                <c:pt idx="510">
                  <c:v>1738</c:v>
                </c:pt>
                <c:pt idx="511">
                  <c:v>1695</c:v>
                </c:pt>
                <c:pt idx="512">
                  <c:v>1803</c:v>
                </c:pt>
                <c:pt idx="513">
                  <c:v>1799</c:v>
                </c:pt>
                <c:pt idx="514">
                  <c:v>1771</c:v>
                </c:pt>
                <c:pt idx="515">
                  <c:v>1896</c:v>
                </c:pt>
                <c:pt idx="516">
                  <c:v>1808</c:v>
                </c:pt>
                <c:pt idx="517">
                  <c:v>1854</c:v>
                </c:pt>
                <c:pt idx="518">
                  <c:v>1757</c:v>
                </c:pt>
                <c:pt idx="519">
                  <c:v>1803</c:v>
                </c:pt>
                <c:pt idx="520">
                  <c:v>1835</c:v>
                </c:pt>
                <c:pt idx="521">
                  <c:v>1875</c:v>
                </c:pt>
                <c:pt idx="522">
                  <c:v>1885</c:v>
                </c:pt>
                <c:pt idx="523">
                  <c:v>1966</c:v>
                </c:pt>
                <c:pt idx="524">
                  <c:v>1961</c:v>
                </c:pt>
                <c:pt idx="525">
                  <c:v>2012</c:v>
                </c:pt>
                <c:pt idx="526">
                  <c:v>1918</c:v>
                </c:pt>
                <c:pt idx="527">
                  <c:v>1987</c:v>
                </c:pt>
                <c:pt idx="528">
                  <c:v>1952</c:v>
                </c:pt>
                <c:pt idx="529">
                  <c:v>1966</c:v>
                </c:pt>
                <c:pt idx="530">
                  <c:v>2066</c:v>
                </c:pt>
                <c:pt idx="531">
                  <c:v>2070</c:v>
                </c:pt>
                <c:pt idx="532">
                  <c:v>2150</c:v>
                </c:pt>
                <c:pt idx="533">
                  <c:v>2020</c:v>
                </c:pt>
                <c:pt idx="534">
                  <c:v>2112</c:v>
                </c:pt>
                <c:pt idx="535">
                  <c:v>2056</c:v>
                </c:pt>
                <c:pt idx="536">
                  <c:v>2041</c:v>
                </c:pt>
                <c:pt idx="537">
                  <c:v>2097</c:v>
                </c:pt>
                <c:pt idx="538">
                  <c:v>2079</c:v>
                </c:pt>
                <c:pt idx="539">
                  <c:v>2082</c:v>
                </c:pt>
                <c:pt idx="540">
                  <c:v>2139</c:v>
                </c:pt>
                <c:pt idx="541">
                  <c:v>2114</c:v>
                </c:pt>
                <c:pt idx="542">
                  <c:v>2062</c:v>
                </c:pt>
                <c:pt idx="543">
                  <c:v>2150</c:v>
                </c:pt>
                <c:pt idx="544">
                  <c:v>2085</c:v>
                </c:pt>
                <c:pt idx="545">
                  <c:v>2178</c:v>
                </c:pt>
                <c:pt idx="546">
                  <c:v>2203</c:v>
                </c:pt>
                <c:pt idx="547">
                  <c:v>2219</c:v>
                </c:pt>
                <c:pt idx="548">
                  <c:v>2263</c:v>
                </c:pt>
                <c:pt idx="549">
                  <c:v>2170</c:v>
                </c:pt>
                <c:pt idx="550">
                  <c:v>2218</c:v>
                </c:pt>
                <c:pt idx="551">
                  <c:v>2120</c:v>
                </c:pt>
                <c:pt idx="552">
                  <c:v>2212</c:v>
                </c:pt>
                <c:pt idx="553">
                  <c:v>2141</c:v>
                </c:pt>
                <c:pt idx="554">
                  <c:v>2118</c:v>
                </c:pt>
                <c:pt idx="555">
                  <c:v>1998</c:v>
                </c:pt>
                <c:pt idx="556">
                  <c:v>1905</c:v>
                </c:pt>
                <c:pt idx="557">
                  <c:v>1867</c:v>
                </c:pt>
                <c:pt idx="558">
                  <c:v>1763</c:v>
                </c:pt>
                <c:pt idx="559">
                  <c:v>1722</c:v>
                </c:pt>
                <c:pt idx="560">
                  <c:v>1655</c:v>
                </c:pt>
                <c:pt idx="561">
                  <c:v>1570</c:v>
                </c:pt>
                <c:pt idx="562">
                  <c:v>1535</c:v>
                </c:pt>
                <c:pt idx="563">
                  <c:v>1638</c:v>
                </c:pt>
                <c:pt idx="564">
                  <c:v>1626</c:v>
                </c:pt>
                <c:pt idx="565">
                  <c:v>1598</c:v>
                </c:pt>
                <c:pt idx="566">
                  <c:v>1596</c:v>
                </c:pt>
                <c:pt idx="567">
                  <c:v>1470</c:v>
                </c:pt>
                <c:pt idx="568">
                  <c:v>1493</c:v>
                </c:pt>
                <c:pt idx="569">
                  <c:v>1407</c:v>
                </c:pt>
                <c:pt idx="570">
                  <c:v>1361</c:v>
                </c:pt>
                <c:pt idx="571">
                  <c:v>1321</c:v>
                </c:pt>
                <c:pt idx="572">
                  <c:v>1261</c:v>
                </c:pt>
                <c:pt idx="573">
                  <c:v>1192</c:v>
                </c:pt>
                <c:pt idx="574">
                  <c:v>1224</c:v>
                </c:pt>
                <c:pt idx="575">
                  <c:v>1149</c:v>
                </c:pt>
                <c:pt idx="576">
                  <c:v>1094</c:v>
                </c:pt>
                <c:pt idx="577">
                  <c:v>1014</c:v>
                </c:pt>
                <c:pt idx="578">
                  <c:v>967</c:v>
                </c:pt>
                <c:pt idx="579">
                  <c:v>1008</c:v>
                </c:pt>
                <c:pt idx="580">
                  <c:v>995</c:v>
                </c:pt>
                <c:pt idx="581">
                  <c:v>1180</c:v>
                </c:pt>
                <c:pt idx="582">
                  <c:v>921</c:v>
                </c:pt>
                <c:pt idx="583">
                  <c:v>858</c:v>
                </c:pt>
                <c:pt idx="584">
                  <c:v>797</c:v>
                </c:pt>
                <c:pt idx="585">
                  <c:v>736</c:v>
                </c:pt>
                <c:pt idx="586">
                  <c:v>626</c:v>
                </c:pt>
                <c:pt idx="587">
                  <c:v>554</c:v>
                </c:pt>
                <c:pt idx="588">
                  <c:v>545</c:v>
                </c:pt>
                <c:pt idx="589">
                  <c:v>558</c:v>
                </c:pt>
                <c:pt idx="590">
                  <c:v>513</c:v>
                </c:pt>
                <c:pt idx="591">
                  <c:v>521</c:v>
                </c:pt>
                <c:pt idx="592">
                  <c:v>556</c:v>
                </c:pt>
                <c:pt idx="593">
                  <c:v>601</c:v>
                </c:pt>
                <c:pt idx="594">
                  <c:v>595</c:v>
                </c:pt>
                <c:pt idx="595">
                  <c:v>616</c:v>
                </c:pt>
                <c:pt idx="596">
                  <c:v>609</c:v>
                </c:pt>
                <c:pt idx="597">
                  <c:v>583</c:v>
                </c:pt>
                <c:pt idx="598">
                  <c:v>623</c:v>
                </c:pt>
                <c:pt idx="599">
                  <c:v>664</c:v>
                </c:pt>
                <c:pt idx="600">
                  <c:v>636</c:v>
                </c:pt>
                <c:pt idx="601">
                  <c:v>650</c:v>
                </c:pt>
                <c:pt idx="602">
                  <c:v>687</c:v>
                </c:pt>
                <c:pt idx="603">
                  <c:v>637</c:v>
                </c:pt>
                <c:pt idx="604">
                  <c:v>575</c:v>
                </c:pt>
                <c:pt idx="605">
                  <c:v>587</c:v>
                </c:pt>
                <c:pt idx="606">
                  <c:v>579</c:v>
                </c:pt>
                <c:pt idx="607">
                  <c:v>580</c:v>
                </c:pt>
                <c:pt idx="608">
                  <c:v>563</c:v>
                </c:pt>
                <c:pt idx="609">
                  <c:v>558</c:v>
                </c:pt>
                <c:pt idx="610">
                  <c:v>560</c:v>
                </c:pt>
                <c:pt idx="611">
                  <c:v>632</c:v>
                </c:pt>
                <c:pt idx="612">
                  <c:v>576</c:v>
                </c:pt>
                <c:pt idx="613">
                  <c:v>542</c:v>
                </c:pt>
                <c:pt idx="614">
                  <c:v>583</c:v>
                </c:pt>
                <c:pt idx="615">
                  <c:v>581</c:v>
                </c:pt>
                <c:pt idx="616">
                  <c:v>618</c:v>
                </c:pt>
                <c:pt idx="617">
                  <c:v>636</c:v>
                </c:pt>
                <c:pt idx="618">
                  <c:v>621</c:v>
                </c:pt>
                <c:pt idx="619">
                  <c:v>647</c:v>
                </c:pt>
                <c:pt idx="620">
                  <c:v>610</c:v>
                </c:pt>
                <c:pt idx="621">
                  <c:v>671</c:v>
                </c:pt>
                <c:pt idx="622">
                  <c:v>706</c:v>
                </c:pt>
                <c:pt idx="623">
                  <c:v>697</c:v>
                </c:pt>
                <c:pt idx="624">
                  <c:v>712</c:v>
                </c:pt>
                <c:pt idx="625">
                  <c:v>738</c:v>
                </c:pt>
                <c:pt idx="626">
                  <c:v>806</c:v>
                </c:pt>
                <c:pt idx="627">
                  <c:v>732</c:v>
                </c:pt>
                <c:pt idx="628">
                  <c:v>796</c:v>
                </c:pt>
                <c:pt idx="629">
                  <c:v>794</c:v>
                </c:pt>
                <c:pt idx="630">
                  <c:v>849</c:v>
                </c:pt>
                <c:pt idx="631">
                  <c:v>840</c:v>
                </c:pt>
                <c:pt idx="632">
                  <c:v>930</c:v>
                </c:pt>
                <c:pt idx="633">
                  <c:v>887</c:v>
                </c:pt>
                <c:pt idx="634">
                  <c:v>917</c:v>
                </c:pt>
                <c:pt idx="635">
                  <c:v>941</c:v>
                </c:pt>
                <c:pt idx="636">
                  <c:v>940</c:v>
                </c:pt>
                <c:pt idx="637">
                  <c:v>980</c:v>
                </c:pt>
                <c:pt idx="638">
                  <c:v>936</c:v>
                </c:pt>
                <c:pt idx="639">
                  <c:v>1012</c:v>
                </c:pt>
                <c:pt idx="640">
                  <c:v>1003</c:v>
                </c:pt>
                <c:pt idx="641">
                  <c:v>942</c:v>
                </c:pt>
                <c:pt idx="642">
                  <c:v>997</c:v>
                </c:pt>
                <c:pt idx="643">
                  <c:v>964</c:v>
                </c:pt>
                <c:pt idx="644">
                  <c:v>1004</c:v>
                </c:pt>
                <c:pt idx="645">
                  <c:v>1044</c:v>
                </c:pt>
                <c:pt idx="646">
                  <c:v>1029</c:v>
                </c:pt>
                <c:pt idx="647">
                  <c:v>1005</c:v>
                </c:pt>
                <c:pt idx="648">
                  <c:v>976</c:v>
                </c:pt>
                <c:pt idx="649">
                  <c:v>1039</c:v>
                </c:pt>
                <c:pt idx="650">
                  <c:v>1067</c:v>
                </c:pt>
                <c:pt idx="651">
                  <c:v>1090</c:v>
                </c:pt>
                <c:pt idx="652">
                  <c:v>1018</c:v>
                </c:pt>
                <c:pt idx="653">
                  <c:v>1010</c:v>
                </c:pt>
                <c:pt idx="654">
                  <c:v>1076</c:v>
                </c:pt>
                <c:pt idx="655">
                  <c:v>1047</c:v>
                </c:pt>
                <c:pt idx="656">
                  <c:v>1077</c:v>
                </c:pt>
                <c:pt idx="657">
                  <c:v>1094</c:v>
                </c:pt>
                <c:pt idx="658">
                  <c:v>1059</c:v>
                </c:pt>
                <c:pt idx="659">
                  <c:v>1072</c:v>
                </c:pt>
                <c:pt idx="660">
                  <c:v>1049</c:v>
                </c:pt>
                <c:pt idx="661">
                  <c:v>1127</c:v>
                </c:pt>
                <c:pt idx="662">
                  <c:v>1072</c:v>
                </c:pt>
                <c:pt idx="663">
                  <c:v>1166</c:v>
                </c:pt>
                <c:pt idx="664">
                  <c:v>1272</c:v>
                </c:pt>
                <c:pt idx="665">
                  <c:v>1379</c:v>
                </c:pt>
                <c:pt idx="666">
                  <c:v>1140</c:v>
                </c:pt>
                <c:pt idx="667">
                  <c:v>1165</c:v>
                </c:pt>
                <c:pt idx="668">
                  <c:v>1144</c:v>
                </c:pt>
                <c:pt idx="669">
                  <c:v>1160</c:v>
                </c:pt>
                <c:pt idx="670">
                  <c:v>1244</c:v>
                </c:pt>
                <c:pt idx="671">
                  <c:v>1212</c:v>
                </c:pt>
                <c:pt idx="672">
                  <c:v>1161</c:v>
                </c:pt>
                <c:pt idx="673">
                  <c:v>1187</c:v>
                </c:pt>
                <c:pt idx="674">
                  <c:v>1114</c:v>
                </c:pt>
                <c:pt idx="675">
                  <c:v>1158</c:v>
                </c:pt>
                <c:pt idx="676">
                  <c:v>1196</c:v>
                </c:pt>
                <c:pt idx="677">
                  <c:v>1208</c:v>
                </c:pt>
                <c:pt idx="678">
                  <c:v>1190</c:v>
                </c:pt>
                <c:pt idx="679">
                  <c:v>1205</c:v>
                </c:pt>
                <c:pt idx="680">
                  <c:v>1280</c:v>
                </c:pt>
                <c:pt idx="681">
                  <c:v>1278</c:v>
                </c:pt>
                <c:pt idx="682">
                  <c:v>1236</c:v>
                </c:pt>
                <c:pt idx="683">
                  <c:v>1252</c:v>
                </c:pt>
                <c:pt idx="684">
                  <c:v>1301</c:v>
                </c:pt>
                <c:pt idx="685">
                  <c:v>1240</c:v>
                </c:pt>
                <c:pt idx="686">
                  <c:v>1285</c:v>
                </c:pt>
                <c:pt idx="687">
                  <c:v>1258</c:v>
                </c:pt>
                <c:pt idx="688">
                  <c:v>1209</c:v>
                </c:pt>
                <c:pt idx="689">
                  <c:v>1329</c:v>
                </c:pt>
                <c:pt idx="690">
                  <c:v>1264</c:v>
                </c:pt>
                <c:pt idx="691">
                  <c:v>1314</c:v>
                </c:pt>
                <c:pt idx="692">
                  <c:v>1257</c:v>
                </c:pt>
                <c:pt idx="693">
                  <c:v>1346</c:v>
                </c:pt>
                <c:pt idx="694">
                  <c:v>1302</c:v>
                </c:pt>
                <c:pt idx="695">
                  <c:v>1309</c:v>
                </c:pt>
                <c:pt idx="696">
                  <c:v>1352</c:v>
                </c:pt>
                <c:pt idx="697">
                  <c:v>1332</c:v>
                </c:pt>
                <c:pt idx="698">
                  <c:v>1407</c:v>
                </c:pt>
                <c:pt idx="699">
                  <c:v>1391</c:v>
                </c:pt>
                <c:pt idx="700">
                  <c:v>1331</c:v>
                </c:pt>
                <c:pt idx="701">
                  <c:v>1320</c:v>
                </c:pt>
                <c:pt idx="702">
                  <c:v>1328</c:v>
                </c:pt>
                <c:pt idx="703">
                  <c:v>1264</c:v>
                </c:pt>
                <c:pt idx="704">
                  <c:v>1289</c:v>
                </c:pt>
                <c:pt idx="705">
                  <c:v>1275</c:v>
                </c:pt>
                <c:pt idx="706">
                  <c:v>1318</c:v>
                </c:pt>
                <c:pt idx="707">
                  <c:v>1338</c:v>
                </c:pt>
                <c:pt idx="708">
                  <c:v>1295</c:v>
                </c:pt>
                <c:pt idx="709">
                  <c:v>1304</c:v>
                </c:pt>
                <c:pt idx="710">
                  <c:v>1316</c:v>
                </c:pt>
                <c:pt idx="711">
                  <c:v>1337</c:v>
                </c:pt>
                <c:pt idx="712">
                  <c:v>1337</c:v>
                </c:pt>
                <c:pt idx="713">
                  <c:v>1276</c:v>
                </c:pt>
                <c:pt idx="714">
                  <c:v>1369</c:v>
                </c:pt>
                <c:pt idx="715">
                  <c:v>1479</c:v>
                </c:pt>
                <c:pt idx="716">
                  <c:v>1439</c:v>
                </c:pt>
                <c:pt idx="717">
                  <c:v>1509</c:v>
                </c:pt>
                <c:pt idx="718">
                  <c:v>1509</c:v>
                </c:pt>
                <c:pt idx="719">
                  <c:v>1453</c:v>
                </c:pt>
                <c:pt idx="720">
                  <c:v>1550</c:v>
                </c:pt>
                <c:pt idx="721">
                  <c:v>1478</c:v>
                </c:pt>
                <c:pt idx="722">
                  <c:v>1382</c:v>
                </c:pt>
                <c:pt idx="723">
                  <c:v>1094</c:v>
                </c:pt>
                <c:pt idx="724">
                  <c:v>1246</c:v>
                </c:pt>
                <c:pt idx="725">
                  <c:v>1296</c:v>
                </c:pt>
                <c:pt idx="726">
                  <c:v>1542</c:v>
                </c:pt>
                <c:pt idx="727">
                  <c:v>1522</c:v>
                </c:pt>
                <c:pt idx="728">
                  <c:v>1589</c:v>
                </c:pt>
                <c:pt idx="729">
                  <c:v>1595</c:v>
                </c:pt>
                <c:pt idx="730">
                  <c:v>1696</c:v>
                </c:pt>
                <c:pt idx="731">
                  <c:v>1758</c:v>
                </c:pt>
                <c:pt idx="732">
                  <c:v>1883</c:v>
                </c:pt>
                <c:pt idx="733">
                  <c:v>1726</c:v>
                </c:pt>
                <c:pt idx="734">
                  <c:v>1755</c:v>
                </c:pt>
                <c:pt idx="735">
                  <c:v>1733</c:v>
                </c:pt>
                <c:pt idx="736">
                  <c:v>1683</c:v>
                </c:pt>
                <c:pt idx="737">
                  <c:v>1594</c:v>
                </c:pt>
                <c:pt idx="738">
                  <c:v>1630</c:v>
                </c:pt>
                <c:pt idx="739">
                  <c:v>1721</c:v>
                </c:pt>
                <c:pt idx="740">
                  <c:v>1586</c:v>
                </c:pt>
                <c:pt idx="741">
                  <c:v>1653</c:v>
                </c:pt>
                <c:pt idx="742">
                  <c:v>1717</c:v>
                </c:pt>
                <c:pt idx="743">
                  <c:v>1885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AB-9C4D-A979-45CC200C55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11611920"/>
        <c:axId val="1111614872"/>
      </c:lineChart>
      <c:dateAx>
        <c:axId val="1111611920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1614872"/>
        <c:crosses val="autoZero"/>
        <c:auto val="0"/>
        <c:lblOffset val="100"/>
        <c:baseTimeUnit val="months"/>
      </c:dateAx>
      <c:valAx>
        <c:axId val="1111614872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161192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Building Permits since 2016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'Building Permits - Authorized'!$B$6</c:f>
              <c:strCache>
                <c:ptCount val="1"/>
                <c:pt idx="0">
                  <c:v>Building Permits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dPt>
            <c:idx val="699"/>
            <c:bubble3D val="0"/>
            <c:spPr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E7DB-D848-9FE7-33F74F8BA3FC}"/>
              </c:ext>
            </c:extLst>
          </c:dPt>
          <c:cat>
            <c:numRef>
              <c:f>'Building Permits - Authorized'!$A$7:$A$750</c:f>
              <c:numCache>
                <c:formatCode>m/d/yy</c:formatCode>
                <c:ptCount val="744"/>
                <c:pt idx="0">
                  <c:v>21916</c:v>
                </c:pt>
                <c:pt idx="1">
                  <c:v>21947</c:v>
                </c:pt>
                <c:pt idx="2">
                  <c:v>21976</c:v>
                </c:pt>
                <c:pt idx="3">
                  <c:v>22007</c:v>
                </c:pt>
                <c:pt idx="4">
                  <c:v>22037</c:v>
                </c:pt>
                <c:pt idx="5">
                  <c:v>22068</c:v>
                </c:pt>
                <c:pt idx="6">
                  <c:v>22098</c:v>
                </c:pt>
                <c:pt idx="7">
                  <c:v>22129</c:v>
                </c:pt>
                <c:pt idx="8">
                  <c:v>22160</c:v>
                </c:pt>
                <c:pt idx="9">
                  <c:v>22190</c:v>
                </c:pt>
                <c:pt idx="10">
                  <c:v>22221</c:v>
                </c:pt>
                <c:pt idx="11">
                  <c:v>22251</c:v>
                </c:pt>
                <c:pt idx="12">
                  <c:v>22282</c:v>
                </c:pt>
                <c:pt idx="13">
                  <c:v>22313</c:v>
                </c:pt>
                <c:pt idx="14">
                  <c:v>22341</c:v>
                </c:pt>
                <c:pt idx="15">
                  <c:v>22372</c:v>
                </c:pt>
                <c:pt idx="16">
                  <c:v>22402</c:v>
                </c:pt>
                <c:pt idx="17">
                  <c:v>22433</c:v>
                </c:pt>
                <c:pt idx="18">
                  <c:v>22463</c:v>
                </c:pt>
                <c:pt idx="19">
                  <c:v>22494</c:v>
                </c:pt>
                <c:pt idx="20">
                  <c:v>22525</c:v>
                </c:pt>
                <c:pt idx="21">
                  <c:v>22555</c:v>
                </c:pt>
                <c:pt idx="22">
                  <c:v>22586</c:v>
                </c:pt>
                <c:pt idx="23">
                  <c:v>22616</c:v>
                </c:pt>
                <c:pt idx="24">
                  <c:v>22647</c:v>
                </c:pt>
                <c:pt idx="25">
                  <c:v>22678</c:v>
                </c:pt>
                <c:pt idx="26">
                  <c:v>22706</c:v>
                </c:pt>
                <c:pt idx="27">
                  <c:v>22737</c:v>
                </c:pt>
                <c:pt idx="28">
                  <c:v>22767</c:v>
                </c:pt>
                <c:pt idx="29">
                  <c:v>22798</c:v>
                </c:pt>
                <c:pt idx="30">
                  <c:v>22828</c:v>
                </c:pt>
                <c:pt idx="31">
                  <c:v>22859</c:v>
                </c:pt>
                <c:pt idx="32">
                  <c:v>22890</c:v>
                </c:pt>
                <c:pt idx="33">
                  <c:v>22920</c:v>
                </c:pt>
                <c:pt idx="34">
                  <c:v>22951</c:v>
                </c:pt>
                <c:pt idx="35">
                  <c:v>22981</c:v>
                </c:pt>
                <c:pt idx="36">
                  <c:v>23012</c:v>
                </c:pt>
                <c:pt idx="37">
                  <c:v>23043</c:v>
                </c:pt>
                <c:pt idx="38">
                  <c:v>23071</c:v>
                </c:pt>
                <c:pt idx="39">
                  <c:v>23102</c:v>
                </c:pt>
                <c:pt idx="40">
                  <c:v>23132</c:v>
                </c:pt>
                <c:pt idx="41">
                  <c:v>23163</c:v>
                </c:pt>
                <c:pt idx="42">
                  <c:v>23193</c:v>
                </c:pt>
                <c:pt idx="43">
                  <c:v>23224</c:v>
                </c:pt>
                <c:pt idx="44">
                  <c:v>23255</c:v>
                </c:pt>
                <c:pt idx="45">
                  <c:v>23285</c:v>
                </c:pt>
                <c:pt idx="46">
                  <c:v>23316</c:v>
                </c:pt>
                <c:pt idx="47">
                  <c:v>23346</c:v>
                </c:pt>
                <c:pt idx="48">
                  <c:v>23377</c:v>
                </c:pt>
                <c:pt idx="49">
                  <c:v>23408</c:v>
                </c:pt>
                <c:pt idx="50">
                  <c:v>23437</c:v>
                </c:pt>
                <c:pt idx="51">
                  <c:v>23468</c:v>
                </c:pt>
                <c:pt idx="52">
                  <c:v>23498</c:v>
                </c:pt>
                <c:pt idx="53">
                  <c:v>23529</c:v>
                </c:pt>
                <c:pt idx="54">
                  <c:v>23559</c:v>
                </c:pt>
                <c:pt idx="55">
                  <c:v>23590</c:v>
                </c:pt>
                <c:pt idx="56">
                  <c:v>23621</c:v>
                </c:pt>
                <c:pt idx="57">
                  <c:v>23651</c:v>
                </c:pt>
                <c:pt idx="58">
                  <c:v>23682</c:v>
                </c:pt>
                <c:pt idx="59">
                  <c:v>23712</c:v>
                </c:pt>
                <c:pt idx="60">
                  <c:v>23743</c:v>
                </c:pt>
                <c:pt idx="61">
                  <c:v>23774</c:v>
                </c:pt>
                <c:pt idx="62">
                  <c:v>23802</c:v>
                </c:pt>
                <c:pt idx="63">
                  <c:v>23833</c:v>
                </c:pt>
                <c:pt idx="64">
                  <c:v>23863</c:v>
                </c:pt>
                <c:pt idx="65">
                  <c:v>23894</c:v>
                </c:pt>
                <c:pt idx="66">
                  <c:v>23924</c:v>
                </c:pt>
                <c:pt idx="67">
                  <c:v>23955</c:v>
                </c:pt>
                <c:pt idx="68">
                  <c:v>23986</c:v>
                </c:pt>
                <c:pt idx="69">
                  <c:v>24016</c:v>
                </c:pt>
                <c:pt idx="70">
                  <c:v>24047</c:v>
                </c:pt>
                <c:pt idx="71">
                  <c:v>24077</c:v>
                </c:pt>
                <c:pt idx="72">
                  <c:v>24108</c:v>
                </c:pt>
                <c:pt idx="73">
                  <c:v>24139</c:v>
                </c:pt>
                <c:pt idx="74">
                  <c:v>24167</c:v>
                </c:pt>
                <c:pt idx="75">
                  <c:v>24198</c:v>
                </c:pt>
                <c:pt idx="76">
                  <c:v>24228</c:v>
                </c:pt>
                <c:pt idx="77">
                  <c:v>24259</c:v>
                </c:pt>
                <c:pt idx="78">
                  <c:v>24289</c:v>
                </c:pt>
                <c:pt idx="79">
                  <c:v>24320</c:v>
                </c:pt>
                <c:pt idx="80">
                  <c:v>24351</c:v>
                </c:pt>
                <c:pt idx="81">
                  <c:v>24381</c:v>
                </c:pt>
                <c:pt idx="82">
                  <c:v>24412</c:v>
                </c:pt>
                <c:pt idx="83">
                  <c:v>24442</c:v>
                </c:pt>
                <c:pt idx="84">
                  <c:v>24473</c:v>
                </c:pt>
                <c:pt idx="85">
                  <c:v>24504</c:v>
                </c:pt>
                <c:pt idx="86">
                  <c:v>24532</c:v>
                </c:pt>
                <c:pt idx="87">
                  <c:v>24563</c:v>
                </c:pt>
                <c:pt idx="88">
                  <c:v>24593</c:v>
                </c:pt>
                <c:pt idx="89">
                  <c:v>24624</c:v>
                </c:pt>
                <c:pt idx="90">
                  <c:v>24654</c:v>
                </c:pt>
                <c:pt idx="91">
                  <c:v>24685</c:v>
                </c:pt>
                <c:pt idx="92">
                  <c:v>24716</c:v>
                </c:pt>
                <c:pt idx="93">
                  <c:v>24746</c:v>
                </c:pt>
                <c:pt idx="94">
                  <c:v>24777</c:v>
                </c:pt>
                <c:pt idx="95">
                  <c:v>24807</c:v>
                </c:pt>
                <c:pt idx="96">
                  <c:v>24838</c:v>
                </c:pt>
                <c:pt idx="97">
                  <c:v>24869</c:v>
                </c:pt>
                <c:pt idx="98">
                  <c:v>24898</c:v>
                </c:pt>
                <c:pt idx="99">
                  <c:v>24929</c:v>
                </c:pt>
                <c:pt idx="100">
                  <c:v>24959</c:v>
                </c:pt>
                <c:pt idx="101">
                  <c:v>24990</c:v>
                </c:pt>
                <c:pt idx="102">
                  <c:v>25020</c:v>
                </c:pt>
                <c:pt idx="103">
                  <c:v>25051</c:v>
                </c:pt>
                <c:pt idx="104">
                  <c:v>25082</c:v>
                </c:pt>
                <c:pt idx="105">
                  <c:v>25112</c:v>
                </c:pt>
                <c:pt idx="106">
                  <c:v>25143</c:v>
                </c:pt>
                <c:pt idx="107">
                  <c:v>25173</c:v>
                </c:pt>
                <c:pt idx="108">
                  <c:v>25204</c:v>
                </c:pt>
                <c:pt idx="109">
                  <c:v>25235</c:v>
                </c:pt>
                <c:pt idx="110">
                  <c:v>25263</c:v>
                </c:pt>
                <c:pt idx="111">
                  <c:v>25294</c:v>
                </c:pt>
                <c:pt idx="112">
                  <c:v>25324</c:v>
                </c:pt>
                <c:pt idx="113">
                  <c:v>25355</c:v>
                </c:pt>
                <c:pt idx="114">
                  <c:v>25385</c:v>
                </c:pt>
                <c:pt idx="115">
                  <c:v>25416</c:v>
                </c:pt>
                <c:pt idx="116">
                  <c:v>25447</c:v>
                </c:pt>
                <c:pt idx="117">
                  <c:v>25477</c:v>
                </c:pt>
                <c:pt idx="118">
                  <c:v>25508</c:v>
                </c:pt>
                <c:pt idx="119">
                  <c:v>25538</c:v>
                </c:pt>
                <c:pt idx="120">
                  <c:v>25569</c:v>
                </c:pt>
                <c:pt idx="121">
                  <c:v>25600</c:v>
                </c:pt>
                <c:pt idx="122">
                  <c:v>25628</c:v>
                </c:pt>
                <c:pt idx="123">
                  <c:v>25659</c:v>
                </c:pt>
                <c:pt idx="124">
                  <c:v>25689</c:v>
                </c:pt>
                <c:pt idx="125">
                  <c:v>25720</c:v>
                </c:pt>
                <c:pt idx="126">
                  <c:v>25750</c:v>
                </c:pt>
                <c:pt idx="127">
                  <c:v>25781</c:v>
                </c:pt>
                <c:pt idx="128">
                  <c:v>25812</c:v>
                </c:pt>
                <c:pt idx="129">
                  <c:v>25842</c:v>
                </c:pt>
                <c:pt idx="130">
                  <c:v>25873</c:v>
                </c:pt>
                <c:pt idx="131">
                  <c:v>25903</c:v>
                </c:pt>
                <c:pt idx="132">
                  <c:v>25934</c:v>
                </c:pt>
                <c:pt idx="133">
                  <c:v>25965</c:v>
                </c:pt>
                <c:pt idx="134">
                  <c:v>25993</c:v>
                </c:pt>
                <c:pt idx="135">
                  <c:v>26024</c:v>
                </c:pt>
                <c:pt idx="136">
                  <c:v>26054</c:v>
                </c:pt>
                <c:pt idx="137">
                  <c:v>26085</c:v>
                </c:pt>
                <c:pt idx="138">
                  <c:v>26115</c:v>
                </c:pt>
                <c:pt idx="139">
                  <c:v>26146</c:v>
                </c:pt>
                <c:pt idx="140">
                  <c:v>26177</c:v>
                </c:pt>
                <c:pt idx="141">
                  <c:v>26207</c:v>
                </c:pt>
                <c:pt idx="142">
                  <c:v>26238</c:v>
                </c:pt>
                <c:pt idx="143">
                  <c:v>26268</c:v>
                </c:pt>
                <c:pt idx="144">
                  <c:v>26299</c:v>
                </c:pt>
                <c:pt idx="145">
                  <c:v>26330</c:v>
                </c:pt>
                <c:pt idx="146">
                  <c:v>26359</c:v>
                </c:pt>
                <c:pt idx="147">
                  <c:v>26390</c:v>
                </c:pt>
                <c:pt idx="148">
                  <c:v>26420</c:v>
                </c:pt>
                <c:pt idx="149">
                  <c:v>26451</c:v>
                </c:pt>
                <c:pt idx="150">
                  <c:v>26481</c:v>
                </c:pt>
                <c:pt idx="151">
                  <c:v>26512</c:v>
                </c:pt>
                <c:pt idx="152">
                  <c:v>26543</c:v>
                </c:pt>
                <c:pt idx="153">
                  <c:v>26573</c:v>
                </c:pt>
                <c:pt idx="154">
                  <c:v>26604</c:v>
                </c:pt>
                <c:pt idx="155">
                  <c:v>26634</c:v>
                </c:pt>
                <c:pt idx="156">
                  <c:v>26665</c:v>
                </c:pt>
                <c:pt idx="157">
                  <c:v>26696</c:v>
                </c:pt>
                <c:pt idx="158">
                  <c:v>26724</c:v>
                </c:pt>
                <c:pt idx="159">
                  <c:v>26755</c:v>
                </c:pt>
                <c:pt idx="160">
                  <c:v>26785</c:v>
                </c:pt>
                <c:pt idx="161">
                  <c:v>26816</c:v>
                </c:pt>
                <c:pt idx="162">
                  <c:v>26846</c:v>
                </c:pt>
                <c:pt idx="163">
                  <c:v>26877</c:v>
                </c:pt>
                <c:pt idx="164">
                  <c:v>26908</c:v>
                </c:pt>
                <c:pt idx="165">
                  <c:v>26938</c:v>
                </c:pt>
                <c:pt idx="166">
                  <c:v>26969</c:v>
                </c:pt>
                <c:pt idx="167">
                  <c:v>26999</c:v>
                </c:pt>
                <c:pt idx="168">
                  <c:v>27030</c:v>
                </c:pt>
                <c:pt idx="169">
                  <c:v>27061</c:v>
                </c:pt>
                <c:pt idx="170">
                  <c:v>27089</c:v>
                </c:pt>
                <c:pt idx="171">
                  <c:v>27120</c:v>
                </c:pt>
                <c:pt idx="172">
                  <c:v>27150</c:v>
                </c:pt>
                <c:pt idx="173">
                  <c:v>27181</c:v>
                </c:pt>
                <c:pt idx="174">
                  <c:v>27211</c:v>
                </c:pt>
                <c:pt idx="175">
                  <c:v>27242</c:v>
                </c:pt>
                <c:pt idx="176">
                  <c:v>27273</c:v>
                </c:pt>
                <c:pt idx="177">
                  <c:v>27303</c:v>
                </c:pt>
                <c:pt idx="178">
                  <c:v>27334</c:v>
                </c:pt>
                <c:pt idx="179">
                  <c:v>27364</c:v>
                </c:pt>
                <c:pt idx="180">
                  <c:v>27395</c:v>
                </c:pt>
                <c:pt idx="181">
                  <c:v>27426</c:v>
                </c:pt>
                <c:pt idx="182">
                  <c:v>27454</c:v>
                </c:pt>
                <c:pt idx="183">
                  <c:v>27485</c:v>
                </c:pt>
                <c:pt idx="184">
                  <c:v>27515</c:v>
                </c:pt>
                <c:pt idx="185">
                  <c:v>27546</c:v>
                </c:pt>
                <c:pt idx="186">
                  <c:v>27576</c:v>
                </c:pt>
                <c:pt idx="187">
                  <c:v>27607</c:v>
                </c:pt>
                <c:pt idx="188">
                  <c:v>27638</c:v>
                </c:pt>
                <c:pt idx="189">
                  <c:v>27668</c:v>
                </c:pt>
                <c:pt idx="190">
                  <c:v>27699</c:v>
                </c:pt>
                <c:pt idx="191">
                  <c:v>27729</c:v>
                </c:pt>
                <c:pt idx="192">
                  <c:v>27760</c:v>
                </c:pt>
                <c:pt idx="193">
                  <c:v>27791</c:v>
                </c:pt>
                <c:pt idx="194">
                  <c:v>27820</c:v>
                </c:pt>
                <c:pt idx="195">
                  <c:v>27851</c:v>
                </c:pt>
                <c:pt idx="196">
                  <c:v>27881</c:v>
                </c:pt>
                <c:pt idx="197">
                  <c:v>27912</c:v>
                </c:pt>
                <c:pt idx="198">
                  <c:v>27942</c:v>
                </c:pt>
                <c:pt idx="199">
                  <c:v>27973</c:v>
                </c:pt>
                <c:pt idx="200">
                  <c:v>28004</c:v>
                </c:pt>
                <c:pt idx="201">
                  <c:v>28034</c:v>
                </c:pt>
                <c:pt idx="202">
                  <c:v>28065</c:v>
                </c:pt>
                <c:pt idx="203">
                  <c:v>28095</c:v>
                </c:pt>
                <c:pt idx="204">
                  <c:v>28126</c:v>
                </c:pt>
                <c:pt idx="205">
                  <c:v>28157</c:v>
                </c:pt>
                <c:pt idx="206">
                  <c:v>28185</c:v>
                </c:pt>
                <c:pt idx="207">
                  <c:v>28216</c:v>
                </c:pt>
                <c:pt idx="208">
                  <c:v>28246</c:v>
                </c:pt>
                <c:pt idx="209">
                  <c:v>28277</c:v>
                </c:pt>
                <c:pt idx="210">
                  <c:v>28307</c:v>
                </c:pt>
                <c:pt idx="211">
                  <c:v>28338</c:v>
                </c:pt>
                <c:pt idx="212">
                  <c:v>28369</c:v>
                </c:pt>
                <c:pt idx="213">
                  <c:v>28399</c:v>
                </c:pt>
                <c:pt idx="214">
                  <c:v>28430</c:v>
                </c:pt>
                <c:pt idx="215">
                  <c:v>28460</c:v>
                </c:pt>
                <c:pt idx="216">
                  <c:v>28491</c:v>
                </c:pt>
                <c:pt idx="217">
                  <c:v>28522</c:v>
                </c:pt>
                <c:pt idx="218">
                  <c:v>28550</c:v>
                </c:pt>
                <c:pt idx="219">
                  <c:v>28581</c:v>
                </c:pt>
                <c:pt idx="220">
                  <c:v>28611</c:v>
                </c:pt>
                <c:pt idx="221">
                  <c:v>28642</c:v>
                </c:pt>
                <c:pt idx="222">
                  <c:v>28672</c:v>
                </c:pt>
                <c:pt idx="223">
                  <c:v>28703</c:v>
                </c:pt>
                <c:pt idx="224">
                  <c:v>28734</c:v>
                </c:pt>
                <c:pt idx="225">
                  <c:v>28764</c:v>
                </c:pt>
                <c:pt idx="226">
                  <c:v>28795</c:v>
                </c:pt>
                <c:pt idx="227">
                  <c:v>28825</c:v>
                </c:pt>
                <c:pt idx="228">
                  <c:v>28856</c:v>
                </c:pt>
                <c:pt idx="229">
                  <c:v>28887</c:v>
                </c:pt>
                <c:pt idx="230">
                  <c:v>28915</c:v>
                </c:pt>
                <c:pt idx="231">
                  <c:v>28946</c:v>
                </c:pt>
                <c:pt idx="232">
                  <c:v>28976</c:v>
                </c:pt>
                <c:pt idx="233">
                  <c:v>29007</c:v>
                </c:pt>
                <c:pt idx="234">
                  <c:v>29037</c:v>
                </c:pt>
                <c:pt idx="235">
                  <c:v>29068</c:v>
                </c:pt>
                <c:pt idx="236">
                  <c:v>29099</c:v>
                </c:pt>
                <c:pt idx="237">
                  <c:v>29129</c:v>
                </c:pt>
                <c:pt idx="238">
                  <c:v>29160</c:v>
                </c:pt>
                <c:pt idx="239">
                  <c:v>29190</c:v>
                </c:pt>
                <c:pt idx="240">
                  <c:v>29221</c:v>
                </c:pt>
                <c:pt idx="241">
                  <c:v>29252</c:v>
                </c:pt>
                <c:pt idx="242">
                  <c:v>29281</c:v>
                </c:pt>
                <c:pt idx="243">
                  <c:v>29312</c:v>
                </c:pt>
                <c:pt idx="244">
                  <c:v>29342</c:v>
                </c:pt>
                <c:pt idx="245">
                  <c:v>29373</c:v>
                </c:pt>
                <c:pt idx="246">
                  <c:v>29403</c:v>
                </c:pt>
                <c:pt idx="247">
                  <c:v>29434</c:v>
                </c:pt>
                <c:pt idx="248">
                  <c:v>29465</c:v>
                </c:pt>
                <c:pt idx="249">
                  <c:v>29495</c:v>
                </c:pt>
                <c:pt idx="250">
                  <c:v>29526</c:v>
                </c:pt>
                <c:pt idx="251">
                  <c:v>29556</c:v>
                </c:pt>
                <c:pt idx="252">
                  <c:v>29587</c:v>
                </c:pt>
                <c:pt idx="253">
                  <c:v>29618</c:v>
                </c:pt>
                <c:pt idx="254">
                  <c:v>29646</c:v>
                </c:pt>
                <c:pt idx="255">
                  <c:v>29677</c:v>
                </c:pt>
                <c:pt idx="256">
                  <c:v>29707</c:v>
                </c:pt>
                <c:pt idx="257">
                  <c:v>29738</c:v>
                </c:pt>
                <c:pt idx="258">
                  <c:v>29768</c:v>
                </c:pt>
                <c:pt idx="259">
                  <c:v>29799</c:v>
                </c:pt>
                <c:pt idx="260">
                  <c:v>29830</c:v>
                </c:pt>
                <c:pt idx="261">
                  <c:v>29860</c:v>
                </c:pt>
                <c:pt idx="262">
                  <c:v>29891</c:v>
                </c:pt>
                <c:pt idx="263">
                  <c:v>29921</c:v>
                </c:pt>
                <c:pt idx="264">
                  <c:v>29952</c:v>
                </c:pt>
                <c:pt idx="265">
                  <c:v>29983</c:v>
                </c:pt>
                <c:pt idx="266">
                  <c:v>30011</c:v>
                </c:pt>
                <c:pt idx="267">
                  <c:v>30042</c:v>
                </c:pt>
                <c:pt idx="268">
                  <c:v>30072</c:v>
                </c:pt>
                <c:pt idx="269">
                  <c:v>30103</c:v>
                </c:pt>
                <c:pt idx="270">
                  <c:v>30133</c:v>
                </c:pt>
                <c:pt idx="271">
                  <c:v>30164</c:v>
                </c:pt>
                <c:pt idx="272">
                  <c:v>30195</c:v>
                </c:pt>
                <c:pt idx="273">
                  <c:v>30225</c:v>
                </c:pt>
                <c:pt idx="274">
                  <c:v>30256</c:v>
                </c:pt>
                <c:pt idx="275">
                  <c:v>30286</c:v>
                </c:pt>
                <c:pt idx="276">
                  <c:v>30317</c:v>
                </c:pt>
                <c:pt idx="277">
                  <c:v>30348</c:v>
                </c:pt>
                <c:pt idx="278">
                  <c:v>30376</c:v>
                </c:pt>
                <c:pt idx="279">
                  <c:v>30407</c:v>
                </c:pt>
                <c:pt idx="280">
                  <c:v>30437</c:v>
                </c:pt>
                <c:pt idx="281">
                  <c:v>30468</c:v>
                </c:pt>
                <c:pt idx="282">
                  <c:v>30498</c:v>
                </c:pt>
                <c:pt idx="283">
                  <c:v>30529</c:v>
                </c:pt>
                <c:pt idx="284">
                  <c:v>30560</c:v>
                </c:pt>
                <c:pt idx="285">
                  <c:v>30590</c:v>
                </c:pt>
                <c:pt idx="286">
                  <c:v>30621</c:v>
                </c:pt>
                <c:pt idx="287">
                  <c:v>30651</c:v>
                </c:pt>
                <c:pt idx="288">
                  <c:v>30682</c:v>
                </c:pt>
                <c:pt idx="289">
                  <c:v>30713</c:v>
                </c:pt>
                <c:pt idx="290">
                  <c:v>30742</c:v>
                </c:pt>
                <c:pt idx="291">
                  <c:v>30773</c:v>
                </c:pt>
                <c:pt idx="292">
                  <c:v>30803</c:v>
                </c:pt>
                <c:pt idx="293">
                  <c:v>30834</c:v>
                </c:pt>
                <c:pt idx="294">
                  <c:v>30864</c:v>
                </c:pt>
                <c:pt idx="295">
                  <c:v>30895</c:v>
                </c:pt>
                <c:pt idx="296">
                  <c:v>30926</c:v>
                </c:pt>
                <c:pt idx="297">
                  <c:v>30956</c:v>
                </c:pt>
                <c:pt idx="298">
                  <c:v>30987</c:v>
                </c:pt>
                <c:pt idx="299">
                  <c:v>31017</c:v>
                </c:pt>
                <c:pt idx="300">
                  <c:v>31048</c:v>
                </c:pt>
                <c:pt idx="301">
                  <c:v>31079</c:v>
                </c:pt>
                <c:pt idx="302">
                  <c:v>31107</c:v>
                </c:pt>
                <c:pt idx="303">
                  <c:v>31138</c:v>
                </c:pt>
                <c:pt idx="304">
                  <c:v>31168</c:v>
                </c:pt>
                <c:pt idx="305">
                  <c:v>31199</c:v>
                </c:pt>
                <c:pt idx="306">
                  <c:v>31229</c:v>
                </c:pt>
                <c:pt idx="307">
                  <c:v>31260</c:v>
                </c:pt>
                <c:pt idx="308">
                  <c:v>31291</c:v>
                </c:pt>
                <c:pt idx="309">
                  <c:v>31321</c:v>
                </c:pt>
                <c:pt idx="310">
                  <c:v>31352</c:v>
                </c:pt>
                <c:pt idx="311">
                  <c:v>31382</c:v>
                </c:pt>
                <c:pt idx="312">
                  <c:v>31413</c:v>
                </c:pt>
                <c:pt idx="313">
                  <c:v>31444</c:v>
                </c:pt>
                <c:pt idx="314">
                  <c:v>31472</c:v>
                </c:pt>
                <c:pt idx="315">
                  <c:v>31503</c:v>
                </c:pt>
                <c:pt idx="316">
                  <c:v>31533</c:v>
                </c:pt>
                <c:pt idx="317">
                  <c:v>31564</c:v>
                </c:pt>
                <c:pt idx="318">
                  <c:v>31594</c:v>
                </c:pt>
                <c:pt idx="319">
                  <c:v>31625</c:v>
                </c:pt>
                <c:pt idx="320">
                  <c:v>31656</c:v>
                </c:pt>
                <c:pt idx="321">
                  <c:v>31686</c:v>
                </c:pt>
                <c:pt idx="322">
                  <c:v>31717</c:v>
                </c:pt>
                <c:pt idx="323">
                  <c:v>31747</c:v>
                </c:pt>
                <c:pt idx="324">
                  <c:v>31778</c:v>
                </c:pt>
                <c:pt idx="325">
                  <c:v>31809</c:v>
                </c:pt>
                <c:pt idx="326">
                  <c:v>31837</c:v>
                </c:pt>
                <c:pt idx="327">
                  <c:v>31868</c:v>
                </c:pt>
                <c:pt idx="328">
                  <c:v>31898</c:v>
                </c:pt>
                <c:pt idx="329">
                  <c:v>31929</c:v>
                </c:pt>
                <c:pt idx="330">
                  <c:v>31959</c:v>
                </c:pt>
                <c:pt idx="331">
                  <c:v>31990</c:v>
                </c:pt>
                <c:pt idx="332">
                  <c:v>32021</c:v>
                </c:pt>
                <c:pt idx="333">
                  <c:v>32051</c:v>
                </c:pt>
                <c:pt idx="334">
                  <c:v>32082</c:v>
                </c:pt>
                <c:pt idx="335">
                  <c:v>32112</c:v>
                </c:pt>
                <c:pt idx="336">
                  <c:v>32143</c:v>
                </c:pt>
                <c:pt idx="337">
                  <c:v>32174</c:v>
                </c:pt>
                <c:pt idx="338">
                  <c:v>32203</c:v>
                </c:pt>
                <c:pt idx="339">
                  <c:v>32234</c:v>
                </c:pt>
                <c:pt idx="340">
                  <c:v>32264</c:v>
                </c:pt>
                <c:pt idx="341">
                  <c:v>32295</c:v>
                </c:pt>
                <c:pt idx="342">
                  <c:v>32325</c:v>
                </c:pt>
                <c:pt idx="343">
                  <c:v>32356</c:v>
                </c:pt>
                <c:pt idx="344">
                  <c:v>32387</c:v>
                </c:pt>
                <c:pt idx="345">
                  <c:v>32417</c:v>
                </c:pt>
                <c:pt idx="346">
                  <c:v>32448</c:v>
                </c:pt>
                <c:pt idx="347">
                  <c:v>32478</c:v>
                </c:pt>
                <c:pt idx="348">
                  <c:v>32509</c:v>
                </c:pt>
                <c:pt idx="349">
                  <c:v>32540</c:v>
                </c:pt>
                <c:pt idx="350">
                  <c:v>32568</c:v>
                </c:pt>
                <c:pt idx="351">
                  <c:v>32599</c:v>
                </c:pt>
                <c:pt idx="352">
                  <c:v>32629</c:v>
                </c:pt>
                <c:pt idx="353">
                  <c:v>32660</c:v>
                </c:pt>
                <c:pt idx="354">
                  <c:v>32690</c:v>
                </c:pt>
                <c:pt idx="355">
                  <c:v>32721</c:v>
                </c:pt>
                <c:pt idx="356">
                  <c:v>32752</c:v>
                </c:pt>
                <c:pt idx="357">
                  <c:v>32782</c:v>
                </c:pt>
                <c:pt idx="358">
                  <c:v>32813</c:v>
                </c:pt>
                <c:pt idx="359">
                  <c:v>32843</c:v>
                </c:pt>
                <c:pt idx="360">
                  <c:v>32874</c:v>
                </c:pt>
                <c:pt idx="361">
                  <c:v>32905</c:v>
                </c:pt>
                <c:pt idx="362">
                  <c:v>32933</c:v>
                </c:pt>
                <c:pt idx="363">
                  <c:v>32964</c:v>
                </c:pt>
                <c:pt idx="364">
                  <c:v>32994</c:v>
                </c:pt>
                <c:pt idx="365">
                  <c:v>33025</c:v>
                </c:pt>
                <c:pt idx="366">
                  <c:v>33055</c:v>
                </c:pt>
                <c:pt idx="367">
                  <c:v>33086</c:v>
                </c:pt>
                <c:pt idx="368">
                  <c:v>33117</c:v>
                </c:pt>
                <c:pt idx="369">
                  <c:v>33147</c:v>
                </c:pt>
                <c:pt idx="370">
                  <c:v>33178</c:v>
                </c:pt>
                <c:pt idx="371">
                  <c:v>33208</c:v>
                </c:pt>
                <c:pt idx="372">
                  <c:v>33239</c:v>
                </c:pt>
                <c:pt idx="373">
                  <c:v>33270</c:v>
                </c:pt>
                <c:pt idx="374">
                  <c:v>33298</c:v>
                </c:pt>
                <c:pt idx="375">
                  <c:v>33329</c:v>
                </c:pt>
                <c:pt idx="376">
                  <c:v>33359</c:v>
                </c:pt>
                <c:pt idx="377">
                  <c:v>33390</c:v>
                </c:pt>
                <c:pt idx="378">
                  <c:v>33420</c:v>
                </c:pt>
                <c:pt idx="379">
                  <c:v>33451</c:v>
                </c:pt>
                <c:pt idx="380">
                  <c:v>33482</c:v>
                </c:pt>
                <c:pt idx="381">
                  <c:v>33512</c:v>
                </c:pt>
                <c:pt idx="382">
                  <c:v>33543</c:v>
                </c:pt>
                <c:pt idx="383">
                  <c:v>33573</c:v>
                </c:pt>
                <c:pt idx="384">
                  <c:v>33604</c:v>
                </c:pt>
                <c:pt idx="385">
                  <c:v>33635</c:v>
                </c:pt>
                <c:pt idx="386">
                  <c:v>33664</c:v>
                </c:pt>
                <c:pt idx="387">
                  <c:v>33695</c:v>
                </c:pt>
                <c:pt idx="388">
                  <c:v>33725</c:v>
                </c:pt>
                <c:pt idx="389">
                  <c:v>33756</c:v>
                </c:pt>
                <c:pt idx="390">
                  <c:v>33786</c:v>
                </c:pt>
                <c:pt idx="391">
                  <c:v>33817</c:v>
                </c:pt>
                <c:pt idx="392">
                  <c:v>33848</c:v>
                </c:pt>
                <c:pt idx="393">
                  <c:v>33878</c:v>
                </c:pt>
                <c:pt idx="394">
                  <c:v>33909</c:v>
                </c:pt>
                <c:pt idx="395">
                  <c:v>33939</c:v>
                </c:pt>
                <c:pt idx="396">
                  <c:v>33970</c:v>
                </c:pt>
                <c:pt idx="397">
                  <c:v>34001</c:v>
                </c:pt>
                <c:pt idx="398">
                  <c:v>34029</c:v>
                </c:pt>
                <c:pt idx="399">
                  <c:v>34060</c:v>
                </c:pt>
                <c:pt idx="400">
                  <c:v>34090</c:v>
                </c:pt>
                <c:pt idx="401">
                  <c:v>34121</c:v>
                </c:pt>
                <c:pt idx="402">
                  <c:v>34151</c:v>
                </c:pt>
                <c:pt idx="403">
                  <c:v>34182</c:v>
                </c:pt>
                <c:pt idx="404">
                  <c:v>34213</c:v>
                </c:pt>
                <c:pt idx="405">
                  <c:v>34243</c:v>
                </c:pt>
                <c:pt idx="406">
                  <c:v>34274</c:v>
                </c:pt>
                <c:pt idx="407">
                  <c:v>34304</c:v>
                </c:pt>
                <c:pt idx="408">
                  <c:v>34335</c:v>
                </c:pt>
                <c:pt idx="409">
                  <c:v>34366</c:v>
                </c:pt>
                <c:pt idx="410">
                  <c:v>34394</c:v>
                </c:pt>
                <c:pt idx="411">
                  <c:v>34425</c:v>
                </c:pt>
                <c:pt idx="412">
                  <c:v>34455</c:v>
                </c:pt>
                <c:pt idx="413">
                  <c:v>34486</c:v>
                </c:pt>
                <c:pt idx="414">
                  <c:v>34516</c:v>
                </c:pt>
                <c:pt idx="415">
                  <c:v>34547</c:v>
                </c:pt>
                <c:pt idx="416">
                  <c:v>34578</c:v>
                </c:pt>
                <c:pt idx="417">
                  <c:v>34608</c:v>
                </c:pt>
                <c:pt idx="418">
                  <c:v>34639</c:v>
                </c:pt>
                <c:pt idx="419">
                  <c:v>34669</c:v>
                </c:pt>
                <c:pt idx="420">
                  <c:v>34700</c:v>
                </c:pt>
                <c:pt idx="421">
                  <c:v>34731</c:v>
                </c:pt>
                <c:pt idx="422">
                  <c:v>34759</c:v>
                </c:pt>
                <c:pt idx="423">
                  <c:v>34790</c:v>
                </c:pt>
                <c:pt idx="424">
                  <c:v>34820</c:v>
                </c:pt>
                <c:pt idx="425">
                  <c:v>34851</c:v>
                </c:pt>
                <c:pt idx="426">
                  <c:v>34881</c:v>
                </c:pt>
                <c:pt idx="427">
                  <c:v>34912</c:v>
                </c:pt>
                <c:pt idx="428">
                  <c:v>34943</c:v>
                </c:pt>
                <c:pt idx="429">
                  <c:v>34973</c:v>
                </c:pt>
                <c:pt idx="430">
                  <c:v>35004</c:v>
                </c:pt>
                <c:pt idx="431">
                  <c:v>35034</c:v>
                </c:pt>
                <c:pt idx="432">
                  <c:v>35065</c:v>
                </c:pt>
                <c:pt idx="433">
                  <c:v>35096</c:v>
                </c:pt>
                <c:pt idx="434">
                  <c:v>35125</c:v>
                </c:pt>
                <c:pt idx="435">
                  <c:v>35156</c:v>
                </c:pt>
                <c:pt idx="436">
                  <c:v>35186</c:v>
                </c:pt>
                <c:pt idx="437">
                  <c:v>35217</c:v>
                </c:pt>
                <c:pt idx="438">
                  <c:v>35247</c:v>
                </c:pt>
                <c:pt idx="439">
                  <c:v>35278</c:v>
                </c:pt>
                <c:pt idx="440">
                  <c:v>35309</c:v>
                </c:pt>
                <c:pt idx="441">
                  <c:v>35339</c:v>
                </c:pt>
                <c:pt idx="442">
                  <c:v>35370</c:v>
                </c:pt>
                <c:pt idx="443">
                  <c:v>35400</c:v>
                </c:pt>
                <c:pt idx="444">
                  <c:v>35431</c:v>
                </c:pt>
                <c:pt idx="445">
                  <c:v>35462</c:v>
                </c:pt>
                <c:pt idx="446">
                  <c:v>35490</c:v>
                </c:pt>
                <c:pt idx="447">
                  <c:v>35521</c:v>
                </c:pt>
                <c:pt idx="448">
                  <c:v>35551</c:v>
                </c:pt>
                <c:pt idx="449">
                  <c:v>35582</c:v>
                </c:pt>
                <c:pt idx="450">
                  <c:v>35612</c:v>
                </c:pt>
                <c:pt idx="451">
                  <c:v>35643</c:v>
                </c:pt>
                <c:pt idx="452">
                  <c:v>35674</c:v>
                </c:pt>
                <c:pt idx="453">
                  <c:v>35704</c:v>
                </c:pt>
                <c:pt idx="454">
                  <c:v>35735</c:v>
                </c:pt>
                <c:pt idx="455">
                  <c:v>35765</c:v>
                </c:pt>
                <c:pt idx="456">
                  <c:v>35796</c:v>
                </c:pt>
                <c:pt idx="457">
                  <c:v>35827</c:v>
                </c:pt>
                <c:pt idx="458">
                  <c:v>35855</c:v>
                </c:pt>
                <c:pt idx="459">
                  <c:v>35886</c:v>
                </c:pt>
                <c:pt idx="460">
                  <c:v>35916</c:v>
                </c:pt>
                <c:pt idx="461">
                  <c:v>35947</c:v>
                </c:pt>
                <c:pt idx="462">
                  <c:v>35977</c:v>
                </c:pt>
                <c:pt idx="463">
                  <c:v>36008</c:v>
                </c:pt>
                <c:pt idx="464">
                  <c:v>36039</c:v>
                </c:pt>
                <c:pt idx="465">
                  <c:v>36069</c:v>
                </c:pt>
                <c:pt idx="466">
                  <c:v>36100</c:v>
                </c:pt>
                <c:pt idx="467">
                  <c:v>36130</c:v>
                </c:pt>
                <c:pt idx="468">
                  <c:v>36161</c:v>
                </c:pt>
                <c:pt idx="469">
                  <c:v>36192</c:v>
                </c:pt>
                <c:pt idx="470">
                  <c:v>36220</c:v>
                </c:pt>
                <c:pt idx="471">
                  <c:v>36251</c:v>
                </c:pt>
                <c:pt idx="472">
                  <c:v>36281</c:v>
                </c:pt>
                <c:pt idx="473">
                  <c:v>36312</c:v>
                </c:pt>
                <c:pt idx="474">
                  <c:v>36342</c:v>
                </c:pt>
                <c:pt idx="475">
                  <c:v>36373</c:v>
                </c:pt>
                <c:pt idx="476">
                  <c:v>36404</c:v>
                </c:pt>
                <c:pt idx="477">
                  <c:v>36434</c:v>
                </c:pt>
                <c:pt idx="478">
                  <c:v>36465</c:v>
                </c:pt>
                <c:pt idx="479">
                  <c:v>36495</c:v>
                </c:pt>
                <c:pt idx="480">
                  <c:v>36526</c:v>
                </c:pt>
                <c:pt idx="481">
                  <c:v>36557</c:v>
                </c:pt>
                <c:pt idx="482">
                  <c:v>36586</c:v>
                </c:pt>
                <c:pt idx="483">
                  <c:v>36617</c:v>
                </c:pt>
                <c:pt idx="484">
                  <c:v>36647</c:v>
                </c:pt>
                <c:pt idx="485">
                  <c:v>36678</c:v>
                </c:pt>
                <c:pt idx="486">
                  <c:v>36708</c:v>
                </c:pt>
                <c:pt idx="487">
                  <c:v>36739</c:v>
                </c:pt>
                <c:pt idx="488">
                  <c:v>36770</c:v>
                </c:pt>
                <c:pt idx="489">
                  <c:v>36800</c:v>
                </c:pt>
                <c:pt idx="490">
                  <c:v>36831</c:v>
                </c:pt>
                <c:pt idx="491">
                  <c:v>36861</c:v>
                </c:pt>
                <c:pt idx="492">
                  <c:v>36892</c:v>
                </c:pt>
                <c:pt idx="493">
                  <c:v>36923</c:v>
                </c:pt>
                <c:pt idx="494">
                  <c:v>36951</c:v>
                </c:pt>
                <c:pt idx="495">
                  <c:v>36982</c:v>
                </c:pt>
                <c:pt idx="496">
                  <c:v>37012</c:v>
                </c:pt>
                <c:pt idx="497">
                  <c:v>37043</c:v>
                </c:pt>
                <c:pt idx="498">
                  <c:v>37073</c:v>
                </c:pt>
                <c:pt idx="499">
                  <c:v>37104</c:v>
                </c:pt>
                <c:pt idx="500">
                  <c:v>37135</c:v>
                </c:pt>
                <c:pt idx="501">
                  <c:v>37165</c:v>
                </c:pt>
                <c:pt idx="502">
                  <c:v>37196</c:v>
                </c:pt>
                <c:pt idx="503">
                  <c:v>37226</c:v>
                </c:pt>
                <c:pt idx="504">
                  <c:v>37257</c:v>
                </c:pt>
                <c:pt idx="505">
                  <c:v>37288</c:v>
                </c:pt>
                <c:pt idx="506">
                  <c:v>37316</c:v>
                </c:pt>
                <c:pt idx="507">
                  <c:v>37347</c:v>
                </c:pt>
                <c:pt idx="508">
                  <c:v>37377</c:v>
                </c:pt>
                <c:pt idx="509">
                  <c:v>37408</c:v>
                </c:pt>
                <c:pt idx="510">
                  <c:v>37438</c:v>
                </c:pt>
                <c:pt idx="511">
                  <c:v>37469</c:v>
                </c:pt>
                <c:pt idx="512">
                  <c:v>37500</c:v>
                </c:pt>
                <c:pt idx="513">
                  <c:v>37530</c:v>
                </c:pt>
                <c:pt idx="514">
                  <c:v>37561</c:v>
                </c:pt>
                <c:pt idx="515">
                  <c:v>37591</c:v>
                </c:pt>
                <c:pt idx="516">
                  <c:v>37622</c:v>
                </c:pt>
                <c:pt idx="517">
                  <c:v>37653</c:v>
                </c:pt>
                <c:pt idx="518">
                  <c:v>37681</c:v>
                </c:pt>
                <c:pt idx="519">
                  <c:v>37712</c:v>
                </c:pt>
                <c:pt idx="520">
                  <c:v>37742</c:v>
                </c:pt>
                <c:pt idx="521">
                  <c:v>37773</c:v>
                </c:pt>
                <c:pt idx="522">
                  <c:v>37803</c:v>
                </c:pt>
                <c:pt idx="523">
                  <c:v>37834</c:v>
                </c:pt>
                <c:pt idx="524">
                  <c:v>37865</c:v>
                </c:pt>
                <c:pt idx="525">
                  <c:v>37895</c:v>
                </c:pt>
                <c:pt idx="526">
                  <c:v>37926</c:v>
                </c:pt>
                <c:pt idx="527">
                  <c:v>37956</c:v>
                </c:pt>
                <c:pt idx="528">
                  <c:v>37987</c:v>
                </c:pt>
                <c:pt idx="529">
                  <c:v>38018</c:v>
                </c:pt>
                <c:pt idx="530">
                  <c:v>38047</c:v>
                </c:pt>
                <c:pt idx="531">
                  <c:v>38078</c:v>
                </c:pt>
                <c:pt idx="532">
                  <c:v>38108</c:v>
                </c:pt>
                <c:pt idx="533">
                  <c:v>38139</c:v>
                </c:pt>
                <c:pt idx="534">
                  <c:v>38169</c:v>
                </c:pt>
                <c:pt idx="535">
                  <c:v>38200</c:v>
                </c:pt>
                <c:pt idx="536">
                  <c:v>38231</c:v>
                </c:pt>
                <c:pt idx="537">
                  <c:v>38261</c:v>
                </c:pt>
                <c:pt idx="538">
                  <c:v>38292</c:v>
                </c:pt>
                <c:pt idx="539">
                  <c:v>38322</c:v>
                </c:pt>
                <c:pt idx="540">
                  <c:v>38353</c:v>
                </c:pt>
                <c:pt idx="541">
                  <c:v>38384</c:v>
                </c:pt>
                <c:pt idx="542">
                  <c:v>38412</c:v>
                </c:pt>
                <c:pt idx="543">
                  <c:v>38443</c:v>
                </c:pt>
                <c:pt idx="544">
                  <c:v>38473</c:v>
                </c:pt>
                <c:pt idx="545">
                  <c:v>38504</c:v>
                </c:pt>
                <c:pt idx="546">
                  <c:v>38534</c:v>
                </c:pt>
                <c:pt idx="547">
                  <c:v>38565</c:v>
                </c:pt>
                <c:pt idx="548">
                  <c:v>38596</c:v>
                </c:pt>
                <c:pt idx="549">
                  <c:v>38626</c:v>
                </c:pt>
                <c:pt idx="550">
                  <c:v>38657</c:v>
                </c:pt>
                <c:pt idx="551">
                  <c:v>38687</c:v>
                </c:pt>
                <c:pt idx="552">
                  <c:v>38718</c:v>
                </c:pt>
                <c:pt idx="553">
                  <c:v>38749</c:v>
                </c:pt>
                <c:pt idx="554">
                  <c:v>38777</c:v>
                </c:pt>
                <c:pt idx="555">
                  <c:v>38808</c:v>
                </c:pt>
                <c:pt idx="556">
                  <c:v>38838</c:v>
                </c:pt>
                <c:pt idx="557">
                  <c:v>38869</c:v>
                </c:pt>
                <c:pt idx="558">
                  <c:v>38899</c:v>
                </c:pt>
                <c:pt idx="559">
                  <c:v>38930</c:v>
                </c:pt>
                <c:pt idx="560">
                  <c:v>38961</c:v>
                </c:pt>
                <c:pt idx="561">
                  <c:v>38991</c:v>
                </c:pt>
                <c:pt idx="562">
                  <c:v>39022</c:v>
                </c:pt>
                <c:pt idx="563">
                  <c:v>39052</c:v>
                </c:pt>
                <c:pt idx="564">
                  <c:v>39083</c:v>
                </c:pt>
                <c:pt idx="565">
                  <c:v>39114</c:v>
                </c:pt>
                <c:pt idx="566">
                  <c:v>39142</c:v>
                </c:pt>
                <c:pt idx="567">
                  <c:v>39173</c:v>
                </c:pt>
                <c:pt idx="568">
                  <c:v>39203</c:v>
                </c:pt>
                <c:pt idx="569">
                  <c:v>39234</c:v>
                </c:pt>
                <c:pt idx="570">
                  <c:v>39264</c:v>
                </c:pt>
                <c:pt idx="571">
                  <c:v>39295</c:v>
                </c:pt>
                <c:pt idx="572">
                  <c:v>39326</c:v>
                </c:pt>
                <c:pt idx="573">
                  <c:v>39356</c:v>
                </c:pt>
                <c:pt idx="574">
                  <c:v>39387</c:v>
                </c:pt>
                <c:pt idx="575">
                  <c:v>39417</c:v>
                </c:pt>
                <c:pt idx="576">
                  <c:v>39448</c:v>
                </c:pt>
                <c:pt idx="577">
                  <c:v>39479</c:v>
                </c:pt>
                <c:pt idx="578">
                  <c:v>39508</c:v>
                </c:pt>
                <c:pt idx="579">
                  <c:v>39539</c:v>
                </c:pt>
                <c:pt idx="580">
                  <c:v>39569</c:v>
                </c:pt>
                <c:pt idx="581">
                  <c:v>39600</c:v>
                </c:pt>
                <c:pt idx="582">
                  <c:v>39630</c:v>
                </c:pt>
                <c:pt idx="583">
                  <c:v>39661</c:v>
                </c:pt>
                <c:pt idx="584">
                  <c:v>39692</c:v>
                </c:pt>
                <c:pt idx="585">
                  <c:v>39722</c:v>
                </c:pt>
                <c:pt idx="586">
                  <c:v>39753</c:v>
                </c:pt>
                <c:pt idx="587">
                  <c:v>39783</c:v>
                </c:pt>
                <c:pt idx="588">
                  <c:v>39814</c:v>
                </c:pt>
                <c:pt idx="589">
                  <c:v>39845</c:v>
                </c:pt>
                <c:pt idx="590">
                  <c:v>39873</c:v>
                </c:pt>
                <c:pt idx="591">
                  <c:v>39904</c:v>
                </c:pt>
                <c:pt idx="592">
                  <c:v>39934</c:v>
                </c:pt>
                <c:pt idx="593">
                  <c:v>39965</c:v>
                </c:pt>
                <c:pt idx="594">
                  <c:v>39995</c:v>
                </c:pt>
                <c:pt idx="595">
                  <c:v>40026</c:v>
                </c:pt>
                <c:pt idx="596">
                  <c:v>40057</c:v>
                </c:pt>
                <c:pt idx="597">
                  <c:v>40087</c:v>
                </c:pt>
                <c:pt idx="598">
                  <c:v>40118</c:v>
                </c:pt>
                <c:pt idx="599">
                  <c:v>40148</c:v>
                </c:pt>
                <c:pt idx="600">
                  <c:v>40179</c:v>
                </c:pt>
                <c:pt idx="601">
                  <c:v>40210</c:v>
                </c:pt>
                <c:pt idx="602">
                  <c:v>40238</c:v>
                </c:pt>
                <c:pt idx="603">
                  <c:v>40269</c:v>
                </c:pt>
                <c:pt idx="604">
                  <c:v>40299</c:v>
                </c:pt>
                <c:pt idx="605">
                  <c:v>40330</c:v>
                </c:pt>
                <c:pt idx="606">
                  <c:v>40360</c:v>
                </c:pt>
                <c:pt idx="607">
                  <c:v>40391</c:v>
                </c:pt>
                <c:pt idx="608">
                  <c:v>40422</c:v>
                </c:pt>
                <c:pt idx="609">
                  <c:v>40452</c:v>
                </c:pt>
                <c:pt idx="610">
                  <c:v>40483</c:v>
                </c:pt>
                <c:pt idx="611">
                  <c:v>40513</c:v>
                </c:pt>
                <c:pt idx="612">
                  <c:v>40544</c:v>
                </c:pt>
                <c:pt idx="613">
                  <c:v>40575</c:v>
                </c:pt>
                <c:pt idx="614">
                  <c:v>40603</c:v>
                </c:pt>
                <c:pt idx="615">
                  <c:v>40634</c:v>
                </c:pt>
                <c:pt idx="616">
                  <c:v>40664</c:v>
                </c:pt>
                <c:pt idx="617">
                  <c:v>40695</c:v>
                </c:pt>
                <c:pt idx="618">
                  <c:v>40725</c:v>
                </c:pt>
                <c:pt idx="619">
                  <c:v>40756</c:v>
                </c:pt>
                <c:pt idx="620">
                  <c:v>40787</c:v>
                </c:pt>
                <c:pt idx="621">
                  <c:v>40817</c:v>
                </c:pt>
                <c:pt idx="622">
                  <c:v>40848</c:v>
                </c:pt>
                <c:pt idx="623">
                  <c:v>40878</c:v>
                </c:pt>
                <c:pt idx="624">
                  <c:v>40909</c:v>
                </c:pt>
                <c:pt idx="625">
                  <c:v>40940</c:v>
                </c:pt>
                <c:pt idx="626">
                  <c:v>40969</c:v>
                </c:pt>
                <c:pt idx="627">
                  <c:v>41000</c:v>
                </c:pt>
                <c:pt idx="628">
                  <c:v>41030</c:v>
                </c:pt>
                <c:pt idx="629">
                  <c:v>41061</c:v>
                </c:pt>
                <c:pt idx="630">
                  <c:v>41091</c:v>
                </c:pt>
                <c:pt idx="631">
                  <c:v>41122</c:v>
                </c:pt>
                <c:pt idx="632">
                  <c:v>41153</c:v>
                </c:pt>
                <c:pt idx="633">
                  <c:v>41183</c:v>
                </c:pt>
                <c:pt idx="634">
                  <c:v>41214</c:v>
                </c:pt>
                <c:pt idx="635">
                  <c:v>41244</c:v>
                </c:pt>
                <c:pt idx="636">
                  <c:v>41275</c:v>
                </c:pt>
                <c:pt idx="637">
                  <c:v>41306</c:v>
                </c:pt>
                <c:pt idx="638">
                  <c:v>41334</c:v>
                </c:pt>
                <c:pt idx="639">
                  <c:v>41365</c:v>
                </c:pt>
                <c:pt idx="640">
                  <c:v>41395</c:v>
                </c:pt>
                <c:pt idx="641">
                  <c:v>41426</c:v>
                </c:pt>
                <c:pt idx="642">
                  <c:v>41456</c:v>
                </c:pt>
                <c:pt idx="643">
                  <c:v>41487</c:v>
                </c:pt>
                <c:pt idx="644">
                  <c:v>41518</c:v>
                </c:pt>
                <c:pt idx="645">
                  <c:v>41548</c:v>
                </c:pt>
                <c:pt idx="646">
                  <c:v>41579</c:v>
                </c:pt>
                <c:pt idx="647">
                  <c:v>41609</c:v>
                </c:pt>
                <c:pt idx="648">
                  <c:v>41640</c:v>
                </c:pt>
                <c:pt idx="649">
                  <c:v>41671</c:v>
                </c:pt>
                <c:pt idx="650">
                  <c:v>41699</c:v>
                </c:pt>
                <c:pt idx="651">
                  <c:v>41730</c:v>
                </c:pt>
                <c:pt idx="652">
                  <c:v>41760</c:v>
                </c:pt>
                <c:pt idx="653">
                  <c:v>41791</c:v>
                </c:pt>
                <c:pt idx="654">
                  <c:v>41821</c:v>
                </c:pt>
                <c:pt idx="655">
                  <c:v>41852</c:v>
                </c:pt>
                <c:pt idx="656">
                  <c:v>41883</c:v>
                </c:pt>
                <c:pt idx="657">
                  <c:v>41913</c:v>
                </c:pt>
                <c:pt idx="658">
                  <c:v>41944</c:v>
                </c:pt>
                <c:pt idx="659">
                  <c:v>41974</c:v>
                </c:pt>
                <c:pt idx="660">
                  <c:v>42005</c:v>
                </c:pt>
                <c:pt idx="661">
                  <c:v>42036</c:v>
                </c:pt>
                <c:pt idx="662">
                  <c:v>42064</c:v>
                </c:pt>
                <c:pt idx="663">
                  <c:v>42095</c:v>
                </c:pt>
                <c:pt idx="664">
                  <c:v>42125</c:v>
                </c:pt>
                <c:pt idx="665">
                  <c:v>42156</c:v>
                </c:pt>
                <c:pt idx="666">
                  <c:v>42186</c:v>
                </c:pt>
                <c:pt idx="667">
                  <c:v>42217</c:v>
                </c:pt>
                <c:pt idx="668">
                  <c:v>42248</c:v>
                </c:pt>
                <c:pt idx="669">
                  <c:v>42278</c:v>
                </c:pt>
                <c:pt idx="670">
                  <c:v>42309</c:v>
                </c:pt>
                <c:pt idx="671">
                  <c:v>42339</c:v>
                </c:pt>
                <c:pt idx="672">
                  <c:v>42370</c:v>
                </c:pt>
                <c:pt idx="673">
                  <c:v>42401</c:v>
                </c:pt>
                <c:pt idx="674">
                  <c:v>42430</c:v>
                </c:pt>
                <c:pt idx="675">
                  <c:v>42461</c:v>
                </c:pt>
                <c:pt idx="676">
                  <c:v>42491</c:v>
                </c:pt>
                <c:pt idx="677">
                  <c:v>42522</c:v>
                </c:pt>
                <c:pt idx="678">
                  <c:v>42552</c:v>
                </c:pt>
                <c:pt idx="679">
                  <c:v>42583</c:v>
                </c:pt>
                <c:pt idx="680">
                  <c:v>42614</c:v>
                </c:pt>
                <c:pt idx="681">
                  <c:v>42644</c:v>
                </c:pt>
                <c:pt idx="682">
                  <c:v>42675</c:v>
                </c:pt>
                <c:pt idx="683">
                  <c:v>42705</c:v>
                </c:pt>
                <c:pt idx="684">
                  <c:v>42736</c:v>
                </c:pt>
                <c:pt idx="685">
                  <c:v>42767</c:v>
                </c:pt>
                <c:pt idx="686">
                  <c:v>42795</c:v>
                </c:pt>
                <c:pt idx="687">
                  <c:v>42826</c:v>
                </c:pt>
                <c:pt idx="688">
                  <c:v>42856</c:v>
                </c:pt>
                <c:pt idx="689">
                  <c:v>42887</c:v>
                </c:pt>
                <c:pt idx="690">
                  <c:v>42917</c:v>
                </c:pt>
                <c:pt idx="691">
                  <c:v>42948</c:v>
                </c:pt>
                <c:pt idx="692">
                  <c:v>42979</c:v>
                </c:pt>
                <c:pt idx="693">
                  <c:v>43009</c:v>
                </c:pt>
                <c:pt idx="694">
                  <c:v>43040</c:v>
                </c:pt>
                <c:pt idx="695">
                  <c:v>43070</c:v>
                </c:pt>
                <c:pt idx="696">
                  <c:v>43101</c:v>
                </c:pt>
                <c:pt idx="697">
                  <c:v>43132</c:v>
                </c:pt>
                <c:pt idx="698">
                  <c:v>43160</c:v>
                </c:pt>
                <c:pt idx="699">
                  <c:v>43191</c:v>
                </c:pt>
                <c:pt idx="700">
                  <c:v>43221</c:v>
                </c:pt>
                <c:pt idx="701">
                  <c:v>43252</c:v>
                </c:pt>
                <c:pt idx="702">
                  <c:v>43282</c:v>
                </c:pt>
                <c:pt idx="703">
                  <c:v>43313</c:v>
                </c:pt>
                <c:pt idx="704">
                  <c:v>43344</c:v>
                </c:pt>
                <c:pt idx="705">
                  <c:v>43374</c:v>
                </c:pt>
                <c:pt idx="706">
                  <c:v>43405</c:v>
                </c:pt>
                <c:pt idx="707">
                  <c:v>43435</c:v>
                </c:pt>
                <c:pt idx="708">
                  <c:v>43466</c:v>
                </c:pt>
                <c:pt idx="709">
                  <c:v>43497</c:v>
                </c:pt>
                <c:pt idx="710">
                  <c:v>43525</c:v>
                </c:pt>
                <c:pt idx="711">
                  <c:v>43556</c:v>
                </c:pt>
                <c:pt idx="712">
                  <c:v>43586</c:v>
                </c:pt>
                <c:pt idx="713">
                  <c:v>43617</c:v>
                </c:pt>
                <c:pt idx="714">
                  <c:v>43647</c:v>
                </c:pt>
                <c:pt idx="715">
                  <c:v>43678</c:v>
                </c:pt>
                <c:pt idx="716">
                  <c:v>43709</c:v>
                </c:pt>
                <c:pt idx="717">
                  <c:v>43739</c:v>
                </c:pt>
                <c:pt idx="718">
                  <c:v>43770</c:v>
                </c:pt>
                <c:pt idx="719">
                  <c:v>43800</c:v>
                </c:pt>
                <c:pt idx="720">
                  <c:v>43831</c:v>
                </c:pt>
                <c:pt idx="721">
                  <c:v>43862</c:v>
                </c:pt>
                <c:pt idx="722">
                  <c:v>43891</c:v>
                </c:pt>
                <c:pt idx="723">
                  <c:v>43922</c:v>
                </c:pt>
                <c:pt idx="724">
                  <c:v>43952</c:v>
                </c:pt>
                <c:pt idx="725">
                  <c:v>43983</c:v>
                </c:pt>
                <c:pt idx="726">
                  <c:v>44013</c:v>
                </c:pt>
                <c:pt idx="727">
                  <c:v>44044</c:v>
                </c:pt>
                <c:pt idx="728">
                  <c:v>44075</c:v>
                </c:pt>
                <c:pt idx="729">
                  <c:v>44105</c:v>
                </c:pt>
                <c:pt idx="730">
                  <c:v>44136</c:v>
                </c:pt>
                <c:pt idx="731">
                  <c:v>44166</c:v>
                </c:pt>
                <c:pt idx="732">
                  <c:v>44197</c:v>
                </c:pt>
                <c:pt idx="733">
                  <c:v>44228</c:v>
                </c:pt>
                <c:pt idx="734">
                  <c:v>44256</c:v>
                </c:pt>
                <c:pt idx="735">
                  <c:v>44287</c:v>
                </c:pt>
                <c:pt idx="736">
                  <c:v>44317</c:v>
                </c:pt>
                <c:pt idx="737">
                  <c:v>44348</c:v>
                </c:pt>
                <c:pt idx="738">
                  <c:v>44378</c:v>
                </c:pt>
                <c:pt idx="739">
                  <c:v>44409</c:v>
                </c:pt>
                <c:pt idx="740">
                  <c:v>44440</c:v>
                </c:pt>
                <c:pt idx="741">
                  <c:v>44470</c:v>
                </c:pt>
                <c:pt idx="742">
                  <c:v>44501</c:v>
                </c:pt>
                <c:pt idx="743">
                  <c:v>44531</c:v>
                </c:pt>
              </c:numCache>
            </c:numRef>
          </c:cat>
          <c:val>
            <c:numRef>
              <c:f>'Building Permits - Authorized'!$B$7:$B$750</c:f>
              <c:numCache>
                <c:formatCode>General</c:formatCode>
                <c:ptCount val="744"/>
                <c:pt idx="0">
                  <c:v>1092</c:v>
                </c:pt>
                <c:pt idx="1">
                  <c:v>1088</c:v>
                </c:pt>
                <c:pt idx="2">
                  <c:v>955</c:v>
                </c:pt>
                <c:pt idx="3">
                  <c:v>1016</c:v>
                </c:pt>
                <c:pt idx="4">
                  <c:v>1052</c:v>
                </c:pt>
                <c:pt idx="5">
                  <c:v>958</c:v>
                </c:pt>
                <c:pt idx="6">
                  <c:v>999</c:v>
                </c:pt>
                <c:pt idx="7">
                  <c:v>994</c:v>
                </c:pt>
                <c:pt idx="8">
                  <c:v>984</c:v>
                </c:pt>
                <c:pt idx="9">
                  <c:v>972</c:v>
                </c:pt>
                <c:pt idx="10">
                  <c:v>979</c:v>
                </c:pt>
                <c:pt idx="11">
                  <c:v>951</c:v>
                </c:pt>
                <c:pt idx="12">
                  <c:v>969</c:v>
                </c:pt>
                <c:pt idx="13">
                  <c:v>961</c:v>
                </c:pt>
                <c:pt idx="14">
                  <c:v>1000</c:v>
                </c:pt>
                <c:pt idx="15">
                  <c:v>1002</c:v>
                </c:pt>
                <c:pt idx="16">
                  <c:v>1027</c:v>
                </c:pt>
                <c:pt idx="17">
                  <c:v>1070</c:v>
                </c:pt>
                <c:pt idx="18">
                  <c:v>1083</c:v>
                </c:pt>
                <c:pt idx="19">
                  <c:v>1159</c:v>
                </c:pt>
                <c:pt idx="20">
                  <c:v>1098</c:v>
                </c:pt>
                <c:pt idx="21">
                  <c:v>1123</c:v>
                </c:pt>
                <c:pt idx="22">
                  <c:v>1152</c:v>
                </c:pt>
                <c:pt idx="23">
                  <c:v>1161</c:v>
                </c:pt>
                <c:pt idx="24">
                  <c:v>1122</c:v>
                </c:pt>
                <c:pt idx="25">
                  <c:v>1194</c:v>
                </c:pt>
                <c:pt idx="26">
                  <c:v>1134</c:v>
                </c:pt>
                <c:pt idx="27">
                  <c:v>1235</c:v>
                </c:pt>
                <c:pt idx="28">
                  <c:v>1142</c:v>
                </c:pt>
                <c:pt idx="29">
                  <c:v>1154</c:v>
                </c:pt>
                <c:pt idx="30">
                  <c:v>1189</c:v>
                </c:pt>
                <c:pt idx="31">
                  <c:v>1200</c:v>
                </c:pt>
                <c:pt idx="32">
                  <c:v>1223</c:v>
                </c:pt>
                <c:pt idx="33">
                  <c:v>1181</c:v>
                </c:pt>
                <c:pt idx="34">
                  <c:v>1236</c:v>
                </c:pt>
                <c:pt idx="35">
                  <c:v>1236</c:v>
                </c:pt>
                <c:pt idx="36">
                  <c:v>1248</c:v>
                </c:pt>
                <c:pt idx="37">
                  <c:v>1212</c:v>
                </c:pt>
                <c:pt idx="38">
                  <c:v>1258</c:v>
                </c:pt>
                <c:pt idx="39">
                  <c:v>1288</c:v>
                </c:pt>
                <c:pt idx="40">
                  <c:v>1350</c:v>
                </c:pt>
                <c:pt idx="41">
                  <c:v>1345</c:v>
                </c:pt>
                <c:pt idx="42">
                  <c:v>1321</c:v>
                </c:pt>
                <c:pt idx="43">
                  <c:v>1310</c:v>
                </c:pt>
                <c:pt idx="44">
                  <c:v>1413</c:v>
                </c:pt>
                <c:pt idx="45">
                  <c:v>1414</c:v>
                </c:pt>
                <c:pt idx="46">
                  <c:v>1357</c:v>
                </c:pt>
                <c:pt idx="47">
                  <c:v>1423</c:v>
                </c:pt>
                <c:pt idx="48">
                  <c:v>1296</c:v>
                </c:pt>
                <c:pt idx="49">
                  <c:v>1442</c:v>
                </c:pt>
                <c:pt idx="50">
                  <c:v>1313</c:v>
                </c:pt>
                <c:pt idx="51">
                  <c:v>1264</c:v>
                </c:pt>
                <c:pt idx="52">
                  <c:v>1299</c:v>
                </c:pt>
                <c:pt idx="53">
                  <c:v>1280</c:v>
                </c:pt>
                <c:pt idx="54">
                  <c:v>1304</c:v>
                </c:pt>
                <c:pt idx="55">
                  <c:v>1306</c:v>
                </c:pt>
                <c:pt idx="56">
                  <c:v>1265</c:v>
                </c:pt>
                <c:pt idx="57">
                  <c:v>1230</c:v>
                </c:pt>
                <c:pt idx="58">
                  <c:v>1254</c:v>
                </c:pt>
                <c:pt idx="59">
                  <c:v>1164</c:v>
                </c:pt>
                <c:pt idx="60">
                  <c:v>1264</c:v>
                </c:pt>
                <c:pt idx="61">
                  <c:v>1185</c:v>
                </c:pt>
                <c:pt idx="62">
                  <c:v>1211</c:v>
                </c:pt>
                <c:pt idx="63">
                  <c:v>1162</c:v>
                </c:pt>
                <c:pt idx="64">
                  <c:v>1207</c:v>
                </c:pt>
                <c:pt idx="65">
                  <c:v>1241</c:v>
                </c:pt>
                <c:pt idx="66">
                  <c:v>1237</c:v>
                </c:pt>
                <c:pt idx="67">
                  <c:v>1249</c:v>
                </c:pt>
                <c:pt idx="68">
                  <c:v>1227</c:v>
                </c:pt>
                <c:pt idx="69">
                  <c:v>1279</c:v>
                </c:pt>
                <c:pt idx="70">
                  <c:v>1306</c:v>
                </c:pt>
                <c:pt idx="71">
                  <c:v>1315</c:v>
                </c:pt>
                <c:pt idx="72">
                  <c:v>1325</c:v>
                </c:pt>
                <c:pt idx="73">
                  <c:v>1159</c:v>
                </c:pt>
                <c:pt idx="74">
                  <c:v>1234</c:v>
                </c:pt>
                <c:pt idx="75">
                  <c:v>1145</c:v>
                </c:pt>
                <c:pt idx="76">
                  <c:v>1078</c:v>
                </c:pt>
                <c:pt idx="77">
                  <c:v>956</c:v>
                </c:pt>
                <c:pt idx="78">
                  <c:v>932</c:v>
                </c:pt>
                <c:pt idx="79">
                  <c:v>877</c:v>
                </c:pt>
                <c:pt idx="80">
                  <c:v>774</c:v>
                </c:pt>
                <c:pt idx="81">
                  <c:v>739</c:v>
                </c:pt>
                <c:pt idx="82">
                  <c:v>736</c:v>
                </c:pt>
                <c:pt idx="83">
                  <c:v>743</c:v>
                </c:pt>
                <c:pt idx="84">
                  <c:v>995</c:v>
                </c:pt>
                <c:pt idx="85">
                  <c:v>907</c:v>
                </c:pt>
                <c:pt idx="86">
                  <c:v>955</c:v>
                </c:pt>
                <c:pt idx="87">
                  <c:v>1035</c:v>
                </c:pt>
                <c:pt idx="88">
                  <c:v>1076</c:v>
                </c:pt>
                <c:pt idx="89">
                  <c:v>1169</c:v>
                </c:pt>
                <c:pt idx="90">
                  <c:v>1177</c:v>
                </c:pt>
                <c:pt idx="91">
                  <c:v>1229</c:v>
                </c:pt>
                <c:pt idx="92">
                  <c:v>1279</c:v>
                </c:pt>
                <c:pt idx="93">
                  <c:v>1280</c:v>
                </c:pt>
                <c:pt idx="94">
                  <c:v>1297</c:v>
                </c:pt>
                <c:pt idx="95">
                  <c:v>1315</c:v>
                </c:pt>
                <c:pt idx="96">
                  <c:v>1179</c:v>
                </c:pt>
                <c:pt idx="97">
                  <c:v>1342</c:v>
                </c:pt>
                <c:pt idx="98">
                  <c:v>1370</c:v>
                </c:pt>
                <c:pt idx="99">
                  <c:v>1286</c:v>
                </c:pt>
                <c:pt idx="100">
                  <c:v>1297</c:v>
                </c:pt>
                <c:pt idx="101">
                  <c:v>1300</c:v>
                </c:pt>
                <c:pt idx="102">
                  <c:v>1344</c:v>
                </c:pt>
                <c:pt idx="103">
                  <c:v>1357</c:v>
                </c:pt>
                <c:pt idx="104">
                  <c:v>1464</c:v>
                </c:pt>
                <c:pt idx="105">
                  <c:v>1421</c:v>
                </c:pt>
                <c:pt idx="106">
                  <c:v>1436</c:v>
                </c:pt>
                <c:pt idx="107">
                  <c:v>1389</c:v>
                </c:pt>
                <c:pt idx="108">
                  <c:v>1459</c:v>
                </c:pt>
                <c:pt idx="109">
                  <c:v>1495</c:v>
                </c:pt>
                <c:pt idx="110">
                  <c:v>1438</c:v>
                </c:pt>
                <c:pt idx="111">
                  <c:v>1441</c:v>
                </c:pt>
                <c:pt idx="112">
                  <c:v>1328</c:v>
                </c:pt>
                <c:pt idx="113">
                  <c:v>1349</c:v>
                </c:pt>
                <c:pt idx="114">
                  <c:v>1278</c:v>
                </c:pt>
                <c:pt idx="115">
                  <c:v>1317</c:v>
                </c:pt>
                <c:pt idx="116">
                  <c:v>1263</c:v>
                </c:pt>
                <c:pt idx="117">
                  <c:v>1216</c:v>
                </c:pt>
                <c:pt idx="118">
                  <c:v>1191</c:v>
                </c:pt>
                <c:pt idx="119">
                  <c:v>1155</c:v>
                </c:pt>
                <c:pt idx="120">
                  <c:v>1062</c:v>
                </c:pt>
                <c:pt idx="121">
                  <c:v>1118</c:v>
                </c:pt>
                <c:pt idx="122">
                  <c:v>1132</c:v>
                </c:pt>
                <c:pt idx="123">
                  <c:v>1224</c:v>
                </c:pt>
                <c:pt idx="124">
                  <c:v>1328</c:v>
                </c:pt>
                <c:pt idx="125">
                  <c:v>1322</c:v>
                </c:pt>
                <c:pt idx="126">
                  <c:v>1324</c:v>
                </c:pt>
                <c:pt idx="127">
                  <c:v>1394</c:v>
                </c:pt>
                <c:pt idx="128">
                  <c:v>1426</c:v>
                </c:pt>
                <c:pt idx="129">
                  <c:v>1564</c:v>
                </c:pt>
                <c:pt idx="130">
                  <c:v>1502</c:v>
                </c:pt>
                <c:pt idx="131">
                  <c:v>1767</c:v>
                </c:pt>
                <c:pt idx="132">
                  <c:v>1643</c:v>
                </c:pt>
                <c:pt idx="133">
                  <c:v>1588</c:v>
                </c:pt>
                <c:pt idx="134">
                  <c:v>1759</c:v>
                </c:pt>
                <c:pt idx="135">
                  <c:v>1745</c:v>
                </c:pt>
                <c:pt idx="136">
                  <c:v>1972</c:v>
                </c:pt>
                <c:pt idx="137">
                  <c:v>1903</c:v>
                </c:pt>
                <c:pt idx="138">
                  <c:v>2069</c:v>
                </c:pt>
                <c:pt idx="139">
                  <c:v>2004</c:v>
                </c:pt>
                <c:pt idx="140">
                  <c:v>1996</c:v>
                </c:pt>
                <c:pt idx="141">
                  <c:v>2026</c:v>
                </c:pt>
                <c:pt idx="142">
                  <c:v>2079</c:v>
                </c:pt>
                <c:pt idx="143">
                  <c:v>2133</c:v>
                </c:pt>
                <c:pt idx="144">
                  <c:v>2238</c:v>
                </c:pt>
                <c:pt idx="145">
                  <c:v>2169</c:v>
                </c:pt>
                <c:pt idx="146">
                  <c:v>2105</c:v>
                </c:pt>
                <c:pt idx="147">
                  <c:v>2139</c:v>
                </c:pt>
                <c:pt idx="148">
                  <c:v>2067</c:v>
                </c:pt>
                <c:pt idx="149">
                  <c:v>2183</c:v>
                </c:pt>
                <c:pt idx="150">
                  <c:v>2195</c:v>
                </c:pt>
                <c:pt idx="151">
                  <c:v>2263</c:v>
                </c:pt>
                <c:pt idx="152">
                  <c:v>2393</c:v>
                </c:pt>
                <c:pt idx="153">
                  <c:v>2354</c:v>
                </c:pt>
                <c:pt idx="154">
                  <c:v>2234</c:v>
                </c:pt>
                <c:pt idx="155">
                  <c:v>2419</c:v>
                </c:pt>
                <c:pt idx="156">
                  <c:v>2271</c:v>
                </c:pt>
                <c:pt idx="157">
                  <c:v>2226</c:v>
                </c:pt>
                <c:pt idx="158">
                  <c:v>2062</c:v>
                </c:pt>
                <c:pt idx="159">
                  <c:v>1908</c:v>
                </c:pt>
                <c:pt idx="160">
                  <c:v>1931</c:v>
                </c:pt>
                <c:pt idx="161">
                  <c:v>2051</c:v>
                </c:pt>
                <c:pt idx="162">
                  <c:v>1819</c:v>
                </c:pt>
                <c:pt idx="163">
                  <c:v>1809</c:v>
                </c:pt>
                <c:pt idx="164">
                  <c:v>1704</c:v>
                </c:pt>
                <c:pt idx="165">
                  <c:v>1411</c:v>
                </c:pt>
                <c:pt idx="166">
                  <c:v>1402</c:v>
                </c:pt>
                <c:pt idx="167">
                  <c:v>1288</c:v>
                </c:pt>
                <c:pt idx="168">
                  <c:v>1331</c:v>
                </c:pt>
                <c:pt idx="169">
                  <c:v>1360</c:v>
                </c:pt>
                <c:pt idx="170">
                  <c:v>1440</c:v>
                </c:pt>
                <c:pt idx="171">
                  <c:v>1254</c:v>
                </c:pt>
                <c:pt idx="172">
                  <c:v>1138</c:v>
                </c:pt>
                <c:pt idx="173">
                  <c:v>1086</c:v>
                </c:pt>
                <c:pt idx="174">
                  <c:v>1002</c:v>
                </c:pt>
                <c:pt idx="175">
                  <c:v>917</c:v>
                </c:pt>
                <c:pt idx="176">
                  <c:v>840</c:v>
                </c:pt>
                <c:pt idx="177">
                  <c:v>824</c:v>
                </c:pt>
                <c:pt idx="178">
                  <c:v>783</c:v>
                </c:pt>
                <c:pt idx="179">
                  <c:v>869</c:v>
                </c:pt>
                <c:pt idx="180">
                  <c:v>726</c:v>
                </c:pt>
                <c:pt idx="181">
                  <c:v>729</c:v>
                </c:pt>
                <c:pt idx="182">
                  <c:v>709</c:v>
                </c:pt>
                <c:pt idx="183">
                  <c:v>866</c:v>
                </c:pt>
                <c:pt idx="184">
                  <c:v>914</c:v>
                </c:pt>
                <c:pt idx="185">
                  <c:v>946</c:v>
                </c:pt>
                <c:pt idx="186">
                  <c:v>1020</c:v>
                </c:pt>
                <c:pt idx="187">
                  <c:v>994</c:v>
                </c:pt>
                <c:pt idx="188">
                  <c:v>1064</c:v>
                </c:pt>
                <c:pt idx="189">
                  <c:v>1096</c:v>
                </c:pt>
                <c:pt idx="190">
                  <c:v>1110</c:v>
                </c:pt>
                <c:pt idx="191">
                  <c:v>1091</c:v>
                </c:pt>
                <c:pt idx="192">
                  <c:v>1195</c:v>
                </c:pt>
                <c:pt idx="193">
                  <c:v>1190</c:v>
                </c:pt>
                <c:pt idx="194">
                  <c:v>1164</c:v>
                </c:pt>
                <c:pt idx="195">
                  <c:v>1132</c:v>
                </c:pt>
                <c:pt idx="196">
                  <c:v>1194</c:v>
                </c:pt>
                <c:pt idx="197">
                  <c:v>1188</c:v>
                </c:pt>
                <c:pt idx="198">
                  <c:v>1245</c:v>
                </c:pt>
                <c:pt idx="199">
                  <c:v>1309</c:v>
                </c:pt>
                <c:pt idx="200">
                  <c:v>1481</c:v>
                </c:pt>
                <c:pt idx="201">
                  <c:v>1425</c:v>
                </c:pt>
                <c:pt idx="202">
                  <c:v>1531</c:v>
                </c:pt>
                <c:pt idx="203">
                  <c:v>1511</c:v>
                </c:pt>
                <c:pt idx="204">
                  <c:v>1466</c:v>
                </c:pt>
                <c:pt idx="205">
                  <c:v>1560</c:v>
                </c:pt>
                <c:pt idx="206">
                  <c:v>1660</c:v>
                </c:pt>
                <c:pt idx="207">
                  <c:v>1660</c:v>
                </c:pt>
                <c:pt idx="208">
                  <c:v>1668</c:v>
                </c:pt>
                <c:pt idx="209">
                  <c:v>1752</c:v>
                </c:pt>
                <c:pt idx="210">
                  <c:v>1687</c:v>
                </c:pt>
                <c:pt idx="211">
                  <c:v>1780</c:v>
                </c:pt>
                <c:pt idx="212">
                  <c:v>1674</c:v>
                </c:pt>
                <c:pt idx="213">
                  <c:v>1758</c:v>
                </c:pt>
                <c:pt idx="214">
                  <c:v>1771</c:v>
                </c:pt>
                <c:pt idx="215">
                  <c:v>1754</c:v>
                </c:pt>
                <c:pt idx="216">
                  <c:v>1740</c:v>
                </c:pt>
                <c:pt idx="217">
                  <c:v>1736</c:v>
                </c:pt>
                <c:pt idx="218">
                  <c:v>1799</c:v>
                </c:pt>
                <c:pt idx="219">
                  <c:v>1948</c:v>
                </c:pt>
                <c:pt idx="220">
                  <c:v>1766</c:v>
                </c:pt>
                <c:pt idx="221">
                  <c:v>1983</c:v>
                </c:pt>
                <c:pt idx="222">
                  <c:v>1786</c:v>
                </c:pt>
                <c:pt idx="223">
                  <c:v>1691</c:v>
                </c:pt>
                <c:pt idx="224">
                  <c:v>1751</c:v>
                </c:pt>
                <c:pt idx="225">
                  <c:v>1781</c:v>
                </c:pt>
                <c:pt idx="226">
                  <c:v>1795</c:v>
                </c:pt>
                <c:pt idx="227">
                  <c:v>1818</c:v>
                </c:pt>
                <c:pt idx="228">
                  <c:v>1461</c:v>
                </c:pt>
                <c:pt idx="229">
                  <c:v>1492</c:v>
                </c:pt>
                <c:pt idx="230">
                  <c:v>1720</c:v>
                </c:pt>
                <c:pt idx="231">
                  <c:v>1597</c:v>
                </c:pt>
                <c:pt idx="232">
                  <c:v>1684</c:v>
                </c:pt>
                <c:pt idx="233">
                  <c:v>1640</c:v>
                </c:pt>
                <c:pt idx="234">
                  <c:v>1534</c:v>
                </c:pt>
                <c:pt idx="235">
                  <c:v>1591</c:v>
                </c:pt>
                <c:pt idx="236">
                  <c:v>1638</c:v>
                </c:pt>
                <c:pt idx="237">
                  <c:v>1481</c:v>
                </c:pt>
                <c:pt idx="238">
                  <c:v>1276</c:v>
                </c:pt>
                <c:pt idx="239">
                  <c:v>1254</c:v>
                </c:pt>
                <c:pt idx="240">
                  <c:v>1280</c:v>
                </c:pt>
                <c:pt idx="241">
                  <c:v>1199</c:v>
                </c:pt>
                <c:pt idx="242">
                  <c:v>988</c:v>
                </c:pt>
                <c:pt idx="243">
                  <c:v>808</c:v>
                </c:pt>
                <c:pt idx="244">
                  <c:v>861</c:v>
                </c:pt>
                <c:pt idx="245">
                  <c:v>1118</c:v>
                </c:pt>
                <c:pt idx="246">
                  <c:v>1259</c:v>
                </c:pt>
                <c:pt idx="247">
                  <c:v>1367</c:v>
                </c:pt>
                <c:pt idx="248">
                  <c:v>1484</c:v>
                </c:pt>
                <c:pt idx="249">
                  <c:v>1366</c:v>
                </c:pt>
                <c:pt idx="250">
                  <c:v>1383</c:v>
                </c:pt>
                <c:pt idx="251">
                  <c:v>1249</c:v>
                </c:pt>
                <c:pt idx="252">
                  <c:v>1221</c:v>
                </c:pt>
                <c:pt idx="253">
                  <c:v>1199</c:v>
                </c:pt>
                <c:pt idx="254">
                  <c:v>1183</c:v>
                </c:pt>
                <c:pt idx="255">
                  <c:v>1190</c:v>
                </c:pt>
                <c:pt idx="256">
                  <c:v>1173</c:v>
                </c:pt>
                <c:pt idx="257">
                  <c:v>976</c:v>
                </c:pt>
                <c:pt idx="258">
                  <c:v>935</c:v>
                </c:pt>
                <c:pt idx="259">
                  <c:v>889</c:v>
                </c:pt>
                <c:pt idx="260">
                  <c:v>847</c:v>
                </c:pt>
                <c:pt idx="261">
                  <c:v>731</c:v>
                </c:pt>
                <c:pt idx="262">
                  <c:v>748</c:v>
                </c:pt>
                <c:pt idx="263">
                  <c:v>796</c:v>
                </c:pt>
                <c:pt idx="264">
                  <c:v>794</c:v>
                </c:pt>
                <c:pt idx="265">
                  <c:v>808</c:v>
                </c:pt>
                <c:pt idx="266">
                  <c:v>891</c:v>
                </c:pt>
                <c:pt idx="267">
                  <c:v>888</c:v>
                </c:pt>
                <c:pt idx="268">
                  <c:v>953</c:v>
                </c:pt>
                <c:pt idx="269">
                  <c:v>913</c:v>
                </c:pt>
                <c:pt idx="270">
                  <c:v>1044</c:v>
                </c:pt>
                <c:pt idx="271">
                  <c:v>926</c:v>
                </c:pt>
                <c:pt idx="272">
                  <c:v>1042</c:v>
                </c:pt>
                <c:pt idx="273">
                  <c:v>1149</c:v>
                </c:pt>
                <c:pt idx="274">
                  <c:v>1229</c:v>
                </c:pt>
                <c:pt idx="275">
                  <c:v>1351</c:v>
                </c:pt>
                <c:pt idx="276">
                  <c:v>1426</c:v>
                </c:pt>
                <c:pt idx="277">
                  <c:v>1471</c:v>
                </c:pt>
                <c:pt idx="278">
                  <c:v>1475</c:v>
                </c:pt>
                <c:pt idx="279">
                  <c:v>1566</c:v>
                </c:pt>
                <c:pt idx="280">
                  <c:v>1669</c:v>
                </c:pt>
                <c:pt idx="281">
                  <c:v>1769</c:v>
                </c:pt>
                <c:pt idx="282">
                  <c:v>1795</c:v>
                </c:pt>
                <c:pt idx="283">
                  <c:v>1713</c:v>
                </c:pt>
                <c:pt idx="284">
                  <c:v>1585</c:v>
                </c:pt>
                <c:pt idx="285">
                  <c:v>1716</c:v>
                </c:pt>
                <c:pt idx="286">
                  <c:v>1668</c:v>
                </c:pt>
                <c:pt idx="287">
                  <c:v>1627</c:v>
                </c:pt>
                <c:pt idx="288">
                  <c:v>1816</c:v>
                </c:pt>
                <c:pt idx="289">
                  <c:v>1987</c:v>
                </c:pt>
                <c:pt idx="290">
                  <c:v>1725</c:v>
                </c:pt>
                <c:pt idx="291">
                  <c:v>1776</c:v>
                </c:pt>
                <c:pt idx="292">
                  <c:v>1741</c:v>
                </c:pt>
                <c:pt idx="293">
                  <c:v>1814</c:v>
                </c:pt>
                <c:pt idx="294">
                  <c:v>1605</c:v>
                </c:pt>
                <c:pt idx="295">
                  <c:v>1530</c:v>
                </c:pt>
                <c:pt idx="296">
                  <c:v>1523</c:v>
                </c:pt>
                <c:pt idx="297">
                  <c:v>1490</c:v>
                </c:pt>
                <c:pt idx="298">
                  <c:v>1643</c:v>
                </c:pt>
                <c:pt idx="299">
                  <c:v>1626</c:v>
                </c:pt>
                <c:pt idx="300">
                  <c:v>1660</c:v>
                </c:pt>
                <c:pt idx="301">
                  <c:v>1662</c:v>
                </c:pt>
                <c:pt idx="302">
                  <c:v>1727</c:v>
                </c:pt>
                <c:pt idx="303">
                  <c:v>1664</c:v>
                </c:pt>
                <c:pt idx="304">
                  <c:v>1709</c:v>
                </c:pt>
                <c:pt idx="305">
                  <c:v>1716</c:v>
                </c:pt>
                <c:pt idx="306">
                  <c:v>1697</c:v>
                </c:pt>
                <c:pt idx="307">
                  <c:v>1808</c:v>
                </c:pt>
                <c:pt idx="308">
                  <c:v>1916</c:v>
                </c:pt>
                <c:pt idx="309">
                  <c:v>1743</c:v>
                </c:pt>
                <c:pt idx="310">
                  <c:v>1692</c:v>
                </c:pt>
                <c:pt idx="311">
                  <c:v>1794</c:v>
                </c:pt>
                <c:pt idx="312">
                  <c:v>1847</c:v>
                </c:pt>
                <c:pt idx="313">
                  <c:v>1767</c:v>
                </c:pt>
                <c:pt idx="314">
                  <c:v>1780</c:v>
                </c:pt>
                <c:pt idx="315">
                  <c:v>1858</c:v>
                </c:pt>
                <c:pt idx="316">
                  <c:v>1797</c:v>
                </c:pt>
                <c:pt idx="317">
                  <c:v>1790</c:v>
                </c:pt>
                <c:pt idx="318">
                  <c:v>1780</c:v>
                </c:pt>
                <c:pt idx="319">
                  <c:v>1726</c:v>
                </c:pt>
                <c:pt idx="320">
                  <c:v>1686</c:v>
                </c:pt>
                <c:pt idx="321">
                  <c:v>1675</c:v>
                </c:pt>
                <c:pt idx="322">
                  <c:v>1644</c:v>
                </c:pt>
                <c:pt idx="323">
                  <c:v>1903</c:v>
                </c:pt>
                <c:pt idx="324">
                  <c:v>1690</c:v>
                </c:pt>
                <c:pt idx="325">
                  <c:v>1689</c:v>
                </c:pt>
                <c:pt idx="326">
                  <c:v>1704</c:v>
                </c:pt>
                <c:pt idx="327">
                  <c:v>1601</c:v>
                </c:pt>
                <c:pt idx="328">
                  <c:v>1500</c:v>
                </c:pt>
                <c:pt idx="329">
                  <c:v>1522</c:v>
                </c:pt>
                <c:pt idx="330">
                  <c:v>1516</c:v>
                </c:pt>
                <c:pt idx="331">
                  <c:v>1511</c:v>
                </c:pt>
                <c:pt idx="332">
                  <c:v>1514</c:v>
                </c:pt>
                <c:pt idx="333">
                  <c:v>1447</c:v>
                </c:pt>
                <c:pt idx="334">
                  <c:v>1457</c:v>
                </c:pt>
                <c:pt idx="335">
                  <c:v>1345</c:v>
                </c:pt>
                <c:pt idx="336">
                  <c:v>1244</c:v>
                </c:pt>
                <c:pt idx="337">
                  <c:v>1438</c:v>
                </c:pt>
                <c:pt idx="338">
                  <c:v>1525</c:v>
                </c:pt>
                <c:pt idx="339">
                  <c:v>1429</c:v>
                </c:pt>
                <c:pt idx="340">
                  <c:v>1444</c:v>
                </c:pt>
                <c:pt idx="341">
                  <c:v>1485</c:v>
                </c:pt>
                <c:pt idx="342">
                  <c:v>1439</c:v>
                </c:pt>
                <c:pt idx="343">
                  <c:v>1460</c:v>
                </c:pt>
                <c:pt idx="344">
                  <c:v>1436</c:v>
                </c:pt>
                <c:pt idx="345">
                  <c:v>1516</c:v>
                </c:pt>
                <c:pt idx="346">
                  <c:v>1508</c:v>
                </c:pt>
                <c:pt idx="347">
                  <c:v>1501</c:v>
                </c:pt>
                <c:pt idx="348">
                  <c:v>1466</c:v>
                </c:pt>
                <c:pt idx="349">
                  <c:v>1383</c:v>
                </c:pt>
                <c:pt idx="350">
                  <c:v>1214</c:v>
                </c:pt>
                <c:pt idx="351">
                  <c:v>1376</c:v>
                </c:pt>
                <c:pt idx="352">
                  <c:v>1381</c:v>
                </c:pt>
                <c:pt idx="353">
                  <c:v>1322</c:v>
                </c:pt>
                <c:pt idx="354">
                  <c:v>1283</c:v>
                </c:pt>
                <c:pt idx="355">
                  <c:v>1334</c:v>
                </c:pt>
                <c:pt idx="356">
                  <c:v>1314</c:v>
                </c:pt>
                <c:pt idx="357">
                  <c:v>1365</c:v>
                </c:pt>
                <c:pt idx="358">
                  <c:v>1344</c:v>
                </c:pt>
                <c:pt idx="359">
                  <c:v>1422</c:v>
                </c:pt>
                <c:pt idx="360">
                  <c:v>1748</c:v>
                </c:pt>
                <c:pt idx="361">
                  <c:v>1329</c:v>
                </c:pt>
                <c:pt idx="362">
                  <c:v>1246</c:v>
                </c:pt>
                <c:pt idx="363">
                  <c:v>1136</c:v>
                </c:pt>
                <c:pt idx="364">
                  <c:v>1067</c:v>
                </c:pt>
                <c:pt idx="365">
                  <c:v>1108</c:v>
                </c:pt>
                <c:pt idx="366">
                  <c:v>1078</c:v>
                </c:pt>
                <c:pt idx="367">
                  <c:v>1069</c:v>
                </c:pt>
                <c:pt idx="368">
                  <c:v>976</c:v>
                </c:pt>
                <c:pt idx="369">
                  <c:v>925</c:v>
                </c:pt>
                <c:pt idx="370">
                  <c:v>941</c:v>
                </c:pt>
                <c:pt idx="371">
                  <c:v>861</c:v>
                </c:pt>
                <c:pt idx="372">
                  <c:v>786</c:v>
                </c:pt>
                <c:pt idx="373">
                  <c:v>853</c:v>
                </c:pt>
                <c:pt idx="374">
                  <c:v>911</c:v>
                </c:pt>
                <c:pt idx="375">
                  <c:v>916</c:v>
                </c:pt>
                <c:pt idx="376">
                  <c:v>991</c:v>
                </c:pt>
                <c:pt idx="377">
                  <c:v>964</c:v>
                </c:pt>
                <c:pt idx="378">
                  <c:v>973</c:v>
                </c:pt>
                <c:pt idx="379">
                  <c:v>944</c:v>
                </c:pt>
                <c:pt idx="380">
                  <c:v>974</c:v>
                </c:pt>
                <c:pt idx="381">
                  <c:v>991</c:v>
                </c:pt>
                <c:pt idx="382">
                  <c:v>984</c:v>
                </c:pt>
                <c:pt idx="383">
                  <c:v>1061</c:v>
                </c:pt>
                <c:pt idx="384">
                  <c:v>1077</c:v>
                </c:pt>
                <c:pt idx="385">
                  <c:v>1146</c:v>
                </c:pt>
                <c:pt idx="386">
                  <c:v>1082</c:v>
                </c:pt>
                <c:pt idx="387">
                  <c:v>1054</c:v>
                </c:pt>
                <c:pt idx="388">
                  <c:v>1056</c:v>
                </c:pt>
                <c:pt idx="389">
                  <c:v>1057</c:v>
                </c:pt>
                <c:pt idx="390">
                  <c:v>1089</c:v>
                </c:pt>
                <c:pt idx="391">
                  <c:v>1075</c:v>
                </c:pt>
                <c:pt idx="392">
                  <c:v>1114</c:v>
                </c:pt>
                <c:pt idx="393">
                  <c:v>1132</c:v>
                </c:pt>
                <c:pt idx="394">
                  <c:v>1118</c:v>
                </c:pt>
                <c:pt idx="395">
                  <c:v>1176</c:v>
                </c:pt>
                <c:pt idx="396">
                  <c:v>1177</c:v>
                </c:pt>
                <c:pt idx="397">
                  <c:v>1148</c:v>
                </c:pt>
                <c:pt idx="398">
                  <c:v>1056</c:v>
                </c:pt>
                <c:pt idx="399">
                  <c:v>1104</c:v>
                </c:pt>
                <c:pt idx="400">
                  <c:v>1112</c:v>
                </c:pt>
                <c:pt idx="401">
                  <c:v>1130</c:v>
                </c:pt>
                <c:pt idx="402">
                  <c:v>1174</c:v>
                </c:pt>
                <c:pt idx="403">
                  <c:v>1230</c:v>
                </c:pt>
                <c:pt idx="404">
                  <c:v>1251</c:v>
                </c:pt>
                <c:pt idx="405">
                  <c:v>1287</c:v>
                </c:pt>
                <c:pt idx="406">
                  <c:v>1357</c:v>
                </c:pt>
                <c:pt idx="407">
                  <c:v>1461</c:v>
                </c:pt>
                <c:pt idx="408">
                  <c:v>1390</c:v>
                </c:pt>
                <c:pt idx="409">
                  <c:v>1269</c:v>
                </c:pt>
                <c:pt idx="410">
                  <c:v>1342</c:v>
                </c:pt>
                <c:pt idx="411">
                  <c:v>1392</c:v>
                </c:pt>
                <c:pt idx="412">
                  <c:v>1396</c:v>
                </c:pt>
                <c:pt idx="413">
                  <c:v>1357</c:v>
                </c:pt>
                <c:pt idx="414">
                  <c:v>1335</c:v>
                </c:pt>
                <c:pt idx="415">
                  <c:v>1377</c:v>
                </c:pt>
                <c:pt idx="416">
                  <c:v>1412</c:v>
                </c:pt>
                <c:pt idx="417">
                  <c:v>1397</c:v>
                </c:pt>
                <c:pt idx="418">
                  <c:v>1340</c:v>
                </c:pt>
                <c:pt idx="419">
                  <c:v>1396</c:v>
                </c:pt>
                <c:pt idx="420">
                  <c:v>1282</c:v>
                </c:pt>
                <c:pt idx="421">
                  <c:v>1254</c:v>
                </c:pt>
                <c:pt idx="422">
                  <c:v>1226</c:v>
                </c:pt>
                <c:pt idx="423">
                  <c:v>1259</c:v>
                </c:pt>
                <c:pt idx="424">
                  <c:v>1271</c:v>
                </c:pt>
                <c:pt idx="425">
                  <c:v>1305</c:v>
                </c:pt>
                <c:pt idx="426">
                  <c:v>1354</c:v>
                </c:pt>
                <c:pt idx="427">
                  <c:v>1386</c:v>
                </c:pt>
                <c:pt idx="428">
                  <c:v>1421</c:v>
                </c:pt>
                <c:pt idx="429">
                  <c:v>1400</c:v>
                </c:pt>
                <c:pt idx="430">
                  <c:v>1430</c:v>
                </c:pt>
                <c:pt idx="431">
                  <c:v>1442</c:v>
                </c:pt>
                <c:pt idx="432">
                  <c:v>1387</c:v>
                </c:pt>
                <c:pt idx="433">
                  <c:v>1420</c:v>
                </c:pt>
                <c:pt idx="434">
                  <c:v>1437</c:v>
                </c:pt>
                <c:pt idx="435">
                  <c:v>1463</c:v>
                </c:pt>
                <c:pt idx="436">
                  <c:v>1457</c:v>
                </c:pt>
                <c:pt idx="437">
                  <c:v>1429</c:v>
                </c:pt>
                <c:pt idx="438">
                  <c:v>1450</c:v>
                </c:pt>
                <c:pt idx="439">
                  <c:v>1413</c:v>
                </c:pt>
                <c:pt idx="440">
                  <c:v>1392</c:v>
                </c:pt>
                <c:pt idx="441">
                  <c:v>1358</c:v>
                </c:pt>
                <c:pt idx="442">
                  <c:v>1412</c:v>
                </c:pt>
                <c:pt idx="443">
                  <c:v>1411</c:v>
                </c:pt>
                <c:pt idx="444">
                  <c:v>1382</c:v>
                </c:pt>
                <c:pt idx="445">
                  <c:v>1445</c:v>
                </c:pt>
                <c:pt idx="446">
                  <c:v>1436</c:v>
                </c:pt>
                <c:pt idx="447">
                  <c:v>1421</c:v>
                </c:pt>
                <c:pt idx="448">
                  <c:v>1414</c:v>
                </c:pt>
                <c:pt idx="449">
                  <c:v>1402</c:v>
                </c:pt>
                <c:pt idx="450">
                  <c:v>1440</c:v>
                </c:pt>
                <c:pt idx="451">
                  <c:v>1449</c:v>
                </c:pt>
                <c:pt idx="452">
                  <c:v>1494</c:v>
                </c:pt>
                <c:pt idx="453">
                  <c:v>1499</c:v>
                </c:pt>
                <c:pt idx="454">
                  <c:v>1469</c:v>
                </c:pt>
                <c:pt idx="455">
                  <c:v>1456</c:v>
                </c:pt>
                <c:pt idx="456">
                  <c:v>1555</c:v>
                </c:pt>
                <c:pt idx="457">
                  <c:v>1647</c:v>
                </c:pt>
                <c:pt idx="458">
                  <c:v>1605</c:v>
                </c:pt>
                <c:pt idx="459">
                  <c:v>1547</c:v>
                </c:pt>
                <c:pt idx="460">
                  <c:v>1554</c:v>
                </c:pt>
                <c:pt idx="461">
                  <c:v>1551</c:v>
                </c:pt>
                <c:pt idx="462">
                  <c:v>1610</c:v>
                </c:pt>
                <c:pt idx="463">
                  <c:v>1654</c:v>
                </c:pt>
                <c:pt idx="464">
                  <c:v>1577</c:v>
                </c:pt>
                <c:pt idx="465">
                  <c:v>1719</c:v>
                </c:pt>
                <c:pt idx="466">
                  <c:v>1672</c:v>
                </c:pt>
                <c:pt idx="467">
                  <c:v>1742</c:v>
                </c:pt>
                <c:pt idx="468">
                  <c:v>1732</c:v>
                </c:pt>
                <c:pt idx="469">
                  <c:v>1720</c:v>
                </c:pt>
                <c:pt idx="470">
                  <c:v>1665</c:v>
                </c:pt>
                <c:pt idx="471">
                  <c:v>1600</c:v>
                </c:pt>
                <c:pt idx="472">
                  <c:v>1640</c:v>
                </c:pt>
                <c:pt idx="473">
                  <c:v>1702</c:v>
                </c:pt>
                <c:pt idx="474">
                  <c:v>1682</c:v>
                </c:pt>
                <c:pt idx="475">
                  <c:v>1671</c:v>
                </c:pt>
                <c:pt idx="476">
                  <c:v>1551</c:v>
                </c:pt>
                <c:pt idx="477">
                  <c:v>1649</c:v>
                </c:pt>
                <c:pt idx="478">
                  <c:v>1672</c:v>
                </c:pt>
                <c:pt idx="479">
                  <c:v>1683</c:v>
                </c:pt>
                <c:pt idx="480">
                  <c:v>1727</c:v>
                </c:pt>
                <c:pt idx="481">
                  <c:v>1692</c:v>
                </c:pt>
                <c:pt idx="482">
                  <c:v>1651</c:v>
                </c:pt>
                <c:pt idx="483">
                  <c:v>1597</c:v>
                </c:pt>
                <c:pt idx="484">
                  <c:v>1543</c:v>
                </c:pt>
                <c:pt idx="485">
                  <c:v>1572</c:v>
                </c:pt>
                <c:pt idx="486">
                  <c:v>1542</c:v>
                </c:pt>
                <c:pt idx="487">
                  <c:v>1552</c:v>
                </c:pt>
                <c:pt idx="488">
                  <c:v>1570</c:v>
                </c:pt>
                <c:pt idx="489">
                  <c:v>1577</c:v>
                </c:pt>
                <c:pt idx="490">
                  <c:v>1614</c:v>
                </c:pt>
                <c:pt idx="491">
                  <c:v>1543</c:v>
                </c:pt>
                <c:pt idx="492">
                  <c:v>1699</c:v>
                </c:pt>
                <c:pt idx="493">
                  <c:v>1656</c:v>
                </c:pt>
                <c:pt idx="494">
                  <c:v>1659</c:v>
                </c:pt>
                <c:pt idx="495">
                  <c:v>1666</c:v>
                </c:pt>
                <c:pt idx="496">
                  <c:v>1665</c:v>
                </c:pt>
                <c:pt idx="497">
                  <c:v>1626</c:v>
                </c:pt>
                <c:pt idx="498">
                  <c:v>1598</c:v>
                </c:pt>
                <c:pt idx="499">
                  <c:v>1615</c:v>
                </c:pt>
                <c:pt idx="500">
                  <c:v>1565</c:v>
                </c:pt>
                <c:pt idx="501">
                  <c:v>1566</c:v>
                </c:pt>
                <c:pt idx="502">
                  <c:v>1651</c:v>
                </c:pt>
                <c:pt idx="503">
                  <c:v>1680</c:v>
                </c:pt>
                <c:pt idx="504">
                  <c:v>1665</c:v>
                </c:pt>
                <c:pt idx="505">
                  <c:v>1787</c:v>
                </c:pt>
                <c:pt idx="506">
                  <c:v>1691</c:v>
                </c:pt>
                <c:pt idx="507">
                  <c:v>1669</c:v>
                </c:pt>
                <c:pt idx="508">
                  <c:v>1716</c:v>
                </c:pt>
                <c:pt idx="509">
                  <c:v>1758</c:v>
                </c:pt>
                <c:pt idx="510">
                  <c:v>1738</c:v>
                </c:pt>
                <c:pt idx="511">
                  <c:v>1695</c:v>
                </c:pt>
                <c:pt idx="512">
                  <c:v>1803</c:v>
                </c:pt>
                <c:pt idx="513">
                  <c:v>1799</c:v>
                </c:pt>
                <c:pt idx="514">
                  <c:v>1771</c:v>
                </c:pt>
                <c:pt idx="515">
                  <c:v>1896</c:v>
                </c:pt>
                <c:pt idx="516">
                  <c:v>1808</c:v>
                </c:pt>
                <c:pt idx="517">
                  <c:v>1854</c:v>
                </c:pt>
                <c:pt idx="518">
                  <c:v>1757</c:v>
                </c:pt>
                <c:pt idx="519">
                  <c:v>1803</c:v>
                </c:pt>
                <c:pt idx="520">
                  <c:v>1835</c:v>
                </c:pt>
                <c:pt idx="521">
                  <c:v>1875</c:v>
                </c:pt>
                <c:pt idx="522">
                  <c:v>1885</c:v>
                </c:pt>
                <c:pt idx="523">
                  <c:v>1966</c:v>
                </c:pt>
                <c:pt idx="524">
                  <c:v>1961</c:v>
                </c:pt>
                <c:pt idx="525">
                  <c:v>2012</c:v>
                </c:pt>
                <c:pt idx="526">
                  <c:v>1918</c:v>
                </c:pt>
                <c:pt idx="527">
                  <c:v>1987</c:v>
                </c:pt>
                <c:pt idx="528">
                  <c:v>1952</c:v>
                </c:pt>
                <c:pt idx="529">
                  <c:v>1966</c:v>
                </c:pt>
                <c:pt idx="530">
                  <c:v>2066</c:v>
                </c:pt>
                <c:pt idx="531">
                  <c:v>2070</c:v>
                </c:pt>
                <c:pt idx="532">
                  <c:v>2150</c:v>
                </c:pt>
                <c:pt idx="533">
                  <c:v>2020</c:v>
                </c:pt>
                <c:pt idx="534">
                  <c:v>2112</c:v>
                </c:pt>
                <c:pt idx="535">
                  <c:v>2056</c:v>
                </c:pt>
                <c:pt idx="536">
                  <c:v>2041</c:v>
                </c:pt>
                <c:pt idx="537">
                  <c:v>2097</c:v>
                </c:pt>
                <c:pt idx="538">
                  <c:v>2079</c:v>
                </c:pt>
                <c:pt idx="539">
                  <c:v>2082</c:v>
                </c:pt>
                <c:pt idx="540">
                  <c:v>2139</c:v>
                </c:pt>
                <c:pt idx="541">
                  <c:v>2114</c:v>
                </c:pt>
                <c:pt idx="542">
                  <c:v>2062</c:v>
                </c:pt>
                <c:pt idx="543">
                  <c:v>2150</c:v>
                </c:pt>
                <c:pt idx="544">
                  <c:v>2085</c:v>
                </c:pt>
                <c:pt idx="545">
                  <c:v>2178</c:v>
                </c:pt>
                <c:pt idx="546">
                  <c:v>2203</c:v>
                </c:pt>
                <c:pt idx="547">
                  <c:v>2219</c:v>
                </c:pt>
                <c:pt idx="548">
                  <c:v>2263</c:v>
                </c:pt>
                <c:pt idx="549">
                  <c:v>2170</c:v>
                </c:pt>
                <c:pt idx="550">
                  <c:v>2218</c:v>
                </c:pt>
                <c:pt idx="551">
                  <c:v>2120</c:v>
                </c:pt>
                <c:pt idx="552">
                  <c:v>2212</c:v>
                </c:pt>
                <c:pt idx="553">
                  <c:v>2141</c:v>
                </c:pt>
                <c:pt idx="554">
                  <c:v>2118</c:v>
                </c:pt>
                <c:pt idx="555">
                  <c:v>1998</c:v>
                </c:pt>
                <c:pt idx="556">
                  <c:v>1905</c:v>
                </c:pt>
                <c:pt idx="557">
                  <c:v>1867</c:v>
                </c:pt>
                <c:pt idx="558">
                  <c:v>1763</c:v>
                </c:pt>
                <c:pt idx="559">
                  <c:v>1722</c:v>
                </c:pt>
                <c:pt idx="560">
                  <c:v>1655</c:v>
                </c:pt>
                <c:pt idx="561">
                  <c:v>1570</c:v>
                </c:pt>
                <c:pt idx="562">
                  <c:v>1535</c:v>
                </c:pt>
                <c:pt idx="563">
                  <c:v>1638</c:v>
                </c:pt>
                <c:pt idx="564">
                  <c:v>1626</c:v>
                </c:pt>
                <c:pt idx="565">
                  <c:v>1598</c:v>
                </c:pt>
                <c:pt idx="566">
                  <c:v>1596</c:v>
                </c:pt>
                <c:pt idx="567">
                  <c:v>1470</c:v>
                </c:pt>
                <c:pt idx="568">
                  <c:v>1493</c:v>
                </c:pt>
                <c:pt idx="569">
                  <c:v>1407</c:v>
                </c:pt>
                <c:pt idx="570">
                  <c:v>1361</c:v>
                </c:pt>
                <c:pt idx="571">
                  <c:v>1321</c:v>
                </c:pt>
                <c:pt idx="572">
                  <c:v>1261</c:v>
                </c:pt>
                <c:pt idx="573">
                  <c:v>1192</c:v>
                </c:pt>
                <c:pt idx="574">
                  <c:v>1224</c:v>
                </c:pt>
                <c:pt idx="575">
                  <c:v>1149</c:v>
                </c:pt>
                <c:pt idx="576">
                  <c:v>1094</c:v>
                </c:pt>
                <c:pt idx="577">
                  <c:v>1014</c:v>
                </c:pt>
                <c:pt idx="578">
                  <c:v>967</c:v>
                </c:pt>
                <c:pt idx="579">
                  <c:v>1008</c:v>
                </c:pt>
                <c:pt idx="580">
                  <c:v>995</c:v>
                </c:pt>
                <c:pt idx="581">
                  <c:v>1180</c:v>
                </c:pt>
                <c:pt idx="582">
                  <c:v>921</c:v>
                </c:pt>
                <c:pt idx="583">
                  <c:v>858</c:v>
                </c:pt>
                <c:pt idx="584">
                  <c:v>797</c:v>
                </c:pt>
                <c:pt idx="585">
                  <c:v>736</c:v>
                </c:pt>
                <c:pt idx="586">
                  <c:v>626</c:v>
                </c:pt>
                <c:pt idx="587">
                  <c:v>554</c:v>
                </c:pt>
                <c:pt idx="588">
                  <c:v>545</c:v>
                </c:pt>
                <c:pt idx="589">
                  <c:v>558</c:v>
                </c:pt>
                <c:pt idx="590">
                  <c:v>513</c:v>
                </c:pt>
                <c:pt idx="591">
                  <c:v>521</c:v>
                </c:pt>
                <c:pt idx="592">
                  <c:v>556</c:v>
                </c:pt>
                <c:pt idx="593">
                  <c:v>601</c:v>
                </c:pt>
                <c:pt idx="594">
                  <c:v>595</c:v>
                </c:pt>
                <c:pt idx="595">
                  <c:v>616</c:v>
                </c:pt>
                <c:pt idx="596">
                  <c:v>609</c:v>
                </c:pt>
                <c:pt idx="597">
                  <c:v>583</c:v>
                </c:pt>
                <c:pt idx="598">
                  <c:v>623</c:v>
                </c:pt>
                <c:pt idx="599">
                  <c:v>664</c:v>
                </c:pt>
                <c:pt idx="600">
                  <c:v>636</c:v>
                </c:pt>
                <c:pt idx="601">
                  <c:v>650</c:v>
                </c:pt>
                <c:pt idx="602">
                  <c:v>687</c:v>
                </c:pt>
                <c:pt idx="603">
                  <c:v>637</c:v>
                </c:pt>
                <c:pt idx="604">
                  <c:v>575</c:v>
                </c:pt>
                <c:pt idx="605">
                  <c:v>587</c:v>
                </c:pt>
                <c:pt idx="606">
                  <c:v>579</c:v>
                </c:pt>
                <c:pt idx="607">
                  <c:v>580</c:v>
                </c:pt>
                <c:pt idx="608">
                  <c:v>563</c:v>
                </c:pt>
                <c:pt idx="609">
                  <c:v>558</c:v>
                </c:pt>
                <c:pt idx="610">
                  <c:v>560</c:v>
                </c:pt>
                <c:pt idx="611">
                  <c:v>632</c:v>
                </c:pt>
                <c:pt idx="612">
                  <c:v>576</c:v>
                </c:pt>
                <c:pt idx="613">
                  <c:v>542</c:v>
                </c:pt>
                <c:pt idx="614">
                  <c:v>583</c:v>
                </c:pt>
                <c:pt idx="615">
                  <c:v>581</c:v>
                </c:pt>
                <c:pt idx="616">
                  <c:v>618</c:v>
                </c:pt>
                <c:pt idx="617">
                  <c:v>636</c:v>
                </c:pt>
                <c:pt idx="618">
                  <c:v>621</c:v>
                </c:pt>
                <c:pt idx="619">
                  <c:v>647</c:v>
                </c:pt>
                <c:pt idx="620">
                  <c:v>610</c:v>
                </c:pt>
                <c:pt idx="621">
                  <c:v>671</c:v>
                </c:pt>
                <c:pt idx="622">
                  <c:v>706</c:v>
                </c:pt>
                <c:pt idx="623">
                  <c:v>697</c:v>
                </c:pt>
                <c:pt idx="624">
                  <c:v>712</c:v>
                </c:pt>
                <c:pt idx="625">
                  <c:v>738</c:v>
                </c:pt>
                <c:pt idx="626">
                  <c:v>806</c:v>
                </c:pt>
                <c:pt idx="627">
                  <c:v>732</c:v>
                </c:pt>
                <c:pt idx="628">
                  <c:v>796</c:v>
                </c:pt>
                <c:pt idx="629">
                  <c:v>794</c:v>
                </c:pt>
                <c:pt idx="630">
                  <c:v>849</c:v>
                </c:pt>
                <c:pt idx="631">
                  <c:v>840</c:v>
                </c:pt>
                <c:pt idx="632">
                  <c:v>930</c:v>
                </c:pt>
                <c:pt idx="633">
                  <c:v>887</c:v>
                </c:pt>
                <c:pt idx="634">
                  <c:v>917</c:v>
                </c:pt>
                <c:pt idx="635">
                  <c:v>941</c:v>
                </c:pt>
                <c:pt idx="636">
                  <c:v>940</c:v>
                </c:pt>
                <c:pt idx="637">
                  <c:v>980</c:v>
                </c:pt>
                <c:pt idx="638">
                  <c:v>936</c:v>
                </c:pt>
                <c:pt idx="639">
                  <c:v>1012</c:v>
                </c:pt>
                <c:pt idx="640">
                  <c:v>1003</c:v>
                </c:pt>
                <c:pt idx="641">
                  <c:v>942</c:v>
                </c:pt>
                <c:pt idx="642">
                  <c:v>997</c:v>
                </c:pt>
                <c:pt idx="643">
                  <c:v>964</c:v>
                </c:pt>
                <c:pt idx="644">
                  <c:v>1004</c:v>
                </c:pt>
                <c:pt idx="645">
                  <c:v>1044</c:v>
                </c:pt>
                <c:pt idx="646">
                  <c:v>1029</c:v>
                </c:pt>
                <c:pt idx="647">
                  <c:v>1005</c:v>
                </c:pt>
                <c:pt idx="648">
                  <c:v>976</c:v>
                </c:pt>
                <c:pt idx="649">
                  <c:v>1039</c:v>
                </c:pt>
                <c:pt idx="650">
                  <c:v>1067</c:v>
                </c:pt>
                <c:pt idx="651">
                  <c:v>1090</c:v>
                </c:pt>
                <c:pt idx="652">
                  <c:v>1018</c:v>
                </c:pt>
                <c:pt idx="653">
                  <c:v>1010</c:v>
                </c:pt>
                <c:pt idx="654">
                  <c:v>1076</c:v>
                </c:pt>
                <c:pt idx="655">
                  <c:v>1047</c:v>
                </c:pt>
                <c:pt idx="656">
                  <c:v>1077</c:v>
                </c:pt>
                <c:pt idx="657">
                  <c:v>1094</c:v>
                </c:pt>
                <c:pt idx="658">
                  <c:v>1059</c:v>
                </c:pt>
                <c:pt idx="659">
                  <c:v>1072</c:v>
                </c:pt>
                <c:pt idx="660">
                  <c:v>1049</c:v>
                </c:pt>
                <c:pt idx="661">
                  <c:v>1127</c:v>
                </c:pt>
                <c:pt idx="662">
                  <c:v>1072</c:v>
                </c:pt>
                <c:pt idx="663">
                  <c:v>1166</c:v>
                </c:pt>
                <c:pt idx="664">
                  <c:v>1272</c:v>
                </c:pt>
                <c:pt idx="665">
                  <c:v>1379</c:v>
                </c:pt>
                <c:pt idx="666">
                  <c:v>1140</c:v>
                </c:pt>
                <c:pt idx="667">
                  <c:v>1165</c:v>
                </c:pt>
                <c:pt idx="668">
                  <c:v>1144</c:v>
                </c:pt>
                <c:pt idx="669">
                  <c:v>1160</c:v>
                </c:pt>
                <c:pt idx="670">
                  <c:v>1244</c:v>
                </c:pt>
                <c:pt idx="671">
                  <c:v>1212</c:v>
                </c:pt>
                <c:pt idx="672">
                  <c:v>1161</c:v>
                </c:pt>
                <c:pt idx="673">
                  <c:v>1187</c:v>
                </c:pt>
                <c:pt idx="674">
                  <c:v>1114</c:v>
                </c:pt>
                <c:pt idx="675">
                  <c:v>1158</c:v>
                </c:pt>
                <c:pt idx="676">
                  <c:v>1196</c:v>
                </c:pt>
                <c:pt idx="677">
                  <c:v>1208</c:v>
                </c:pt>
                <c:pt idx="678">
                  <c:v>1190</c:v>
                </c:pt>
                <c:pt idx="679">
                  <c:v>1205</c:v>
                </c:pt>
                <c:pt idx="680">
                  <c:v>1280</c:v>
                </c:pt>
                <c:pt idx="681">
                  <c:v>1278</c:v>
                </c:pt>
                <c:pt idx="682">
                  <c:v>1236</c:v>
                </c:pt>
                <c:pt idx="683">
                  <c:v>1252</c:v>
                </c:pt>
                <c:pt idx="684">
                  <c:v>1301</c:v>
                </c:pt>
                <c:pt idx="685">
                  <c:v>1240</c:v>
                </c:pt>
                <c:pt idx="686">
                  <c:v>1285</c:v>
                </c:pt>
                <c:pt idx="687">
                  <c:v>1258</c:v>
                </c:pt>
                <c:pt idx="688">
                  <c:v>1209</c:v>
                </c:pt>
                <c:pt idx="689">
                  <c:v>1329</c:v>
                </c:pt>
                <c:pt idx="690">
                  <c:v>1264</c:v>
                </c:pt>
                <c:pt idx="691">
                  <c:v>1314</c:v>
                </c:pt>
                <c:pt idx="692">
                  <c:v>1257</c:v>
                </c:pt>
                <c:pt idx="693">
                  <c:v>1346</c:v>
                </c:pt>
                <c:pt idx="694">
                  <c:v>1302</c:v>
                </c:pt>
                <c:pt idx="695">
                  <c:v>1309</c:v>
                </c:pt>
                <c:pt idx="696">
                  <c:v>1352</c:v>
                </c:pt>
                <c:pt idx="697">
                  <c:v>1332</c:v>
                </c:pt>
                <c:pt idx="698">
                  <c:v>1407</c:v>
                </c:pt>
                <c:pt idx="699">
                  <c:v>1391</c:v>
                </c:pt>
                <c:pt idx="700">
                  <c:v>1331</c:v>
                </c:pt>
                <c:pt idx="701">
                  <c:v>1320</c:v>
                </c:pt>
                <c:pt idx="702">
                  <c:v>1328</c:v>
                </c:pt>
                <c:pt idx="703">
                  <c:v>1264</c:v>
                </c:pt>
                <c:pt idx="704">
                  <c:v>1289</c:v>
                </c:pt>
                <c:pt idx="705">
                  <c:v>1275</c:v>
                </c:pt>
                <c:pt idx="706">
                  <c:v>1318</c:v>
                </c:pt>
                <c:pt idx="707">
                  <c:v>1338</c:v>
                </c:pt>
                <c:pt idx="708">
                  <c:v>1295</c:v>
                </c:pt>
                <c:pt idx="709">
                  <c:v>1304</c:v>
                </c:pt>
                <c:pt idx="710">
                  <c:v>1316</c:v>
                </c:pt>
                <c:pt idx="711">
                  <c:v>1337</c:v>
                </c:pt>
                <c:pt idx="712">
                  <c:v>1337</c:v>
                </c:pt>
                <c:pt idx="713">
                  <c:v>1276</c:v>
                </c:pt>
                <c:pt idx="714">
                  <c:v>1369</c:v>
                </c:pt>
                <c:pt idx="715">
                  <c:v>1479</c:v>
                </c:pt>
                <c:pt idx="716">
                  <c:v>1439</c:v>
                </c:pt>
                <c:pt idx="717">
                  <c:v>1509</c:v>
                </c:pt>
                <c:pt idx="718">
                  <c:v>1509</c:v>
                </c:pt>
                <c:pt idx="719">
                  <c:v>1453</c:v>
                </c:pt>
                <c:pt idx="720">
                  <c:v>1550</c:v>
                </c:pt>
                <c:pt idx="721">
                  <c:v>1478</c:v>
                </c:pt>
                <c:pt idx="722">
                  <c:v>1382</c:v>
                </c:pt>
                <c:pt idx="723">
                  <c:v>1094</c:v>
                </c:pt>
                <c:pt idx="724">
                  <c:v>1246</c:v>
                </c:pt>
                <c:pt idx="725">
                  <c:v>1296</c:v>
                </c:pt>
                <c:pt idx="726">
                  <c:v>1542</c:v>
                </c:pt>
                <c:pt idx="727">
                  <c:v>1522</c:v>
                </c:pt>
                <c:pt idx="728">
                  <c:v>1589</c:v>
                </c:pt>
                <c:pt idx="729">
                  <c:v>1595</c:v>
                </c:pt>
                <c:pt idx="730">
                  <c:v>1696</c:v>
                </c:pt>
                <c:pt idx="731">
                  <c:v>1758</c:v>
                </c:pt>
                <c:pt idx="732">
                  <c:v>1883</c:v>
                </c:pt>
                <c:pt idx="733">
                  <c:v>1726</c:v>
                </c:pt>
                <c:pt idx="734">
                  <c:v>1755</c:v>
                </c:pt>
                <c:pt idx="735">
                  <c:v>1733</c:v>
                </c:pt>
                <c:pt idx="736">
                  <c:v>1683</c:v>
                </c:pt>
                <c:pt idx="737">
                  <c:v>1594</c:v>
                </c:pt>
                <c:pt idx="738">
                  <c:v>1630</c:v>
                </c:pt>
                <c:pt idx="739">
                  <c:v>1721</c:v>
                </c:pt>
                <c:pt idx="740">
                  <c:v>1586</c:v>
                </c:pt>
                <c:pt idx="741">
                  <c:v>1653</c:v>
                </c:pt>
                <c:pt idx="742">
                  <c:v>1717</c:v>
                </c:pt>
                <c:pt idx="743">
                  <c:v>1885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7DB-D848-9FE7-33F74F8BA3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11611920"/>
        <c:axId val="1111614872"/>
      </c:lineChart>
      <c:dateAx>
        <c:axId val="1111611920"/>
        <c:scaling>
          <c:orientation val="minMax"/>
          <c:min val="42370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1614872"/>
        <c:crosses val="autoZero"/>
        <c:auto val="0"/>
        <c:lblOffset val="100"/>
        <c:baseTimeUnit val="months"/>
      </c:dateAx>
      <c:valAx>
        <c:axId val="1111614872"/>
        <c:scaling>
          <c:orientation val="minMax"/>
          <c:max val="2000"/>
          <c:min val="1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161192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US"/>
              <a:t>Housing Units Started Since 1960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Started!$B$6</c:f>
              <c:strCache>
                <c:ptCount val="1"/>
                <c:pt idx="0">
                  <c:v>Started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Started!$A$7:$A$750</c:f>
              <c:numCache>
                <c:formatCode>m/d/yy</c:formatCode>
                <c:ptCount val="744"/>
                <c:pt idx="0">
                  <c:v>21916</c:v>
                </c:pt>
                <c:pt idx="1">
                  <c:v>21947</c:v>
                </c:pt>
                <c:pt idx="2">
                  <c:v>21976</c:v>
                </c:pt>
                <c:pt idx="3">
                  <c:v>22007</c:v>
                </c:pt>
                <c:pt idx="4">
                  <c:v>22037</c:v>
                </c:pt>
                <c:pt idx="5">
                  <c:v>22068</c:v>
                </c:pt>
                <c:pt idx="6">
                  <c:v>22098</c:v>
                </c:pt>
                <c:pt idx="7">
                  <c:v>22129</c:v>
                </c:pt>
                <c:pt idx="8">
                  <c:v>22160</c:v>
                </c:pt>
                <c:pt idx="9">
                  <c:v>22190</c:v>
                </c:pt>
                <c:pt idx="10">
                  <c:v>22221</c:v>
                </c:pt>
                <c:pt idx="11">
                  <c:v>22251</c:v>
                </c:pt>
                <c:pt idx="12">
                  <c:v>22282</c:v>
                </c:pt>
                <c:pt idx="13">
                  <c:v>22313</c:v>
                </c:pt>
                <c:pt idx="14">
                  <c:v>22341</c:v>
                </c:pt>
                <c:pt idx="15">
                  <c:v>22372</c:v>
                </c:pt>
                <c:pt idx="16">
                  <c:v>22402</c:v>
                </c:pt>
                <c:pt idx="17">
                  <c:v>22433</c:v>
                </c:pt>
                <c:pt idx="18">
                  <c:v>22463</c:v>
                </c:pt>
                <c:pt idx="19">
                  <c:v>22494</c:v>
                </c:pt>
                <c:pt idx="20">
                  <c:v>22525</c:v>
                </c:pt>
                <c:pt idx="21">
                  <c:v>22555</c:v>
                </c:pt>
                <c:pt idx="22">
                  <c:v>22586</c:v>
                </c:pt>
                <c:pt idx="23">
                  <c:v>22616</c:v>
                </c:pt>
                <c:pt idx="24">
                  <c:v>22647</c:v>
                </c:pt>
                <c:pt idx="25">
                  <c:v>22678</c:v>
                </c:pt>
                <c:pt idx="26">
                  <c:v>22706</c:v>
                </c:pt>
                <c:pt idx="27">
                  <c:v>22737</c:v>
                </c:pt>
                <c:pt idx="28">
                  <c:v>22767</c:v>
                </c:pt>
                <c:pt idx="29">
                  <c:v>22798</c:v>
                </c:pt>
                <c:pt idx="30">
                  <c:v>22828</c:v>
                </c:pt>
                <c:pt idx="31">
                  <c:v>22859</c:v>
                </c:pt>
                <c:pt idx="32">
                  <c:v>22890</c:v>
                </c:pt>
                <c:pt idx="33">
                  <c:v>22920</c:v>
                </c:pt>
                <c:pt idx="34">
                  <c:v>22951</c:v>
                </c:pt>
                <c:pt idx="35">
                  <c:v>22981</c:v>
                </c:pt>
                <c:pt idx="36">
                  <c:v>23012</c:v>
                </c:pt>
                <c:pt idx="37">
                  <c:v>23043</c:v>
                </c:pt>
                <c:pt idx="38">
                  <c:v>23071</c:v>
                </c:pt>
                <c:pt idx="39">
                  <c:v>23102</c:v>
                </c:pt>
                <c:pt idx="40">
                  <c:v>23132</c:v>
                </c:pt>
                <c:pt idx="41">
                  <c:v>23163</c:v>
                </c:pt>
                <c:pt idx="42">
                  <c:v>23193</c:v>
                </c:pt>
                <c:pt idx="43">
                  <c:v>23224</c:v>
                </c:pt>
                <c:pt idx="44">
                  <c:v>23255</c:v>
                </c:pt>
                <c:pt idx="45">
                  <c:v>23285</c:v>
                </c:pt>
                <c:pt idx="46">
                  <c:v>23316</c:v>
                </c:pt>
                <c:pt idx="47">
                  <c:v>23346</c:v>
                </c:pt>
                <c:pt idx="48">
                  <c:v>23377</c:v>
                </c:pt>
                <c:pt idx="49">
                  <c:v>23408</c:v>
                </c:pt>
                <c:pt idx="50">
                  <c:v>23437</c:v>
                </c:pt>
                <c:pt idx="51">
                  <c:v>23468</c:v>
                </c:pt>
                <c:pt idx="52">
                  <c:v>23498</c:v>
                </c:pt>
                <c:pt idx="53">
                  <c:v>23529</c:v>
                </c:pt>
                <c:pt idx="54">
                  <c:v>23559</c:v>
                </c:pt>
                <c:pt idx="55">
                  <c:v>23590</c:v>
                </c:pt>
                <c:pt idx="56">
                  <c:v>23621</c:v>
                </c:pt>
                <c:pt idx="57">
                  <c:v>23651</c:v>
                </c:pt>
                <c:pt idx="58">
                  <c:v>23682</c:v>
                </c:pt>
                <c:pt idx="59">
                  <c:v>23712</c:v>
                </c:pt>
                <c:pt idx="60">
                  <c:v>23743</c:v>
                </c:pt>
                <c:pt idx="61">
                  <c:v>23774</c:v>
                </c:pt>
                <c:pt idx="62">
                  <c:v>23802</c:v>
                </c:pt>
                <c:pt idx="63">
                  <c:v>23833</c:v>
                </c:pt>
                <c:pt idx="64">
                  <c:v>23863</c:v>
                </c:pt>
                <c:pt idx="65">
                  <c:v>23894</c:v>
                </c:pt>
                <c:pt idx="66">
                  <c:v>23924</c:v>
                </c:pt>
                <c:pt idx="67">
                  <c:v>23955</c:v>
                </c:pt>
                <c:pt idx="68">
                  <c:v>23986</c:v>
                </c:pt>
                <c:pt idx="69">
                  <c:v>24016</c:v>
                </c:pt>
                <c:pt idx="70">
                  <c:v>24047</c:v>
                </c:pt>
                <c:pt idx="71">
                  <c:v>24077</c:v>
                </c:pt>
                <c:pt idx="72">
                  <c:v>24108</c:v>
                </c:pt>
                <c:pt idx="73">
                  <c:v>24139</c:v>
                </c:pt>
                <c:pt idx="74">
                  <c:v>24167</c:v>
                </c:pt>
                <c:pt idx="75">
                  <c:v>24198</c:v>
                </c:pt>
                <c:pt idx="76">
                  <c:v>24228</c:v>
                </c:pt>
                <c:pt idx="77">
                  <c:v>24259</c:v>
                </c:pt>
                <c:pt idx="78">
                  <c:v>24289</c:v>
                </c:pt>
                <c:pt idx="79">
                  <c:v>24320</c:v>
                </c:pt>
                <c:pt idx="80">
                  <c:v>24351</c:v>
                </c:pt>
                <c:pt idx="81">
                  <c:v>24381</c:v>
                </c:pt>
                <c:pt idx="82">
                  <c:v>24412</c:v>
                </c:pt>
                <c:pt idx="83">
                  <c:v>24442</c:v>
                </c:pt>
                <c:pt idx="84">
                  <c:v>24473</c:v>
                </c:pt>
                <c:pt idx="85">
                  <c:v>24504</c:v>
                </c:pt>
                <c:pt idx="86">
                  <c:v>24532</c:v>
                </c:pt>
                <c:pt idx="87">
                  <c:v>24563</c:v>
                </c:pt>
                <c:pt idx="88">
                  <c:v>24593</c:v>
                </c:pt>
                <c:pt idx="89">
                  <c:v>24624</c:v>
                </c:pt>
                <c:pt idx="90">
                  <c:v>24654</c:v>
                </c:pt>
                <c:pt idx="91">
                  <c:v>24685</c:v>
                </c:pt>
                <c:pt idx="92">
                  <c:v>24716</c:v>
                </c:pt>
                <c:pt idx="93">
                  <c:v>24746</c:v>
                </c:pt>
                <c:pt idx="94">
                  <c:v>24777</c:v>
                </c:pt>
                <c:pt idx="95">
                  <c:v>24807</c:v>
                </c:pt>
                <c:pt idx="96">
                  <c:v>24838</c:v>
                </c:pt>
                <c:pt idx="97">
                  <c:v>24869</c:v>
                </c:pt>
                <c:pt idx="98">
                  <c:v>24898</c:v>
                </c:pt>
                <c:pt idx="99">
                  <c:v>24929</c:v>
                </c:pt>
                <c:pt idx="100">
                  <c:v>24959</c:v>
                </c:pt>
                <c:pt idx="101">
                  <c:v>24990</c:v>
                </c:pt>
                <c:pt idx="102">
                  <c:v>25020</c:v>
                </c:pt>
                <c:pt idx="103">
                  <c:v>25051</c:v>
                </c:pt>
                <c:pt idx="104">
                  <c:v>25082</c:v>
                </c:pt>
                <c:pt idx="105">
                  <c:v>25112</c:v>
                </c:pt>
                <c:pt idx="106">
                  <c:v>25143</c:v>
                </c:pt>
                <c:pt idx="107">
                  <c:v>25173</c:v>
                </c:pt>
                <c:pt idx="108">
                  <c:v>25204</c:v>
                </c:pt>
                <c:pt idx="109">
                  <c:v>25235</c:v>
                </c:pt>
                <c:pt idx="110">
                  <c:v>25263</c:v>
                </c:pt>
                <c:pt idx="111">
                  <c:v>25294</c:v>
                </c:pt>
                <c:pt idx="112">
                  <c:v>25324</c:v>
                </c:pt>
                <c:pt idx="113">
                  <c:v>25355</c:v>
                </c:pt>
                <c:pt idx="114">
                  <c:v>25385</c:v>
                </c:pt>
                <c:pt idx="115">
                  <c:v>25416</c:v>
                </c:pt>
                <c:pt idx="116">
                  <c:v>25447</c:v>
                </c:pt>
                <c:pt idx="117">
                  <c:v>25477</c:v>
                </c:pt>
                <c:pt idx="118">
                  <c:v>25508</c:v>
                </c:pt>
                <c:pt idx="119">
                  <c:v>25538</c:v>
                </c:pt>
                <c:pt idx="120">
                  <c:v>25569</c:v>
                </c:pt>
                <c:pt idx="121">
                  <c:v>25600</c:v>
                </c:pt>
                <c:pt idx="122">
                  <c:v>25628</c:v>
                </c:pt>
                <c:pt idx="123">
                  <c:v>25659</c:v>
                </c:pt>
                <c:pt idx="124">
                  <c:v>25689</c:v>
                </c:pt>
                <c:pt idx="125">
                  <c:v>25720</c:v>
                </c:pt>
                <c:pt idx="126">
                  <c:v>25750</c:v>
                </c:pt>
                <c:pt idx="127">
                  <c:v>25781</c:v>
                </c:pt>
                <c:pt idx="128">
                  <c:v>25812</c:v>
                </c:pt>
                <c:pt idx="129">
                  <c:v>25842</c:v>
                </c:pt>
                <c:pt idx="130">
                  <c:v>25873</c:v>
                </c:pt>
                <c:pt idx="131">
                  <c:v>25903</c:v>
                </c:pt>
                <c:pt idx="132">
                  <c:v>25934</c:v>
                </c:pt>
                <c:pt idx="133">
                  <c:v>25965</c:v>
                </c:pt>
                <c:pt idx="134">
                  <c:v>25993</c:v>
                </c:pt>
                <c:pt idx="135">
                  <c:v>26024</c:v>
                </c:pt>
                <c:pt idx="136">
                  <c:v>26054</c:v>
                </c:pt>
                <c:pt idx="137">
                  <c:v>26085</c:v>
                </c:pt>
                <c:pt idx="138">
                  <c:v>26115</c:v>
                </c:pt>
                <c:pt idx="139">
                  <c:v>26146</c:v>
                </c:pt>
                <c:pt idx="140">
                  <c:v>26177</c:v>
                </c:pt>
                <c:pt idx="141">
                  <c:v>26207</c:v>
                </c:pt>
                <c:pt idx="142">
                  <c:v>26238</c:v>
                </c:pt>
                <c:pt idx="143">
                  <c:v>26268</c:v>
                </c:pt>
                <c:pt idx="144">
                  <c:v>26299</c:v>
                </c:pt>
                <c:pt idx="145">
                  <c:v>26330</c:v>
                </c:pt>
                <c:pt idx="146">
                  <c:v>26359</c:v>
                </c:pt>
                <c:pt idx="147">
                  <c:v>26390</c:v>
                </c:pt>
                <c:pt idx="148">
                  <c:v>26420</c:v>
                </c:pt>
                <c:pt idx="149">
                  <c:v>26451</c:v>
                </c:pt>
                <c:pt idx="150">
                  <c:v>26481</c:v>
                </c:pt>
                <c:pt idx="151">
                  <c:v>26512</c:v>
                </c:pt>
                <c:pt idx="152">
                  <c:v>26543</c:v>
                </c:pt>
                <c:pt idx="153">
                  <c:v>26573</c:v>
                </c:pt>
                <c:pt idx="154">
                  <c:v>26604</c:v>
                </c:pt>
                <c:pt idx="155">
                  <c:v>26634</c:v>
                </c:pt>
                <c:pt idx="156">
                  <c:v>26665</c:v>
                </c:pt>
                <c:pt idx="157">
                  <c:v>26696</c:v>
                </c:pt>
                <c:pt idx="158">
                  <c:v>26724</c:v>
                </c:pt>
                <c:pt idx="159">
                  <c:v>26755</c:v>
                </c:pt>
                <c:pt idx="160">
                  <c:v>26785</c:v>
                </c:pt>
                <c:pt idx="161">
                  <c:v>26816</c:v>
                </c:pt>
                <c:pt idx="162">
                  <c:v>26846</c:v>
                </c:pt>
                <c:pt idx="163">
                  <c:v>26877</c:v>
                </c:pt>
                <c:pt idx="164">
                  <c:v>26908</c:v>
                </c:pt>
                <c:pt idx="165">
                  <c:v>26938</c:v>
                </c:pt>
                <c:pt idx="166">
                  <c:v>26969</c:v>
                </c:pt>
                <c:pt idx="167">
                  <c:v>26999</c:v>
                </c:pt>
                <c:pt idx="168">
                  <c:v>27030</c:v>
                </c:pt>
                <c:pt idx="169">
                  <c:v>27061</c:v>
                </c:pt>
                <c:pt idx="170">
                  <c:v>27089</c:v>
                </c:pt>
                <c:pt idx="171">
                  <c:v>27120</c:v>
                </c:pt>
                <c:pt idx="172">
                  <c:v>27150</c:v>
                </c:pt>
                <c:pt idx="173">
                  <c:v>27181</c:v>
                </c:pt>
                <c:pt idx="174">
                  <c:v>27211</c:v>
                </c:pt>
                <c:pt idx="175">
                  <c:v>27242</c:v>
                </c:pt>
                <c:pt idx="176">
                  <c:v>27273</c:v>
                </c:pt>
                <c:pt idx="177">
                  <c:v>27303</c:v>
                </c:pt>
                <c:pt idx="178">
                  <c:v>27334</c:v>
                </c:pt>
                <c:pt idx="179">
                  <c:v>27364</c:v>
                </c:pt>
                <c:pt idx="180">
                  <c:v>27395</c:v>
                </c:pt>
                <c:pt idx="181">
                  <c:v>27426</c:v>
                </c:pt>
                <c:pt idx="182">
                  <c:v>27454</c:v>
                </c:pt>
                <c:pt idx="183">
                  <c:v>27485</c:v>
                </c:pt>
                <c:pt idx="184">
                  <c:v>27515</c:v>
                </c:pt>
                <c:pt idx="185">
                  <c:v>27546</c:v>
                </c:pt>
                <c:pt idx="186">
                  <c:v>27576</c:v>
                </c:pt>
                <c:pt idx="187">
                  <c:v>27607</c:v>
                </c:pt>
                <c:pt idx="188">
                  <c:v>27638</c:v>
                </c:pt>
                <c:pt idx="189">
                  <c:v>27668</c:v>
                </c:pt>
                <c:pt idx="190">
                  <c:v>27699</c:v>
                </c:pt>
                <c:pt idx="191">
                  <c:v>27729</c:v>
                </c:pt>
                <c:pt idx="192">
                  <c:v>27760</c:v>
                </c:pt>
                <c:pt idx="193">
                  <c:v>27791</c:v>
                </c:pt>
                <c:pt idx="194">
                  <c:v>27820</c:v>
                </c:pt>
                <c:pt idx="195">
                  <c:v>27851</c:v>
                </c:pt>
                <c:pt idx="196">
                  <c:v>27881</c:v>
                </c:pt>
                <c:pt idx="197">
                  <c:v>27912</c:v>
                </c:pt>
                <c:pt idx="198">
                  <c:v>27942</c:v>
                </c:pt>
                <c:pt idx="199">
                  <c:v>27973</c:v>
                </c:pt>
                <c:pt idx="200">
                  <c:v>28004</c:v>
                </c:pt>
                <c:pt idx="201">
                  <c:v>28034</c:v>
                </c:pt>
                <c:pt idx="202">
                  <c:v>28065</c:v>
                </c:pt>
                <c:pt idx="203">
                  <c:v>28095</c:v>
                </c:pt>
                <c:pt idx="204">
                  <c:v>28126</c:v>
                </c:pt>
                <c:pt idx="205">
                  <c:v>28157</c:v>
                </c:pt>
                <c:pt idx="206">
                  <c:v>28185</c:v>
                </c:pt>
                <c:pt idx="207">
                  <c:v>28216</c:v>
                </c:pt>
                <c:pt idx="208">
                  <c:v>28246</c:v>
                </c:pt>
                <c:pt idx="209">
                  <c:v>28277</c:v>
                </c:pt>
                <c:pt idx="210">
                  <c:v>28307</c:v>
                </c:pt>
                <c:pt idx="211">
                  <c:v>28338</c:v>
                </c:pt>
                <c:pt idx="212">
                  <c:v>28369</c:v>
                </c:pt>
                <c:pt idx="213">
                  <c:v>28399</c:v>
                </c:pt>
                <c:pt idx="214">
                  <c:v>28430</c:v>
                </c:pt>
                <c:pt idx="215">
                  <c:v>28460</c:v>
                </c:pt>
                <c:pt idx="216">
                  <c:v>28491</c:v>
                </c:pt>
                <c:pt idx="217">
                  <c:v>28522</c:v>
                </c:pt>
                <c:pt idx="218">
                  <c:v>28550</c:v>
                </c:pt>
                <c:pt idx="219">
                  <c:v>28581</c:v>
                </c:pt>
                <c:pt idx="220">
                  <c:v>28611</c:v>
                </c:pt>
                <c:pt idx="221">
                  <c:v>28642</c:v>
                </c:pt>
                <c:pt idx="222">
                  <c:v>28672</c:v>
                </c:pt>
                <c:pt idx="223">
                  <c:v>28703</c:v>
                </c:pt>
                <c:pt idx="224">
                  <c:v>28734</c:v>
                </c:pt>
                <c:pt idx="225">
                  <c:v>28764</c:v>
                </c:pt>
                <c:pt idx="226">
                  <c:v>28795</c:v>
                </c:pt>
                <c:pt idx="227">
                  <c:v>28825</c:v>
                </c:pt>
                <c:pt idx="228">
                  <c:v>28856</c:v>
                </c:pt>
                <c:pt idx="229">
                  <c:v>28887</c:v>
                </c:pt>
                <c:pt idx="230">
                  <c:v>28915</c:v>
                </c:pt>
                <c:pt idx="231">
                  <c:v>28946</c:v>
                </c:pt>
                <c:pt idx="232">
                  <c:v>28976</c:v>
                </c:pt>
                <c:pt idx="233">
                  <c:v>29007</c:v>
                </c:pt>
                <c:pt idx="234">
                  <c:v>29037</c:v>
                </c:pt>
                <c:pt idx="235">
                  <c:v>29068</c:v>
                </c:pt>
                <c:pt idx="236">
                  <c:v>29099</c:v>
                </c:pt>
                <c:pt idx="237">
                  <c:v>29129</c:v>
                </c:pt>
                <c:pt idx="238">
                  <c:v>29160</c:v>
                </c:pt>
                <c:pt idx="239">
                  <c:v>29190</c:v>
                </c:pt>
                <c:pt idx="240">
                  <c:v>29221</c:v>
                </c:pt>
                <c:pt idx="241">
                  <c:v>29252</c:v>
                </c:pt>
                <c:pt idx="242">
                  <c:v>29281</c:v>
                </c:pt>
                <c:pt idx="243">
                  <c:v>29312</c:v>
                </c:pt>
                <c:pt idx="244">
                  <c:v>29342</c:v>
                </c:pt>
                <c:pt idx="245">
                  <c:v>29373</c:v>
                </c:pt>
                <c:pt idx="246">
                  <c:v>29403</c:v>
                </c:pt>
                <c:pt idx="247">
                  <c:v>29434</c:v>
                </c:pt>
                <c:pt idx="248">
                  <c:v>29465</c:v>
                </c:pt>
                <c:pt idx="249">
                  <c:v>29495</c:v>
                </c:pt>
                <c:pt idx="250">
                  <c:v>29526</c:v>
                </c:pt>
                <c:pt idx="251">
                  <c:v>29556</c:v>
                </c:pt>
                <c:pt idx="252">
                  <c:v>29587</c:v>
                </c:pt>
                <c:pt idx="253">
                  <c:v>29618</c:v>
                </c:pt>
                <c:pt idx="254">
                  <c:v>29646</c:v>
                </c:pt>
                <c:pt idx="255">
                  <c:v>29677</c:v>
                </c:pt>
                <c:pt idx="256">
                  <c:v>29707</c:v>
                </c:pt>
                <c:pt idx="257">
                  <c:v>29738</c:v>
                </c:pt>
                <c:pt idx="258">
                  <c:v>29768</c:v>
                </c:pt>
                <c:pt idx="259">
                  <c:v>29799</c:v>
                </c:pt>
                <c:pt idx="260">
                  <c:v>29830</c:v>
                </c:pt>
                <c:pt idx="261">
                  <c:v>29860</c:v>
                </c:pt>
                <c:pt idx="262">
                  <c:v>29891</c:v>
                </c:pt>
                <c:pt idx="263">
                  <c:v>29921</c:v>
                </c:pt>
                <c:pt idx="264">
                  <c:v>29952</c:v>
                </c:pt>
                <c:pt idx="265">
                  <c:v>29983</c:v>
                </c:pt>
                <c:pt idx="266">
                  <c:v>30011</c:v>
                </c:pt>
                <c:pt idx="267">
                  <c:v>30042</c:v>
                </c:pt>
                <c:pt idx="268">
                  <c:v>30072</c:v>
                </c:pt>
                <c:pt idx="269">
                  <c:v>30103</c:v>
                </c:pt>
                <c:pt idx="270">
                  <c:v>30133</c:v>
                </c:pt>
                <c:pt idx="271">
                  <c:v>30164</c:v>
                </c:pt>
                <c:pt idx="272">
                  <c:v>30195</c:v>
                </c:pt>
                <c:pt idx="273">
                  <c:v>30225</c:v>
                </c:pt>
                <c:pt idx="274">
                  <c:v>30256</c:v>
                </c:pt>
                <c:pt idx="275">
                  <c:v>30286</c:v>
                </c:pt>
                <c:pt idx="276">
                  <c:v>30317</c:v>
                </c:pt>
                <c:pt idx="277">
                  <c:v>30348</c:v>
                </c:pt>
                <c:pt idx="278">
                  <c:v>30376</c:v>
                </c:pt>
                <c:pt idx="279">
                  <c:v>30407</c:v>
                </c:pt>
                <c:pt idx="280">
                  <c:v>30437</c:v>
                </c:pt>
                <c:pt idx="281">
                  <c:v>30468</c:v>
                </c:pt>
                <c:pt idx="282">
                  <c:v>30498</c:v>
                </c:pt>
                <c:pt idx="283">
                  <c:v>30529</c:v>
                </c:pt>
                <c:pt idx="284">
                  <c:v>30560</c:v>
                </c:pt>
                <c:pt idx="285">
                  <c:v>30590</c:v>
                </c:pt>
                <c:pt idx="286">
                  <c:v>30621</c:v>
                </c:pt>
                <c:pt idx="287">
                  <c:v>30651</c:v>
                </c:pt>
                <c:pt idx="288">
                  <c:v>30682</c:v>
                </c:pt>
                <c:pt idx="289">
                  <c:v>30713</c:v>
                </c:pt>
                <c:pt idx="290">
                  <c:v>30742</c:v>
                </c:pt>
                <c:pt idx="291">
                  <c:v>30773</c:v>
                </c:pt>
                <c:pt idx="292">
                  <c:v>30803</c:v>
                </c:pt>
                <c:pt idx="293">
                  <c:v>30834</c:v>
                </c:pt>
                <c:pt idx="294">
                  <c:v>30864</c:v>
                </c:pt>
                <c:pt idx="295">
                  <c:v>30895</c:v>
                </c:pt>
                <c:pt idx="296">
                  <c:v>30926</c:v>
                </c:pt>
                <c:pt idx="297">
                  <c:v>30956</c:v>
                </c:pt>
                <c:pt idx="298">
                  <c:v>30987</c:v>
                </c:pt>
                <c:pt idx="299">
                  <c:v>31017</c:v>
                </c:pt>
                <c:pt idx="300">
                  <c:v>31048</c:v>
                </c:pt>
                <c:pt idx="301">
                  <c:v>31079</c:v>
                </c:pt>
                <c:pt idx="302">
                  <c:v>31107</c:v>
                </c:pt>
                <c:pt idx="303">
                  <c:v>31138</c:v>
                </c:pt>
                <c:pt idx="304">
                  <c:v>31168</c:v>
                </c:pt>
                <c:pt idx="305">
                  <c:v>31199</c:v>
                </c:pt>
                <c:pt idx="306">
                  <c:v>31229</c:v>
                </c:pt>
                <c:pt idx="307">
                  <c:v>31260</c:v>
                </c:pt>
                <c:pt idx="308">
                  <c:v>31291</c:v>
                </c:pt>
                <c:pt idx="309">
                  <c:v>31321</c:v>
                </c:pt>
                <c:pt idx="310">
                  <c:v>31352</c:v>
                </c:pt>
                <c:pt idx="311">
                  <c:v>31382</c:v>
                </c:pt>
                <c:pt idx="312">
                  <c:v>31413</c:v>
                </c:pt>
                <c:pt idx="313">
                  <c:v>31444</c:v>
                </c:pt>
                <c:pt idx="314">
                  <c:v>31472</c:v>
                </c:pt>
                <c:pt idx="315">
                  <c:v>31503</c:v>
                </c:pt>
                <c:pt idx="316">
                  <c:v>31533</c:v>
                </c:pt>
                <c:pt idx="317">
                  <c:v>31564</c:v>
                </c:pt>
                <c:pt idx="318">
                  <c:v>31594</c:v>
                </c:pt>
                <c:pt idx="319">
                  <c:v>31625</c:v>
                </c:pt>
                <c:pt idx="320">
                  <c:v>31656</c:v>
                </c:pt>
                <c:pt idx="321">
                  <c:v>31686</c:v>
                </c:pt>
                <c:pt idx="322">
                  <c:v>31717</c:v>
                </c:pt>
                <c:pt idx="323">
                  <c:v>31747</c:v>
                </c:pt>
                <c:pt idx="324">
                  <c:v>31778</c:v>
                </c:pt>
                <c:pt idx="325">
                  <c:v>31809</c:v>
                </c:pt>
                <c:pt idx="326">
                  <c:v>31837</c:v>
                </c:pt>
                <c:pt idx="327">
                  <c:v>31868</c:v>
                </c:pt>
                <c:pt idx="328">
                  <c:v>31898</c:v>
                </c:pt>
                <c:pt idx="329">
                  <c:v>31929</c:v>
                </c:pt>
                <c:pt idx="330">
                  <c:v>31959</c:v>
                </c:pt>
                <c:pt idx="331">
                  <c:v>31990</c:v>
                </c:pt>
                <c:pt idx="332">
                  <c:v>32021</c:v>
                </c:pt>
                <c:pt idx="333">
                  <c:v>32051</c:v>
                </c:pt>
                <c:pt idx="334">
                  <c:v>32082</c:v>
                </c:pt>
                <c:pt idx="335">
                  <c:v>32112</c:v>
                </c:pt>
                <c:pt idx="336">
                  <c:v>32143</c:v>
                </c:pt>
                <c:pt idx="337">
                  <c:v>32174</c:v>
                </c:pt>
                <c:pt idx="338">
                  <c:v>32203</c:v>
                </c:pt>
                <c:pt idx="339">
                  <c:v>32234</c:v>
                </c:pt>
                <c:pt idx="340">
                  <c:v>32264</c:v>
                </c:pt>
                <c:pt idx="341">
                  <c:v>32295</c:v>
                </c:pt>
                <c:pt idx="342">
                  <c:v>32325</c:v>
                </c:pt>
                <c:pt idx="343">
                  <c:v>32356</c:v>
                </c:pt>
                <c:pt idx="344">
                  <c:v>32387</c:v>
                </c:pt>
                <c:pt idx="345">
                  <c:v>32417</c:v>
                </c:pt>
                <c:pt idx="346">
                  <c:v>32448</c:v>
                </c:pt>
                <c:pt idx="347">
                  <c:v>32478</c:v>
                </c:pt>
                <c:pt idx="348">
                  <c:v>32509</c:v>
                </c:pt>
                <c:pt idx="349">
                  <c:v>32540</c:v>
                </c:pt>
                <c:pt idx="350">
                  <c:v>32568</c:v>
                </c:pt>
                <c:pt idx="351">
                  <c:v>32599</c:v>
                </c:pt>
                <c:pt idx="352">
                  <c:v>32629</c:v>
                </c:pt>
                <c:pt idx="353">
                  <c:v>32660</c:v>
                </c:pt>
                <c:pt idx="354">
                  <c:v>32690</c:v>
                </c:pt>
                <c:pt idx="355">
                  <c:v>32721</c:v>
                </c:pt>
                <c:pt idx="356">
                  <c:v>32752</c:v>
                </c:pt>
                <c:pt idx="357">
                  <c:v>32782</c:v>
                </c:pt>
                <c:pt idx="358">
                  <c:v>32813</c:v>
                </c:pt>
                <c:pt idx="359">
                  <c:v>32843</c:v>
                </c:pt>
                <c:pt idx="360">
                  <c:v>32874</c:v>
                </c:pt>
                <c:pt idx="361">
                  <c:v>32905</c:v>
                </c:pt>
                <c:pt idx="362">
                  <c:v>32933</c:v>
                </c:pt>
                <c:pt idx="363">
                  <c:v>32964</c:v>
                </c:pt>
                <c:pt idx="364">
                  <c:v>32994</c:v>
                </c:pt>
                <c:pt idx="365">
                  <c:v>33025</c:v>
                </c:pt>
                <c:pt idx="366">
                  <c:v>33055</c:v>
                </c:pt>
                <c:pt idx="367">
                  <c:v>33086</c:v>
                </c:pt>
                <c:pt idx="368">
                  <c:v>33117</c:v>
                </c:pt>
                <c:pt idx="369">
                  <c:v>33147</c:v>
                </c:pt>
                <c:pt idx="370">
                  <c:v>33178</c:v>
                </c:pt>
                <c:pt idx="371">
                  <c:v>33208</c:v>
                </c:pt>
                <c:pt idx="372">
                  <c:v>33239</c:v>
                </c:pt>
                <c:pt idx="373">
                  <c:v>33270</c:v>
                </c:pt>
                <c:pt idx="374">
                  <c:v>33298</c:v>
                </c:pt>
                <c:pt idx="375">
                  <c:v>33329</c:v>
                </c:pt>
                <c:pt idx="376">
                  <c:v>33359</c:v>
                </c:pt>
                <c:pt idx="377">
                  <c:v>33390</c:v>
                </c:pt>
                <c:pt idx="378">
                  <c:v>33420</c:v>
                </c:pt>
                <c:pt idx="379">
                  <c:v>33451</c:v>
                </c:pt>
                <c:pt idx="380">
                  <c:v>33482</c:v>
                </c:pt>
                <c:pt idx="381">
                  <c:v>33512</c:v>
                </c:pt>
                <c:pt idx="382">
                  <c:v>33543</c:v>
                </c:pt>
                <c:pt idx="383">
                  <c:v>33573</c:v>
                </c:pt>
                <c:pt idx="384">
                  <c:v>33604</c:v>
                </c:pt>
                <c:pt idx="385">
                  <c:v>33635</c:v>
                </c:pt>
                <c:pt idx="386">
                  <c:v>33664</c:v>
                </c:pt>
                <c:pt idx="387">
                  <c:v>33695</c:v>
                </c:pt>
                <c:pt idx="388">
                  <c:v>33725</c:v>
                </c:pt>
                <c:pt idx="389">
                  <c:v>33756</c:v>
                </c:pt>
                <c:pt idx="390">
                  <c:v>33786</c:v>
                </c:pt>
                <c:pt idx="391">
                  <c:v>33817</c:v>
                </c:pt>
                <c:pt idx="392">
                  <c:v>33848</c:v>
                </c:pt>
                <c:pt idx="393">
                  <c:v>33878</c:v>
                </c:pt>
                <c:pt idx="394">
                  <c:v>33909</c:v>
                </c:pt>
                <c:pt idx="395">
                  <c:v>33939</c:v>
                </c:pt>
                <c:pt idx="396">
                  <c:v>33970</c:v>
                </c:pt>
                <c:pt idx="397">
                  <c:v>34001</c:v>
                </c:pt>
                <c:pt idx="398">
                  <c:v>34029</c:v>
                </c:pt>
                <c:pt idx="399">
                  <c:v>34060</c:v>
                </c:pt>
                <c:pt idx="400">
                  <c:v>34090</c:v>
                </c:pt>
                <c:pt idx="401">
                  <c:v>34121</c:v>
                </c:pt>
                <c:pt idx="402">
                  <c:v>34151</c:v>
                </c:pt>
                <c:pt idx="403">
                  <c:v>34182</c:v>
                </c:pt>
                <c:pt idx="404">
                  <c:v>34213</c:v>
                </c:pt>
                <c:pt idx="405">
                  <c:v>34243</c:v>
                </c:pt>
                <c:pt idx="406">
                  <c:v>34274</c:v>
                </c:pt>
                <c:pt idx="407">
                  <c:v>34304</c:v>
                </c:pt>
                <c:pt idx="408">
                  <c:v>34335</c:v>
                </c:pt>
                <c:pt idx="409">
                  <c:v>34366</c:v>
                </c:pt>
                <c:pt idx="410">
                  <c:v>34394</c:v>
                </c:pt>
                <c:pt idx="411">
                  <c:v>34425</c:v>
                </c:pt>
                <c:pt idx="412">
                  <c:v>34455</c:v>
                </c:pt>
                <c:pt idx="413">
                  <c:v>34486</c:v>
                </c:pt>
                <c:pt idx="414">
                  <c:v>34516</c:v>
                </c:pt>
                <c:pt idx="415">
                  <c:v>34547</c:v>
                </c:pt>
                <c:pt idx="416">
                  <c:v>34578</c:v>
                </c:pt>
                <c:pt idx="417">
                  <c:v>34608</c:v>
                </c:pt>
                <c:pt idx="418">
                  <c:v>34639</c:v>
                </c:pt>
                <c:pt idx="419">
                  <c:v>34669</c:v>
                </c:pt>
                <c:pt idx="420">
                  <c:v>34700</c:v>
                </c:pt>
                <c:pt idx="421">
                  <c:v>34731</c:v>
                </c:pt>
                <c:pt idx="422">
                  <c:v>34759</c:v>
                </c:pt>
                <c:pt idx="423">
                  <c:v>34790</c:v>
                </c:pt>
                <c:pt idx="424">
                  <c:v>34820</c:v>
                </c:pt>
                <c:pt idx="425">
                  <c:v>34851</c:v>
                </c:pt>
                <c:pt idx="426">
                  <c:v>34881</c:v>
                </c:pt>
                <c:pt idx="427">
                  <c:v>34912</c:v>
                </c:pt>
                <c:pt idx="428">
                  <c:v>34943</c:v>
                </c:pt>
                <c:pt idx="429">
                  <c:v>34973</c:v>
                </c:pt>
                <c:pt idx="430">
                  <c:v>35004</c:v>
                </c:pt>
                <c:pt idx="431">
                  <c:v>35034</c:v>
                </c:pt>
                <c:pt idx="432">
                  <c:v>35065</c:v>
                </c:pt>
                <c:pt idx="433">
                  <c:v>35096</c:v>
                </c:pt>
                <c:pt idx="434">
                  <c:v>35125</c:v>
                </c:pt>
                <c:pt idx="435">
                  <c:v>35156</c:v>
                </c:pt>
                <c:pt idx="436">
                  <c:v>35186</c:v>
                </c:pt>
                <c:pt idx="437">
                  <c:v>35217</c:v>
                </c:pt>
                <c:pt idx="438">
                  <c:v>35247</c:v>
                </c:pt>
                <c:pt idx="439">
                  <c:v>35278</c:v>
                </c:pt>
                <c:pt idx="440">
                  <c:v>35309</c:v>
                </c:pt>
                <c:pt idx="441">
                  <c:v>35339</c:v>
                </c:pt>
                <c:pt idx="442">
                  <c:v>35370</c:v>
                </c:pt>
                <c:pt idx="443">
                  <c:v>35400</c:v>
                </c:pt>
                <c:pt idx="444">
                  <c:v>35431</c:v>
                </c:pt>
                <c:pt idx="445">
                  <c:v>35462</c:v>
                </c:pt>
                <c:pt idx="446">
                  <c:v>35490</c:v>
                </c:pt>
                <c:pt idx="447">
                  <c:v>35521</c:v>
                </c:pt>
                <c:pt idx="448">
                  <c:v>35551</c:v>
                </c:pt>
                <c:pt idx="449">
                  <c:v>35582</c:v>
                </c:pt>
                <c:pt idx="450">
                  <c:v>35612</c:v>
                </c:pt>
                <c:pt idx="451">
                  <c:v>35643</c:v>
                </c:pt>
                <c:pt idx="452">
                  <c:v>35674</c:v>
                </c:pt>
                <c:pt idx="453">
                  <c:v>35704</c:v>
                </c:pt>
                <c:pt idx="454">
                  <c:v>35735</c:v>
                </c:pt>
                <c:pt idx="455">
                  <c:v>35765</c:v>
                </c:pt>
                <c:pt idx="456">
                  <c:v>35796</c:v>
                </c:pt>
                <c:pt idx="457">
                  <c:v>35827</c:v>
                </c:pt>
                <c:pt idx="458">
                  <c:v>35855</c:v>
                </c:pt>
                <c:pt idx="459">
                  <c:v>35886</c:v>
                </c:pt>
                <c:pt idx="460">
                  <c:v>35916</c:v>
                </c:pt>
                <c:pt idx="461">
                  <c:v>35947</c:v>
                </c:pt>
                <c:pt idx="462">
                  <c:v>35977</c:v>
                </c:pt>
                <c:pt idx="463">
                  <c:v>36008</c:v>
                </c:pt>
                <c:pt idx="464">
                  <c:v>36039</c:v>
                </c:pt>
                <c:pt idx="465">
                  <c:v>36069</c:v>
                </c:pt>
                <c:pt idx="466">
                  <c:v>36100</c:v>
                </c:pt>
                <c:pt idx="467">
                  <c:v>36130</c:v>
                </c:pt>
                <c:pt idx="468">
                  <c:v>36161</c:v>
                </c:pt>
                <c:pt idx="469">
                  <c:v>36192</c:v>
                </c:pt>
                <c:pt idx="470">
                  <c:v>36220</c:v>
                </c:pt>
                <c:pt idx="471">
                  <c:v>36251</c:v>
                </c:pt>
                <c:pt idx="472">
                  <c:v>36281</c:v>
                </c:pt>
                <c:pt idx="473">
                  <c:v>36312</c:v>
                </c:pt>
                <c:pt idx="474">
                  <c:v>36342</c:v>
                </c:pt>
                <c:pt idx="475">
                  <c:v>36373</c:v>
                </c:pt>
                <c:pt idx="476">
                  <c:v>36404</c:v>
                </c:pt>
                <c:pt idx="477">
                  <c:v>36434</c:v>
                </c:pt>
                <c:pt idx="478">
                  <c:v>36465</c:v>
                </c:pt>
                <c:pt idx="479">
                  <c:v>36495</c:v>
                </c:pt>
                <c:pt idx="480">
                  <c:v>36526</c:v>
                </c:pt>
                <c:pt idx="481">
                  <c:v>36557</c:v>
                </c:pt>
                <c:pt idx="482">
                  <c:v>36586</c:v>
                </c:pt>
                <c:pt idx="483">
                  <c:v>36617</c:v>
                </c:pt>
                <c:pt idx="484">
                  <c:v>36647</c:v>
                </c:pt>
                <c:pt idx="485">
                  <c:v>36678</c:v>
                </c:pt>
                <c:pt idx="486">
                  <c:v>36708</c:v>
                </c:pt>
                <c:pt idx="487">
                  <c:v>36739</c:v>
                </c:pt>
                <c:pt idx="488">
                  <c:v>36770</c:v>
                </c:pt>
                <c:pt idx="489">
                  <c:v>36800</c:v>
                </c:pt>
                <c:pt idx="490">
                  <c:v>36831</c:v>
                </c:pt>
                <c:pt idx="491">
                  <c:v>36861</c:v>
                </c:pt>
                <c:pt idx="492">
                  <c:v>36892</c:v>
                </c:pt>
                <c:pt idx="493">
                  <c:v>36923</c:v>
                </c:pt>
                <c:pt idx="494">
                  <c:v>36951</c:v>
                </c:pt>
                <c:pt idx="495">
                  <c:v>36982</c:v>
                </c:pt>
                <c:pt idx="496">
                  <c:v>37012</c:v>
                </c:pt>
                <c:pt idx="497">
                  <c:v>37043</c:v>
                </c:pt>
                <c:pt idx="498">
                  <c:v>37073</c:v>
                </c:pt>
                <c:pt idx="499">
                  <c:v>37104</c:v>
                </c:pt>
                <c:pt idx="500">
                  <c:v>37135</c:v>
                </c:pt>
                <c:pt idx="501">
                  <c:v>37165</c:v>
                </c:pt>
                <c:pt idx="502">
                  <c:v>37196</c:v>
                </c:pt>
                <c:pt idx="503">
                  <c:v>37226</c:v>
                </c:pt>
                <c:pt idx="504">
                  <c:v>37257</c:v>
                </c:pt>
                <c:pt idx="505">
                  <c:v>37288</c:v>
                </c:pt>
                <c:pt idx="506">
                  <c:v>37316</c:v>
                </c:pt>
                <c:pt idx="507">
                  <c:v>37347</c:v>
                </c:pt>
                <c:pt idx="508">
                  <c:v>37377</c:v>
                </c:pt>
                <c:pt idx="509">
                  <c:v>37408</c:v>
                </c:pt>
                <c:pt idx="510">
                  <c:v>37438</c:v>
                </c:pt>
                <c:pt idx="511">
                  <c:v>37469</c:v>
                </c:pt>
                <c:pt idx="512">
                  <c:v>37500</c:v>
                </c:pt>
                <c:pt idx="513">
                  <c:v>37530</c:v>
                </c:pt>
                <c:pt idx="514">
                  <c:v>37561</c:v>
                </c:pt>
                <c:pt idx="515">
                  <c:v>37591</c:v>
                </c:pt>
                <c:pt idx="516">
                  <c:v>37622</c:v>
                </c:pt>
                <c:pt idx="517">
                  <c:v>37653</c:v>
                </c:pt>
                <c:pt idx="518">
                  <c:v>37681</c:v>
                </c:pt>
                <c:pt idx="519">
                  <c:v>37712</c:v>
                </c:pt>
                <c:pt idx="520">
                  <c:v>37742</c:v>
                </c:pt>
                <c:pt idx="521">
                  <c:v>37773</c:v>
                </c:pt>
                <c:pt idx="522">
                  <c:v>37803</c:v>
                </c:pt>
                <c:pt idx="523">
                  <c:v>37834</c:v>
                </c:pt>
                <c:pt idx="524">
                  <c:v>37865</c:v>
                </c:pt>
                <c:pt idx="525">
                  <c:v>37895</c:v>
                </c:pt>
                <c:pt idx="526">
                  <c:v>37926</c:v>
                </c:pt>
                <c:pt idx="527">
                  <c:v>37956</c:v>
                </c:pt>
                <c:pt idx="528">
                  <c:v>37987</c:v>
                </c:pt>
                <c:pt idx="529">
                  <c:v>38018</c:v>
                </c:pt>
                <c:pt idx="530">
                  <c:v>38047</c:v>
                </c:pt>
                <c:pt idx="531">
                  <c:v>38078</c:v>
                </c:pt>
                <c:pt idx="532">
                  <c:v>38108</c:v>
                </c:pt>
                <c:pt idx="533">
                  <c:v>38139</c:v>
                </c:pt>
                <c:pt idx="534">
                  <c:v>38169</c:v>
                </c:pt>
                <c:pt idx="535">
                  <c:v>38200</c:v>
                </c:pt>
                <c:pt idx="536">
                  <c:v>38231</c:v>
                </c:pt>
                <c:pt idx="537">
                  <c:v>38261</c:v>
                </c:pt>
                <c:pt idx="538">
                  <c:v>38292</c:v>
                </c:pt>
                <c:pt idx="539">
                  <c:v>38322</c:v>
                </c:pt>
                <c:pt idx="540">
                  <c:v>38353</c:v>
                </c:pt>
                <c:pt idx="541">
                  <c:v>38384</c:v>
                </c:pt>
                <c:pt idx="542">
                  <c:v>38412</c:v>
                </c:pt>
                <c:pt idx="543">
                  <c:v>38443</c:v>
                </c:pt>
                <c:pt idx="544">
                  <c:v>38473</c:v>
                </c:pt>
                <c:pt idx="545">
                  <c:v>38504</c:v>
                </c:pt>
                <c:pt idx="546">
                  <c:v>38534</c:v>
                </c:pt>
                <c:pt idx="547">
                  <c:v>38565</c:v>
                </c:pt>
                <c:pt idx="548">
                  <c:v>38596</c:v>
                </c:pt>
                <c:pt idx="549">
                  <c:v>38626</c:v>
                </c:pt>
                <c:pt idx="550">
                  <c:v>38657</c:v>
                </c:pt>
                <c:pt idx="551">
                  <c:v>38687</c:v>
                </c:pt>
                <c:pt idx="552">
                  <c:v>38718</c:v>
                </c:pt>
                <c:pt idx="553">
                  <c:v>38749</c:v>
                </c:pt>
                <c:pt idx="554">
                  <c:v>38777</c:v>
                </c:pt>
                <c:pt idx="555">
                  <c:v>38808</c:v>
                </c:pt>
                <c:pt idx="556">
                  <c:v>38838</c:v>
                </c:pt>
                <c:pt idx="557">
                  <c:v>38869</c:v>
                </c:pt>
                <c:pt idx="558">
                  <c:v>38899</c:v>
                </c:pt>
                <c:pt idx="559">
                  <c:v>38930</c:v>
                </c:pt>
                <c:pt idx="560">
                  <c:v>38961</c:v>
                </c:pt>
                <c:pt idx="561">
                  <c:v>38991</c:v>
                </c:pt>
                <c:pt idx="562">
                  <c:v>39022</c:v>
                </c:pt>
                <c:pt idx="563">
                  <c:v>39052</c:v>
                </c:pt>
                <c:pt idx="564">
                  <c:v>39083</c:v>
                </c:pt>
                <c:pt idx="565">
                  <c:v>39114</c:v>
                </c:pt>
                <c:pt idx="566">
                  <c:v>39142</c:v>
                </c:pt>
                <c:pt idx="567">
                  <c:v>39173</c:v>
                </c:pt>
                <c:pt idx="568">
                  <c:v>39203</c:v>
                </c:pt>
                <c:pt idx="569">
                  <c:v>39234</c:v>
                </c:pt>
                <c:pt idx="570">
                  <c:v>39264</c:v>
                </c:pt>
                <c:pt idx="571">
                  <c:v>39295</c:v>
                </c:pt>
                <c:pt idx="572">
                  <c:v>39326</c:v>
                </c:pt>
                <c:pt idx="573">
                  <c:v>39356</c:v>
                </c:pt>
                <c:pt idx="574">
                  <c:v>39387</c:v>
                </c:pt>
                <c:pt idx="575">
                  <c:v>39417</c:v>
                </c:pt>
                <c:pt idx="576">
                  <c:v>39448</c:v>
                </c:pt>
                <c:pt idx="577">
                  <c:v>39479</c:v>
                </c:pt>
                <c:pt idx="578">
                  <c:v>39508</c:v>
                </c:pt>
                <c:pt idx="579">
                  <c:v>39539</c:v>
                </c:pt>
                <c:pt idx="580">
                  <c:v>39569</c:v>
                </c:pt>
                <c:pt idx="581">
                  <c:v>39600</c:v>
                </c:pt>
                <c:pt idx="582">
                  <c:v>39630</c:v>
                </c:pt>
                <c:pt idx="583">
                  <c:v>39661</c:v>
                </c:pt>
                <c:pt idx="584">
                  <c:v>39692</c:v>
                </c:pt>
                <c:pt idx="585">
                  <c:v>39722</c:v>
                </c:pt>
                <c:pt idx="586">
                  <c:v>39753</c:v>
                </c:pt>
                <c:pt idx="587">
                  <c:v>39783</c:v>
                </c:pt>
                <c:pt idx="588">
                  <c:v>39814</c:v>
                </c:pt>
                <c:pt idx="589">
                  <c:v>39845</c:v>
                </c:pt>
                <c:pt idx="590">
                  <c:v>39873</c:v>
                </c:pt>
                <c:pt idx="591">
                  <c:v>39904</c:v>
                </c:pt>
                <c:pt idx="592">
                  <c:v>39934</c:v>
                </c:pt>
                <c:pt idx="593">
                  <c:v>39965</c:v>
                </c:pt>
                <c:pt idx="594">
                  <c:v>39995</c:v>
                </c:pt>
                <c:pt idx="595">
                  <c:v>40026</c:v>
                </c:pt>
                <c:pt idx="596">
                  <c:v>40057</c:v>
                </c:pt>
                <c:pt idx="597">
                  <c:v>40087</c:v>
                </c:pt>
                <c:pt idx="598">
                  <c:v>40118</c:v>
                </c:pt>
                <c:pt idx="599">
                  <c:v>40148</c:v>
                </c:pt>
                <c:pt idx="600">
                  <c:v>40179</c:v>
                </c:pt>
                <c:pt idx="601">
                  <c:v>40210</c:v>
                </c:pt>
                <c:pt idx="602">
                  <c:v>40238</c:v>
                </c:pt>
                <c:pt idx="603">
                  <c:v>40269</c:v>
                </c:pt>
                <c:pt idx="604">
                  <c:v>40299</c:v>
                </c:pt>
                <c:pt idx="605">
                  <c:v>40330</c:v>
                </c:pt>
                <c:pt idx="606">
                  <c:v>40360</c:v>
                </c:pt>
                <c:pt idx="607">
                  <c:v>40391</c:v>
                </c:pt>
                <c:pt idx="608">
                  <c:v>40422</c:v>
                </c:pt>
                <c:pt idx="609">
                  <c:v>40452</c:v>
                </c:pt>
                <c:pt idx="610">
                  <c:v>40483</c:v>
                </c:pt>
                <c:pt idx="611">
                  <c:v>40513</c:v>
                </c:pt>
                <c:pt idx="612">
                  <c:v>40544</c:v>
                </c:pt>
                <c:pt idx="613">
                  <c:v>40575</c:v>
                </c:pt>
                <c:pt idx="614">
                  <c:v>40603</c:v>
                </c:pt>
                <c:pt idx="615">
                  <c:v>40634</c:v>
                </c:pt>
                <c:pt idx="616">
                  <c:v>40664</c:v>
                </c:pt>
                <c:pt idx="617">
                  <c:v>40695</c:v>
                </c:pt>
                <c:pt idx="618">
                  <c:v>40725</c:v>
                </c:pt>
                <c:pt idx="619">
                  <c:v>40756</c:v>
                </c:pt>
                <c:pt idx="620">
                  <c:v>40787</c:v>
                </c:pt>
                <c:pt idx="621">
                  <c:v>40817</c:v>
                </c:pt>
                <c:pt idx="622">
                  <c:v>40848</c:v>
                </c:pt>
                <c:pt idx="623">
                  <c:v>40878</c:v>
                </c:pt>
                <c:pt idx="624">
                  <c:v>40909</c:v>
                </c:pt>
                <c:pt idx="625">
                  <c:v>40940</c:v>
                </c:pt>
                <c:pt idx="626">
                  <c:v>40969</c:v>
                </c:pt>
                <c:pt idx="627">
                  <c:v>41000</c:v>
                </c:pt>
                <c:pt idx="628">
                  <c:v>41030</c:v>
                </c:pt>
                <c:pt idx="629">
                  <c:v>41061</c:v>
                </c:pt>
                <c:pt idx="630">
                  <c:v>41091</c:v>
                </c:pt>
                <c:pt idx="631">
                  <c:v>41122</c:v>
                </c:pt>
                <c:pt idx="632">
                  <c:v>41153</c:v>
                </c:pt>
                <c:pt idx="633">
                  <c:v>41183</c:v>
                </c:pt>
                <c:pt idx="634">
                  <c:v>41214</c:v>
                </c:pt>
                <c:pt idx="635">
                  <c:v>41244</c:v>
                </c:pt>
                <c:pt idx="636">
                  <c:v>41275</c:v>
                </c:pt>
                <c:pt idx="637">
                  <c:v>41306</c:v>
                </c:pt>
                <c:pt idx="638">
                  <c:v>41334</c:v>
                </c:pt>
                <c:pt idx="639">
                  <c:v>41365</c:v>
                </c:pt>
                <c:pt idx="640">
                  <c:v>41395</c:v>
                </c:pt>
                <c:pt idx="641">
                  <c:v>41426</c:v>
                </c:pt>
                <c:pt idx="642">
                  <c:v>41456</c:v>
                </c:pt>
                <c:pt idx="643">
                  <c:v>41487</c:v>
                </c:pt>
                <c:pt idx="644">
                  <c:v>41518</c:v>
                </c:pt>
                <c:pt idx="645">
                  <c:v>41548</c:v>
                </c:pt>
                <c:pt idx="646">
                  <c:v>41579</c:v>
                </c:pt>
                <c:pt idx="647">
                  <c:v>41609</c:v>
                </c:pt>
                <c:pt idx="648">
                  <c:v>41640</c:v>
                </c:pt>
                <c:pt idx="649">
                  <c:v>41671</c:v>
                </c:pt>
                <c:pt idx="650">
                  <c:v>41699</c:v>
                </c:pt>
                <c:pt idx="651">
                  <c:v>41730</c:v>
                </c:pt>
                <c:pt idx="652">
                  <c:v>41760</c:v>
                </c:pt>
                <c:pt idx="653">
                  <c:v>41791</c:v>
                </c:pt>
                <c:pt idx="654">
                  <c:v>41821</c:v>
                </c:pt>
                <c:pt idx="655">
                  <c:v>41852</c:v>
                </c:pt>
                <c:pt idx="656">
                  <c:v>41883</c:v>
                </c:pt>
                <c:pt idx="657">
                  <c:v>41913</c:v>
                </c:pt>
                <c:pt idx="658">
                  <c:v>41944</c:v>
                </c:pt>
                <c:pt idx="659">
                  <c:v>41974</c:v>
                </c:pt>
                <c:pt idx="660">
                  <c:v>42005</c:v>
                </c:pt>
                <c:pt idx="661">
                  <c:v>42036</c:v>
                </c:pt>
                <c:pt idx="662">
                  <c:v>42064</c:v>
                </c:pt>
                <c:pt idx="663">
                  <c:v>42095</c:v>
                </c:pt>
                <c:pt idx="664">
                  <c:v>42125</c:v>
                </c:pt>
                <c:pt idx="665">
                  <c:v>42156</c:v>
                </c:pt>
                <c:pt idx="666">
                  <c:v>42186</c:v>
                </c:pt>
                <c:pt idx="667">
                  <c:v>42217</c:v>
                </c:pt>
                <c:pt idx="668">
                  <c:v>42248</c:v>
                </c:pt>
                <c:pt idx="669">
                  <c:v>42278</c:v>
                </c:pt>
                <c:pt idx="670">
                  <c:v>42309</c:v>
                </c:pt>
                <c:pt idx="671">
                  <c:v>42339</c:v>
                </c:pt>
                <c:pt idx="672">
                  <c:v>42370</c:v>
                </c:pt>
                <c:pt idx="673">
                  <c:v>42401</c:v>
                </c:pt>
                <c:pt idx="674">
                  <c:v>42430</c:v>
                </c:pt>
                <c:pt idx="675">
                  <c:v>42461</c:v>
                </c:pt>
                <c:pt idx="676">
                  <c:v>42491</c:v>
                </c:pt>
                <c:pt idx="677">
                  <c:v>42522</c:v>
                </c:pt>
                <c:pt idx="678">
                  <c:v>42552</c:v>
                </c:pt>
                <c:pt idx="679">
                  <c:v>42583</c:v>
                </c:pt>
                <c:pt idx="680">
                  <c:v>42614</c:v>
                </c:pt>
                <c:pt idx="681">
                  <c:v>42644</c:v>
                </c:pt>
                <c:pt idx="682">
                  <c:v>42675</c:v>
                </c:pt>
                <c:pt idx="683">
                  <c:v>42705</c:v>
                </c:pt>
                <c:pt idx="684">
                  <c:v>42736</c:v>
                </c:pt>
                <c:pt idx="685">
                  <c:v>42767</c:v>
                </c:pt>
                <c:pt idx="686">
                  <c:v>42795</c:v>
                </c:pt>
                <c:pt idx="687">
                  <c:v>42826</c:v>
                </c:pt>
                <c:pt idx="688">
                  <c:v>42856</c:v>
                </c:pt>
                <c:pt idx="689">
                  <c:v>42887</c:v>
                </c:pt>
                <c:pt idx="690">
                  <c:v>42917</c:v>
                </c:pt>
                <c:pt idx="691">
                  <c:v>42948</c:v>
                </c:pt>
                <c:pt idx="692">
                  <c:v>42979</c:v>
                </c:pt>
                <c:pt idx="693">
                  <c:v>43009</c:v>
                </c:pt>
                <c:pt idx="694">
                  <c:v>43040</c:v>
                </c:pt>
                <c:pt idx="695">
                  <c:v>43070</c:v>
                </c:pt>
                <c:pt idx="696">
                  <c:v>43101</c:v>
                </c:pt>
                <c:pt idx="697">
                  <c:v>43132</c:v>
                </c:pt>
                <c:pt idx="698">
                  <c:v>43160</c:v>
                </c:pt>
                <c:pt idx="699">
                  <c:v>43191</c:v>
                </c:pt>
                <c:pt idx="700">
                  <c:v>43221</c:v>
                </c:pt>
                <c:pt idx="701">
                  <c:v>43252</c:v>
                </c:pt>
                <c:pt idx="702">
                  <c:v>43282</c:v>
                </c:pt>
                <c:pt idx="703">
                  <c:v>43313</c:v>
                </c:pt>
                <c:pt idx="704">
                  <c:v>43344</c:v>
                </c:pt>
                <c:pt idx="705">
                  <c:v>43374</c:v>
                </c:pt>
                <c:pt idx="706">
                  <c:v>43405</c:v>
                </c:pt>
                <c:pt idx="707">
                  <c:v>43435</c:v>
                </c:pt>
                <c:pt idx="708">
                  <c:v>43466</c:v>
                </c:pt>
                <c:pt idx="709">
                  <c:v>43497</c:v>
                </c:pt>
                <c:pt idx="710">
                  <c:v>43525</c:v>
                </c:pt>
                <c:pt idx="711">
                  <c:v>43556</c:v>
                </c:pt>
                <c:pt idx="712">
                  <c:v>43586</c:v>
                </c:pt>
                <c:pt idx="713">
                  <c:v>43617</c:v>
                </c:pt>
                <c:pt idx="714">
                  <c:v>43647</c:v>
                </c:pt>
                <c:pt idx="715">
                  <c:v>43678</c:v>
                </c:pt>
                <c:pt idx="716">
                  <c:v>43709</c:v>
                </c:pt>
                <c:pt idx="717">
                  <c:v>43739</c:v>
                </c:pt>
                <c:pt idx="718">
                  <c:v>43770</c:v>
                </c:pt>
                <c:pt idx="719">
                  <c:v>43800</c:v>
                </c:pt>
                <c:pt idx="720">
                  <c:v>43831</c:v>
                </c:pt>
                <c:pt idx="721">
                  <c:v>43862</c:v>
                </c:pt>
                <c:pt idx="722">
                  <c:v>43891</c:v>
                </c:pt>
                <c:pt idx="723">
                  <c:v>43922</c:v>
                </c:pt>
                <c:pt idx="724">
                  <c:v>43952</c:v>
                </c:pt>
                <c:pt idx="725">
                  <c:v>43983</c:v>
                </c:pt>
                <c:pt idx="726">
                  <c:v>44013</c:v>
                </c:pt>
                <c:pt idx="727">
                  <c:v>44044</c:v>
                </c:pt>
                <c:pt idx="728">
                  <c:v>44075</c:v>
                </c:pt>
                <c:pt idx="729">
                  <c:v>44105</c:v>
                </c:pt>
                <c:pt idx="730">
                  <c:v>44136</c:v>
                </c:pt>
                <c:pt idx="731">
                  <c:v>44166</c:v>
                </c:pt>
                <c:pt idx="732">
                  <c:v>44197</c:v>
                </c:pt>
                <c:pt idx="733">
                  <c:v>44228</c:v>
                </c:pt>
                <c:pt idx="734">
                  <c:v>44256</c:v>
                </c:pt>
                <c:pt idx="735">
                  <c:v>44287</c:v>
                </c:pt>
                <c:pt idx="736">
                  <c:v>44317</c:v>
                </c:pt>
                <c:pt idx="737">
                  <c:v>44348</c:v>
                </c:pt>
                <c:pt idx="738">
                  <c:v>44378</c:v>
                </c:pt>
                <c:pt idx="739">
                  <c:v>44409</c:v>
                </c:pt>
                <c:pt idx="740">
                  <c:v>44440</c:v>
                </c:pt>
                <c:pt idx="741">
                  <c:v>44470</c:v>
                </c:pt>
                <c:pt idx="742">
                  <c:v>44501</c:v>
                </c:pt>
                <c:pt idx="743">
                  <c:v>44531</c:v>
                </c:pt>
              </c:numCache>
            </c:numRef>
          </c:cat>
          <c:val>
            <c:numRef>
              <c:f>Started!$B$7:$B$750</c:f>
              <c:numCache>
                <c:formatCode>General</c:formatCode>
                <c:ptCount val="744"/>
                <c:pt idx="0">
                  <c:v>1460</c:v>
                </c:pt>
                <c:pt idx="1">
                  <c:v>1503</c:v>
                </c:pt>
                <c:pt idx="2">
                  <c:v>1109</c:v>
                </c:pt>
                <c:pt idx="3">
                  <c:v>1289</c:v>
                </c:pt>
                <c:pt idx="4">
                  <c:v>1271</c:v>
                </c:pt>
                <c:pt idx="5">
                  <c:v>1247</c:v>
                </c:pt>
                <c:pt idx="6">
                  <c:v>1197</c:v>
                </c:pt>
                <c:pt idx="7">
                  <c:v>1344</c:v>
                </c:pt>
                <c:pt idx="8">
                  <c:v>1097</c:v>
                </c:pt>
                <c:pt idx="9">
                  <c:v>1246</c:v>
                </c:pt>
                <c:pt idx="10">
                  <c:v>1246</c:v>
                </c:pt>
                <c:pt idx="11">
                  <c:v>1063</c:v>
                </c:pt>
                <c:pt idx="12">
                  <c:v>1183</c:v>
                </c:pt>
                <c:pt idx="13">
                  <c:v>1226</c:v>
                </c:pt>
                <c:pt idx="14">
                  <c:v>1312</c:v>
                </c:pt>
                <c:pt idx="15">
                  <c:v>1166</c:v>
                </c:pt>
                <c:pt idx="16">
                  <c:v>1228</c:v>
                </c:pt>
                <c:pt idx="17">
                  <c:v>1382</c:v>
                </c:pt>
                <c:pt idx="18">
                  <c:v>1335</c:v>
                </c:pt>
                <c:pt idx="19">
                  <c:v>1312</c:v>
                </c:pt>
                <c:pt idx="20">
                  <c:v>1429</c:v>
                </c:pt>
                <c:pt idx="21">
                  <c:v>1415</c:v>
                </c:pt>
                <c:pt idx="22">
                  <c:v>1385</c:v>
                </c:pt>
                <c:pt idx="23">
                  <c:v>1365</c:v>
                </c:pt>
                <c:pt idx="24">
                  <c:v>1361</c:v>
                </c:pt>
                <c:pt idx="25">
                  <c:v>1278</c:v>
                </c:pt>
                <c:pt idx="26">
                  <c:v>1443</c:v>
                </c:pt>
                <c:pt idx="27">
                  <c:v>1524</c:v>
                </c:pt>
                <c:pt idx="28">
                  <c:v>1483</c:v>
                </c:pt>
                <c:pt idx="29">
                  <c:v>1404</c:v>
                </c:pt>
                <c:pt idx="30">
                  <c:v>1450</c:v>
                </c:pt>
                <c:pt idx="31">
                  <c:v>1517</c:v>
                </c:pt>
                <c:pt idx="32">
                  <c:v>1324</c:v>
                </c:pt>
                <c:pt idx="33">
                  <c:v>1533</c:v>
                </c:pt>
                <c:pt idx="34">
                  <c:v>1622</c:v>
                </c:pt>
                <c:pt idx="35">
                  <c:v>1564</c:v>
                </c:pt>
                <c:pt idx="36">
                  <c:v>1244</c:v>
                </c:pt>
                <c:pt idx="37">
                  <c:v>1456</c:v>
                </c:pt>
                <c:pt idx="38">
                  <c:v>1534</c:v>
                </c:pt>
                <c:pt idx="39">
                  <c:v>1689</c:v>
                </c:pt>
                <c:pt idx="40">
                  <c:v>1641</c:v>
                </c:pt>
                <c:pt idx="41">
                  <c:v>1588</c:v>
                </c:pt>
                <c:pt idx="42">
                  <c:v>1614</c:v>
                </c:pt>
                <c:pt idx="43">
                  <c:v>1639</c:v>
                </c:pt>
                <c:pt idx="44">
                  <c:v>1763</c:v>
                </c:pt>
                <c:pt idx="45">
                  <c:v>1779</c:v>
                </c:pt>
                <c:pt idx="46">
                  <c:v>1622</c:v>
                </c:pt>
                <c:pt idx="47">
                  <c:v>1491</c:v>
                </c:pt>
                <c:pt idx="48">
                  <c:v>1603</c:v>
                </c:pt>
                <c:pt idx="49">
                  <c:v>1820</c:v>
                </c:pt>
                <c:pt idx="50">
                  <c:v>1517</c:v>
                </c:pt>
                <c:pt idx="51">
                  <c:v>1448</c:v>
                </c:pt>
                <c:pt idx="52">
                  <c:v>1467</c:v>
                </c:pt>
                <c:pt idx="53">
                  <c:v>1550</c:v>
                </c:pt>
                <c:pt idx="54">
                  <c:v>1562</c:v>
                </c:pt>
                <c:pt idx="55">
                  <c:v>1569</c:v>
                </c:pt>
                <c:pt idx="56">
                  <c:v>1455</c:v>
                </c:pt>
                <c:pt idx="57">
                  <c:v>1524</c:v>
                </c:pt>
                <c:pt idx="58">
                  <c:v>1486</c:v>
                </c:pt>
                <c:pt idx="59">
                  <c:v>1484</c:v>
                </c:pt>
                <c:pt idx="60">
                  <c:v>1361</c:v>
                </c:pt>
                <c:pt idx="61">
                  <c:v>1433</c:v>
                </c:pt>
                <c:pt idx="62">
                  <c:v>1423</c:v>
                </c:pt>
                <c:pt idx="63">
                  <c:v>1438</c:v>
                </c:pt>
                <c:pt idx="64">
                  <c:v>1478</c:v>
                </c:pt>
                <c:pt idx="65">
                  <c:v>1488</c:v>
                </c:pt>
                <c:pt idx="66">
                  <c:v>1529</c:v>
                </c:pt>
                <c:pt idx="67">
                  <c:v>1432</c:v>
                </c:pt>
                <c:pt idx="68">
                  <c:v>1482</c:v>
                </c:pt>
                <c:pt idx="69">
                  <c:v>1452</c:v>
                </c:pt>
                <c:pt idx="70">
                  <c:v>1460</c:v>
                </c:pt>
                <c:pt idx="71">
                  <c:v>1656</c:v>
                </c:pt>
                <c:pt idx="72">
                  <c:v>1370</c:v>
                </c:pt>
                <c:pt idx="73">
                  <c:v>1378</c:v>
                </c:pt>
                <c:pt idx="74">
                  <c:v>1394</c:v>
                </c:pt>
                <c:pt idx="75">
                  <c:v>1352</c:v>
                </c:pt>
                <c:pt idx="76">
                  <c:v>1265</c:v>
                </c:pt>
                <c:pt idx="77">
                  <c:v>1194</c:v>
                </c:pt>
                <c:pt idx="78">
                  <c:v>1086</c:v>
                </c:pt>
                <c:pt idx="79">
                  <c:v>1119</c:v>
                </c:pt>
                <c:pt idx="80">
                  <c:v>1046</c:v>
                </c:pt>
                <c:pt idx="81">
                  <c:v>843</c:v>
                </c:pt>
                <c:pt idx="82">
                  <c:v>961</c:v>
                </c:pt>
                <c:pt idx="83">
                  <c:v>990</c:v>
                </c:pt>
                <c:pt idx="84">
                  <c:v>1067</c:v>
                </c:pt>
                <c:pt idx="85">
                  <c:v>1123</c:v>
                </c:pt>
                <c:pt idx="86">
                  <c:v>1056</c:v>
                </c:pt>
                <c:pt idx="87">
                  <c:v>1091</c:v>
                </c:pt>
                <c:pt idx="88">
                  <c:v>1304</c:v>
                </c:pt>
                <c:pt idx="89">
                  <c:v>1248</c:v>
                </c:pt>
                <c:pt idx="90">
                  <c:v>1364</c:v>
                </c:pt>
                <c:pt idx="91">
                  <c:v>1407</c:v>
                </c:pt>
                <c:pt idx="92">
                  <c:v>1421</c:v>
                </c:pt>
                <c:pt idx="93">
                  <c:v>1491</c:v>
                </c:pt>
                <c:pt idx="94">
                  <c:v>1538</c:v>
                </c:pt>
                <c:pt idx="95">
                  <c:v>1308</c:v>
                </c:pt>
                <c:pt idx="96">
                  <c:v>1380</c:v>
                </c:pt>
                <c:pt idx="97">
                  <c:v>1520</c:v>
                </c:pt>
                <c:pt idx="98">
                  <c:v>1466</c:v>
                </c:pt>
                <c:pt idx="99">
                  <c:v>1554</c:v>
                </c:pt>
                <c:pt idx="100">
                  <c:v>1408</c:v>
                </c:pt>
                <c:pt idx="101">
                  <c:v>1405</c:v>
                </c:pt>
                <c:pt idx="102">
                  <c:v>1512</c:v>
                </c:pt>
                <c:pt idx="103">
                  <c:v>1495</c:v>
                </c:pt>
                <c:pt idx="104">
                  <c:v>1556</c:v>
                </c:pt>
                <c:pt idx="105">
                  <c:v>1569</c:v>
                </c:pt>
                <c:pt idx="106">
                  <c:v>1630</c:v>
                </c:pt>
                <c:pt idx="107">
                  <c:v>1548</c:v>
                </c:pt>
                <c:pt idx="108">
                  <c:v>1769</c:v>
                </c:pt>
                <c:pt idx="109">
                  <c:v>1705</c:v>
                </c:pt>
                <c:pt idx="110">
                  <c:v>1561</c:v>
                </c:pt>
                <c:pt idx="111">
                  <c:v>1524</c:v>
                </c:pt>
                <c:pt idx="112">
                  <c:v>1583</c:v>
                </c:pt>
                <c:pt idx="113">
                  <c:v>1528</c:v>
                </c:pt>
                <c:pt idx="114">
                  <c:v>1368</c:v>
                </c:pt>
                <c:pt idx="115">
                  <c:v>1358</c:v>
                </c:pt>
                <c:pt idx="116">
                  <c:v>1507</c:v>
                </c:pt>
                <c:pt idx="117">
                  <c:v>1381</c:v>
                </c:pt>
                <c:pt idx="118">
                  <c:v>1229</c:v>
                </c:pt>
                <c:pt idx="119">
                  <c:v>1327</c:v>
                </c:pt>
                <c:pt idx="120">
                  <c:v>1085</c:v>
                </c:pt>
                <c:pt idx="121">
                  <c:v>1305</c:v>
                </c:pt>
                <c:pt idx="122">
                  <c:v>1319</c:v>
                </c:pt>
                <c:pt idx="123">
                  <c:v>1264</c:v>
                </c:pt>
                <c:pt idx="124">
                  <c:v>1290</c:v>
                </c:pt>
                <c:pt idx="125">
                  <c:v>1385</c:v>
                </c:pt>
                <c:pt idx="126">
                  <c:v>1517</c:v>
                </c:pt>
                <c:pt idx="127">
                  <c:v>1399</c:v>
                </c:pt>
                <c:pt idx="128">
                  <c:v>1534</c:v>
                </c:pt>
                <c:pt idx="129">
                  <c:v>1580</c:v>
                </c:pt>
                <c:pt idx="130">
                  <c:v>1647</c:v>
                </c:pt>
                <c:pt idx="131">
                  <c:v>1893</c:v>
                </c:pt>
                <c:pt idx="132">
                  <c:v>1828</c:v>
                </c:pt>
                <c:pt idx="133">
                  <c:v>1741</c:v>
                </c:pt>
                <c:pt idx="134">
                  <c:v>1910</c:v>
                </c:pt>
                <c:pt idx="135">
                  <c:v>1986</c:v>
                </c:pt>
                <c:pt idx="136">
                  <c:v>2049</c:v>
                </c:pt>
                <c:pt idx="137">
                  <c:v>2026</c:v>
                </c:pt>
                <c:pt idx="138">
                  <c:v>2083</c:v>
                </c:pt>
                <c:pt idx="139">
                  <c:v>2158</c:v>
                </c:pt>
                <c:pt idx="140">
                  <c:v>2041</c:v>
                </c:pt>
                <c:pt idx="141">
                  <c:v>2128</c:v>
                </c:pt>
                <c:pt idx="142">
                  <c:v>2182</c:v>
                </c:pt>
                <c:pt idx="143">
                  <c:v>2295</c:v>
                </c:pt>
                <c:pt idx="144">
                  <c:v>2494</c:v>
                </c:pt>
                <c:pt idx="145">
                  <c:v>2390</c:v>
                </c:pt>
                <c:pt idx="146">
                  <c:v>2334</c:v>
                </c:pt>
                <c:pt idx="147">
                  <c:v>2249</c:v>
                </c:pt>
                <c:pt idx="148">
                  <c:v>2221</c:v>
                </c:pt>
                <c:pt idx="149">
                  <c:v>2254</c:v>
                </c:pt>
                <c:pt idx="150">
                  <c:v>2252</c:v>
                </c:pt>
                <c:pt idx="151">
                  <c:v>2382</c:v>
                </c:pt>
                <c:pt idx="152">
                  <c:v>2481</c:v>
                </c:pt>
                <c:pt idx="153">
                  <c:v>2485</c:v>
                </c:pt>
                <c:pt idx="154">
                  <c:v>2421</c:v>
                </c:pt>
                <c:pt idx="155">
                  <c:v>2366</c:v>
                </c:pt>
                <c:pt idx="156">
                  <c:v>2481</c:v>
                </c:pt>
                <c:pt idx="157">
                  <c:v>2289</c:v>
                </c:pt>
                <c:pt idx="158">
                  <c:v>2365</c:v>
                </c:pt>
                <c:pt idx="159">
                  <c:v>2084</c:v>
                </c:pt>
                <c:pt idx="160">
                  <c:v>2266</c:v>
                </c:pt>
                <c:pt idx="161">
                  <c:v>2067</c:v>
                </c:pt>
                <c:pt idx="162">
                  <c:v>2123</c:v>
                </c:pt>
                <c:pt idx="163">
                  <c:v>2051</c:v>
                </c:pt>
                <c:pt idx="164">
                  <c:v>1874</c:v>
                </c:pt>
                <c:pt idx="165">
                  <c:v>1677</c:v>
                </c:pt>
                <c:pt idx="166">
                  <c:v>1724</c:v>
                </c:pt>
                <c:pt idx="167">
                  <c:v>1526</c:v>
                </c:pt>
                <c:pt idx="168">
                  <c:v>1451</c:v>
                </c:pt>
                <c:pt idx="169">
                  <c:v>1752</c:v>
                </c:pt>
                <c:pt idx="170">
                  <c:v>1555</c:v>
                </c:pt>
                <c:pt idx="171">
                  <c:v>1607</c:v>
                </c:pt>
                <c:pt idx="172">
                  <c:v>1426</c:v>
                </c:pt>
                <c:pt idx="173">
                  <c:v>1513</c:v>
                </c:pt>
                <c:pt idx="174">
                  <c:v>1316</c:v>
                </c:pt>
                <c:pt idx="175">
                  <c:v>1142</c:v>
                </c:pt>
                <c:pt idx="176">
                  <c:v>1150</c:v>
                </c:pt>
                <c:pt idx="177">
                  <c:v>1070</c:v>
                </c:pt>
                <c:pt idx="178">
                  <c:v>1026</c:v>
                </c:pt>
                <c:pt idx="179">
                  <c:v>975</c:v>
                </c:pt>
                <c:pt idx="180">
                  <c:v>1032</c:v>
                </c:pt>
                <c:pt idx="181">
                  <c:v>904</c:v>
                </c:pt>
                <c:pt idx="182">
                  <c:v>993</c:v>
                </c:pt>
                <c:pt idx="183">
                  <c:v>1005</c:v>
                </c:pt>
                <c:pt idx="184">
                  <c:v>1121</c:v>
                </c:pt>
                <c:pt idx="185">
                  <c:v>1087</c:v>
                </c:pt>
                <c:pt idx="186">
                  <c:v>1226</c:v>
                </c:pt>
                <c:pt idx="187">
                  <c:v>1260</c:v>
                </c:pt>
                <c:pt idx="188">
                  <c:v>1264</c:v>
                </c:pt>
                <c:pt idx="189">
                  <c:v>1344</c:v>
                </c:pt>
                <c:pt idx="190">
                  <c:v>1360</c:v>
                </c:pt>
                <c:pt idx="191">
                  <c:v>1321</c:v>
                </c:pt>
                <c:pt idx="192">
                  <c:v>1367</c:v>
                </c:pt>
                <c:pt idx="193">
                  <c:v>1538</c:v>
                </c:pt>
                <c:pt idx="194">
                  <c:v>1421</c:v>
                </c:pt>
                <c:pt idx="195">
                  <c:v>1395</c:v>
                </c:pt>
                <c:pt idx="196">
                  <c:v>1459</c:v>
                </c:pt>
                <c:pt idx="197">
                  <c:v>1495</c:v>
                </c:pt>
                <c:pt idx="198">
                  <c:v>1401</c:v>
                </c:pt>
                <c:pt idx="199">
                  <c:v>1550</c:v>
                </c:pt>
                <c:pt idx="200">
                  <c:v>1720</c:v>
                </c:pt>
                <c:pt idx="201">
                  <c:v>1629</c:v>
                </c:pt>
                <c:pt idx="202">
                  <c:v>1641</c:v>
                </c:pt>
                <c:pt idx="203">
                  <c:v>1804</c:v>
                </c:pt>
                <c:pt idx="204">
                  <c:v>1527</c:v>
                </c:pt>
                <c:pt idx="205">
                  <c:v>1943</c:v>
                </c:pt>
                <c:pt idx="206">
                  <c:v>2063</c:v>
                </c:pt>
                <c:pt idx="207">
                  <c:v>1892</c:v>
                </c:pt>
                <c:pt idx="208">
                  <c:v>1971</c:v>
                </c:pt>
                <c:pt idx="209">
                  <c:v>1893</c:v>
                </c:pt>
                <c:pt idx="210">
                  <c:v>2058</c:v>
                </c:pt>
                <c:pt idx="211">
                  <c:v>2020</c:v>
                </c:pt>
                <c:pt idx="212">
                  <c:v>1949</c:v>
                </c:pt>
                <c:pt idx="213">
                  <c:v>2042</c:v>
                </c:pt>
                <c:pt idx="214">
                  <c:v>2042</c:v>
                </c:pt>
                <c:pt idx="215">
                  <c:v>2142</c:v>
                </c:pt>
                <c:pt idx="216">
                  <c:v>1718</c:v>
                </c:pt>
                <c:pt idx="217">
                  <c:v>1738</c:v>
                </c:pt>
                <c:pt idx="218">
                  <c:v>2032</c:v>
                </c:pt>
                <c:pt idx="219">
                  <c:v>2197</c:v>
                </c:pt>
                <c:pt idx="220">
                  <c:v>2075</c:v>
                </c:pt>
                <c:pt idx="221">
                  <c:v>2070</c:v>
                </c:pt>
                <c:pt idx="222">
                  <c:v>2092</c:v>
                </c:pt>
                <c:pt idx="223">
                  <c:v>1996</c:v>
                </c:pt>
                <c:pt idx="224">
                  <c:v>1970</c:v>
                </c:pt>
                <c:pt idx="225">
                  <c:v>1981</c:v>
                </c:pt>
                <c:pt idx="226">
                  <c:v>2094</c:v>
                </c:pt>
                <c:pt idx="227">
                  <c:v>2044</c:v>
                </c:pt>
                <c:pt idx="228">
                  <c:v>1630</c:v>
                </c:pt>
                <c:pt idx="229">
                  <c:v>1520</c:v>
                </c:pt>
                <c:pt idx="230">
                  <c:v>1847</c:v>
                </c:pt>
                <c:pt idx="231">
                  <c:v>1748</c:v>
                </c:pt>
                <c:pt idx="232">
                  <c:v>1876</c:v>
                </c:pt>
                <c:pt idx="233">
                  <c:v>1913</c:v>
                </c:pt>
                <c:pt idx="234">
                  <c:v>1760</c:v>
                </c:pt>
                <c:pt idx="235">
                  <c:v>1778</c:v>
                </c:pt>
                <c:pt idx="236">
                  <c:v>1832</c:v>
                </c:pt>
                <c:pt idx="237">
                  <c:v>1681</c:v>
                </c:pt>
                <c:pt idx="238">
                  <c:v>1524</c:v>
                </c:pt>
                <c:pt idx="239">
                  <c:v>1498</c:v>
                </c:pt>
                <c:pt idx="240">
                  <c:v>1341</c:v>
                </c:pt>
                <c:pt idx="241">
                  <c:v>1350</c:v>
                </c:pt>
                <c:pt idx="242">
                  <c:v>1047</c:v>
                </c:pt>
                <c:pt idx="243">
                  <c:v>1051</c:v>
                </c:pt>
                <c:pt idx="244">
                  <c:v>927</c:v>
                </c:pt>
                <c:pt idx="245">
                  <c:v>1196</c:v>
                </c:pt>
                <c:pt idx="246">
                  <c:v>1269</c:v>
                </c:pt>
                <c:pt idx="247">
                  <c:v>1436</c:v>
                </c:pt>
                <c:pt idx="248">
                  <c:v>1471</c:v>
                </c:pt>
                <c:pt idx="249">
                  <c:v>1523</c:v>
                </c:pt>
                <c:pt idx="250">
                  <c:v>1510</c:v>
                </c:pt>
                <c:pt idx="251">
                  <c:v>1482</c:v>
                </c:pt>
                <c:pt idx="252">
                  <c:v>1547</c:v>
                </c:pt>
                <c:pt idx="253">
                  <c:v>1246</c:v>
                </c:pt>
                <c:pt idx="254">
                  <c:v>1306</c:v>
                </c:pt>
                <c:pt idx="255">
                  <c:v>1360</c:v>
                </c:pt>
                <c:pt idx="256">
                  <c:v>1140</c:v>
                </c:pt>
                <c:pt idx="257">
                  <c:v>1045</c:v>
                </c:pt>
                <c:pt idx="258">
                  <c:v>1041</c:v>
                </c:pt>
                <c:pt idx="259">
                  <c:v>940</c:v>
                </c:pt>
                <c:pt idx="260">
                  <c:v>911</c:v>
                </c:pt>
                <c:pt idx="261">
                  <c:v>873</c:v>
                </c:pt>
                <c:pt idx="262">
                  <c:v>837</c:v>
                </c:pt>
                <c:pt idx="263">
                  <c:v>910</c:v>
                </c:pt>
                <c:pt idx="264">
                  <c:v>843</c:v>
                </c:pt>
                <c:pt idx="265">
                  <c:v>866</c:v>
                </c:pt>
                <c:pt idx="266">
                  <c:v>931</c:v>
                </c:pt>
                <c:pt idx="267">
                  <c:v>917</c:v>
                </c:pt>
                <c:pt idx="268">
                  <c:v>1025</c:v>
                </c:pt>
                <c:pt idx="269">
                  <c:v>902</c:v>
                </c:pt>
                <c:pt idx="270">
                  <c:v>1166</c:v>
                </c:pt>
                <c:pt idx="271">
                  <c:v>1046</c:v>
                </c:pt>
                <c:pt idx="272">
                  <c:v>1144</c:v>
                </c:pt>
                <c:pt idx="273">
                  <c:v>1173</c:v>
                </c:pt>
                <c:pt idx="274">
                  <c:v>1372</c:v>
                </c:pt>
                <c:pt idx="275">
                  <c:v>1303</c:v>
                </c:pt>
                <c:pt idx="276">
                  <c:v>1586</c:v>
                </c:pt>
                <c:pt idx="277">
                  <c:v>1699</c:v>
                </c:pt>
                <c:pt idx="278">
                  <c:v>1606</c:v>
                </c:pt>
                <c:pt idx="279">
                  <c:v>1472</c:v>
                </c:pt>
                <c:pt idx="280">
                  <c:v>1776</c:v>
                </c:pt>
                <c:pt idx="281">
                  <c:v>1733</c:v>
                </c:pt>
                <c:pt idx="282">
                  <c:v>1785</c:v>
                </c:pt>
                <c:pt idx="283">
                  <c:v>1910</c:v>
                </c:pt>
                <c:pt idx="284">
                  <c:v>1710</c:v>
                </c:pt>
                <c:pt idx="285">
                  <c:v>1715</c:v>
                </c:pt>
                <c:pt idx="286">
                  <c:v>1785</c:v>
                </c:pt>
                <c:pt idx="287">
                  <c:v>1688</c:v>
                </c:pt>
                <c:pt idx="288">
                  <c:v>1897</c:v>
                </c:pt>
                <c:pt idx="289">
                  <c:v>2260</c:v>
                </c:pt>
                <c:pt idx="290">
                  <c:v>1663</c:v>
                </c:pt>
                <c:pt idx="291">
                  <c:v>1851</c:v>
                </c:pt>
                <c:pt idx="292">
                  <c:v>1774</c:v>
                </c:pt>
                <c:pt idx="293">
                  <c:v>1843</c:v>
                </c:pt>
                <c:pt idx="294">
                  <c:v>1732</c:v>
                </c:pt>
                <c:pt idx="295">
                  <c:v>1586</c:v>
                </c:pt>
                <c:pt idx="296">
                  <c:v>1698</c:v>
                </c:pt>
                <c:pt idx="297">
                  <c:v>1590</c:v>
                </c:pt>
                <c:pt idx="298">
                  <c:v>1689</c:v>
                </c:pt>
                <c:pt idx="299">
                  <c:v>1612</c:v>
                </c:pt>
                <c:pt idx="300">
                  <c:v>1711</c:v>
                </c:pt>
                <c:pt idx="301">
                  <c:v>1632</c:v>
                </c:pt>
                <c:pt idx="302">
                  <c:v>1800</c:v>
                </c:pt>
                <c:pt idx="303">
                  <c:v>1821</c:v>
                </c:pt>
                <c:pt idx="304">
                  <c:v>1680</c:v>
                </c:pt>
                <c:pt idx="305">
                  <c:v>1676</c:v>
                </c:pt>
                <c:pt idx="306">
                  <c:v>1684</c:v>
                </c:pt>
                <c:pt idx="307">
                  <c:v>1743</c:v>
                </c:pt>
                <c:pt idx="308">
                  <c:v>1676</c:v>
                </c:pt>
                <c:pt idx="309">
                  <c:v>1834</c:v>
                </c:pt>
                <c:pt idx="310">
                  <c:v>1698</c:v>
                </c:pt>
                <c:pt idx="311">
                  <c:v>1942</c:v>
                </c:pt>
                <c:pt idx="312">
                  <c:v>1972</c:v>
                </c:pt>
                <c:pt idx="313">
                  <c:v>1848</c:v>
                </c:pt>
                <c:pt idx="314">
                  <c:v>1876</c:v>
                </c:pt>
                <c:pt idx="315">
                  <c:v>1933</c:v>
                </c:pt>
                <c:pt idx="316">
                  <c:v>1854</c:v>
                </c:pt>
                <c:pt idx="317">
                  <c:v>1847</c:v>
                </c:pt>
                <c:pt idx="318">
                  <c:v>1782</c:v>
                </c:pt>
                <c:pt idx="319">
                  <c:v>1807</c:v>
                </c:pt>
                <c:pt idx="320">
                  <c:v>1687</c:v>
                </c:pt>
                <c:pt idx="321">
                  <c:v>1681</c:v>
                </c:pt>
                <c:pt idx="322">
                  <c:v>1623</c:v>
                </c:pt>
                <c:pt idx="323">
                  <c:v>1833</c:v>
                </c:pt>
                <c:pt idx="324">
                  <c:v>1774</c:v>
                </c:pt>
                <c:pt idx="325">
                  <c:v>1784</c:v>
                </c:pt>
                <c:pt idx="326">
                  <c:v>1726</c:v>
                </c:pt>
                <c:pt idx="327">
                  <c:v>1614</c:v>
                </c:pt>
                <c:pt idx="328">
                  <c:v>1628</c:v>
                </c:pt>
                <c:pt idx="329">
                  <c:v>1594</c:v>
                </c:pt>
                <c:pt idx="330">
                  <c:v>1575</c:v>
                </c:pt>
                <c:pt idx="331">
                  <c:v>1605</c:v>
                </c:pt>
                <c:pt idx="332">
                  <c:v>1695</c:v>
                </c:pt>
                <c:pt idx="333">
                  <c:v>1515</c:v>
                </c:pt>
                <c:pt idx="334">
                  <c:v>1656</c:v>
                </c:pt>
                <c:pt idx="335">
                  <c:v>1400</c:v>
                </c:pt>
                <c:pt idx="336">
                  <c:v>1271</c:v>
                </c:pt>
                <c:pt idx="337">
                  <c:v>1473</c:v>
                </c:pt>
                <c:pt idx="338">
                  <c:v>1532</c:v>
                </c:pt>
                <c:pt idx="339">
                  <c:v>1573</c:v>
                </c:pt>
                <c:pt idx="340">
                  <c:v>1421</c:v>
                </c:pt>
                <c:pt idx="341">
                  <c:v>1478</c:v>
                </c:pt>
                <c:pt idx="342">
                  <c:v>1467</c:v>
                </c:pt>
                <c:pt idx="343">
                  <c:v>1493</c:v>
                </c:pt>
                <c:pt idx="344">
                  <c:v>1492</c:v>
                </c:pt>
                <c:pt idx="345">
                  <c:v>1522</c:v>
                </c:pt>
                <c:pt idx="346">
                  <c:v>1569</c:v>
                </c:pt>
                <c:pt idx="347">
                  <c:v>1563</c:v>
                </c:pt>
                <c:pt idx="348">
                  <c:v>1621</c:v>
                </c:pt>
                <c:pt idx="349">
                  <c:v>1425</c:v>
                </c:pt>
                <c:pt idx="350">
                  <c:v>1422</c:v>
                </c:pt>
                <c:pt idx="351">
                  <c:v>1339</c:v>
                </c:pt>
                <c:pt idx="352">
                  <c:v>1331</c:v>
                </c:pt>
                <c:pt idx="353">
                  <c:v>1397</c:v>
                </c:pt>
                <c:pt idx="354">
                  <c:v>1427</c:v>
                </c:pt>
                <c:pt idx="355">
                  <c:v>1332</c:v>
                </c:pt>
                <c:pt idx="356">
                  <c:v>1279</c:v>
                </c:pt>
                <c:pt idx="357">
                  <c:v>1410</c:v>
                </c:pt>
                <c:pt idx="358">
                  <c:v>1351</c:v>
                </c:pt>
                <c:pt idx="359">
                  <c:v>1251</c:v>
                </c:pt>
                <c:pt idx="360">
                  <c:v>1551</c:v>
                </c:pt>
                <c:pt idx="361">
                  <c:v>1437</c:v>
                </c:pt>
                <c:pt idx="362">
                  <c:v>1289</c:v>
                </c:pt>
                <c:pt idx="363">
                  <c:v>1248</c:v>
                </c:pt>
                <c:pt idx="364">
                  <c:v>1212</c:v>
                </c:pt>
                <c:pt idx="365">
                  <c:v>1177</c:v>
                </c:pt>
                <c:pt idx="366">
                  <c:v>1171</c:v>
                </c:pt>
                <c:pt idx="367">
                  <c:v>1115</c:v>
                </c:pt>
                <c:pt idx="368">
                  <c:v>1110</c:v>
                </c:pt>
                <c:pt idx="369">
                  <c:v>1014</c:v>
                </c:pt>
                <c:pt idx="370">
                  <c:v>1145</c:v>
                </c:pt>
                <c:pt idx="371">
                  <c:v>969</c:v>
                </c:pt>
                <c:pt idx="372">
                  <c:v>798</c:v>
                </c:pt>
                <c:pt idx="373">
                  <c:v>965</c:v>
                </c:pt>
                <c:pt idx="374">
                  <c:v>921</c:v>
                </c:pt>
                <c:pt idx="375">
                  <c:v>1001</c:v>
                </c:pt>
                <c:pt idx="376">
                  <c:v>996</c:v>
                </c:pt>
                <c:pt idx="377">
                  <c:v>1036</c:v>
                </c:pt>
                <c:pt idx="378">
                  <c:v>1063</c:v>
                </c:pt>
                <c:pt idx="379">
                  <c:v>1049</c:v>
                </c:pt>
                <c:pt idx="380">
                  <c:v>1015</c:v>
                </c:pt>
                <c:pt idx="381">
                  <c:v>1079</c:v>
                </c:pt>
                <c:pt idx="382">
                  <c:v>1103</c:v>
                </c:pt>
                <c:pt idx="383">
                  <c:v>1079</c:v>
                </c:pt>
                <c:pt idx="384">
                  <c:v>1176</c:v>
                </c:pt>
                <c:pt idx="385">
                  <c:v>1250</c:v>
                </c:pt>
                <c:pt idx="386">
                  <c:v>1297</c:v>
                </c:pt>
                <c:pt idx="387">
                  <c:v>1099</c:v>
                </c:pt>
                <c:pt idx="388">
                  <c:v>1214</c:v>
                </c:pt>
                <c:pt idx="389">
                  <c:v>1145</c:v>
                </c:pt>
                <c:pt idx="390">
                  <c:v>1139</c:v>
                </c:pt>
                <c:pt idx="391">
                  <c:v>1226</c:v>
                </c:pt>
                <c:pt idx="392">
                  <c:v>1186</c:v>
                </c:pt>
                <c:pt idx="393">
                  <c:v>1244</c:v>
                </c:pt>
                <c:pt idx="394">
                  <c:v>1214</c:v>
                </c:pt>
                <c:pt idx="395">
                  <c:v>1227</c:v>
                </c:pt>
                <c:pt idx="396">
                  <c:v>1210</c:v>
                </c:pt>
                <c:pt idx="397">
                  <c:v>1210</c:v>
                </c:pt>
                <c:pt idx="398">
                  <c:v>1083</c:v>
                </c:pt>
                <c:pt idx="399">
                  <c:v>1258</c:v>
                </c:pt>
                <c:pt idx="400">
                  <c:v>1260</c:v>
                </c:pt>
                <c:pt idx="401">
                  <c:v>1280</c:v>
                </c:pt>
                <c:pt idx="402">
                  <c:v>1254</c:v>
                </c:pt>
                <c:pt idx="403">
                  <c:v>1300</c:v>
                </c:pt>
                <c:pt idx="404">
                  <c:v>1343</c:v>
                </c:pt>
                <c:pt idx="405">
                  <c:v>1392</c:v>
                </c:pt>
                <c:pt idx="406">
                  <c:v>1376</c:v>
                </c:pt>
                <c:pt idx="407">
                  <c:v>1533</c:v>
                </c:pt>
                <c:pt idx="408">
                  <c:v>1272</c:v>
                </c:pt>
                <c:pt idx="409">
                  <c:v>1337</c:v>
                </c:pt>
                <c:pt idx="410">
                  <c:v>1564</c:v>
                </c:pt>
                <c:pt idx="411">
                  <c:v>1465</c:v>
                </c:pt>
                <c:pt idx="412">
                  <c:v>1526</c:v>
                </c:pt>
                <c:pt idx="413">
                  <c:v>1409</c:v>
                </c:pt>
                <c:pt idx="414">
                  <c:v>1439</c:v>
                </c:pt>
                <c:pt idx="415">
                  <c:v>1450</c:v>
                </c:pt>
                <c:pt idx="416">
                  <c:v>1474</c:v>
                </c:pt>
                <c:pt idx="417">
                  <c:v>1450</c:v>
                </c:pt>
                <c:pt idx="418">
                  <c:v>1511</c:v>
                </c:pt>
                <c:pt idx="419">
                  <c:v>1455</c:v>
                </c:pt>
                <c:pt idx="420">
                  <c:v>1407</c:v>
                </c:pt>
                <c:pt idx="421">
                  <c:v>1316</c:v>
                </c:pt>
                <c:pt idx="422">
                  <c:v>1249</c:v>
                </c:pt>
                <c:pt idx="423">
                  <c:v>1267</c:v>
                </c:pt>
                <c:pt idx="424">
                  <c:v>1314</c:v>
                </c:pt>
                <c:pt idx="425">
                  <c:v>1281</c:v>
                </c:pt>
                <c:pt idx="426">
                  <c:v>1461</c:v>
                </c:pt>
                <c:pt idx="427">
                  <c:v>1416</c:v>
                </c:pt>
                <c:pt idx="428">
                  <c:v>1369</c:v>
                </c:pt>
                <c:pt idx="429">
                  <c:v>1369</c:v>
                </c:pt>
                <c:pt idx="430">
                  <c:v>1452</c:v>
                </c:pt>
                <c:pt idx="431">
                  <c:v>1431</c:v>
                </c:pt>
                <c:pt idx="432">
                  <c:v>1467</c:v>
                </c:pt>
                <c:pt idx="433">
                  <c:v>1491</c:v>
                </c:pt>
                <c:pt idx="434">
                  <c:v>1424</c:v>
                </c:pt>
                <c:pt idx="435">
                  <c:v>1516</c:v>
                </c:pt>
                <c:pt idx="436">
                  <c:v>1504</c:v>
                </c:pt>
                <c:pt idx="437">
                  <c:v>1467</c:v>
                </c:pt>
                <c:pt idx="438">
                  <c:v>1472</c:v>
                </c:pt>
                <c:pt idx="439">
                  <c:v>1557</c:v>
                </c:pt>
                <c:pt idx="440">
                  <c:v>1475</c:v>
                </c:pt>
                <c:pt idx="441">
                  <c:v>1392</c:v>
                </c:pt>
                <c:pt idx="442">
                  <c:v>1489</c:v>
                </c:pt>
                <c:pt idx="443">
                  <c:v>1370</c:v>
                </c:pt>
                <c:pt idx="444">
                  <c:v>1355</c:v>
                </c:pt>
                <c:pt idx="445">
                  <c:v>1486</c:v>
                </c:pt>
                <c:pt idx="446">
                  <c:v>1457</c:v>
                </c:pt>
                <c:pt idx="447">
                  <c:v>1492</c:v>
                </c:pt>
                <c:pt idx="448">
                  <c:v>1442</c:v>
                </c:pt>
                <c:pt idx="449">
                  <c:v>1494</c:v>
                </c:pt>
                <c:pt idx="450">
                  <c:v>1437</c:v>
                </c:pt>
                <c:pt idx="451">
                  <c:v>1390</c:v>
                </c:pt>
                <c:pt idx="452">
                  <c:v>1546</c:v>
                </c:pt>
                <c:pt idx="453">
                  <c:v>1520</c:v>
                </c:pt>
                <c:pt idx="454">
                  <c:v>1510</c:v>
                </c:pt>
                <c:pt idx="455">
                  <c:v>1566</c:v>
                </c:pt>
                <c:pt idx="456">
                  <c:v>1525</c:v>
                </c:pt>
                <c:pt idx="457">
                  <c:v>1584</c:v>
                </c:pt>
                <c:pt idx="458">
                  <c:v>1567</c:v>
                </c:pt>
                <c:pt idx="459">
                  <c:v>1540</c:v>
                </c:pt>
                <c:pt idx="460">
                  <c:v>1536</c:v>
                </c:pt>
                <c:pt idx="461">
                  <c:v>1641</c:v>
                </c:pt>
                <c:pt idx="462">
                  <c:v>1698</c:v>
                </c:pt>
                <c:pt idx="463">
                  <c:v>1614</c:v>
                </c:pt>
                <c:pt idx="464">
                  <c:v>1582</c:v>
                </c:pt>
                <c:pt idx="465">
                  <c:v>1715</c:v>
                </c:pt>
                <c:pt idx="466">
                  <c:v>1660</c:v>
                </c:pt>
                <c:pt idx="467">
                  <c:v>1792</c:v>
                </c:pt>
                <c:pt idx="468">
                  <c:v>1748</c:v>
                </c:pt>
                <c:pt idx="469">
                  <c:v>1670</c:v>
                </c:pt>
                <c:pt idx="470">
                  <c:v>1710</c:v>
                </c:pt>
                <c:pt idx="471">
                  <c:v>1553</c:v>
                </c:pt>
                <c:pt idx="472">
                  <c:v>1611</c:v>
                </c:pt>
                <c:pt idx="473">
                  <c:v>1559</c:v>
                </c:pt>
                <c:pt idx="474">
                  <c:v>1669</c:v>
                </c:pt>
                <c:pt idx="475">
                  <c:v>1648</c:v>
                </c:pt>
                <c:pt idx="476">
                  <c:v>1635</c:v>
                </c:pt>
                <c:pt idx="477">
                  <c:v>1608</c:v>
                </c:pt>
                <c:pt idx="478">
                  <c:v>1648</c:v>
                </c:pt>
                <c:pt idx="479">
                  <c:v>1708</c:v>
                </c:pt>
                <c:pt idx="480">
                  <c:v>1636</c:v>
                </c:pt>
                <c:pt idx="481">
                  <c:v>1737</c:v>
                </c:pt>
                <c:pt idx="482">
                  <c:v>1604</c:v>
                </c:pt>
                <c:pt idx="483">
                  <c:v>1626</c:v>
                </c:pt>
                <c:pt idx="484">
                  <c:v>1575</c:v>
                </c:pt>
                <c:pt idx="485">
                  <c:v>1559</c:v>
                </c:pt>
                <c:pt idx="486">
                  <c:v>1463</c:v>
                </c:pt>
                <c:pt idx="487">
                  <c:v>1541</c:v>
                </c:pt>
                <c:pt idx="488">
                  <c:v>1507</c:v>
                </c:pt>
                <c:pt idx="489">
                  <c:v>1549</c:v>
                </c:pt>
                <c:pt idx="490">
                  <c:v>1551</c:v>
                </c:pt>
                <c:pt idx="491">
                  <c:v>1532</c:v>
                </c:pt>
                <c:pt idx="492">
                  <c:v>1600</c:v>
                </c:pt>
                <c:pt idx="493">
                  <c:v>1625</c:v>
                </c:pt>
                <c:pt idx="494">
                  <c:v>1590</c:v>
                </c:pt>
                <c:pt idx="495">
                  <c:v>1649</c:v>
                </c:pt>
                <c:pt idx="496">
                  <c:v>1605</c:v>
                </c:pt>
                <c:pt idx="497">
                  <c:v>1636</c:v>
                </c:pt>
                <c:pt idx="498">
                  <c:v>1670</c:v>
                </c:pt>
                <c:pt idx="499">
                  <c:v>1567</c:v>
                </c:pt>
                <c:pt idx="500">
                  <c:v>1562</c:v>
                </c:pt>
                <c:pt idx="501">
                  <c:v>1540</c:v>
                </c:pt>
                <c:pt idx="502">
                  <c:v>1602</c:v>
                </c:pt>
                <c:pt idx="503">
                  <c:v>1568</c:v>
                </c:pt>
                <c:pt idx="504">
                  <c:v>1698</c:v>
                </c:pt>
                <c:pt idx="505">
                  <c:v>1829</c:v>
                </c:pt>
                <c:pt idx="506">
                  <c:v>1642</c:v>
                </c:pt>
                <c:pt idx="507">
                  <c:v>1592</c:v>
                </c:pt>
                <c:pt idx="508">
                  <c:v>1764</c:v>
                </c:pt>
                <c:pt idx="509">
                  <c:v>1717</c:v>
                </c:pt>
                <c:pt idx="510">
                  <c:v>1655</c:v>
                </c:pt>
                <c:pt idx="511">
                  <c:v>1633</c:v>
                </c:pt>
                <c:pt idx="512">
                  <c:v>1804</c:v>
                </c:pt>
                <c:pt idx="513">
                  <c:v>1648</c:v>
                </c:pt>
                <c:pt idx="514">
                  <c:v>1753</c:v>
                </c:pt>
                <c:pt idx="515">
                  <c:v>1788</c:v>
                </c:pt>
                <c:pt idx="516">
                  <c:v>1853</c:v>
                </c:pt>
                <c:pt idx="517">
                  <c:v>1629</c:v>
                </c:pt>
                <c:pt idx="518">
                  <c:v>1726</c:v>
                </c:pt>
                <c:pt idx="519">
                  <c:v>1643</c:v>
                </c:pt>
                <c:pt idx="520">
                  <c:v>1751</c:v>
                </c:pt>
                <c:pt idx="521">
                  <c:v>1867</c:v>
                </c:pt>
                <c:pt idx="522">
                  <c:v>1897</c:v>
                </c:pt>
                <c:pt idx="523">
                  <c:v>1833</c:v>
                </c:pt>
                <c:pt idx="524">
                  <c:v>1939</c:v>
                </c:pt>
                <c:pt idx="525">
                  <c:v>1967</c:v>
                </c:pt>
                <c:pt idx="526">
                  <c:v>2083</c:v>
                </c:pt>
                <c:pt idx="527">
                  <c:v>2057</c:v>
                </c:pt>
                <c:pt idx="528">
                  <c:v>1911</c:v>
                </c:pt>
                <c:pt idx="529">
                  <c:v>1846</c:v>
                </c:pt>
                <c:pt idx="530">
                  <c:v>1998</c:v>
                </c:pt>
                <c:pt idx="531">
                  <c:v>2003</c:v>
                </c:pt>
                <c:pt idx="532">
                  <c:v>1981</c:v>
                </c:pt>
                <c:pt idx="533">
                  <c:v>1828</c:v>
                </c:pt>
                <c:pt idx="534">
                  <c:v>2002</c:v>
                </c:pt>
                <c:pt idx="535">
                  <c:v>2024</c:v>
                </c:pt>
                <c:pt idx="536">
                  <c:v>1905</c:v>
                </c:pt>
                <c:pt idx="537">
                  <c:v>2072</c:v>
                </c:pt>
                <c:pt idx="538">
                  <c:v>1782</c:v>
                </c:pt>
                <c:pt idx="539">
                  <c:v>2042</c:v>
                </c:pt>
                <c:pt idx="540">
                  <c:v>2144</c:v>
                </c:pt>
                <c:pt idx="541">
                  <c:v>2207</c:v>
                </c:pt>
                <c:pt idx="542">
                  <c:v>1864</c:v>
                </c:pt>
                <c:pt idx="543">
                  <c:v>2061</c:v>
                </c:pt>
                <c:pt idx="544">
                  <c:v>2025</c:v>
                </c:pt>
                <c:pt idx="545">
                  <c:v>2068</c:v>
                </c:pt>
                <c:pt idx="546">
                  <c:v>2054</c:v>
                </c:pt>
                <c:pt idx="547">
                  <c:v>2095</c:v>
                </c:pt>
                <c:pt idx="548">
                  <c:v>2151</c:v>
                </c:pt>
                <c:pt idx="549">
                  <c:v>2065</c:v>
                </c:pt>
                <c:pt idx="550">
                  <c:v>2147</c:v>
                </c:pt>
                <c:pt idx="551">
                  <c:v>1994</c:v>
                </c:pt>
                <c:pt idx="552">
                  <c:v>2273</c:v>
                </c:pt>
                <c:pt idx="553">
                  <c:v>2119</c:v>
                </c:pt>
                <c:pt idx="554">
                  <c:v>1969</c:v>
                </c:pt>
                <c:pt idx="555">
                  <c:v>1821</c:v>
                </c:pt>
                <c:pt idx="556">
                  <c:v>1942</c:v>
                </c:pt>
                <c:pt idx="557">
                  <c:v>1802</c:v>
                </c:pt>
                <c:pt idx="558">
                  <c:v>1737</c:v>
                </c:pt>
                <c:pt idx="559">
                  <c:v>1650</c:v>
                </c:pt>
                <c:pt idx="560">
                  <c:v>1720</c:v>
                </c:pt>
                <c:pt idx="561">
                  <c:v>1491</c:v>
                </c:pt>
                <c:pt idx="562">
                  <c:v>1570</c:v>
                </c:pt>
                <c:pt idx="563">
                  <c:v>1649</c:v>
                </c:pt>
                <c:pt idx="564">
                  <c:v>1409</c:v>
                </c:pt>
                <c:pt idx="565">
                  <c:v>1480</c:v>
                </c:pt>
                <c:pt idx="566">
                  <c:v>1495</c:v>
                </c:pt>
                <c:pt idx="567">
                  <c:v>1490</c:v>
                </c:pt>
                <c:pt idx="568">
                  <c:v>1415</c:v>
                </c:pt>
                <c:pt idx="569">
                  <c:v>1448</c:v>
                </c:pt>
                <c:pt idx="570">
                  <c:v>1354</c:v>
                </c:pt>
                <c:pt idx="571">
                  <c:v>1330</c:v>
                </c:pt>
                <c:pt idx="572">
                  <c:v>1183</c:v>
                </c:pt>
                <c:pt idx="573">
                  <c:v>1264</c:v>
                </c:pt>
                <c:pt idx="574">
                  <c:v>1197</c:v>
                </c:pt>
                <c:pt idx="575">
                  <c:v>1037</c:v>
                </c:pt>
                <c:pt idx="576">
                  <c:v>1084</c:v>
                </c:pt>
                <c:pt idx="577">
                  <c:v>1103</c:v>
                </c:pt>
                <c:pt idx="578">
                  <c:v>1005</c:v>
                </c:pt>
                <c:pt idx="579">
                  <c:v>1013</c:v>
                </c:pt>
                <c:pt idx="580">
                  <c:v>973</c:v>
                </c:pt>
                <c:pt idx="581">
                  <c:v>1046</c:v>
                </c:pt>
                <c:pt idx="582">
                  <c:v>923</c:v>
                </c:pt>
                <c:pt idx="583">
                  <c:v>844</c:v>
                </c:pt>
                <c:pt idx="584">
                  <c:v>820</c:v>
                </c:pt>
                <c:pt idx="585">
                  <c:v>777</c:v>
                </c:pt>
                <c:pt idx="586">
                  <c:v>652</c:v>
                </c:pt>
                <c:pt idx="587">
                  <c:v>560</c:v>
                </c:pt>
                <c:pt idx="588">
                  <c:v>490</c:v>
                </c:pt>
                <c:pt idx="589">
                  <c:v>582</c:v>
                </c:pt>
                <c:pt idx="590">
                  <c:v>505</c:v>
                </c:pt>
                <c:pt idx="591">
                  <c:v>478</c:v>
                </c:pt>
                <c:pt idx="592">
                  <c:v>540</c:v>
                </c:pt>
                <c:pt idx="593">
                  <c:v>585</c:v>
                </c:pt>
                <c:pt idx="594">
                  <c:v>594</c:v>
                </c:pt>
                <c:pt idx="595">
                  <c:v>586</c:v>
                </c:pt>
                <c:pt idx="596">
                  <c:v>585</c:v>
                </c:pt>
                <c:pt idx="597">
                  <c:v>534</c:v>
                </c:pt>
                <c:pt idx="598">
                  <c:v>588</c:v>
                </c:pt>
                <c:pt idx="599">
                  <c:v>581</c:v>
                </c:pt>
                <c:pt idx="600">
                  <c:v>614</c:v>
                </c:pt>
                <c:pt idx="601">
                  <c:v>604</c:v>
                </c:pt>
                <c:pt idx="602">
                  <c:v>636</c:v>
                </c:pt>
                <c:pt idx="603">
                  <c:v>687</c:v>
                </c:pt>
                <c:pt idx="604">
                  <c:v>583</c:v>
                </c:pt>
                <c:pt idx="605">
                  <c:v>536</c:v>
                </c:pt>
                <c:pt idx="606">
                  <c:v>546</c:v>
                </c:pt>
                <c:pt idx="607">
                  <c:v>599</c:v>
                </c:pt>
                <c:pt idx="608">
                  <c:v>594</c:v>
                </c:pt>
                <c:pt idx="609">
                  <c:v>543</c:v>
                </c:pt>
                <c:pt idx="610">
                  <c:v>545</c:v>
                </c:pt>
                <c:pt idx="611">
                  <c:v>539</c:v>
                </c:pt>
                <c:pt idx="612">
                  <c:v>630</c:v>
                </c:pt>
                <c:pt idx="613">
                  <c:v>517</c:v>
                </c:pt>
                <c:pt idx="614">
                  <c:v>600</c:v>
                </c:pt>
                <c:pt idx="615">
                  <c:v>554</c:v>
                </c:pt>
                <c:pt idx="616">
                  <c:v>561</c:v>
                </c:pt>
                <c:pt idx="617">
                  <c:v>608</c:v>
                </c:pt>
                <c:pt idx="618">
                  <c:v>623</c:v>
                </c:pt>
                <c:pt idx="619">
                  <c:v>585</c:v>
                </c:pt>
                <c:pt idx="620">
                  <c:v>650</c:v>
                </c:pt>
                <c:pt idx="621">
                  <c:v>610</c:v>
                </c:pt>
                <c:pt idx="622">
                  <c:v>711</c:v>
                </c:pt>
                <c:pt idx="623">
                  <c:v>694</c:v>
                </c:pt>
                <c:pt idx="624">
                  <c:v>723</c:v>
                </c:pt>
                <c:pt idx="625">
                  <c:v>704</c:v>
                </c:pt>
                <c:pt idx="626">
                  <c:v>695</c:v>
                </c:pt>
                <c:pt idx="627">
                  <c:v>753</c:v>
                </c:pt>
                <c:pt idx="628">
                  <c:v>708</c:v>
                </c:pt>
                <c:pt idx="629">
                  <c:v>757</c:v>
                </c:pt>
                <c:pt idx="630">
                  <c:v>740</c:v>
                </c:pt>
                <c:pt idx="631">
                  <c:v>754</c:v>
                </c:pt>
                <c:pt idx="632">
                  <c:v>847</c:v>
                </c:pt>
                <c:pt idx="633">
                  <c:v>915</c:v>
                </c:pt>
                <c:pt idx="634">
                  <c:v>833</c:v>
                </c:pt>
                <c:pt idx="635">
                  <c:v>976</c:v>
                </c:pt>
                <c:pt idx="636">
                  <c:v>888</c:v>
                </c:pt>
                <c:pt idx="637">
                  <c:v>962</c:v>
                </c:pt>
                <c:pt idx="638">
                  <c:v>1010</c:v>
                </c:pt>
                <c:pt idx="639">
                  <c:v>835</c:v>
                </c:pt>
                <c:pt idx="640">
                  <c:v>930</c:v>
                </c:pt>
                <c:pt idx="641">
                  <c:v>839</c:v>
                </c:pt>
                <c:pt idx="642">
                  <c:v>880</c:v>
                </c:pt>
                <c:pt idx="643">
                  <c:v>917</c:v>
                </c:pt>
                <c:pt idx="644">
                  <c:v>850</c:v>
                </c:pt>
                <c:pt idx="645">
                  <c:v>925</c:v>
                </c:pt>
                <c:pt idx="646">
                  <c:v>1100</c:v>
                </c:pt>
                <c:pt idx="647">
                  <c:v>1002</c:v>
                </c:pt>
                <c:pt idx="648">
                  <c:v>888</c:v>
                </c:pt>
                <c:pt idx="649">
                  <c:v>944</c:v>
                </c:pt>
                <c:pt idx="650">
                  <c:v>970</c:v>
                </c:pt>
                <c:pt idx="651">
                  <c:v>1043</c:v>
                </c:pt>
                <c:pt idx="652">
                  <c:v>1007</c:v>
                </c:pt>
                <c:pt idx="653">
                  <c:v>911</c:v>
                </c:pt>
                <c:pt idx="654">
                  <c:v>1085</c:v>
                </c:pt>
                <c:pt idx="655">
                  <c:v>984</c:v>
                </c:pt>
                <c:pt idx="656">
                  <c:v>1023</c:v>
                </c:pt>
                <c:pt idx="657">
                  <c:v>1074</c:v>
                </c:pt>
                <c:pt idx="658">
                  <c:v>1001</c:v>
                </c:pt>
                <c:pt idx="659">
                  <c:v>1073</c:v>
                </c:pt>
                <c:pt idx="660">
                  <c:v>1085</c:v>
                </c:pt>
                <c:pt idx="661">
                  <c:v>886</c:v>
                </c:pt>
                <c:pt idx="662">
                  <c:v>960</c:v>
                </c:pt>
                <c:pt idx="663">
                  <c:v>1190</c:v>
                </c:pt>
                <c:pt idx="664">
                  <c:v>1079</c:v>
                </c:pt>
                <c:pt idx="665">
                  <c:v>1205</c:v>
                </c:pt>
                <c:pt idx="666">
                  <c:v>1146</c:v>
                </c:pt>
                <c:pt idx="667">
                  <c:v>1130</c:v>
                </c:pt>
                <c:pt idx="668">
                  <c:v>1224</c:v>
                </c:pt>
                <c:pt idx="669">
                  <c:v>1058</c:v>
                </c:pt>
                <c:pt idx="670">
                  <c:v>1172</c:v>
                </c:pt>
                <c:pt idx="671">
                  <c:v>1146</c:v>
                </c:pt>
                <c:pt idx="672">
                  <c:v>1092</c:v>
                </c:pt>
                <c:pt idx="673">
                  <c:v>1225</c:v>
                </c:pt>
                <c:pt idx="674">
                  <c:v>1111</c:v>
                </c:pt>
                <c:pt idx="675">
                  <c:v>1163</c:v>
                </c:pt>
                <c:pt idx="676">
                  <c:v>1148</c:v>
                </c:pt>
                <c:pt idx="677">
                  <c:v>1203</c:v>
                </c:pt>
                <c:pt idx="678">
                  <c:v>1239</c:v>
                </c:pt>
                <c:pt idx="679">
                  <c:v>1171</c:v>
                </c:pt>
                <c:pt idx="680">
                  <c:v>1068</c:v>
                </c:pt>
                <c:pt idx="681">
                  <c:v>1313</c:v>
                </c:pt>
                <c:pt idx="682">
                  <c:v>1140</c:v>
                </c:pt>
                <c:pt idx="683">
                  <c:v>1252</c:v>
                </c:pt>
                <c:pt idx="684">
                  <c:v>1193</c:v>
                </c:pt>
                <c:pt idx="685">
                  <c:v>1281</c:v>
                </c:pt>
                <c:pt idx="686">
                  <c:v>1190</c:v>
                </c:pt>
                <c:pt idx="687">
                  <c:v>1145</c:v>
                </c:pt>
                <c:pt idx="688">
                  <c:v>1160</c:v>
                </c:pt>
                <c:pt idx="689">
                  <c:v>1247</c:v>
                </c:pt>
                <c:pt idx="690">
                  <c:v>1202</c:v>
                </c:pt>
                <c:pt idx="691">
                  <c:v>1159</c:v>
                </c:pt>
                <c:pt idx="692">
                  <c:v>1175</c:v>
                </c:pt>
                <c:pt idx="693">
                  <c:v>1248</c:v>
                </c:pt>
                <c:pt idx="694">
                  <c:v>1278</c:v>
                </c:pt>
                <c:pt idx="695">
                  <c:v>1182</c:v>
                </c:pt>
                <c:pt idx="696">
                  <c:v>1309</c:v>
                </c:pt>
                <c:pt idx="697">
                  <c:v>1289</c:v>
                </c:pt>
                <c:pt idx="698">
                  <c:v>1327</c:v>
                </c:pt>
                <c:pt idx="699">
                  <c:v>1285</c:v>
                </c:pt>
                <c:pt idx="700">
                  <c:v>1354</c:v>
                </c:pt>
                <c:pt idx="701">
                  <c:v>1199</c:v>
                </c:pt>
                <c:pt idx="702">
                  <c:v>1193</c:v>
                </c:pt>
                <c:pt idx="703">
                  <c:v>1288</c:v>
                </c:pt>
                <c:pt idx="704">
                  <c:v>1238</c:v>
                </c:pt>
                <c:pt idx="705">
                  <c:v>1208</c:v>
                </c:pt>
                <c:pt idx="706">
                  <c:v>1183</c:v>
                </c:pt>
                <c:pt idx="707">
                  <c:v>1095</c:v>
                </c:pt>
                <c:pt idx="708">
                  <c:v>1244</c:v>
                </c:pt>
                <c:pt idx="709">
                  <c:v>1142</c:v>
                </c:pt>
                <c:pt idx="710">
                  <c:v>1203</c:v>
                </c:pt>
                <c:pt idx="711">
                  <c:v>1282</c:v>
                </c:pt>
                <c:pt idx="712">
                  <c:v>1303</c:v>
                </c:pt>
                <c:pt idx="713">
                  <c:v>1237</c:v>
                </c:pt>
                <c:pt idx="714">
                  <c:v>1224</c:v>
                </c:pt>
                <c:pt idx="715">
                  <c:v>1371</c:v>
                </c:pt>
                <c:pt idx="716">
                  <c:v>1285</c:v>
                </c:pt>
                <c:pt idx="717">
                  <c:v>1318</c:v>
                </c:pt>
                <c:pt idx="718">
                  <c:v>1350</c:v>
                </c:pt>
                <c:pt idx="719">
                  <c:v>1547</c:v>
                </c:pt>
                <c:pt idx="720">
                  <c:v>1589</c:v>
                </c:pt>
                <c:pt idx="721">
                  <c:v>1589</c:v>
                </c:pt>
                <c:pt idx="722">
                  <c:v>1277</c:v>
                </c:pt>
                <c:pt idx="723">
                  <c:v>938</c:v>
                </c:pt>
                <c:pt idx="724">
                  <c:v>1046</c:v>
                </c:pt>
                <c:pt idx="725">
                  <c:v>1273</c:v>
                </c:pt>
                <c:pt idx="726">
                  <c:v>1497</c:v>
                </c:pt>
                <c:pt idx="727">
                  <c:v>1376</c:v>
                </c:pt>
                <c:pt idx="728">
                  <c:v>1448</c:v>
                </c:pt>
                <c:pt idx="729">
                  <c:v>1514</c:v>
                </c:pt>
                <c:pt idx="730">
                  <c:v>1551</c:v>
                </c:pt>
                <c:pt idx="731">
                  <c:v>1661</c:v>
                </c:pt>
                <c:pt idx="732">
                  <c:v>1625</c:v>
                </c:pt>
                <c:pt idx="733">
                  <c:v>1447</c:v>
                </c:pt>
                <c:pt idx="734">
                  <c:v>1725</c:v>
                </c:pt>
                <c:pt idx="735">
                  <c:v>1514</c:v>
                </c:pt>
                <c:pt idx="736">
                  <c:v>1594</c:v>
                </c:pt>
                <c:pt idx="737">
                  <c:v>1657</c:v>
                </c:pt>
                <c:pt idx="738">
                  <c:v>1562</c:v>
                </c:pt>
                <c:pt idx="739">
                  <c:v>1573</c:v>
                </c:pt>
                <c:pt idx="740">
                  <c:v>1550</c:v>
                </c:pt>
                <c:pt idx="741">
                  <c:v>1552</c:v>
                </c:pt>
                <c:pt idx="742">
                  <c:v>1678</c:v>
                </c:pt>
                <c:pt idx="743">
                  <c:v>1702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55-FB4F-BD9E-46AE702619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8456856"/>
        <c:axId val="1128454888"/>
      </c:lineChart>
      <c:dateAx>
        <c:axId val="1128456856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8454888"/>
        <c:crosses val="autoZero"/>
        <c:auto val="0"/>
        <c:lblOffset val="100"/>
        <c:baseTimeUnit val="months"/>
      </c:dateAx>
      <c:valAx>
        <c:axId val="1128454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845685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US"/>
              <a:t>Housing Units Started Since 2016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Started!$B$6</c:f>
              <c:strCache>
                <c:ptCount val="1"/>
                <c:pt idx="0">
                  <c:v>Started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Started!$A$7:$A$750</c:f>
              <c:numCache>
                <c:formatCode>m/d/yy</c:formatCode>
                <c:ptCount val="744"/>
                <c:pt idx="0">
                  <c:v>21916</c:v>
                </c:pt>
                <c:pt idx="1">
                  <c:v>21947</c:v>
                </c:pt>
                <c:pt idx="2">
                  <c:v>21976</c:v>
                </c:pt>
                <c:pt idx="3">
                  <c:v>22007</c:v>
                </c:pt>
                <c:pt idx="4">
                  <c:v>22037</c:v>
                </c:pt>
                <c:pt idx="5">
                  <c:v>22068</c:v>
                </c:pt>
                <c:pt idx="6">
                  <c:v>22098</c:v>
                </c:pt>
                <c:pt idx="7">
                  <c:v>22129</c:v>
                </c:pt>
                <c:pt idx="8">
                  <c:v>22160</c:v>
                </c:pt>
                <c:pt idx="9">
                  <c:v>22190</c:v>
                </c:pt>
                <c:pt idx="10">
                  <c:v>22221</c:v>
                </c:pt>
                <c:pt idx="11">
                  <c:v>22251</c:v>
                </c:pt>
                <c:pt idx="12">
                  <c:v>22282</c:v>
                </c:pt>
                <c:pt idx="13">
                  <c:v>22313</c:v>
                </c:pt>
                <c:pt idx="14">
                  <c:v>22341</c:v>
                </c:pt>
                <c:pt idx="15">
                  <c:v>22372</c:v>
                </c:pt>
                <c:pt idx="16">
                  <c:v>22402</c:v>
                </c:pt>
                <c:pt idx="17">
                  <c:v>22433</c:v>
                </c:pt>
                <c:pt idx="18">
                  <c:v>22463</c:v>
                </c:pt>
                <c:pt idx="19">
                  <c:v>22494</c:v>
                </c:pt>
                <c:pt idx="20">
                  <c:v>22525</c:v>
                </c:pt>
                <c:pt idx="21">
                  <c:v>22555</c:v>
                </c:pt>
                <c:pt idx="22">
                  <c:v>22586</c:v>
                </c:pt>
                <c:pt idx="23">
                  <c:v>22616</c:v>
                </c:pt>
                <c:pt idx="24">
                  <c:v>22647</c:v>
                </c:pt>
                <c:pt idx="25">
                  <c:v>22678</c:v>
                </c:pt>
                <c:pt idx="26">
                  <c:v>22706</c:v>
                </c:pt>
                <c:pt idx="27">
                  <c:v>22737</c:v>
                </c:pt>
                <c:pt idx="28">
                  <c:v>22767</c:v>
                </c:pt>
                <c:pt idx="29">
                  <c:v>22798</c:v>
                </c:pt>
                <c:pt idx="30">
                  <c:v>22828</c:v>
                </c:pt>
                <c:pt idx="31">
                  <c:v>22859</c:v>
                </c:pt>
                <c:pt idx="32">
                  <c:v>22890</c:v>
                </c:pt>
                <c:pt idx="33">
                  <c:v>22920</c:v>
                </c:pt>
                <c:pt idx="34">
                  <c:v>22951</c:v>
                </c:pt>
                <c:pt idx="35">
                  <c:v>22981</c:v>
                </c:pt>
                <c:pt idx="36">
                  <c:v>23012</c:v>
                </c:pt>
                <c:pt idx="37">
                  <c:v>23043</c:v>
                </c:pt>
                <c:pt idx="38">
                  <c:v>23071</c:v>
                </c:pt>
                <c:pt idx="39">
                  <c:v>23102</c:v>
                </c:pt>
                <c:pt idx="40">
                  <c:v>23132</c:v>
                </c:pt>
                <c:pt idx="41">
                  <c:v>23163</c:v>
                </c:pt>
                <c:pt idx="42">
                  <c:v>23193</c:v>
                </c:pt>
                <c:pt idx="43">
                  <c:v>23224</c:v>
                </c:pt>
                <c:pt idx="44">
                  <c:v>23255</c:v>
                </c:pt>
                <c:pt idx="45">
                  <c:v>23285</c:v>
                </c:pt>
                <c:pt idx="46">
                  <c:v>23316</c:v>
                </c:pt>
                <c:pt idx="47">
                  <c:v>23346</c:v>
                </c:pt>
                <c:pt idx="48">
                  <c:v>23377</c:v>
                </c:pt>
                <c:pt idx="49">
                  <c:v>23408</c:v>
                </c:pt>
                <c:pt idx="50">
                  <c:v>23437</c:v>
                </c:pt>
                <c:pt idx="51">
                  <c:v>23468</c:v>
                </c:pt>
                <c:pt idx="52">
                  <c:v>23498</c:v>
                </c:pt>
                <c:pt idx="53">
                  <c:v>23529</c:v>
                </c:pt>
                <c:pt idx="54">
                  <c:v>23559</c:v>
                </c:pt>
                <c:pt idx="55">
                  <c:v>23590</c:v>
                </c:pt>
                <c:pt idx="56">
                  <c:v>23621</c:v>
                </c:pt>
                <c:pt idx="57">
                  <c:v>23651</c:v>
                </c:pt>
                <c:pt idx="58">
                  <c:v>23682</c:v>
                </c:pt>
                <c:pt idx="59">
                  <c:v>23712</c:v>
                </c:pt>
                <c:pt idx="60">
                  <c:v>23743</c:v>
                </c:pt>
                <c:pt idx="61">
                  <c:v>23774</c:v>
                </c:pt>
                <c:pt idx="62">
                  <c:v>23802</c:v>
                </c:pt>
                <c:pt idx="63">
                  <c:v>23833</c:v>
                </c:pt>
                <c:pt idx="64">
                  <c:v>23863</c:v>
                </c:pt>
                <c:pt idx="65">
                  <c:v>23894</c:v>
                </c:pt>
                <c:pt idx="66">
                  <c:v>23924</c:v>
                </c:pt>
                <c:pt idx="67">
                  <c:v>23955</c:v>
                </c:pt>
                <c:pt idx="68">
                  <c:v>23986</c:v>
                </c:pt>
                <c:pt idx="69">
                  <c:v>24016</c:v>
                </c:pt>
                <c:pt idx="70">
                  <c:v>24047</c:v>
                </c:pt>
                <c:pt idx="71">
                  <c:v>24077</c:v>
                </c:pt>
                <c:pt idx="72">
                  <c:v>24108</c:v>
                </c:pt>
                <c:pt idx="73">
                  <c:v>24139</c:v>
                </c:pt>
                <c:pt idx="74">
                  <c:v>24167</c:v>
                </c:pt>
                <c:pt idx="75">
                  <c:v>24198</c:v>
                </c:pt>
                <c:pt idx="76">
                  <c:v>24228</c:v>
                </c:pt>
                <c:pt idx="77">
                  <c:v>24259</c:v>
                </c:pt>
                <c:pt idx="78">
                  <c:v>24289</c:v>
                </c:pt>
                <c:pt idx="79">
                  <c:v>24320</c:v>
                </c:pt>
                <c:pt idx="80">
                  <c:v>24351</c:v>
                </c:pt>
                <c:pt idx="81">
                  <c:v>24381</c:v>
                </c:pt>
                <c:pt idx="82">
                  <c:v>24412</c:v>
                </c:pt>
                <c:pt idx="83">
                  <c:v>24442</c:v>
                </c:pt>
                <c:pt idx="84">
                  <c:v>24473</c:v>
                </c:pt>
                <c:pt idx="85">
                  <c:v>24504</c:v>
                </c:pt>
                <c:pt idx="86">
                  <c:v>24532</c:v>
                </c:pt>
                <c:pt idx="87">
                  <c:v>24563</c:v>
                </c:pt>
                <c:pt idx="88">
                  <c:v>24593</c:v>
                </c:pt>
                <c:pt idx="89">
                  <c:v>24624</c:v>
                </c:pt>
                <c:pt idx="90">
                  <c:v>24654</c:v>
                </c:pt>
                <c:pt idx="91">
                  <c:v>24685</c:v>
                </c:pt>
                <c:pt idx="92">
                  <c:v>24716</c:v>
                </c:pt>
                <c:pt idx="93">
                  <c:v>24746</c:v>
                </c:pt>
                <c:pt idx="94">
                  <c:v>24777</c:v>
                </c:pt>
                <c:pt idx="95">
                  <c:v>24807</c:v>
                </c:pt>
                <c:pt idx="96">
                  <c:v>24838</c:v>
                </c:pt>
                <c:pt idx="97">
                  <c:v>24869</c:v>
                </c:pt>
                <c:pt idx="98">
                  <c:v>24898</c:v>
                </c:pt>
                <c:pt idx="99">
                  <c:v>24929</c:v>
                </c:pt>
                <c:pt idx="100">
                  <c:v>24959</c:v>
                </c:pt>
                <c:pt idx="101">
                  <c:v>24990</c:v>
                </c:pt>
                <c:pt idx="102">
                  <c:v>25020</c:v>
                </c:pt>
                <c:pt idx="103">
                  <c:v>25051</c:v>
                </c:pt>
                <c:pt idx="104">
                  <c:v>25082</c:v>
                </c:pt>
                <c:pt idx="105">
                  <c:v>25112</c:v>
                </c:pt>
                <c:pt idx="106">
                  <c:v>25143</c:v>
                </c:pt>
                <c:pt idx="107">
                  <c:v>25173</c:v>
                </c:pt>
                <c:pt idx="108">
                  <c:v>25204</c:v>
                </c:pt>
                <c:pt idx="109">
                  <c:v>25235</c:v>
                </c:pt>
                <c:pt idx="110">
                  <c:v>25263</c:v>
                </c:pt>
                <c:pt idx="111">
                  <c:v>25294</c:v>
                </c:pt>
                <c:pt idx="112">
                  <c:v>25324</c:v>
                </c:pt>
                <c:pt idx="113">
                  <c:v>25355</c:v>
                </c:pt>
                <c:pt idx="114">
                  <c:v>25385</c:v>
                </c:pt>
                <c:pt idx="115">
                  <c:v>25416</c:v>
                </c:pt>
                <c:pt idx="116">
                  <c:v>25447</c:v>
                </c:pt>
                <c:pt idx="117">
                  <c:v>25477</c:v>
                </c:pt>
                <c:pt idx="118">
                  <c:v>25508</c:v>
                </c:pt>
                <c:pt idx="119">
                  <c:v>25538</c:v>
                </c:pt>
                <c:pt idx="120">
                  <c:v>25569</c:v>
                </c:pt>
                <c:pt idx="121">
                  <c:v>25600</c:v>
                </c:pt>
                <c:pt idx="122">
                  <c:v>25628</c:v>
                </c:pt>
                <c:pt idx="123">
                  <c:v>25659</c:v>
                </c:pt>
                <c:pt idx="124">
                  <c:v>25689</c:v>
                </c:pt>
                <c:pt idx="125">
                  <c:v>25720</c:v>
                </c:pt>
                <c:pt idx="126">
                  <c:v>25750</c:v>
                </c:pt>
                <c:pt idx="127">
                  <c:v>25781</c:v>
                </c:pt>
                <c:pt idx="128">
                  <c:v>25812</c:v>
                </c:pt>
                <c:pt idx="129">
                  <c:v>25842</c:v>
                </c:pt>
                <c:pt idx="130">
                  <c:v>25873</c:v>
                </c:pt>
                <c:pt idx="131">
                  <c:v>25903</c:v>
                </c:pt>
                <c:pt idx="132">
                  <c:v>25934</c:v>
                </c:pt>
                <c:pt idx="133">
                  <c:v>25965</c:v>
                </c:pt>
                <c:pt idx="134">
                  <c:v>25993</c:v>
                </c:pt>
                <c:pt idx="135">
                  <c:v>26024</c:v>
                </c:pt>
                <c:pt idx="136">
                  <c:v>26054</c:v>
                </c:pt>
                <c:pt idx="137">
                  <c:v>26085</c:v>
                </c:pt>
                <c:pt idx="138">
                  <c:v>26115</c:v>
                </c:pt>
                <c:pt idx="139">
                  <c:v>26146</c:v>
                </c:pt>
                <c:pt idx="140">
                  <c:v>26177</c:v>
                </c:pt>
                <c:pt idx="141">
                  <c:v>26207</c:v>
                </c:pt>
                <c:pt idx="142">
                  <c:v>26238</c:v>
                </c:pt>
                <c:pt idx="143">
                  <c:v>26268</c:v>
                </c:pt>
                <c:pt idx="144">
                  <c:v>26299</c:v>
                </c:pt>
                <c:pt idx="145">
                  <c:v>26330</c:v>
                </c:pt>
                <c:pt idx="146">
                  <c:v>26359</c:v>
                </c:pt>
                <c:pt idx="147">
                  <c:v>26390</c:v>
                </c:pt>
                <c:pt idx="148">
                  <c:v>26420</c:v>
                </c:pt>
                <c:pt idx="149">
                  <c:v>26451</c:v>
                </c:pt>
                <c:pt idx="150">
                  <c:v>26481</c:v>
                </c:pt>
                <c:pt idx="151">
                  <c:v>26512</c:v>
                </c:pt>
                <c:pt idx="152">
                  <c:v>26543</c:v>
                </c:pt>
                <c:pt idx="153">
                  <c:v>26573</c:v>
                </c:pt>
                <c:pt idx="154">
                  <c:v>26604</c:v>
                </c:pt>
                <c:pt idx="155">
                  <c:v>26634</c:v>
                </c:pt>
                <c:pt idx="156">
                  <c:v>26665</c:v>
                </c:pt>
                <c:pt idx="157">
                  <c:v>26696</c:v>
                </c:pt>
                <c:pt idx="158">
                  <c:v>26724</c:v>
                </c:pt>
                <c:pt idx="159">
                  <c:v>26755</c:v>
                </c:pt>
                <c:pt idx="160">
                  <c:v>26785</c:v>
                </c:pt>
                <c:pt idx="161">
                  <c:v>26816</c:v>
                </c:pt>
                <c:pt idx="162">
                  <c:v>26846</c:v>
                </c:pt>
                <c:pt idx="163">
                  <c:v>26877</c:v>
                </c:pt>
                <c:pt idx="164">
                  <c:v>26908</c:v>
                </c:pt>
                <c:pt idx="165">
                  <c:v>26938</c:v>
                </c:pt>
                <c:pt idx="166">
                  <c:v>26969</c:v>
                </c:pt>
                <c:pt idx="167">
                  <c:v>26999</c:v>
                </c:pt>
                <c:pt idx="168">
                  <c:v>27030</c:v>
                </c:pt>
                <c:pt idx="169">
                  <c:v>27061</c:v>
                </c:pt>
                <c:pt idx="170">
                  <c:v>27089</c:v>
                </c:pt>
                <c:pt idx="171">
                  <c:v>27120</c:v>
                </c:pt>
                <c:pt idx="172">
                  <c:v>27150</c:v>
                </c:pt>
                <c:pt idx="173">
                  <c:v>27181</c:v>
                </c:pt>
                <c:pt idx="174">
                  <c:v>27211</c:v>
                </c:pt>
                <c:pt idx="175">
                  <c:v>27242</c:v>
                </c:pt>
                <c:pt idx="176">
                  <c:v>27273</c:v>
                </c:pt>
                <c:pt idx="177">
                  <c:v>27303</c:v>
                </c:pt>
                <c:pt idx="178">
                  <c:v>27334</c:v>
                </c:pt>
                <c:pt idx="179">
                  <c:v>27364</c:v>
                </c:pt>
                <c:pt idx="180">
                  <c:v>27395</c:v>
                </c:pt>
                <c:pt idx="181">
                  <c:v>27426</c:v>
                </c:pt>
                <c:pt idx="182">
                  <c:v>27454</c:v>
                </c:pt>
                <c:pt idx="183">
                  <c:v>27485</c:v>
                </c:pt>
                <c:pt idx="184">
                  <c:v>27515</c:v>
                </c:pt>
                <c:pt idx="185">
                  <c:v>27546</c:v>
                </c:pt>
                <c:pt idx="186">
                  <c:v>27576</c:v>
                </c:pt>
                <c:pt idx="187">
                  <c:v>27607</c:v>
                </c:pt>
                <c:pt idx="188">
                  <c:v>27638</c:v>
                </c:pt>
                <c:pt idx="189">
                  <c:v>27668</c:v>
                </c:pt>
                <c:pt idx="190">
                  <c:v>27699</c:v>
                </c:pt>
                <c:pt idx="191">
                  <c:v>27729</c:v>
                </c:pt>
                <c:pt idx="192">
                  <c:v>27760</c:v>
                </c:pt>
                <c:pt idx="193">
                  <c:v>27791</c:v>
                </c:pt>
                <c:pt idx="194">
                  <c:v>27820</c:v>
                </c:pt>
                <c:pt idx="195">
                  <c:v>27851</c:v>
                </c:pt>
                <c:pt idx="196">
                  <c:v>27881</c:v>
                </c:pt>
                <c:pt idx="197">
                  <c:v>27912</c:v>
                </c:pt>
                <c:pt idx="198">
                  <c:v>27942</c:v>
                </c:pt>
                <c:pt idx="199">
                  <c:v>27973</c:v>
                </c:pt>
                <c:pt idx="200">
                  <c:v>28004</c:v>
                </c:pt>
                <c:pt idx="201">
                  <c:v>28034</c:v>
                </c:pt>
                <c:pt idx="202">
                  <c:v>28065</c:v>
                </c:pt>
                <c:pt idx="203">
                  <c:v>28095</c:v>
                </c:pt>
                <c:pt idx="204">
                  <c:v>28126</c:v>
                </c:pt>
                <c:pt idx="205">
                  <c:v>28157</c:v>
                </c:pt>
                <c:pt idx="206">
                  <c:v>28185</c:v>
                </c:pt>
                <c:pt idx="207">
                  <c:v>28216</c:v>
                </c:pt>
                <c:pt idx="208">
                  <c:v>28246</c:v>
                </c:pt>
                <c:pt idx="209">
                  <c:v>28277</c:v>
                </c:pt>
                <c:pt idx="210">
                  <c:v>28307</c:v>
                </c:pt>
                <c:pt idx="211">
                  <c:v>28338</c:v>
                </c:pt>
                <c:pt idx="212">
                  <c:v>28369</c:v>
                </c:pt>
                <c:pt idx="213">
                  <c:v>28399</c:v>
                </c:pt>
                <c:pt idx="214">
                  <c:v>28430</c:v>
                </c:pt>
                <c:pt idx="215">
                  <c:v>28460</c:v>
                </c:pt>
                <c:pt idx="216">
                  <c:v>28491</c:v>
                </c:pt>
                <c:pt idx="217">
                  <c:v>28522</c:v>
                </c:pt>
                <c:pt idx="218">
                  <c:v>28550</c:v>
                </c:pt>
                <c:pt idx="219">
                  <c:v>28581</c:v>
                </c:pt>
                <c:pt idx="220">
                  <c:v>28611</c:v>
                </c:pt>
                <c:pt idx="221">
                  <c:v>28642</c:v>
                </c:pt>
                <c:pt idx="222">
                  <c:v>28672</c:v>
                </c:pt>
                <c:pt idx="223">
                  <c:v>28703</c:v>
                </c:pt>
                <c:pt idx="224">
                  <c:v>28734</c:v>
                </c:pt>
                <c:pt idx="225">
                  <c:v>28764</c:v>
                </c:pt>
                <c:pt idx="226">
                  <c:v>28795</c:v>
                </c:pt>
                <c:pt idx="227">
                  <c:v>28825</c:v>
                </c:pt>
                <c:pt idx="228">
                  <c:v>28856</c:v>
                </c:pt>
                <c:pt idx="229">
                  <c:v>28887</c:v>
                </c:pt>
                <c:pt idx="230">
                  <c:v>28915</c:v>
                </c:pt>
                <c:pt idx="231">
                  <c:v>28946</c:v>
                </c:pt>
                <c:pt idx="232">
                  <c:v>28976</c:v>
                </c:pt>
                <c:pt idx="233">
                  <c:v>29007</c:v>
                </c:pt>
                <c:pt idx="234">
                  <c:v>29037</c:v>
                </c:pt>
                <c:pt idx="235">
                  <c:v>29068</c:v>
                </c:pt>
                <c:pt idx="236">
                  <c:v>29099</c:v>
                </c:pt>
                <c:pt idx="237">
                  <c:v>29129</c:v>
                </c:pt>
                <c:pt idx="238">
                  <c:v>29160</c:v>
                </c:pt>
                <c:pt idx="239">
                  <c:v>29190</c:v>
                </c:pt>
                <c:pt idx="240">
                  <c:v>29221</c:v>
                </c:pt>
                <c:pt idx="241">
                  <c:v>29252</c:v>
                </c:pt>
                <c:pt idx="242">
                  <c:v>29281</c:v>
                </c:pt>
                <c:pt idx="243">
                  <c:v>29312</c:v>
                </c:pt>
                <c:pt idx="244">
                  <c:v>29342</c:v>
                </c:pt>
                <c:pt idx="245">
                  <c:v>29373</c:v>
                </c:pt>
                <c:pt idx="246">
                  <c:v>29403</c:v>
                </c:pt>
                <c:pt idx="247">
                  <c:v>29434</c:v>
                </c:pt>
                <c:pt idx="248">
                  <c:v>29465</c:v>
                </c:pt>
                <c:pt idx="249">
                  <c:v>29495</c:v>
                </c:pt>
                <c:pt idx="250">
                  <c:v>29526</c:v>
                </c:pt>
                <c:pt idx="251">
                  <c:v>29556</c:v>
                </c:pt>
                <c:pt idx="252">
                  <c:v>29587</c:v>
                </c:pt>
                <c:pt idx="253">
                  <c:v>29618</c:v>
                </c:pt>
                <c:pt idx="254">
                  <c:v>29646</c:v>
                </c:pt>
                <c:pt idx="255">
                  <c:v>29677</c:v>
                </c:pt>
                <c:pt idx="256">
                  <c:v>29707</c:v>
                </c:pt>
                <c:pt idx="257">
                  <c:v>29738</c:v>
                </c:pt>
                <c:pt idx="258">
                  <c:v>29768</c:v>
                </c:pt>
                <c:pt idx="259">
                  <c:v>29799</c:v>
                </c:pt>
                <c:pt idx="260">
                  <c:v>29830</c:v>
                </c:pt>
                <c:pt idx="261">
                  <c:v>29860</c:v>
                </c:pt>
                <c:pt idx="262">
                  <c:v>29891</c:v>
                </c:pt>
                <c:pt idx="263">
                  <c:v>29921</c:v>
                </c:pt>
                <c:pt idx="264">
                  <c:v>29952</c:v>
                </c:pt>
                <c:pt idx="265">
                  <c:v>29983</c:v>
                </c:pt>
                <c:pt idx="266">
                  <c:v>30011</c:v>
                </c:pt>
                <c:pt idx="267">
                  <c:v>30042</c:v>
                </c:pt>
                <c:pt idx="268">
                  <c:v>30072</c:v>
                </c:pt>
                <c:pt idx="269">
                  <c:v>30103</c:v>
                </c:pt>
                <c:pt idx="270">
                  <c:v>30133</c:v>
                </c:pt>
                <c:pt idx="271">
                  <c:v>30164</c:v>
                </c:pt>
                <c:pt idx="272">
                  <c:v>30195</c:v>
                </c:pt>
                <c:pt idx="273">
                  <c:v>30225</c:v>
                </c:pt>
                <c:pt idx="274">
                  <c:v>30256</c:v>
                </c:pt>
                <c:pt idx="275">
                  <c:v>30286</c:v>
                </c:pt>
                <c:pt idx="276">
                  <c:v>30317</c:v>
                </c:pt>
                <c:pt idx="277">
                  <c:v>30348</c:v>
                </c:pt>
                <c:pt idx="278">
                  <c:v>30376</c:v>
                </c:pt>
                <c:pt idx="279">
                  <c:v>30407</c:v>
                </c:pt>
                <c:pt idx="280">
                  <c:v>30437</c:v>
                </c:pt>
                <c:pt idx="281">
                  <c:v>30468</c:v>
                </c:pt>
                <c:pt idx="282">
                  <c:v>30498</c:v>
                </c:pt>
                <c:pt idx="283">
                  <c:v>30529</c:v>
                </c:pt>
                <c:pt idx="284">
                  <c:v>30560</c:v>
                </c:pt>
                <c:pt idx="285">
                  <c:v>30590</c:v>
                </c:pt>
                <c:pt idx="286">
                  <c:v>30621</c:v>
                </c:pt>
                <c:pt idx="287">
                  <c:v>30651</c:v>
                </c:pt>
                <c:pt idx="288">
                  <c:v>30682</c:v>
                </c:pt>
                <c:pt idx="289">
                  <c:v>30713</c:v>
                </c:pt>
                <c:pt idx="290">
                  <c:v>30742</c:v>
                </c:pt>
                <c:pt idx="291">
                  <c:v>30773</c:v>
                </c:pt>
                <c:pt idx="292">
                  <c:v>30803</c:v>
                </c:pt>
                <c:pt idx="293">
                  <c:v>30834</c:v>
                </c:pt>
                <c:pt idx="294">
                  <c:v>30864</c:v>
                </c:pt>
                <c:pt idx="295">
                  <c:v>30895</c:v>
                </c:pt>
                <c:pt idx="296">
                  <c:v>30926</c:v>
                </c:pt>
                <c:pt idx="297">
                  <c:v>30956</c:v>
                </c:pt>
                <c:pt idx="298">
                  <c:v>30987</c:v>
                </c:pt>
                <c:pt idx="299">
                  <c:v>31017</c:v>
                </c:pt>
                <c:pt idx="300">
                  <c:v>31048</c:v>
                </c:pt>
                <c:pt idx="301">
                  <c:v>31079</c:v>
                </c:pt>
                <c:pt idx="302">
                  <c:v>31107</c:v>
                </c:pt>
                <c:pt idx="303">
                  <c:v>31138</c:v>
                </c:pt>
                <c:pt idx="304">
                  <c:v>31168</c:v>
                </c:pt>
                <c:pt idx="305">
                  <c:v>31199</c:v>
                </c:pt>
                <c:pt idx="306">
                  <c:v>31229</c:v>
                </c:pt>
                <c:pt idx="307">
                  <c:v>31260</c:v>
                </c:pt>
                <c:pt idx="308">
                  <c:v>31291</c:v>
                </c:pt>
                <c:pt idx="309">
                  <c:v>31321</c:v>
                </c:pt>
                <c:pt idx="310">
                  <c:v>31352</c:v>
                </c:pt>
                <c:pt idx="311">
                  <c:v>31382</c:v>
                </c:pt>
                <c:pt idx="312">
                  <c:v>31413</c:v>
                </c:pt>
                <c:pt idx="313">
                  <c:v>31444</c:v>
                </c:pt>
                <c:pt idx="314">
                  <c:v>31472</c:v>
                </c:pt>
                <c:pt idx="315">
                  <c:v>31503</c:v>
                </c:pt>
                <c:pt idx="316">
                  <c:v>31533</c:v>
                </c:pt>
                <c:pt idx="317">
                  <c:v>31564</c:v>
                </c:pt>
                <c:pt idx="318">
                  <c:v>31594</c:v>
                </c:pt>
                <c:pt idx="319">
                  <c:v>31625</c:v>
                </c:pt>
                <c:pt idx="320">
                  <c:v>31656</c:v>
                </c:pt>
                <c:pt idx="321">
                  <c:v>31686</c:v>
                </c:pt>
                <c:pt idx="322">
                  <c:v>31717</c:v>
                </c:pt>
                <c:pt idx="323">
                  <c:v>31747</c:v>
                </c:pt>
                <c:pt idx="324">
                  <c:v>31778</c:v>
                </c:pt>
                <c:pt idx="325">
                  <c:v>31809</c:v>
                </c:pt>
                <c:pt idx="326">
                  <c:v>31837</c:v>
                </c:pt>
                <c:pt idx="327">
                  <c:v>31868</c:v>
                </c:pt>
                <c:pt idx="328">
                  <c:v>31898</c:v>
                </c:pt>
                <c:pt idx="329">
                  <c:v>31929</c:v>
                </c:pt>
                <c:pt idx="330">
                  <c:v>31959</c:v>
                </c:pt>
                <c:pt idx="331">
                  <c:v>31990</c:v>
                </c:pt>
                <c:pt idx="332">
                  <c:v>32021</c:v>
                </c:pt>
                <c:pt idx="333">
                  <c:v>32051</c:v>
                </c:pt>
                <c:pt idx="334">
                  <c:v>32082</c:v>
                </c:pt>
                <c:pt idx="335">
                  <c:v>32112</c:v>
                </c:pt>
                <c:pt idx="336">
                  <c:v>32143</c:v>
                </c:pt>
                <c:pt idx="337">
                  <c:v>32174</c:v>
                </c:pt>
                <c:pt idx="338">
                  <c:v>32203</c:v>
                </c:pt>
                <c:pt idx="339">
                  <c:v>32234</c:v>
                </c:pt>
                <c:pt idx="340">
                  <c:v>32264</c:v>
                </c:pt>
                <c:pt idx="341">
                  <c:v>32295</c:v>
                </c:pt>
                <c:pt idx="342">
                  <c:v>32325</c:v>
                </c:pt>
                <c:pt idx="343">
                  <c:v>32356</c:v>
                </c:pt>
                <c:pt idx="344">
                  <c:v>32387</c:v>
                </c:pt>
                <c:pt idx="345">
                  <c:v>32417</c:v>
                </c:pt>
                <c:pt idx="346">
                  <c:v>32448</c:v>
                </c:pt>
                <c:pt idx="347">
                  <c:v>32478</c:v>
                </c:pt>
                <c:pt idx="348">
                  <c:v>32509</c:v>
                </c:pt>
                <c:pt idx="349">
                  <c:v>32540</c:v>
                </c:pt>
                <c:pt idx="350">
                  <c:v>32568</c:v>
                </c:pt>
                <c:pt idx="351">
                  <c:v>32599</c:v>
                </c:pt>
                <c:pt idx="352">
                  <c:v>32629</c:v>
                </c:pt>
                <c:pt idx="353">
                  <c:v>32660</c:v>
                </c:pt>
                <c:pt idx="354">
                  <c:v>32690</c:v>
                </c:pt>
                <c:pt idx="355">
                  <c:v>32721</c:v>
                </c:pt>
                <c:pt idx="356">
                  <c:v>32752</c:v>
                </c:pt>
                <c:pt idx="357">
                  <c:v>32782</c:v>
                </c:pt>
                <c:pt idx="358">
                  <c:v>32813</c:v>
                </c:pt>
                <c:pt idx="359">
                  <c:v>32843</c:v>
                </c:pt>
                <c:pt idx="360">
                  <c:v>32874</c:v>
                </c:pt>
                <c:pt idx="361">
                  <c:v>32905</c:v>
                </c:pt>
                <c:pt idx="362">
                  <c:v>32933</c:v>
                </c:pt>
                <c:pt idx="363">
                  <c:v>32964</c:v>
                </c:pt>
                <c:pt idx="364">
                  <c:v>32994</c:v>
                </c:pt>
                <c:pt idx="365">
                  <c:v>33025</c:v>
                </c:pt>
                <c:pt idx="366">
                  <c:v>33055</c:v>
                </c:pt>
                <c:pt idx="367">
                  <c:v>33086</c:v>
                </c:pt>
                <c:pt idx="368">
                  <c:v>33117</c:v>
                </c:pt>
                <c:pt idx="369">
                  <c:v>33147</c:v>
                </c:pt>
                <c:pt idx="370">
                  <c:v>33178</c:v>
                </c:pt>
                <c:pt idx="371">
                  <c:v>33208</c:v>
                </c:pt>
                <c:pt idx="372">
                  <c:v>33239</c:v>
                </c:pt>
                <c:pt idx="373">
                  <c:v>33270</c:v>
                </c:pt>
                <c:pt idx="374">
                  <c:v>33298</c:v>
                </c:pt>
                <c:pt idx="375">
                  <c:v>33329</c:v>
                </c:pt>
                <c:pt idx="376">
                  <c:v>33359</c:v>
                </c:pt>
                <c:pt idx="377">
                  <c:v>33390</c:v>
                </c:pt>
                <c:pt idx="378">
                  <c:v>33420</c:v>
                </c:pt>
                <c:pt idx="379">
                  <c:v>33451</c:v>
                </c:pt>
                <c:pt idx="380">
                  <c:v>33482</c:v>
                </c:pt>
                <c:pt idx="381">
                  <c:v>33512</c:v>
                </c:pt>
                <c:pt idx="382">
                  <c:v>33543</c:v>
                </c:pt>
                <c:pt idx="383">
                  <c:v>33573</c:v>
                </c:pt>
                <c:pt idx="384">
                  <c:v>33604</c:v>
                </c:pt>
                <c:pt idx="385">
                  <c:v>33635</c:v>
                </c:pt>
                <c:pt idx="386">
                  <c:v>33664</c:v>
                </c:pt>
                <c:pt idx="387">
                  <c:v>33695</c:v>
                </c:pt>
                <c:pt idx="388">
                  <c:v>33725</c:v>
                </c:pt>
                <c:pt idx="389">
                  <c:v>33756</c:v>
                </c:pt>
                <c:pt idx="390">
                  <c:v>33786</c:v>
                </c:pt>
                <c:pt idx="391">
                  <c:v>33817</c:v>
                </c:pt>
                <c:pt idx="392">
                  <c:v>33848</c:v>
                </c:pt>
                <c:pt idx="393">
                  <c:v>33878</c:v>
                </c:pt>
                <c:pt idx="394">
                  <c:v>33909</c:v>
                </c:pt>
                <c:pt idx="395">
                  <c:v>33939</c:v>
                </c:pt>
                <c:pt idx="396">
                  <c:v>33970</c:v>
                </c:pt>
                <c:pt idx="397">
                  <c:v>34001</c:v>
                </c:pt>
                <c:pt idx="398">
                  <c:v>34029</c:v>
                </c:pt>
                <c:pt idx="399">
                  <c:v>34060</c:v>
                </c:pt>
                <c:pt idx="400">
                  <c:v>34090</c:v>
                </c:pt>
                <c:pt idx="401">
                  <c:v>34121</c:v>
                </c:pt>
                <c:pt idx="402">
                  <c:v>34151</c:v>
                </c:pt>
                <c:pt idx="403">
                  <c:v>34182</c:v>
                </c:pt>
                <c:pt idx="404">
                  <c:v>34213</c:v>
                </c:pt>
                <c:pt idx="405">
                  <c:v>34243</c:v>
                </c:pt>
                <c:pt idx="406">
                  <c:v>34274</c:v>
                </c:pt>
                <c:pt idx="407">
                  <c:v>34304</c:v>
                </c:pt>
                <c:pt idx="408">
                  <c:v>34335</c:v>
                </c:pt>
                <c:pt idx="409">
                  <c:v>34366</c:v>
                </c:pt>
                <c:pt idx="410">
                  <c:v>34394</c:v>
                </c:pt>
                <c:pt idx="411">
                  <c:v>34425</c:v>
                </c:pt>
                <c:pt idx="412">
                  <c:v>34455</c:v>
                </c:pt>
                <c:pt idx="413">
                  <c:v>34486</c:v>
                </c:pt>
                <c:pt idx="414">
                  <c:v>34516</c:v>
                </c:pt>
                <c:pt idx="415">
                  <c:v>34547</c:v>
                </c:pt>
                <c:pt idx="416">
                  <c:v>34578</c:v>
                </c:pt>
                <c:pt idx="417">
                  <c:v>34608</c:v>
                </c:pt>
                <c:pt idx="418">
                  <c:v>34639</c:v>
                </c:pt>
                <c:pt idx="419">
                  <c:v>34669</c:v>
                </c:pt>
                <c:pt idx="420">
                  <c:v>34700</c:v>
                </c:pt>
                <c:pt idx="421">
                  <c:v>34731</c:v>
                </c:pt>
                <c:pt idx="422">
                  <c:v>34759</c:v>
                </c:pt>
                <c:pt idx="423">
                  <c:v>34790</c:v>
                </c:pt>
                <c:pt idx="424">
                  <c:v>34820</c:v>
                </c:pt>
                <c:pt idx="425">
                  <c:v>34851</c:v>
                </c:pt>
                <c:pt idx="426">
                  <c:v>34881</c:v>
                </c:pt>
                <c:pt idx="427">
                  <c:v>34912</c:v>
                </c:pt>
                <c:pt idx="428">
                  <c:v>34943</c:v>
                </c:pt>
                <c:pt idx="429">
                  <c:v>34973</c:v>
                </c:pt>
                <c:pt idx="430">
                  <c:v>35004</c:v>
                </c:pt>
                <c:pt idx="431">
                  <c:v>35034</c:v>
                </c:pt>
                <c:pt idx="432">
                  <c:v>35065</c:v>
                </c:pt>
                <c:pt idx="433">
                  <c:v>35096</c:v>
                </c:pt>
                <c:pt idx="434">
                  <c:v>35125</c:v>
                </c:pt>
                <c:pt idx="435">
                  <c:v>35156</c:v>
                </c:pt>
                <c:pt idx="436">
                  <c:v>35186</c:v>
                </c:pt>
                <c:pt idx="437">
                  <c:v>35217</c:v>
                </c:pt>
                <c:pt idx="438">
                  <c:v>35247</c:v>
                </c:pt>
                <c:pt idx="439">
                  <c:v>35278</c:v>
                </c:pt>
                <c:pt idx="440">
                  <c:v>35309</c:v>
                </c:pt>
                <c:pt idx="441">
                  <c:v>35339</c:v>
                </c:pt>
                <c:pt idx="442">
                  <c:v>35370</c:v>
                </c:pt>
                <c:pt idx="443">
                  <c:v>35400</c:v>
                </c:pt>
                <c:pt idx="444">
                  <c:v>35431</c:v>
                </c:pt>
                <c:pt idx="445">
                  <c:v>35462</c:v>
                </c:pt>
                <c:pt idx="446">
                  <c:v>35490</c:v>
                </c:pt>
                <c:pt idx="447">
                  <c:v>35521</c:v>
                </c:pt>
                <c:pt idx="448">
                  <c:v>35551</c:v>
                </c:pt>
                <c:pt idx="449">
                  <c:v>35582</c:v>
                </c:pt>
                <c:pt idx="450">
                  <c:v>35612</c:v>
                </c:pt>
                <c:pt idx="451">
                  <c:v>35643</c:v>
                </c:pt>
                <c:pt idx="452">
                  <c:v>35674</c:v>
                </c:pt>
                <c:pt idx="453">
                  <c:v>35704</c:v>
                </c:pt>
                <c:pt idx="454">
                  <c:v>35735</c:v>
                </c:pt>
                <c:pt idx="455">
                  <c:v>35765</c:v>
                </c:pt>
                <c:pt idx="456">
                  <c:v>35796</c:v>
                </c:pt>
                <c:pt idx="457">
                  <c:v>35827</c:v>
                </c:pt>
                <c:pt idx="458">
                  <c:v>35855</c:v>
                </c:pt>
                <c:pt idx="459">
                  <c:v>35886</c:v>
                </c:pt>
                <c:pt idx="460">
                  <c:v>35916</c:v>
                </c:pt>
                <c:pt idx="461">
                  <c:v>35947</c:v>
                </c:pt>
                <c:pt idx="462">
                  <c:v>35977</c:v>
                </c:pt>
                <c:pt idx="463">
                  <c:v>36008</c:v>
                </c:pt>
                <c:pt idx="464">
                  <c:v>36039</c:v>
                </c:pt>
                <c:pt idx="465">
                  <c:v>36069</c:v>
                </c:pt>
                <c:pt idx="466">
                  <c:v>36100</c:v>
                </c:pt>
                <c:pt idx="467">
                  <c:v>36130</c:v>
                </c:pt>
                <c:pt idx="468">
                  <c:v>36161</c:v>
                </c:pt>
                <c:pt idx="469">
                  <c:v>36192</c:v>
                </c:pt>
                <c:pt idx="470">
                  <c:v>36220</c:v>
                </c:pt>
                <c:pt idx="471">
                  <c:v>36251</c:v>
                </c:pt>
                <c:pt idx="472">
                  <c:v>36281</c:v>
                </c:pt>
                <c:pt idx="473">
                  <c:v>36312</c:v>
                </c:pt>
                <c:pt idx="474">
                  <c:v>36342</c:v>
                </c:pt>
                <c:pt idx="475">
                  <c:v>36373</c:v>
                </c:pt>
                <c:pt idx="476">
                  <c:v>36404</c:v>
                </c:pt>
                <c:pt idx="477">
                  <c:v>36434</c:v>
                </c:pt>
                <c:pt idx="478">
                  <c:v>36465</c:v>
                </c:pt>
                <c:pt idx="479">
                  <c:v>36495</c:v>
                </c:pt>
                <c:pt idx="480">
                  <c:v>36526</c:v>
                </c:pt>
                <c:pt idx="481">
                  <c:v>36557</c:v>
                </c:pt>
                <c:pt idx="482">
                  <c:v>36586</c:v>
                </c:pt>
                <c:pt idx="483">
                  <c:v>36617</c:v>
                </c:pt>
                <c:pt idx="484">
                  <c:v>36647</c:v>
                </c:pt>
                <c:pt idx="485">
                  <c:v>36678</c:v>
                </c:pt>
                <c:pt idx="486">
                  <c:v>36708</c:v>
                </c:pt>
                <c:pt idx="487">
                  <c:v>36739</c:v>
                </c:pt>
                <c:pt idx="488">
                  <c:v>36770</c:v>
                </c:pt>
                <c:pt idx="489">
                  <c:v>36800</c:v>
                </c:pt>
                <c:pt idx="490">
                  <c:v>36831</c:v>
                </c:pt>
                <c:pt idx="491">
                  <c:v>36861</c:v>
                </c:pt>
                <c:pt idx="492">
                  <c:v>36892</c:v>
                </c:pt>
                <c:pt idx="493">
                  <c:v>36923</c:v>
                </c:pt>
                <c:pt idx="494">
                  <c:v>36951</c:v>
                </c:pt>
                <c:pt idx="495">
                  <c:v>36982</c:v>
                </c:pt>
                <c:pt idx="496">
                  <c:v>37012</c:v>
                </c:pt>
                <c:pt idx="497">
                  <c:v>37043</c:v>
                </c:pt>
                <c:pt idx="498">
                  <c:v>37073</c:v>
                </c:pt>
                <c:pt idx="499">
                  <c:v>37104</c:v>
                </c:pt>
                <c:pt idx="500">
                  <c:v>37135</c:v>
                </c:pt>
                <c:pt idx="501">
                  <c:v>37165</c:v>
                </c:pt>
                <c:pt idx="502">
                  <c:v>37196</c:v>
                </c:pt>
                <c:pt idx="503">
                  <c:v>37226</c:v>
                </c:pt>
                <c:pt idx="504">
                  <c:v>37257</c:v>
                </c:pt>
                <c:pt idx="505">
                  <c:v>37288</c:v>
                </c:pt>
                <c:pt idx="506">
                  <c:v>37316</c:v>
                </c:pt>
                <c:pt idx="507">
                  <c:v>37347</c:v>
                </c:pt>
                <c:pt idx="508">
                  <c:v>37377</c:v>
                </c:pt>
                <c:pt idx="509">
                  <c:v>37408</c:v>
                </c:pt>
                <c:pt idx="510">
                  <c:v>37438</c:v>
                </c:pt>
                <c:pt idx="511">
                  <c:v>37469</c:v>
                </c:pt>
                <c:pt idx="512">
                  <c:v>37500</c:v>
                </c:pt>
                <c:pt idx="513">
                  <c:v>37530</c:v>
                </c:pt>
                <c:pt idx="514">
                  <c:v>37561</c:v>
                </c:pt>
                <c:pt idx="515">
                  <c:v>37591</c:v>
                </c:pt>
                <c:pt idx="516">
                  <c:v>37622</c:v>
                </c:pt>
                <c:pt idx="517">
                  <c:v>37653</c:v>
                </c:pt>
                <c:pt idx="518">
                  <c:v>37681</c:v>
                </c:pt>
                <c:pt idx="519">
                  <c:v>37712</c:v>
                </c:pt>
                <c:pt idx="520">
                  <c:v>37742</c:v>
                </c:pt>
                <c:pt idx="521">
                  <c:v>37773</c:v>
                </c:pt>
                <c:pt idx="522">
                  <c:v>37803</c:v>
                </c:pt>
                <c:pt idx="523">
                  <c:v>37834</c:v>
                </c:pt>
                <c:pt idx="524">
                  <c:v>37865</c:v>
                </c:pt>
                <c:pt idx="525">
                  <c:v>37895</c:v>
                </c:pt>
                <c:pt idx="526">
                  <c:v>37926</c:v>
                </c:pt>
                <c:pt idx="527">
                  <c:v>37956</c:v>
                </c:pt>
                <c:pt idx="528">
                  <c:v>37987</c:v>
                </c:pt>
                <c:pt idx="529">
                  <c:v>38018</c:v>
                </c:pt>
                <c:pt idx="530">
                  <c:v>38047</c:v>
                </c:pt>
                <c:pt idx="531">
                  <c:v>38078</c:v>
                </c:pt>
                <c:pt idx="532">
                  <c:v>38108</c:v>
                </c:pt>
                <c:pt idx="533">
                  <c:v>38139</c:v>
                </c:pt>
                <c:pt idx="534">
                  <c:v>38169</c:v>
                </c:pt>
                <c:pt idx="535">
                  <c:v>38200</c:v>
                </c:pt>
                <c:pt idx="536">
                  <c:v>38231</c:v>
                </c:pt>
                <c:pt idx="537">
                  <c:v>38261</c:v>
                </c:pt>
                <c:pt idx="538">
                  <c:v>38292</c:v>
                </c:pt>
                <c:pt idx="539">
                  <c:v>38322</c:v>
                </c:pt>
                <c:pt idx="540">
                  <c:v>38353</c:v>
                </c:pt>
                <c:pt idx="541">
                  <c:v>38384</c:v>
                </c:pt>
                <c:pt idx="542">
                  <c:v>38412</c:v>
                </c:pt>
                <c:pt idx="543">
                  <c:v>38443</c:v>
                </c:pt>
                <c:pt idx="544">
                  <c:v>38473</c:v>
                </c:pt>
                <c:pt idx="545">
                  <c:v>38504</c:v>
                </c:pt>
                <c:pt idx="546">
                  <c:v>38534</c:v>
                </c:pt>
                <c:pt idx="547">
                  <c:v>38565</c:v>
                </c:pt>
                <c:pt idx="548">
                  <c:v>38596</c:v>
                </c:pt>
                <c:pt idx="549">
                  <c:v>38626</c:v>
                </c:pt>
                <c:pt idx="550">
                  <c:v>38657</c:v>
                </c:pt>
                <c:pt idx="551">
                  <c:v>38687</c:v>
                </c:pt>
                <c:pt idx="552">
                  <c:v>38718</c:v>
                </c:pt>
                <c:pt idx="553">
                  <c:v>38749</c:v>
                </c:pt>
                <c:pt idx="554">
                  <c:v>38777</c:v>
                </c:pt>
                <c:pt idx="555">
                  <c:v>38808</c:v>
                </c:pt>
                <c:pt idx="556">
                  <c:v>38838</c:v>
                </c:pt>
                <c:pt idx="557">
                  <c:v>38869</c:v>
                </c:pt>
                <c:pt idx="558">
                  <c:v>38899</c:v>
                </c:pt>
                <c:pt idx="559">
                  <c:v>38930</c:v>
                </c:pt>
                <c:pt idx="560">
                  <c:v>38961</c:v>
                </c:pt>
                <c:pt idx="561">
                  <c:v>38991</c:v>
                </c:pt>
                <c:pt idx="562">
                  <c:v>39022</c:v>
                </c:pt>
                <c:pt idx="563">
                  <c:v>39052</c:v>
                </c:pt>
                <c:pt idx="564">
                  <c:v>39083</c:v>
                </c:pt>
                <c:pt idx="565">
                  <c:v>39114</c:v>
                </c:pt>
                <c:pt idx="566">
                  <c:v>39142</c:v>
                </c:pt>
                <c:pt idx="567">
                  <c:v>39173</c:v>
                </c:pt>
                <c:pt idx="568">
                  <c:v>39203</c:v>
                </c:pt>
                <c:pt idx="569">
                  <c:v>39234</c:v>
                </c:pt>
                <c:pt idx="570">
                  <c:v>39264</c:v>
                </c:pt>
                <c:pt idx="571">
                  <c:v>39295</c:v>
                </c:pt>
                <c:pt idx="572">
                  <c:v>39326</c:v>
                </c:pt>
                <c:pt idx="573">
                  <c:v>39356</c:v>
                </c:pt>
                <c:pt idx="574">
                  <c:v>39387</c:v>
                </c:pt>
                <c:pt idx="575">
                  <c:v>39417</c:v>
                </c:pt>
                <c:pt idx="576">
                  <c:v>39448</c:v>
                </c:pt>
                <c:pt idx="577">
                  <c:v>39479</c:v>
                </c:pt>
                <c:pt idx="578">
                  <c:v>39508</c:v>
                </c:pt>
                <c:pt idx="579">
                  <c:v>39539</c:v>
                </c:pt>
                <c:pt idx="580">
                  <c:v>39569</c:v>
                </c:pt>
                <c:pt idx="581">
                  <c:v>39600</c:v>
                </c:pt>
                <c:pt idx="582">
                  <c:v>39630</c:v>
                </c:pt>
                <c:pt idx="583">
                  <c:v>39661</c:v>
                </c:pt>
                <c:pt idx="584">
                  <c:v>39692</c:v>
                </c:pt>
                <c:pt idx="585">
                  <c:v>39722</c:v>
                </c:pt>
                <c:pt idx="586">
                  <c:v>39753</c:v>
                </c:pt>
                <c:pt idx="587">
                  <c:v>39783</c:v>
                </c:pt>
                <c:pt idx="588">
                  <c:v>39814</c:v>
                </c:pt>
                <c:pt idx="589">
                  <c:v>39845</c:v>
                </c:pt>
                <c:pt idx="590">
                  <c:v>39873</c:v>
                </c:pt>
                <c:pt idx="591">
                  <c:v>39904</c:v>
                </c:pt>
                <c:pt idx="592">
                  <c:v>39934</c:v>
                </c:pt>
                <c:pt idx="593">
                  <c:v>39965</c:v>
                </c:pt>
                <c:pt idx="594">
                  <c:v>39995</c:v>
                </c:pt>
                <c:pt idx="595">
                  <c:v>40026</c:v>
                </c:pt>
                <c:pt idx="596">
                  <c:v>40057</c:v>
                </c:pt>
                <c:pt idx="597">
                  <c:v>40087</c:v>
                </c:pt>
                <c:pt idx="598">
                  <c:v>40118</c:v>
                </c:pt>
                <c:pt idx="599">
                  <c:v>40148</c:v>
                </c:pt>
                <c:pt idx="600">
                  <c:v>40179</c:v>
                </c:pt>
                <c:pt idx="601">
                  <c:v>40210</c:v>
                </c:pt>
                <c:pt idx="602">
                  <c:v>40238</c:v>
                </c:pt>
                <c:pt idx="603">
                  <c:v>40269</c:v>
                </c:pt>
                <c:pt idx="604">
                  <c:v>40299</c:v>
                </c:pt>
                <c:pt idx="605">
                  <c:v>40330</c:v>
                </c:pt>
                <c:pt idx="606">
                  <c:v>40360</c:v>
                </c:pt>
                <c:pt idx="607">
                  <c:v>40391</c:v>
                </c:pt>
                <c:pt idx="608">
                  <c:v>40422</c:v>
                </c:pt>
                <c:pt idx="609">
                  <c:v>40452</c:v>
                </c:pt>
                <c:pt idx="610">
                  <c:v>40483</c:v>
                </c:pt>
                <c:pt idx="611">
                  <c:v>40513</c:v>
                </c:pt>
                <c:pt idx="612">
                  <c:v>40544</c:v>
                </c:pt>
                <c:pt idx="613">
                  <c:v>40575</c:v>
                </c:pt>
                <c:pt idx="614">
                  <c:v>40603</c:v>
                </c:pt>
                <c:pt idx="615">
                  <c:v>40634</c:v>
                </c:pt>
                <c:pt idx="616">
                  <c:v>40664</c:v>
                </c:pt>
                <c:pt idx="617">
                  <c:v>40695</c:v>
                </c:pt>
                <c:pt idx="618">
                  <c:v>40725</c:v>
                </c:pt>
                <c:pt idx="619">
                  <c:v>40756</c:v>
                </c:pt>
                <c:pt idx="620">
                  <c:v>40787</c:v>
                </c:pt>
                <c:pt idx="621">
                  <c:v>40817</c:v>
                </c:pt>
                <c:pt idx="622">
                  <c:v>40848</c:v>
                </c:pt>
                <c:pt idx="623">
                  <c:v>40878</c:v>
                </c:pt>
                <c:pt idx="624">
                  <c:v>40909</c:v>
                </c:pt>
                <c:pt idx="625">
                  <c:v>40940</c:v>
                </c:pt>
                <c:pt idx="626">
                  <c:v>40969</c:v>
                </c:pt>
                <c:pt idx="627">
                  <c:v>41000</c:v>
                </c:pt>
                <c:pt idx="628">
                  <c:v>41030</c:v>
                </c:pt>
                <c:pt idx="629">
                  <c:v>41061</c:v>
                </c:pt>
                <c:pt idx="630">
                  <c:v>41091</c:v>
                </c:pt>
                <c:pt idx="631">
                  <c:v>41122</c:v>
                </c:pt>
                <c:pt idx="632">
                  <c:v>41153</c:v>
                </c:pt>
                <c:pt idx="633">
                  <c:v>41183</c:v>
                </c:pt>
                <c:pt idx="634">
                  <c:v>41214</c:v>
                </c:pt>
                <c:pt idx="635">
                  <c:v>41244</c:v>
                </c:pt>
                <c:pt idx="636">
                  <c:v>41275</c:v>
                </c:pt>
                <c:pt idx="637">
                  <c:v>41306</c:v>
                </c:pt>
                <c:pt idx="638">
                  <c:v>41334</c:v>
                </c:pt>
                <c:pt idx="639">
                  <c:v>41365</c:v>
                </c:pt>
                <c:pt idx="640">
                  <c:v>41395</c:v>
                </c:pt>
                <c:pt idx="641">
                  <c:v>41426</c:v>
                </c:pt>
                <c:pt idx="642">
                  <c:v>41456</c:v>
                </c:pt>
                <c:pt idx="643">
                  <c:v>41487</c:v>
                </c:pt>
                <c:pt idx="644">
                  <c:v>41518</c:v>
                </c:pt>
                <c:pt idx="645">
                  <c:v>41548</c:v>
                </c:pt>
                <c:pt idx="646">
                  <c:v>41579</c:v>
                </c:pt>
                <c:pt idx="647">
                  <c:v>41609</c:v>
                </c:pt>
                <c:pt idx="648">
                  <c:v>41640</c:v>
                </c:pt>
                <c:pt idx="649">
                  <c:v>41671</c:v>
                </c:pt>
                <c:pt idx="650">
                  <c:v>41699</c:v>
                </c:pt>
                <c:pt idx="651">
                  <c:v>41730</c:v>
                </c:pt>
                <c:pt idx="652">
                  <c:v>41760</c:v>
                </c:pt>
                <c:pt idx="653">
                  <c:v>41791</c:v>
                </c:pt>
                <c:pt idx="654">
                  <c:v>41821</c:v>
                </c:pt>
                <c:pt idx="655">
                  <c:v>41852</c:v>
                </c:pt>
                <c:pt idx="656">
                  <c:v>41883</c:v>
                </c:pt>
                <c:pt idx="657">
                  <c:v>41913</c:v>
                </c:pt>
                <c:pt idx="658">
                  <c:v>41944</c:v>
                </c:pt>
                <c:pt idx="659">
                  <c:v>41974</c:v>
                </c:pt>
                <c:pt idx="660">
                  <c:v>42005</c:v>
                </c:pt>
                <c:pt idx="661">
                  <c:v>42036</c:v>
                </c:pt>
                <c:pt idx="662">
                  <c:v>42064</c:v>
                </c:pt>
                <c:pt idx="663">
                  <c:v>42095</c:v>
                </c:pt>
                <c:pt idx="664">
                  <c:v>42125</c:v>
                </c:pt>
                <c:pt idx="665">
                  <c:v>42156</c:v>
                </c:pt>
                <c:pt idx="666">
                  <c:v>42186</c:v>
                </c:pt>
                <c:pt idx="667">
                  <c:v>42217</c:v>
                </c:pt>
                <c:pt idx="668">
                  <c:v>42248</c:v>
                </c:pt>
                <c:pt idx="669">
                  <c:v>42278</c:v>
                </c:pt>
                <c:pt idx="670">
                  <c:v>42309</c:v>
                </c:pt>
                <c:pt idx="671">
                  <c:v>42339</c:v>
                </c:pt>
                <c:pt idx="672">
                  <c:v>42370</c:v>
                </c:pt>
                <c:pt idx="673">
                  <c:v>42401</c:v>
                </c:pt>
                <c:pt idx="674">
                  <c:v>42430</c:v>
                </c:pt>
                <c:pt idx="675">
                  <c:v>42461</c:v>
                </c:pt>
                <c:pt idx="676">
                  <c:v>42491</c:v>
                </c:pt>
                <c:pt idx="677">
                  <c:v>42522</c:v>
                </c:pt>
                <c:pt idx="678">
                  <c:v>42552</c:v>
                </c:pt>
                <c:pt idx="679">
                  <c:v>42583</c:v>
                </c:pt>
                <c:pt idx="680">
                  <c:v>42614</c:v>
                </c:pt>
                <c:pt idx="681">
                  <c:v>42644</c:v>
                </c:pt>
                <c:pt idx="682">
                  <c:v>42675</c:v>
                </c:pt>
                <c:pt idx="683">
                  <c:v>42705</c:v>
                </c:pt>
                <c:pt idx="684">
                  <c:v>42736</c:v>
                </c:pt>
                <c:pt idx="685">
                  <c:v>42767</c:v>
                </c:pt>
                <c:pt idx="686">
                  <c:v>42795</c:v>
                </c:pt>
                <c:pt idx="687">
                  <c:v>42826</c:v>
                </c:pt>
                <c:pt idx="688">
                  <c:v>42856</c:v>
                </c:pt>
                <c:pt idx="689">
                  <c:v>42887</c:v>
                </c:pt>
                <c:pt idx="690">
                  <c:v>42917</c:v>
                </c:pt>
                <c:pt idx="691">
                  <c:v>42948</c:v>
                </c:pt>
                <c:pt idx="692">
                  <c:v>42979</c:v>
                </c:pt>
                <c:pt idx="693">
                  <c:v>43009</c:v>
                </c:pt>
                <c:pt idx="694">
                  <c:v>43040</c:v>
                </c:pt>
                <c:pt idx="695">
                  <c:v>43070</c:v>
                </c:pt>
                <c:pt idx="696">
                  <c:v>43101</c:v>
                </c:pt>
                <c:pt idx="697">
                  <c:v>43132</c:v>
                </c:pt>
                <c:pt idx="698">
                  <c:v>43160</c:v>
                </c:pt>
                <c:pt idx="699">
                  <c:v>43191</c:v>
                </c:pt>
                <c:pt idx="700">
                  <c:v>43221</c:v>
                </c:pt>
                <c:pt idx="701">
                  <c:v>43252</c:v>
                </c:pt>
                <c:pt idx="702">
                  <c:v>43282</c:v>
                </c:pt>
                <c:pt idx="703">
                  <c:v>43313</c:v>
                </c:pt>
                <c:pt idx="704">
                  <c:v>43344</c:v>
                </c:pt>
                <c:pt idx="705">
                  <c:v>43374</c:v>
                </c:pt>
                <c:pt idx="706">
                  <c:v>43405</c:v>
                </c:pt>
                <c:pt idx="707">
                  <c:v>43435</c:v>
                </c:pt>
                <c:pt idx="708">
                  <c:v>43466</c:v>
                </c:pt>
                <c:pt idx="709">
                  <c:v>43497</c:v>
                </c:pt>
                <c:pt idx="710">
                  <c:v>43525</c:v>
                </c:pt>
                <c:pt idx="711">
                  <c:v>43556</c:v>
                </c:pt>
                <c:pt idx="712">
                  <c:v>43586</c:v>
                </c:pt>
                <c:pt idx="713">
                  <c:v>43617</c:v>
                </c:pt>
                <c:pt idx="714">
                  <c:v>43647</c:v>
                </c:pt>
                <c:pt idx="715">
                  <c:v>43678</c:v>
                </c:pt>
                <c:pt idx="716">
                  <c:v>43709</c:v>
                </c:pt>
                <c:pt idx="717">
                  <c:v>43739</c:v>
                </c:pt>
                <c:pt idx="718">
                  <c:v>43770</c:v>
                </c:pt>
                <c:pt idx="719">
                  <c:v>43800</c:v>
                </c:pt>
                <c:pt idx="720">
                  <c:v>43831</c:v>
                </c:pt>
                <c:pt idx="721">
                  <c:v>43862</c:v>
                </c:pt>
                <c:pt idx="722">
                  <c:v>43891</c:v>
                </c:pt>
                <c:pt idx="723">
                  <c:v>43922</c:v>
                </c:pt>
                <c:pt idx="724">
                  <c:v>43952</c:v>
                </c:pt>
                <c:pt idx="725">
                  <c:v>43983</c:v>
                </c:pt>
                <c:pt idx="726">
                  <c:v>44013</c:v>
                </c:pt>
                <c:pt idx="727">
                  <c:v>44044</c:v>
                </c:pt>
                <c:pt idx="728">
                  <c:v>44075</c:v>
                </c:pt>
                <c:pt idx="729">
                  <c:v>44105</c:v>
                </c:pt>
                <c:pt idx="730">
                  <c:v>44136</c:v>
                </c:pt>
                <c:pt idx="731">
                  <c:v>44166</c:v>
                </c:pt>
                <c:pt idx="732">
                  <c:v>44197</c:v>
                </c:pt>
                <c:pt idx="733">
                  <c:v>44228</c:v>
                </c:pt>
                <c:pt idx="734">
                  <c:v>44256</c:v>
                </c:pt>
                <c:pt idx="735">
                  <c:v>44287</c:v>
                </c:pt>
                <c:pt idx="736">
                  <c:v>44317</c:v>
                </c:pt>
                <c:pt idx="737">
                  <c:v>44348</c:v>
                </c:pt>
                <c:pt idx="738">
                  <c:v>44378</c:v>
                </c:pt>
                <c:pt idx="739">
                  <c:v>44409</c:v>
                </c:pt>
                <c:pt idx="740">
                  <c:v>44440</c:v>
                </c:pt>
                <c:pt idx="741">
                  <c:v>44470</c:v>
                </c:pt>
                <c:pt idx="742">
                  <c:v>44501</c:v>
                </c:pt>
                <c:pt idx="743">
                  <c:v>44531</c:v>
                </c:pt>
              </c:numCache>
            </c:numRef>
          </c:cat>
          <c:val>
            <c:numRef>
              <c:f>Started!$B$7:$B$750</c:f>
              <c:numCache>
                <c:formatCode>General</c:formatCode>
                <c:ptCount val="744"/>
                <c:pt idx="0">
                  <c:v>1460</c:v>
                </c:pt>
                <c:pt idx="1">
                  <c:v>1503</c:v>
                </c:pt>
                <c:pt idx="2">
                  <c:v>1109</c:v>
                </c:pt>
                <c:pt idx="3">
                  <c:v>1289</c:v>
                </c:pt>
                <c:pt idx="4">
                  <c:v>1271</c:v>
                </c:pt>
                <c:pt idx="5">
                  <c:v>1247</c:v>
                </c:pt>
                <c:pt idx="6">
                  <c:v>1197</c:v>
                </c:pt>
                <c:pt idx="7">
                  <c:v>1344</c:v>
                </c:pt>
                <c:pt idx="8">
                  <c:v>1097</c:v>
                </c:pt>
                <c:pt idx="9">
                  <c:v>1246</c:v>
                </c:pt>
                <c:pt idx="10">
                  <c:v>1246</c:v>
                </c:pt>
                <c:pt idx="11">
                  <c:v>1063</c:v>
                </c:pt>
                <c:pt idx="12">
                  <c:v>1183</c:v>
                </c:pt>
                <c:pt idx="13">
                  <c:v>1226</c:v>
                </c:pt>
                <c:pt idx="14">
                  <c:v>1312</c:v>
                </c:pt>
                <c:pt idx="15">
                  <c:v>1166</c:v>
                </c:pt>
                <c:pt idx="16">
                  <c:v>1228</c:v>
                </c:pt>
                <c:pt idx="17">
                  <c:v>1382</c:v>
                </c:pt>
                <c:pt idx="18">
                  <c:v>1335</c:v>
                </c:pt>
                <c:pt idx="19">
                  <c:v>1312</c:v>
                </c:pt>
                <c:pt idx="20">
                  <c:v>1429</c:v>
                </c:pt>
                <c:pt idx="21">
                  <c:v>1415</c:v>
                </c:pt>
                <c:pt idx="22">
                  <c:v>1385</c:v>
                </c:pt>
                <c:pt idx="23">
                  <c:v>1365</c:v>
                </c:pt>
                <c:pt idx="24">
                  <c:v>1361</c:v>
                </c:pt>
                <c:pt idx="25">
                  <c:v>1278</c:v>
                </c:pt>
                <c:pt idx="26">
                  <c:v>1443</c:v>
                </c:pt>
                <c:pt idx="27">
                  <c:v>1524</c:v>
                </c:pt>
                <c:pt idx="28">
                  <c:v>1483</c:v>
                </c:pt>
                <c:pt idx="29">
                  <c:v>1404</c:v>
                </c:pt>
                <c:pt idx="30">
                  <c:v>1450</c:v>
                </c:pt>
                <c:pt idx="31">
                  <c:v>1517</c:v>
                </c:pt>
                <c:pt idx="32">
                  <c:v>1324</c:v>
                </c:pt>
                <c:pt idx="33">
                  <c:v>1533</c:v>
                </c:pt>
                <c:pt idx="34">
                  <c:v>1622</c:v>
                </c:pt>
                <c:pt idx="35">
                  <c:v>1564</c:v>
                </c:pt>
                <c:pt idx="36">
                  <c:v>1244</c:v>
                </c:pt>
                <c:pt idx="37">
                  <c:v>1456</c:v>
                </c:pt>
                <c:pt idx="38">
                  <c:v>1534</c:v>
                </c:pt>
                <c:pt idx="39">
                  <c:v>1689</c:v>
                </c:pt>
                <c:pt idx="40">
                  <c:v>1641</c:v>
                </c:pt>
                <c:pt idx="41">
                  <c:v>1588</c:v>
                </c:pt>
                <c:pt idx="42">
                  <c:v>1614</c:v>
                </c:pt>
                <c:pt idx="43">
                  <c:v>1639</c:v>
                </c:pt>
                <c:pt idx="44">
                  <c:v>1763</c:v>
                </c:pt>
                <c:pt idx="45">
                  <c:v>1779</c:v>
                </c:pt>
                <c:pt idx="46">
                  <c:v>1622</c:v>
                </c:pt>
                <c:pt idx="47">
                  <c:v>1491</c:v>
                </c:pt>
                <c:pt idx="48">
                  <c:v>1603</c:v>
                </c:pt>
                <c:pt idx="49">
                  <c:v>1820</c:v>
                </c:pt>
                <c:pt idx="50">
                  <c:v>1517</c:v>
                </c:pt>
                <c:pt idx="51">
                  <c:v>1448</c:v>
                </c:pt>
                <c:pt idx="52">
                  <c:v>1467</c:v>
                </c:pt>
                <c:pt idx="53">
                  <c:v>1550</c:v>
                </c:pt>
                <c:pt idx="54">
                  <c:v>1562</c:v>
                </c:pt>
                <c:pt idx="55">
                  <c:v>1569</c:v>
                </c:pt>
                <c:pt idx="56">
                  <c:v>1455</c:v>
                </c:pt>
                <c:pt idx="57">
                  <c:v>1524</c:v>
                </c:pt>
                <c:pt idx="58">
                  <c:v>1486</c:v>
                </c:pt>
                <c:pt idx="59">
                  <c:v>1484</c:v>
                </c:pt>
                <c:pt idx="60">
                  <c:v>1361</c:v>
                </c:pt>
                <c:pt idx="61">
                  <c:v>1433</c:v>
                </c:pt>
                <c:pt idx="62">
                  <c:v>1423</c:v>
                </c:pt>
                <c:pt idx="63">
                  <c:v>1438</c:v>
                </c:pt>
                <c:pt idx="64">
                  <c:v>1478</c:v>
                </c:pt>
                <c:pt idx="65">
                  <c:v>1488</c:v>
                </c:pt>
                <c:pt idx="66">
                  <c:v>1529</c:v>
                </c:pt>
                <c:pt idx="67">
                  <c:v>1432</c:v>
                </c:pt>
                <c:pt idx="68">
                  <c:v>1482</c:v>
                </c:pt>
                <c:pt idx="69">
                  <c:v>1452</c:v>
                </c:pt>
                <c:pt idx="70">
                  <c:v>1460</c:v>
                </c:pt>
                <c:pt idx="71">
                  <c:v>1656</c:v>
                </c:pt>
                <c:pt idx="72">
                  <c:v>1370</c:v>
                </c:pt>
                <c:pt idx="73">
                  <c:v>1378</c:v>
                </c:pt>
                <c:pt idx="74">
                  <c:v>1394</c:v>
                </c:pt>
                <c:pt idx="75">
                  <c:v>1352</c:v>
                </c:pt>
                <c:pt idx="76">
                  <c:v>1265</c:v>
                </c:pt>
                <c:pt idx="77">
                  <c:v>1194</c:v>
                </c:pt>
                <c:pt idx="78">
                  <c:v>1086</c:v>
                </c:pt>
                <c:pt idx="79">
                  <c:v>1119</c:v>
                </c:pt>
                <c:pt idx="80">
                  <c:v>1046</c:v>
                </c:pt>
                <c:pt idx="81">
                  <c:v>843</c:v>
                </c:pt>
                <c:pt idx="82">
                  <c:v>961</c:v>
                </c:pt>
                <c:pt idx="83">
                  <c:v>990</c:v>
                </c:pt>
                <c:pt idx="84">
                  <c:v>1067</c:v>
                </c:pt>
                <c:pt idx="85">
                  <c:v>1123</c:v>
                </c:pt>
                <c:pt idx="86">
                  <c:v>1056</c:v>
                </c:pt>
                <c:pt idx="87">
                  <c:v>1091</c:v>
                </c:pt>
                <c:pt idx="88">
                  <c:v>1304</c:v>
                </c:pt>
                <c:pt idx="89">
                  <c:v>1248</c:v>
                </c:pt>
                <c:pt idx="90">
                  <c:v>1364</c:v>
                </c:pt>
                <c:pt idx="91">
                  <c:v>1407</c:v>
                </c:pt>
                <c:pt idx="92">
                  <c:v>1421</c:v>
                </c:pt>
                <c:pt idx="93">
                  <c:v>1491</c:v>
                </c:pt>
                <c:pt idx="94">
                  <c:v>1538</c:v>
                </c:pt>
                <c:pt idx="95">
                  <c:v>1308</c:v>
                </c:pt>
                <c:pt idx="96">
                  <c:v>1380</c:v>
                </c:pt>
                <c:pt idx="97">
                  <c:v>1520</c:v>
                </c:pt>
                <c:pt idx="98">
                  <c:v>1466</c:v>
                </c:pt>
                <c:pt idx="99">
                  <c:v>1554</c:v>
                </c:pt>
                <c:pt idx="100">
                  <c:v>1408</c:v>
                </c:pt>
                <c:pt idx="101">
                  <c:v>1405</c:v>
                </c:pt>
                <c:pt idx="102">
                  <c:v>1512</c:v>
                </c:pt>
                <c:pt idx="103">
                  <c:v>1495</c:v>
                </c:pt>
                <c:pt idx="104">
                  <c:v>1556</c:v>
                </c:pt>
                <c:pt idx="105">
                  <c:v>1569</c:v>
                </c:pt>
                <c:pt idx="106">
                  <c:v>1630</c:v>
                </c:pt>
                <c:pt idx="107">
                  <c:v>1548</c:v>
                </c:pt>
                <c:pt idx="108">
                  <c:v>1769</c:v>
                </c:pt>
                <c:pt idx="109">
                  <c:v>1705</c:v>
                </c:pt>
                <c:pt idx="110">
                  <c:v>1561</c:v>
                </c:pt>
                <c:pt idx="111">
                  <c:v>1524</c:v>
                </c:pt>
                <c:pt idx="112">
                  <c:v>1583</c:v>
                </c:pt>
                <c:pt idx="113">
                  <c:v>1528</c:v>
                </c:pt>
                <c:pt idx="114">
                  <c:v>1368</c:v>
                </c:pt>
                <c:pt idx="115">
                  <c:v>1358</c:v>
                </c:pt>
                <c:pt idx="116">
                  <c:v>1507</c:v>
                </c:pt>
                <c:pt idx="117">
                  <c:v>1381</c:v>
                </c:pt>
                <c:pt idx="118">
                  <c:v>1229</c:v>
                </c:pt>
                <c:pt idx="119">
                  <c:v>1327</c:v>
                </c:pt>
                <c:pt idx="120">
                  <c:v>1085</c:v>
                </c:pt>
                <c:pt idx="121">
                  <c:v>1305</c:v>
                </c:pt>
                <c:pt idx="122">
                  <c:v>1319</c:v>
                </c:pt>
                <c:pt idx="123">
                  <c:v>1264</c:v>
                </c:pt>
                <c:pt idx="124">
                  <c:v>1290</c:v>
                </c:pt>
                <c:pt idx="125">
                  <c:v>1385</c:v>
                </c:pt>
                <c:pt idx="126">
                  <c:v>1517</c:v>
                </c:pt>
                <c:pt idx="127">
                  <c:v>1399</c:v>
                </c:pt>
                <c:pt idx="128">
                  <c:v>1534</c:v>
                </c:pt>
                <c:pt idx="129">
                  <c:v>1580</c:v>
                </c:pt>
                <c:pt idx="130">
                  <c:v>1647</c:v>
                </c:pt>
                <c:pt idx="131">
                  <c:v>1893</c:v>
                </c:pt>
                <c:pt idx="132">
                  <c:v>1828</c:v>
                </c:pt>
                <c:pt idx="133">
                  <c:v>1741</c:v>
                </c:pt>
                <c:pt idx="134">
                  <c:v>1910</c:v>
                </c:pt>
                <c:pt idx="135">
                  <c:v>1986</c:v>
                </c:pt>
                <c:pt idx="136">
                  <c:v>2049</c:v>
                </c:pt>
                <c:pt idx="137">
                  <c:v>2026</c:v>
                </c:pt>
                <c:pt idx="138">
                  <c:v>2083</c:v>
                </c:pt>
                <c:pt idx="139">
                  <c:v>2158</c:v>
                </c:pt>
                <c:pt idx="140">
                  <c:v>2041</c:v>
                </c:pt>
                <c:pt idx="141">
                  <c:v>2128</c:v>
                </c:pt>
                <c:pt idx="142">
                  <c:v>2182</c:v>
                </c:pt>
                <c:pt idx="143">
                  <c:v>2295</c:v>
                </c:pt>
                <c:pt idx="144">
                  <c:v>2494</c:v>
                </c:pt>
                <c:pt idx="145">
                  <c:v>2390</c:v>
                </c:pt>
                <c:pt idx="146">
                  <c:v>2334</c:v>
                </c:pt>
                <c:pt idx="147">
                  <c:v>2249</c:v>
                </c:pt>
                <c:pt idx="148">
                  <c:v>2221</c:v>
                </c:pt>
                <c:pt idx="149">
                  <c:v>2254</c:v>
                </c:pt>
                <c:pt idx="150">
                  <c:v>2252</c:v>
                </c:pt>
                <c:pt idx="151">
                  <c:v>2382</c:v>
                </c:pt>
                <c:pt idx="152">
                  <c:v>2481</c:v>
                </c:pt>
                <c:pt idx="153">
                  <c:v>2485</c:v>
                </c:pt>
                <c:pt idx="154">
                  <c:v>2421</c:v>
                </c:pt>
                <c:pt idx="155">
                  <c:v>2366</c:v>
                </c:pt>
                <c:pt idx="156">
                  <c:v>2481</c:v>
                </c:pt>
                <c:pt idx="157">
                  <c:v>2289</c:v>
                </c:pt>
                <c:pt idx="158">
                  <c:v>2365</c:v>
                </c:pt>
                <c:pt idx="159">
                  <c:v>2084</c:v>
                </c:pt>
                <c:pt idx="160">
                  <c:v>2266</c:v>
                </c:pt>
                <c:pt idx="161">
                  <c:v>2067</c:v>
                </c:pt>
                <c:pt idx="162">
                  <c:v>2123</c:v>
                </c:pt>
                <c:pt idx="163">
                  <c:v>2051</c:v>
                </c:pt>
                <c:pt idx="164">
                  <c:v>1874</c:v>
                </c:pt>
                <c:pt idx="165">
                  <c:v>1677</c:v>
                </c:pt>
                <c:pt idx="166">
                  <c:v>1724</c:v>
                </c:pt>
                <c:pt idx="167">
                  <c:v>1526</c:v>
                </c:pt>
                <c:pt idx="168">
                  <c:v>1451</c:v>
                </c:pt>
                <c:pt idx="169">
                  <c:v>1752</c:v>
                </c:pt>
                <c:pt idx="170">
                  <c:v>1555</c:v>
                </c:pt>
                <c:pt idx="171">
                  <c:v>1607</c:v>
                </c:pt>
                <c:pt idx="172">
                  <c:v>1426</c:v>
                </c:pt>
                <c:pt idx="173">
                  <c:v>1513</c:v>
                </c:pt>
                <c:pt idx="174">
                  <c:v>1316</c:v>
                </c:pt>
                <c:pt idx="175">
                  <c:v>1142</c:v>
                </c:pt>
                <c:pt idx="176">
                  <c:v>1150</c:v>
                </c:pt>
                <c:pt idx="177">
                  <c:v>1070</c:v>
                </c:pt>
                <c:pt idx="178">
                  <c:v>1026</c:v>
                </c:pt>
                <c:pt idx="179">
                  <c:v>975</c:v>
                </c:pt>
                <c:pt idx="180">
                  <c:v>1032</c:v>
                </c:pt>
                <c:pt idx="181">
                  <c:v>904</c:v>
                </c:pt>
                <c:pt idx="182">
                  <c:v>993</c:v>
                </c:pt>
                <c:pt idx="183">
                  <c:v>1005</c:v>
                </c:pt>
                <c:pt idx="184">
                  <c:v>1121</c:v>
                </c:pt>
                <c:pt idx="185">
                  <c:v>1087</c:v>
                </c:pt>
                <c:pt idx="186">
                  <c:v>1226</c:v>
                </c:pt>
                <c:pt idx="187">
                  <c:v>1260</c:v>
                </c:pt>
                <c:pt idx="188">
                  <c:v>1264</c:v>
                </c:pt>
                <c:pt idx="189">
                  <c:v>1344</c:v>
                </c:pt>
                <c:pt idx="190">
                  <c:v>1360</c:v>
                </c:pt>
                <c:pt idx="191">
                  <c:v>1321</c:v>
                </c:pt>
                <c:pt idx="192">
                  <c:v>1367</c:v>
                </c:pt>
                <c:pt idx="193">
                  <c:v>1538</c:v>
                </c:pt>
                <c:pt idx="194">
                  <c:v>1421</c:v>
                </c:pt>
                <c:pt idx="195">
                  <c:v>1395</c:v>
                </c:pt>
                <c:pt idx="196">
                  <c:v>1459</c:v>
                </c:pt>
                <c:pt idx="197">
                  <c:v>1495</c:v>
                </c:pt>
                <c:pt idx="198">
                  <c:v>1401</c:v>
                </c:pt>
                <c:pt idx="199">
                  <c:v>1550</c:v>
                </c:pt>
                <c:pt idx="200">
                  <c:v>1720</c:v>
                </c:pt>
                <c:pt idx="201">
                  <c:v>1629</c:v>
                </c:pt>
                <c:pt idx="202">
                  <c:v>1641</c:v>
                </c:pt>
                <c:pt idx="203">
                  <c:v>1804</c:v>
                </c:pt>
                <c:pt idx="204">
                  <c:v>1527</c:v>
                </c:pt>
                <c:pt idx="205">
                  <c:v>1943</c:v>
                </c:pt>
                <c:pt idx="206">
                  <c:v>2063</c:v>
                </c:pt>
                <c:pt idx="207">
                  <c:v>1892</c:v>
                </c:pt>
                <c:pt idx="208">
                  <c:v>1971</c:v>
                </c:pt>
                <c:pt idx="209">
                  <c:v>1893</c:v>
                </c:pt>
                <c:pt idx="210">
                  <c:v>2058</c:v>
                </c:pt>
                <c:pt idx="211">
                  <c:v>2020</c:v>
                </c:pt>
                <c:pt idx="212">
                  <c:v>1949</c:v>
                </c:pt>
                <c:pt idx="213">
                  <c:v>2042</c:v>
                </c:pt>
                <c:pt idx="214">
                  <c:v>2042</c:v>
                </c:pt>
                <c:pt idx="215">
                  <c:v>2142</c:v>
                </c:pt>
                <c:pt idx="216">
                  <c:v>1718</c:v>
                </c:pt>
                <c:pt idx="217">
                  <c:v>1738</c:v>
                </c:pt>
                <c:pt idx="218">
                  <c:v>2032</c:v>
                </c:pt>
                <c:pt idx="219">
                  <c:v>2197</c:v>
                </c:pt>
                <c:pt idx="220">
                  <c:v>2075</c:v>
                </c:pt>
                <c:pt idx="221">
                  <c:v>2070</c:v>
                </c:pt>
                <c:pt idx="222">
                  <c:v>2092</c:v>
                </c:pt>
                <c:pt idx="223">
                  <c:v>1996</c:v>
                </c:pt>
                <c:pt idx="224">
                  <c:v>1970</c:v>
                </c:pt>
                <c:pt idx="225">
                  <c:v>1981</c:v>
                </c:pt>
                <c:pt idx="226">
                  <c:v>2094</c:v>
                </c:pt>
                <c:pt idx="227">
                  <c:v>2044</c:v>
                </c:pt>
                <c:pt idx="228">
                  <c:v>1630</c:v>
                </c:pt>
                <c:pt idx="229">
                  <c:v>1520</c:v>
                </c:pt>
                <c:pt idx="230">
                  <c:v>1847</c:v>
                </c:pt>
                <c:pt idx="231">
                  <c:v>1748</c:v>
                </c:pt>
                <c:pt idx="232">
                  <c:v>1876</c:v>
                </c:pt>
                <c:pt idx="233">
                  <c:v>1913</c:v>
                </c:pt>
                <c:pt idx="234">
                  <c:v>1760</c:v>
                </c:pt>
                <c:pt idx="235">
                  <c:v>1778</c:v>
                </c:pt>
                <c:pt idx="236">
                  <c:v>1832</c:v>
                </c:pt>
                <c:pt idx="237">
                  <c:v>1681</c:v>
                </c:pt>
                <c:pt idx="238">
                  <c:v>1524</c:v>
                </c:pt>
                <c:pt idx="239">
                  <c:v>1498</c:v>
                </c:pt>
                <c:pt idx="240">
                  <c:v>1341</c:v>
                </c:pt>
                <c:pt idx="241">
                  <c:v>1350</c:v>
                </c:pt>
                <c:pt idx="242">
                  <c:v>1047</c:v>
                </c:pt>
                <c:pt idx="243">
                  <c:v>1051</c:v>
                </c:pt>
                <c:pt idx="244">
                  <c:v>927</c:v>
                </c:pt>
                <c:pt idx="245">
                  <c:v>1196</c:v>
                </c:pt>
                <c:pt idx="246">
                  <c:v>1269</c:v>
                </c:pt>
                <c:pt idx="247">
                  <c:v>1436</c:v>
                </c:pt>
                <c:pt idx="248">
                  <c:v>1471</c:v>
                </c:pt>
                <c:pt idx="249">
                  <c:v>1523</c:v>
                </c:pt>
                <c:pt idx="250">
                  <c:v>1510</c:v>
                </c:pt>
                <c:pt idx="251">
                  <c:v>1482</c:v>
                </c:pt>
                <c:pt idx="252">
                  <c:v>1547</c:v>
                </c:pt>
                <c:pt idx="253">
                  <c:v>1246</c:v>
                </c:pt>
                <c:pt idx="254">
                  <c:v>1306</c:v>
                </c:pt>
                <c:pt idx="255">
                  <c:v>1360</c:v>
                </c:pt>
                <c:pt idx="256">
                  <c:v>1140</c:v>
                </c:pt>
                <c:pt idx="257">
                  <c:v>1045</c:v>
                </c:pt>
                <c:pt idx="258">
                  <c:v>1041</c:v>
                </c:pt>
                <c:pt idx="259">
                  <c:v>940</c:v>
                </c:pt>
                <c:pt idx="260">
                  <c:v>911</c:v>
                </c:pt>
                <c:pt idx="261">
                  <c:v>873</c:v>
                </c:pt>
                <c:pt idx="262">
                  <c:v>837</c:v>
                </c:pt>
                <c:pt idx="263">
                  <c:v>910</c:v>
                </c:pt>
                <c:pt idx="264">
                  <c:v>843</c:v>
                </c:pt>
                <c:pt idx="265">
                  <c:v>866</c:v>
                </c:pt>
                <c:pt idx="266">
                  <c:v>931</c:v>
                </c:pt>
                <c:pt idx="267">
                  <c:v>917</c:v>
                </c:pt>
                <c:pt idx="268">
                  <c:v>1025</c:v>
                </c:pt>
                <c:pt idx="269">
                  <c:v>902</c:v>
                </c:pt>
                <c:pt idx="270">
                  <c:v>1166</c:v>
                </c:pt>
                <c:pt idx="271">
                  <c:v>1046</c:v>
                </c:pt>
                <c:pt idx="272">
                  <c:v>1144</c:v>
                </c:pt>
                <c:pt idx="273">
                  <c:v>1173</c:v>
                </c:pt>
                <c:pt idx="274">
                  <c:v>1372</c:v>
                </c:pt>
                <c:pt idx="275">
                  <c:v>1303</c:v>
                </c:pt>
                <c:pt idx="276">
                  <c:v>1586</c:v>
                </c:pt>
                <c:pt idx="277">
                  <c:v>1699</c:v>
                </c:pt>
                <c:pt idx="278">
                  <c:v>1606</c:v>
                </c:pt>
                <c:pt idx="279">
                  <c:v>1472</c:v>
                </c:pt>
                <c:pt idx="280">
                  <c:v>1776</c:v>
                </c:pt>
                <c:pt idx="281">
                  <c:v>1733</c:v>
                </c:pt>
                <c:pt idx="282">
                  <c:v>1785</c:v>
                </c:pt>
                <c:pt idx="283">
                  <c:v>1910</c:v>
                </c:pt>
                <c:pt idx="284">
                  <c:v>1710</c:v>
                </c:pt>
                <c:pt idx="285">
                  <c:v>1715</c:v>
                </c:pt>
                <c:pt idx="286">
                  <c:v>1785</c:v>
                </c:pt>
                <c:pt idx="287">
                  <c:v>1688</c:v>
                </c:pt>
                <c:pt idx="288">
                  <c:v>1897</c:v>
                </c:pt>
                <c:pt idx="289">
                  <c:v>2260</c:v>
                </c:pt>
                <c:pt idx="290">
                  <c:v>1663</c:v>
                </c:pt>
                <c:pt idx="291">
                  <c:v>1851</c:v>
                </c:pt>
                <c:pt idx="292">
                  <c:v>1774</c:v>
                </c:pt>
                <c:pt idx="293">
                  <c:v>1843</c:v>
                </c:pt>
                <c:pt idx="294">
                  <c:v>1732</c:v>
                </c:pt>
                <c:pt idx="295">
                  <c:v>1586</c:v>
                </c:pt>
                <c:pt idx="296">
                  <c:v>1698</c:v>
                </c:pt>
                <c:pt idx="297">
                  <c:v>1590</c:v>
                </c:pt>
                <c:pt idx="298">
                  <c:v>1689</c:v>
                </c:pt>
                <c:pt idx="299">
                  <c:v>1612</c:v>
                </c:pt>
                <c:pt idx="300">
                  <c:v>1711</c:v>
                </c:pt>
                <c:pt idx="301">
                  <c:v>1632</c:v>
                </c:pt>
                <c:pt idx="302">
                  <c:v>1800</c:v>
                </c:pt>
                <c:pt idx="303">
                  <c:v>1821</c:v>
                </c:pt>
                <c:pt idx="304">
                  <c:v>1680</c:v>
                </c:pt>
                <c:pt idx="305">
                  <c:v>1676</c:v>
                </c:pt>
                <c:pt idx="306">
                  <c:v>1684</c:v>
                </c:pt>
                <c:pt idx="307">
                  <c:v>1743</c:v>
                </c:pt>
                <c:pt idx="308">
                  <c:v>1676</c:v>
                </c:pt>
                <c:pt idx="309">
                  <c:v>1834</c:v>
                </c:pt>
                <c:pt idx="310">
                  <c:v>1698</c:v>
                </c:pt>
                <c:pt idx="311">
                  <c:v>1942</c:v>
                </c:pt>
                <c:pt idx="312">
                  <c:v>1972</c:v>
                </c:pt>
                <c:pt idx="313">
                  <c:v>1848</c:v>
                </c:pt>
                <c:pt idx="314">
                  <c:v>1876</c:v>
                </c:pt>
                <c:pt idx="315">
                  <c:v>1933</c:v>
                </c:pt>
                <c:pt idx="316">
                  <c:v>1854</c:v>
                </c:pt>
                <c:pt idx="317">
                  <c:v>1847</c:v>
                </c:pt>
                <c:pt idx="318">
                  <c:v>1782</c:v>
                </c:pt>
                <c:pt idx="319">
                  <c:v>1807</c:v>
                </c:pt>
                <c:pt idx="320">
                  <c:v>1687</c:v>
                </c:pt>
                <c:pt idx="321">
                  <c:v>1681</c:v>
                </c:pt>
                <c:pt idx="322">
                  <c:v>1623</c:v>
                </c:pt>
                <c:pt idx="323">
                  <c:v>1833</c:v>
                </c:pt>
                <c:pt idx="324">
                  <c:v>1774</c:v>
                </c:pt>
                <c:pt idx="325">
                  <c:v>1784</c:v>
                </c:pt>
                <c:pt idx="326">
                  <c:v>1726</c:v>
                </c:pt>
                <c:pt idx="327">
                  <c:v>1614</c:v>
                </c:pt>
                <c:pt idx="328">
                  <c:v>1628</c:v>
                </c:pt>
                <c:pt idx="329">
                  <c:v>1594</c:v>
                </c:pt>
                <c:pt idx="330">
                  <c:v>1575</c:v>
                </c:pt>
                <c:pt idx="331">
                  <c:v>1605</c:v>
                </c:pt>
                <c:pt idx="332">
                  <c:v>1695</c:v>
                </c:pt>
                <c:pt idx="333">
                  <c:v>1515</c:v>
                </c:pt>
                <c:pt idx="334">
                  <c:v>1656</c:v>
                </c:pt>
                <c:pt idx="335">
                  <c:v>1400</c:v>
                </c:pt>
                <c:pt idx="336">
                  <c:v>1271</c:v>
                </c:pt>
                <c:pt idx="337">
                  <c:v>1473</c:v>
                </c:pt>
                <c:pt idx="338">
                  <c:v>1532</c:v>
                </c:pt>
                <c:pt idx="339">
                  <c:v>1573</c:v>
                </c:pt>
                <c:pt idx="340">
                  <c:v>1421</c:v>
                </c:pt>
                <c:pt idx="341">
                  <c:v>1478</c:v>
                </c:pt>
                <c:pt idx="342">
                  <c:v>1467</c:v>
                </c:pt>
                <c:pt idx="343">
                  <c:v>1493</c:v>
                </c:pt>
                <c:pt idx="344">
                  <c:v>1492</c:v>
                </c:pt>
                <c:pt idx="345">
                  <c:v>1522</c:v>
                </c:pt>
                <c:pt idx="346">
                  <c:v>1569</c:v>
                </c:pt>
                <c:pt idx="347">
                  <c:v>1563</c:v>
                </c:pt>
                <c:pt idx="348">
                  <c:v>1621</c:v>
                </c:pt>
                <c:pt idx="349">
                  <c:v>1425</c:v>
                </c:pt>
                <c:pt idx="350">
                  <c:v>1422</c:v>
                </c:pt>
                <c:pt idx="351">
                  <c:v>1339</c:v>
                </c:pt>
                <c:pt idx="352">
                  <c:v>1331</c:v>
                </c:pt>
                <c:pt idx="353">
                  <c:v>1397</c:v>
                </c:pt>
                <c:pt idx="354">
                  <c:v>1427</c:v>
                </c:pt>
                <c:pt idx="355">
                  <c:v>1332</c:v>
                </c:pt>
                <c:pt idx="356">
                  <c:v>1279</c:v>
                </c:pt>
                <c:pt idx="357">
                  <c:v>1410</c:v>
                </c:pt>
                <c:pt idx="358">
                  <c:v>1351</c:v>
                </c:pt>
                <c:pt idx="359">
                  <c:v>1251</c:v>
                </c:pt>
                <c:pt idx="360">
                  <c:v>1551</c:v>
                </c:pt>
                <c:pt idx="361">
                  <c:v>1437</c:v>
                </c:pt>
                <c:pt idx="362">
                  <c:v>1289</c:v>
                </c:pt>
                <c:pt idx="363">
                  <c:v>1248</c:v>
                </c:pt>
                <c:pt idx="364">
                  <c:v>1212</c:v>
                </c:pt>
                <c:pt idx="365">
                  <c:v>1177</c:v>
                </c:pt>
                <c:pt idx="366">
                  <c:v>1171</c:v>
                </c:pt>
                <c:pt idx="367">
                  <c:v>1115</c:v>
                </c:pt>
                <c:pt idx="368">
                  <c:v>1110</c:v>
                </c:pt>
                <c:pt idx="369">
                  <c:v>1014</c:v>
                </c:pt>
                <c:pt idx="370">
                  <c:v>1145</c:v>
                </c:pt>
                <c:pt idx="371">
                  <c:v>969</c:v>
                </c:pt>
                <c:pt idx="372">
                  <c:v>798</c:v>
                </c:pt>
                <c:pt idx="373">
                  <c:v>965</c:v>
                </c:pt>
                <c:pt idx="374">
                  <c:v>921</c:v>
                </c:pt>
                <c:pt idx="375">
                  <c:v>1001</c:v>
                </c:pt>
                <c:pt idx="376">
                  <c:v>996</c:v>
                </c:pt>
                <c:pt idx="377">
                  <c:v>1036</c:v>
                </c:pt>
                <c:pt idx="378">
                  <c:v>1063</c:v>
                </c:pt>
                <c:pt idx="379">
                  <c:v>1049</c:v>
                </c:pt>
                <c:pt idx="380">
                  <c:v>1015</c:v>
                </c:pt>
                <c:pt idx="381">
                  <c:v>1079</c:v>
                </c:pt>
                <c:pt idx="382">
                  <c:v>1103</c:v>
                </c:pt>
                <c:pt idx="383">
                  <c:v>1079</c:v>
                </c:pt>
                <c:pt idx="384">
                  <c:v>1176</c:v>
                </c:pt>
                <c:pt idx="385">
                  <c:v>1250</c:v>
                </c:pt>
                <c:pt idx="386">
                  <c:v>1297</c:v>
                </c:pt>
                <c:pt idx="387">
                  <c:v>1099</c:v>
                </c:pt>
                <c:pt idx="388">
                  <c:v>1214</c:v>
                </c:pt>
                <c:pt idx="389">
                  <c:v>1145</c:v>
                </c:pt>
                <c:pt idx="390">
                  <c:v>1139</c:v>
                </c:pt>
                <c:pt idx="391">
                  <c:v>1226</c:v>
                </c:pt>
                <c:pt idx="392">
                  <c:v>1186</c:v>
                </c:pt>
                <c:pt idx="393">
                  <c:v>1244</c:v>
                </c:pt>
                <c:pt idx="394">
                  <c:v>1214</c:v>
                </c:pt>
                <c:pt idx="395">
                  <c:v>1227</c:v>
                </c:pt>
                <c:pt idx="396">
                  <c:v>1210</c:v>
                </c:pt>
                <c:pt idx="397">
                  <c:v>1210</c:v>
                </c:pt>
                <c:pt idx="398">
                  <c:v>1083</c:v>
                </c:pt>
                <c:pt idx="399">
                  <c:v>1258</c:v>
                </c:pt>
                <c:pt idx="400">
                  <c:v>1260</c:v>
                </c:pt>
                <c:pt idx="401">
                  <c:v>1280</c:v>
                </c:pt>
                <c:pt idx="402">
                  <c:v>1254</c:v>
                </c:pt>
                <c:pt idx="403">
                  <c:v>1300</c:v>
                </c:pt>
                <c:pt idx="404">
                  <c:v>1343</c:v>
                </c:pt>
                <c:pt idx="405">
                  <c:v>1392</c:v>
                </c:pt>
                <c:pt idx="406">
                  <c:v>1376</c:v>
                </c:pt>
                <c:pt idx="407">
                  <c:v>1533</c:v>
                </c:pt>
                <c:pt idx="408">
                  <c:v>1272</c:v>
                </c:pt>
                <c:pt idx="409">
                  <c:v>1337</c:v>
                </c:pt>
                <c:pt idx="410">
                  <c:v>1564</c:v>
                </c:pt>
                <c:pt idx="411">
                  <c:v>1465</c:v>
                </c:pt>
                <c:pt idx="412">
                  <c:v>1526</c:v>
                </c:pt>
                <c:pt idx="413">
                  <c:v>1409</c:v>
                </c:pt>
                <c:pt idx="414">
                  <c:v>1439</c:v>
                </c:pt>
                <c:pt idx="415">
                  <c:v>1450</c:v>
                </c:pt>
                <c:pt idx="416">
                  <c:v>1474</c:v>
                </c:pt>
                <c:pt idx="417">
                  <c:v>1450</c:v>
                </c:pt>
                <c:pt idx="418">
                  <c:v>1511</c:v>
                </c:pt>
                <c:pt idx="419">
                  <c:v>1455</c:v>
                </c:pt>
                <c:pt idx="420">
                  <c:v>1407</c:v>
                </c:pt>
                <c:pt idx="421">
                  <c:v>1316</c:v>
                </c:pt>
                <c:pt idx="422">
                  <c:v>1249</c:v>
                </c:pt>
                <c:pt idx="423">
                  <c:v>1267</c:v>
                </c:pt>
                <c:pt idx="424">
                  <c:v>1314</c:v>
                </c:pt>
                <c:pt idx="425">
                  <c:v>1281</c:v>
                </c:pt>
                <c:pt idx="426">
                  <c:v>1461</c:v>
                </c:pt>
                <c:pt idx="427">
                  <c:v>1416</c:v>
                </c:pt>
                <c:pt idx="428">
                  <c:v>1369</c:v>
                </c:pt>
                <c:pt idx="429">
                  <c:v>1369</c:v>
                </c:pt>
                <c:pt idx="430">
                  <c:v>1452</c:v>
                </c:pt>
                <c:pt idx="431">
                  <c:v>1431</c:v>
                </c:pt>
                <c:pt idx="432">
                  <c:v>1467</c:v>
                </c:pt>
                <c:pt idx="433">
                  <c:v>1491</c:v>
                </c:pt>
                <c:pt idx="434">
                  <c:v>1424</c:v>
                </c:pt>
                <c:pt idx="435">
                  <c:v>1516</c:v>
                </c:pt>
                <c:pt idx="436">
                  <c:v>1504</c:v>
                </c:pt>
                <c:pt idx="437">
                  <c:v>1467</c:v>
                </c:pt>
                <c:pt idx="438">
                  <c:v>1472</c:v>
                </c:pt>
                <c:pt idx="439">
                  <c:v>1557</c:v>
                </c:pt>
                <c:pt idx="440">
                  <c:v>1475</c:v>
                </c:pt>
                <c:pt idx="441">
                  <c:v>1392</c:v>
                </c:pt>
                <c:pt idx="442">
                  <c:v>1489</c:v>
                </c:pt>
                <c:pt idx="443">
                  <c:v>1370</c:v>
                </c:pt>
                <c:pt idx="444">
                  <c:v>1355</c:v>
                </c:pt>
                <c:pt idx="445">
                  <c:v>1486</c:v>
                </c:pt>
                <c:pt idx="446">
                  <c:v>1457</c:v>
                </c:pt>
                <c:pt idx="447">
                  <c:v>1492</c:v>
                </c:pt>
                <c:pt idx="448">
                  <c:v>1442</c:v>
                </c:pt>
                <c:pt idx="449">
                  <c:v>1494</c:v>
                </c:pt>
                <c:pt idx="450">
                  <c:v>1437</c:v>
                </c:pt>
                <c:pt idx="451">
                  <c:v>1390</c:v>
                </c:pt>
                <c:pt idx="452">
                  <c:v>1546</c:v>
                </c:pt>
                <c:pt idx="453">
                  <c:v>1520</c:v>
                </c:pt>
                <c:pt idx="454">
                  <c:v>1510</c:v>
                </c:pt>
                <c:pt idx="455">
                  <c:v>1566</c:v>
                </c:pt>
                <c:pt idx="456">
                  <c:v>1525</c:v>
                </c:pt>
                <c:pt idx="457">
                  <c:v>1584</c:v>
                </c:pt>
                <c:pt idx="458">
                  <c:v>1567</c:v>
                </c:pt>
                <c:pt idx="459">
                  <c:v>1540</c:v>
                </c:pt>
                <c:pt idx="460">
                  <c:v>1536</c:v>
                </c:pt>
                <c:pt idx="461">
                  <c:v>1641</c:v>
                </c:pt>
                <c:pt idx="462">
                  <c:v>1698</c:v>
                </c:pt>
                <c:pt idx="463">
                  <c:v>1614</c:v>
                </c:pt>
                <c:pt idx="464">
                  <c:v>1582</c:v>
                </c:pt>
                <c:pt idx="465">
                  <c:v>1715</c:v>
                </c:pt>
                <c:pt idx="466">
                  <c:v>1660</c:v>
                </c:pt>
                <c:pt idx="467">
                  <c:v>1792</c:v>
                </c:pt>
                <c:pt idx="468">
                  <c:v>1748</c:v>
                </c:pt>
                <c:pt idx="469">
                  <c:v>1670</c:v>
                </c:pt>
                <c:pt idx="470">
                  <c:v>1710</c:v>
                </c:pt>
                <c:pt idx="471">
                  <c:v>1553</c:v>
                </c:pt>
                <c:pt idx="472">
                  <c:v>1611</c:v>
                </c:pt>
                <c:pt idx="473">
                  <c:v>1559</c:v>
                </c:pt>
                <c:pt idx="474">
                  <c:v>1669</c:v>
                </c:pt>
                <c:pt idx="475">
                  <c:v>1648</c:v>
                </c:pt>
                <c:pt idx="476">
                  <c:v>1635</c:v>
                </c:pt>
                <c:pt idx="477">
                  <c:v>1608</c:v>
                </c:pt>
                <c:pt idx="478">
                  <c:v>1648</c:v>
                </c:pt>
                <c:pt idx="479">
                  <c:v>1708</c:v>
                </c:pt>
                <c:pt idx="480">
                  <c:v>1636</c:v>
                </c:pt>
                <c:pt idx="481">
                  <c:v>1737</c:v>
                </c:pt>
                <c:pt idx="482">
                  <c:v>1604</c:v>
                </c:pt>
                <c:pt idx="483">
                  <c:v>1626</c:v>
                </c:pt>
                <c:pt idx="484">
                  <c:v>1575</c:v>
                </c:pt>
                <c:pt idx="485">
                  <c:v>1559</c:v>
                </c:pt>
                <c:pt idx="486">
                  <c:v>1463</c:v>
                </c:pt>
                <c:pt idx="487">
                  <c:v>1541</c:v>
                </c:pt>
                <c:pt idx="488">
                  <c:v>1507</c:v>
                </c:pt>
                <c:pt idx="489">
                  <c:v>1549</c:v>
                </c:pt>
                <c:pt idx="490">
                  <c:v>1551</c:v>
                </c:pt>
                <c:pt idx="491">
                  <c:v>1532</c:v>
                </c:pt>
                <c:pt idx="492">
                  <c:v>1600</c:v>
                </c:pt>
                <c:pt idx="493">
                  <c:v>1625</c:v>
                </c:pt>
                <c:pt idx="494">
                  <c:v>1590</c:v>
                </c:pt>
                <c:pt idx="495">
                  <c:v>1649</c:v>
                </c:pt>
                <c:pt idx="496">
                  <c:v>1605</c:v>
                </c:pt>
                <c:pt idx="497">
                  <c:v>1636</c:v>
                </c:pt>
                <c:pt idx="498">
                  <c:v>1670</c:v>
                </c:pt>
                <c:pt idx="499">
                  <c:v>1567</c:v>
                </c:pt>
                <c:pt idx="500">
                  <c:v>1562</c:v>
                </c:pt>
                <c:pt idx="501">
                  <c:v>1540</c:v>
                </c:pt>
                <c:pt idx="502">
                  <c:v>1602</c:v>
                </c:pt>
                <c:pt idx="503">
                  <c:v>1568</c:v>
                </c:pt>
                <c:pt idx="504">
                  <c:v>1698</c:v>
                </c:pt>
                <c:pt idx="505">
                  <c:v>1829</c:v>
                </c:pt>
                <c:pt idx="506">
                  <c:v>1642</c:v>
                </c:pt>
                <c:pt idx="507">
                  <c:v>1592</c:v>
                </c:pt>
                <c:pt idx="508">
                  <c:v>1764</c:v>
                </c:pt>
                <c:pt idx="509">
                  <c:v>1717</c:v>
                </c:pt>
                <c:pt idx="510">
                  <c:v>1655</c:v>
                </c:pt>
                <c:pt idx="511">
                  <c:v>1633</c:v>
                </c:pt>
                <c:pt idx="512">
                  <c:v>1804</c:v>
                </c:pt>
                <c:pt idx="513">
                  <c:v>1648</c:v>
                </c:pt>
                <c:pt idx="514">
                  <c:v>1753</c:v>
                </c:pt>
                <c:pt idx="515">
                  <c:v>1788</c:v>
                </c:pt>
                <c:pt idx="516">
                  <c:v>1853</c:v>
                </c:pt>
                <c:pt idx="517">
                  <c:v>1629</c:v>
                </c:pt>
                <c:pt idx="518">
                  <c:v>1726</c:v>
                </c:pt>
                <c:pt idx="519">
                  <c:v>1643</c:v>
                </c:pt>
                <c:pt idx="520">
                  <c:v>1751</c:v>
                </c:pt>
                <c:pt idx="521">
                  <c:v>1867</c:v>
                </c:pt>
                <c:pt idx="522">
                  <c:v>1897</c:v>
                </c:pt>
                <c:pt idx="523">
                  <c:v>1833</c:v>
                </c:pt>
                <c:pt idx="524">
                  <c:v>1939</c:v>
                </c:pt>
                <c:pt idx="525">
                  <c:v>1967</c:v>
                </c:pt>
                <c:pt idx="526">
                  <c:v>2083</c:v>
                </c:pt>
                <c:pt idx="527">
                  <c:v>2057</c:v>
                </c:pt>
                <c:pt idx="528">
                  <c:v>1911</c:v>
                </c:pt>
                <c:pt idx="529">
                  <c:v>1846</c:v>
                </c:pt>
                <c:pt idx="530">
                  <c:v>1998</c:v>
                </c:pt>
                <c:pt idx="531">
                  <c:v>2003</c:v>
                </c:pt>
                <c:pt idx="532">
                  <c:v>1981</c:v>
                </c:pt>
                <c:pt idx="533">
                  <c:v>1828</c:v>
                </c:pt>
                <c:pt idx="534">
                  <c:v>2002</c:v>
                </c:pt>
                <c:pt idx="535">
                  <c:v>2024</c:v>
                </c:pt>
                <c:pt idx="536">
                  <c:v>1905</c:v>
                </c:pt>
                <c:pt idx="537">
                  <c:v>2072</c:v>
                </c:pt>
                <c:pt idx="538">
                  <c:v>1782</c:v>
                </c:pt>
                <c:pt idx="539">
                  <c:v>2042</c:v>
                </c:pt>
                <c:pt idx="540">
                  <c:v>2144</c:v>
                </c:pt>
                <c:pt idx="541">
                  <c:v>2207</c:v>
                </c:pt>
                <c:pt idx="542">
                  <c:v>1864</c:v>
                </c:pt>
                <c:pt idx="543">
                  <c:v>2061</c:v>
                </c:pt>
                <c:pt idx="544">
                  <c:v>2025</c:v>
                </c:pt>
                <c:pt idx="545">
                  <c:v>2068</c:v>
                </c:pt>
                <c:pt idx="546">
                  <c:v>2054</c:v>
                </c:pt>
                <c:pt idx="547">
                  <c:v>2095</c:v>
                </c:pt>
                <c:pt idx="548">
                  <c:v>2151</c:v>
                </c:pt>
                <c:pt idx="549">
                  <c:v>2065</c:v>
                </c:pt>
                <c:pt idx="550">
                  <c:v>2147</c:v>
                </c:pt>
                <c:pt idx="551">
                  <c:v>1994</c:v>
                </c:pt>
                <c:pt idx="552">
                  <c:v>2273</c:v>
                </c:pt>
                <c:pt idx="553">
                  <c:v>2119</c:v>
                </c:pt>
                <c:pt idx="554">
                  <c:v>1969</c:v>
                </c:pt>
                <c:pt idx="555">
                  <c:v>1821</c:v>
                </c:pt>
                <c:pt idx="556">
                  <c:v>1942</c:v>
                </c:pt>
                <c:pt idx="557">
                  <c:v>1802</c:v>
                </c:pt>
                <c:pt idx="558">
                  <c:v>1737</c:v>
                </c:pt>
                <c:pt idx="559">
                  <c:v>1650</c:v>
                </c:pt>
                <c:pt idx="560">
                  <c:v>1720</c:v>
                </c:pt>
                <c:pt idx="561">
                  <c:v>1491</c:v>
                </c:pt>
                <c:pt idx="562">
                  <c:v>1570</c:v>
                </c:pt>
                <c:pt idx="563">
                  <c:v>1649</c:v>
                </c:pt>
                <c:pt idx="564">
                  <c:v>1409</c:v>
                </c:pt>
                <c:pt idx="565">
                  <c:v>1480</c:v>
                </c:pt>
                <c:pt idx="566">
                  <c:v>1495</c:v>
                </c:pt>
                <c:pt idx="567">
                  <c:v>1490</c:v>
                </c:pt>
                <c:pt idx="568">
                  <c:v>1415</c:v>
                </c:pt>
                <c:pt idx="569">
                  <c:v>1448</c:v>
                </c:pt>
                <c:pt idx="570">
                  <c:v>1354</c:v>
                </c:pt>
                <c:pt idx="571">
                  <c:v>1330</c:v>
                </c:pt>
                <c:pt idx="572">
                  <c:v>1183</c:v>
                </c:pt>
                <c:pt idx="573">
                  <c:v>1264</c:v>
                </c:pt>
                <c:pt idx="574">
                  <c:v>1197</c:v>
                </c:pt>
                <c:pt idx="575">
                  <c:v>1037</c:v>
                </c:pt>
                <c:pt idx="576">
                  <c:v>1084</c:v>
                </c:pt>
                <c:pt idx="577">
                  <c:v>1103</c:v>
                </c:pt>
                <c:pt idx="578">
                  <c:v>1005</c:v>
                </c:pt>
                <c:pt idx="579">
                  <c:v>1013</c:v>
                </c:pt>
                <c:pt idx="580">
                  <c:v>973</c:v>
                </c:pt>
                <c:pt idx="581">
                  <c:v>1046</c:v>
                </c:pt>
                <c:pt idx="582">
                  <c:v>923</c:v>
                </c:pt>
                <c:pt idx="583">
                  <c:v>844</c:v>
                </c:pt>
                <c:pt idx="584">
                  <c:v>820</c:v>
                </c:pt>
                <c:pt idx="585">
                  <c:v>777</c:v>
                </c:pt>
                <c:pt idx="586">
                  <c:v>652</c:v>
                </c:pt>
                <c:pt idx="587">
                  <c:v>560</c:v>
                </c:pt>
                <c:pt idx="588">
                  <c:v>490</c:v>
                </c:pt>
                <c:pt idx="589">
                  <c:v>582</c:v>
                </c:pt>
                <c:pt idx="590">
                  <c:v>505</c:v>
                </c:pt>
                <c:pt idx="591">
                  <c:v>478</c:v>
                </c:pt>
                <c:pt idx="592">
                  <c:v>540</c:v>
                </c:pt>
                <c:pt idx="593">
                  <c:v>585</c:v>
                </c:pt>
                <c:pt idx="594">
                  <c:v>594</c:v>
                </c:pt>
                <c:pt idx="595">
                  <c:v>586</c:v>
                </c:pt>
                <c:pt idx="596">
                  <c:v>585</c:v>
                </c:pt>
                <c:pt idx="597">
                  <c:v>534</c:v>
                </c:pt>
                <c:pt idx="598">
                  <c:v>588</c:v>
                </c:pt>
                <c:pt idx="599">
                  <c:v>581</c:v>
                </c:pt>
                <c:pt idx="600">
                  <c:v>614</c:v>
                </c:pt>
                <c:pt idx="601">
                  <c:v>604</c:v>
                </c:pt>
                <c:pt idx="602">
                  <c:v>636</c:v>
                </c:pt>
                <c:pt idx="603">
                  <c:v>687</c:v>
                </c:pt>
                <c:pt idx="604">
                  <c:v>583</c:v>
                </c:pt>
                <c:pt idx="605">
                  <c:v>536</c:v>
                </c:pt>
                <c:pt idx="606">
                  <c:v>546</c:v>
                </c:pt>
                <c:pt idx="607">
                  <c:v>599</c:v>
                </c:pt>
                <c:pt idx="608">
                  <c:v>594</c:v>
                </c:pt>
                <c:pt idx="609">
                  <c:v>543</c:v>
                </c:pt>
                <c:pt idx="610">
                  <c:v>545</c:v>
                </c:pt>
                <c:pt idx="611">
                  <c:v>539</c:v>
                </c:pt>
                <c:pt idx="612">
                  <c:v>630</c:v>
                </c:pt>
                <c:pt idx="613">
                  <c:v>517</c:v>
                </c:pt>
                <c:pt idx="614">
                  <c:v>600</c:v>
                </c:pt>
                <c:pt idx="615">
                  <c:v>554</c:v>
                </c:pt>
                <c:pt idx="616">
                  <c:v>561</c:v>
                </c:pt>
                <c:pt idx="617">
                  <c:v>608</c:v>
                </c:pt>
                <c:pt idx="618">
                  <c:v>623</c:v>
                </c:pt>
                <c:pt idx="619">
                  <c:v>585</c:v>
                </c:pt>
                <c:pt idx="620">
                  <c:v>650</c:v>
                </c:pt>
                <c:pt idx="621">
                  <c:v>610</c:v>
                </c:pt>
                <c:pt idx="622">
                  <c:v>711</c:v>
                </c:pt>
                <c:pt idx="623">
                  <c:v>694</c:v>
                </c:pt>
                <c:pt idx="624">
                  <c:v>723</c:v>
                </c:pt>
                <c:pt idx="625">
                  <c:v>704</c:v>
                </c:pt>
                <c:pt idx="626">
                  <c:v>695</c:v>
                </c:pt>
                <c:pt idx="627">
                  <c:v>753</c:v>
                </c:pt>
                <c:pt idx="628">
                  <c:v>708</c:v>
                </c:pt>
                <c:pt idx="629">
                  <c:v>757</c:v>
                </c:pt>
                <c:pt idx="630">
                  <c:v>740</c:v>
                </c:pt>
                <c:pt idx="631">
                  <c:v>754</c:v>
                </c:pt>
                <c:pt idx="632">
                  <c:v>847</c:v>
                </c:pt>
                <c:pt idx="633">
                  <c:v>915</c:v>
                </c:pt>
                <c:pt idx="634">
                  <c:v>833</c:v>
                </c:pt>
                <c:pt idx="635">
                  <c:v>976</c:v>
                </c:pt>
                <c:pt idx="636">
                  <c:v>888</c:v>
                </c:pt>
                <c:pt idx="637">
                  <c:v>962</c:v>
                </c:pt>
                <c:pt idx="638">
                  <c:v>1010</c:v>
                </c:pt>
                <c:pt idx="639">
                  <c:v>835</c:v>
                </c:pt>
                <c:pt idx="640">
                  <c:v>930</c:v>
                </c:pt>
                <c:pt idx="641">
                  <c:v>839</c:v>
                </c:pt>
                <c:pt idx="642">
                  <c:v>880</c:v>
                </c:pt>
                <c:pt idx="643">
                  <c:v>917</c:v>
                </c:pt>
                <c:pt idx="644">
                  <c:v>850</c:v>
                </c:pt>
                <c:pt idx="645">
                  <c:v>925</c:v>
                </c:pt>
                <c:pt idx="646">
                  <c:v>1100</c:v>
                </c:pt>
                <c:pt idx="647">
                  <c:v>1002</c:v>
                </c:pt>
                <c:pt idx="648">
                  <c:v>888</c:v>
                </c:pt>
                <c:pt idx="649">
                  <c:v>944</c:v>
                </c:pt>
                <c:pt idx="650">
                  <c:v>970</c:v>
                </c:pt>
                <c:pt idx="651">
                  <c:v>1043</c:v>
                </c:pt>
                <c:pt idx="652">
                  <c:v>1007</c:v>
                </c:pt>
                <c:pt idx="653">
                  <c:v>911</c:v>
                </c:pt>
                <c:pt idx="654">
                  <c:v>1085</c:v>
                </c:pt>
                <c:pt idx="655">
                  <c:v>984</c:v>
                </c:pt>
                <c:pt idx="656">
                  <c:v>1023</c:v>
                </c:pt>
                <c:pt idx="657">
                  <c:v>1074</c:v>
                </c:pt>
                <c:pt idx="658">
                  <c:v>1001</c:v>
                </c:pt>
                <c:pt idx="659">
                  <c:v>1073</c:v>
                </c:pt>
                <c:pt idx="660">
                  <c:v>1085</c:v>
                </c:pt>
                <c:pt idx="661">
                  <c:v>886</c:v>
                </c:pt>
                <c:pt idx="662">
                  <c:v>960</c:v>
                </c:pt>
                <c:pt idx="663">
                  <c:v>1190</c:v>
                </c:pt>
                <c:pt idx="664">
                  <c:v>1079</c:v>
                </c:pt>
                <c:pt idx="665">
                  <c:v>1205</c:v>
                </c:pt>
                <c:pt idx="666">
                  <c:v>1146</c:v>
                </c:pt>
                <c:pt idx="667">
                  <c:v>1130</c:v>
                </c:pt>
                <c:pt idx="668">
                  <c:v>1224</c:v>
                </c:pt>
                <c:pt idx="669">
                  <c:v>1058</c:v>
                </c:pt>
                <c:pt idx="670">
                  <c:v>1172</c:v>
                </c:pt>
                <c:pt idx="671">
                  <c:v>1146</c:v>
                </c:pt>
                <c:pt idx="672">
                  <c:v>1092</c:v>
                </c:pt>
                <c:pt idx="673">
                  <c:v>1225</c:v>
                </c:pt>
                <c:pt idx="674">
                  <c:v>1111</c:v>
                </c:pt>
                <c:pt idx="675">
                  <c:v>1163</c:v>
                </c:pt>
                <c:pt idx="676">
                  <c:v>1148</c:v>
                </c:pt>
                <c:pt idx="677">
                  <c:v>1203</c:v>
                </c:pt>
                <c:pt idx="678">
                  <c:v>1239</c:v>
                </c:pt>
                <c:pt idx="679">
                  <c:v>1171</c:v>
                </c:pt>
                <c:pt idx="680">
                  <c:v>1068</c:v>
                </c:pt>
                <c:pt idx="681">
                  <c:v>1313</c:v>
                </c:pt>
                <c:pt idx="682">
                  <c:v>1140</c:v>
                </c:pt>
                <c:pt idx="683">
                  <c:v>1252</c:v>
                </c:pt>
                <c:pt idx="684">
                  <c:v>1193</c:v>
                </c:pt>
                <c:pt idx="685">
                  <c:v>1281</c:v>
                </c:pt>
                <c:pt idx="686">
                  <c:v>1190</c:v>
                </c:pt>
                <c:pt idx="687">
                  <c:v>1145</c:v>
                </c:pt>
                <c:pt idx="688">
                  <c:v>1160</c:v>
                </c:pt>
                <c:pt idx="689">
                  <c:v>1247</c:v>
                </c:pt>
                <c:pt idx="690">
                  <c:v>1202</c:v>
                </c:pt>
                <c:pt idx="691">
                  <c:v>1159</c:v>
                </c:pt>
                <c:pt idx="692">
                  <c:v>1175</c:v>
                </c:pt>
                <c:pt idx="693">
                  <c:v>1248</c:v>
                </c:pt>
                <c:pt idx="694">
                  <c:v>1278</c:v>
                </c:pt>
                <c:pt idx="695">
                  <c:v>1182</c:v>
                </c:pt>
                <c:pt idx="696">
                  <c:v>1309</c:v>
                </c:pt>
                <c:pt idx="697">
                  <c:v>1289</c:v>
                </c:pt>
                <c:pt idx="698">
                  <c:v>1327</c:v>
                </c:pt>
                <c:pt idx="699">
                  <c:v>1285</c:v>
                </c:pt>
                <c:pt idx="700">
                  <c:v>1354</c:v>
                </c:pt>
                <c:pt idx="701">
                  <c:v>1199</c:v>
                </c:pt>
                <c:pt idx="702">
                  <c:v>1193</c:v>
                </c:pt>
                <c:pt idx="703">
                  <c:v>1288</c:v>
                </c:pt>
                <c:pt idx="704">
                  <c:v>1238</c:v>
                </c:pt>
                <c:pt idx="705">
                  <c:v>1208</c:v>
                </c:pt>
                <c:pt idx="706">
                  <c:v>1183</c:v>
                </c:pt>
                <c:pt idx="707">
                  <c:v>1095</c:v>
                </c:pt>
                <c:pt idx="708">
                  <c:v>1244</c:v>
                </c:pt>
                <c:pt idx="709">
                  <c:v>1142</c:v>
                </c:pt>
                <c:pt idx="710">
                  <c:v>1203</c:v>
                </c:pt>
                <c:pt idx="711">
                  <c:v>1282</c:v>
                </c:pt>
                <c:pt idx="712">
                  <c:v>1303</c:v>
                </c:pt>
                <c:pt idx="713">
                  <c:v>1237</c:v>
                </c:pt>
                <c:pt idx="714">
                  <c:v>1224</c:v>
                </c:pt>
                <c:pt idx="715">
                  <c:v>1371</c:v>
                </c:pt>
                <c:pt idx="716">
                  <c:v>1285</c:v>
                </c:pt>
                <c:pt idx="717">
                  <c:v>1318</c:v>
                </c:pt>
                <c:pt idx="718">
                  <c:v>1350</c:v>
                </c:pt>
                <c:pt idx="719">
                  <c:v>1547</c:v>
                </c:pt>
                <c:pt idx="720">
                  <c:v>1589</c:v>
                </c:pt>
                <c:pt idx="721">
                  <c:v>1589</c:v>
                </c:pt>
                <c:pt idx="722">
                  <c:v>1277</c:v>
                </c:pt>
                <c:pt idx="723">
                  <c:v>938</c:v>
                </c:pt>
                <c:pt idx="724">
                  <c:v>1046</c:v>
                </c:pt>
                <c:pt idx="725">
                  <c:v>1273</c:v>
                </c:pt>
                <c:pt idx="726">
                  <c:v>1497</c:v>
                </c:pt>
                <c:pt idx="727">
                  <c:v>1376</c:v>
                </c:pt>
                <c:pt idx="728">
                  <c:v>1448</c:v>
                </c:pt>
                <c:pt idx="729">
                  <c:v>1514</c:v>
                </c:pt>
                <c:pt idx="730">
                  <c:v>1551</c:v>
                </c:pt>
                <c:pt idx="731">
                  <c:v>1661</c:v>
                </c:pt>
                <c:pt idx="732">
                  <c:v>1625</c:v>
                </c:pt>
                <c:pt idx="733">
                  <c:v>1447</c:v>
                </c:pt>
                <c:pt idx="734">
                  <c:v>1725</c:v>
                </c:pt>
                <c:pt idx="735">
                  <c:v>1514</c:v>
                </c:pt>
                <c:pt idx="736">
                  <c:v>1594</c:v>
                </c:pt>
                <c:pt idx="737">
                  <c:v>1657</c:v>
                </c:pt>
                <c:pt idx="738">
                  <c:v>1562</c:v>
                </c:pt>
                <c:pt idx="739">
                  <c:v>1573</c:v>
                </c:pt>
                <c:pt idx="740">
                  <c:v>1550</c:v>
                </c:pt>
                <c:pt idx="741">
                  <c:v>1552</c:v>
                </c:pt>
                <c:pt idx="742">
                  <c:v>1678</c:v>
                </c:pt>
                <c:pt idx="743">
                  <c:v>1702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15-5D4C-9F9F-7041D39959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8456856"/>
        <c:axId val="1128454888"/>
      </c:lineChart>
      <c:dateAx>
        <c:axId val="1128456856"/>
        <c:scaling>
          <c:orientation val="minMax"/>
          <c:min val="42370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8454888"/>
        <c:crosses val="autoZero"/>
        <c:auto val="0"/>
        <c:lblOffset val="100"/>
        <c:baseTimeUnit val="months"/>
      </c:dateAx>
      <c:valAx>
        <c:axId val="1128454888"/>
        <c:scaling>
          <c:orientation val="minMax"/>
          <c:max val="1750"/>
          <c:min val="8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845685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US"/>
              <a:t>Housing Units Completed Since 1960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Completed!$B$6</c:f>
              <c:strCache>
                <c:ptCount val="1"/>
                <c:pt idx="0">
                  <c:v>Completed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Completed!$A$7:$A$750</c:f>
              <c:numCache>
                <c:formatCode>m/d/yy</c:formatCode>
                <c:ptCount val="744"/>
                <c:pt idx="0">
                  <c:v>24838</c:v>
                </c:pt>
                <c:pt idx="1">
                  <c:v>24869</c:v>
                </c:pt>
                <c:pt idx="2">
                  <c:v>24898</c:v>
                </c:pt>
                <c:pt idx="3">
                  <c:v>24929</c:v>
                </c:pt>
                <c:pt idx="4">
                  <c:v>24959</c:v>
                </c:pt>
                <c:pt idx="5">
                  <c:v>24990</c:v>
                </c:pt>
                <c:pt idx="6">
                  <c:v>25020</c:v>
                </c:pt>
                <c:pt idx="7">
                  <c:v>25051</c:v>
                </c:pt>
                <c:pt idx="8">
                  <c:v>25082</c:v>
                </c:pt>
                <c:pt idx="9">
                  <c:v>25112</c:v>
                </c:pt>
                <c:pt idx="10">
                  <c:v>25143</c:v>
                </c:pt>
                <c:pt idx="11">
                  <c:v>25173</c:v>
                </c:pt>
                <c:pt idx="12">
                  <c:v>25204</c:v>
                </c:pt>
                <c:pt idx="13">
                  <c:v>25235</c:v>
                </c:pt>
                <c:pt idx="14">
                  <c:v>25263</c:v>
                </c:pt>
                <c:pt idx="15">
                  <c:v>25294</c:v>
                </c:pt>
                <c:pt idx="16">
                  <c:v>25324</c:v>
                </c:pt>
                <c:pt idx="17">
                  <c:v>25355</c:v>
                </c:pt>
                <c:pt idx="18">
                  <c:v>25385</c:v>
                </c:pt>
                <c:pt idx="19">
                  <c:v>25416</c:v>
                </c:pt>
                <c:pt idx="20">
                  <c:v>25447</c:v>
                </c:pt>
                <c:pt idx="21">
                  <c:v>25477</c:v>
                </c:pt>
                <c:pt idx="22">
                  <c:v>25508</c:v>
                </c:pt>
                <c:pt idx="23">
                  <c:v>25538</c:v>
                </c:pt>
                <c:pt idx="24">
                  <c:v>25569</c:v>
                </c:pt>
                <c:pt idx="25">
                  <c:v>25600</c:v>
                </c:pt>
                <c:pt idx="26">
                  <c:v>25628</c:v>
                </c:pt>
                <c:pt idx="27">
                  <c:v>25659</c:v>
                </c:pt>
                <c:pt idx="28">
                  <c:v>25689</c:v>
                </c:pt>
                <c:pt idx="29">
                  <c:v>25720</c:v>
                </c:pt>
                <c:pt idx="30">
                  <c:v>25750</c:v>
                </c:pt>
                <c:pt idx="31">
                  <c:v>25781</c:v>
                </c:pt>
                <c:pt idx="32">
                  <c:v>25812</c:v>
                </c:pt>
                <c:pt idx="33">
                  <c:v>25842</c:v>
                </c:pt>
                <c:pt idx="34">
                  <c:v>25873</c:v>
                </c:pt>
                <c:pt idx="35">
                  <c:v>25903</c:v>
                </c:pt>
                <c:pt idx="36">
                  <c:v>25934</c:v>
                </c:pt>
                <c:pt idx="37">
                  <c:v>25965</c:v>
                </c:pt>
                <c:pt idx="38">
                  <c:v>25993</c:v>
                </c:pt>
                <c:pt idx="39">
                  <c:v>26024</c:v>
                </c:pt>
                <c:pt idx="40">
                  <c:v>26054</c:v>
                </c:pt>
                <c:pt idx="41">
                  <c:v>26085</c:v>
                </c:pt>
                <c:pt idx="42">
                  <c:v>26115</c:v>
                </c:pt>
                <c:pt idx="43">
                  <c:v>26146</c:v>
                </c:pt>
                <c:pt idx="44">
                  <c:v>26177</c:v>
                </c:pt>
                <c:pt idx="45">
                  <c:v>26207</c:v>
                </c:pt>
                <c:pt idx="46">
                  <c:v>26238</c:v>
                </c:pt>
                <c:pt idx="47">
                  <c:v>26268</c:v>
                </c:pt>
                <c:pt idx="48">
                  <c:v>26299</c:v>
                </c:pt>
                <c:pt idx="49">
                  <c:v>26330</c:v>
                </c:pt>
                <c:pt idx="50">
                  <c:v>26359</c:v>
                </c:pt>
                <c:pt idx="51">
                  <c:v>26390</c:v>
                </c:pt>
                <c:pt idx="52">
                  <c:v>26420</c:v>
                </c:pt>
                <c:pt idx="53">
                  <c:v>26451</c:v>
                </c:pt>
                <c:pt idx="54">
                  <c:v>26481</c:v>
                </c:pt>
                <c:pt idx="55">
                  <c:v>26512</c:v>
                </c:pt>
                <c:pt idx="56">
                  <c:v>26543</c:v>
                </c:pt>
                <c:pt idx="57">
                  <c:v>26573</c:v>
                </c:pt>
                <c:pt idx="58">
                  <c:v>26604</c:v>
                </c:pt>
                <c:pt idx="59">
                  <c:v>26634</c:v>
                </c:pt>
                <c:pt idx="60">
                  <c:v>26665</c:v>
                </c:pt>
                <c:pt idx="61">
                  <c:v>26696</c:v>
                </c:pt>
                <c:pt idx="62">
                  <c:v>26724</c:v>
                </c:pt>
                <c:pt idx="63">
                  <c:v>26755</c:v>
                </c:pt>
                <c:pt idx="64">
                  <c:v>26785</c:v>
                </c:pt>
                <c:pt idx="65">
                  <c:v>26816</c:v>
                </c:pt>
                <c:pt idx="66">
                  <c:v>26846</c:v>
                </c:pt>
                <c:pt idx="67">
                  <c:v>26877</c:v>
                </c:pt>
                <c:pt idx="68">
                  <c:v>26908</c:v>
                </c:pt>
                <c:pt idx="69">
                  <c:v>26938</c:v>
                </c:pt>
                <c:pt idx="70">
                  <c:v>26969</c:v>
                </c:pt>
                <c:pt idx="71">
                  <c:v>26999</c:v>
                </c:pt>
                <c:pt idx="72">
                  <c:v>27030</c:v>
                </c:pt>
                <c:pt idx="73">
                  <c:v>27061</c:v>
                </c:pt>
                <c:pt idx="74">
                  <c:v>27089</c:v>
                </c:pt>
                <c:pt idx="75">
                  <c:v>27120</c:v>
                </c:pt>
                <c:pt idx="76">
                  <c:v>27150</c:v>
                </c:pt>
                <c:pt idx="77">
                  <c:v>27181</c:v>
                </c:pt>
                <c:pt idx="78">
                  <c:v>27211</c:v>
                </c:pt>
                <c:pt idx="79">
                  <c:v>27242</c:v>
                </c:pt>
                <c:pt idx="80">
                  <c:v>27273</c:v>
                </c:pt>
                <c:pt idx="81">
                  <c:v>27303</c:v>
                </c:pt>
                <c:pt idx="82">
                  <c:v>27334</c:v>
                </c:pt>
                <c:pt idx="83">
                  <c:v>27364</c:v>
                </c:pt>
                <c:pt idx="84">
                  <c:v>27395</c:v>
                </c:pt>
                <c:pt idx="85">
                  <c:v>27426</c:v>
                </c:pt>
                <c:pt idx="86">
                  <c:v>27454</c:v>
                </c:pt>
                <c:pt idx="87">
                  <c:v>27485</c:v>
                </c:pt>
                <c:pt idx="88">
                  <c:v>27515</c:v>
                </c:pt>
                <c:pt idx="89">
                  <c:v>27546</c:v>
                </c:pt>
                <c:pt idx="90">
                  <c:v>27576</c:v>
                </c:pt>
                <c:pt idx="91">
                  <c:v>27607</c:v>
                </c:pt>
                <c:pt idx="92">
                  <c:v>27638</c:v>
                </c:pt>
                <c:pt idx="93">
                  <c:v>27668</c:v>
                </c:pt>
                <c:pt idx="94">
                  <c:v>27699</c:v>
                </c:pt>
                <c:pt idx="95">
                  <c:v>27729</c:v>
                </c:pt>
                <c:pt idx="96">
                  <c:v>27760</c:v>
                </c:pt>
                <c:pt idx="97">
                  <c:v>27791</c:v>
                </c:pt>
                <c:pt idx="98">
                  <c:v>27820</c:v>
                </c:pt>
                <c:pt idx="99">
                  <c:v>27851</c:v>
                </c:pt>
                <c:pt idx="100">
                  <c:v>27881</c:v>
                </c:pt>
                <c:pt idx="101">
                  <c:v>27912</c:v>
                </c:pt>
                <c:pt idx="102">
                  <c:v>27942</c:v>
                </c:pt>
                <c:pt idx="103">
                  <c:v>27973</c:v>
                </c:pt>
                <c:pt idx="104">
                  <c:v>28004</c:v>
                </c:pt>
                <c:pt idx="105">
                  <c:v>28034</c:v>
                </c:pt>
                <c:pt idx="106">
                  <c:v>28065</c:v>
                </c:pt>
                <c:pt idx="107">
                  <c:v>28095</c:v>
                </c:pt>
                <c:pt idx="108">
                  <c:v>28126</c:v>
                </c:pt>
                <c:pt idx="109">
                  <c:v>28157</c:v>
                </c:pt>
                <c:pt idx="110">
                  <c:v>28185</c:v>
                </c:pt>
                <c:pt idx="111">
                  <c:v>28216</c:v>
                </c:pt>
                <c:pt idx="112">
                  <c:v>28246</c:v>
                </c:pt>
                <c:pt idx="113">
                  <c:v>28277</c:v>
                </c:pt>
                <c:pt idx="114">
                  <c:v>28307</c:v>
                </c:pt>
                <c:pt idx="115">
                  <c:v>28338</c:v>
                </c:pt>
                <c:pt idx="116">
                  <c:v>28369</c:v>
                </c:pt>
                <c:pt idx="117">
                  <c:v>28399</c:v>
                </c:pt>
                <c:pt idx="118">
                  <c:v>28430</c:v>
                </c:pt>
                <c:pt idx="119">
                  <c:v>28460</c:v>
                </c:pt>
                <c:pt idx="120">
                  <c:v>28491</c:v>
                </c:pt>
                <c:pt idx="121">
                  <c:v>28522</c:v>
                </c:pt>
                <c:pt idx="122">
                  <c:v>28550</c:v>
                </c:pt>
                <c:pt idx="123">
                  <c:v>28581</c:v>
                </c:pt>
                <c:pt idx="124">
                  <c:v>28611</c:v>
                </c:pt>
                <c:pt idx="125">
                  <c:v>28642</c:v>
                </c:pt>
                <c:pt idx="126">
                  <c:v>28672</c:v>
                </c:pt>
                <c:pt idx="127">
                  <c:v>28703</c:v>
                </c:pt>
                <c:pt idx="128">
                  <c:v>28734</c:v>
                </c:pt>
                <c:pt idx="129">
                  <c:v>28764</c:v>
                </c:pt>
                <c:pt idx="130">
                  <c:v>28795</c:v>
                </c:pt>
                <c:pt idx="131">
                  <c:v>28825</c:v>
                </c:pt>
                <c:pt idx="132">
                  <c:v>28856</c:v>
                </c:pt>
                <c:pt idx="133">
                  <c:v>28887</c:v>
                </c:pt>
                <c:pt idx="134">
                  <c:v>28915</c:v>
                </c:pt>
                <c:pt idx="135">
                  <c:v>28946</c:v>
                </c:pt>
                <c:pt idx="136">
                  <c:v>28976</c:v>
                </c:pt>
                <c:pt idx="137">
                  <c:v>29007</c:v>
                </c:pt>
                <c:pt idx="138">
                  <c:v>29037</c:v>
                </c:pt>
                <c:pt idx="139">
                  <c:v>29068</c:v>
                </c:pt>
                <c:pt idx="140">
                  <c:v>29099</c:v>
                </c:pt>
                <c:pt idx="141">
                  <c:v>29129</c:v>
                </c:pt>
                <c:pt idx="142">
                  <c:v>29160</c:v>
                </c:pt>
                <c:pt idx="143">
                  <c:v>29190</c:v>
                </c:pt>
                <c:pt idx="144">
                  <c:v>29221</c:v>
                </c:pt>
                <c:pt idx="145">
                  <c:v>29252</c:v>
                </c:pt>
                <c:pt idx="146">
                  <c:v>29281</c:v>
                </c:pt>
                <c:pt idx="147">
                  <c:v>29312</c:v>
                </c:pt>
                <c:pt idx="148">
                  <c:v>29342</c:v>
                </c:pt>
                <c:pt idx="149">
                  <c:v>29373</c:v>
                </c:pt>
                <c:pt idx="150">
                  <c:v>29403</c:v>
                </c:pt>
                <c:pt idx="151">
                  <c:v>29434</c:v>
                </c:pt>
                <c:pt idx="152">
                  <c:v>29465</c:v>
                </c:pt>
                <c:pt idx="153">
                  <c:v>29495</c:v>
                </c:pt>
                <c:pt idx="154">
                  <c:v>29526</c:v>
                </c:pt>
                <c:pt idx="155">
                  <c:v>29556</c:v>
                </c:pt>
                <c:pt idx="156">
                  <c:v>29587</c:v>
                </c:pt>
                <c:pt idx="157">
                  <c:v>29618</c:v>
                </c:pt>
                <c:pt idx="158">
                  <c:v>29646</c:v>
                </c:pt>
                <c:pt idx="159">
                  <c:v>29677</c:v>
                </c:pt>
                <c:pt idx="160">
                  <c:v>29707</c:v>
                </c:pt>
                <c:pt idx="161">
                  <c:v>29738</c:v>
                </c:pt>
                <c:pt idx="162">
                  <c:v>29768</c:v>
                </c:pt>
                <c:pt idx="163">
                  <c:v>29799</c:v>
                </c:pt>
                <c:pt idx="164">
                  <c:v>29830</c:v>
                </c:pt>
                <c:pt idx="165">
                  <c:v>29860</c:v>
                </c:pt>
                <c:pt idx="166">
                  <c:v>29891</c:v>
                </c:pt>
                <c:pt idx="167">
                  <c:v>29921</c:v>
                </c:pt>
                <c:pt idx="168">
                  <c:v>29952</c:v>
                </c:pt>
                <c:pt idx="169">
                  <c:v>29983</c:v>
                </c:pt>
                <c:pt idx="170">
                  <c:v>30011</c:v>
                </c:pt>
                <c:pt idx="171">
                  <c:v>30042</c:v>
                </c:pt>
                <c:pt idx="172">
                  <c:v>30072</c:v>
                </c:pt>
                <c:pt idx="173">
                  <c:v>30103</c:v>
                </c:pt>
                <c:pt idx="174">
                  <c:v>30133</c:v>
                </c:pt>
                <c:pt idx="175">
                  <c:v>30164</c:v>
                </c:pt>
                <c:pt idx="176">
                  <c:v>30195</c:v>
                </c:pt>
                <c:pt idx="177">
                  <c:v>30225</c:v>
                </c:pt>
                <c:pt idx="178">
                  <c:v>30256</c:v>
                </c:pt>
                <c:pt idx="179">
                  <c:v>30286</c:v>
                </c:pt>
                <c:pt idx="180">
                  <c:v>30317</c:v>
                </c:pt>
                <c:pt idx="181">
                  <c:v>30348</c:v>
                </c:pt>
                <c:pt idx="182">
                  <c:v>30376</c:v>
                </c:pt>
                <c:pt idx="183">
                  <c:v>30407</c:v>
                </c:pt>
                <c:pt idx="184">
                  <c:v>30437</c:v>
                </c:pt>
                <c:pt idx="185">
                  <c:v>30468</c:v>
                </c:pt>
                <c:pt idx="186">
                  <c:v>30498</c:v>
                </c:pt>
                <c:pt idx="187">
                  <c:v>30529</c:v>
                </c:pt>
                <c:pt idx="188">
                  <c:v>30560</c:v>
                </c:pt>
                <c:pt idx="189">
                  <c:v>30590</c:v>
                </c:pt>
                <c:pt idx="190">
                  <c:v>30621</c:v>
                </c:pt>
                <c:pt idx="191">
                  <c:v>30651</c:v>
                </c:pt>
                <c:pt idx="192">
                  <c:v>30682</c:v>
                </c:pt>
                <c:pt idx="193">
                  <c:v>30713</c:v>
                </c:pt>
                <c:pt idx="194">
                  <c:v>30742</c:v>
                </c:pt>
                <c:pt idx="195">
                  <c:v>30773</c:v>
                </c:pt>
                <c:pt idx="196">
                  <c:v>30803</c:v>
                </c:pt>
                <c:pt idx="197">
                  <c:v>30834</c:v>
                </c:pt>
                <c:pt idx="198">
                  <c:v>30864</c:v>
                </c:pt>
                <c:pt idx="199">
                  <c:v>30895</c:v>
                </c:pt>
                <c:pt idx="200">
                  <c:v>30926</c:v>
                </c:pt>
                <c:pt idx="201">
                  <c:v>30956</c:v>
                </c:pt>
                <c:pt idx="202">
                  <c:v>30987</c:v>
                </c:pt>
                <c:pt idx="203">
                  <c:v>31017</c:v>
                </c:pt>
                <c:pt idx="204">
                  <c:v>31048</c:v>
                </c:pt>
                <c:pt idx="205">
                  <c:v>31079</c:v>
                </c:pt>
                <c:pt idx="206">
                  <c:v>31107</c:v>
                </c:pt>
                <c:pt idx="207">
                  <c:v>31138</c:v>
                </c:pt>
                <c:pt idx="208">
                  <c:v>31168</c:v>
                </c:pt>
                <c:pt idx="209">
                  <c:v>31199</c:v>
                </c:pt>
                <c:pt idx="210">
                  <c:v>31229</c:v>
                </c:pt>
                <c:pt idx="211">
                  <c:v>31260</c:v>
                </c:pt>
                <c:pt idx="212">
                  <c:v>31291</c:v>
                </c:pt>
                <c:pt idx="213">
                  <c:v>31321</c:v>
                </c:pt>
                <c:pt idx="214">
                  <c:v>31352</c:v>
                </c:pt>
                <c:pt idx="215">
                  <c:v>31382</c:v>
                </c:pt>
                <c:pt idx="216">
                  <c:v>31413</c:v>
                </c:pt>
                <c:pt idx="217">
                  <c:v>31444</c:v>
                </c:pt>
                <c:pt idx="218">
                  <c:v>31472</c:v>
                </c:pt>
                <c:pt idx="219">
                  <c:v>31503</c:v>
                </c:pt>
                <c:pt idx="220">
                  <c:v>31533</c:v>
                </c:pt>
                <c:pt idx="221">
                  <c:v>31564</c:v>
                </c:pt>
                <c:pt idx="222">
                  <c:v>31594</c:v>
                </c:pt>
                <c:pt idx="223">
                  <c:v>31625</c:v>
                </c:pt>
                <c:pt idx="224">
                  <c:v>31656</c:v>
                </c:pt>
                <c:pt idx="225">
                  <c:v>31686</c:v>
                </c:pt>
                <c:pt idx="226">
                  <c:v>31717</c:v>
                </c:pt>
                <c:pt idx="227">
                  <c:v>31747</c:v>
                </c:pt>
                <c:pt idx="228">
                  <c:v>31778</c:v>
                </c:pt>
                <c:pt idx="229">
                  <c:v>31809</c:v>
                </c:pt>
                <c:pt idx="230">
                  <c:v>31837</c:v>
                </c:pt>
                <c:pt idx="231">
                  <c:v>31868</c:v>
                </c:pt>
                <c:pt idx="232">
                  <c:v>31898</c:v>
                </c:pt>
                <c:pt idx="233">
                  <c:v>31929</c:v>
                </c:pt>
                <c:pt idx="234">
                  <c:v>31959</c:v>
                </c:pt>
                <c:pt idx="235">
                  <c:v>31990</c:v>
                </c:pt>
                <c:pt idx="236">
                  <c:v>32021</c:v>
                </c:pt>
                <c:pt idx="237">
                  <c:v>32051</c:v>
                </c:pt>
                <c:pt idx="238">
                  <c:v>32082</c:v>
                </c:pt>
                <c:pt idx="239">
                  <c:v>32112</c:v>
                </c:pt>
                <c:pt idx="240">
                  <c:v>32143</c:v>
                </c:pt>
                <c:pt idx="241">
                  <c:v>32174</c:v>
                </c:pt>
                <c:pt idx="242">
                  <c:v>32203</c:v>
                </c:pt>
                <c:pt idx="243">
                  <c:v>32234</c:v>
                </c:pt>
                <c:pt idx="244">
                  <c:v>32264</c:v>
                </c:pt>
                <c:pt idx="245">
                  <c:v>32295</c:v>
                </c:pt>
                <c:pt idx="246">
                  <c:v>32325</c:v>
                </c:pt>
                <c:pt idx="247">
                  <c:v>32356</c:v>
                </c:pt>
                <c:pt idx="248">
                  <c:v>32387</c:v>
                </c:pt>
                <c:pt idx="249">
                  <c:v>32417</c:v>
                </c:pt>
                <c:pt idx="250">
                  <c:v>32448</c:v>
                </c:pt>
                <c:pt idx="251">
                  <c:v>32478</c:v>
                </c:pt>
                <c:pt idx="252">
                  <c:v>32509</c:v>
                </c:pt>
                <c:pt idx="253">
                  <c:v>32540</c:v>
                </c:pt>
                <c:pt idx="254">
                  <c:v>32568</c:v>
                </c:pt>
                <c:pt idx="255">
                  <c:v>32599</c:v>
                </c:pt>
                <c:pt idx="256">
                  <c:v>32629</c:v>
                </c:pt>
                <c:pt idx="257">
                  <c:v>32660</c:v>
                </c:pt>
                <c:pt idx="258">
                  <c:v>32690</c:v>
                </c:pt>
                <c:pt idx="259">
                  <c:v>32721</c:v>
                </c:pt>
                <c:pt idx="260">
                  <c:v>32752</c:v>
                </c:pt>
                <c:pt idx="261">
                  <c:v>32782</c:v>
                </c:pt>
                <c:pt idx="262">
                  <c:v>32813</c:v>
                </c:pt>
                <c:pt idx="263">
                  <c:v>32843</c:v>
                </c:pt>
                <c:pt idx="264">
                  <c:v>32874</c:v>
                </c:pt>
                <c:pt idx="265">
                  <c:v>32905</c:v>
                </c:pt>
                <c:pt idx="266">
                  <c:v>32933</c:v>
                </c:pt>
                <c:pt idx="267">
                  <c:v>32964</c:v>
                </c:pt>
                <c:pt idx="268">
                  <c:v>32994</c:v>
                </c:pt>
                <c:pt idx="269">
                  <c:v>33025</c:v>
                </c:pt>
                <c:pt idx="270">
                  <c:v>33055</c:v>
                </c:pt>
                <c:pt idx="271">
                  <c:v>33086</c:v>
                </c:pt>
                <c:pt idx="272">
                  <c:v>33117</c:v>
                </c:pt>
                <c:pt idx="273">
                  <c:v>33147</c:v>
                </c:pt>
                <c:pt idx="274">
                  <c:v>33178</c:v>
                </c:pt>
                <c:pt idx="275">
                  <c:v>33208</c:v>
                </c:pt>
                <c:pt idx="276">
                  <c:v>33239</c:v>
                </c:pt>
                <c:pt idx="277">
                  <c:v>33270</c:v>
                </c:pt>
                <c:pt idx="278">
                  <c:v>33298</c:v>
                </c:pt>
                <c:pt idx="279">
                  <c:v>33329</c:v>
                </c:pt>
                <c:pt idx="280">
                  <c:v>33359</c:v>
                </c:pt>
                <c:pt idx="281">
                  <c:v>33390</c:v>
                </c:pt>
                <c:pt idx="282">
                  <c:v>33420</c:v>
                </c:pt>
                <c:pt idx="283">
                  <c:v>33451</c:v>
                </c:pt>
                <c:pt idx="284">
                  <c:v>33482</c:v>
                </c:pt>
                <c:pt idx="285">
                  <c:v>33512</c:v>
                </c:pt>
                <c:pt idx="286">
                  <c:v>33543</c:v>
                </c:pt>
                <c:pt idx="287">
                  <c:v>33573</c:v>
                </c:pt>
                <c:pt idx="288">
                  <c:v>33604</c:v>
                </c:pt>
                <c:pt idx="289">
                  <c:v>33635</c:v>
                </c:pt>
                <c:pt idx="290">
                  <c:v>33664</c:v>
                </c:pt>
                <c:pt idx="291">
                  <c:v>33695</c:v>
                </c:pt>
                <c:pt idx="292">
                  <c:v>33725</c:v>
                </c:pt>
                <c:pt idx="293">
                  <c:v>33756</c:v>
                </c:pt>
                <c:pt idx="294">
                  <c:v>33786</c:v>
                </c:pt>
                <c:pt idx="295">
                  <c:v>33817</c:v>
                </c:pt>
                <c:pt idx="296">
                  <c:v>33848</c:v>
                </c:pt>
                <c:pt idx="297">
                  <c:v>33878</c:v>
                </c:pt>
                <c:pt idx="298">
                  <c:v>33909</c:v>
                </c:pt>
                <c:pt idx="299">
                  <c:v>33939</c:v>
                </c:pt>
                <c:pt idx="300">
                  <c:v>33970</c:v>
                </c:pt>
                <c:pt idx="301">
                  <c:v>34001</c:v>
                </c:pt>
                <c:pt idx="302">
                  <c:v>34029</c:v>
                </c:pt>
                <c:pt idx="303">
                  <c:v>34060</c:v>
                </c:pt>
                <c:pt idx="304">
                  <c:v>34090</c:v>
                </c:pt>
                <c:pt idx="305">
                  <c:v>34121</c:v>
                </c:pt>
                <c:pt idx="306">
                  <c:v>34151</c:v>
                </c:pt>
                <c:pt idx="307">
                  <c:v>34182</c:v>
                </c:pt>
                <c:pt idx="308">
                  <c:v>34213</c:v>
                </c:pt>
                <c:pt idx="309">
                  <c:v>34243</c:v>
                </c:pt>
                <c:pt idx="310">
                  <c:v>34274</c:v>
                </c:pt>
                <c:pt idx="311">
                  <c:v>34304</c:v>
                </c:pt>
                <c:pt idx="312">
                  <c:v>34335</c:v>
                </c:pt>
                <c:pt idx="313">
                  <c:v>34366</c:v>
                </c:pt>
                <c:pt idx="314">
                  <c:v>34394</c:v>
                </c:pt>
                <c:pt idx="315">
                  <c:v>34425</c:v>
                </c:pt>
                <c:pt idx="316">
                  <c:v>34455</c:v>
                </c:pt>
                <c:pt idx="317">
                  <c:v>34486</c:v>
                </c:pt>
                <c:pt idx="318">
                  <c:v>34516</c:v>
                </c:pt>
                <c:pt idx="319">
                  <c:v>34547</c:v>
                </c:pt>
                <c:pt idx="320">
                  <c:v>34578</c:v>
                </c:pt>
                <c:pt idx="321">
                  <c:v>34608</c:v>
                </c:pt>
                <c:pt idx="322">
                  <c:v>34639</c:v>
                </c:pt>
                <c:pt idx="323">
                  <c:v>34669</c:v>
                </c:pt>
                <c:pt idx="324">
                  <c:v>34700</c:v>
                </c:pt>
                <c:pt idx="325">
                  <c:v>34731</c:v>
                </c:pt>
                <c:pt idx="326">
                  <c:v>34759</c:v>
                </c:pt>
                <c:pt idx="327">
                  <c:v>34790</c:v>
                </c:pt>
                <c:pt idx="328">
                  <c:v>34820</c:v>
                </c:pt>
                <c:pt idx="329">
                  <c:v>34851</c:v>
                </c:pt>
                <c:pt idx="330">
                  <c:v>34881</c:v>
                </c:pt>
                <c:pt idx="331">
                  <c:v>34912</c:v>
                </c:pt>
                <c:pt idx="332">
                  <c:v>34943</c:v>
                </c:pt>
                <c:pt idx="333">
                  <c:v>34973</c:v>
                </c:pt>
                <c:pt idx="334">
                  <c:v>35004</c:v>
                </c:pt>
                <c:pt idx="335">
                  <c:v>35034</c:v>
                </c:pt>
                <c:pt idx="336">
                  <c:v>35065</c:v>
                </c:pt>
                <c:pt idx="337">
                  <c:v>35096</c:v>
                </c:pt>
                <c:pt idx="338">
                  <c:v>35125</c:v>
                </c:pt>
                <c:pt idx="339">
                  <c:v>35156</c:v>
                </c:pt>
                <c:pt idx="340">
                  <c:v>35186</c:v>
                </c:pt>
                <c:pt idx="341">
                  <c:v>35217</c:v>
                </c:pt>
                <c:pt idx="342">
                  <c:v>35247</c:v>
                </c:pt>
                <c:pt idx="343">
                  <c:v>35278</c:v>
                </c:pt>
                <c:pt idx="344">
                  <c:v>35309</c:v>
                </c:pt>
                <c:pt idx="345">
                  <c:v>35339</c:v>
                </c:pt>
                <c:pt idx="346">
                  <c:v>35370</c:v>
                </c:pt>
                <c:pt idx="347">
                  <c:v>35400</c:v>
                </c:pt>
                <c:pt idx="348">
                  <c:v>35431</c:v>
                </c:pt>
                <c:pt idx="349">
                  <c:v>35462</c:v>
                </c:pt>
                <c:pt idx="350">
                  <c:v>35490</c:v>
                </c:pt>
                <c:pt idx="351">
                  <c:v>35521</c:v>
                </c:pt>
                <c:pt idx="352">
                  <c:v>35551</c:v>
                </c:pt>
                <c:pt idx="353">
                  <c:v>35582</c:v>
                </c:pt>
                <c:pt idx="354">
                  <c:v>35612</c:v>
                </c:pt>
                <c:pt idx="355">
                  <c:v>35643</c:v>
                </c:pt>
                <c:pt idx="356">
                  <c:v>35674</c:v>
                </c:pt>
                <c:pt idx="357">
                  <c:v>35704</c:v>
                </c:pt>
                <c:pt idx="358">
                  <c:v>35735</c:v>
                </c:pt>
                <c:pt idx="359">
                  <c:v>35765</c:v>
                </c:pt>
                <c:pt idx="360">
                  <c:v>35796</c:v>
                </c:pt>
                <c:pt idx="361">
                  <c:v>35827</c:v>
                </c:pt>
                <c:pt idx="362">
                  <c:v>35855</c:v>
                </c:pt>
                <c:pt idx="363">
                  <c:v>35886</c:v>
                </c:pt>
                <c:pt idx="364">
                  <c:v>35916</c:v>
                </c:pt>
                <c:pt idx="365">
                  <c:v>35947</c:v>
                </c:pt>
                <c:pt idx="366">
                  <c:v>35977</c:v>
                </c:pt>
                <c:pt idx="367">
                  <c:v>36008</c:v>
                </c:pt>
                <c:pt idx="368">
                  <c:v>36039</c:v>
                </c:pt>
                <c:pt idx="369">
                  <c:v>36069</c:v>
                </c:pt>
                <c:pt idx="370">
                  <c:v>36100</c:v>
                </c:pt>
                <c:pt idx="371">
                  <c:v>36130</c:v>
                </c:pt>
                <c:pt idx="372">
                  <c:v>36161</c:v>
                </c:pt>
                <c:pt idx="373">
                  <c:v>36192</c:v>
                </c:pt>
                <c:pt idx="374">
                  <c:v>36220</c:v>
                </c:pt>
                <c:pt idx="375">
                  <c:v>36251</c:v>
                </c:pt>
                <c:pt idx="376">
                  <c:v>36281</c:v>
                </c:pt>
                <c:pt idx="377">
                  <c:v>36312</c:v>
                </c:pt>
                <c:pt idx="378">
                  <c:v>36342</c:v>
                </c:pt>
                <c:pt idx="379">
                  <c:v>36373</c:v>
                </c:pt>
                <c:pt idx="380">
                  <c:v>36404</c:v>
                </c:pt>
                <c:pt idx="381">
                  <c:v>36434</c:v>
                </c:pt>
                <c:pt idx="382">
                  <c:v>36465</c:v>
                </c:pt>
                <c:pt idx="383">
                  <c:v>36495</c:v>
                </c:pt>
                <c:pt idx="384">
                  <c:v>36526</c:v>
                </c:pt>
                <c:pt idx="385">
                  <c:v>36557</c:v>
                </c:pt>
                <c:pt idx="386">
                  <c:v>36586</c:v>
                </c:pt>
                <c:pt idx="387">
                  <c:v>36617</c:v>
                </c:pt>
                <c:pt idx="388">
                  <c:v>36647</c:v>
                </c:pt>
                <c:pt idx="389">
                  <c:v>36678</c:v>
                </c:pt>
                <c:pt idx="390">
                  <c:v>36708</c:v>
                </c:pt>
                <c:pt idx="391">
                  <c:v>36739</c:v>
                </c:pt>
                <c:pt idx="392">
                  <c:v>36770</c:v>
                </c:pt>
                <c:pt idx="393">
                  <c:v>36800</c:v>
                </c:pt>
                <c:pt idx="394">
                  <c:v>36831</c:v>
                </c:pt>
                <c:pt idx="395">
                  <c:v>36861</c:v>
                </c:pt>
                <c:pt idx="396">
                  <c:v>36892</c:v>
                </c:pt>
                <c:pt idx="397">
                  <c:v>36923</c:v>
                </c:pt>
                <c:pt idx="398">
                  <c:v>36951</c:v>
                </c:pt>
                <c:pt idx="399">
                  <c:v>36982</c:v>
                </c:pt>
                <c:pt idx="400">
                  <c:v>37012</c:v>
                </c:pt>
                <c:pt idx="401">
                  <c:v>37043</c:v>
                </c:pt>
                <c:pt idx="402">
                  <c:v>37073</c:v>
                </c:pt>
                <c:pt idx="403">
                  <c:v>37104</c:v>
                </c:pt>
                <c:pt idx="404">
                  <c:v>37135</c:v>
                </c:pt>
                <c:pt idx="405">
                  <c:v>37165</c:v>
                </c:pt>
                <c:pt idx="406">
                  <c:v>37196</c:v>
                </c:pt>
                <c:pt idx="407">
                  <c:v>37226</c:v>
                </c:pt>
                <c:pt idx="408">
                  <c:v>37257</c:v>
                </c:pt>
                <c:pt idx="409">
                  <c:v>37288</c:v>
                </c:pt>
                <c:pt idx="410">
                  <c:v>37316</c:v>
                </c:pt>
                <c:pt idx="411">
                  <c:v>37347</c:v>
                </c:pt>
                <c:pt idx="412">
                  <c:v>37377</c:v>
                </c:pt>
                <c:pt idx="413">
                  <c:v>37408</c:v>
                </c:pt>
                <c:pt idx="414">
                  <c:v>37438</c:v>
                </c:pt>
                <c:pt idx="415">
                  <c:v>37469</c:v>
                </c:pt>
                <c:pt idx="416">
                  <c:v>37500</c:v>
                </c:pt>
                <c:pt idx="417">
                  <c:v>37530</c:v>
                </c:pt>
                <c:pt idx="418">
                  <c:v>37561</c:v>
                </c:pt>
                <c:pt idx="419">
                  <c:v>37591</c:v>
                </c:pt>
                <c:pt idx="420">
                  <c:v>37622</c:v>
                </c:pt>
                <c:pt idx="421">
                  <c:v>37653</c:v>
                </c:pt>
                <c:pt idx="422">
                  <c:v>37681</c:v>
                </c:pt>
                <c:pt idx="423">
                  <c:v>37712</c:v>
                </c:pt>
                <c:pt idx="424">
                  <c:v>37742</c:v>
                </c:pt>
                <c:pt idx="425">
                  <c:v>37773</c:v>
                </c:pt>
                <c:pt idx="426">
                  <c:v>37803</c:v>
                </c:pt>
                <c:pt idx="427">
                  <c:v>37834</c:v>
                </c:pt>
                <c:pt idx="428">
                  <c:v>37865</c:v>
                </c:pt>
                <c:pt idx="429">
                  <c:v>37895</c:v>
                </c:pt>
                <c:pt idx="430">
                  <c:v>37926</c:v>
                </c:pt>
                <c:pt idx="431">
                  <c:v>37956</c:v>
                </c:pt>
                <c:pt idx="432">
                  <c:v>37987</c:v>
                </c:pt>
                <c:pt idx="433">
                  <c:v>38018</c:v>
                </c:pt>
                <c:pt idx="434">
                  <c:v>38047</c:v>
                </c:pt>
                <c:pt idx="435">
                  <c:v>38078</c:v>
                </c:pt>
                <c:pt idx="436">
                  <c:v>38108</c:v>
                </c:pt>
                <c:pt idx="437">
                  <c:v>38139</c:v>
                </c:pt>
                <c:pt idx="438">
                  <c:v>38169</c:v>
                </c:pt>
                <c:pt idx="439">
                  <c:v>38200</c:v>
                </c:pt>
                <c:pt idx="440">
                  <c:v>38231</c:v>
                </c:pt>
                <c:pt idx="441">
                  <c:v>38261</c:v>
                </c:pt>
                <c:pt idx="442">
                  <c:v>38292</c:v>
                </c:pt>
                <c:pt idx="443">
                  <c:v>38322</c:v>
                </c:pt>
                <c:pt idx="444">
                  <c:v>38353</c:v>
                </c:pt>
                <c:pt idx="445">
                  <c:v>38384</c:v>
                </c:pt>
                <c:pt idx="446">
                  <c:v>38412</c:v>
                </c:pt>
                <c:pt idx="447">
                  <c:v>38443</c:v>
                </c:pt>
                <c:pt idx="448">
                  <c:v>38473</c:v>
                </c:pt>
                <c:pt idx="449">
                  <c:v>38504</c:v>
                </c:pt>
                <c:pt idx="450">
                  <c:v>38534</c:v>
                </c:pt>
                <c:pt idx="451">
                  <c:v>38565</c:v>
                </c:pt>
                <c:pt idx="452">
                  <c:v>38596</c:v>
                </c:pt>
                <c:pt idx="453">
                  <c:v>38626</c:v>
                </c:pt>
                <c:pt idx="454">
                  <c:v>38657</c:v>
                </c:pt>
                <c:pt idx="455">
                  <c:v>38687</c:v>
                </c:pt>
                <c:pt idx="456">
                  <c:v>38718</c:v>
                </c:pt>
                <c:pt idx="457">
                  <c:v>38749</c:v>
                </c:pt>
                <c:pt idx="458">
                  <c:v>38777</c:v>
                </c:pt>
                <c:pt idx="459">
                  <c:v>38808</c:v>
                </c:pt>
                <c:pt idx="460">
                  <c:v>38838</c:v>
                </c:pt>
                <c:pt idx="461">
                  <c:v>38869</c:v>
                </c:pt>
                <c:pt idx="462">
                  <c:v>38899</c:v>
                </c:pt>
                <c:pt idx="463">
                  <c:v>38930</c:v>
                </c:pt>
                <c:pt idx="464">
                  <c:v>38961</c:v>
                </c:pt>
                <c:pt idx="465">
                  <c:v>38991</c:v>
                </c:pt>
                <c:pt idx="466">
                  <c:v>39022</c:v>
                </c:pt>
                <c:pt idx="467">
                  <c:v>39052</c:v>
                </c:pt>
                <c:pt idx="468">
                  <c:v>39083</c:v>
                </c:pt>
                <c:pt idx="469">
                  <c:v>39114</c:v>
                </c:pt>
                <c:pt idx="470">
                  <c:v>39142</c:v>
                </c:pt>
                <c:pt idx="471">
                  <c:v>39173</c:v>
                </c:pt>
                <c:pt idx="472">
                  <c:v>39203</c:v>
                </c:pt>
                <c:pt idx="473">
                  <c:v>39234</c:v>
                </c:pt>
                <c:pt idx="474">
                  <c:v>39264</c:v>
                </c:pt>
                <c:pt idx="475">
                  <c:v>39295</c:v>
                </c:pt>
                <c:pt idx="476">
                  <c:v>39326</c:v>
                </c:pt>
                <c:pt idx="477">
                  <c:v>39356</c:v>
                </c:pt>
                <c:pt idx="478">
                  <c:v>39387</c:v>
                </c:pt>
                <c:pt idx="479">
                  <c:v>39417</c:v>
                </c:pt>
                <c:pt idx="480">
                  <c:v>39448</c:v>
                </c:pt>
                <c:pt idx="481">
                  <c:v>39479</c:v>
                </c:pt>
                <c:pt idx="482">
                  <c:v>39508</c:v>
                </c:pt>
                <c:pt idx="483">
                  <c:v>39539</c:v>
                </c:pt>
                <c:pt idx="484">
                  <c:v>39569</c:v>
                </c:pt>
                <c:pt idx="485">
                  <c:v>39600</c:v>
                </c:pt>
                <c:pt idx="486">
                  <c:v>39630</c:v>
                </c:pt>
                <c:pt idx="487">
                  <c:v>39661</c:v>
                </c:pt>
                <c:pt idx="488">
                  <c:v>39692</c:v>
                </c:pt>
                <c:pt idx="489">
                  <c:v>39722</c:v>
                </c:pt>
                <c:pt idx="490">
                  <c:v>39753</c:v>
                </c:pt>
                <c:pt idx="491">
                  <c:v>39783</c:v>
                </c:pt>
                <c:pt idx="492">
                  <c:v>39814</c:v>
                </c:pt>
                <c:pt idx="493">
                  <c:v>39845</c:v>
                </c:pt>
                <c:pt idx="494">
                  <c:v>39873</c:v>
                </c:pt>
                <c:pt idx="495">
                  <c:v>39904</c:v>
                </c:pt>
                <c:pt idx="496">
                  <c:v>39934</c:v>
                </c:pt>
                <c:pt idx="497">
                  <c:v>39965</c:v>
                </c:pt>
                <c:pt idx="498">
                  <c:v>39995</c:v>
                </c:pt>
                <c:pt idx="499">
                  <c:v>40026</c:v>
                </c:pt>
                <c:pt idx="500">
                  <c:v>40057</c:v>
                </c:pt>
                <c:pt idx="501">
                  <c:v>40087</c:v>
                </c:pt>
                <c:pt idx="502">
                  <c:v>40118</c:v>
                </c:pt>
                <c:pt idx="503">
                  <c:v>40148</c:v>
                </c:pt>
                <c:pt idx="504">
                  <c:v>40179</c:v>
                </c:pt>
                <c:pt idx="505">
                  <c:v>40210</c:v>
                </c:pt>
                <c:pt idx="506">
                  <c:v>40238</c:v>
                </c:pt>
                <c:pt idx="507">
                  <c:v>40269</c:v>
                </c:pt>
                <c:pt idx="508">
                  <c:v>40299</c:v>
                </c:pt>
                <c:pt idx="509">
                  <c:v>40330</c:v>
                </c:pt>
                <c:pt idx="510">
                  <c:v>40360</c:v>
                </c:pt>
                <c:pt idx="511">
                  <c:v>40391</c:v>
                </c:pt>
                <c:pt idx="512">
                  <c:v>40422</c:v>
                </c:pt>
                <c:pt idx="513">
                  <c:v>40452</c:v>
                </c:pt>
                <c:pt idx="514">
                  <c:v>40483</c:v>
                </c:pt>
                <c:pt idx="515">
                  <c:v>40513</c:v>
                </c:pt>
                <c:pt idx="516">
                  <c:v>40544</c:v>
                </c:pt>
                <c:pt idx="517">
                  <c:v>40575</c:v>
                </c:pt>
                <c:pt idx="518">
                  <c:v>40603</c:v>
                </c:pt>
                <c:pt idx="519">
                  <c:v>40634</c:v>
                </c:pt>
                <c:pt idx="520">
                  <c:v>40664</c:v>
                </c:pt>
                <c:pt idx="521">
                  <c:v>40695</c:v>
                </c:pt>
                <c:pt idx="522">
                  <c:v>40725</c:v>
                </c:pt>
                <c:pt idx="523">
                  <c:v>40756</c:v>
                </c:pt>
                <c:pt idx="524">
                  <c:v>40787</c:v>
                </c:pt>
                <c:pt idx="525">
                  <c:v>40817</c:v>
                </c:pt>
                <c:pt idx="526">
                  <c:v>40848</c:v>
                </c:pt>
                <c:pt idx="527">
                  <c:v>40878</c:v>
                </c:pt>
                <c:pt idx="528">
                  <c:v>40909</c:v>
                </c:pt>
                <c:pt idx="529">
                  <c:v>40940</c:v>
                </c:pt>
                <c:pt idx="530">
                  <c:v>40969</c:v>
                </c:pt>
                <c:pt idx="531">
                  <c:v>41000</c:v>
                </c:pt>
                <c:pt idx="532">
                  <c:v>41030</c:v>
                </c:pt>
                <c:pt idx="533">
                  <c:v>41061</c:v>
                </c:pt>
                <c:pt idx="534">
                  <c:v>41091</c:v>
                </c:pt>
                <c:pt idx="535">
                  <c:v>41122</c:v>
                </c:pt>
                <c:pt idx="536">
                  <c:v>41153</c:v>
                </c:pt>
                <c:pt idx="537">
                  <c:v>41183</c:v>
                </c:pt>
                <c:pt idx="538">
                  <c:v>41214</c:v>
                </c:pt>
                <c:pt idx="539">
                  <c:v>41244</c:v>
                </c:pt>
                <c:pt idx="540">
                  <c:v>41275</c:v>
                </c:pt>
                <c:pt idx="541">
                  <c:v>41306</c:v>
                </c:pt>
                <c:pt idx="542">
                  <c:v>41334</c:v>
                </c:pt>
                <c:pt idx="543">
                  <c:v>41365</c:v>
                </c:pt>
                <c:pt idx="544">
                  <c:v>41395</c:v>
                </c:pt>
                <c:pt idx="545">
                  <c:v>41426</c:v>
                </c:pt>
                <c:pt idx="546">
                  <c:v>41456</c:v>
                </c:pt>
                <c:pt idx="547">
                  <c:v>41487</c:v>
                </c:pt>
                <c:pt idx="548">
                  <c:v>41518</c:v>
                </c:pt>
                <c:pt idx="549">
                  <c:v>41548</c:v>
                </c:pt>
                <c:pt idx="550">
                  <c:v>41579</c:v>
                </c:pt>
                <c:pt idx="551">
                  <c:v>41609</c:v>
                </c:pt>
                <c:pt idx="552">
                  <c:v>41640</c:v>
                </c:pt>
                <c:pt idx="553">
                  <c:v>41671</c:v>
                </c:pt>
                <c:pt idx="554">
                  <c:v>41699</c:v>
                </c:pt>
                <c:pt idx="555">
                  <c:v>41730</c:v>
                </c:pt>
                <c:pt idx="556">
                  <c:v>41760</c:v>
                </c:pt>
                <c:pt idx="557">
                  <c:v>41791</c:v>
                </c:pt>
                <c:pt idx="558">
                  <c:v>41821</c:v>
                </c:pt>
                <c:pt idx="559">
                  <c:v>41852</c:v>
                </c:pt>
                <c:pt idx="560">
                  <c:v>41883</c:v>
                </c:pt>
                <c:pt idx="561">
                  <c:v>41913</c:v>
                </c:pt>
                <c:pt idx="562">
                  <c:v>41944</c:v>
                </c:pt>
                <c:pt idx="563">
                  <c:v>41974</c:v>
                </c:pt>
                <c:pt idx="564">
                  <c:v>42005</c:v>
                </c:pt>
                <c:pt idx="565">
                  <c:v>42036</c:v>
                </c:pt>
                <c:pt idx="566">
                  <c:v>42064</c:v>
                </c:pt>
                <c:pt idx="567">
                  <c:v>42095</c:v>
                </c:pt>
                <c:pt idx="568">
                  <c:v>42125</c:v>
                </c:pt>
                <c:pt idx="569">
                  <c:v>42156</c:v>
                </c:pt>
                <c:pt idx="570">
                  <c:v>42186</c:v>
                </c:pt>
                <c:pt idx="571">
                  <c:v>42217</c:v>
                </c:pt>
                <c:pt idx="572">
                  <c:v>42248</c:v>
                </c:pt>
                <c:pt idx="573">
                  <c:v>42278</c:v>
                </c:pt>
                <c:pt idx="574">
                  <c:v>42309</c:v>
                </c:pt>
                <c:pt idx="575">
                  <c:v>42339</c:v>
                </c:pt>
                <c:pt idx="576">
                  <c:v>42370</c:v>
                </c:pt>
                <c:pt idx="577">
                  <c:v>42401</c:v>
                </c:pt>
                <c:pt idx="578">
                  <c:v>42430</c:v>
                </c:pt>
                <c:pt idx="579">
                  <c:v>42461</c:v>
                </c:pt>
                <c:pt idx="580">
                  <c:v>42491</c:v>
                </c:pt>
                <c:pt idx="581">
                  <c:v>42522</c:v>
                </c:pt>
                <c:pt idx="582">
                  <c:v>42552</c:v>
                </c:pt>
                <c:pt idx="583">
                  <c:v>42583</c:v>
                </c:pt>
                <c:pt idx="584">
                  <c:v>42614</c:v>
                </c:pt>
                <c:pt idx="585">
                  <c:v>42644</c:v>
                </c:pt>
                <c:pt idx="586">
                  <c:v>42675</c:v>
                </c:pt>
                <c:pt idx="587">
                  <c:v>42705</c:v>
                </c:pt>
                <c:pt idx="588">
                  <c:v>42736</c:v>
                </c:pt>
                <c:pt idx="589">
                  <c:v>42767</c:v>
                </c:pt>
                <c:pt idx="590">
                  <c:v>42795</c:v>
                </c:pt>
                <c:pt idx="591">
                  <c:v>42826</c:v>
                </c:pt>
                <c:pt idx="592">
                  <c:v>42856</c:v>
                </c:pt>
                <c:pt idx="593">
                  <c:v>42887</c:v>
                </c:pt>
                <c:pt idx="594">
                  <c:v>42917</c:v>
                </c:pt>
                <c:pt idx="595">
                  <c:v>42948</c:v>
                </c:pt>
                <c:pt idx="596">
                  <c:v>42979</c:v>
                </c:pt>
                <c:pt idx="597">
                  <c:v>43009</c:v>
                </c:pt>
                <c:pt idx="598">
                  <c:v>43040</c:v>
                </c:pt>
                <c:pt idx="599">
                  <c:v>43070</c:v>
                </c:pt>
                <c:pt idx="600">
                  <c:v>43101</c:v>
                </c:pt>
                <c:pt idx="601">
                  <c:v>43132</c:v>
                </c:pt>
                <c:pt idx="602">
                  <c:v>43160</c:v>
                </c:pt>
                <c:pt idx="603">
                  <c:v>43191</c:v>
                </c:pt>
                <c:pt idx="604">
                  <c:v>43221</c:v>
                </c:pt>
                <c:pt idx="605">
                  <c:v>43252</c:v>
                </c:pt>
                <c:pt idx="606">
                  <c:v>43282</c:v>
                </c:pt>
                <c:pt idx="607">
                  <c:v>43313</c:v>
                </c:pt>
                <c:pt idx="608">
                  <c:v>43344</c:v>
                </c:pt>
                <c:pt idx="609">
                  <c:v>43374</c:v>
                </c:pt>
                <c:pt idx="610">
                  <c:v>43405</c:v>
                </c:pt>
                <c:pt idx="611">
                  <c:v>43435</c:v>
                </c:pt>
                <c:pt idx="612">
                  <c:v>43466</c:v>
                </c:pt>
                <c:pt idx="613">
                  <c:v>43497</c:v>
                </c:pt>
                <c:pt idx="614">
                  <c:v>43525</c:v>
                </c:pt>
                <c:pt idx="615">
                  <c:v>43556</c:v>
                </c:pt>
                <c:pt idx="616">
                  <c:v>43586</c:v>
                </c:pt>
                <c:pt idx="617">
                  <c:v>43617</c:v>
                </c:pt>
                <c:pt idx="618">
                  <c:v>43647</c:v>
                </c:pt>
                <c:pt idx="619">
                  <c:v>43678</c:v>
                </c:pt>
                <c:pt idx="620">
                  <c:v>43709</c:v>
                </c:pt>
                <c:pt idx="621">
                  <c:v>43739</c:v>
                </c:pt>
                <c:pt idx="622">
                  <c:v>43770</c:v>
                </c:pt>
                <c:pt idx="623">
                  <c:v>43800</c:v>
                </c:pt>
                <c:pt idx="624">
                  <c:v>43831</c:v>
                </c:pt>
                <c:pt idx="625">
                  <c:v>43862</c:v>
                </c:pt>
                <c:pt idx="626">
                  <c:v>43891</c:v>
                </c:pt>
                <c:pt idx="627">
                  <c:v>43922</c:v>
                </c:pt>
                <c:pt idx="628">
                  <c:v>43952</c:v>
                </c:pt>
                <c:pt idx="629">
                  <c:v>43983</c:v>
                </c:pt>
                <c:pt idx="630">
                  <c:v>44013</c:v>
                </c:pt>
                <c:pt idx="631">
                  <c:v>44044</c:v>
                </c:pt>
                <c:pt idx="632">
                  <c:v>44075</c:v>
                </c:pt>
                <c:pt idx="633">
                  <c:v>44105</c:v>
                </c:pt>
                <c:pt idx="634">
                  <c:v>44136</c:v>
                </c:pt>
                <c:pt idx="635">
                  <c:v>44166</c:v>
                </c:pt>
                <c:pt idx="636">
                  <c:v>44197</c:v>
                </c:pt>
                <c:pt idx="637">
                  <c:v>44228</c:v>
                </c:pt>
                <c:pt idx="638">
                  <c:v>44256</c:v>
                </c:pt>
                <c:pt idx="639">
                  <c:v>44287</c:v>
                </c:pt>
                <c:pt idx="640">
                  <c:v>44317</c:v>
                </c:pt>
                <c:pt idx="641">
                  <c:v>44348</c:v>
                </c:pt>
                <c:pt idx="642">
                  <c:v>44378</c:v>
                </c:pt>
                <c:pt idx="643">
                  <c:v>44409</c:v>
                </c:pt>
                <c:pt idx="644">
                  <c:v>44440</c:v>
                </c:pt>
                <c:pt idx="645">
                  <c:v>44470</c:v>
                </c:pt>
                <c:pt idx="646">
                  <c:v>44501</c:v>
                </c:pt>
                <c:pt idx="647">
                  <c:v>44531</c:v>
                </c:pt>
              </c:numCache>
            </c:numRef>
          </c:cat>
          <c:val>
            <c:numRef>
              <c:f>Completed!$B$7:$B$750</c:f>
              <c:numCache>
                <c:formatCode>General</c:formatCode>
                <c:ptCount val="744"/>
                <c:pt idx="0">
                  <c:v>1257</c:v>
                </c:pt>
                <c:pt idx="1">
                  <c:v>1174</c:v>
                </c:pt>
                <c:pt idx="2">
                  <c:v>1323</c:v>
                </c:pt>
                <c:pt idx="3">
                  <c:v>1328</c:v>
                </c:pt>
                <c:pt idx="4">
                  <c:v>1367</c:v>
                </c:pt>
                <c:pt idx="5">
                  <c:v>1184</c:v>
                </c:pt>
                <c:pt idx="6">
                  <c:v>1370</c:v>
                </c:pt>
                <c:pt idx="7">
                  <c:v>1279</c:v>
                </c:pt>
                <c:pt idx="8">
                  <c:v>1397</c:v>
                </c:pt>
                <c:pt idx="9">
                  <c:v>1348</c:v>
                </c:pt>
                <c:pt idx="10">
                  <c:v>1367</c:v>
                </c:pt>
                <c:pt idx="11">
                  <c:v>1390</c:v>
                </c:pt>
                <c:pt idx="12">
                  <c:v>1257</c:v>
                </c:pt>
                <c:pt idx="13">
                  <c:v>1414</c:v>
                </c:pt>
                <c:pt idx="14">
                  <c:v>1558</c:v>
                </c:pt>
                <c:pt idx="15">
                  <c:v>1318</c:v>
                </c:pt>
                <c:pt idx="16">
                  <c:v>1430</c:v>
                </c:pt>
                <c:pt idx="17">
                  <c:v>1455</c:v>
                </c:pt>
                <c:pt idx="18">
                  <c:v>1432</c:v>
                </c:pt>
                <c:pt idx="19">
                  <c:v>1393</c:v>
                </c:pt>
                <c:pt idx="20">
                  <c:v>1367</c:v>
                </c:pt>
                <c:pt idx="21">
                  <c:v>1406</c:v>
                </c:pt>
                <c:pt idx="22">
                  <c:v>1404</c:v>
                </c:pt>
                <c:pt idx="23">
                  <c:v>1402</c:v>
                </c:pt>
                <c:pt idx="24">
                  <c:v>1434</c:v>
                </c:pt>
                <c:pt idx="25">
                  <c:v>1430</c:v>
                </c:pt>
                <c:pt idx="26">
                  <c:v>1317</c:v>
                </c:pt>
                <c:pt idx="27">
                  <c:v>1354</c:v>
                </c:pt>
                <c:pt idx="28">
                  <c:v>1334</c:v>
                </c:pt>
                <c:pt idx="29">
                  <c:v>1431</c:v>
                </c:pt>
                <c:pt idx="30">
                  <c:v>1384</c:v>
                </c:pt>
                <c:pt idx="31">
                  <c:v>1609</c:v>
                </c:pt>
                <c:pt idx="32">
                  <c:v>1383</c:v>
                </c:pt>
                <c:pt idx="33">
                  <c:v>1437</c:v>
                </c:pt>
                <c:pt idx="34">
                  <c:v>1457</c:v>
                </c:pt>
                <c:pt idx="35">
                  <c:v>1437</c:v>
                </c:pt>
                <c:pt idx="36">
                  <c:v>1471</c:v>
                </c:pt>
                <c:pt idx="37">
                  <c:v>1448</c:v>
                </c:pt>
                <c:pt idx="38">
                  <c:v>1489</c:v>
                </c:pt>
                <c:pt idx="39">
                  <c:v>1709</c:v>
                </c:pt>
                <c:pt idx="40">
                  <c:v>1637</c:v>
                </c:pt>
                <c:pt idx="41">
                  <c:v>1637</c:v>
                </c:pt>
                <c:pt idx="42">
                  <c:v>1699</c:v>
                </c:pt>
                <c:pt idx="43">
                  <c:v>1896</c:v>
                </c:pt>
                <c:pt idx="44">
                  <c:v>1804</c:v>
                </c:pt>
                <c:pt idx="45">
                  <c:v>1815</c:v>
                </c:pt>
                <c:pt idx="46">
                  <c:v>1844</c:v>
                </c:pt>
                <c:pt idx="47">
                  <c:v>1895</c:v>
                </c:pt>
                <c:pt idx="48">
                  <c:v>1942</c:v>
                </c:pt>
                <c:pt idx="49">
                  <c:v>2061</c:v>
                </c:pt>
                <c:pt idx="50">
                  <c:v>1981</c:v>
                </c:pt>
                <c:pt idx="51">
                  <c:v>1970</c:v>
                </c:pt>
                <c:pt idx="52">
                  <c:v>1896</c:v>
                </c:pt>
                <c:pt idx="53">
                  <c:v>1936</c:v>
                </c:pt>
                <c:pt idx="54">
                  <c:v>1930</c:v>
                </c:pt>
                <c:pt idx="55">
                  <c:v>2102</c:v>
                </c:pt>
                <c:pt idx="56">
                  <c:v>2053</c:v>
                </c:pt>
                <c:pt idx="57">
                  <c:v>1995</c:v>
                </c:pt>
                <c:pt idx="58">
                  <c:v>1985</c:v>
                </c:pt>
                <c:pt idx="59">
                  <c:v>2121</c:v>
                </c:pt>
                <c:pt idx="60">
                  <c:v>2162</c:v>
                </c:pt>
                <c:pt idx="61">
                  <c:v>2124</c:v>
                </c:pt>
                <c:pt idx="62">
                  <c:v>2196</c:v>
                </c:pt>
                <c:pt idx="63">
                  <c:v>2195</c:v>
                </c:pt>
                <c:pt idx="64">
                  <c:v>2299</c:v>
                </c:pt>
                <c:pt idx="65">
                  <c:v>2258</c:v>
                </c:pt>
                <c:pt idx="66">
                  <c:v>2066</c:v>
                </c:pt>
                <c:pt idx="67">
                  <c:v>2056</c:v>
                </c:pt>
                <c:pt idx="68">
                  <c:v>2061</c:v>
                </c:pt>
                <c:pt idx="69">
                  <c:v>2052</c:v>
                </c:pt>
                <c:pt idx="70">
                  <c:v>1925</c:v>
                </c:pt>
                <c:pt idx="71">
                  <c:v>1869</c:v>
                </c:pt>
                <c:pt idx="72">
                  <c:v>1932</c:v>
                </c:pt>
                <c:pt idx="73">
                  <c:v>1938</c:v>
                </c:pt>
                <c:pt idx="74">
                  <c:v>1806</c:v>
                </c:pt>
                <c:pt idx="75">
                  <c:v>1830</c:v>
                </c:pt>
                <c:pt idx="76">
                  <c:v>1715</c:v>
                </c:pt>
                <c:pt idx="77">
                  <c:v>1897</c:v>
                </c:pt>
                <c:pt idx="78">
                  <c:v>1695</c:v>
                </c:pt>
                <c:pt idx="79">
                  <c:v>1634</c:v>
                </c:pt>
                <c:pt idx="80">
                  <c:v>1651</c:v>
                </c:pt>
                <c:pt idx="81">
                  <c:v>1630</c:v>
                </c:pt>
                <c:pt idx="82">
                  <c:v>1590</c:v>
                </c:pt>
                <c:pt idx="83">
                  <c:v>1540</c:v>
                </c:pt>
                <c:pt idx="84">
                  <c:v>1588</c:v>
                </c:pt>
                <c:pt idx="85">
                  <c:v>1346</c:v>
                </c:pt>
                <c:pt idx="86">
                  <c:v>1293</c:v>
                </c:pt>
                <c:pt idx="87">
                  <c:v>1278</c:v>
                </c:pt>
                <c:pt idx="88">
                  <c:v>1349</c:v>
                </c:pt>
                <c:pt idx="89">
                  <c:v>1234</c:v>
                </c:pt>
                <c:pt idx="90">
                  <c:v>1276</c:v>
                </c:pt>
                <c:pt idx="91">
                  <c:v>1290</c:v>
                </c:pt>
                <c:pt idx="92">
                  <c:v>1333</c:v>
                </c:pt>
                <c:pt idx="93">
                  <c:v>1134</c:v>
                </c:pt>
                <c:pt idx="94">
                  <c:v>1383</c:v>
                </c:pt>
                <c:pt idx="95">
                  <c:v>1306</c:v>
                </c:pt>
                <c:pt idx="96">
                  <c:v>1258</c:v>
                </c:pt>
                <c:pt idx="97">
                  <c:v>1311</c:v>
                </c:pt>
                <c:pt idx="98">
                  <c:v>1347</c:v>
                </c:pt>
                <c:pt idx="99">
                  <c:v>1332</c:v>
                </c:pt>
                <c:pt idx="100">
                  <c:v>1440</c:v>
                </c:pt>
                <c:pt idx="101">
                  <c:v>1390</c:v>
                </c:pt>
                <c:pt idx="102">
                  <c:v>1322</c:v>
                </c:pt>
                <c:pt idx="103">
                  <c:v>1374</c:v>
                </c:pt>
                <c:pt idx="104">
                  <c:v>1371</c:v>
                </c:pt>
                <c:pt idx="105">
                  <c:v>1388</c:v>
                </c:pt>
                <c:pt idx="106">
                  <c:v>1428</c:v>
                </c:pt>
                <c:pt idx="107">
                  <c:v>1457</c:v>
                </c:pt>
                <c:pt idx="108">
                  <c:v>1457</c:v>
                </c:pt>
                <c:pt idx="109">
                  <c:v>1655</c:v>
                </c:pt>
                <c:pt idx="110">
                  <c:v>1619</c:v>
                </c:pt>
                <c:pt idx="111">
                  <c:v>1548</c:v>
                </c:pt>
                <c:pt idx="112">
                  <c:v>1555</c:v>
                </c:pt>
                <c:pt idx="113">
                  <c:v>1636</c:v>
                </c:pt>
                <c:pt idx="114">
                  <c:v>1687</c:v>
                </c:pt>
                <c:pt idx="115">
                  <c:v>1673</c:v>
                </c:pt>
                <c:pt idx="116">
                  <c:v>1865</c:v>
                </c:pt>
                <c:pt idx="117">
                  <c:v>1675</c:v>
                </c:pt>
                <c:pt idx="118">
                  <c:v>1770</c:v>
                </c:pt>
                <c:pt idx="119">
                  <c:v>1634</c:v>
                </c:pt>
                <c:pt idx="120">
                  <c:v>1777</c:v>
                </c:pt>
                <c:pt idx="121">
                  <c:v>1719</c:v>
                </c:pt>
                <c:pt idx="122">
                  <c:v>1785</c:v>
                </c:pt>
                <c:pt idx="123">
                  <c:v>1843</c:v>
                </c:pt>
                <c:pt idx="124">
                  <c:v>1850</c:v>
                </c:pt>
                <c:pt idx="125">
                  <c:v>1905</c:v>
                </c:pt>
                <c:pt idx="126">
                  <c:v>1957</c:v>
                </c:pt>
                <c:pt idx="127">
                  <c:v>1976</c:v>
                </c:pt>
                <c:pt idx="128">
                  <c:v>1944</c:v>
                </c:pt>
                <c:pt idx="129">
                  <c:v>1885</c:v>
                </c:pt>
                <c:pt idx="130">
                  <c:v>1877</c:v>
                </c:pt>
                <c:pt idx="131">
                  <c:v>1844</c:v>
                </c:pt>
                <c:pt idx="132">
                  <c:v>1850</c:v>
                </c:pt>
                <c:pt idx="133">
                  <c:v>1845</c:v>
                </c:pt>
                <c:pt idx="134">
                  <c:v>1946</c:v>
                </c:pt>
                <c:pt idx="135">
                  <c:v>1866</c:v>
                </c:pt>
                <c:pt idx="136">
                  <c:v>2007</c:v>
                </c:pt>
                <c:pt idx="137">
                  <c:v>1853</c:v>
                </c:pt>
                <c:pt idx="138">
                  <c:v>1759</c:v>
                </c:pt>
                <c:pt idx="139">
                  <c:v>1779</c:v>
                </c:pt>
                <c:pt idx="140">
                  <c:v>1983</c:v>
                </c:pt>
                <c:pt idx="141">
                  <c:v>1832</c:v>
                </c:pt>
                <c:pt idx="142">
                  <c:v>1892</c:v>
                </c:pt>
                <c:pt idx="143">
                  <c:v>1863</c:v>
                </c:pt>
                <c:pt idx="144">
                  <c:v>1794</c:v>
                </c:pt>
                <c:pt idx="145">
                  <c:v>1803</c:v>
                </c:pt>
                <c:pt idx="146">
                  <c:v>1701</c:v>
                </c:pt>
                <c:pt idx="147">
                  <c:v>1751</c:v>
                </c:pt>
                <c:pt idx="148">
                  <c:v>1532</c:v>
                </c:pt>
                <c:pt idx="149">
                  <c:v>1480</c:v>
                </c:pt>
                <c:pt idx="150">
                  <c:v>1472</c:v>
                </c:pt>
                <c:pt idx="151">
                  <c:v>1440</c:v>
                </c:pt>
                <c:pt idx="152">
                  <c:v>1267</c:v>
                </c:pt>
                <c:pt idx="153">
                  <c:v>1272</c:v>
                </c:pt>
                <c:pt idx="154">
                  <c:v>1313</c:v>
                </c:pt>
                <c:pt idx="155">
                  <c:v>1378</c:v>
                </c:pt>
                <c:pt idx="156">
                  <c:v>1270</c:v>
                </c:pt>
                <c:pt idx="157">
                  <c:v>1395</c:v>
                </c:pt>
                <c:pt idx="158">
                  <c:v>1377</c:v>
                </c:pt>
                <c:pt idx="159">
                  <c:v>1469</c:v>
                </c:pt>
                <c:pt idx="160">
                  <c:v>1246</c:v>
                </c:pt>
                <c:pt idx="161">
                  <c:v>1350</c:v>
                </c:pt>
                <c:pt idx="162">
                  <c:v>1337</c:v>
                </c:pt>
                <c:pt idx="163">
                  <c:v>1222</c:v>
                </c:pt>
                <c:pt idx="164">
                  <c:v>1221</c:v>
                </c:pt>
                <c:pt idx="165">
                  <c:v>1206</c:v>
                </c:pt>
                <c:pt idx="166">
                  <c:v>1074</c:v>
                </c:pt>
                <c:pt idx="167">
                  <c:v>1129</c:v>
                </c:pt>
                <c:pt idx="168">
                  <c:v>1052</c:v>
                </c:pt>
                <c:pt idx="169">
                  <c:v>935</c:v>
                </c:pt>
                <c:pt idx="170">
                  <c:v>965</c:v>
                </c:pt>
                <c:pt idx="171">
                  <c:v>979</c:v>
                </c:pt>
                <c:pt idx="172">
                  <c:v>1060</c:v>
                </c:pt>
                <c:pt idx="173">
                  <c:v>930</c:v>
                </c:pt>
                <c:pt idx="174">
                  <c:v>1006</c:v>
                </c:pt>
                <c:pt idx="175">
                  <c:v>985</c:v>
                </c:pt>
                <c:pt idx="176">
                  <c:v>947</c:v>
                </c:pt>
                <c:pt idx="177">
                  <c:v>1059</c:v>
                </c:pt>
                <c:pt idx="178">
                  <c:v>1079</c:v>
                </c:pt>
                <c:pt idx="179">
                  <c:v>1047</c:v>
                </c:pt>
                <c:pt idx="180">
                  <c:v>1187</c:v>
                </c:pt>
                <c:pt idx="181">
                  <c:v>1135</c:v>
                </c:pt>
                <c:pt idx="182">
                  <c:v>1168</c:v>
                </c:pt>
                <c:pt idx="183">
                  <c:v>1197</c:v>
                </c:pt>
                <c:pt idx="184">
                  <c:v>1300</c:v>
                </c:pt>
                <c:pt idx="185">
                  <c:v>1344</c:v>
                </c:pt>
                <c:pt idx="186">
                  <c:v>1410</c:v>
                </c:pt>
                <c:pt idx="187">
                  <c:v>1711</c:v>
                </c:pt>
                <c:pt idx="188">
                  <c:v>1493</c:v>
                </c:pt>
                <c:pt idx="189">
                  <c:v>1586</c:v>
                </c:pt>
                <c:pt idx="190">
                  <c:v>1462</c:v>
                </c:pt>
                <c:pt idx="191">
                  <c:v>1509</c:v>
                </c:pt>
                <c:pt idx="192">
                  <c:v>1595</c:v>
                </c:pt>
                <c:pt idx="193">
                  <c:v>1562</c:v>
                </c:pt>
                <c:pt idx="194">
                  <c:v>1600</c:v>
                </c:pt>
                <c:pt idx="195">
                  <c:v>1683</c:v>
                </c:pt>
                <c:pt idx="196">
                  <c:v>1732</c:v>
                </c:pt>
                <c:pt idx="197">
                  <c:v>1714</c:v>
                </c:pt>
                <c:pt idx="198">
                  <c:v>1692</c:v>
                </c:pt>
                <c:pt idx="199">
                  <c:v>1685</c:v>
                </c:pt>
                <c:pt idx="200">
                  <c:v>1642</c:v>
                </c:pt>
                <c:pt idx="201">
                  <c:v>1633</c:v>
                </c:pt>
                <c:pt idx="202">
                  <c:v>1611</c:v>
                </c:pt>
                <c:pt idx="203">
                  <c:v>1629</c:v>
                </c:pt>
                <c:pt idx="204">
                  <c:v>1646</c:v>
                </c:pt>
                <c:pt idx="205">
                  <c:v>1772</c:v>
                </c:pt>
                <c:pt idx="206">
                  <c:v>1715</c:v>
                </c:pt>
                <c:pt idx="207">
                  <c:v>1630</c:v>
                </c:pt>
                <c:pt idx="208">
                  <c:v>1665</c:v>
                </c:pt>
                <c:pt idx="209">
                  <c:v>1791</c:v>
                </c:pt>
                <c:pt idx="210">
                  <c:v>1693</c:v>
                </c:pt>
                <c:pt idx="211">
                  <c:v>1685</c:v>
                </c:pt>
                <c:pt idx="212">
                  <c:v>1806</c:v>
                </c:pt>
                <c:pt idx="213">
                  <c:v>1565</c:v>
                </c:pt>
                <c:pt idx="214">
                  <c:v>1749</c:v>
                </c:pt>
                <c:pt idx="215">
                  <c:v>1732</c:v>
                </c:pt>
                <c:pt idx="216">
                  <c:v>1723</c:v>
                </c:pt>
                <c:pt idx="217">
                  <c:v>1753</c:v>
                </c:pt>
                <c:pt idx="218">
                  <c:v>1756</c:v>
                </c:pt>
                <c:pt idx="219">
                  <c:v>1685</c:v>
                </c:pt>
                <c:pt idx="220">
                  <c:v>1833</c:v>
                </c:pt>
                <c:pt idx="221">
                  <c:v>1672</c:v>
                </c:pt>
                <c:pt idx="222">
                  <c:v>1722</c:v>
                </c:pt>
                <c:pt idx="223">
                  <c:v>1763</c:v>
                </c:pt>
                <c:pt idx="224">
                  <c:v>1732</c:v>
                </c:pt>
                <c:pt idx="225">
                  <c:v>1782</c:v>
                </c:pt>
                <c:pt idx="226">
                  <c:v>1793</c:v>
                </c:pt>
                <c:pt idx="227">
                  <c:v>1840</c:v>
                </c:pt>
                <c:pt idx="228">
                  <c:v>1862</c:v>
                </c:pt>
                <c:pt idx="229">
                  <c:v>1771</c:v>
                </c:pt>
                <c:pt idx="230">
                  <c:v>1694</c:v>
                </c:pt>
                <c:pt idx="231">
                  <c:v>1735</c:v>
                </c:pt>
                <c:pt idx="232">
                  <c:v>1713</c:v>
                </c:pt>
                <c:pt idx="233">
                  <c:v>1635</c:v>
                </c:pt>
                <c:pt idx="234">
                  <c:v>1685</c:v>
                </c:pt>
                <c:pt idx="235">
                  <c:v>1624</c:v>
                </c:pt>
                <c:pt idx="236">
                  <c:v>1587</c:v>
                </c:pt>
                <c:pt idx="237">
                  <c:v>1577</c:v>
                </c:pt>
                <c:pt idx="238">
                  <c:v>1578</c:v>
                </c:pt>
                <c:pt idx="239">
                  <c:v>1632</c:v>
                </c:pt>
                <c:pt idx="240">
                  <c:v>1554</c:v>
                </c:pt>
                <c:pt idx="241">
                  <c:v>1450</c:v>
                </c:pt>
                <c:pt idx="242">
                  <c:v>1600</c:v>
                </c:pt>
                <c:pt idx="243">
                  <c:v>1615</c:v>
                </c:pt>
                <c:pt idx="244">
                  <c:v>1483</c:v>
                </c:pt>
                <c:pt idx="245">
                  <c:v>1512</c:v>
                </c:pt>
                <c:pt idx="246">
                  <c:v>1527</c:v>
                </c:pt>
                <c:pt idx="247">
                  <c:v>1551</c:v>
                </c:pt>
                <c:pt idx="248">
                  <c:v>1531</c:v>
                </c:pt>
                <c:pt idx="249">
                  <c:v>1529</c:v>
                </c:pt>
                <c:pt idx="250">
                  <c:v>1407</c:v>
                </c:pt>
                <c:pt idx="251">
                  <c:v>1547</c:v>
                </c:pt>
                <c:pt idx="252">
                  <c:v>1561</c:v>
                </c:pt>
                <c:pt idx="253">
                  <c:v>1597</c:v>
                </c:pt>
                <c:pt idx="254">
                  <c:v>1442</c:v>
                </c:pt>
                <c:pt idx="255">
                  <c:v>1542</c:v>
                </c:pt>
                <c:pt idx="256">
                  <c:v>1449</c:v>
                </c:pt>
                <c:pt idx="257">
                  <c:v>1346</c:v>
                </c:pt>
                <c:pt idx="258">
                  <c:v>1386</c:v>
                </c:pt>
                <c:pt idx="259">
                  <c:v>1429</c:v>
                </c:pt>
                <c:pt idx="260">
                  <c:v>1338</c:v>
                </c:pt>
                <c:pt idx="261">
                  <c:v>1333</c:v>
                </c:pt>
                <c:pt idx="262">
                  <c:v>1475</c:v>
                </c:pt>
                <c:pt idx="263">
                  <c:v>1304</c:v>
                </c:pt>
                <c:pt idx="264">
                  <c:v>1508</c:v>
                </c:pt>
                <c:pt idx="265">
                  <c:v>1352</c:v>
                </c:pt>
                <c:pt idx="266">
                  <c:v>1345</c:v>
                </c:pt>
                <c:pt idx="267">
                  <c:v>1332</c:v>
                </c:pt>
                <c:pt idx="268">
                  <c:v>1351</c:v>
                </c:pt>
                <c:pt idx="269">
                  <c:v>1263</c:v>
                </c:pt>
                <c:pt idx="270">
                  <c:v>1295</c:v>
                </c:pt>
                <c:pt idx="271">
                  <c:v>1307</c:v>
                </c:pt>
                <c:pt idx="272">
                  <c:v>1312</c:v>
                </c:pt>
                <c:pt idx="273">
                  <c:v>1282</c:v>
                </c:pt>
                <c:pt idx="274">
                  <c:v>1248</c:v>
                </c:pt>
                <c:pt idx="275">
                  <c:v>1173</c:v>
                </c:pt>
                <c:pt idx="276">
                  <c:v>1149</c:v>
                </c:pt>
                <c:pt idx="277">
                  <c:v>1090</c:v>
                </c:pt>
                <c:pt idx="278">
                  <c:v>1176</c:v>
                </c:pt>
                <c:pt idx="279">
                  <c:v>1093</c:v>
                </c:pt>
                <c:pt idx="280">
                  <c:v>1070</c:v>
                </c:pt>
                <c:pt idx="281">
                  <c:v>1093</c:v>
                </c:pt>
                <c:pt idx="282">
                  <c:v>1076</c:v>
                </c:pt>
                <c:pt idx="283">
                  <c:v>1050</c:v>
                </c:pt>
                <c:pt idx="284">
                  <c:v>1216</c:v>
                </c:pt>
                <c:pt idx="285">
                  <c:v>1076</c:v>
                </c:pt>
                <c:pt idx="286">
                  <c:v>1013</c:v>
                </c:pt>
                <c:pt idx="287">
                  <c:v>1002</c:v>
                </c:pt>
                <c:pt idx="288">
                  <c:v>1061</c:v>
                </c:pt>
                <c:pt idx="289">
                  <c:v>1098</c:v>
                </c:pt>
                <c:pt idx="290">
                  <c:v>1128</c:v>
                </c:pt>
                <c:pt idx="291">
                  <c:v>1083</c:v>
                </c:pt>
                <c:pt idx="292">
                  <c:v>1187</c:v>
                </c:pt>
                <c:pt idx="293">
                  <c:v>1189</c:v>
                </c:pt>
                <c:pt idx="294">
                  <c:v>1251</c:v>
                </c:pt>
                <c:pt idx="295">
                  <c:v>1140</c:v>
                </c:pt>
                <c:pt idx="296">
                  <c:v>1123</c:v>
                </c:pt>
                <c:pt idx="297">
                  <c:v>1139</c:v>
                </c:pt>
                <c:pt idx="298">
                  <c:v>1224</c:v>
                </c:pt>
                <c:pt idx="299">
                  <c:v>1199</c:v>
                </c:pt>
                <c:pt idx="300">
                  <c:v>1135</c:v>
                </c:pt>
                <c:pt idx="301">
                  <c:v>1236</c:v>
                </c:pt>
                <c:pt idx="302">
                  <c:v>1105</c:v>
                </c:pt>
                <c:pt idx="303">
                  <c:v>1216</c:v>
                </c:pt>
                <c:pt idx="304">
                  <c:v>1111</c:v>
                </c:pt>
                <c:pt idx="305">
                  <c:v>1193</c:v>
                </c:pt>
                <c:pt idx="306">
                  <c:v>1090</c:v>
                </c:pt>
                <c:pt idx="307">
                  <c:v>1264</c:v>
                </c:pt>
                <c:pt idx="308">
                  <c:v>1172</c:v>
                </c:pt>
                <c:pt idx="309">
                  <c:v>1246</c:v>
                </c:pt>
                <c:pt idx="310">
                  <c:v>1235</c:v>
                </c:pt>
                <c:pt idx="311">
                  <c:v>1289</c:v>
                </c:pt>
                <c:pt idx="312">
                  <c:v>1228</c:v>
                </c:pt>
                <c:pt idx="313">
                  <c:v>1353</c:v>
                </c:pt>
                <c:pt idx="314">
                  <c:v>1257</c:v>
                </c:pt>
                <c:pt idx="315">
                  <c:v>1374</c:v>
                </c:pt>
                <c:pt idx="316">
                  <c:v>1430</c:v>
                </c:pt>
                <c:pt idx="317">
                  <c:v>1336</c:v>
                </c:pt>
                <c:pt idx="318">
                  <c:v>1281</c:v>
                </c:pt>
                <c:pt idx="319">
                  <c:v>1348</c:v>
                </c:pt>
                <c:pt idx="320">
                  <c:v>1414</c:v>
                </c:pt>
                <c:pt idx="321">
                  <c:v>1378</c:v>
                </c:pt>
                <c:pt idx="322">
                  <c:v>1365</c:v>
                </c:pt>
                <c:pt idx="323">
                  <c:v>1386</c:v>
                </c:pt>
                <c:pt idx="324">
                  <c:v>1423</c:v>
                </c:pt>
                <c:pt idx="325">
                  <c:v>1294</c:v>
                </c:pt>
                <c:pt idx="326">
                  <c:v>1413</c:v>
                </c:pt>
                <c:pt idx="327">
                  <c:v>1342</c:v>
                </c:pt>
                <c:pt idx="328">
                  <c:v>1326</c:v>
                </c:pt>
                <c:pt idx="329">
                  <c:v>1242</c:v>
                </c:pt>
                <c:pt idx="330">
                  <c:v>1352</c:v>
                </c:pt>
                <c:pt idx="331">
                  <c:v>1265</c:v>
                </c:pt>
                <c:pt idx="332">
                  <c:v>1279</c:v>
                </c:pt>
                <c:pt idx="333">
                  <c:v>1335</c:v>
                </c:pt>
                <c:pt idx="334">
                  <c:v>1360</c:v>
                </c:pt>
                <c:pt idx="335">
                  <c:v>1200</c:v>
                </c:pt>
                <c:pt idx="336">
                  <c:v>1402</c:v>
                </c:pt>
                <c:pt idx="337">
                  <c:v>1317</c:v>
                </c:pt>
                <c:pt idx="338">
                  <c:v>1369</c:v>
                </c:pt>
                <c:pt idx="339">
                  <c:v>1327</c:v>
                </c:pt>
                <c:pt idx="340">
                  <c:v>1423</c:v>
                </c:pt>
                <c:pt idx="341">
                  <c:v>1437</c:v>
                </c:pt>
                <c:pt idx="342">
                  <c:v>1453</c:v>
                </c:pt>
                <c:pt idx="343">
                  <c:v>1468</c:v>
                </c:pt>
                <c:pt idx="344">
                  <c:v>1379</c:v>
                </c:pt>
                <c:pt idx="345">
                  <c:v>1392</c:v>
                </c:pt>
                <c:pt idx="346">
                  <c:v>1413</c:v>
                </c:pt>
                <c:pt idx="347">
                  <c:v>1487</c:v>
                </c:pt>
                <c:pt idx="348">
                  <c:v>1377</c:v>
                </c:pt>
                <c:pt idx="349">
                  <c:v>1545</c:v>
                </c:pt>
                <c:pt idx="350">
                  <c:v>1445</c:v>
                </c:pt>
                <c:pt idx="351">
                  <c:v>1438</c:v>
                </c:pt>
                <c:pt idx="352">
                  <c:v>1400</c:v>
                </c:pt>
                <c:pt idx="353">
                  <c:v>1315</c:v>
                </c:pt>
                <c:pt idx="354">
                  <c:v>1313</c:v>
                </c:pt>
                <c:pt idx="355">
                  <c:v>1332</c:v>
                </c:pt>
                <c:pt idx="356">
                  <c:v>1442</c:v>
                </c:pt>
                <c:pt idx="357">
                  <c:v>1396</c:v>
                </c:pt>
                <c:pt idx="358">
                  <c:v>1420</c:v>
                </c:pt>
                <c:pt idx="359">
                  <c:v>1428</c:v>
                </c:pt>
                <c:pt idx="360">
                  <c:v>1316</c:v>
                </c:pt>
                <c:pt idx="361">
                  <c:v>1441</c:v>
                </c:pt>
                <c:pt idx="362">
                  <c:v>1477</c:v>
                </c:pt>
                <c:pt idx="363">
                  <c:v>1498</c:v>
                </c:pt>
                <c:pt idx="364">
                  <c:v>1465</c:v>
                </c:pt>
                <c:pt idx="365">
                  <c:v>1467</c:v>
                </c:pt>
                <c:pt idx="366">
                  <c:v>1552</c:v>
                </c:pt>
                <c:pt idx="367">
                  <c:v>1521</c:v>
                </c:pt>
                <c:pt idx="368">
                  <c:v>1452</c:v>
                </c:pt>
                <c:pt idx="369">
                  <c:v>1452</c:v>
                </c:pt>
                <c:pt idx="370">
                  <c:v>1604</c:v>
                </c:pt>
                <c:pt idx="371">
                  <c:v>1433</c:v>
                </c:pt>
                <c:pt idx="372">
                  <c:v>1599</c:v>
                </c:pt>
                <c:pt idx="373">
                  <c:v>1459</c:v>
                </c:pt>
                <c:pt idx="374">
                  <c:v>1673</c:v>
                </c:pt>
                <c:pt idx="375">
                  <c:v>1580</c:v>
                </c:pt>
                <c:pt idx="376">
                  <c:v>1623</c:v>
                </c:pt>
                <c:pt idx="377">
                  <c:v>1648</c:v>
                </c:pt>
                <c:pt idx="378">
                  <c:v>1597</c:v>
                </c:pt>
                <c:pt idx="379">
                  <c:v>1563</c:v>
                </c:pt>
                <c:pt idx="380">
                  <c:v>1643</c:v>
                </c:pt>
                <c:pt idx="381">
                  <c:v>1593</c:v>
                </c:pt>
                <c:pt idx="382">
                  <c:v>1596</c:v>
                </c:pt>
                <c:pt idx="383">
                  <c:v>1659</c:v>
                </c:pt>
                <c:pt idx="384">
                  <c:v>1574</c:v>
                </c:pt>
                <c:pt idx="385">
                  <c:v>1677</c:v>
                </c:pt>
                <c:pt idx="386">
                  <c:v>1704</c:v>
                </c:pt>
                <c:pt idx="387">
                  <c:v>1610</c:v>
                </c:pt>
                <c:pt idx="388">
                  <c:v>1682</c:v>
                </c:pt>
                <c:pt idx="389">
                  <c:v>1530</c:v>
                </c:pt>
                <c:pt idx="390">
                  <c:v>1495</c:v>
                </c:pt>
                <c:pt idx="391">
                  <c:v>1573</c:v>
                </c:pt>
                <c:pt idx="392">
                  <c:v>1528</c:v>
                </c:pt>
                <c:pt idx="393">
                  <c:v>1513</c:v>
                </c:pt>
                <c:pt idx="394">
                  <c:v>1539</c:v>
                </c:pt>
                <c:pt idx="395">
                  <c:v>1521</c:v>
                </c:pt>
                <c:pt idx="396">
                  <c:v>1456</c:v>
                </c:pt>
                <c:pt idx="397">
                  <c:v>1536</c:v>
                </c:pt>
                <c:pt idx="398">
                  <c:v>1470</c:v>
                </c:pt>
                <c:pt idx="399">
                  <c:v>1574</c:v>
                </c:pt>
                <c:pt idx="400">
                  <c:v>1497</c:v>
                </c:pt>
                <c:pt idx="401">
                  <c:v>1654</c:v>
                </c:pt>
                <c:pt idx="402">
                  <c:v>1582</c:v>
                </c:pt>
                <c:pt idx="403">
                  <c:v>1615</c:v>
                </c:pt>
                <c:pt idx="404">
                  <c:v>1551</c:v>
                </c:pt>
                <c:pt idx="405">
                  <c:v>1599</c:v>
                </c:pt>
                <c:pt idx="406">
                  <c:v>1555</c:v>
                </c:pt>
                <c:pt idx="407">
                  <c:v>1693</c:v>
                </c:pt>
                <c:pt idx="408">
                  <c:v>1632</c:v>
                </c:pt>
                <c:pt idx="409">
                  <c:v>1671</c:v>
                </c:pt>
                <c:pt idx="410">
                  <c:v>1559</c:v>
                </c:pt>
                <c:pt idx="411">
                  <c:v>1625</c:v>
                </c:pt>
                <c:pt idx="412">
                  <c:v>1705</c:v>
                </c:pt>
                <c:pt idx="413">
                  <c:v>1589</c:v>
                </c:pt>
                <c:pt idx="414">
                  <c:v>1615</c:v>
                </c:pt>
                <c:pt idx="415">
                  <c:v>1722</c:v>
                </c:pt>
                <c:pt idx="416">
                  <c:v>1641</c:v>
                </c:pt>
                <c:pt idx="417">
                  <c:v>1601</c:v>
                </c:pt>
                <c:pt idx="418">
                  <c:v>1718</c:v>
                </c:pt>
                <c:pt idx="419">
                  <c:v>1671</c:v>
                </c:pt>
                <c:pt idx="420">
                  <c:v>1654</c:v>
                </c:pt>
                <c:pt idx="421">
                  <c:v>1688</c:v>
                </c:pt>
                <c:pt idx="422">
                  <c:v>1638</c:v>
                </c:pt>
                <c:pt idx="423">
                  <c:v>1662</c:v>
                </c:pt>
                <c:pt idx="424">
                  <c:v>1733</c:v>
                </c:pt>
                <c:pt idx="425">
                  <c:v>1641</c:v>
                </c:pt>
                <c:pt idx="426">
                  <c:v>1680</c:v>
                </c:pt>
                <c:pt idx="427">
                  <c:v>1570</c:v>
                </c:pt>
                <c:pt idx="428">
                  <c:v>1719</c:v>
                </c:pt>
                <c:pt idx="429">
                  <c:v>1728</c:v>
                </c:pt>
                <c:pt idx="430">
                  <c:v>1692</c:v>
                </c:pt>
                <c:pt idx="431">
                  <c:v>1716</c:v>
                </c:pt>
                <c:pt idx="432">
                  <c:v>1709</c:v>
                </c:pt>
                <c:pt idx="433">
                  <c:v>1718</c:v>
                </c:pt>
                <c:pt idx="434">
                  <c:v>1794</c:v>
                </c:pt>
                <c:pt idx="435">
                  <c:v>1938</c:v>
                </c:pt>
                <c:pt idx="436">
                  <c:v>1893</c:v>
                </c:pt>
                <c:pt idx="437">
                  <c:v>1857</c:v>
                </c:pt>
                <c:pt idx="438">
                  <c:v>1881</c:v>
                </c:pt>
                <c:pt idx="439">
                  <c:v>1911</c:v>
                </c:pt>
                <c:pt idx="440">
                  <c:v>1796</c:v>
                </c:pt>
                <c:pt idx="441">
                  <c:v>1839</c:v>
                </c:pt>
                <c:pt idx="442">
                  <c:v>1758</c:v>
                </c:pt>
                <c:pt idx="443">
                  <c:v>1921</c:v>
                </c:pt>
                <c:pt idx="444">
                  <c:v>1892</c:v>
                </c:pt>
                <c:pt idx="445">
                  <c:v>1908</c:v>
                </c:pt>
                <c:pt idx="446">
                  <c:v>1787</c:v>
                </c:pt>
                <c:pt idx="447">
                  <c:v>1927</c:v>
                </c:pt>
                <c:pt idx="448">
                  <c:v>2103</c:v>
                </c:pt>
                <c:pt idx="449">
                  <c:v>1965</c:v>
                </c:pt>
                <c:pt idx="450">
                  <c:v>1886</c:v>
                </c:pt>
                <c:pt idx="451">
                  <c:v>1952</c:v>
                </c:pt>
                <c:pt idx="452">
                  <c:v>1922</c:v>
                </c:pt>
                <c:pt idx="453">
                  <c:v>1962</c:v>
                </c:pt>
                <c:pt idx="454">
                  <c:v>1907</c:v>
                </c:pt>
                <c:pt idx="455">
                  <c:v>1941</c:v>
                </c:pt>
                <c:pt idx="456">
                  <c:v>2036</c:v>
                </c:pt>
                <c:pt idx="457">
                  <c:v>2048</c:v>
                </c:pt>
                <c:pt idx="458">
                  <c:v>2245</c:v>
                </c:pt>
                <c:pt idx="459">
                  <c:v>2071</c:v>
                </c:pt>
                <c:pt idx="460">
                  <c:v>1897</c:v>
                </c:pt>
                <c:pt idx="461">
                  <c:v>2050</c:v>
                </c:pt>
                <c:pt idx="462">
                  <c:v>1934</c:v>
                </c:pt>
                <c:pt idx="463">
                  <c:v>1877</c:v>
                </c:pt>
                <c:pt idx="464">
                  <c:v>2011</c:v>
                </c:pt>
                <c:pt idx="465">
                  <c:v>1918</c:v>
                </c:pt>
                <c:pt idx="466">
                  <c:v>1893</c:v>
                </c:pt>
                <c:pt idx="467">
                  <c:v>1888</c:v>
                </c:pt>
                <c:pt idx="468">
                  <c:v>1822</c:v>
                </c:pt>
                <c:pt idx="469">
                  <c:v>1640</c:v>
                </c:pt>
                <c:pt idx="470">
                  <c:v>1623</c:v>
                </c:pt>
                <c:pt idx="471">
                  <c:v>1539</c:v>
                </c:pt>
                <c:pt idx="472">
                  <c:v>1536</c:v>
                </c:pt>
                <c:pt idx="473">
                  <c:v>1481</c:v>
                </c:pt>
                <c:pt idx="474">
                  <c:v>1534</c:v>
                </c:pt>
                <c:pt idx="475">
                  <c:v>1512</c:v>
                </c:pt>
                <c:pt idx="476">
                  <c:v>1356</c:v>
                </c:pt>
                <c:pt idx="477">
                  <c:v>1405</c:v>
                </c:pt>
                <c:pt idx="478">
                  <c:v>1390</c:v>
                </c:pt>
                <c:pt idx="479">
                  <c:v>1328</c:v>
                </c:pt>
                <c:pt idx="480">
                  <c:v>1331</c:v>
                </c:pt>
                <c:pt idx="481">
                  <c:v>1274</c:v>
                </c:pt>
                <c:pt idx="482">
                  <c:v>1195</c:v>
                </c:pt>
                <c:pt idx="483">
                  <c:v>1022</c:v>
                </c:pt>
                <c:pt idx="484">
                  <c:v>1142</c:v>
                </c:pt>
                <c:pt idx="485">
                  <c:v>1142</c:v>
                </c:pt>
                <c:pt idx="486">
                  <c:v>1087</c:v>
                </c:pt>
                <c:pt idx="487">
                  <c:v>1017</c:v>
                </c:pt>
                <c:pt idx="488">
                  <c:v>1160</c:v>
                </c:pt>
                <c:pt idx="489">
                  <c:v>1055</c:v>
                </c:pt>
                <c:pt idx="490">
                  <c:v>1076</c:v>
                </c:pt>
                <c:pt idx="491">
                  <c:v>1021</c:v>
                </c:pt>
                <c:pt idx="492">
                  <c:v>777</c:v>
                </c:pt>
                <c:pt idx="493">
                  <c:v>819</c:v>
                </c:pt>
                <c:pt idx="494">
                  <c:v>839</c:v>
                </c:pt>
                <c:pt idx="495">
                  <c:v>846</c:v>
                </c:pt>
                <c:pt idx="496">
                  <c:v>818</c:v>
                </c:pt>
                <c:pt idx="497">
                  <c:v>797</c:v>
                </c:pt>
                <c:pt idx="498">
                  <c:v>797</c:v>
                </c:pt>
                <c:pt idx="499">
                  <c:v>792</c:v>
                </c:pt>
                <c:pt idx="500">
                  <c:v>721</c:v>
                </c:pt>
                <c:pt idx="501">
                  <c:v>746</c:v>
                </c:pt>
                <c:pt idx="502">
                  <c:v>844</c:v>
                </c:pt>
                <c:pt idx="503">
                  <c:v>750</c:v>
                </c:pt>
                <c:pt idx="504">
                  <c:v>689</c:v>
                </c:pt>
                <c:pt idx="505">
                  <c:v>670</c:v>
                </c:pt>
                <c:pt idx="506">
                  <c:v>635</c:v>
                </c:pt>
                <c:pt idx="507">
                  <c:v>737</c:v>
                </c:pt>
                <c:pt idx="508">
                  <c:v>702</c:v>
                </c:pt>
                <c:pt idx="509">
                  <c:v>894</c:v>
                </c:pt>
                <c:pt idx="510">
                  <c:v>572</c:v>
                </c:pt>
                <c:pt idx="511">
                  <c:v>592</c:v>
                </c:pt>
                <c:pt idx="512">
                  <c:v>632</c:v>
                </c:pt>
                <c:pt idx="513">
                  <c:v>605</c:v>
                </c:pt>
                <c:pt idx="514">
                  <c:v>552</c:v>
                </c:pt>
                <c:pt idx="515">
                  <c:v>565</c:v>
                </c:pt>
                <c:pt idx="516">
                  <c:v>520</c:v>
                </c:pt>
                <c:pt idx="517">
                  <c:v>615</c:v>
                </c:pt>
                <c:pt idx="518">
                  <c:v>591</c:v>
                </c:pt>
                <c:pt idx="519">
                  <c:v>549</c:v>
                </c:pt>
                <c:pt idx="520">
                  <c:v>549</c:v>
                </c:pt>
                <c:pt idx="521">
                  <c:v>579</c:v>
                </c:pt>
                <c:pt idx="522">
                  <c:v>634</c:v>
                </c:pt>
                <c:pt idx="523">
                  <c:v>614</c:v>
                </c:pt>
                <c:pt idx="524">
                  <c:v>603</c:v>
                </c:pt>
                <c:pt idx="525">
                  <c:v>566</c:v>
                </c:pt>
                <c:pt idx="526">
                  <c:v>585</c:v>
                </c:pt>
                <c:pt idx="527">
                  <c:v>610</c:v>
                </c:pt>
                <c:pt idx="528">
                  <c:v>545</c:v>
                </c:pt>
                <c:pt idx="529">
                  <c:v>561</c:v>
                </c:pt>
                <c:pt idx="530">
                  <c:v>582</c:v>
                </c:pt>
                <c:pt idx="531">
                  <c:v>671</c:v>
                </c:pt>
                <c:pt idx="532">
                  <c:v>626</c:v>
                </c:pt>
                <c:pt idx="533">
                  <c:v>625</c:v>
                </c:pt>
                <c:pt idx="534">
                  <c:v>676</c:v>
                </c:pt>
                <c:pt idx="535">
                  <c:v>684</c:v>
                </c:pt>
                <c:pt idx="536">
                  <c:v>652</c:v>
                </c:pt>
                <c:pt idx="537">
                  <c:v>730</c:v>
                </c:pt>
                <c:pt idx="538">
                  <c:v>668</c:v>
                </c:pt>
                <c:pt idx="539">
                  <c:v>677</c:v>
                </c:pt>
                <c:pt idx="540">
                  <c:v>714</c:v>
                </c:pt>
                <c:pt idx="541">
                  <c:v>729</c:v>
                </c:pt>
                <c:pt idx="542">
                  <c:v>816</c:v>
                </c:pt>
                <c:pt idx="543">
                  <c:v>712</c:v>
                </c:pt>
                <c:pt idx="544">
                  <c:v>708</c:v>
                </c:pt>
                <c:pt idx="545">
                  <c:v>736</c:v>
                </c:pt>
                <c:pt idx="546">
                  <c:v>784</c:v>
                </c:pt>
                <c:pt idx="547">
                  <c:v>765</c:v>
                </c:pt>
                <c:pt idx="548">
                  <c:v>776</c:v>
                </c:pt>
                <c:pt idx="549">
                  <c:v>801</c:v>
                </c:pt>
                <c:pt idx="550">
                  <c:v>839</c:v>
                </c:pt>
                <c:pt idx="551">
                  <c:v>778</c:v>
                </c:pt>
                <c:pt idx="552">
                  <c:v>838</c:v>
                </c:pt>
                <c:pt idx="553">
                  <c:v>876</c:v>
                </c:pt>
                <c:pt idx="554">
                  <c:v>893</c:v>
                </c:pt>
                <c:pt idx="555">
                  <c:v>834</c:v>
                </c:pt>
                <c:pt idx="556">
                  <c:v>891</c:v>
                </c:pt>
                <c:pt idx="557">
                  <c:v>800</c:v>
                </c:pt>
                <c:pt idx="558">
                  <c:v>839</c:v>
                </c:pt>
                <c:pt idx="559">
                  <c:v>908</c:v>
                </c:pt>
                <c:pt idx="560">
                  <c:v>975</c:v>
                </c:pt>
                <c:pt idx="561">
                  <c:v>920</c:v>
                </c:pt>
                <c:pt idx="562">
                  <c:v>863</c:v>
                </c:pt>
                <c:pt idx="563">
                  <c:v>955</c:v>
                </c:pt>
                <c:pt idx="564">
                  <c:v>954</c:v>
                </c:pt>
                <c:pt idx="565">
                  <c:v>863</c:v>
                </c:pt>
                <c:pt idx="566">
                  <c:v>781</c:v>
                </c:pt>
                <c:pt idx="567">
                  <c:v>1001</c:v>
                </c:pt>
                <c:pt idx="568">
                  <c:v>1012</c:v>
                </c:pt>
                <c:pt idx="569">
                  <c:v>962</c:v>
                </c:pt>
                <c:pt idx="570">
                  <c:v>988</c:v>
                </c:pt>
                <c:pt idx="571">
                  <c:v>974</c:v>
                </c:pt>
                <c:pt idx="572">
                  <c:v>1040</c:v>
                </c:pt>
                <c:pt idx="573">
                  <c:v>985</c:v>
                </c:pt>
                <c:pt idx="574">
                  <c:v>1000</c:v>
                </c:pt>
                <c:pt idx="575">
                  <c:v>1023</c:v>
                </c:pt>
                <c:pt idx="576">
                  <c:v>1056</c:v>
                </c:pt>
                <c:pt idx="577">
                  <c:v>1037</c:v>
                </c:pt>
                <c:pt idx="578">
                  <c:v>1003</c:v>
                </c:pt>
                <c:pt idx="579">
                  <c:v>945</c:v>
                </c:pt>
                <c:pt idx="580">
                  <c:v>1000</c:v>
                </c:pt>
                <c:pt idx="581">
                  <c:v>1109</c:v>
                </c:pt>
                <c:pt idx="582">
                  <c:v>1072</c:v>
                </c:pt>
                <c:pt idx="583">
                  <c:v>1054</c:v>
                </c:pt>
                <c:pt idx="584">
                  <c:v>1035</c:v>
                </c:pt>
                <c:pt idx="585">
                  <c:v>1070</c:v>
                </c:pt>
                <c:pt idx="586">
                  <c:v>1244</c:v>
                </c:pt>
                <c:pt idx="587">
                  <c:v>1101</c:v>
                </c:pt>
                <c:pt idx="588">
                  <c:v>1073</c:v>
                </c:pt>
                <c:pt idx="589">
                  <c:v>1152</c:v>
                </c:pt>
                <c:pt idx="590">
                  <c:v>1162</c:v>
                </c:pt>
                <c:pt idx="591">
                  <c:v>1066</c:v>
                </c:pt>
                <c:pt idx="592">
                  <c:v>1170</c:v>
                </c:pt>
                <c:pt idx="593">
                  <c:v>1238</c:v>
                </c:pt>
                <c:pt idx="594">
                  <c:v>1174</c:v>
                </c:pt>
                <c:pt idx="595">
                  <c:v>1100</c:v>
                </c:pt>
                <c:pt idx="596">
                  <c:v>1108</c:v>
                </c:pt>
                <c:pt idx="597">
                  <c:v>1191</c:v>
                </c:pt>
                <c:pt idx="598">
                  <c:v>1180</c:v>
                </c:pt>
                <c:pt idx="599">
                  <c:v>1203</c:v>
                </c:pt>
                <c:pt idx="600">
                  <c:v>1204</c:v>
                </c:pt>
                <c:pt idx="601">
                  <c:v>1290</c:v>
                </c:pt>
                <c:pt idx="602">
                  <c:v>1189</c:v>
                </c:pt>
                <c:pt idx="603">
                  <c:v>1213</c:v>
                </c:pt>
                <c:pt idx="604">
                  <c:v>1263</c:v>
                </c:pt>
                <c:pt idx="605">
                  <c:v>1216</c:v>
                </c:pt>
                <c:pt idx="606">
                  <c:v>1169</c:v>
                </c:pt>
                <c:pt idx="607">
                  <c:v>1246</c:v>
                </c:pt>
                <c:pt idx="608">
                  <c:v>1174</c:v>
                </c:pt>
                <c:pt idx="609">
                  <c:v>1116</c:v>
                </c:pt>
                <c:pt idx="610">
                  <c:v>1142</c:v>
                </c:pt>
                <c:pt idx="611">
                  <c:v>1052</c:v>
                </c:pt>
                <c:pt idx="612">
                  <c:v>1246</c:v>
                </c:pt>
                <c:pt idx="613">
                  <c:v>1337</c:v>
                </c:pt>
                <c:pt idx="614">
                  <c:v>1316</c:v>
                </c:pt>
                <c:pt idx="615">
                  <c:v>1312</c:v>
                </c:pt>
                <c:pt idx="616">
                  <c:v>1235</c:v>
                </c:pt>
                <c:pt idx="617">
                  <c:v>1170</c:v>
                </c:pt>
                <c:pt idx="618">
                  <c:v>1242</c:v>
                </c:pt>
                <c:pt idx="619">
                  <c:v>1272</c:v>
                </c:pt>
                <c:pt idx="620">
                  <c:v>1136</c:v>
                </c:pt>
                <c:pt idx="621">
                  <c:v>1279</c:v>
                </c:pt>
                <c:pt idx="622">
                  <c:v>1252</c:v>
                </c:pt>
                <c:pt idx="623">
                  <c:v>1308</c:v>
                </c:pt>
                <c:pt idx="624">
                  <c:v>1288</c:v>
                </c:pt>
                <c:pt idx="625">
                  <c:v>1294</c:v>
                </c:pt>
                <c:pt idx="626">
                  <c:v>1267</c:v>
                </c:pt>
                <c:pt idx="627">
                  <c:v>1191</c:v>
                </c:pt>
                <c:pt idx="628">
                  <c:v>1178</c:v>
                </c:pt>
                <c:pt idx="629">
                  <c:v>1243</c:v>
                </c:pt>
                <c:pt idx="630">
                  <c:v>1340</c:v>
                </c:pt>
                <c:pt idx="631">
                  <c:v>1216</c:v>
                </c:pt>
                <c:pt idx="632">
                  <c:v>1426</c:v>
                </c:pt>
                <c:pt idx="633">
                  <c:v>1356</c:v>
                </c:pt>
                <c:pt idx="634">
                  <c:v>1244</c:v>
                </c:pt>
                <c:pt idx="635">
                  <c:v>1386</c:v>
                </c:pt>
                <c:pt idx="636">
                  <c:v>1328</c:v>
                </c:pt>
                <c:pt idx="637">
                  <c:v>1347</c:v>
                </c:pt>
                <c:pt idx="638">
                  <c:v>1497</c:v>
                </c:pt>
                <c:pt idx="639">
                  <c:v>1417</c:v>
                </c:pt>
                <c:pt idx="640">
                  <c:v>1350</c:v>
                </c:pt>
                <c:pt idx="641">
                  <c:v>1312</c:v>
                </c:pt>
                <c:pt idx="642">
                  <c:v>1380</c:v>
                </c:pt>
                <c:pt idx="643">
                  <c:v>1291</c:v>
                </c:pt>
                <c:pt idx="644">
                  <c:v>1235</c:v>
                </c:pt>
                <c:pt idx="645">
                  <c:v>1255</c:v>
                </c:pt>
                <c:pt idx="646">
                  <c:v>1418</c:v>
                </c:pt>
                <c:pt idx="647">
                  <c:v>1295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0F-3046-808C-8E0CEA8AFE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8456856"/>
        <c:axId val="1128454888"/>
      </c:lineChart>
      <c:dateAx>
        <c:axId val="1128456856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8454888"/>
        <c:crosses val="autoZero"/>
        <c:auto val="0"/>
        <c:lblOffset val="100"/>
        <c:baseTimeUnit val="months"/>
      </c:dateAx>
      <c:valAx>
        <c:axId val="1128454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845685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US"/>
              <a:t>Housing Units Completed Since 2016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Completed!$B$6</c:f>
              <c:strCache>
                <c:ptCount val="1"/>
                <c:pt idx="0">
                  <c:v>Completed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Completed!$A$7:$A$750</c:f>
              <c:numCache>
                <c:formatCode>m/d/yy</c:formatCode>
                <c:ptCount val="744"/>
                <c:pt idx="0">
                  <c:v>24838</c:v>
                </c:pt>
                <c:pt idx="1">
                  <c:v>24869</c:v>
                </c:pt>
                <c:pt idx="2">
                  <c:v>24898</c:v>
                </c:pt>
                <c:pt idx="3">
                  <c:v>24929</c:v>
                </c:pt>
                <c:pt idx="4">
                  <c:v>24959</c:v>
                </c:pt>
                <c:pt idx="5">
                  <c:v>24990</c:v>
                </c:pt>
                <c:pt idx="6">
                  <c:v>25020</c:v>
                </c:pt>
                <c:pt idx="7">
                  <c:v>25051</c:v>
                </c:pt>
                <c:pt idx="8">
                  <c:v>25082</c:v>
                </c:pt>
                <c:pt idx="9">
                  <c:v>25112</c:v>
                </c:pt>
                <c:pt idx="10">
                  <c:v>25143</c:v>
                </c:pt>
                <c:pt idx="11">
                  <c:v>25173</c:v>
                </c:pt>
                <c:pt idx="12">
                  <c:v>25204</c:v>
                </c:pt>
                <c:pt idx="13">
                  <c:v>25235</c:v>
                </c:pt>
                <c:pt idx="14">
                  <c:v>25263</c:v>
                </c:pt>
                <c:pt idx="15">
                  <c:v>25294</c:v>
                </c:pt>
                <c:pt idx="16">
                  <c:v>25324</c:v>
                </c:pt>
                <c:pt idx="17">
                  <c:v>25355</c:v>
                </c:pt>
                <c:pt idx="18">
                  <c:v>25385</c:v>
                </c:pt>
                <c:pt idx="19">
                  <c:v>25416</c:v>
                </c:pt>
                <c:pt idx="20">
                  <c:v>25447</c:v>
                </c:pt>
                <c:pt idx="21">
                  <c:v>25477</c:v>
                </c:pt>
                <c:pt idx="22">
                  <c:v>25508</c:v>
                </c:pt>
                <c:pt idx="23">
                  <c:v>25538</c:v>
                </c:pt>
                <c:pt idx="24">
                  <c:v>25569</c:v>
                </c:pt>
                <c:pt idx="25">
                  <c:v>25600</c:v>
                </c:pt>
                <c:pt idx="26">
                  <c:v>25628</c:v>
                </c:pt>
                <c:pt idx="27">
                  <c:v>25659</c:v>
                </c:pt>
                <c:pt idx="28">
                  <c:v>25689</c:v>
                </c:pt>
                <c:pt idx="29">
                  <c:v>25720</c:v>
                </c:pt>
                <c:pt idx="30">
                  <c:v>25750</c:v>
                </c:pt>
                <c:pt idx="31">
                  <c:v>25781</c:v>
                </c:pt>
                <c:pt idx="32">
                  <c:v>25812</c:v>
                </c:pt>
                <c:pt idx="33">
                  <c:v>25842</c:v>
                </c:pt>
                <c:pt idx="34">
                  <c:v>25873</c:v>
                </c:pt>
                <c:pt idx="35">
                  <c:v>25903</c:v>
                </c:pt>
                <c:pt idx="36">
                  <c:v>25934</c:v>
                </c:pt>
                <c:pt idx="37">
                  <c:v>25965</c:v>
                </c:pt>
                <c:pt idx="38">
                  <c:v>25993</c:v>
                </c:pt>
                <c:pt idx="39">
                  <c:v>26024</c:v>
                </c:pt>
                <c:pt idx="40">
                  <c:v>26054</c:v>
                </c:pt>
                <c:pt idx="41">
                  <c:v>26085</c:v>
                </c:pt>
                <c:pt idx="42">
                  <c:v>26115</c:v>
                </c:pt>
                <c:pt idx="43">
                  <c:v>26146</c:v>
                </c:pt>
                <c:pt idx="44">
                  <c:v>26177</c:v>
                </c:pt>
                <c:pt idx="45">
                  <c:v>26207</c:v>
                </c:pt>
                <c:pt idx="46">
                  <c:v>26238</c:v>
                </c:pt>
                <c:pt idx="47">
                  <c:v>26268</c:v>
                </c:pt>
                <c:pt idx="48">
                  <c:v>26299</c:v>
                </c:pt>
                <c:pt idx="49">
                  <c:v>26330</c:v>
                </c:pt>
                <c:pt idx="50">
                  <c:v>26359</c:v>
                </c:pt>
                <c:pt idx="51">
                  <c:v>26390</c:v>
                </c:pt>
                <c:pt idx="52">
                  <c:v>26420</c:v>
                </c:pt>
                <c:pt idx="53">
                  <c:v>26451</c:v>
                </c:pt>
                <c:pt idx="54">
                  <c:v>26481</c:v>
                </c:pt>
                <c:pt idx="55">
                  <c:v>26512</c:v>
                </c:pt>
                <c:pt idx="56">
                  <c:v>26543</c:v>
                </c:pt>
                <c:pt idx="57">
                  <c:v>26573</c:v>
                </c:pt>
                <c:pt idx="58">
                  <c:v>26604</c:v>
                </c:pt>
                <c:pt idx="59">
                  <c:v>26634</c:v>
                </c:pt>
                <c:pt idx="60">
                  <c:v>26665</c:v>
                </c:pt>
                <c:pt idx="61">
                  <c:v>26696</c:v>
                </c:pt>
                <c:pt idx="62">
                  <c:v>26724</c:v>
                </c:pt>
                <c:pt idx="63">
                  <c:v>26755</c:v>
                </c:pt>
                <c:pt idx="64">
                  <c:v>26785</c:v>
                </c:pt>
                <c:pt idx="65">
                  <c:v>26816</c:v>
                </c:pt>
                <c:pt idx="66">
                  <c:v>26846</c:v>
                </c:pt>
                <c:pt idx="67">
                  <c:v>26877</c:v>
                </c:pt>
                <c:pt idx="68">
                  <c:v>26908</c:v>
                </c:pt>
                <c:pt idx="69">
                  <c:v>26938</c:v>
                </c:pt>
                <c:pt idx="70">
                  <c:v>26969</c:v>
                </c:pt>
                <c:pt idx="71">
                  <c:v>26999</c:v>
                </c:pt>
                <c:pt idx="72">
                  <c:v>27030</c:v>
                </c:pt>
                <c:pt idx="73">
                  <c:v>27061</c:v>
                </c:pt>
                <c:pt idx="74">
                  <c:v>27089</c:v>
                </c:pt>
                <c:pt idx="75">
                  <c:v>27120</c:v>
                </c:pt>
                <c:pt idx="76">
                  <c:v>27150</c:v>
                </c:pt>
                <c:pt idx="77">
                  <c:v>27181</c:v>
                </c:pt>
                <c:pt idx="78">
                  <c:v>27211</c:v>
                </c:pt>
                <c:pt idx="79">
                  <c:v>27242</c:v>
                </c:pt>
                <c:pt idx="80">
                  <c:v>27273</c:v>
                </c:pt>
                <c:pt idx="81">
                  <c:v>27303</c:v>
                </c:pt>
                <c:pt idx="82">
                  <c:v>27334</c:v>
                </c:pt>
                <c:pt idx="83">
                  <c:v>27364</c:v>
                </c:pt>
                <c:pt idx="84">
                  <c:v>27395</c:v>
                </c:pt>
                <c:pt idx="85">
                  <c:v>27426</c:v>
                </c:pt>
                <c:pt idx="86">
                  <c:v>27454</c:v>
                </c:pt>
                <c:pt idx="87">
                  <c:v>27485</c:v>
                </c:pt>
                <c:pt idx="88">
                  <c:v>27515</c:v>
                </c:pt>
                <c:pt idx="89">
                  <c:v>27546</c:v>
                </c:pt>
                <c:pt idx="90">
                  <c:v>27576</c:v>
                </c:pt>
                <c:pt idx="91">
                  <c:v>27607</c:v>
                </c:pt>
                <c:pt idx="92">
                  <c:v>27638</c:v>
                </c:pt>
                <c:pt idx="93">
                  <c:v>27668</c:v>
                </c:pt>
                <c:pt idx="94">
                  <c:v>27699</c:v>
                </c:pt>
                <c:pt idx="95">
                  <c:v>27729</c:v>
                </c:pt>
                <c:pt idx="96">
                  <c:v>27760</c:v>
                </c:pt>
                <c:pt idx="97">
                  <c:v>27791</c:v>
                </c:pt>
                <c:pt idx="98">
                  <c:v>27820</c:v>
                </c:pt>
                <c:pt idx="99">
                  <c:v>27851</c:v>
                </c:pt>
                <c:pt idx="100">
                  <c:v>27881</c:v>
                </c:pt>
                <c:pt idx="101">
                  <c:v>27912</c:v>
                </c:pt>
                <c:pt idx="102">
                  <c:v>27942</c:v>
                </c:pt>
                <c:pt idx="103">
                  <c:v>27973</c:v>
                </c:pt>
                <c:pt idx="104">
                  <c:v>28004</c:v>
                </c:pt>
                <c:pt idx="105">
                  <c:v>28034</c:v>
                </c:pt>
                <c:pt idx="106">
                  <c:v>28065</c:v>
                </c:pt>
                <c:pt idx="107">
                  <c:v>28095</c:v>
                </c:pt>
                <c:pt idx="108">
                  <c:v>28126</c:v>
                </c:pt>
                <c:pt idx="109">
                  <c:v>28157</c:v>
                </c:pt>
                <c:pt idx="110">
                  <c:v>28185</c:v>
                </c:pt>
                <c:pt idx="111">
                  <c:v>28216</c:v>
                </c:pt>
                <c:pt idx="112">
                  <c:v>28246</c:v>
                </c:pt>
                <c:pt idx="113">
                  <c:v>28277</c:v>
                </c:pt>
                <c:pt idx="114">
                  <c:v>28307</c:v>
                </c:pt>
                <c:pt idx="115">
                  <c:v>28338</c:v>
                </c:pt>
                <c:pt idx="116">
                  <c:v>28369</c:v>
                </c:pt>
                <c:pt idx="117">
                  <c:v>28399</c:v>
                </c:pt>
                <c:pt idx="118">
                  <c:v>28430</c:v>
                </c:pt>
                <c:pt idx="119">
                  <c:v>28460</c:v>
                </c:pt>
                <c:pt idx="120">
                  <c:v>28491</c:v>
                </c:pt>
                <c:pt idx="121">
                  <c:v>28522</c:v>
                </c:pt>
                <c:pt idx="122">
                  <c:v>28550</c:v>
                </c:pt>
                <c:pt idx="123">
                  <c:v>28581</c:v>
                </c:pt>
                <c:pt idx="124">
                  <c:v>28611</c:v>
                </c:pt>
                <c:pt idx="125">
                  <c:v>28642</c:v>
                </c:pt>
                <c:pt idx="126">
                  <c:v>28672</c:v>
                </c:pt>
                <c:pt idx="127">
                  <c:v>28703</c:v>
                </c:pt>
                <c:pt idx="128">
                  <c:v>28734</c:v>
                </c:pt>
                <c:pt idx="129">
                  <c:v>28764</c:v>
                </c:pt>
                <c:pt idx="130">
                  <c:v>28795</c:v>
                </c:pt>
                <c:pt idx="131">
                  <c:v>28825</c:v>
                </c:pt>
                <c:pt idx="132">
                  <c:v>28856</c:v>
                </c:pt>
                <c:pt idx="133">
                  <c:v>28887</c:v>
                </c:pt>
                <c:pt idx="134">
                  <c:v>28915</c:v>
                </c:pt>
                <c:pt idx="135">
                  <c:v>28946</c:v>
                </c:pt>
                <c:pt idx="136">
                  <c:v>28976</c:v>
                </c:pt>
                <c:pt idx="137">
                  <c:v>29007</c:v>
                </c:pt>
                <c:pt idx="138">
                  <c:v>29037</c:v>
                </c:pt>
                <c:pt idx="139">
                  <c:v>29068</c:v>
                </c:pt>
                <c:pt idx="140">
                  <c:v>29099</c:v>
                </c:pt>
                <c:pt idx="141">
                  <c:v>29129</c:v>
                </c:pt>
                <c:pt idx="142">
                  <c:v>29160</c:v>
                </c:pt>
                <c:pt idx="143">
                  <c:v>29190</c:v>
                </c:pt>
                <c:pt idx="144">
                  <c:v>29221</c:v>
                </c:pt>
                <c:pt idx="145">
                  <c:v>29252</c:v>
                </c:pt>
                <c:pt idx="146">
                  <c:v>29281</c:v>
                </c:pt>
                <c:pt idx="147">
                  <c:v>29312</c:v>
                </c:pt>
                <c:pt idx="148">
                  <c:v>29342</c:v>
                </c:pt>
                <c:pt idx="149">
                  <c:v>29373</c:v>
                </c:pt>
                <c:pt idx="150">
                  <c:v>29403</c:v>
                </c:pt>
                <c:pt idx="151">
                  <c:v>29434</c:v>
                </c:pt>
                <c:pt idx="152">
                  <c:v>29465</c:v>
                </c:pt>
                <c:pt idx="153">
                  <c:v>29495</c:v>
                </c:pt>
                <c:pt idx="154">
                  <c:v>29526</c:v>
                </c:pt>
                <c:pt idx="155">
                  <c:v>29556</c:v>
                </c:pt>
                <c:pt idx="156">
                  <c:v>29587</c:v>
                </c:pt>
                <c:pt idx="157">
                  <c:v>29618</c:v>
                </c:pt>
                <c:pt idx="158">
                  <c:v>29646</c:v>
                </c:pt>
                <c:pt idx="159">
                  <c:v>29677</c:v>
                </c:pt>
                <c:pt idx="160">
                  <c:v>29707</c:v>
                </c:pt>
                <c:pt idx="161">
                  <c:v>29738</c:v>
                </c:pt>
                <c:pt idx="162">
                  <c:v>29768</c:v>
                </c:pt>
                <c:pt idx="163">
                  <c:v>29799</c:v>
                </c:pt>
                <c:pt idx="164">
                  <c:v>29830</c:v>
                </c:pt>
                <c:pt idx="165">
                  <c:v>29860</c:v>
                </c:pt>
                <c:pt idx="166">
                  <c:v>29891</c:v>
                </c:pt>
                <c:pt idx="167">
                  <c:v>29921</c:v>
                </c:pt>
                <c:pt idx="168">
                  <c:v>29952</c:v>
                </c:pt>
                <c:pt idx="169">
                  <c:v>29983</c:v>
                </c:pt>
                <c:pt idx="170">
                  <c:v>30011</c:v>
                </c:pt>
                <c:pt idx="171">
                  <c:v>30042</c:v>
                </c:pt>
                <c:pt idx="172">
                  <c:v>30072</c:v>
                </c:pt>
                <c:pt idx="173">
                  <c:v>30103</c:v>
                </c:pt>
                <c:pt idx="174">
                  <c:v>30133</c:v>
                </c:pt>
                <c:pt idx="175">
                  <c:v>30164</c:v>
                </c:pt>
                <c:pt idx="176">
                  <c:v>30195</c:v>
                </c:pt>
                <c:pt idx="177">
                  <c:v>30225</c:v>
                </c:pt>
                <c:pt idx="178">
                  <c:v>30256</c:v>
                </c:pt>
                <c:pt idx="179">
                  <c:v>30286</c:v>
                </c:pt>
                <c:pt idx="180">
                  <c:v>30317</c:v>
                </c:pt>
                <c:pt idx="181">
                  <c:v>30348</c:v>
                </c:pt>
                <c:pt idx="182">
                  <c:v>30376</c:v>
                </c:pt>
                <c:pt idx="183">
                  <c:v>30407</c:v>
                </c:pt>
                <c:pt idx="184">
                  <c:v>30437</c:v>
                </c:pt>
                <c:pt idx="185">
                  <c:v>30468</c:v>
                </c:pt>
                <c:pt idx="186">
                  <c:v>30498</c:v>
                </c:pt>
                <c:pt idx="187">
                  <c:v>30529</c:v>
                </c:pt>
                <c:pt idx="188">
                  <c:v>30560</c:v>
                </c:pt>
                <c:pt idx="189">
                  <c:v>30590</c:v>
                </c:pt>
                <c:pt idx="190">
                  <c:v>30621</c:v>
                </c:pt>
                <c:pt idx="191">
                  <c:v>30651</c:v>
                </c:pt>
                <c:pt idx="192">
                  <c:v>30682</c:v>
                </c:pt>
                <c:pt idx="193">
                  <c:v>30713</c:v>
                </c:pt>
                <c:pt idx="194">
                  <c:v>30742</c:v>
                </c:pt>
                <c:pt idx="195">
                  <c:v>30773</c:v>
                </c:pt>
                <c:pt idx="196">
                  <c:v>30803</c:v>
                </c:pt>
                <c:pt idx="197">
                  <c:v>30834</c:v>
                </c:pt>
                <c:pt idx="198">
                  <c:v>30864</c:v>
                </c:pt>
                <c:pt idx="199">
                  <c:v>30895</c:v>
                </c:pt>
                <c:pt idx="200">
                  <c:v>30926</c:v>
                </c:pt>
                <c:pt idx="201">
                  <c:v>30956</c:v>
                </c:pt>
                <c:pt idx="202">
                  <c:v>30987</c:v>
                </c:pt>
                <c:pt idx="203">
                  <c:v>31017</c:v>
                </c:pt>
                <c:pt idx="204">
                  <c:v>31048</c:v>
                </c:pt>
                <c:pt idx="205">
                  <c:v>31079</c:v>
                </c:pt>
                <c:pt idx="206">
                  <c:v>31107</c:v>
                </c:pt>
                <c:pt idx="207">
                  <c:v>31138</c:v>
                </c:pt>
                <c:pt idx="208">
                  <c:v>31168</c:v>
                </c:pt>
                <c:pt idx="209">
                  <c:v>31199</c:v>
                </c:pt>
                <c:pt idx="210">
                  <c:v>31229</c:v>
                </c:pt>
                <c:pt idx="211">
                  <c:v>31260</c:v>
                </c:pt>
                <c:pt idx="212">
                  <c:v>31291</c:v>
                </c:pt>
                <c:pt idx="213">
                  <c:v>31321</c:v>
                </c:pt>
                <c:pt idx="214">
                  <c:v>31352</c:v>
                </c:pt>
                <c:pt idx="215">
                  <c:v>31382</c:v>
                </c:pt>
                <c:pt idx="216">
                  <c:v>31413</c:v>
                </c:pt>
                <c:pt idx="217">
                  <c:v>31444</c:v>
                </c:pt>
                <c:pt idx="218">
                  <c:v>31472</c:v>
                </c:pt>
                <c:pt idx="219">
                  <c:v>31503</c:v>
                </c:pt>
                <c:pt idx="220">
                  <c:v>31533</c:v>
                </c:pt>
                <c:pt idx="221">
                  <c:v>31564</c:v>
                </c:pt>
                <c:pt idx="222">
                  <c:v>31594</c:v>
                </c:pt>
                <c:pt idx="223">
                  <c:v>31625</c:v>
                </c:pt>
                <c:pt idx="224">
                  <c:v>31656</c:v>
                </c:pt>
                <c:pt idx="225">
                  <c:v>31686</c:v>
                </c:pt>
                <c:pt idx="226">
                  <c:v>31717</c:v>
                </c:pt>
                <c:pt idx="227">
                  <c:v>31747</c:v>
                </c:pt>
                <c:pt idx="228">
                  <c:v>31778</c:v>
                </c:pt>
                <c:pt idx="229">
                  <c:v>31809</c:v>
                </c:pt>
                <c:pt idx="230">
                  <c:v>31837</c:v>
                </c:pt>
                <c:pt idx="231">
                  <c:v>31868</c:v>
                </c:pt>
                <c:pt idx="232">
                  <c:v>31898</c:v>
                </c:pt>
                <c:pt idx="233">
                  <c:v>31929</c:v>
                </c:pt>
                <c:pt idx="234">
                  <c:v>31959</c:v>
                </c:pt>
                <c:pt idx="235">
                  <c:v>31990</c:v>
                </c:pt>
                <c:pt idx="236">
                  <c:v>32021</c:v>
                </c:pt>
                <c:pt idx="237">
                  <c:v>32051</c:v>
                </c:pt>
                <c:pt idx="238">
                  <c:v>32082</c:v>
                </c:pt>
                <c:pt idx="239">
                  <c:v>32112</c:v>
                </c:pt>
                <c:pt idx="240">
                  <c:v>32143</c:v>
                </c:pt>
                <c:pt idx="241">
                  <c:v>32174</c:v>
                </c:pt>
                <c:pt idx="242">
                  <c:v>32203</c:v>
                </c:pt>
                <c:pt idx="243">
                  <c:v>32234</c:v>
                </c:pt>
                <c:pt idx="244">
                  <c:v>32264</c:v>
                </c:pt>
                <c:pt idx="245">
                  <c:v>32295</c:v>
                </c:pt>
                <c:pt idx="246">
                  <c:v>32325</c:v>
                </c:pt>
                <c:pt idx="247">
                  <c:v>32356</c:v>
                </c:pt>
                <c:pt idx="248">
                  <c:v>32387</c:v>
                </c:pt>
                <c:pt idx="249">
                  <c:v>32417</c:v>
                </c:pt>
                <c:pt idx="250">
                  <c:v>32448</c:v>
                </c:pt>
                <c:pt idx="251">
                  <c:v>32478</c:v>
                </c:pt>
                <c:pt idx="252">
                  <c:v>32509</c:v>
                </c:pt>
                <c:pt idx="253">
                  <c:v>32540</c:v>
                </c:pt>
                <c:pt idx="254">
                  <c:v>32568</c:v>
                </c:pt>
                <c:pt idx="255">
                  <c:v>32599</c:v>
                </c:pt>
                <c:pt idx="256">
                  <c:v>32629</c:v>
                </c:pt>
                <c:pt idx="257">
                  <c:v>32660</c:v>
                </c:pt>
                <c:pt idx="258">
                  <c:v>32690</c:v>
                </c:pt>
                <c:pt idx="259">
                  <c:v>32721</c:v>
                </c:pt>
                <c:pt idx="260">
                  <c:v>32752</c:v>
                </c:pt>
                <c:pt idx="261">
                  <c:v>32782</c:v>
                </c:pt>
                <c:pt idx="262">
                  <c:v>32813</c:v>
                </c:pt>
                <c:pt idx="263">
                  <c:v>32843</c:v>
                </c:pt>
                <c:pt idx="264">
                  <c:v>32874</c:v>
                </c:pt>
                <c:pt idx="265">
                  <c:v>32905</c:v>
                </c:pt>
                <c:pt idx="266">
                  <c:v>32933</c:v>
                </c:pt>
                <c:pt idx="267">
                  <c:v>32964</c:v>
                </c:pt>
                <c:pt idx="268">
                  <c:v>32994</c:v>
                </c:pt>
                <c:pt idx="269">
                  <c:v>33025</c:v>
                </c:pt>
                <c:pt idx="270">
                  <c:v>33055</c:v>
                </c:pt>
                <c:pt idx="271">
                  <c:v>33086</c:v>
                </c:pt>
                <c:pt idx="272">
                  <c:v>33117</c:v>
                </c:pt>
                <c:pt idx="273">
                  <c:v>33147</c:v>
                </c:pt>
                <c:pt idx="274">
                  <c:v>33178</c:v>
                </c:pt>
                <c:pt idx="275">
                  <c:v>33208</c:v>
                </c:pt>
                <c:pt idx="276">
                  <c:v>33239</c:v>
                </c:pt>
                <c:pt idx="277">
                  <c:v>33270</c:v>
                </c:pt>
                <c:pt idx="278">
                  <c:v>33298</c:v>
                </c:pt>
                <c:pt idx="279">
                  <c:v>33329</c:v>
                </c:pt>
                <c:pt idx="280">
                  <c:v>33359</c:v>
                </c:pt>
                <c:pt idx="281">
                  <c:v>33390</c:v>
                </c:pt>
                <c:pt idx="282">
                  <c:v>33420</c:v>
                </c:pt>
                <c:pt idx="283">
                  <c:v>33451</c:v>
                </c:pt>
                <c:pt idx="284">
                  <c:v>33482</c:v>
                </c:pt>
                <c:pt idx="285">
                  <c:v>33512</c:v>
                </c:pt>
                <c:pt idx="286">
                  <c:v>33543</c:v>
                </c:pt>
                <c:pt idx="287">
                  <c:v>33573</c:v>
                </c:pt>
                <c:pt idx="288">
                  <c:v>33604</c:v>
                </c:pt>
                <c:pt idx="289">
                  <c:v>33635</c:v>
                </c:pt>
                <c:pt idx="290">
                  <c:v>33664</c:v>
                </c:pt>
                <c:pt idx="291">
                  <c:v>33695</c:v>
                </c:pt>
                <c:pt idx="292">
                  <c:v>33725</c:v>
                </c:pt>
                <c:pt idx="293">
                  <c:v>33756</c:v>
                </c:pt>
                <c:pt idx="294">
                  <c:v>33786</c:v>
                </c:pt>
                <c:pt idx="295">
                  <c:v>33817</c:v>
                </c:pt>
                <c:pt idx="296">
                  <c:v>33848</c:v>
                </c:pt>
                <c:pt idx="297">
                  <c:v>33878</c:v>
                </c:pt>
                <c:pt idx="298">
                  <c:v>33909</c:v>
                </c:pt>
                <c:pt idx="299">
                  <c:v>33939</c:v>
                </c:pt>
                <c:pt idx="300">
                  <c:v>33970</c:v>
                </c:pt>
                <c:pt idx="301">
                  <c:v>34001</c:v>
                </c:pt>
                <c:pt idx="302">
                  <c:v>34029</c:v>
                </c:pt>
                <c:pt idx="303">
                  <c:v>34060</c:v>
                </c:pt>
                <c:pt idx="304">
                  <c:v>34090</c:v>
                </c:pt>
                <c:pt idx="305">
                  <c:v>34121</c:v>
                </c:pt>
                <c:pt idx="306">
                  <c:v>34151</c:v>
                </c:pt>
                <c:pt idx="307">
                  <c:v>34182</c:v>
                </c:pt>
                <c:pt idx="308">
                  <c:v>34213</c:v>
                </c:pt>
                <c:pt idx="309">
                  <c:v>34243</c:v>
                </c:pt>
                <c:pt idx="310">
                  <c:v>34274</c:v>
                </c:pt>
                <c:pt idx="311">
                  <c:v>34304</c:v>
                </c:pt>
                <c:pt idx="312">
                  <c:v>34335</c:v>
                </c:pt>
                <c:pt idx="313">
                  <c:v>34366</c:v>
                </c:pt>
                <c:pt idx="314">
                  <c:v>34394</c:v>
                </c:pt>
                <c:pt idx="315">
                  <c:v>34425</c:v>
                </c:pt>
                <c:pt idx="316">
                  <c:v>34455</c:v>
                </c:pt>
                <c:pt idx="317">
                  <c:v>34486</c:v>
                </c:pt>
                <c:pt idx="318">
                  <c:v>34516</c:v>
                </c:pt>
                <c:pt idx="319">
                  <c:v>34547</c:v>
                </c:pt>
                <c:pt idx="320">
                  <c:v>34578</c:v>
                </c:pt>
                <c:pt idx="321">
                  <c:v>34608</c:v>
                </c:pt>
                <c:pt idx="322">
                  <c:v>34639</c:v>
                </c:pt>
                <c:pt idx="323">
                  <c:v>34669</c:v>
                </c:pt>
                <c:pt idx="324">
                  <c:v>34700</c:v>
                </c:pt>
                <c:pt idx="325">
                  <c:v>34731</c:v>
                </c:pt>
                <c:pt idx="326">
                  <c:v>34759</c:v>
                </c:pt>
                <c:pt idx="327">
                  <c:v>34790</c:v>
                </c:pt>
                <c:pt idx="328">
                  <c:v>34820</c:v>
                </c:pt>
                <c:pt idx="329">
                  <c:v>34851</c:v>
                </c:pt>
                <c:pt idx="330">
                  <c:v>34881</c:v>
                </c:pt>
                <c:pt idx="331">
                  <c:v>34912</c:v>
                </c:pt>
                <c:pt idx="332">
                  <c:v>34943</c:v>
                </c:pt>
                <c:pt idx="333">
                  <c:v>34973</c:v>
                </c:pt>
                <c:pt idx="334">
                  <c:v>35004</c:v>
                </c:pt>
                <c:pt idx="335">
                  <c:v>35034</c:v>
                </c:pt>
                <c:pt idx="336">
                  <c:v>35065</c:v>
                </c:pt>
                <c:pt idx="337">
                  <c:v>35096</c:v>
                </c:pt>
                <c:pt idx="338">
                  <c:v>35125</c:v>
                </c:pt>
                <c:pt idx="339">
                  <c:v>35156</c:v>
                </c:pt>
                <c:pt idx="340">
                  <c:v>35186</c:v>
                </c:pt>
                <c:pt idx="341">
                  <c:v>35217</c:v>
                </c:pt>
                <c:pt idx="342">
                  <c:v>35247</c:v>
                </c:pt>
                <c:pt idx="343">
                  <c:v>35278</c:v>
                </c:pt>
                <c:pt idx="344">
                  <c:v>35309</c:v>
                </c:pt>
                <c:pt idx="345">
                  <c:v>35339</c:v>
                </c:pt>
                <c:pt idx="346">
                  <c:v>35370</c:v>
                </c:pt>
                <c:pt idx="347">
                  <c:v>35400</c:v>
                </c:pt>
                <c:pt idx="348">
                  <c:v>35431</c:v>
                </c:pt>
                <c:pt idx="349">
                  <c:v>35462</c:v>
                </c:pt>
                <c:pt idx="350">
                  <c:v>35490</c:v>
                </c:pt>
                <c:pt idx="351">
                  <c:v>35521</c:v>
                </c:pt>
                <c:pt idx="352">
                  <c:v>35551</c:v>
                </c:pt>
                <c:pt idx="353">
                  <c:v>35582</c:v>
                </c:pt>
                <c:pt idx="354">
                  <c:v>35612</c:v>
                </c:pt>
                <c:pt idx="355">
                  <c:v>35643</c:v>
                </c:pt>
                <c:pt idx="356">
                  <c:v>35674</c:v>
                </c:pt>
                <c:pt idx="357">
                  <c:v>35704</c:v>
                </c:pt>
                <c:pt idx="358">
                  <c:v>35735</c:v>
                </c:pt>
                <c:pt idx="359">
                  <c:v>35765</c:v>
                </c:pt>
                <c:pt idx="360">
                  <c:v>35796</c:v>
                </c:pt>
                <c:pt idx="361">
                  <c:v>35827</c:v>
                </c:pt>
                <c:pt idx="362">
                  <c:v>35855</c:v>
                </c:pt>
                <c:pt idx="363">
                  <c:v>35886</c:v>
                </c:pt>
                <c:pt idx="364">
                  <c:v>35916</c:v>
                </c:pt>
                <c:pt idx="365">
                  <c:v>35947</c:v>
                </c:pt>
                <c:pt idx="366">
                  <c:v>35977</c:v>
                </c:pt>
                <c:pt idx="367">
                  <c:v>36008</c:v>
                </c:pt>
                <c:pt idx="368">
                  <c:v>36039</c:v>
                </c:pt>
                <c:pt idx="369">
                  <c:v>36069</c:v>
                </c:pt>
                <c:pt idx="370">
                  <c:v>36100</c:v>
                </c:pt>
                <c:pt idx="371">
                  <c:v>36130</c:v>
                </c:pt>
                <c:pt idx="372">
                  <c:v>36161</c:v>
                </c:pt>
                <c:pt idx="373">
                  <c:v>36192</c:v>
                </c:pt>
                <c:pt idx="374">
                  <c:v>36220</c:v>
                </c:pt>
                <c:pt idx="375">
                  <c:v>36251</c:v>
                </c:pt>
                <c:pt idx="376">
                  <c:v>36281</c:v>
                </c:pt>
                <c:pt idx="377">
                  <c:v>36312</c:v>
                </c:pt>
                <c:pt idx="378">
                  <c:v>36342</c:v>
                </c:pt>
                <c:pt idx="379">
                  <c:v>36373</c:v>
                </c:pt>
                <c:pt idx="380">
                  <c:v>36404</c:v>
                </c:pt>
                <c:pt idx="381">
                  <c:v>36434</c:v>
                </c:pt>
                <c:pt idx="382">
                  <c:v>36465</c:v>
                </c:pt>
                <c:pt idx="383">
                  <c:v>36495</c:v>
                </c:pt>
                <c:pt idx="384">
                  <c:v>36526</c:v>
                </c:pt>
                <c:pt idx="385">
                  <c:v>36557</c:v>
                </c:pt>
                <c:pt idx="386">
                  <c:v>36586</c:v>
                </c:pt>
                <c:pt idx="387">
                  <c:v>36617</c:v>
                </c:pt>
                <c:pt idx="388">
                  <c:v>36647</c:v>
                </c:pt>
                <c:pt idx="389">
                  <c:v>36678</c:v>
                </c:pt>
                <c:pt idx="390">
                  <c:v>36708</c:v>
                </c:pt>
                <c:pt idx="391">
                  <c:v>36739</c:v>
                </c:pt>
                <c:pt idx="392">
                  <c:v>36770</c:v>
                </c:pt>
                <c:pt idx="393">
                  <c:v>36800</c:v>
                </c:pt>
                <c:pt idx="394">
                  <c:v>36831</c:v>
                </c:pt>
                <c:pt idx="395">
                  <c:v>36861</c:v>
                </c:pt>
                <c:pt idx="396">
                  <c:v>36892</c:v>
                </c:pt>
                <c:pt idx="397">
                  <c:v>36923</c:v>
                </c:pt>
                <c:pt idx="398">
                  <c:v>36951</c:v>
                </c:pt>
                <c:pt idx="399">
                  <c:v>36982</c:v>
                </c:pt>
                <c:pt idx="400">
                  <c:v>37012</c:v>
                </c:pt>
                <c:pt idx="401">
                  <c:v>37043</c:v>
                </c:pt>
                <c:pt idx="402">
                  <c:v>37073</c:v>
                </c:pt>
                <c:pt idx="403">
                  <c:v>37104</c:v>
                </c:pt>
                <c:pt idx="404">
                  <c:v>37135</c:v>
                </c:pt>
                <c:pt idx="405">
                  <c:v>37165</c:v>
                </c:pt>
                <c:pt idx="406">
                  <c:v>37196</c:v>
                </c:pt>
                <c:pt idx="407">
                  <c:v>37226</c:v>
                </c:pt>
                <c:pt idx="408">
                  <c:v>37257</c:v>
                </c:pt>
                <c:pt idx="409">
                  <c:v>37288</c:v>
                </c:pt>
                <c:pt idx="410">
                  <c:v>37316</c:v>
                </c:pt>
                <c:pt idx="411">
                  <c:v>37347</c:v>
                </c:pt>
                <c:pt idx="412">
                  <c:v>37377</c:v>
                </c:pt>
                <c:pt idx="413">
                  <c:v>37408</c:v>
                </c:pt>
                <c:pt idx="414">
                  <c:v>37438</c:v>
                </c:pt>
                <c:pt idx="415">
                  <c:v>37469</c:v>
                </c:pt>
                <c:pt idx="416">
                  <c:v>37500</c:v>
                </c:pt>
                <c:pt idx="417">
                  <c:v>37530</c:v>
                </c:pt>
                <c:pt idx="418">
                  <c:v>37561</c:v>
                </c:pt>
                <c:pt idx="419">
                  <c:v>37591</c:v>
                </c:pt>
                <c:pt idx="420">
                  <c:v>37622</c:v>
                </c:pt>
                <c:pt idx="421">
                  <c:v>37653</c:v>
                </c:pt>
                <c:pt idx="422">
                  <c:v>37681</c:v>
                </c:pt>
                <c:pt idx="423">
                  <c:v>37712</c:v>
                </c:pt>
                <c:pt idx="424">
                  <c:v>37742</c:v>
                </c:pt>
                <c:pt idx="425">
                  <c:v>37773</c:v>
                </c:pt>
                <c:pt idx="426">
                  <c:v>37803</c:v>
                </c:pt>
                <c:pt idx="427">
                  <c:v>37834</c:v>
                </c:pt>
                <c:pt idx="428">
                  <c:v>37865</c:v>
                </c:pt>
                <c:pt idx="429">
                  <c:v>37895</c:v>
                </c:pt>
                <c:pt idx="430">
                  <c:v>37926</c:v>
                </c:pt>
                <c:pt idx="431">
                  <c:v>37956</c:v>
                </c:pt>
                <c:pt idx="432">
                  <c:v>37987</c:v>
                </c:pt>
                <c:pt idx="433">
                  <c:v>38018</c:v>
                </c:pt>
                <c:pt idx="434">
                  <c:v>38047</c:v>
                </c:pt>
                <c:pt idx="435">
                  <c:v>38078</c:v>
                </c:pt>
                <c:pt idx="436">
                  <c:v>38108</c:v>
                </c:pt>
                <c:pt idx="437">
                  <c:v>38139</c:v>
                </c:pt>
                <c:pt idx="438">
                  <c:v>38169</c:v>
                </c:pt>
                <c:pt idx="439">
                  <c:v>38200</c:v>
                </c:pt>
                <c:pt idx="440">
                  <c:v>38231</c:v>
                </c:pt>
                <c:pt idx="441">
                  <c:v>38261</c:v>
                </c:pt>
                <c:pt idx="442">
                  <c:v>38292</c:v>
                </c:pt>
                <c:pt idx="443">
                  <c:v>38322</c:v>
                </c:pt>
                <c:pt idx="444">
                  <c:v>38353</c:v>
                </c:pt>
                <c:pt idx="445">
                  <c:v>38384</c:v>
                </c:pt>
                <c:pt idx="446">
                  <c:v>38412</c:v>
                </c:pt>
                <c:pt idx="447">
                  <c:v>38443</c:v>
                </c:pt>
                <c:pt idx="448">
                  <c:v>38473</c:v>
                </c:pt>
                <c:pt idx="449">
                  <c:v>38504</c:v>
                </c:pt>
                <c:pt idx="450">
                  <c:v>38534</c:v>
                </c:pt>
                <c:pt idx="451">
                  <c:v>38565</c:v>
                </c:pt>
                <c:pt idx="452">
                  <c:v>38596</c:v>
                </c:pt>
                <c:pt idx="453">
                  <c:v>38626</c:v>
                </c:pt>
                <c:pt idx="454">
                  <c:v>38657</c:v>
                </c:pt>
                <c:pt idx="455">
                  <c:v>38687</c:v>
                </c:pt>
                <c:pt idx="456">
                  <c:v>38718</c:v>
                </c:pt>
                <c:pt idx="457">
                  <c:v>38749</c:v>
                </c:pt>
                <c:pt idx="458">
                  <c:v>38777</c:v>
                </c:pt>
                <c:pt idx="459">
                  <c:v>38808</c:v>
                </c:pt>
                <c:pt idx="460">
                  <c:v>38838</c:v>
                </c:pt>
                <c:pt idx="461">
                  <c:v>38869</c:v>
                </c:pt>
                <c:pt idx="462">
                  <c:v>38899</c:v>
                </c:pt>
                <c:pt idx="463">
                  <c:v>38930</c:v>
                </c:pt>
                <c:pt idx="464">
                  <c:v>38961</c:v>
                </c:pt>
                <c:pt idx="465">
                  <c:v>38991</c:v>
                </c:pt>
                <c:pt idx="466">
                  <c:v>39022</c:v>
                </c:pt>
                <c:pt idx="467">
                  <c:v>39052</c:v>
                </c:pt>
                <c:pt idx="468">
                  <c:v>39083</c:v>
                </c:pt>
                <c:pt idx="469">
                  <c:v>39114</c:v>
                </c:pt>
                <c:pt idx="470">
                  <c:v>39142</c:v>
                </c:pt>
                <c:pt idx="471">
                  <c:v>39173</c:v>
                </c:pt>
                <c:pt idx="472">
                  <c:v>39203</c:v>
                </c:pt>
                <c:pt idx="473">
                  <c:v>39234</c:v>
                </c:pt>
                <c:pt idx="474">
                  <c:v>39264</c:v>
                </c:pt>
                <c:pt idx="475">
                  <c:v>39295</c:v>
                </c:pt>
                <c:pt idx="476">
                  <c:v>39326</c:v>
                </c:pt>
                <c:pt idx="477">
                  <c:v>39356</c:v>
                </c:pt>
                <c:pt idx="478">
                  <c:v>39387</c:v>
                </c:pt>
                <c:pt idx="479">
                  <c:v>39417</c:v>
                </c:pt>
                <c:pt idx="480">
                  <c:v>39448</c:v>
                </c:pt>
                <c:pt idx="481">
                  <c:v>39479</c:v>
                </c:pt>
                <c:pt idx="482">
                  <c:v>39508</c:v>
                </c:pt>
                <c:pt idx="483">
                  <c:v>39539</c:v>
                </c:pt>
                <c:pt idx="484">
                  <c:v>39569</c:v>
                </c:pt>
                <c:pt idx="485">
                  <c:v>39600</c:v>
                </c:pt>
                <c:pt idx="486">
                  <c:v>39630</c:v>
                </c:pt>
                <c:pt idx="487">
                  <c:v>39661</c:v>
                </c:pt>
                <c:pt idx="488">
                  <c:v>39692</c:v>
                </c:pt>
                <c:pt idx="489">
                  <c:v>39722</c:v>
                </c:pt>
                <c:pt idx="490">
                  <c:v>39753</c:v>
                </c:pt>
                <c:pt idx="491">
                  <c:v>39783</c:v>
                </c:pt>
                <c:pt idx="492">
                  <c:v>39814</c:v>
                </c:pt>
                <c:pt idx="493">
                  <c:v>39845</c:v>
                </c:pt>
                <c:pt idx="494">
                  <c:v>39873</c:v>
                </c:pt>
                <c:pt idx="495">
                  <c:v>39904</c:v>
                </c:pt>
                <c:pt idx="496">
                  <c:v>39934</c:v>
                </c:pt>
                <c:pt idx="497">
                  <c:v>39965</c:v>
                </c:pt>
                <c:pt idx="498">
                  <c:v>39995</c:v>
                </c:pt>
                <c:pt idx="499">
                  <c:v>40026</c:v>
                </c:pt>
                <c:pt idx="500">
                  <c:v>40057</c:v>
                </c:pt>
                <c:pt idx="501">
                  <c:v>40087</c:v>
                </c:pt>
                <c:pt idx="502">
                  <c:v>40118</c:v>
                </c:pt>
                <c:pt idx="503">
                  <c:v>40148</c:v>
                </c:pt>
                <c:pt idx="504">
                  <c:v>40179</c:v>
                </c:pt>
                <c:pt idx="505">
                  <c:v>40210</c:v>
                </c:pt>
                <c:pt idx="506">
                  <c:v>40238</c:v>
                </c:pt>
                <c:pt idx="507">
                  <c:v>40269</c:v>
                </c:pt>
                <c:pt idx="508">
                  <c:v>40299</c:v>
                </c:pt>
                <c:pt idx="509">
                  <c:v>40330</c:v>
                </c:pt>
                <c:pt idx="510">
                  <c:v>40360</c:v>
                </c:pt>
                <c:pt idx="511">
                  <c:v>40391</c:v>
                </c:pt>
                <c:pt idx="512">
                  <c:v>40422</c:v>
                </c:pt>
                <c:pt idx="513">
                  <c:v>40452</c:v>
                </c:pt>
                <c:pt idx="514">
                  <c:v>40483</c:v>
                </c:pt>
                <c:pt idx="515">
                  <c:v>40513</c:v>
                </c:pt>
                <c:pt idx="516">
                  <c:v>40544</c:v>
                </c:pt>
                <c:pt idx="517">
                  <c:v>40575</c:v>
                </c:pt>
                <c:pt idx="518">
                  <c:v>40603</c:v>
                </c:pt>
                <c:pt idx="519">
                  <c:v>40634</c:v>
                </c:pt>
                <c:pt idx="520">
                  <c:v>40664</c:v>
                </c:pt>
                <c:pt idx="521">
                  <c:v>40695</c:v>
                </c:pt>
                <c:pt idx="522">
                  <c:v>40725</c:v>
                </c:pt>
                <c:pt idx="523">
                  <c:v>40756</c:v>
                </c:pt>
                <c:pt idx="524">
                  <c:v>40787</c:v>
                </c:pt>
                <c:pt idx="525">
                  <c:v>40817</c:v>
                </c:pt>
                <c:pt idx="526">
                  <c:v>40848</c:v>
                </c:pt>
                <c:pt idx="527">
                  <c:v>40878</c:v>
                </c:pt>
                <c:pt idx="528">
                  <c:v>40909</c:v>
                </c:pt>
                <c:pt idx="529">
                  <c:v>40940</c:v>
                </c:pt>
                <c:pt idx="530">
                  <c:v>40969</c:v>
                </c:pt>
                <c:pt idx="531">
                  <c:v>41000</c:v>
                </c:pt>
                <c:pt idx="532">
                  <c:v>41030</c:v>
                </c:pt>
                <c:pt idx="533">
                  <c:v>41061</c:v>
                </c:pt>
                <c:pt idx="534">
                  <c:v>41091</c:v>
                </c:pt>
                <c:pt idx="535">
                  <c:v>41122</c:v>
                </c:pt>
                <c:pt idx="536">
                  <c:v>41153</c:v>
                </c:pt>
                <c:pt idx="537">
                  <c:v>41183</c:v>
                </c:pt>
                <c:pt idx="538">
                  <c:v>41214</c:v>
                </c:pt>
                <c:pt idx="539">
                  <c:v>41244</c:v>
                </c:pt>
                <c:pt idx="540">
                  <c:v>41275</c:v>
                </c:pt>
                <c:pt idx="541">
                  <c:v>41306</c:v>
                </c:pt>
                <c:pt idx="542">
                  <c:v>41334</c:v>
                </c:pt>
                <c:pt idx="543">
                  <c:v>41365</c:v>
                </c:pt>
                <c:pt idx="544">
                  <c:v>41395</c:v>
                </c:pt>
                <c:pt idx="545">
                  <c:v>41426</c:v>
                </c:pt>
                <c:pt idx="546">
                  <c:v>41456</c:v>
                </c:pt>
                <c:pt idx="547">
                  <c:v>41487</c:v>
                </c:pt>
                <c:pt idx="548">
                  <c:v>41518</c:v>
                </c:pt>
                <c:pt idx="549">
                  <c:v>41548</c:v>
                </c:pt>
                <c:pt idx="550">
                  <c:v>41579</c:v>
                </c:pt>
                <c:pt idx="551">
                  <c:v>41609</c:v>
                </c:pt>
                <c:pt idx="552">
                  <c:v>41640</c:v>
                </c:pt>
                <c:pt idx="553">
                  <c:v>41671</c:v>
                </c:pt>
                <c:pt idx="554">
                  <c:v>41699</c:v>
                </c:pt>
                <c:pt idx="555">
                  <c:v>41730</c:v>
                </c:pt>
                <c:pt idx="556">
                  <c:v>41760</c:v>
                </c:pt>
                <c:pt idx="557">
                  <c:v>41791</c:v>
                </c:pt>
                <c:pt idx="558">
                  <c:v>41821</c:v>
                </c:pt>
                <c:pt idx="559">
                  <c:v>41852</c:v>
                </c:pt>
                <c:pt idx="560">
                  <c:v>41883</c:v>
                </c:pt>
                <c:pt idx="561">
                  <c:v>41913</c:v>
                </c:pt>
                <c:pt idx="562">
                  <c:v>41944</c:v>
                </c:pt>
                <c:pt idx="563">
                  <c:v>41974</c:v>
                </c:pt>
                <c:pt idx="564">
                  <c:v>42005</c:v>
                </c:pt>
                <c:pt idx="565">
                  <c:v>42036</c:v>
                </c:pt>
                <c:pt idx="566">
                  <c:v>42064</c:v>
                </c:pt>
                <c:pt idx="567">
                  <c:v>42095</c:v>
                </c:pt>
                <c:pt idx="568">
                  <c:v>42125</c:v>
                </c:pt>
                <c:pt idx="569">
                  <c:v>42156</c:v>
                </c:pt>
                <c:pt idx="570">
                  <c:v>42186</c:v>
                </c:pt>
                <c:pt idx="571">
                  <c:v>42217</c:v>
                </c:pt>
                <c:pt idx="572">
                  <c:v>42248</c:v>
                </c:pt>
                <c:pt idx="573">
                  <c:v>42278</c:v>
                </c:pt>
                <c:pt idx="574">
                  <c:v>42309</c:v>
                </c:pt>
                <c:pt idx="575">
                  <c:v>42339</c:v>
                </c:pt>
                <c:pt idx="576">
                  <c:v>42370</c:v>
                </c:pt>
                <c:pt idx="577">
                  <c:v>42401</c:v>
                </c:pt>
                <c:pt idx="578">
                  <c:v>42430</c:v>
                </c:pt>
                <c:pt idx="579">
                  <c:v>42461</c:v>
                </c:pt>
                <c:pt idx="580">
                  <c:v>42491</c:v>
                </c:pt>
                <c:pt idx="581">
                  <c:v>42522</c:v>
                </c:pt>
                <c:pt idx="582">
                  <c:v>42552</c:v>
                </c:pt>
                <c:pt idx="583">
                  <c:v>42583</c:v>
                </c:pt>
                <c:pt idx="584">
                  <c:v>42614</c:v>
                </c:pt>
                <c:pt idx="585">
                  <c:v>42644</c:v>
                </c:pt>
                <c:pt idx="586">
                  <c:v>42675</c:v>
                </c:pt>
                <c:pt idx="587">
                  <c:v>42705</c:v>
                </c:pt>
                <c:pt idx="588">
                  <c:v>42736</c:v>
                </c:pt>
                <c:pt idx="589">
                  <c:v>42767</c:v>
                </c:pt>
                <c:pt idx="590">
                  <c:v>42795</c:v>
                </c:pt>
                <c:pt idx="591">
                  <c:v>42826</c:v>
                </c:pt>
                <c:pt idx="592">
                  <c:v>42856</c:v>
                </c:pt>
                <c:pt idx="593">
                  <c:v>42887</c:v>
                </c:pt>
                <c:pt idx="594">
                  <c:v>42917</c:v>
                </c:pt>
                <c:pt idx="595">
                  <c:v>42948</c:v>
                </c:pt>
                <c:pt idx="596">
                  <c:v>42979</c:v>
                </c:pt>
                <c:pt idx="597">
                  <c:v>43009</c:v>
                </c:pt>
                <c:pt idx="598">
                  <c:v>43040</c:v>
                </c:pt>
                <c:pt idx="599">
                  <c:v>43070</c:v>
                </c:pt>
                <c:pt idx="600">
                  <c:v>43101</c:v>
                </c:pt>
                <c:pt idx="601">
                  <c:v>43132</c:v>
                </c:pt>
                <c:pt idx="602">
                  <c:v>43160</c:v>
                </c:pt>
                <c:pt idx="603">
                  <c:v>43191</c:v>
                </c:pt>
                <c:pt idx="604">
                  <c:v>43221</c:v>
                </c:pt>
                <c:pt idx="605">
                  <c:v>43252</c:v>
                </c:pt>
                <c:pt idx="606">
                  <c:v>43282</c:v>
                </c:pt>
                <c:pt idx="607">
                  <c:v>43313</c:v>
                </c:pt>
                <c:pt idx="608">
                  <c:v>43344</c:v>
                </c:pt>
                <c:pt idx="609">
                  <c:v>43374</c:v>
                </c:pt>
                <c:pt idx="610">
                  <c:v>43405</c:v>
                </c:pt>
                <c:pt idx="611">
                  <c:v>43435</c:v>
                </c:pt>
                <c:pt idx="612">
                  <c:v>43466</c:v>
                </c:pt>
                <c:pt idx="613">
                  <c:v>43497</c:v>
                </c:pt>
                <c:pt idx="614">
                  <c:v>43525</c:v>
                </c:pt>
                <c:pt idx="615">
                  <c:v>43556</c:v>
                </c:pt>
                <c:pt idx="616">
                  <c:v>43586</c:v>
                </c:pt>
                <c:pt idx="617">
                  <c:v>43617</c:v>
                </c:pt>
                <c:pt idx="618">
                  <c:v>43647</c:v>
                </c:pt>
                <c:pt idx="619">
                  <c:v>43678</c:v>
                </c:pt>
                <c:pt idx="620">
                  <c:v>43709</c:v>
                </c:pt>
                <c:pt idx="621">
                  <c:v>43739</c:v>
                </c:pt>
                <c:pt idx="622">
                  <c:v>43770</c:v>
                </c:pt>
                <c:pt idx="623">
                  <c:v>43800</c:v>
                </c:pt>
                <c:pt idx="624">
                  <c:v>43831</c:v>
                </c:pt>
                <c:pt idx="625">
                  <c:v>43862</c:v>
                </c:pt>
                <c:pt idx="626">
                  <c:v>43891</c:v>
                </c:pt>
                <c:pt idx="627">
                  <c:v>43922</c:v>
                </c:pt>
                <c:pt idx="628">
                  <c:v>43952</c:v>
                </c:pt>
                <c:pt idx="629">
                  <c:v>43983</c:v>
                </c:pt>
                <c:pt idx="630">
                  <c:v>44013</c:v>
                </c:pt>
                <c:pt idx="631">
                  <c:v>44044</c:v>
                </c:pt>
                <c:pt idx="632">
                  <c:v>44075</c:v>
                </c:pt>
                <c:pt idx="633">
                  <c:v>44105</c:v>
                </c:pt>
                <c:pt idx="634">
                  <c:v>44136</c:v>
                </c:pt>
                <c:pt idx="635">
                  <c:v>44166</c:v>
                </c:pt>
                <c:pt idx="636">
                  <c:v>44197</c:v>
                </c:pt>
                <c:pt idx="637">
                  <c:v>44228</c:v>
                </c:pt>
                <c:pt idx="638">
                  <c:v>44256</c:v>
                </c:pt>
                <c:pt idx="639">
                  <c:v>44287</c:v>
                </c:pt>
                <c:pt idx="640">
                  <c:v>44317</c:v>
                </c:pt>
                <c:pt idx="641">
                  <c:v>44348</c:v>
                </c:pt>
                <c:pt idx="642">
                  <c:v>44378</c:v>
                </c:pt>
                <c:pt idx="643">
                  <c:v>44409</c:v>
                </c:pt>
                <c:pt idx="644">
                  <c:v>44440</c:v>
                </c:pt>
                <c:pt idx="645">
                  <c:v>44470</c:v>
                </c:pt>
                <c:pt idx="646">
                  <c:v>44501</c:v>
                </c:pt>
                <c:pt idx="647">
                  <c:v>44531</c:v>
                </c:pt>
              </c:numCache>
            </c:numRef>
          </c:cat>
          <c:val>
            <c:numRef>
              <c:f>Completed!$B$7:$B$750</c:f>
              <c:numCache>
                <c:formatCode>General</c:formatCode>
                <c:ptCount val="744"/>
                <c:pt idx="0">
                  <c:v>1257</c:v>
                </c:pt>
                <c:pt idx="1">
                  <c:v>1174</c:v>
                </c:pt>
                <c:pt idx="2">
                  <c:v>1323</c:v>
                </c:pt>
                <c:pt idx="3">
                  <c:v>1328</c:v>
                </c:pt>
                <c:pt idx="4">
                  <c:v>1367</c:v>
                </c:pt>
                <c:pt idx="5">
                  <c:v>1184</c:v>
                </c:pt>
                <c:pt idx="6">
                  <c:v>1370</c:v>
                </c:pt>
                <c:pt idx="7">
                  <c:v>1279</c:v>
                </c:pt>
                <c:pt idx="8">
                  <c:v>1397</c:v>
                </c:pt>
                <c:pt idx="9">
                  <c:v>1348</c:v>
                </c:pt>
                <c:pt idx="10">
                  <c:v>1367</c:v>
                </c:pt>
                <c:pt idx="11">
                  <c:v>1390</c:v>
                </c:pt>
                <c:pt idx="12">
                  <c:v>1257</c:v>
                </c:pt>
                <c:pt idx="13">
                  <c:v>1414</c:v>
                </c:pt>
                <c:pt idx="14">
                  <c:v>1558</c:v>
                </c:pt>
                <c:pt idx="15">
                  <c:v>1318</c:v>
                </c:pt>
                <c:pt idx="16">
                  <c:v>1430</c:v>
                </c:pt>
                <c:pt idx="17">
                  <c:v>1455</c:v>
                </c:pt>
                <c:pt idx="18">
                  <c:v>1432</c:v>
                </c:pt>
                <c:pt idx="19">
                  <c:v>1393</c:v>
                </c:pt>
                <c:pt idx="20">
                  <c:v>1367</c:v>
                </c:pt>
                <c:pt idx="21">
                  <c:v>1406</c:v>
                </c:pt>
                <c:pt idx="22">
                  <c:v>1404</c:v>
                </c:pt>
                <c:pt idx="23">
                  <c:v>1402</c:v>
                </c:pt>
                <c:pt idx="24">
                  <c:v>1434</c:v>
                </c:pt>
                <c:pt idx="25">
                  <c:v>1430</c:v>
                </c:pt>
                <c:pt idx="26">
                  <c:v>1317</c:v>
                </c:pt>
                <c:pt idx="27">
                  <c:v>1354</c:v>
                </c:pt>
                <c:pt idx="28">
                  <c:v>1334</c:v>
                </c:pt>
                <c:pt idx="29">
                  <c:v>1431</c:v>
                </c:pt>
                <c:pt idx="30">
                  <c:v>1384</c:v>
                </c:pt>
                <c:pt idx="31">
                  <c:v>1609</c:v>
                </c:pt>
                <c:pt idx="32">
                  <c:v>1383</c:v>
                </c:pt>
                <c:pt idx="33">
                  <c:v>1437</c:v>
                </c:pt>
                <c:pt idx="34">
                  <c:v>1457</c:v>
                </c:pt>
                <c:pt idx="35">
                  <c:v>1437</c:v>
                </c:pt>
                <c:pt idx="36">
                  <c:v>1471</c:v>
                </c:pt>
                <c:pt idx="37">
                  <c:v>1448</c:v>
                </c:pt>
                <c:pt idx="38">
                  <c:v>1489</c:v>
                </c:pt>
                <c:pt idx="39">
                  <c:v>1709</c:v>
                </c:pt>
                <c:pt idx="40">
                  <c:v>1637</c:v>
                </c:pt>
                <c:pt idx="41">
                  <c:v>1637</c:v>
                </c:pt>
                <c:pt idx="42">
                  <c:v>1699</c:v>
                </c:pt>
                <c:pt idx="43">
                  <c:v>1896</c:v>
                </c:pt>
                <c:pt idx="44">
                  <c:v>1804</c:v>
                </c:pt>
                <c:pt idx="45">
                  <c:v>1815</c:v>
                </c:pt>
                <c:pt idx="46">
                  <c:v>1844</c:v>
                </c:pt>
                <c:pt idx="47">
                  <c:v>1895</c:v>
                </c:pt>
                <c:pt idx="48">
                  <c:v>1942</c:v>
                </c:pt>
                <c:pt idx="49">
                  <c:v>2061</c:v>
                </c:pt>
                <c:pt idx="50">
                  <c:v>1981</c:v>
                </c:pt>
                <c:pt idx="51">
                  <c:v>1970</c:v>
                </c:pt>
                <c:pt idx="52">
                  <c:v>1896</c:v>
                </c:pt>
                <c:pt idx="53">
                  <c:v>1936</c:v>
                </c:pt>
                <c:pt idx="54">
                  <c:v>1930</c:v>
                </c:pt>
                <c:pt idx="55">
                  <c:v>2102</c:v>
                </c:pt>
                <c:pt idx="56">
                  <c:v>2053</c:v>
                </c:pt>
                <c:pt idx="57">
                  <c:v>1995</c:v>
                </c:pt>
                <c:pt idx="58">
                  <c:v>1985</c:v>
                </c:pt>
                <c:pt idx="59">
                  <c:v>2121</c:v>
                </c:pt>
                <c:pt idx="60">
                  <c:v>2162</c:v>
                </c:pt>
                <c:pt idx="61">
                  <c:v>2124</c:v>
                </c:pt>
                <c:pt idx="62">
                  <c:v>2196</c:v>
                </c:pt>
                <c:pt idx="63">
                  <c:v>2195</c:v>
                </c:pt>
                <c:pt idx="64">
                  <c:v>2299</c:v>
                </c:pt>
                <c:pt idx="65">
                  <c:v>2258</c:v>
                </c:pt>
                <c:pt idx="66">
                  <c:v>2066</c:v>
                </c:pt>
                <c:pt idx="67">
                  <c:v>2056</c:v>
                </c:pt>
                <c:pt idx="68">
                  <c:v>2061</c:v>
                </c:pt>
                <c:pt idx="69">
                  <c:v>2052</c:v>
                </c:pt>
                <c:pt idx="70">
                  <c:v>1925</c:v>
                </c:pt>
                <c:pt idx="71">
                  <c:v>1869</c:v>
                </c:pt>
                <c:pt idx="72">
                  <c:v>1932</c:v>
                </c:pt>
                <c:pt idx="73">
                  <c:v>1938</c:v>
                </c:pt>
                <c:pt idx="74">
                  <c:v>1806</c:v>
                </c:pt>
                <c:pt idx="75">
                  <c:v>1830</c:v>
                </c:pt>
                <c:pt idx="76">
                  <c:v>1715</c:v>
                </c:pt>
                <c:pt idx="77">
                  <c:v>1897</c:v>
                </c:pt>
                <c:pt idx="78">
                  <c:v>1695</c:v>
                </c:pt>
                <c:pt idx="79">
                  <c:v>1634</c:v>
                </c:pt>
                <c:pt idx="80">
                  <c:v>1651</c:v>
                </c:pt>
                <c:pt idx="81">
                  <c:v>1630</c:v>
                </c:pt>
                <c:pt idx="82">
                  <c:v>1590</c:v>
                </c:pt>
                <c:pt idx="83">
                  <c:v>1540</c:v>
                </c:pt>
                <c:pt idx="84">
                  <c:v>1588</c:v>
                </c:pt>
                <c:pt idx="85">
                  <c:v>1346</c:v>
                </c:pt>
                <c:pt idx="86">
                  <c:v>1293</c:v>
                </c:pt>
                <c:pt idx="87">
                  <c:v>1278</c:v>
                </c:pt>
                <c:pt idx="88">
                  <c:v>1349</c:v>
                </c:pt>
                <c:pt idx="89">
                  <c:v>1234</c:v>
                </c:pt>
                <c:pt idx="90">
                  <c:v>1276</c:v>
                </c:pt>
                <c:pt idx="91">
                  <c:v>1290</c:v>
                </c:pt>
                <c:pt idx="92">
                  <c:v>1333</c:v>
                </c:pt>
                <c:pt idx="93">
                  <c:v>1134</c:v>
                </c:pt>
                <c:pt idx="94">
                  <c:v>1383</c:v>
                </c:pt>
                <c:pt idx="95">
                  <c:v>1306</c:v>
                </c:pt>
                <c:pt idx="96">
                  <c:v>1258</c:v>
                </c:pt>
                <c:pt idx="97">
                  <c:v>1311</c:v>
                </c:pt>
                <c:pt idx="98">
                  <c:v>1347</c:v>
                </c:pt>
                <c:pt idx="99">
                  <c:v>1332</c:v>
                </c:pt>
                <c:pt idx="100">
                  <c:v>1440</c:v>
                </c:pt>
                <c:pt idx="101">
                  <c:v>1390</c:v>
                </c:pt>
                <c:pt idx="102">
                  <c:v>1322</c:v>
                </c:pt>
                <c:pt idx="103">
                  <c:v>1374</c:v>
                </c:pt>
                <c:pt idx="104">
                  <c:v>1371</c:v>
                </c:pt>
                <c:pt idx="105">
                  <c:v>1388</c:v>
                </c:pt>
                <c:pt idx="106">
                  <c:v>1428</c:v>
                </c:pt>
                <c:pt idx="107">
                  <c:v>1457</c:v>
                </c:pt>
                <c:pt idx="108">
                  <c:v>1457</c:v>
                </c:pt>
                <c:pt idx="109">
                  <c:v>1655</c:v>
                </c:pt>
                <c:pt idx="110">
                  <c:v>1619</c:v>
                </c:pt>
                <c:pt idx="111">
                  <c:v>1548</c:v>
                </c:pt>
                <c:pt idx="112">
                  <c:v>1555</c:v>
                </c:pt>
                <c:pt idx="113">
                  <c:v>1636</c:v>
                </c:pt>
                <c:pt idx="114">
                  <c:v>1687</c:v>
                </c:pt>
                <c:pt idx="115">
                  <c:v>1673</c:v>
                </c:pt>
                <c:pt idx="116">
                  <c:v>1865</c:v>
                </c:pt>
                <c:pt idx="117">
                  <c:v>1675</c:v>
                </c:pt>
                <c:pt idx="118">
                  <c:v>1770</c:v>
                </c:pt>
                <c:pt idx="119">
                  <c:v>1634</c:v>
                </c:pt>
                <c:pt idx="120">
                  <c:v>1777</c:v>
                </c:pt>
                <c:pt idx="121">
                  <c:v>1719</c:v>
                </c:pt>
                <c:pt idx="122">
                  <c:v>1785</c:v>
                </c:pt>
                <c:pt idx="123">
                  <c:v>1843</c:v>
                </c:pt>
                <c:pt idx="124">
                  <c:v>1850</c:v>
                </c:pt>
                <c:pt idx="125">
                  <c:v>1905</c:v>
                </c:pt>
                <c:pt idx="126">
                  <c:v>1957</c:v>
                </c:pt>
                <c:pt idx="127">
                  <c:v>1976</c:v>
                </c:pt>
                <c:pt idx="128">
                  <c:v>1944</c:v>
                </c:pt>
                <c:pt idx="129">
                  <c:v>1885</c:v>
                </c:pt>
                <c:pt idx="130">
                  <c:v>1877</c:v>
                </c:pt>
                <c:pt idx="131">
                  <c:v>1844</c:v>
                </c:pt>
                <c:pt idx="132">
                  <c:v>1850</c:v>
                </c:pt>
                <c:pt idx="133">
                  <c:v>1845</c:v>
                </c:pt>
                <c:pt idx="134">
                  <c:v>1946</c:v>
                </c:pt>
                <c:pt idx="135">
                  <c:v>1866</c:v>
                </c:pt>
                <c:pt idx="136">
                  <c:v>2007</c:v>
                </c:pt>
                <c:pt idx="137">
                  <c:v>1853</c:v>
                </c:pt>
                <c:pt idx="138">
                  <c:v>1759</c:v>
                </c:pt>
                <c:pt idx="139">
                  <c:v>1779</c:v>
                </c:pt>
                <c:pt idx="140">
                  <c:v>1983</c:v>
                </c:pt>
                <c:pt idx="141">
                  <c:v>1832</c:v>
                </c:pt>
                <c:pt idx="142">
                  <c:v>1892</c:v>
                </c:pt>
                <c:pt idx="143">
                  <c:v>1863</c:v>
                </c:pt>
                <c:pt idx="144">
                  <c:v>1794</c:v>
                </c:pt>
                <c:pt idx="145">
                  <c:v>1803</c:v>
                </c:pt>
                <c:pt idx="146">
                  <c:v>1701</c:v>
                </c:pt>
                <c:pt idx="147">
                  <c:v>1751</c:v>
                </c:pt>
                <c:pt idx="148">
                  <c:v>1532</c:v>
                </c:pt>
                <c:pt idx="149">
                  <c:v>1480</c:v>
                </c:pt>
                <c:pt idx="150">
                  <c:v>1472</c:v>
                </c:pt>
                <c:pt idx="151">
                  <c:v>1440</c:v>
                </c:pt>
                <c:pt idx="152">
                  <c:v>1267</c:v>
                </c:pt>
                <c:pt idx="153">
                  <c:v>1272</c:v>
                </c:pt>
                <c:pt idx="154">
                  <c:v>1313</c:v>
                </c:pt>
                <c:pt idx="155">
                  <c:v>1378</c:v>
                </c:pt>
                <c:pt idx="156">
                  <c:v>1270</c:v>
                </c:pt>
                <c:pt idx="157">
                  <c:v>1395</c:v>
                </c:pt>
                <c:pt idx="158">
                  <c:v>1377</c:v>
                </c:pt>
                <c:pt idx="159">
                  <c:v>1469</c:v>
                </c:pt>
                <c:pt idx="160">
                  <c:v>1246</c:v>
                </c:pt>
                <c:pt idx="161">
                  <c:v>1350</c:v>
                </c:pt>
                <c:pt idx="162">
                  <c:v>1337</c:v>
                </c:pt>
                <c:pt idx="163">
                  <c:v>1222</c:v>
                </c:pt>
                <c:pt idx="164">
                  <c:v>1221</c:v>
                </c:pt>
                <c:pt idx="165">
                  <c:v>1206</c:v>
                </c:pt>
                <c:pt idx="166">
                  <c:v>1074</c:v>
                </c:pt>
                <c:pt idx="167">
                  <c:v>1129</c:v>
                </c:pt>
                <c:pt idx="168">
                  <c:v>1052</c:v>
                </c:pt>
                <c:pt idx="169">
                  <c:v>935</c:v>
                </c:pt>
                <c:pt idx="170">
                  <c:v>965</c:v>
                </c:pt>
                <c:pt idx="171">
                  <c:v>979</c:v>
                </c:pt>
                <c:pt idx="172">
                  <c:v>1060</c:v>
                </c:pt>
                <c:pt idx="173">
                  <c:v>930</c:v>
                </c:pt>
                <c:pt idx="174">
                  <c:v>1006</c:v>
                </c:pt>
                <c:pt idx="175">
                  <c:v>985</c:v>
                </c:pt>
                <c:pt idx="176">
                  <c:v>947</c:v>
                </c:pt>
                <c:pt idx="177">
                  <c:v>1059</c:v>
                </c:pt>
                <c:pt idx="178">
                  <c:v>1079</c:v>
                </c:pt>
                <c:pt idx="179">
                  <c:v>1047</c:v>
                </c:pt>
                <c:pt idx="180">
                  <c:v>1187</c:v>
                </c:pt>
                <c:pt idx="181">
                  <c:v>1135</c:v>
                </c:pt>
                <c:pt idx="182">
                  <c:v>1168</c:v>
                </c:pt>
                <c:pt idx="183">
                  <c:v>1197</c:v>
                </c:pt>
                <c:pt idx="184">
                  <c:v>1300</c:v>
                </c:pt>
                <c:pt idx="185">
                  <c:v>1344</c:v>
                </c:pt>
                <c:pt idx="186">
                  <c:v>1410</c:v>
                </c:pt>
                <c:pt idx="187">
                  <c:v>1711</c:v>
                </c:pt>
                <c:pt idx="188">
                  <c:v>1493</c:v>
                </c:pt>
                <c:pt idx="189">
                  <c:v>1586</c:v>
                </c:pt>
                <c:pt idx="190">
                  <c:v>1462</c:v>
                </c:pt>
                <c:pt idx="191">
                  <c:v>1509</c:v>
                </c:pt>
                <c:pt idx="192">
                  <c:v>1595</c:v>
                </c:pt>
                <c:pt idx="193">
                  <c:v>1562</c:v>
                </c:pt>
                <c:pt idx="194">
                  <c:v>1600</c:v>
                </c:pt>
                <c:pt idx="195">
                  <c:v>1683</c:v>
                </c:pt>
                <c:pt idx="196">
                  <c:v>1732</c:v>
                </c:pt>
                <c:pt idx="197">
                  <c:v>1714</c:v>
                </c:pt>
                <c:pt idx="198">
                  <c:v>1692</c:v>
                </c:pt>
                <c:pt idx="199">
                  <c:v>1685</c:v>
                </c:pt>
                <c:pt idx="200">
                  <c:v>1642</c:v>
                </c:pt>
                <c:pt idx="201">
                  <c:v>1633</c:v>
                </c:pt>
                <c:pt idx="202">
                  <c:v>1611</c:v>
                </c:pt>
                <c:pt idx="203">
                  <c:v>1629</c:v>
                </c:pt>
                <c:pt idx="204">
                  <c:v>1646</c:v>
                </c:pt>
                <c:pt idx="205">
                  <c:v>1772</c:v>
                </c:pt>
                <c:pt idx="206">
                  <c:v>1715</c:v>
                </c:pt>
                <c:pt idx="207">
                  <c:v>1630</c:v>
                </c:pt>
                <c:pt idx="208">
                  <c:v>1665</c:v>
                </c:pt>
                <c:pt idx="209">
                  <c:v>1791</c:v>
                </c:pt>
                <c:pt idx="210">
                  <c:v>1693</c:v>
                </c:pt>
                <c:pt idx="211">
                  <c:v>1685</c:v>
                </c:pt>
                <c:pt idx="212">
                  <c:v>1806</c:v>
                </c:pt>
                <c:pt idx="213">
                  <c:v>1565</c:v>
                </c:pt>
                <c:pt idx="214">
                  <c:v>1749</c:v>
                </c:pt>
                <c:pt idx="215">
                  <c:v>1732</c:v>
                </c:pt>
                <c:pt idx="216">
                  <c:v>1723</c:v>
                </c:pt>
                <c:pt idx="217">
                  <c:v>1753</c:v>
                </c:pt>
                <c:pt idx="218">
                  <c:v>1756</c:v>
                </c:pt>
                <c:pt idx="219">
                  <c:v>1685</c:v>
                </c:pt>
                <c:pt idx="220">
                  <c:v>1833</c:v>
                </c:pt>
                <c:pt idx="221">
                  <c:v>1672</c:v>
                </c:pt>
                <c:pt idx="222">
                  <c:v>1722</c:v>
                </c:pt>
                <c:pt idx="223">
                  <c:v>1763</c:v>
                </c:pt>
                <c:pt idx="224">
                  <c:v>1732</c:v>
                </c:pt>
                <c:pt idx="225">
                  <c:v>1782</c:v>
                </c:pt>
                <c:pt idx="226">
                  <c:v>1793</c:v>
                </c:pt>
                <c:pt idx="227">
                  <c:v>1840</c:v>
                </c:pt>
                <c:pt idx="228">
                  <c:v>1862</c:v>
                </c:pt>
                <c:pt idx="229">
                  <c:v>1771</c:v>
                </c:pt>
                <c:pt idx="230">
                  <c:v>1694</c:v>
                </c:pt>
                <c:pt idx="231">
                  <c:v>1735</c:v>
                </c:pt>
                <c:pt idx="232">
                  <c:v>1713</c:v>
                </c:pt>
                <c:pt idx="233">
                  <c:v>1635</c:v>
                </c:pt>
                <c:pt idx="234">
                  <c:v>1685</c:v>
                </c:pt>
                <c:pt idx="235">
                  <c:v>1624</c:v>
                </c:pt>
                <c:pt idx="236">
                  <c:v>1587</c:v>
                </c:pt>
                <c:pt idx="237">
                  <c:v>1577</c:v>
                </c:pt>
                <c:pt idx="238">
                  <c:v>1578</c:v>
                </c:pt>
                <c:pt idx="239">
                  <c:v>1632</c:v>
                </c:pt>
                <c:pt idx="240">
                  <c:v>1554</c:v>
                </c:pt>
                <c:pt idx="241">
                  <c:v>1450</c:v>
                </c:pt>
                <c:pt idx="242">
                  <c:v>1600</c:v>
                </c:pt>
                <c:pt idx="243">
                  <c:v>1615</c:v>
                </c:pt>
                <c:pt idx="244">
                  <c:v>1483</c:v>
                </c:pt>
                <c:pt idx="245">
                  <c:v>1512</c:v>
                </c:pt>
                <c:pt idx="246">
                  <c:v>1527</c:v>
                </c:pt>
                <c:pt idx="247">
                  <c:v>1551</c:v>
                </c:pt>
                <c:pt idx="248">
                  <c:v>1531</c:v>
                </c:pt>
                <c:pt idx="249">
                  <c:v>1529</c:v>
                </c:pt>
                <c:pt idx="250">
                  <c:v>1407</c:v>
                </c:pt>
                <c:pt idx="251">
                  <c:v>1547</c:v>
                </c:pt>
                <c:pt idx="252">
                  <c:v>1561</c:v>
                </c:pt>
                <c:pt idx="253">
                  <c:v>1597</c:v>
                </c:pt>
                <c:pt idx="254">
                  <c:v>1442</c:v>
                </c:pt>
                <c:pt idx="255">
                  <c:v>1542</c:v>
                </c:pt>
                <c:pt idx="256">
                  <c:v>1449</c:v>
                </c:pt>
                <c:pt idx="257">
                  <c:v>1346</c:v>
                </c:pt>
                <c:pt idx="258">
                  <c:v>1386</c:v>
                </c:pt>
                <c:pt idx="259">
                  <c:v>1429</c:v>
                </c:pt>
                <c:pt idx="260">
                  <c:v>1338</c:v>
                </c:pt>
                <c:pt idx="261">
                  <c:v>1333</c:v>
                </c:pt>
                <c:pt idx="262">
                  <c:v>1475</c:v>
                </c:pt>
                <c:pt idx="263">
                  <c:v>1304</c:v>
                </c:pt>
                <c:pt idx="264">
                  <c:v>1508</c:v>
                </c:pt>
                <c:pt idx="265">
                  <c:v>1352</c:v>
                </c:pt>
                <c:pt idx="266">
                  <c:v>1345</c:v>
                </c:pt>
                <c:pt idx="267">
                  <c:v>1332</c:v>
                </c:pt>
                <c:pt idx="268">
                  <c:v>1351</c:v>
                </c:pt>
                <c:pt idx="269">
                  <c:v>1263</c:v>
                </c:pt>
                <c:pt idx="270">
                  <c:v>1295</c:v>
                </c:pt>
                <c:pt idx="271">
                  <c:v>1307</c:v>
                </c:pt>
                <c:pt idx="272">
                  <c:v>1312</c:v>
                </c:pt>
                <c:pt idx="273">
                  <c:v>1282</c:v>
                </c:pt>
                <c:pt idx="274">
                  <c:v>1248</c:v>
                </c:pt>
                <c:pt idx="275">
                  <c:v>1173</c:v>
                </c:pt>
                <c:pt idx="276">
                  <c:v>1149</c:v>
                </c:pt>
                <c:pt idx="277">
                  <c:v>1090</c:v>
                </c:pt>
                <c:pt idx="278">
                  <c:v>1176</c:v>
                </c:pt>
                <c:pt idx="279">
                  <c:v>1093</c:v>
                </c:pt>
                <c:pt idx="280">
                  <c:v>1070</c:v>
                </c:pt>
                <c:pt idx="281">
                  <c:v>1093</c:v>
                </c:pt>
                <c:pt idx="282">
                  <c:v>1076</c:v>
                </c:pt>
                <c:pt idx="283">
                  <c:v>1050</c:v>
                </c:pt>
                <c:pt idx="284">
                  <c:v>1216</c:v>
                </c:pt>
                <c:pt idx="285">
                  <c:v>1076</c:v>
                </c:pt>
                <c:pt idx="286">
                  <c:v>1013</c:v>
                </c:pt>
                <c:pt idx="287">
                  <c:v>1002</c:v>
                </c:pt>
                <c:pt idx="288">
                  <c:v>1061</c:v>
                </c:pt>
                <c:pt idx="289">
                  <c:v>1098</c:v>
                </c:pt>
                <c:pt idx="290">
                  <c:v>1128</c:v>
                </c:pt>
                <c:pt idx="291">
                  <c:v>1083</c:v>
                </c:pt>
                <c:pt idx="292">
                  <c:v>1187</c:v>
                </c:pt>
                <c:pt idx="293">
                  <c:v>1189</c:v>
                </c:pt>
                <c:pt idx="294">
                  <c:v>1251</c:v>
                </c:pt>
                <c:pt idx="295">
                  <c:v>1140</c:v>
                </c:pt>
                <c:pt idx="296">
                  <c:v>1123</c:v>
                </c:pt>
                <c:pt idx="297">
                  <c:v>1139</c:v>
                </c:pt>
                <c:pt idx="298">
                  <c:v>1224</c:v>
                </c:pt>
                <c:pt idx="299">
                  <c:v>1199</c:v>
                </c:pt>
                <c:pt idx="300">
                  <c:v>1135</c:v>
                </c:pt>
                <c:pt idx="301">
                  <c:v>1236</c:v>
                </c:pt>
                <c:pt idx="302">
                  <c:v>1105</c:v>
                </c:pt>
                <c:pt idx="303">
                  <c:v>1216</c:v>
                </c:pt>
                <c:pt idx="304">
                  <c:v>1111</c:v>
                </c:pt>
                <c:pt idx="305">
                  <c:v>1193</c:v>
                </c:pt>
                <c:pt idx="306">
                  <c:v>1090</c:v>
                </c:pt>
                <c:pt idx="307">
                  <c:v>1264</c:v>
                </c:pt>
                <c:pt idx="308">
                  <c:v>1172</c:v>
                </c:pt>
                <c:pt idx="309">
                  <c:v>1246</c:v>
                </c:pt>
                <c:pt idx="310">
                  <c:v>1235</c:v>
                </c:pt>
                <c:pt idx="311">
                  <c:v>1289</c:v>
                </c:pt>
                <c:pt idx="312">
                  <c:v>1228</c:v>
                </c:pt>
                <c:pt idx="313">
                  <c:v>1353</c:v>
                </c:pt>
                <c:pt idx="314">
                  <c:v>1257</c:v>
                </c:pt>
                <c:pt idx="315">
                  <c:v>1374</c:v>
                </c:pt>
                <c:pt idx="316">
                  <c:v>1430</c:v>
                </c:pt>
                <c:pt idx="317">
                  <c:v>1336</c:v>
                </c:pt>
                <c:pt idx="318">
                  <c:v>1281</c:v>
                </c:pt>
                <c:pt idx="319">
                  <c:v>1348</c:v>
                </c:pt>
                <c:pt idx="320">
                  <c:v>1414</c:v>
                </c:pt>
                <c:pt idx="321">
                  <c:v>1378</c:v>
                </c:pt>
                <c:pt idx="322">
                  <c:v>1365</c:v>
                </c:pt>
                <c:pt idx="323">
                  <c:v>1386</c:v>
                </c:pt>
                <c:pt idx="324">
                  <c:v>1423</c:v>
                </c:pt>
                <c:pt idx="325">
                  <c:v>1294</c:v>
                </c:pt>
                <c:pt idx="326">
                  <c:v>1413</c:v>
                </c:pt>
                <c:pt idx="327">
                  <c:v>1342</c:v>
                </c:pt>
                <c:pt idx="328">
                  <c:v>1326</c:v>
                </c:pt>
                <c:pt idx="329">
                  <c:v>1242</c:v>
                </c:pt>
                <c:pt idx="330">
                  <c:v>1352</c:v>
                </c:pt>
                <c:pt idx="331">
                  <c:v>1265</c:v>
                </c:pt>
                <c:pt idx="332">
                  <c:v>1279</c:v>
                </c:pt>
                <c:pt idx="333">
                  <c:v>1335</c:v>
                </c:pt>
                <c:pt idx="334">
                  <c:v>1360</c:v>
                </c:pt>
                <c:pt idx="335">
                  <c:v>1200</c:v>
                </c:pt>
                <c:pt idx="336">
                  <c:v>1402</c:v>
                </c:pt>
                <c:pt idx="337">
                  <c:v>1317</c:v>
                </c:pt>
                <c:pt idx="338">
                  <c:v>1369</c:v>
                </c:pt>
                <c:pt idx="339">
                  <c:v>1327</c:v>
                </c:pt>
                <c:pt idx="340">
                  <c:v>1423</c:v>
                </c:pt>
                <c:pt idx="341">
                  <c:v>1437</c:v>
                </c:pt>
                <c:pt idx="342">
                  <c:v>1453</c:v>
                </c:pt>
                <c:pt idx="343">
                  <c:v>1468</c:v>
                </c:pt>
                <c:pt idx="344">
                  <c:v>1379</c:v>
                </c:pt>
                <c:pt idx="345">
                  <c:v>1392</c:v>
                </c:pt>
                <c:pt idx="346">
                  <c:v>1413</c:v>
                </c:pt>
                <c:pt idx="347">
                  <c:v>1487</c:v>
                </c:pt>
                <c:pt idx="348">
                  <c:v>1377</c:v>
                </c:pt>
                <c:pt idx="349">
                  <c:v>1545</c:v>
                </c:pt>
                <c:pt idx="350">
                  <c:v>1445</c:v>
                </c:pt>
                <c:pt idx="351">
                  <c:v>1438</c:v>
                </c:pt>
                <c:pt idx="352">
                  <c:v>1400</c:v>
                </c:pt>
                <c:pt idx="353">
                  <c:v>1315</c:v>
                </c:pt>
                <c:pt idx="354">
                  <c:v>1313</c:v>
                </c:pt>
                <c:pt idx="355">
                  <c:v>1332</c:v>
                </c:pt>
                <c:pt idx="356">
                  <c:v>1442</c:v>
                </c:pt>
                <c:pt idx="357">
                  <c:v>1396</c:v>
                </c:pt>
                <c:pt idx="358">
                  <c:v>1420</c:v>
                </c:pt>
                <c:pt idx="359">
                  <c:v>1428</c:v>
                </c:pt>
                <c:pt idx="360">
                  <c:v>1316</c:v>
                </c:pt>
                <c:pt idx="361">
                  <c:v>1441</c:v>
                </c:pt>
                <c:pt idx="362">
                  <c:v>1477</c:v>
                </c:pt>
                <c:pt idx="363">
                  <c:v>1498</c:v>
                </c:pt>
                <c:pt idx="364">
                  <c:v>1465</c:v>
                </c:pt>
                <c:pt idx="365">
                  <c:v>1467</c:v>
                </c:pt>
                <c:pt idx="366">
                  <c:v>1552</c:v>
                </c:pt>
                <c:pt idx="367">
                  <c:v>1521</c:v>
                </c:pt>
                <c:pt idx="368">
                  <c:v>1452</c:v>
                </c:pt>
                <c:pt idx="369">
                  <c:v>1452</c:v>
                </c:pt>
                <c:pt idx="370">
                  <c:v>1604</c:v>
                </c:pt>
                <c:pt idx="371">
                  <c:v>1433</c:v>
                </c:pt>
                <c:pt idx="372">
                  <c:v>1599</c:v>
                </c:pt>
                <c:pt idx="373">
                  <c:v>1459</c:v>
                </c:pt>
                <c:pt idx="374">
                  <c:v>1673</c:v>
                </c:pt>
                <c:pt idx="375">
                  <c:v>1580</c:v>
                </c:pt>
                <c:pt idx="376">
                  <c:v>1623</c:v>
                </c:pt>
                <c:pt idx="377">
                  <c:v>1648</c:v>
                </c:pt>
                <c:pt idx="378">
                  <c:v>1597</c:v>
                </c:pt>
                <c:pt idx="379">
                  <c:v>1563</c:v>
                </c:pt>
                <c:pt idx="380">
                  <c:v>1643</c:v>
                </c:pt>
                <c:pt idx="381">
                  <c:v>1593</c:v>
                </c:pt>
                <c:pt idx="382">
                  <c:v>1596</c:v>
                </c:pt>
                <c:pt idx="383">
                  <c:v>1659</c:v>
                </c:pt>
                <c:pt idx="384">
                  <c:v>1574</c:v>
                </c:pt>
                <c:pt idx="385">
                  <c:v>1677</c:v>
                </c:pt>
                <c:pt idx="386">
                  <c:v>1704</c:v>
                </c:pt>
                <c:pt idx="387">
                  <c:v>1610</c:v>
                </c:pt>
                <c:pt idx="388">
                  <c:v>1682</c:v>
                </c:pt>
                <c:pt idx="389">
                  <c:v>1530</c:v>
                </c:pt>
                <c:pt idx="390">
                  <c:v>1495</c:v>
                </c:pt>
                <c:pt idx="391">
                  <c:v>1573</c:v>
                </c:pt>
                <c:pt idx="392">
                  <c:v>1528</c:v>
                </c:pt>
                <c:pt idx="393">
                  <c:v>1513</c:v>
                </c:pt>
                <c:pt idx="394">
                  <c:v>1539</c:v>
                </c:pt>
                <c:pt idx="395">
                  <c:v>1521</c:v>
                </c:pt>
                <c:pt idx="396">
                  <c:v>1456</c:v>
                </c:pt>
                <c:pt idx="397">
                  <c:v>1536</c:v>
                </c:pt>
                <c:pt idx="398">
                  <c:v>1470</c:v>
                </c:pt>
                <c:pt idx="399">
                  <c:v>1574</c:v>
                </c:pt>
                <c:pt idx="400">
                  <c:v>1497</c:v>
                </c:pt>
                <c:pt idx="401">
                  <c:v>1654</c:v>
                </c:pt>
                <c:pt idx="402">
                  <c:v>1582</c:v>
                </c:pt>
                <c:pt idx="403">
                  <c:v>1615</c:v>
                </c:pt>
                <c:pt idx="404">
                  <c:v>1551</c:v>
                </c:pt>
                <c:pt idx="405">
                  <c:v>1599</c:v>
                </c:pt>
                <c:pt idx="406">
                  <c:v>1555</c:v>
                </c:pt>
                <c:pt idx="407">
                  <c:v>1693</c:v>
                </c:pt>
                <c:pt idx="408">
                  <c:v>1632</c:v>
                </c:pt>
                <c:pt idx="409">
                  <c:v>1671</c:v>
                </c:pt>
                <c:pt idx="410">
                  <c:v>1559</c:v>
                </c:pt>
                <c:pt idx="411">
                  <c:v>1625</c:v>
                </c:pt>
                <c:pt idx="412">
                  <c:v>1705</c:v>
                </c:pt>
                <c:pt idx="413">
                  <c:v>1589</c:v>
                </c:pt>
                <c:pt idx="414">
                  <c:v>1615</c:v>
                </c:pt>
                <c:pt idx="415">
                  <c:v>1722</c:v>
                </c:pt>
                <c:pt idx="416">
                  <c:v>1641</c:v>
                </c:pt>
                <c:pt idx="417">
                  <c:v>1601</c:v>
                </c:pt>
                <c:pt idx="418">
                  <c:v>1718</c:v>
                </c:pt>
                <c:pt idx="419">
                  <c:v>1671</c:v>
                </c:pt>
                <c:pt idx="420">
                  <c:v>1654</c:v>
                </c:pt>
                <c:pt idx="421">
                  <c:v>1688</c:v>
                </c:pt>
                <c:pt idx="422">
                  <c:v>1638</c:v>
                </c:pt>
                <c:pt idx="423">
                  <c:v>1662</c:v>
                </c:pt>
                <c:pt idx="424">
                  <c:v>1733</c:v>
                </c:pt>
                <c:pt idx="425">
                  <c:v>1641</c:v>
                </c:pt>
                <c:pt idx="426">
                  <c:v>1680</c:v>
                </c:pt>
                <c:pt idx="427">
                  <c:v>1570</c:v>
                </c:pt>
                <c:pt idx="428">
                  <c:v>1719</c:v>
                </c:pt>
                <c:pt idx="429">
                  <c:v>1728</c:v>
                </c:pt>
                <c:pt idx="430">
                  <c:v>1692</c:v>
                </c:pt>
                <c:pt idx="431">
                  <c:v>1716</c:v>
                </c:pt>
                <c:pt idx="432">
                  <c:v>1709</c:v>
                </c:pt>
                <c:pt idx="433">
                  <c:v>1718</c:v>
                </c:pt>
                <c:pt idx="434">
                  <c:v>1794</c:v>
                </c:pt>
                <c:pt idx="435">
                  <c:v>1938</c:v>
                </c:pt>
                <c:pt idx="436">
                  <c:v>1893</c:v>
                </c:pt>
                <c:pt idx="437">
                  <c:v>1857</c:v>
                </c:pt>
                <c:pt idx="438">
                  <c:v>1881</c:v>
                </c:pt>
                <c:pt idx="439">
                  <c:v>1911</c:v>
                </c:pt>
                <c:pt idx="440">
                  <c:v>1796</c:v>
                </c:pt>
                <c:pt idx="441">
                  <c:v>1839</c:v>
                </c:pt>
                <c:pt idx="442">
                  <c:v>1758</c:v>
                </c:pt>
                <c:pt idx="443">
                  <c:v>1921</c:v>
                </c:pt>
                <c:pt idx="444">
                  <c:v>1892</c:v>
                </c:pt>
                <c:pt idx="445">
                  <c:v>1908</c:v>
                </c:pt>
                <c:pt idx="446">
                  <c:v>1787</c:v>
                </c:pt>
                <c:pt idx="447">
                  <c:v>1927</c:v>
                </c:pt>
                <c:pt idx="448">
                  <c:v>2103</c:v>
                </c:pt>
                <c:pt idx="449">
                  <c:v>1965</c:v>
                </c:pt>
                <c:pt idx="450">
                  <c:v>1886</c:v>
                </c:pt>
                <c:pt idx="451">
                  <c:v>1952</c:v>
                </c:pt>
                <c:pt idx="452">
                  <c:v>1922</c:v>
                </c:pt>
                <c:pt idx="453">
                  <c:v>1962</c:v>
                </c:pt>
                <c:pt idx="454">
                  <c:v>1907</c:v>
                </c:pt>
                <c:pt idx="455">
                  <c:v>1941</c:v>
                </c:pt>
                <c:pt idx="456">
                  <c:v>2036</c:v>
                </c:pt>
                <c:pt idx="457">
                  <c:v>2048</c:v>
                </c:pt>
                <c:pt idx="458">
                  <c:v>2245</c:v>
                </c:pt>
                <c:pt idx="459">
                  <c:v>2071</c:v>
                </c:pt>
                <c:pt idx="460">
                  <c:v>1897</c:v>
                </c:pt>
                <c:pt idx="461">
                  <c:v>2050</c:v>
                </c:pt>
                <c:pt idx="462">
                  <c:v>1934</c:v>
                </c:pt>
                <c:pt idx="463">
                  <c:v>1877</c:v>
                </c:pt>
                <c:pt idx="464">
                  <c:v>2011</c:v>
                </c:pt>
                <c:pt idx="465">
                  <c:v>1918</c:v>
                </c:pt>
                <c:pt idx="466">
                  <c:v>1893</c:v>
                </c:pt>
                <c:pt idx="467">
                  <c:v>1888</c:v>
                </c:pt>
                <c:pt idx="468">
                  <c:v>1822</c:v>
                </c:pt>
                <c:pt idx="469">
                  <c:v>1640</c:v>
                </c:pt>
                <c:pt idx="470">
                  <c:v>1623</c:v>
                </c:pt>
                <c:pt idx="471">
                  <c:v>1539</c:v>
                </c:pt>
                <c:pt idx="472">
                  <c:v>1536</c:v>
                </c:pt>
                <c:pt idx="473">
                  <c:v>1481</c:v>
                </c:pt>
                <c:pt idx="474">
                  <c:v>1534</c:v>
                </c:pt>
                <c:pt idx="475">
                  <c:v>1512</c:v>
                </c:pt>
                <c:pt idx="476">
                  <c:v>1356</c:v>
                </c:pt>
                <c:pt idx="477">
                  <c:v>1405</c:v>
                </c:pt>
                <c:pt idx="478">
                  <c:v>1390</c:v>
                </c:pt>
                <c:pt idx="479">
                  <c:v>1328</c:v>
                </c:pt>
                <c:pt idx="480">
                  <c:v>1331</c:v>
                </c:pt>
                <c:pt idx="481">
                  <c:v>1274</c:v>
                </c:pt>
                <c:pt idx="482">
                  <c:v>1195</c:v>
                </c:pt>
                <c:pt idx="483">
                  <c:v>1022</c:v>
                </c:pt>
                <c:pt idx="484">
                  <c:v>1142</c:v>
                </c:pt>
                <c:pt idx="485">
                  <c:v>1142</c:v>
                </c:pt>
                <c:pt idx="486">
                  <c:v>1087</c:v>
                </c:pt>
                <c:pt idx="487">
                  <c:v>1017</c:v>
                </c:pt>
                <c:pt idx="488">
                  <c:v>1160</c:v>
                </c:pt>
                <c:pt idx="489">
                  <c:v>1055</c:v>
                </c:pt>
                <c:pt idx="490">
                  <c:v>1076</c:v>
                </c:pt>
                <c:pt idx="491">
                  <c:v>1021</c:v>
                </c:pt>
                <c:pt idx="492">
                  <c:v>777</c:v>
                </c:pt>
                <c:pt idx="493">
                  <c:v>819</c:v>
                </c:pt>
                <c:pt idx="494">
                  <c:v>839</c:v>
                </c:pt>
                <c:pt idx="495">
                  <c:v>846</c:v>
                </c:pt>
                <c:pt idx="496">
                  <c:v>818</c:v>
                </c:pt>
                <c:pt idx="497">
                  <c:v>797</c:v>
                </c:pt>
                <c:pt idx="498">
                  <c:v>797</c:v>
                </c:pt>
                <c:pt idx="499">
                  <c:v>792</c:v>
                </c:pt>
                <c:pt idx="500">
                  <c:v>721</c:v>
                </c:pt>
                <c:pt idx="501">
                  <c:v>746</c:v>
                </c:pt>
                <c:pt idx="502">
                  <c:v>844</c:v>
                </c:pt>
                <c:pt idx="503">
                  <c:v>750</c:v>
                </c:pt>
                <c:pt idx="504">
                  <c:v>689</c:v>
                </c:pt>
                <c:pt idx="505">
                  <c:v>670</c:v>
                </c:pt>
                <c:pt idx="506">
                  <c:v>635</c:v>
                </c:pt>
                <c:pt idx="507">
                  <c:v>737</c:v>
                </c:pt>
                <c:pt idx="508">
                  <c:v>702</c:v>
                </c:pt>
                <c:pt idx="509">
                  <c:v>894</c:v>
                </c:pt>
                <c:pt idx="510">
                  <c:v>572</c:v>
                </c:pt>
                <c:pt idx="511">
                  <c:v>592</c:v>
                </c:pt>
                <c:pt idx="512">
                  <c:v>632</c:v>
                </c:pt>
                <c:pt idx="513">
                  <c:v>605</c:v>
                </c:pt>
                <c:pt idx="514">
                  <c:v>552</c:v>
                </c:pt>
                <c:pt idx="515">
                  <c:v>565</c:v>
                </c:pt>
                <c:pt idx="516">
                  <c:v>520</c:v>
                </c:pt>
                <c:pt idx="517">
                  <c:v>615</c:v>
                </c:pt>
                <c:pt idx="518">
                  <c:v>591</c:v>
                </c:pt>
                <c:pt idx="519">
                  <c:v>549</c:v>
                </c:pt>
                <c:pt idx="520">
                  <c:v>549</c:v>
                </c:pt>
                <c:pt idx="521">
                  <c:v>579</c:v>
                </c:pt>
                <c:pt idx="522">
                  <c:v>634</c:v>
                </c:pt>
                <c:pt idx="523">
                  <c:v>614</c:v>
                </c:pt>
                <c:pt idx="524">
                  <c:v>603</c:v>
                </c:pt>
                <c:pt idx="525">
                  <c:v>566</c:v>
                </c:pt>
                <c:pt idx="526">
                  <c:v>585</c:v>
                </c:pt>
                <c:pt idx="527">
                  <c:v>610</c:v>
                </c:pt>
                <c:pt idx="528">
                  <c:v>545</c:v>
                </c:pt>
                <c:pt idx="529">
                  <c:v>561</c:v>
                </c:pt>
                <c:pt idx="530">
                  <c:v>582</c:v>
                </c:pt>
                <c:pt idx="531">
                  <c:v>671</c:v>
                </c:pt>
                <c:pt idx="532">
                  <c:v>626</c:v>
                </c:pt>
                <c:pt idx="533">
                  <c:v>625</c:v>
                </c:pt>
                <c:pt idx="534">
                  <c:v>676</c:v>
                </c:pt>
                <c:pt idx="535">
                  <c:v>684</c:v>
                </c:pt>
                <c:pt idx="536">
                  <c:v>652</c:v>
                </c:pt>
                <c:pt idx="537">
                  <c:v>730</c:v>
                </c:pt>
                <c:pt idx="538">
                  <c:v>668</c:v>
                </c:pt>
                <c:pt idx="539">
                  <c:v>677</c:v>
                </c:pt>
                <c:pt idx="540">
                  <c:v>714</c:v>
                </c:pt>
                <c:pt idx="541">
                  <c:v>729</c:v>
                </c:pt>
                <c:pt idx="542">
                  <c:v>816</c:v>
                </c:pt>
                <c:pt idx="543">
                  <c:v>712</c:v>
                </c:pt>
                <c:pt idx="544">
                  <c:v>708</c:v>
                </c:pt>
                <c:pt idx="545">
                  <c:v>736</c:v>
                </c:pt>
                <c:pt idx="546">
                  <c:v>784</c:v>
                </c:pt>
                <c:pt idx="547">
                  <c:v>765</c:v>
                </c:pt>
                <c:pt idx="548">
                  <c:v>776</c:v>
                </c:pt>
                <c:pt idx="549">
                  <c:v>801</c:v>
                </c:pt>
                <c:pt idx="550">
                  <c:v>839</c:v>
                </c:pt>
                <c:pt idx="551">
                  <c:v>778</c:v>
                </c:pt>
                <c:pt idx="552">
                  <c:v>838</c:v>
                </c:pt>
                <c:pt idx="553">
                  <c:v>876</c:v>
                </c:pt>
                <c:pt idx="554">
                  <c:v>893</c:v>
                </c:pt>
                <c:pt idx="555">
                  <c:v>834</c:v>
                </c:pt>
                <c:pt idx="556">
                  <c:v>891</c:v>
                </c:pt>
                <c:pt idx="557">
                  <c:v>800</c:v>
                </c:pt>
                <c:pt idx="558">
                  <c:v>839</c:v>
                </c:pt>
                <c:pt idx="559">
                  <c:v>908</c:v>
                </c:pt>
                <c:pt idx="560">
                  <c:v>975</c:v>
                </c:pt>
                <c:pt idx="561">
                  <c:v>920</c:v>
                </c:pt>
                <c:pt idx="562">
                  <c:v>863</c:v>
                </c:pt>
                <c:pt idx="563">
                  <c:v>955</c:v>
                </c:pt>
                <c:pt idx="564">
                  <c:v>954</c:v>
                </c:pt>
                <c:pt idx="565">
                  <c:v>863</c:v>
                </c:pt>
                <c:pt idx="566">
                  <c:v>781</c:v>
                </c:pt>
                <c:pt idx="567">
                  <c:v>1001</c:v>
                </c:pt>
                <c:pt idx="568">
                  <c:v>1012</c:v>
                </c:pt>
                <c:pt idx="569">
                  <c:v>962</c:v>
                </c:pt>
                <c:pt idx="570">
                  <c:v>988</c:v>
                </c:pt>
                <c:pt idx="571">
                  <c:v>974</c:v>
                </c:pt>
                <c:pt idx="572">
                  <c:v>1040</c:v>
                </c:pt>
                <c:pt idx="573">
                  <c:v>985</c:v>
                </c:pt>
                <c:pt idx="574">
                  <c:v>1000</c:v>
                </c:pt>
                <c:pt idx="575">
                  <c:v>1023</c:v>
                </c:pt>
                <c:pt idx="576">
                  <c:v>1056</c:v>
                </c:pt>
                <c:pt idx="577">
                  <c:v>1037</c:v>
                </c:pt>
                <c:pt idx="578">
                  <c:v>1003</c:v>
                </c:pt>
                <c:pt idx="579">
                  <c:v>945</c:v>
                </c:pt>
                <c:pt idx="580">
                  <c:v>1000</c:v>
                </c:pt>
                <c:pt idx="581">
                  <c:v>1109</c:v>
                </c:pt>
                <c:pt idx="582">
                  <c:v>1072</c:v>
                </c:pt>
                <c:pt idx="583">
                  <c:v>1054</c:v>
                </c:pt>
                <c:pt idx="584">
                  <c:v>1035</c:v>
                </c:pt>
                <c:pt idx="585">
                  <c:v>1070</c:v>
                </c:pt>
                <c:pt idx="586">
                  <c:v>1244</c:v>
                </c:pt>
                <c:pt idx="587">
                  <c:v>1101</c:v>
                </c:pt>
                <c:pt idx="588">
                  <c:v>1073</c:v>
                </c:pt>
                <c:pt idx="589">
                  <c:v>1152</c:v>
                </c:pt>
                <c:pt idx="590">
                  <c:v>1162</c:v>
                </c:pt>
                <c:pt idx="591">
                  <c:v>1066</c:v>
                </c:pt>
                <c:pt idx="592">
                  <c:v>1170</c:v>
                </c:pt>
                <c:pt idx="593">
                  <c:v>1238</c:v>
                </c:pt>
                <c:pt idx="594">
                  <c:v>1174</c:v>
                </c:pt>
                <c:pt idx="595">
                  <c:v>1100</c:v>
                </c:pt>
                <c:pt idx="596">
                  <c:v>1108</c:v>
                </c:pt>
                <c:pt idx="597">
                  <c:v>1191</c:v>
                </c:pt>
                <c:pt idx="598">
                  <c:v>1180</c:v>
                </c:pt>
                <c:pt idx="599">
                  <c:v>1203</c:v>
                </c:pt>
                <c:pt idx="600">
                  <c:v>1204</c:v>
                </c:pt>
                <c:pt idx="601">
                  <c:v>1290</c:v>
                </c:pt>
                <c:pt idx="602">
                  <c:v>1189</c:v>
                </c:pt>
                <c:pt idx="603">
                  <c:v>1213</c:v>
                </c:pt>
                <c:pt idx="604">
                  <c:v>1263</c:v>
                </c:pt>
                <c:pt idx="605">
                  <c:v>1216</c:v>
                </c:pt>
                <c:pt idx="606">
                  <c:v>1169</c:v>
                </c:pt>
                <c:pt idx="607">
                  <c:v>1246</c:v>
                </c:pt>
                <c:pt idx="608">
                  <c:v>1174</c:v>
                </c:pt>
                <c:pt idx="609">
                  <c:v>1116</c:v>
                </c:pt>
                <c:pt idx="610">
                  <c:v>1142</c:v>
                </c:pt>
                <c:pt idx="611">
                  <c:v>1052</c:v>
                </c:pt>
                <c:pt idx="612">
                  <c:v>1246</c:v>
                </c:pt>
                <c:pt idx="613">
                  <c:v>1337</c:v>
                </c:pt>
                <c:pt idx="614">
                  <c:v>1316</c:v>
                </c:pt>
                <c:pt idx="615">
                  <c:v>1312</c:v>
                </c:pt>
                <c:pt idx="616">
                  <c:v>1235</c:v>
                </c:pt>
                <c:pt idx="617">
                  <c:v>1170</c:v>
                </c:pt>
                <c:pt idx="618">
                  <c:v>1242</c:v>
                </c:pt>
                <c:pt idx="619">
                  <c:v>1272</c:v>
                </c:pt>
                <c:pt idx="620">
                  <c:v>1136</c:v>
                </c:pt>
                <c:pt idx="621">
                  <c:v>1279</c:v>
                </c:pt>
                <c:pt idx="622">
                  <c:v>1252</c:v>
                </c:pt>
                <c:pt idx="623">
                  <c:v>1308</c:v>
                </c:pt>
                <c:pt idx="624">
                  <c:v>1288</c:v>
                </c:pt>
                <c:pt idx="625">
                  <c:v>1294</c:v>
                </c:pt>
                <c:pt idx="626">
                  <c:v>1267</c:v>
                </c:pt>
                <c:pt idx="627">
                  <c:v>1191</c:v>
                </c:pt>
                <c:pt idx="628">
                  <c:v>1178</c:v>
                </c:pt>
                <c:pt idx="629">
                  <c:v>1243</c:v>
                </c:pt>
                <c:pt idx="630">
                  <c:v>1340</c:v>
                </c:pt>
                <c:pt idx="631">
                  <c:v>1216</c:v>
                </c:pt>
                <c:pt idx="632">
                  <c:v>1426</c:v>
                </c:pt>
                <c:pt idx="633">
                  <c:v>1356</c:v>
                </c:pt>
                <c:pt idx="634">
                  <c:v>1244</c:v>
                </c:pt>
                <c:pt idx="635">
                  <c:v>1386</c:v>
                </c:pt>
                <c:pt idx="636">
                  <c:v>1328</c:v>
                </c:pt>
                <c:pt idx="637">
                  <c:v>1347</c:v>
                </c:pt>
                <c:pt idx="638">
                  <c:v>1497</c:v>
                </c:pt>
                <c:pt idx="639">
                  <c:v>1417</c:v>
                </c:pt>
                <c:pt idx="640">
                  <c:v>1350</c:v>
                </c:pt>
                <c:pt idx="641">
                  <c:v>1312</c:v>
                </c:pt>
                <c:pt idx="642">
                  <c:v>1380</c:v>
                </c:pt>
                <c:pt idx="643">
                  <c:v>1291</c:v>
                </c:pt>
                <c:pt idx="644">
                  <c:v>1235</c:v>
                </c:pt>
                <c:pt idx="645">
                  <c:v>1255</c:v>
                </c:pt>
                <c:pt idx="646">
                  <c:v>1418</c:v>
                </c:pt>
                <c:pt idx="647">
                  <c:v>1295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90D-8844-B9AE-EAA60EE818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8456856"/>
        <c:axId val="1128454888"/>
      </c:lineChart>
      <c:dateAx>
        <c:axId val="1128456856"/>
        <c:scaling>
          <c:orientation val="minMax"/>
          <c:min val="42370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8454888"/>
        <c:crosses val="autoZero"/>
        <c:auto val="0"/>
        <c:lblOffset val="100"/>
        <c:baseTimeUnit val="months"/>
      </c:dateAx>
      <c:valAx>
        <c:axId val="1128454888"/>
        <c:scaling>
          <c:orientation val="minMax"/>
          <c:max val="1500"/>
          <c:min val="9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845685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</xdr:row>
      <xdr:rowOff>161926</xdr:rowOff>
    </xdr:from>
    <xdr:to>
      <xdr:col>15</xdr:col>
      <xdr:colOff>600075</xdr:colOff>
      <xdr:row>8</xdr:row>
      <xdr:rowOff>200025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600076</xdr:colOff>
      <xdr:row>1</xdr:row>
      <xdr:rowOff>161926</xdr:rowOff>
    </xdr:from>
    <xdr:to>
      <xdr:col>20</xdr:col>
      <xdr:colOff>190501</xdr:colOff>
      <xdr:row>8</xdr:row>
      <xdr:rowOff>200025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625474</xdr:colOff>
      <xdr:row>713</xdr:row>
      <xdr:rowOff>130175</xdr:rowOff>
    </xdr:from>
    <xdr:to>
      <xdr:col>12</xdr:col>
      <xdr:colOff>279399</xdr:colOff>
      <xdr:row>730</xdr:row>
      <xdr:rowOff>15874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635000</xdr:colOff>
      <xdr:row>731</xdr:row>
      <xdr:rowOff>92075</xdr:rowOff>
    </xdr:from>
    <xdr:to>
      <xdr:col>12</xdr:col>
      <xdr:colOff>288925</xdr:colOff>
      <xdr:row>747</xdr:row>
      <xdr:rowOff>168274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724</xdr:row>
      <xdr:rowOff>63500</xdr:rowOff>
    </xdr:from>
    <xdr:to>
      <xdr:col>11</xdr:col>
      <xdr:colOff>304800</xdr:colOff>
      <xdr:row>738</xdr:row>
      <xdr:rowOff>139700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28575</xdr:colOff>
      <xdr:row>739</xdr:row>
      <xdr:rowOff>92075</xdr:rowOff>
    </xdr:from>
    <xdr:to>
      <xdr:col>11</xdr:col>
      <xdr:colOff>333375</xdr:colOff>
      <xdr:row>753</xdr:row>
      <xdr:rowOff>168275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406400</xdr:colOff>
      <xdr:row>623</xdr:row>
      <xdr:rowOff>88900</xdr:rowOff>
    </xdr:from>
    <xdr:to>
      <xdr:col>11</xdr:col>
      <xdr:colOff>12700</xdr:colOff>
      <xdr:row>637</xdr:row>
      <xdr:rowOff>165100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434975</xdr:colOff>
      <xdr:row>638</xdr:row>
      <xdr:rowOff>117475</xdr:rowOff>
    </xdr:from>
    <xdr:to>
      <xdr:col>11</xdr:col>
      <xdr:colOff>41275</xdr:colOff>
      <xdr:row>653</xdr:row>
      <xdr:rowOff>3175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2" displayName="Table2" ref="A6:C750" totalsRowShown="0" headerRowDxfId="19" dataDxfId="17" headerRowBorderDxfId="18">
  <autoFilter ref="A6:C750" xr:uid="{00000000-0009-0000-0100-000001000000}"/>
  <sortState xmlns:xlrd2="http://schemas.microsoft.com/office/spreadsheetml/2017/richdata2" ref="A7:B224">
    <sortCondition ref="A7:A224"/>
  </sortState>
  <tableColumns count="3">
    <tableColumn id="1" xr3:uid="{00000000-0010-0000-0000-000001000000}" name="Date" dataDxfId="16"/>
    <tableColumn id="2" xr3:uid="{00000000-0010-0000-0000-000002000000}" name="Building Permits" dataDxfId="15">
      <calculatedColumnFormula>VLOOKUP(Table2[[#This Row],[Date]],'Database New'!$A:$D,MATCH($A$1,'Database New'!$A$1:$D$1,),)</calculatedColumnFormula>
    </tableColumn>
    <tableColumn id="3" xr3:uid="{00000000-0010-0000-0000-000003000000}" name="% mom" dataDxfId="14">
      <calculatedColumnFormula>(Table2[[#This Row],[Building Permits]]-B6)/B6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24" displayName="Table24" ref="A6:C750" totalsRowShown="0" headerRowDxfId="13" dataDxfId="11" headerRowBorderDxfId="12">
  <autoFilter ref="A6:C750" xr:uid="{00000000-0009-0000-0100-000002000000}"/>
  <sortState xmlns:xlrd2="http://schemas.microsoft.com/office/spreadsheetml/2017/richdata2" ref="A7:B224">
    <sortCondition ref="A7:A224"/>
  </sortState>
  <tableColumns count="3">
    <tableColumn id="1" xr3:uid="{00000000-0010-0000-0100-000001000000}" name="Date" dataDxfId="10"/>
    <tableColumn id="2" xr3:uid="{00000000-0010-0000-0100-000002000000}" name="Started" dataDxfId="9">
      <calculatedColumnFormula>VLOOKUP(Table24[[#This Row],[Date]],'Database New'!$A:$D,MATCH($A$1,'Database New'!$A$1:$D$1,),)</calculatedColumnFormula>
    </tableColumn>
    <tableColumn id="3" xr3:uid="{00000000-0010-0000-0100-000003000000}" name="% mom" dataDxfId="8">
      <calculatedColumnFormula>(Table24[[#This Row],[Started]]-B6)/B6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245" displayName="Table245" ref="A6:C654" totalsRowShown="0" headerRowDxfId="7" dataDxfId="5" headerRowBorderDxfId="6">
  <autoFilter ref="A6:C654" xr:uid="{00000000-0009-0000-0100-000003000000}"/>
  <sortState xmlns:xlrd2="http://schemas.microsoft.com/office/spreadsheetml/2017/richdata2" ref="A7:B128">
    <sortCondition ref="A7:A128"/>
  </sortState>
  <tableColumns count="3">
    <tableColumn id="1" xr3:uid="{00000000-0010-0000-0200-000001000000}" name="Date" dataDxfId="4"/>
    <tableColumn id="2" xr3:uid="{00000000-0010-0000-0200-000002000000}" name="Completed" dataDxfId="3">
      <calculatedColumnFormula>VLOOKUP(Table245[[#This Row],[Date]],'Database New'!$A:$D,MATCH($A$1,'Database New'!$A$1:$D$1,),)</calculatedColumnFormula>
    </tableColumn>
    <tableColumn id="3" xr3:uid="{00000000-0010-0000-0200-000003000000}" name="% mom" dataDxfId="2">
      <calculatedColumnFormula>(Table245[[#This Row],[Completed]]-B6)/B6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hyperlink" Target="https://www.nahb.org/news-and-economics/housing-economics/indices/housing-market-index" TargetMode="External"/><Relationship Id="rId1" Type="http://schemas.openxmlformats.org/officeDocument/2006/relationships/hyperlink" Target="https://www.census.gov/construction/bps/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FFFF00"/>
  </sheetPr>
  <dimension ref="B1:S26"/>
  <sheetViews>
    <sheetView tabSelected="1" zoomScale="150" zoomScaleNormal="150" workbookViewId="0">
      <selection activeCell="B11" sqref="B11"/>
    </sheetView>
  </sheetViews>
  <sheetFormatPr baseColWidth="10" defaultColWidth="9.1640625" defaultRowHeight="15" x14ac:dyDescent="0.2"/>
  <cols>
    <col min="1" max="1" width="9.1640625" style="46" customWidth="1"/>
    <col min="2" max="10" width="12.83203125" style="46" customWidth="1"/>
    <col min="11" max="13" width="3.5" style="46" customWidth="1"/>
    <col min="14" max="14" width="21.33203125" style="46" customWidth="1"/>
    <col min="15" max="16" width="10.6640625" style="46" bestFit="1" customWidth="1"/>
    <col min="17" max="17" width="9.1640625" style="46" customWidth="1"/>
    <col min="18" max="16384" width="9.1640625" style="46"/>
  </cols>
  <sheetData>
    <row r="1" spans="2:19" x14ac:dyDescent="0.2">
      <c r="B1" s="56"/>
      <c r="C1" s="51"/>
      <c r="D1" s="51"/>
      <c r="E1" s="51"/>
      <c r="F1" s="51"/>
      <c r="G1" s="51"/>
      <c r="H1" s="51"/>
      <c r="I1" s="51"/>
      <c r="J1" s="51"/>
    </row>
    <row r="2" spans="2:19" ht="16" customHeight="1" thickBot="1" x14ac:dyDescent="0.25">
      <c r="B2" s="57"/>
      <c r="C2" s="57"/>
      <c r="D2" s="57"/>
      <c r="E2" s="57"/>
      <c r="F2" s="57"/>
      <c r="G2" s="57"/>
      <c r="H2" s="57"/>
      <c r="I2" s="57"/>
      <c r="J2" s="57"/>
    </row>
    <row r="3" spans="2:19" ht="16" customHeight="1" thickBot="1" x14ac:dyDescent="0.25">
      <c r="B3" s="58" t="s">
        <v>0</v>
      </c>
      <c r="C3" s="59"/>
      <c r="D3" s="59"/>
      <c r="E3" s="59"/>
      <c r="F3" s="59"/>
      <c r="G3" s="59"/>
      <c r="H3" s="59"/>
      <c r="I3" s="59"/>
      <c r="J3" s="60"/>
    </row>
    <row r="5" spans="2:19" x14ac:dyDescent="0.2">
      <c r="B5" s="53" t="s">
        <v>1</v>
      </c>
      <c r="C5" s="54"/>
      <c r="D5" s="54"/>
      <c r="E5" s="54"/>
      <c r="F5" s="54"/>
      <c r="G5" s="54"/>
      <c r="H5" s="54"/>
      <c r="I5" s="54"/>
      <c r="J5" s="55"/>
    </row>
    <row r="7" spans="2:19" ht="78" customHeight="1" x14ac:dyDescent="0.2">
      <c r="B7" s="61" t="s">
        <v>2</v>
      </c>
      <c r="C7" s="51"/>
      <c r="D7" s="51"/>
      <c r="E7" s="51"/>
      <c r="F7" s="51"/>
      <c r="G7" s="51"/>
      <c r="H7" s="51"/>
      <c r="I7" s="51"/>
      <c r="J7" s="51"/>
      <c r="P7" s="1"/>
    </row>
    <row r="8" spans="2:19" ht="21.75" customHeight="1" x14ac:dyDescent="0.25">
      <c r="B8" s="31" t="s">
        <v>3</v>
      </c>
      <c r="C8" s="32"/>
      <c r="D8" s="33" t="s">
        <v>4</v>
      </c>
      <c r="E8" s="32"/>
      <c r="F8" s="34" t="s">
        <v>5</v>
      </c>
      <c r="G8" s="32"/>
      <c r="H8" s="35" t="s">
        <v>4</v>
      </c>
      <c r="I8" s="34" t="s">
        <v>6</v>
      </c>
      <c r="J8" s="36"/>
      <c r="O8" s="1"/>
    </row>
    <row r="9" spans="2:19" ht="21.75" customHeight="1" x14ac:dyDescent="0.2">
      <c r="B9" s="37" t="s">
        <v>7</v>
      </c>
      <c r="C9" s="38"/>
      <c r="D9" s="38"/>
      <c r="E9" s="38"/>
      <c r="F9" s="38" t="s">
        <v>8</v>
      </c>
      <c r="G9" s="38"/>
      <c r="H9" s="38"/>
      <c r="I9" s="38" t="s">
        <v>9</v>
      </c>
      <c r="J9" s="39"/>
      <c r="O9" s="1"/>
    </row>
    <row r="10" spans="2:19" ht="33.75" customHeight="1" x14ac:dyDescent="0.2">
      <c r="B10" s="62" t="s">
        <v>10</v>
      </c>
      <c r="C10" s="51"/>
      <c r="D10" s="51"/>
      <c r="E10" s="51"/>
      <c r="F10" s="51"/>
      <c r="G10" s="51"/>
      <c r="H10" s="51"/>
      <c r="I10" s="51"/>
      <c r="J10" s="51"/>
    </row>
    <row r="11" spans="2:19" x14ac:dyDescent="0.2">
      <c r="B11" s="63" t="s">
        <v>35</v>
      </c>
      <c r="C11" s="2"/>
      <c r="D11" s="2"/>
      <c r="E11" s="2"/>
    </row>
    <row r="12" spans="2:19" s="49" customFormat="1" x14ac:dyDescent="0.2">
      <c r="B12" s="63"/>
      <c r="C12" s="2"/>
      <c r="D12" s="2"/>
      <c r="E12" s="2"/>
    </row>
    <row r="13" spans="2:19" x14ac:dyDescent="0.2">
      <c r="B13" s="53" t="s">
        <v>11</v>
      </c>
      <c r="C13" s="54"/>
      <c r="D13" s="54"/>
      <c r="E13" s="54"/>
      <c r="F13" s="54"/>
      <c r="G13" s="54"/>
      <c r="H13" s="54"/>
      <c r="I13" s="54"/>
      <c r="J13" s="55"/>
      <c r="N13" s="53" t="s">
        <v>12</v>
      </c>
      <c r="O13" s="54"/>
      <c r="P13" s="54"/>
      <c r="Q13" s="54"/>
      <c r="R13" s="54"/>
      <c r="S13" s="55"/>
    </row>
    <row r="15" spans="2:19" x14ac:dyDescent="0.2">
      <c r="B15" s="53" t="s">
        <v>13</v>
      </c>
      <c r="C15" s="54"/>
      <c r="D15" s="54"/>
      <c r="E15" s="54"/>
      <c r="F15" s="55"/>
      <c r="G15" s="53" t="s">
        <v>14</v>
      </c>
      <c r="H15" s="54"/>
      <c r="I15" s="54"/>
      <c r="J15" s="55"/>
    </row>
    <row r="16" spans="2:19" ht="19.5" customHeight="1" thickBot="1" x14ac:dyDescent="0.25"/>
    <row r="17" spans="2:19" ht="19.5" customHeight="1" x14ac:dyDescent="0.2">
      <c r="B17" s="47"/>
      <c r="G17" s="51"/>
      <c r="H17" s="51"/>
      <c r="I17" s="51"/>
      <c r="J17" s="51"/>
      <c r="O17" s="22">
        <v>44531</v>
      </c>
      <c r="P17" s="23" t="s">
        <v>15</v>
      </c>
      <c r="Q17" s="24"/>
      <c r="R17" s="25" t="s">
        <v>16</v>
      </c>
      <c r="S17" s="24"/>
    </row>
    <row r="18" spans="2:19" ht="31.5" customHeight="1" thickBot="1" x14ac:dyDescent="0.25">
      <c r="B18" s="51" t="s">
        <v>17</v>
      </c>
      <c r="C18" s="51"/>
      <c r="D18" s="51"/>
      <c r="E18" s="51"/>
      <c r="F18" s="51"/>
      <c r="G18" s="52" t="s">
        <v>18</v>
      </c>
      <c r="H18" s="51"/>
      <c r="I18" s="51"/>
      <c r="J18" s="51"/>
      <c r="O18" s="26" t="s">
        <v>19</v>
      </c>
      <c r="P18" s="27" t="s">
        <v>19</v>
      </c>
      <c r="Q18" s="28" t="s">
        <v>20</v>
      </c>
      <c r="R18" s="29" t="s">
        <v>19</v>
      </c>
      <c r="S18" s="28" t="s">
        <v>20</v>
      </c>
    </row>
    <row r="19" spans="2:19" ht="31.5" customHeight="1" x14ac:dyDescent="0.2">
      <c r="B19" s="51" t="s">
        <v>21</v>
      </c>
      <c r="C19" s="51"/>
      <c r="D19" s="51"/>
      <c r="E19" s="51"/>
      <c r="F19" s="51"/>
      <c r="G19" s="52" t="s">
        <v>22</v>
      </c>
      <c r="H19" s="51"/>
      <c r="I19" s="51"/>
      <c r="J19" s="51"/>
      <c r="N19" s="19" t="s">
        <v>23</v>
      </c>
      <c r="O19" s="17">
        <f>VLOOKUP(O17,'Building Permits - Authorized'!A:B,2,)</f>
        <v>1885</v>
      </c>
      <c r="P19" s="14">
        <f>VLOOKUP(DATE(YEAR($O$17),MONTH($O$17)-1,DAY($O$17)),'Building Permits - Authorized'!$A:$B,2,)</f>
        <v>1717</v>
      </c>
      <c r="Q19" s="41">
        <f>(O19-P19)/P19</f>
        <v>9.7845078625509604E-2</v>
      </c>
      <c r="R19" s="14">
        <f>VLOOKUP(DATE(YEAR($O$17)-1,MONTH($O$17),DAY($O$17)),'Building Permits - Authorized'!$A:$B,2,)</f>
        <v>1758</v>
      </c>
      <c r="S19" s="43">
        <f>(O19-R19)/R19</f>
        <v>7.2241183162684866E-2</v>
      </c>
    </row>
    <row r="20" spans="2:19" ht="31.5" customHeight="1" x14ac:dyDescent="0.2">
      <c r="B20" s="51" t="s">
        <v>24</v>
      </c>
      <c r="C20" s="51"/>
      <c r="D20" s="51"/>
      <c r="E20" s="51"/>
      <c r="F20" s="51"/>
      <c r="G20" s="50" t="s">
        <v>25</v>
      </c>
      <c r="H20" s="51"/>
      <c r="I20" s="51"/>
      <c r="J20" s="51"/>
      <c r="N20" s="20" t="s">
        <v>26</v>
      </c>
      <c r="O20" s="15">
        <f>VLOOKUP(O17,Started!A:B,2,)</f>
        <v>1702</v>
      </c>
      <c r="P20" s="11">
        <f>VLOOKUP(DATE(YEAR($O$17),MONTH($O$17)-1,DAY($O$17)),Started!A:B,2,)</f>
        <v>1678</v>
      </c>
      <c r="Q20" s="40">
        <f>(O20-P20)/P20</f>
        <v>1.4302741358760428E-2</v>
      </c>
      <c r="R20" s="11">
        <f>VLOOKUP(DATE(YEAR($O$17)-1,MONTH($O$17),DAY($O$17)),Started!A:B,2,)</f>
        <v>1661</v>
      </c>
      <c r="S20" s="44">
        <f>(O20-R20)/R20</f>
        <v>2.4683925346177003E-2</v>
      </c>
    </row>
    <row r="21" spans="2:19" ht="31.5" customHeight="1" thickBot="1" x14ac:dyDescent="0.25">
      <c r="B21" s="3"/>
      <c r="G21" s="50"/>
      <c r="H21" s="51"/>
      <c r="I21" s="51"/>
      <c r="J21" s="51"/>
      <c r="N21" s="21" t="s">
        <v>27</v>
      </c>
      <c r="O21" s="18">
        <f>VLOOKUP(O17,Completed!A:B,2,)</f>
        <v>1295</v>
      </c>
      <c r="P21" s="16">
        <f>VLOOKUP(DATE(YEAR($O$17),MONTH($O$17)-1,DAY($O$17)),Completed!A:B,2,)</f>
        <v>1418</v>
      </c>
      <c r="Q21" s="42">
        <f>(O21-P21)/P21</f>
        <v>-8.6741889985895632E-2</v>
      </c>
      <c r="R21" s="16">
        <f>VLOOKUP(DATE(YEAR($O$17)-1,MONTH($O$17),DAY($O$17)),Completed!A:B,2,)</f>
        <v>1386</v>
      </c>
      <c r="S21" s="45">
        <f>(O21-R21)/R21</f>
        <v>-6.5656565656565663E-2</v>
      </c>
    </row>
    <row r="24" spans="2:19" x14ac:dyDescent="0.2">
      <c r="B24" s="4"/>
    </row>
    <row r="25" spans="2:19" ht="30" customHeight="1" x14ac:dyDescent="0.2">
      <c r="B25" s="52"/>
      <c r="C25" s="51"/>
      <c r="D25" s="51"/>
      <c r="E25" s="51"/>
      <c r="F25" s="51"/>
      <c r="G25" s="51"/>
      <c r="H25" s="51"/>
      <c r="I25" s="51"/>
      <c r="J25" s="51"/>
    </row>
    <row r="26" spans="2:19" x14ac:dyDescent="0.2">
      <c r="B26" s="5"/>
    </row>
  </sheetData>
  <mergeCells count="18">
    <mergeCell ref="B1:J2"/>
    <mergeCell ref="B3:J3"/>
    <mergeCell ref="B5:J5"/>
    <mergeCell ref="B7:J7"/>
    <mergeCell ref="B10:J10"/>
    <mergeCell ref="G21:J21"/>
    <mergeCell ref="B25:J25"/>
    <mergeCell ref="N13:S13"/>
    <mergeCell ref="B15:F15"/>
    <mergeCell ref="G15:J15"/>
    <mergeCell ref="G17:J17"/>
    <mergeCell ref="G18:J18"/>
    <mergeCell ref="G19:J19"/>
    <mergeCell ref="G20:J20"/>
    <mergeCell ref="B13:J13"/>
    <mergeCell ref="B18:F18"/>
    <mergeCell ref="B19:F19"/>
    <mergeCell ref="B20:F20"/>
  </mergeCells>
  <conditionalFormatting sqref="Q19:Q21 S19:S21">
    <cfRule type="cellIs" dxfId="1" priority="3" operator="lessThan">
      <formula>0</formula>
    </cfRule>
    <cfRule type="cellIs" dxfId="0" priority="4" operator="greaterThan">
      <formula>0</formula>
    </cfRule>
  </conditionalFormatting>
  <hyperlinks>
    <hyperlink ref="B10" r:id="rId1" xr:uid="{00000000-0004-0000-0000-000000000000}"/>
    <hyperlink ref="B11" r:id="rId2" xr:uid="{81CCE5BB-2160-DD40-9A37-0DE05CC699E7}"/>
  </hyperlinks>
  <pageMargins left="0.7" right="0.7" top="0.75" bottom="0.75" header="0.3" footer="0.3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theme="6"/>
  </sheetPr>
  <dimension ref="A1:D757"/>
  <sheetViews>
    <sheetView zoomScale="190" zoomScaleNormal="190" workbookViewId="0">
      <pane ySplit="1" topLeftCell="A727" activePane="bottomLeft" state="frozen"/>
      <selection pane="bottomLeft" activeCell="F738" sqref="F738"/>
    </sheetView>
  </sheetViews>
  <sheetFormatPr baseColWidth="10" defaultRowHeight="15" x14ac:dyDescent="0.2"/>
  <sheetData>
    <row r="1" spans="1:4" x14ac:dyDescent="0.2">
      <c r="A1" t="s">
        <v>28</v>
      </c>
      <c r="B1" t="s">
        <v>29</v>
      </c>
      <c r="C1" t="s">
        <v>30</v>
      </c>
      <c r="D1" t="s">
        <v>31</v>
      </c>
    </row>
    <row r="2" spans="1:4" x14ac:dyDescent="0.2">
      <c r="A2" s="48">
        <v>21551</v>
      </c>
      <c r="C2">
        <v>1657</v>
      </c>
    </row>
    <row r="3" spans="1:4" x14ac:dyDescent="0.2">
      <c r="A3" s="48">
        <v>21582</v>
      </c>
      <c r="C3">
        <v>1667</v>
      </c>
    </row>
    <row r="4" spans="1:4" x14ac:dyDescent="0.2">
      <c r="A4" s="48">
        <v>21610</v>
      </c>
      <c r="C4">
        <v>1620</v>
      </c>
    </row>
    <row r="5" spans="1:4" x14ac:dyDescent="0.2">
      <c r="A5" s="48">
        <v>21641</v>
      </c>
      <c r="C5">
        <v>1590</v>
      </c>
    </row>
    <row r="6" spans="1:4" x14ac:dyDescent="0.2">
      <c r="A6" s="48">
        <v>21671</v>
      </c>
      <c r="C6">
        <v>1498</v>
      </c>
    </row>
    <row r="7" spans="1:4" x14ac:dyDescent="0.2">
      <c r="A7" s="48">
        <v>21702</v>
      </c>
      <c r="C7">
        <v>1503</v>
      </c>
    </row>
    <row r="8" spans="1:4" x14ac:dyDescent="0.2">
      <c r="A8" s="48">
        <v>21732</v>
      </c>
      <c r="C8">
        <v>1547</v>
      </c>
    </row>
    <row r="9" spans="1:4" x14ac:dyDescent="0.2">
      <c r="A9" s="48">
        <v>21763</v>
      </c>
      <c r="C9">
        <v>1430</v>
      </c>
    </row>
    <row r="10" spans="1:4" x14ac:dyDescent="0.2">
      <c r="A10" s="48">
        <v>21794</v>
      </c>
      <c r="C10">
        <v>1540</v>
      </c>
    </row>
    <row r="11" spans="1:4" x14ac:dyDescent="0.2">
      <c r="A11" s="48">
        <v>21824</v>
      </c>
      <c r="C11">
        <v>1355</v>
      </c>
    </row>
    <row r="12" spans="1:4" x14ac:dyDescent="0.2">
      <c r="A12" s="48">
        <v>21855</v>
      </c>
      <c r="C12">
        <v>1416</v>
      </c>
    </row>
    <row r="13" spans="1:4" x14ac:dyDescent="0.2">
      <c r="A13" s="48">
        <v>21885</v>
      </c>
      <c r="C13">
        <v>1601</v>
      </c>
    </row>
    <row r="14" spans="1:4" x14ac:dyDescent="0.2">
      <c r="A14" s="48">
        <v>21916</v>
      </c>
      <c r="C14">
        <v>1460</v>
      </c>
      <c r="D14">
        <v>1092</v>
      </c>
    </row>
    <row r="15" spans="1:4" x14ac:dyDescent="0.2">
      <c r="A15" s="48">
        <v>21947</v>
      </c>
      <c r="C15">
        <v>1503</v>
      </c>
      <c r="D15">
        <v>1088</v>
      </c>
    </row>
    <row r="16" spans="1:4" x14ac:dyDescent="0.2">
      <c r="A16" s="48">
        <v>21976</v>
      </c>
      <c r="C16">
        <v>1109</v>
      </c>
      <c r="D16">
        <v>955</v>
      </c>
    </row>
    <row r="17" spans="1:4" x14ac:dyDescent="0.2">
      <c r="A17" s="48">
        <v>22007</v>
      </c>
      <c r="C17">
        <v>1289</v>
      </c>
      <c r="D17">
        <v>1016</v>
      </c>
    </row>
    <row r="18" spans="1:4" x14ac:dyDescent="0.2">
      <c r="A18" s="48">
        <v>22037</v>
      </c>
      <c r="C18">
        <v>1271</v>
      </c>
      <c r="D18">
        <v>1052</v>
      </c>
    </row>
    <row r="19" spans="1:4" x14ac:dyDescent="0.2">
      <c r="A19" s="48">
        <v>22068</v>
      </c>
      <c r="C19">
        <v>1247</v>
      </c>
      <c r="D19">
        <v>958</v>
      </c>
    </row>
    <row r="20" spans="1:4" x14ac:dyDescent="0.2">
      <c r="A20" s="48">
        <v>22098</v>
      </c>
      <c r="C20">
        <v>1197</v>
      </c>
      <c r="D20">
        <v>999</v>
      </c>
    </row>
    <row r="21" spans="1:4" x14ac:dyDescent="0.2">
      <c r="A21" s="48">
        <v>22129</v>
      </c>
      <c r="C21">
        <v>1344</v>
      </c>
      <c r="D21">
        <v>994</v>
      </c>
    </row>
    <row r="22" spans="1:4" x14ac:dyDescent="0.2">
      <c r="A22" s="48">
        <v>22160</v>
      </c>
      <c r="C22">
        <v>1097</v>
      </c>
      <c r="D22">
        <v>984</v>
      </c>
    </row>
    <row r="23" spans="1:4" x14ac:dyDescent="0.2">
      <c r="A23" s="48">
        <v>22190</v>
      </c>
      <c r="C23">
        <v>1246</v>
      </c>
      <c r="D23">
        <v>972</v>
      </c>
    </row>
    <row r="24" spans="1:4" x14ac:dyDescent="0.2">
      <c r="A24" s="48">
        <v>22221</v>
      </c>
      <c r="C24">
        <v>1246</v>
      </c>
      <c r="D24">
        <v>979</v>
      </c>
    </row>
    <row r="25" spans="1:4" x14ac:dyDescent="0.2">
      <c r="A25" s="48">
        <v>22251</v>
      </c>
      <c r="C25">
        <v>1063</v>
      </c>
      <c r="D25">
        <v>951</v>
      </c>
    </row>
    <row r="26" spans="1:4" x14ac:dyDescent="0.2">
      <c r="A26" s="48">
        <v>22282</v>
      </c>
      <c r="C26">
        <v>1183</v>
      </c>
      <c r="D26">
        <v>969</v>
      </c>
    </row>
    <row r="27" spans="1:4" x14ac:dyDescent="0.2">
      <c r="A27" s="48">
        <v>22313</v>
      </c>
      <c r="C27">
        <v>1226</v>
      </c>
      <c r="D27">
        <v>961</v>
      </c>
    </row>
    <row r="28" spans="1:4" x14ac:dyDescent="0.2">
      <c r="A28" s="48">
        <v>22341</v>
      </c>
      <c r="C28">
        <v>1312</v>
      </c>
      <c r="D28">
        <v>1000</v>
      </c>
    </row>
    <row r="29" spans="1:4" x14ac:dyDescent="0.2">
      <c r="A29" s="48">
        <v>22372</v>
      </c>
      <c r="C29">
        <v>1166</v>
      </c>
      <c r="D29">
        <v>1002</v>
      </c>
    </row>
    <row r="30" spans="1:4" x14ac:dyDescent="0.2">
      <c r="A30" s="48">
        <v>22402</v>
      </c>
      <c r="C30">
        <v>1228</v>
      </c>
      <c r="D30">
        <v>1027</v>
      </c>
    </row>
    <row r="31" spans="1:4" x14ac:dyDescent="0.2">
      <c r="A31" s="48">
        <v>22433</v>
      </c>
      <c r="C31">
        <v>1382</v>
      </c>
      <c r="D31">
        <v>1070</v>
      </c>
    </row>
    <row r="32" spans="1:4" x14ac:dyDescent="0.2">
      <c r="A32" s="48">
        <v>22463</v>
      </c>
      <c r="C32">
        <v>1335</v>
      </c>
      <c r="D32">
        <v>1083</v>
      </c>
    </row>
    <row r="33" spans="1:4" x14ac:dyDescent="0.2">
      <c r="A33" s="48">
        <v>22494</v>
      </c>
      <c r="C33">
        <v>1312</v>
      </c>
      <c r="D33">
        <v>1159</v>
      </c>
    </row>
    <row r="34" spans="1:4" x14ac:dyDescent="0.2">
      <c r="A34" s="48">
        <v>22525</v>
      </c>
      <c r="C34">
        <v>1429</v>
      </c>
      <c r="D34">
        <v>1098</v>
      </c>
    </row>
    <row r="35" spans="1:4" x14ac:dyDescent="0.2">
      <c r="A35" s="48">
        <v>22555</v>
      </c>
      <c r="C35">
        <v>1415</v>
      </c>
      <c r="D35">
        <v>1123</v>
      </c>
    </row>
    <row r="36" spans="1:4" x14ac:dyDescent="0.2">
      <c r="A36" s="48">
        <v>22586</v>
      </c>
      <c r="C36">
        <v>1385</v>
      </c>
      <c r="D36">
        <v>1152</v>
      </c>
    </row>
    <row r="37" spans="1:4" x14ac:dyDescent="0.2">
      <c r="A37" s="48">
        <v>22616</v>
      </c>
      <c r="C37">
        <v>1365</v>
      </c>
      <c r="D37">
        <v>1161</v>
      </c>
    </row>
    <row r="38" spans="1:4" x14ac:dyDescent="0.2">
      <c r="A38" s="48">
        <v>22647</v>
      </c>
      <c r="C38">
        <v>1361</v>
      </c>
      <c r="D38">
        <v>1122</v>
      </c>
    </row>
    <row r="39" spans="1:4" x14ac:dyDescent="0.2">
      <c r="A39" s="48">
        <v>22678</v>
      </c>
      <c r="C39">
        <v>1278</v>
      </c>
      <c r="D39">
        <v>1194</v>
      </c>
    </row>
    <row r="40" spans="1:4" x14ac:dyDescent="0.2">
      <c r="A40" s="48">
        <v>22706</v>
      </c>
      <c r="C40">
        <v>1443</v>
      </c>
      <c r="D40">
        <v>1134</v>
      </c>
    </row>
    <row r="41" spans="1:4" x14ac:dyDescent="0.2">
      <c r="A41" s="48">
        <v>22737</v>
      </c>
      <c r="C41">
        <v>1524</v>
      </c>
      <c r="D41">
        <v>1235</v>
      </c>
    </row>
    <row r="42" spans="1:4" x14ac:dyDescent="0.2">
      <c r="A42" s="48">
        <v>22767</v>
      </c>
      <c r="C42">
        <v>1483</v>
      </c>
      <c r="D42">
        <v>1142</v>
      </c>
    </row>
    <row r="43" spans="1:4" x14ac:dyDescent="0.2">
      <c r="A43" s="48">
        <v>22798</v>
      </c>
      <c r="C43">
        <v>1404</v>
      </c>
      <c r="D43">
        <v>1154</v>
      </c>
    </row>
    <row r="44" spans="1:4" x14ac:dyDescent="0.2">
      <c r="A44" s="48">
        <v>22828</v>
      </c>
      <c r="C44">
        <v>1450</v>
      </c>
      <c r="D44">
        <v>1189</v>
      </c>
    </row>
    <row r="45" spans="1:4" x14ac:dyDescent="0.2">
      <c r="A45" s="48">
        <v>22859</v>
      </c>
      <c r="C45">
        <v>1517</v>
      </c>
      <c r="D45">
        <v>1200</v>
      </c>
    </row>
    <row r="46" spans="1:4" x14ac:dyDescent="0.2">
      <c r="A46" s="48">
        <v>22890</v>
      </c>
      <c r="C46">
        <v>1324</v>
      </c>
      <c r="D46">
        <v>1223</v>
      </c>
    </row>
    <row r="47" spans="1:4" x14ac:dyDescent="0.2">
      <c r="A47" s="48">
        <v>22920</v>
      </c>
      <c r="C47">
        <v>1533</v>
      </c>
      <c r="D47">
        <v>1181</v>
      </c>
    </row>
    <row r="48" spans="1:4" x14ac:dyDescent="0.2">
      <c r="A48" s="48">
        <v>22951</v>
      </c>
      <c r="C48">
        <v>1622</v>
      </c>
      <c r="D48">
        <v>1236</v>
      </c>
    </row>
    <row r="49" spans="1:4" x14ac:dyDescent="0.2">
      <c r="A49" s="48">
        <v>22981</v>
      </c>
      <c r="C49">
        <v>1564</v>
      </c>
      <c r="D49">
        <v>1236</v>
      </c>
    </row>
    <row r="50" spans="1:4" x14ac:dyDescent="0.2">
      <c r="A50" s="48">
        <v>23012</v>
      </c>
      <c r="C50">
        <v>1244</v>
      </c>
      <c r="D50">
        <v>1248</v>
      </c>
    </row>
    <row r="51" spans="1:4" x14ac:dyDescent="0.2">
      <c r="A51" s="48">
        <v>23043</v>
      </c>
      <c r="C51">
        <v>1456</v>
      </c>
      <c r="D51">
        <v>1212</v>
      </c>
    </row>
    <row r="52" spans="1:4" x14ac:dyDescent="0.2">
      <c r="A52" s="48">
        <v>23071</v>
      </c>
      <c r="C52">
        <v>1534</v>
      </c>
      <c r="D52">
        <v>1258</v>
      </c>
    </row>
    <row r="53" spans="1:4" x14ac:dyDescent="0.2">
      <c r="A53" s="48">
        <v>23102</v>
      </c>
      <c r="C53">
        <v>1689</v>
      </c>
      <c r="D53">
        <v>1288</v>
      </c>
    </row>
    <row r="54" spans="1:4" x14ac:dyDescent="0.2">
      <c r="A54" s="48">
        <v>23132</v>
      </c>
      <c r="C54">
        <v>1641</v>
      </c>
      <c r="D54">
        <v>1350</v>
      </c>
    </row>
    <row r="55" spans="1:4" x14ac:dyDescent="0.2">
      <c r="A55" s="48">
        <v>23163</v>
      </c>
      <c r="C55">
        <v>1588</v>
      </c>
      <c r="D55">
        <v>1345</v>
      </c>
    </row>
    <row r="56" spans="1:4" x14ac:dyDescent="0.2">
      <c r="A56" s="48">
        <v>23193</v>
      </c>
      <c r="C56">
        <v>1614</v>
      </c>
      <c r="D56">
        <v>1321</v>
      </c>
    </row>
    <row r="57" spans="1:4" x14ac:dyDescent="0.2">
      <c r="A57" s="48">
        <v>23224</v>
      </c>
      <c r="C57">
        <v>1639</v>
      </c>
      <c r="D57">
        <v>1310</v>
      </c>
    </row>
    <row r="58" spans="1:4" x14ac:dyDescent="0.2">
      <c r="A58" s="48">
        <v>23255</v>
      </c>
      <c r="C58">
        <v>1763</v>
      </c>
      <c r="D58">
        <v>1413</v>
      </c>
    </row>
    <row r="59" spans="1:4" x14ac:dyDescent="0.2">
      <c r="A59" s="48">
        <v>23285</v>
      </c>
      <c r="C59">
        <v>1779</v>
      </c>
      <c r="D59">
        <v>1414</v>
      </c>
    </row>
    <row r="60" spans="1:4" x14ac:dyDescent="0.2">
      <c r="A60" s="48">
        <v>23316</v>
      </c>
      <c r="C60">
        <v>1622</v>
      </c>
      <c r="D60">
        <v>1357</v>
      </c>
    </row>
    <row r="61" spans="1:4" x14ac:dyDescent="0.2">
      <c r="A61" s="48">
        <v>23346</v>
      </c>
      <c r="C61">
        <v>1491</v>
      </c>
      <c r="D61">
        <v>1423</v>
      </c>
    </row>
    <row r="62" spans="1:4" x14ac:dyDescent="0.2">
      <c r="A62" s="48">
        <v>23377</v>
      </c>
      <c r="C62">
        <v>1603</v>
      </c>
      <c r="D62">
        <v>1296</v>
      </c>
    </row>
    <row r="63" spans="1:4" x14ac:dyDescent="0.2">
      <c r="A63" s="48">
        <v>23408</v>
      </c>
      <c r="C63">
        <v>1820</v>
      </c>
      <c r="D63">
        <v>1442</v>
      </c>
    </row>
    <row r="64" spans="1:4" x14ac:dyDescent="0.2">
      <c r="A64" s="48">
        <v>23437</v>
      </c>
      <c r="C64">
        <v>1517</v>
      </c>
      <c r="D64">
        <v>1313</v>
      </c>
    </row>
    <row r="65" spans="1:4" x14ac:dyDescent="0.2">
      <c r="A65" s="48">
        <v>23468</v>
      </c>
      <c r="C65">
        <v>1448</v>
      </c>
      <c r="D65">
        <v>1264</v>
      </c>
    </row>
    <row r="66" spans="1:4" x14ac:dyDescent="0.2">
      <c r="A66" s="48">
        <v>23498</v>
      </c>
      <c r="C66">
        <v>1467</v>
      </c>
      <c r="D66">
        <v>1299</v>
      </c>
    </row>
    <row r="67" spans="1:4" x14ac:dyDescent="0.2">
      <c r="A67" s="48">
        <v>23529</v>
      </c>
      <c r="C67">
        <v>1550</v>
      </c>
      <c r="D67">
        <v>1280</v>
      </c>
    </row>
    <row r="68" spans="1:4" x14ac:dyDescent="0.2">
      <c r="A68" s="48">
        <v>23559</v>
      </c>
      <c r="C68">
        <v>1562</v>
      </c>
      <c r="D68">
        <v>1304</v>
      </c>
    </row>
    <row r="69" spans="1:4" x14ac:dyDescent="0.2">
      <c r="A69" s="48">
        <v>23590</v>
      </c>
      <c r="C69">
        <v>1569</v>
      </c>
      <c r="D69">
        <v>1306</v>
      </c>
    </row>
    <row r="70" spans="1:4" x14ac:dyDescent="0.2">
      <c r="A70" s="48">
        <v>23621</v>
      </c>
      <c r="C70">
        <v>1455</v>
      </c>
      <c r="D70">
        <v>1265</v>
      </c>
    </row>
    <row r="71" spans="1:4" x14ac:dyDescent="0.2">
      <c r="A71" s="48">
        <v>23651</v>
      </c>
      <c r="C71">
        <v>1524</v>
      </c>
      <c r="D71">
        <v>1230</v>
      </c>
    </row>
    <row r="72" spans="1:4" x14ac:dyDescent="0.2">
      <c r="A72" s="48">
        <v>23682</v>
      </c>
      <c r="C72">
        <v>1486</v>
      </c>
      <c r="D72">
        <v>1254</v>
      </c>
    </row>
    <row r="73" spans="1:4" x14ac:dyDescent="0.2">
      <c r="A73" s="48">
        <v>23712</v>
      </c>
      <c r="C73">
        <v>1484</v>
      </c>
      <c r="D73">
        <v>1164</v>
      </c>
    </row>
    <row r="74" spans="1:4" x14ac:dyDescent="0.2">
      <c r="A74" s="48">
        <v>23743</v>
      </c>
      <c r="C74">
        <v>1361</v>
      </c>
      <c r="D74">
        <v>1264</v>
      </c>
    </row>
    <row r="75" spans="1:4" x14ac:dyDescent="0.2">
      <c r="A75" s="48">
        <v>23774</v>
      </c>
      <c r="C75">
        <v>1433</v>
      </c>
      <c r="D75">
        <v>1185</v>
      </c>
    </row>
    <row r="76" spans="1:4" x14ac:dyDescent="0.2">
      <c r="A76" s="48">
        <v>23802</v>
      </c>
      <c r="C76">
        <v>1423</v>
      </c>
      <c r="D76">
        <v>1211</v>
      </c>
    </row>
    <row r="77" spans="1:4" x14ac:dyDescent="0.2">
      <c r="A77" s="48">
        <v>23833</v>
      </c>
      <c r="C77">
        <v>1438</v>
      </c>
      <c r="D77">
        <v>1162</v>
      </c>
    </row>
    <row r="78" spans="1:4" x14ac:dyDescent="0.2">
      <c r="A78" s="48">
        <v>23863</v>
      </c>
      <c r="C78">
        <v>1478</v>
      </c>
      <c r="D78">
        <v>1207</v>
      </c>
    </row>
    <row r="79" spans="1:4" x14ac:dyDescent="0.2">
      <c r="A79" s="48">
        <v>23894</v>
      </c>
      <c r="C79">
        <v>1488</v>
      </c>
      <c r="D79">
        <v>1241</v>
      </c>
    </row>
    <row r="80" spans="1:4" x14ac:dyDescent="0.2">
      <c r="A80" s="48">
        <v>23924</v>
      </c>
      <c r="C80">
        <v>1529</v>
      </c>
      <c r="D80">
        <v>1237</v>
      </c>
    </row>
    <row r="81" spans="1:4" x14ac:dyDescent="0.2">
      <c r="A81" s="48">
        <v>23955</v>
      </c>
      <c r="C81">
        <v>1432</v>
      </c>
      <c r="D81">
        <v>1249</v>
      </c>
    </row>
    <row r="82" spans="1:4" x14ac:dyDescent="0.2">
      <c r="A82" s="48">
        <v>23986</v>
      </c>
      <c r="C82">
        <v>1482</v>
      </c>
      <c r="D82">
        <v>1227</v>
      </c>
    </row>
    <row r="83" spans="1:4" x14ac:dyDescent="0.2">
      <c r="A83" s="48">
        <v>24016</v>
      </c>
      <c r="C83">
        <v>1452</v>
      </c>
      <c r="D83">
        <v>1279</v>
      </c>
    </row>
    <row r="84" spans="1:4" x14ac:dyDescent="0.2">
      <c r="A84" s="48">
        <v>24047</v>
      </c>
      <c r="C84">
        <v>1460</v>
      </c>
      <c r="D84">
        <v>1306</v>
      </c>
    </row>
    <row r="85" spans="1:4" x14ac:dyDescent="0.2">
      <c r="A85" s="48">
        <v>24077</v>
      </c>
      <c r="C85">
        <v>1656</v>
      </c>
      <c r="D85">
        <v>1315</v>
      </c>
    </row>
    <row r="86" spans="1:4" x14ac:dyDescent="0.2">
      <c r="A86" s="48">
        <v>24108</v>
      </c>
      <c r="C86">
        <v>1370</v>
      </c>
      <c r="D86">
        <v>1325</v>
      </c>
    </row>
    <row r="87" spans="1:4" x14ac:dyDescent="0.2">
      <c r="A87" s="48">
        <v>24139</v>
      </c>
      <c r="C87">
        <v>1378</v>
      </c>
      <c r="D87">
        <v>1159</v>
      </c>
    </row>
    <row r="88" spans="1:4" x14ac:dyDescent="0.2">
      <c r="A88" s="48">
        <v>24167</v>
      </c>
      <c r="C88">
        <v>1394</v>
      </c>
      <c r="D88">
        <v>1234</v>
      </c>
    </row>
    <row r="89" spans="1:4" x14ac:dyDescent="0.2">
      <c r="A89" s="48">
        <v>24198</v>
      </c>
      <c r="C89">
        <v>1352</v>
      </c>
      <c r="D89">
        <v>1145</v>
      </c>
    </row>
    <row r="90" spans="1:4" x14ac:dyDescent="0.2">
      <c r="A90" s="48">
        <v>24228</v>
      </c>
      <c r="C90">
        <v>1265</v>
      </c>
      <c r="D90">
        <v>1078</v>
      </c>
    </row>
    <row r="91" spans="1:4" x14ac:dyDescent="0.2">
      <c r="A91" s="48">
        <v>24259</v>
      </c>
      <c r="C91">
        <v>1194</v>
      </c>
      <c r="D91">
        <v>956</v>
      </c>
    </row>
    <row r="92" spans="1:4" x14ac:dyDescent="0.2">
      <c r="A92" s="48">
        <v>24289</v>
      </c>
      <c r="C92">
        <v>1086</v>
      </c>
      <c r="D92">
        <v>932</v>
      </c>
    </row>
    <row r="93" spans="1:4" x14ac:dyDescent="0.2">
      <c r="A93" s="48">
        <v>24320</v>
      </c>
      <c r="C93">
        <v>1119</v>
      </c>
      <c r="D93">
        <v>877</v>
      </c>
    </row>
    <row r="94" spans="1:4" x14ac:dyDescent="0.2">
      <c r="A94" s="48">
        <v>24351</v>
      </c>
      <c r="C94">
        <v>1046</v>
      </c>
      <c r="D94">
        <v>774</v>
      </c>
    </row>
    <row r="95" spans="1:4" x14ac:dyDescent="0.2">
      <c r="A95" s="48">
        <v>24381</v>
      </c>
      <c r="C95">
        <v>843</v>
      </c>
      <c r="D95">
        <v>739</v>
      </c>
    </row>
    <row r="96" spans="1:4" x14ac:dyDescent="0.2">
      <c r="A96" s="48">
        <v>24412</v>
      </c>
      <c r="C96">
        <v>961</v>
      </c>
      <c r="D96">
        <v>736</v>
      </c>
    </row>
    <row r="97" spans="1:4" x14ac:dyDescent="0.2">
      <c r="A97" s="48">
        <v>24442</v>
      </c>
      <c r="C97">
        <v>990</v>
      </c>
      <c r="D97">
        <v>743</v>
      </c>
    </row>
    <row r="98" spans="1:4" x14ac:dyDescent="0.2">
      <c r="A98" s="48">
        <v>24473</v>
      </c>
      <c r="C98">
        <v>1067</v>
      </c>
      <c r="D98">
        <v>995</v>
      </c>
    </row>
    <row r="99" spans="1:4" x14ac:dyDescent="0.2">
      <c r="A99" s="48">
        <v>24504</v>
      </c>
      <c r="C99">
        <v>1123</v>
      </c>
      <c r="D99">
        <v>907</v>
      </c>
    </row>
    <row r="100" spans="1:4" x14ac:dyDescent="0.2">
      <c r="A100" s="48">
        <v>24532</v>
      </c>
      <c r="C100">
        <v>1056</v>
      </c>
      <c r="D100">
        <v>955</v>
      </c>
    </row>
    <row r="101" spans="1:4" x14ac:dyDescent="0.2">
      <c r="A101" s="48">
        <v>24563</v>
      </c>
      <c r="C101">
        <v>1091</v>
      </c>
      <c r="D101">
        <v>1035</v>
      </c>
    </row>
    <row r="102" spans="1:4" x14ac:dyDescent="0.2">
      <c r="A102" s="48">
        <v>24593</v>
      </c>
      <c r="C102">
        <v>1304</v>
      </c>
      <c r="D102">
        <v>1076</v>
      </c>
    </row>
    <row r="103" spans="1:4" x14ac:dyDescent="0.2">
      <c r="A103" s="48">
        <v>24624</v>
      </c>
      <c r="C103">
        <v>1248</v>
      </c>
      <c r="D103">
        <v>1169</v>
      </c>
    </row>
    <row r="104" spans="1:4" x14ac:dyDescent="0.2">
      <c r="A104" s="48">
        <v>24654</v>
      </c>
      <c r="C104">
        <v>1364</v>
      </c>
      <c r="D104">
        <v>1177</v>
      </c>
    </row>
    <row r="105" spans="1:4" x14ac:dyDescent="0.2">
      <c r="A105" s="48">
        <v>24685</v>
      </c>
      <c r="C105">
        <v>1407</v>
      </c>
      <c r="D105">
        <v>1229</v>
      </c>
    </row>
    <row r="106" spans="1:4" x14ac:dyDescent="0.2">
      <c r="A106" s="48">
        <v>24716</v>
      </c>
      <c r="C106">
        <v>1421</v>
      </c>
      <c r="D106">
        <v>1279</v>
      </c>
    </row>
    <row r="107" spans="1:4" x14ac:dyDescent="0.2">
      <c r="A107" s="48">
        <v>24746</v>
      </c>
      <c r="C107">
        <v>1491</v>
      </c>
      <c r="D107">
        <v>1280</v>
      </c>
    </row>
    <row r="108" spans="1:4" x14ac:dyDescent="0.2">
      <c r="A108" s="48">
        <v>24777</v>
      </c>
      <c r="C108">
        <v>1538</v>
      </c>
      <c r="D108">
        <v>1297</v>
      </c>
    </row>
    <row r="109" spans="1:4" x14ac:dyDescent="0.2">
      <c r="A109" s="48">
        <v>24807</v>
      </c>
      <c r="C109">
        <v>1308</v>
      </c>
      <c r="D109">
        <v>1315</v>
      </c>
    </row>
    <row r="110" spans="1:4" x14ac:dyDescent="0.2">
      <c r="A110" s="48">
        <v>24838</v>
      </c>
      <c r="B110">
        <v>1257</v>
      </c>
      <c r="C110">
        <v>1380</v>
      </c>
      <c r="D110">
        <v>1179</v>
      </c>
    </row>
    <row r="111" spans="1:4" x14ac:dyDescent="0.2">
      <c r="A111" s="48">
        <v>24869</v>
      </c>
      <c r="B111">
        <v>1174</v>
      </c>
      <c r="C111">
        <v>1520</v>
      </c>
      <c r="D111">
        <v>1342</v>
      </c>
    </row>
    <row r="112" spans="1:4" x14ac:dyDescent="0.2">
      <c r="A112" s="48">
        <v>24898</v>
      </c>
      <c r="B112">
        <v>1323</v>
      </c>
      <c r="C112">
        <v>1466</v>
      </c>
      <c r="D112">
        <v>1370</v>
      </c>
    </row>
    <row r="113" spans="1:4" x14ac:dyDescent="0.2">
      <c r="A113" s="48">
        <v>24929</v>
      </c>
      <c r="B113">
        <v>1328</v>
      </c>
      <c r="C113">
        <v>1554</v>
      </c>
      <c r="D113">
        <v>1286</v>
      </c>
    </row>
    <row r="114" spans="1:4" x14ac:dyDescent="0.2">
      <c r="A114" s="48">
        <v>24959</v>
      </c>
      <c r="B114">
        <v>1367</v>
      </c>
      <c r="C114">
        <v>1408</v>
      </c>
      <c r="D114">
        <v>1297</v>
      </c>
    </row>
    <row r="115" spans="1:4" x14ac:dyDescent="0.2">
      <c r="A115" s="48">
        <v>24990</v>
      </c>
      <c r="B115">
        <v>1184</v>
      </c>
      <c r="C115">
        <v>1405</v>
      </c>
      <c r="D115">
        <v>1300</v>
      </c>
    </row>
    <row r="116" spans="1:4" x14ac:dyDescent="0.2">
      <c r="A116" s="48">
        <v>25020</v>
      </c>
      <c r="B116">
        <v>1370</v>
      </c>
      <c r="C116">
        <v>1512</v>
      </c>
      <c r="D116">
        <v>1344</v>
      </c>
    </row>
    <row r="117" spans="1:4" x14ac:dyDescent="0.2">
      <c r="A117" s="48">
        <v>25051</v>
      </c>
      <c r="B117">
        <v>1279</v>
      </c>
      <c r="C117">
        <v>1495</v>
      </c>
      <c r="D117">
        <v>1357</v>
      </c>
    </row>
    <row r="118" spans="1:4" x14ac:dyDescent="0.2">
      <c r="A118" s="48">
        <v>25082</v>
      </c>
      <c r="B118">
        <v>1397</v>
      </c>
      <c r="C118">
        <v>1556</v>
      </c>
      <c r="D118">
        <v>1464</v>
      </c>
    </row>
    <row r="119" spans="1:4" x14ac:dyDescent="0.2">
      <c r="A119" s="48">
        <v>25112</v>
      </c>
      <c r="B119">
        <v>1348</v>
      </c>
      <c r="C119">
        <v>1569</v>
      </c>
      <c r="D119">
        <v>1421</v>
      </c>
    </row>
    <row r="120" spans="1:4" x14ac:dyDescent="0.2">
      <c r="A120" s="48">
        <v>25143</v>
      </c>
      <c r="B120">
        <v>1367</v>
      </c>
      <c r="C120">
        <v>1630</v>
      </c>
      <c r="D120">
        <v>1436</v>
      </c>
    </row>
    <row r="121" spans="1:4" x14ac:dyDescent="0.2">
      <c r="A121" s="48">
        <v>25173</v>
      </c>
      <c r="B121">
        <v>1390</v>
      </c>
      <c r="C121">
        <v>1548</v>
      </c>
      <c r="D121">
        <v>1389</v>
      </c>
    </row>
    <row r="122" spans="1:4" x14ac:dyDescent="0.2">
      <c r="A122" s="48">
        <v>25204</v>
      </c>
      <c r="B122">
        <v>1257</v>
      </c>
      <c r="C122">
        <v>1769</v>
      </c>
      <c r="D122">
        <v>1459</v>
      </c>
    </row>
    <row r="123" spans="1:4" x14ac:dyDescent="0.2">
      <c r="A123" s="48">
        <v>25235</v>
      </c>
      <c r="B123">
        <v>1414</v>
      </c>
      <c r="C123">
        <v>1705</v>
      </c>
      <c r="D123">
        <v>1495</v>
      </c>
    </row>
    <row r="124" spans="1:4" x14ac:dyDescent="0.2">
      <c r="A124" s="48">
        <v>25263</v>
      </c>
      <c r="B124">
        <v>1558</v>
      </c>
      <c r="C124">
        <v>1561</v>
      </c>
      <c r="D124">
        <v>1438</v>
      </c>
    </row>
    <row r="125" spans="1:4" x14ac:dyDescent="0.2">
      <c r="A125" s="48">
        <v>25294</v>
      </c>
      <c r="B125">
        <v>1318</v>
      </c>
      <c r="C125">
        <v>1524</v>
      </c>
      <c r="D125">
        <v>1441</v>
      </c>
    </row>
    <row r="126" spans="1:4" x14ac:dyDescent="0.2">
      <c r="A126" s="48">
        <v>25324</v>
      </c>
      <c r="B126">
        <v>1430</v>
      </c>
      <c r="C126">
        <v>1583</v>
      </c>
      <c r="D126">
        <v>1328</v>
      </c>
    </row>
    <row r="127" spans="1:4" x14ac:dyDescent="0.2">
      <c r="A127" s="48">
        <v>25355</v>
      </c>
      <c r="B127">
        <v>1455</v>
      </c>
      <c r="C127">
        <v>1528</v>
      </c>
      <c r="D127">
        <v>1349</v>
      </c>
    </row>
    <row r="128" spans="1:4" x14ac:dyDescent="0.2">
      <c r="A128" s="48">
        <v>25385</v>
      </c>
      <c r="B128">
        <v>1432</v>
      </c>
      <c r="C128">
        <v>1368</v>
      </c>
      <c r="D128">
        <v>1278</v>
      </c>
    </row>
    <row r="129" spans="1:4" x14ac:dyDescent="0.2">
      <c r="A129" s="48">
        <v>25416</v>
      </c>
      <c r="B129">
        <v>1393</v>
      </c>
      <c r="C129">
        <v>1358</v>
      </c>
      <c r="D129">
        <v>1317</v>
      </c>
    </row>
    <row r="130" spans="1:4" x14ac:dyDescent="0.2">
      <c r="A130" s="48">
        <v>25447</v>
      </c>
      <c r="B130">
        <v>1367</v>
      </c>
      <c r="C130">
        <v>1507</v>
      </c>
      <c r="D130">
        <v>1263</v>
      </c>
    </row>
    <row r="131" spans="1:4" x14ac:dyDescent="0.2">
      <c r="A131" s="48">
        <v>25477</v>
      </c>
      <c r="B131">
        <v>1406</v>
      </c>
      <c r="C131">
        <v>1381</v>
      </c>
      <c r="D131">
        <v>1216</v>
      </c>
    </row>
    <row r="132" spans="1:4" x14ac:dyDescent="0.2">
      <c r="A132" s="48">
        <v>25508</v>
      </c>
      <c r="B132">
        <v>1404</v>
      </c>
      <c r="C132">
        <v>1229</v>
      </c>
      <c r="D132">
        <v>1191</v>
      </c>
    </row>
    <row r="133" spans="1:4" x14ac:dyDescent="0.2">
      <c r="A133" s="48">
        <v>25538</v>
      </c>
      <c r="B133">
        <v>1402</v>
      </c>
      <c r="C133">
        <v>1327</v>
      </c>
      <c r="D133">
        <v>1155</v>
      </c>
    </row>
    <row r="134" spans="1:4" x14ac:dyDescent="0.2">
      <c r="A134" s="48">
        <v>25569</v>
      </c>
      <c r="B134">
        <v>1434</v>
      </c>
      <c r="C134">
        <v>1085</v>
      </c>
      <c r="D134">
        <v>1062</v>
      </c>
    </row>
    <row r="135" spans="1:4" x14ac:dyDescent="0.2">
      <c r="A135" s="48">
        <v>25600</v>
      </c>
      <c r="B135">
        <v>1430</v>
      </c>
      <c r="C135">
        <v>1305</v>
      </c>
      <c r="D135">
        <v>1118</v>
      </c>
    </row>
    <row r="136" spans="1:4" x14ac:dyDescent="0.2">
      <c r="A136" s="48">
        <v>25628</v>
      </c>
      <c r="B136">
        <v>1317</v>
      </c>
      <c r="C136">
        <v>1319</v>
      </c>
      <c r="D136">
        <v>1132</v>
      </c>
    </row>
    <row r="137" spans="1:4" x14ac:dyDescent="0.2">
      <c r="A137" s="48">
        <v>25659</v>
      </c>
      <c r="B137">
        <v>1354</v>
      </c>
      <c r="C137">
        <v>1264</v>
      </c>
      <c r="D137">
        <v>1224</v>
      </c>
    </row>
    <row r="138" spans="1:4" x14ac:dyDescent="0.2">
      <c r="A138" s="48">
        <v>25689</v>
      </c>
      <c r="B138">
        <v>1334</v>
      </c>
      <c r="C138">
        <v>1290</v>
      </c>
      <c r="D138">
        <v>1328</v>
      </c>
    </row>
    <row r="139" spans="1:4" x14ac:dyDescent="0.2">
      <c r="A139" s="48">
        <v>25720</v>
      </c>
      <c r="B139">
        <v>1431</v>
      </c>
      <c r="C139">
        <v>1385</v>
      </c>
      <c r="D139">
        <v>1322</v>
      </c>
    </row>
    <row r="140" spans="1:4" x14ac:dyDescent="0.2">
      <c r="A140" s="48">
        <v>25750</v>
      </c>
      <c r="B140">
        <v>1384</v>
      </c>
      <c r="C140">
        <v>1517</v>
      </c>
      <c r="D140">
        <v>1324</v>
      </c>
    </row>
    <row r="141" spans="1:4" x14ac:dyDescent="0.2">
      <c r="A141" s="48">
        <v>25781</v>
      </c>
      <c r="B141">
        <v>1609</v>
      </c>
      <c r="C141">
        <v>1399</v>
      </c>
      <c r="D141">
        <v>1394</v>
      </c>
    </row>
    <row r="142" spans="1:4" x14ac:dyDescent="0.2">
      <c r="A142" s="48">
        <v>25812</v>
      </c>
      <c r="B142">
        <v>1383</v>
      </c>
      <c r="C142">
        <v>1534</v>
      </c>
      <c r="D142">
        <v>1426</v>
      </c>
    </row>
    <row r="143" spans="1:4" x14ac:dyDescent="0.2">
      <c r="A143" s="48">
        <v>25842</v>
      </c>
      <c r="B143">
        <v>1437</v>
      </c>
      <c r="C143">
        <v>1580</v>
      </c>
      <c r="D143">
        <v>1564</v>
      </c>
    </row>
    <row r="144" spans="1:4" x14ac:dyDescent="0.2">
      <c r="A144" s="48">
        <v>25873</v>
      </c>
      <c r="B144">
        <v>1457</v>
      </c>
      <c r="C144">
        <v>1647</v>
      </c>
      <c r="D144">
        <v>1502</v>
      </c>
    </row>
    <row r="145" spans="1:4" x14ac:dyDescent="0.2">
      <c r="A145" s="48">
        <v>25903</v>
      </c>
      <c r="B145">
        <v>1437</v>
      </c>
      <c r="C145">
        <v>1893</v>
      </c>
      <c r="D145">
        <v>1767</v>
      </c>
    </row>
    <row r="146" spans="1:4" x14ac:dyDescent="0.2">
      <c r="A146" s="48">
        <v>25934</v>
      </c>
      <c r="B146">
        <v>1471</v>
      </c>
      <c r="C146">
        <v>1828</v>
      </c>
      <c r="D146">
        <v>1643</v>
      </c>
    </row>
    <row r="147" spans="1:4" x14ac:dyDescent="0.2">
      <c r="A147" s="48">
        <v>25965</v>
      </c>
      <c r="B147">
        <v>1448</v>
      </c>
      <c r="C147">
        <v>1741</v>
      </c>
      <c r="D147">
        <v>1588</v>
      </c>
    </row>
    <row r="148" spans="1:4" x14ac:dyDescent="0.2">
      <c r="A148" s="48">
        <v>25993</v>
      </c>
      <c r="B148">
        <v>1489</v>
      </c>
      <c r="C148">
        <v>1910</v>
      </c>
      <c r="D148">
        <v>1759</v>
      </c>
    </row>
    <row r="149" spans="1:4" x14ac:dyDescent="0.2">
      <c r="A149" s="48">
        <v>26024</v>
      </c>
      <c r="B149">
        <v>1709</v>
      </c>
      <c r="C149">
        <v>1986</v>
      </c>
      <c r="D149">
        <v>1745</v>
      </c>
    </row>
    <row r="150" spans="1:4" x14ac:dyDescent="0.2">
      <c r="A150" s="48">
        <v>26054</v>
      </c>
      <c r="B150">
        <v>1637</v>
      </c>
      <c r="C150">
        <v>2049</v>
      </c>
      <c r="D150">
        <v>1972</v>
      </c>
    </row>
    <row r="151" spans="1:4" x14ac:dyDescent="0.2">
      <c r="A151" s="48">
        <v>26085</v>
      </c>
      <c r="B151">
        <v>1637</v>
      </c>
      <c r="C151">
        <v>2026</v>
      </c>
      <c r="D151">
        <v>1903</v>
      </c>
    </row>
    <row r="152" spans="1:4" x14ac:dyDescent="0.2">
      <c r="A152" s="48">
        <v>26115</v>
      </c>
      <c r="B152">
        <v>1699</v>
      </c>
      <c r="C152">
        <v>2083</v>
      </c>
      <c r="D152">
        <v>2069</v>
      </c>
    </row>
    <row r="153" spans="1:4" x14ac:dyDescent="0.2">
      <c r="A153" s="48">
        <v>26146</v>
      </c>
      <c r="B153">
        <v>1896</v>
      </c>
      <c r="C153">
        <v>2158</v>
      </c>
      <c r="D153">
        <v>2004</v>
      </c>
    </row>
    <row r="154" spans="1:4" x14ac:dyDescent="0.2">
      <c r="A154" s="48">
        <v>26177</v>
      </c>
      <c r="B154">
        <v>1804</v>
      </c>
      <c r="C154">
        <v>2041</v>
      </c>
      <c r="D154">
        <v>1996</v>
      </c>
    </row>
    <row r="155" spans="1:4" x14ac:dyDescent="0.2">
      <c r="A155" s="48">
        <v>26207</v>
      </c>
      <c r="B155">
        <v>1815</v>
      </c>
      <c r="C155">
        <v>2128</v>
      </c>
      <c r="D155">
        <v>2026</v>
      </c>
    </row>
    <row r="156" spans="1:4" x14ac:dyDescent="0.2">
      <c r="A156" s="48">
        <v>26238</v>
      </c>
      <c r="B156">
        <v>1844</v>
      </c>
      <c r="C156">
        <v>2182</v>
      </c>
      <c r="D156">
        <v>2079</v>
      </c>
    </row>
    <row r="157" spans="1:4" x14ac:dyDescent="0.2">
      <c r="A157" s="48">
        <v>26268</v>
      </c>
      <c r="B157">
        <v>1895</v>
      </c>
      <c r="C157">
        <v>2295</v>
      </c>
      <c r="D157">
        <v>2133</v>
      </c>
    </row>
    <row r="158" spans="1:4" x14ac:dyDescent="0.2">
      <c r="A158" s="48">
        <v>26299</v>
      </c>
      <c r="B158">
        <v>1942</v>
      </c>
      <c r="C158">
        <v>2494</v>
      </c>
      <c r="D158">
        <v>2238</v>
      </c>
    </row>
    <row r="159" spans="1:4" x14ac:dyDescent="0.2">
      <c r="A159" s="48">
        <v>26330</v>
      </c>
      <c r="B159">
        <v>2061</v>
      </c>
      <c r="C159">
        <v>2390</v>
      </c>
      <c r="D159">
        <v>2169</v>
      </c>
    </row>
    <row r="160" spans="1:4" x14ac:dyDescent="0.2">
      <c r="A160" s="48">
        <v>26359</v>
      </c>
      <c r="B160">
        <v>1981</v>
      </c>
      <c r="C160">
        <v>2334</v>
      </c>
      <c r="D160">
        <v>2105</v>
      </c>
    </row>
    <row r="161" spans="1:4" x14ac:dyDescent="0.2">
      <c r="A161" s="48">
        <v>26390</v>
      </c>
      <c r="B161">
        <v>1970</v>
      </c>
      <c r="C161">
        <v>2249</v>
      </c>
      <c r="D161">
        <v>2139</v>
      </c>
    </row>
    <row r="162" spans="1:4" x14ac:dyDescent="0.2">
      <c r="A162" s="48">
        <v>26420</v>
      </c>
      <c r="B162">
        <v>1896</v>
      </c>
      <c r="C162">
        <v>2221</v>
      </c>
      <c r="D162">
        <v>2067</v>
      </c>
    </row>
    <row r="163" spans="1:4" x14ac:dyDescent="0.2">
      <c r="A163" s="48">
        <v>26451</v>
      </c>
      <c r="B163">
        <v>1936</v>
      </c>
      <c r="C163">
        <v>2254</v>
      </c>
      <c r="D163">
        <v>2183</v>
      </c>
    </row>
    <row r="164" spans="1:4" x14ac:dyDescent="0.2">
      <c r="A164" s="48">
        <v>26481</v>
      </c>
      <c r="B164">
        <v>1930</v>
      </c>
      <c r="C164">
        <v>2252</v>
      </c>
      <c r="D164">
        <v>2195</v>
      </c>
    </row>
    <row r="165" spans="1:4" x14ac:dyDescent="0.2">
      <c r="A165" s="48">
        <v>26512</v>
      </c>
      <c r="B165">
        <v>2102</v>
      </c>
      <c r="C165">
        <v>2382</v>
      </c>
      <c r="D165">
        <v>2263</v>
      </c>
    </row>
    <row r="166" spans="1:4" x14ac:dyDescent="0.2">
      <c r="A166" s="48">
        <v>26543</v>
      </c>
      <c r="B166">
        <v>2053</v>
      </c>
      <c r="C166">
        <v>2481</v>
      </c>
      <c r="D166">
        <v>2393</v>
      </c>
    </row>
    <row r="167" spans="1:4" x14ac:dyDescent="0.2">
      <c r="A167" s="48">
        <v>26573</v>
      </c>
      <c r="B167">
        <v>1995</v>
      </c>
      <c r="C167">
        <v>2485</v>
      </c>
      <c r="D167">
        <v>2354</v>
      </c>
    </row>
    <row r="168" spans="1:4" x14ac:dyDescent="0.2">
      <c r="A168" s="48">
        <v>26604</v>
      </c>
      <c r="B168">
        <v>1985</v>
      </c>
      <c r="C168">
        <v>2421</v>
      </c>
      <c r="D168">
        <v>2234</v>
      </c>
    </row>
    <row r="169" spans="1:4" x14ac:dyDescent="0.2">
      <c r="A169" s="48">
        <v>26634</v>
      </c>
      <c r="B169">
        <v>2121</v>
      </c>
      <c r="C169">
        <v>2366</v>
      </c>
      <c r="D169">
        <v>2419</v>
      </c>
    </row>
    <row r="170" spans="1:4" x14ac:dyDescent="0.2">
      <c r="A170" s="48">
        <v>26665</v>
      </c>
      <c r="B170">
        <v>2162</v>
      </c>
      <c r="C170">
        <v>2481</v>
      </c>
      <c r="D170">
        <v>2271</v>
      </c>
    </row>
    <row r="171" spans="1:4" x14ac:dyDescent="0.2">
      <c r="A171" s="48">
        <v>26696</v>
      </c>
      <c r="B171">
        <v>2124</v>
      </c>
      <c r="C171">
        <v>2289</v>
      </c>
      <c r="D171">
        <v>2226</v>
      </c>
    </row>
    <row r="172" spans="1:4" x14ac:dyDescent="0.2">
      <c r="A172" s="48">
        <v>26724</v>
      </c>
      <c r="B172">
        <v>2196</v>
      </c>
      <c r="C172">
        <v>2365</v>
      </c>
      <c r="D172">
        <v>2062</v>
      </c>
    </row>
    <row r="173" spans="1:4" x14ac:dyDescent="0.2">
      <c r="A173" s="48">
        <v>26755</v>
      </c>
      <c r="B173">
        <v>2195</v>
      </c>
      <c r="C173">
        <v>2084</v>
      </c>
      <c r="D173">
        <v>1908</v>
      </c>
    </row>
    <row r="174" spans="1:4" x14ac:dyDescent="0.2">
      <c r="A174" s="48">
        <v>26785</v>
      </c>
      <c r="B174">
        <v>2299</v>
      </c>
      <c r="C174">
        <v>2266</v>
      </c>
      <c r="D174">
        <v>1931</v>
      </c>
    </row>
    <row r="175" spans="1:4" x14ac:dyDescent="0.2">
      <c r="A175" s="48">
        <v>26816</v>
      </c>
      <c r="B175">
        <v>2258</v>
      </c>
      <c r="C175">
        <v>2067</v>
      </c>
      <c r="D175">
        <v>2051</v>
      </c>
    </row>
    <row r="176" spans="1:4" x14ac:dyDescent="0.2">
      <c r="A176" s="48">
        <v>26846</v>
      </c>
      <c r="B176">
        <v>2066</v>
      </c>
      <c r="C176">
        <v>2123</v>
      </c>
      <c r="D176">
        <v>1819</v>
      </c>
    </row>
    <row r="177" spans="1:4" x14ac:dyDescent="0.2">
      <c r="A177" s="48">
        <v>26877</v>
      </c>
      <c r="B177">
        <v>2056</v>
      </c>
      <c r="C177">
        <v>2051</v>
      </c>
      <c r="D177">
        <v>1809</v>
      </c>
    </row>
    <row r="178" spans="1:4" x14ac:dyDescent="0.2">
      <c r="A178" s="48">
        <v>26908</v>
      </c>
      <c r="B178">
        <v>2061</v>
      </c>
      <c r="C178">
        <v>1874</v>
      </c>
      <c r="D178">
        <v>1704</v>
      </c>
    </row>
    <row r="179" spans="1:4" x14ac:dyDescent="0.2">
      <c r="A179" s="48">
        <v>26938</v>
      </c>
      <c r="B179">
        <v>2052</v>
      </c>
      <c r="C179">
        <v>1677</v>
      </c>
      <c r="D179">
        <v>1411</v>
      </c>
    </row>
    <row r="180" spans="1:4" x14ac:dyDescent="0.2">
      <c r="A180" s="48">
        <v>26969</v>
      </c>
      <c r="B180">
        <v>1925</v>
      </c>
      <c r="C180">
        <v>1724</v>
      </c>
      <c r="D180">
        <v>1402</v>
      </c>
    </row>
    <row r="181" spans="1:4" x14ac:dyDescent="0.2">
      <c r="A181" s="48">
        <v>26999</v>
      </c>
      <c r="B181">
        <v>1869</v>
      </c>
      <c r="C181">
        <v>1526</v>
      </c>
      <c r="D181">
        <v>1288</v>
      </c>
    </row>
    <row r="182" spans="1:4" x14ac:dyDescent="0.2">
      <c r="A182" s="48">
        <v>27030</v>
      </c>
      <c r="B182">
        <v>1932</v>
      </c>
      <c r="C182">
        <v>1451</v>
      </c>
      <c r="D182">
        <v>1331</v>
      </c>
    </row>
    <row r="183" spans="1:4" x14ac:dyDescent="0.2">
      <c r="A183" s="48">
        <v>27061</v>
      </c>
      <c r="B183">
        <v>1938</v>
      </c>
      <c r="C183">
        <v>1752</v>
      </c>
      <c r="D183">
        <v>1360</v>
      </c>
    </row>
    <row r="184" spans="1:4" x14ac:dyDescent="0.2">
      <c r="A184" s="48">
        <v>27089</v>
      </c>
      <c r="B184">
        <v>1806</v>
      </c>
      <c r="C184">
        <v>1555</v>
      </c>
      <c r="D184">
        <v>1440</v>
      </c>
    </row>
    <row r="185" spans="1:4" x14ac:dyDescent="0.2">
      <c r="A185" s="48">
        <v>27120</v>
      </c>
      <c r="B185">
        <v>1830</v>
      </c>
      <c r="C185">
        <v>1607</v>
      </c>
      <c r="D185">
        <v>1254</v>
      </c>
    </row>
    <row r="186" spans="1:4" x14ac:dyDescent="0.2">
      <c r="A186" s="48">
        <v>27150</v>
      </c>
      <c r="B186">
        <v>1715</v>
      </c>
      <c r="C186">
        <v>1426</v>
      </c>
      <c r="D186">
        <v>1138</v>
      </c>
    </row>
    <row r="187" spans="1:4" x14ac:dyDescent="0.2">
      <c r="A187" s="48">
        <v>27181</v>
      </c>
      <c r="B187">
        <v>1897</v>
      </c>
      <c r="C187">
        <v>1513</v>
      </c>
      <c r="D187">
        <v>1086</v>
      </c>
    </row>
    <row r="188" spans="1:4" x14ac:dyDescent="0.2">
      <c r="A188" s="48">
        <v>27211</v>
      </c>
      <c r="B188">
        <v>1695</v>
      </c>
      <c r="C188">
        <v>1316</v>
      </c>
      <c r="D188">
        <v>1002</v>
      </c>
    </row>
    <row r="189" spans="1:4" x14ac:dyDescent="0.2">
      <c r="A189" s="48">
        <v>27242</v>
      </c>
      <c r="B189">
        <v>1634</v>
      </c>
      <c r="C189">
        <v>1142</v>
      </c>
      <c r="D189">
        <v>917</v>
      </c>
    </row>
    <row r="190" spans="1:4" x14ac:dyDescent="0.2">
      <c r="A190" s="48">
        <v>27273</v>
      </c>
      <c r="B190">
        <v>1651</v>
      </c>
      <c r="C190">
        <v>1150</v>
      </c>
      <c r="D190">
        <v>840</v>
      </c>
    </row>
    <row r="191" spans="1:4" x14ac:dyDescent="0.2">
      <c r="A191" s="48">
        <v>27303</v>
      </c>
      <c r="B191">
        <v>1630</v>
      </c>
      <c r="C191">
        <v>1070</v>
      </c>
      <c r="D191">
        <v>824</v>
      </c>
    </row>
    <row r="192" spans="1:4" x14ac:dyDescent="0.2">
      <c r="A192" s="48">
        <v>27334</v>
      </c>
      <c r="B192">
        <v>1590</v>
      </c>
      <c r="C192">
        <v>1026</v>
      </c>
      <c r="D192">
        <v>783</v>
      </c>
    </row>
    <row r="193" spans="1:4" x14ac:dyDescent="0.2">
      <c r="A193" s="48">
        <v>27364</v>
      </c>
      <c r="B193">
        <v>1540</v>
      </c>
      <c r="C193">
        <v>975</v>
      </c>
      <c r="D193">
        <v>869</v>
      </c>
    </row>
    <row r="194" spans="1:4" x14ac:dyDescent="0.2">
      <c r="A194" s="48">
        <v>27395</v>
      </c>
      <c r="B194">
        <v>1588</v>
      </c>
      <c r="C194">
        <v>1032</v>
      </c>
      <c r="D194">
        <v>726</v>
      </c>
    </row>
    <row r="195" spans="1:4" x14ac:dyDescent="0.2">
      <c r="A195" s="48">
        <v>27426</v>
      </c>
      <c r="B195">
        <v>1346</v>
      </c>
      <c r="C195">
        <v>904</v>
      </c>
      <c r="D195">
        <v>729</v>
      </c>
    </row>
    <row r="196" spans="1:4" x14ac:dyDescent="0.2">
      <c r="A196" s="48">
        <v>27454</v>
      </c>
      <c r="B196">
        <v>1293</v>
      </c>
      <c r="C196">
        <v>993</v>
      </c>
      <c r="D196">
        <v>709</v>
      </c>
    </row>
    <row r="197" spans="1:4" x14ac:dyDescent="0.2">
      <c r="A197" s="48">
        <v>27485</v>
      </c>
      <c r="B197">
        <v>1278</v>
      </c>
      <c r="C197">
        <v>1005</v>
      </c>
      <c r="D197">
        <v>866</v>
      </c>
    </row>
    <row r="198" spans="1:4" x14ac:dyDescent="0.2">
      <c r="A198" s="48">
        <v>27515</v>
      </c>
      <c r="B198">
        <v>1349</v>
      </c>
      <c r="C198">
        <v>1121</v>
      </c>
      <c r="D198">
        <v>914</v>
      </c>
    </row>
    <row r="199" spans="1:4" x14ac:dyDescent="0.2">
      <c r="A199" s="48">
        <v>27546</v>
      </c>
      <c r="B199">
        <v>1234</v>
      </c>
      <c r="C199">
        <v>1087</v>
      </c>
      <c r="D199">
        <v>946</v>
      </c>
    </row>
    <row r="200" spans="1:4" x14ac:dyDescent="0.2">
      <c r="A200" s="48">
        <v>27576</v>
      </c>
      <c r="B200">
        <v>1276</v>
      </c>
      <c r="C200">
        <v>1226</v>
      </c>
      <c r="D200">
        <v>1020</v>
      </c>
    </row>
    <row r="201" spans="1:4" x14ac:dyDescent="0.2">
      <c r="A201" s="48">
        <v>27607</v>
      </c>
      <c r="B201">
        <v>1290</v>
      </c>
      <c r="C201">
        <v>1260</v>
      </c>
      <c r="D201">
        <v>994</v>
      </c>
    </row>
    <row r="202" spans="1:4" x14ac:dyDescent="0.2">
      <c r="A202" s="48">
        <v>27638</v>
      </c>
      <c r="B202">
        <v>1333</v>
      </c>
      <c r="C202">
        <v>1264</v>
      </c>
      <c r="D202">
        <v>1064</v>
      </c>
    </row>
    <row r="203" spans="1:4" x14ac:dyDescent="0.2">
      <c r="A203" s="48">
        <v>27668</v>
      </c>
      <c r="B203">
        <v>1134</v>
      </c>
      <c r="C203">
        <v>1344</v>
      </c>
      <c r="D203">
        <v>1096</v>
      </c>
    </row>
    <row r="204" spans="1:4" x14ac:dyDescent="0.2">
      <c r="A204" s="48">
        <v>27699</v>
      </c>
      <c r="B204">
        <v>1383</v>
      </c>
      <c r="C204">
        <v>1360</v>
      </c>
      <c r="D204">
        <v>1110</v>
      </c>
    </row>
    <row r="205" spans="1:4" x14ac:dyDescent="0.2">
      <c r="A205" s="48">
        <v>27729</v>
      </c>
      <c r="B205">
        <v>1306</v>
      </c>
      <c r="C205">
        <v>1321</v>
      </c>
      <c r="D205">
        <v>1091</v>
      </c>
    </row>
    <row r="206" spans="1:4" x14ac:dyDescent="0.2">
      <c r="A206" s="48">
        <v>27760</v>
      </c>
      <c r="B206">
        <v>1258</v>
      </c>
      <c r="C206">
        <v>1367</v>
      </c>
      <c r="D206">
        <v>1195</v>
      </c>
    </row>
    <row r="207" spans="1:4" x14ac:dyDescent="0.2">
      <c r="A207" s="48">
        <v>27791</v>
      </c>
      <c r="B207">
        <v>1311</v>
      </c>
      <c r="C207">
        <v>1538</v>
      </c>
      <c r="D207">
        <v>1190</v>
      </c>
    </row>
    <row r="208" spans="1:4" x14ac:dyDescent="0.2">
      <c r="A208" s="48">
        <v>27820</v>
      </c>
      <c r="B208">
        <v>1347</v>
      </c>
      <c r="C208">
        <v>1421</v>
      </c>
      <c r="D208">
        <v>1164</v>
      </c>
    </row>
    <row r="209" spans="1:4" x14ac:dyDescent="0.2">
      <c r="A209" s="48">
        <v>27851</v>
      </c>
      <c r="B209">
        <v>1332</v>
      </c>
      <c r="C209">
        <v>1395</v>
      </c>
      <c r="D209">
        <v>1132</v>
      </c>
    </row>
    <row r="210" spans="1:4" x14ac:dyDescent="0.2">
      <c r="A210" s="48">
        <v>27881</v>
      </c>
      <c r="B210">
        <v>1440</v>
      </c>
      <c r="C210">
        <v>1459</v>
      </c>
      <c r="D210">
        <v>1194</v>
      </c>
    </row>
    <row r="211" spans="1:4" x14ac:dyDescent="0.2">
      <c r="A211" s="48">
        <v>27912</v>
      </c>
      <c r="B211">
        <v>1390</v>
      </c>
      <c r="C211">
        <v>1495</v>
      </c>
      <c r="D211">
        <v>1188</v>
      </c>
    </row>
    <row r="212" spans="1:4" x14ac:dyDescent="0.2">
      <c r="A212" s="48">
        <v>27942</v>
      </c>
      <c r="B212">
        <v>1322</v>
      </c>
      <c r="C212">
        <v>1401</v>
      </c>
      <c r="D212">
        <v>1245</v>
      </c>
    </row>
    <row r="213" spans="1:4" x14ac:dyDescent="0.2">
      <c r="A213" s="48">
        <v>27973</v>
      </c>
      <c r="B213">
        <v>1374</v>
      </c>
      <c r="C213">
        <v>1550</v>
      </c>
      <c r="D213">
        <v>1309</v>
      </c>
    </row>
    <row r="214" spans="1:4" x14ac:dyDescent="0.2">
      <c r="A214" s="48">
        <v>28004</v>
      </c>
      <c r="B214">
        <v>1371</v>
      </c>
      <c r="C214">
        <v>1720</v>
      </c>
      <c r="D214">
        <v>1481</v>
      </c>
    </row>
    <row r="215" spans="1:4" x14ac:dyDescent="0.2">
      <c r="A215" s="48">
        <v>28034</v>
      </c>
      <c r="B215">
        <v>1388</v>
      </c>
      <c r="C215">
        <v>1629</v>
      </c>
      <c r="D215">
        <v>1425</v>
      </c>
    </row>
    <row r="216" spans="1:4" x14ac:dyDescent="0.2">
      <c r="A216" s="48">
        <v>28065</v>
      </c>
      <c r="B216">
        <v>1428</v>
      </c>
      <c r="C216">
        <v>1641</v>
      </c>
      <c r="D216">
        <v>1531</v>
      </c>
    </row>
    <row r="217" spans="1:4" x14ac:dyDescent="0.2">
      <c r="A217" s="48">
        <v>28095</v>
      </c>
      <c r="B217">
        <v>1457</v>
      </c>
      <c r="C217">
        <v>1804</v>
      </c>
      <c r="D217">
        <v>1511</v>
      </c>
    </row>
    <row r="218" spans="1:4" x14ac:dyDescent="0.2">
      <c r="A218" s="48">
        <v>28126</v>
      </c>
      <c r="B218">
        <v>1457</v>
      </c>
      <c r="C218">
        <v>1527</v>
      </c>
      <c r="D218">
        <v>1466</v>
      </c>
    </row>
    <row r="219" spans="1:4" x14ac:dyDescent="0.2">
      <c r="A219" s="48">
        <v>28157</v>
      </c>
      <c r="B219">
        <v>1655</v>
      </c>
      <c r="C219">
        <v>1943</v>
      </c>
      <c r="D219">
        <v>1560</v>
      </c>
    </row>
    <row r="220" spans="1:4" x14ac:dyDescent="0.2">
      <c r="A220" s="48">
        <v>28185</v>
      </c>
      <c r="B220">
        <v>1619</v>
      </c>
      <c r="C220">
        <v>2063</v>
      </c>
      <c r="D220">
        <v>1660</v>
      </c>
    </row>
    <row r="221" spans="1:4" x14ac:dyDescent="0.2">
      <c r="A221" s="48">
        <v>28216</v>
      </c>
      <c r="B221">
        <v>1548</v>
      </c>
      <c r="C221">
        <v>1892</v>
      </c>
      <c r="D221">
        <v>1660</v>
      </c>
    </row>
    <row r="222" spans="1:4" x14ac:dyDescent="0.2">
      <c r="A222" s="48">
        <v>28246</v>
      </c>
      <c r="B222">
        <v>1555</v>
      </c>
      <c r="C222">
        <v>1971</v>
      </c>
      <c r="D222">
        <v>1668</v>
      </c>
    </row>
    <row r="223" spans="1:4" x14ac:dyDescent="0.2">
      <c r="A223" s="48">
        <v>28277</v>
      </c>
      <c r="B223">
        <v>1636</v>
      </c>
      <c r="C223">
        <v>1893</v>
      </c>
      <c r="D223">
        <v>1752</v>
      </c>
    </row>
    <row r="224" spans="1:4" x14ac:dyDescent="0.2">
      <c r="A224" s="48">
        <v>28307</v>
      </c>
      <c r="B224">
        <v>1687</v>
      </c>
      <c r="C224">
        <v>2058</v>
      </c>
      <c r="D224">
        <v>1687</v>
      </c>
    </row>
    <row r="225" spans="1:4" x14ac:dyDescent="0.2">
      <c r="A225" s="48">
        <v>28338</v>
      </c>
      <c r="B225">
        <v>1673</v>
      </c>
      <c r="C225">
        <v>2020</v>
      </c>
      <c r="D225">
        <v>1780</v>
      </c>
    </row>
    <row r="226" spans="1:4" x14ac:dyDescent="0.2">
      <c r="A226" s="48">
        <v>28369</v>
      </c>
      <c r="B226">
        <v>1865</v>
      </c>
      <c r="C226">
        <v>1949</v>
      </c>
      <c r="D226">
        <v>1674</v>
      </c>
    </row>
    <row r="227" spans="1:4" x14ac:dyDescent="0.2">
      <c r="A227" s="48">
        <v>28399</v>
      </c>
      <c r="B227">
        <v>1675</v>
      </c>
      <c r="C227">
        <v>2042</v>
      </c>
      <c r="D227">
        <v>1758</v>
      </c>
    </row>
    <row r="228" spans="1:4" x14ac:dyDescent="0.2">
      <c r="A228" s="48">
        <v>28430</v>
      </c>
      <c r="B228">
        <v>1770</v>
      </c>
      <c r="C228">
        <v>2042</v>
      </c>
      <c r="D228">
        <v>1771</v>
      </c>
    </row>
    <row r="229" spans="1:4" x14ac:dyDescent="0.2">
      <c r="A229" s="48">
        <v>28460</v>
      </c>
      <c r="B229">
        <v>1634</v>
      </c>
      <c r="C229">
        <v>2142</v>
      </c>
      <c r="D229">
        <v>1754</v>
      </c>
    </row>
    <row r="230" spans="1:4" x14ac:dyDescent="0.2">
      <c r="A230" s="48">
        <v>28491</v>
      </c>
      <c r="B230">
        <v>1777</v>
      </c>
      <c r="C230">
        <v>1718</v>
      </c>
      <c r="D230">
        <v>1740</v>
      </c>
    </row>
    <row r="231" spans="1:4" x14ac:dyDescent="0.2">
      <c r="A231" s="48">
        <v>28522</v>
      </c>
      <c r="B231">
        <v>1719</v>
      </c>
      <c r="C231">
        <v>1738</v>
      </c>
      <c r="D231">
        <v>1736</v>
      </c>
    </row>
    <row r="232" spans="1:4" x14ac:dyDescent="0.2">
      <c r="A232" s="48">
        <v>28550</v>
      </c>
      <c r="B232">
        <v>1785</v>
      </c>
      <c r="C232">
        <v>2032</v>
      </c>
      <c r="D232">
        <v>1799</v>
      </c>
    </row>
    <row r="233" spans="1:4" x14ac:dyDescent="0.2">
      <c r="A233" s="48">
        <v>28581</v>
      </c>
      <c r="B233">
        <v>1843</v>
      </c>
      <c r="C233">
        <v>2197</v>
      </c>
      <c r="D233">
        <v>1948</v>
      </c>
    </row>
    <row r="234" spans="1:4" x14ac:dyDescent="0.2">
      <c r="A234" s="48">
        <v>28611</v>
      </c>
      <c r="B234">
        <v>1850</v>
      </c>
      <c r="C234">
        <v>2075</v>
      </c>
      <c r="D234">
        <v>1766</v>
      </c>
    </row>
    <row r="235" spans="1:4" x14ac:dyDescent="0.2">
      <c r="A235" s="48">
        <v>28642</v>
      </c>
      <c r="B235">
        <v>1905</v>
      </c>
      <c r="C235">
        <v>2070</v>
      </c>
      <c r="D235">
        <v>1983</v>
      </c>
    </row>
    <row r="236" spans="1:4" x14ac:dyDescent="0.2">
      <c r="A236" s="48">
        <v>28672</v>
      </c>
      <c r="B236">
        <v>1957</v>
      </c>
      <c r="C236">
        <v>2092</v>
      </c>
      <c r="D236">
        <v>1786</v>
      </c>
    </row>
    <row r="237" spans="1:4" x14ac:dyDescent="0.2">
      <c r="A237" s="48">
        <v>28703</v>
      </c>
      <c r="B237">
        <v>1976</v>
      </c>
      <c r="C237">
        <v>1996</v>
      </c>
      <c r="D237">
        <v>1691</v>
      </c>
    </row>
    <row r="238" spans="1:4" x14ac:dyDescent="0.2">
      <c r="A238" s="48">
        <v>28734</v>
      </c>
      <c r="B238">
        <v>1944</v>
      </c>
      <c r="C238">
        <v>1970</v>
      </c>
      <c r="D238">
        <v>1751</v>
      </c>
    </row>
    <row r="239" spans="1:4" x14ac:dyDescent="0.2">
      <c r="A239" s="48">
        <v>28764</v>
      </c>
      <c r="B239">
        <v>1885</v>
      </c>
      <c r="C239">
        <v>1981</v>
      </c>
      <c r="D239">
        <v>1781</v>
      </c>
    </row>
    <row r="240" spans="1:4" x14ac:dyDescent="0.2">
      <c r="A240" s="48">
        <v>28795</v>
      </c>
      <c r="B240">
        <v>1877</v>
      </c>
      <c r="C240">
        <v>2094</v>
      </c>
      <c r="D240">
        <v>1795</v>
      </c>
    </row>
    <row r="241" spans="1:4" x14ac:dyDescent="0.2">
      <c r="A241" s="48">
        <v>28825</v>
      </c>
      <c r="B241">
        <v>1844</v>
      </c>
      <c r="C241">
        <v>2044</v>
      </c>
      <c r="D241">
        <v>1818</v>
      </c>
    </row>
    <row r="242" spans="1:4" x14ac:dyDescent="0.2">
      <c r="A242" s="48">
        <v>28856</v>
      </c>
      <c r="B242">
        <v>1850</v>
      </c>
      <c r="C242">
        <v>1630</v>
      </c>
      <c r="D242">
        <v>1461</v>
      </c>
    </row>
    <row r="243" spans="1:4" x14ac:dyDescent="0.2">
      <c r="A243" s="48">
        <v>28887</v>
      </c>
      <c r="B243">
        <v>1845</v>
      </c>
      <c r="C243">
        <v>1520</v>
      </c>
      <c r="D243">
        <v>1492</v>
      </c>
    </row>
    <row r="244" spans="1:4" x14ac:dyDescent="0.2">
      <c r="A244" s="48">
        <v>28915</v>
      </c>
      <c r="B244">
        <v>1946</v>
      </c>
      <c r="C244">
        <v>1847</v>
      </c>
      <c r="D244">
        <v>1720</v>
      </c>
    </row>
    <row r="245" spans="1:4" x14ac:dyDescent="0.2">
      <c r="A245" s="48">
        <v>28946</v>
      </c>
      <c r="B245">
        <v>1866</v>
      </c>
      <c r="C245">
        <v>1748</v>
      </c>
      <c r="D245">
        <v>1597</v>
      </c>
    </row>
    <row r="246" spans="1:4" x14ac:dyDescent="0.2">
      <c r="A246" s="48">
        <v>28976</v>
      </c>
      <c r="B246">
        <v>2007</v>
      </c>
      <c r="C246">
        <v>1876</v>
      </c>
      <c r="D246">
        <v>1684</v>
      </c>
    </row>
    <row r="247" spans="1:4" x14ac:dyDescent="0.2">
      <c r="A247" s="48">
        <v>29007</v>
      </c>
      <c r="B247">
        <v>1853</v>
      </c>
      <c r="C247">
        <v>1913</v>
      </c>
      <c r="D247">
        <v>1640</v>
      </c>
    </row>
    <row r="248" spans="1:4" x14ac:dyDescent="0.2">
      <c r="A248" s="48">
        <v>29037</v>
      </c>
      <c r="B248">
        <v>1759</v>
      </c>
      <c r="C248">
        <v>1760</v>
      </c>
      <c r="D248">
        <v>1534</v>
      </c>
    </row>
    <row r="249" spans="1:4" x14ac:dyDescent="0.2">
      <c r="A249" s="48">
        <v>29068</v>
      </c>
      <c r="B249">
        <v>1779</v>
      </c>
      <c r="C249">
        <v>1778</v>
      </c>
      <c r="D249">
        <v>1591</v>
      </c>
    </row>
    <row r="250" spans="1:4" x14ac:dyDescent="0.2">
      <c r="A250" s="48">
        <v>29099</v>
      </c>
      <c r="B250">
        <v>1983</v>
      </c>
      <c r="C250">
        <v>1832</v>
      </c>
      <c r="D250">
        <v>1638</v>
      </c>
    </row>
    <row r="251" spans="1:4" x14ac:dyDescent="0.2">
      <c r="A251" s="48">
        <v>29129</v>
      </c>
      <c r="B251">
        <v>1832</v>
      </c>
      <c r="C251">
        <v>1681</v>
      </c>
      <c r="D251">
        <v>1481</v>
      </c>
    </row>
    <row r="252" spans="1:4" x14ac:dyDescent="0.2">
      <c r="A252" s="48">
        <v>29160</v>
      </c>
      <c r="B252">
        <v>1892</v>
      </c>
      <c r="C252">
        <v>1524</v>
      </c>
      <c r="D252">
        <v>1276</v>
      </c>
    </row>
    <row r="253" spans="1:4" x14ac:dyDescent="0.2">
      <c r="A253" s="48">
        <v>29190</v>
      </c>
      <c r="B253">
        <v>1863</v>
      </c>
      <c r="C253">
        <v>1498</v>
      </c>
      <c r="D253">
        <v>1254</v>
      </c>
    </row>
    <row r="254" spans="1:4" x14ac:dyDescent="0.2">
      <c r="A254" s="48">
        <v>29221</v>
      </c>
      <c r="B254">
        <v>1794</v>
      </c>
      <c r="C254">
        <v>1341</v>
      </c>
      <c r="D254">
        <v>1280</v>
      </c>
    </row>
    <row r="255" spans="1:4" x14ac:dyDescent="0.2">
      <c r="A255" s="48">
        <v>29252</v>
      </c>
      <c r="B255">
        <v>1803</v>
      </c>
      <c r="C255">
        <v>1350</v>
      </c>
      <c r="D255">
        <v>1199</v>
      </c>
    </row>
    <row r="256" spans="1:4" x14ac:dyDescent="0.2">
      <c r="A256" s="48">
        <v>29281</v>
      </c>
      <c r="B256">
        <v>1701</v>
      </c>
      <c r="C256">
        <v>1047</v>
      </c>
      <c r="D256">
        <v>988</v>
      </c>
    </row>
    <row r="257" spans="1:4" x14ac:dyDescent="0.2">
      <c r="A257" s="48">
        <v>29312</v>
      </c>
      <c r="B257">
        <v>1751</v>
      </c>
      <c r="C257">
        <v>1051</v>
      </c>
      <c r="D257">
        <v>808</v>
      </c>
    </row>
    <row r="258" spans="1:4" x14ac:dyDescent="0.2">
      <c r="A258" s="48">
        <v>29342</v>
      </c>
      <c r="B258">
        <v>1532</v>
      </c>
      <c r="C258">
        <v>927</v>
      </c>
      <c r="D258">
        <v>861</v>
      </c>
    </row>
    <row r="259" spans="1:4" x14ac:dyDescent="0.2">
      <c r="A259" s="48">
        <v>29373</v>
      </c>
      <c r="B259">
        <v>1480</v>
      </c>
      <c r="C259">
        <v>1196</v>
      </c>
      <c r="D259">
        <v>1118</v>
      </c>
    </row>
    <row r="260" spans="1:4" x14ac:dyDescent="0.2">
      <c r="A260" s="48">
        <v>29403</v>
      </c>
      <c r="B260">
        <v>1472</v>
      </c>
      <c r="C260">
        <v>1269</v>
      </c>
      <c r="D260">
        <v>1259</v>
      </c>
    </row>
    <row r="261" spans="1:4" x14ac:dyDescent="0.2">
      <c r="A261" s="48">
        <v>29434</v>
      </c>
      <c r="B261">
        <v>1440</v>
      </c>
      <c r="C261">
        <v>1436</v>
      </c>
      <c r="D261">
        <v>1367</v>
      </c>
    </row>
    <row r="262" spans="1:4" x14ac:dyDescent="0.2">
      <c r="A262" s="48">
        <v>29465</v>
      </c>
      <c r="B262">
        <v>1267</v>
      </c>
      <c r="C262">
        <v>1471</v>
      </c>
      <c r="D262">
        <v>1484</v>
      </c>
    </row>
    <row r="263" spans="1:4" x14ac:dyDescent="0.2">
      <c r="A263" s="48">
        <v>29495</v>
      </c>
      <c r="B263">
        <v>1272</v>
      </c>
      <c r="C263">
        <v>1523</v>
      </c>
      <c r="D263">
        <v>1366</v>
      </c>
    </row>
    <row r="264" spans="1:4" x14ac:dyDescent="0.2">
      <c r="A264" s="48">
        <v>29526</v>
      </c>
      <c r="B264">
        <v>1313</v>
      </c>
      <c r="C264">
        <v>1510</v>
      </c>
      <c r="D264">
        <v>1383</v>
      </c>
    </row>
    <row r="265" spans="1:4" x14ac:dyDescent="0.2">
      <c r="A265" s="48">
        <v>29556</v>
      </c>
      <c r="B265">
        <v>1378</v>
      </c>
      <c r="C265">
        <v>1482</v>
      </c>
      <c r="D265">
        <v>1249</v>
      </c>
    </row>
    <row r="266" spans="1:4" x14ac:dyDescent="0.2">
      <c r="A266" s="48">
        <v>29587</v>
      </c>
      <c r="B266">
        <v>1270</v>
      </c>
      <c r="C266">
        <v>1547</v>
      </c>
      <c r="D266">
        <v>1221</v>
      </c>
    </row>
    <row r="267" spans="1:4" x14ac:dyDescent="0.2">
      <c r="A267" s="48">
        <v>29618</v>
      </c>
      <c r="B267">
        <v>1395</v>
      </c>
      <c r="C267">
        <v>1246</v>
      </c>
      <c r="D267">
        <v>1199</v>
      </c>
    </row>
    <row r="268" spans="1:4" x14ac:dyDescent="0.2">
      <c r="A268" s="48">
        <v>29646</v>
      </c>
      <c r="B268">
        <v>1377</v>
      </c>
      <c r="C268">
        <v>1306</v>
      </c>
      <c r="D268">
        <v>1183</v>
      </c>
    </row>
    <row r="269" spans="1:4" x14ac:dyDescent="0.2">
      <c r="A269" s="48">
        <v>29677</v>
      </c>
      <c r="B269">
        <v>1469</v>
      </c>
      <c r="C269">
        <v>1360</v>
      </c>
      <c r="D269">
        <v>1190</v>
      </c>
    </row>
    <row r="270" spans="1:4" x14ac:dyDescent="0.2">
      <c r="A270" s="48">
        <v>29707</v>
      </c>
      <c r="B270">
        <v>1246</v>
      </c>
      <c r="C270">
        <v>1140</v>
      </c>
      <c r="D270">
        <v>1173</v>
      </c>
    </row>
    <row r="271" spans="1:4" x14ac:dyDescent="0.2">
      <c r="A271" s="48">
        <v>29738</v>
      </c>
      <c r="B271">
        <v>1350</v>
      </c>
      <c r="C271">
        <v>1045</v>
      </c>
      <c r="D271">
        <v>976</v>
      </c>
    </row>
    <row r="272" spans="1:4" x14ac:dyDescent="0.2">
      <c r="A272" s="48">
        <v>29768</v>
      </c>
      <c r="B272">
        <v>1337</v>
      </c>
      <c r="C272">
        <v>1041</v>
      </c>
      <c r="D272">
        <v>935</v>
      </c>
    </row>
    <row r="273" spans="1:4" x14ac:dyDescent="0.2">
      <c r="A273" s="48">
        <v>29799</v>
      </c>
      <c r="B273">
        <v>1222</v>
      </c>
      <c r="C273">
        <v>940</v>
      </c>
      <c r="D273">
        <v>889</v>
      </c>
    </row>
    <row r="274" spans="1:4" x14ac:dyDescent="0.2">
      <c r="A274" s="48">
        <v>29830</v>
      </c>
      <c r="B274">
        <v>1221</v>
      </c>
      <c r="C274">
        <v>911</v>
      </c>
      <c r="D274">
        <v>847</v>
      </c>
    </row>
    <row r="275" spans="1:4" x14ac:dyDescent="0.2">
      <c r="A275" s="48">
        <v>29860</v>
      </c>
      <c r="B275">
        <v>1206</v>
      </c>
      <c r="C275">
        <v>873</v>
      </c>
      <c r="D275">
        <v>731</v>
      </c>
    </row>
    <row r="276" spans="1:4" x14ac:dyDescent="0.2">
      <c r="A276" s="48">
        <v>29891</v>
      </c>
      <c r="B276">
        <v>1074</v>
      </c>
      <c r="C276">
        <v>837</v>
      </c>
      <c r="D276">
        <v>748</v>
      </c>
    </row>
    <row r="277" spans="1:4" x14ac:dyDescent="0.2">
      <c r="A277" s="48">
        <v>29921</v>
      </c>
      <c r="B277">
        <v>1129</v>
      </c>
      <c r="C277">
        <v>910</v>
      </c>
      <c r="D277">
        <v>796</v>
      </c>
    </row>
    <row r="278" spans="1:4" x14ac:dyDescent="0.2">
      <c r="A278" s="48">
        <v>29952</v>
      </c>
      <c r="B278">
        <v>1052</v>
      </c>
      <c r="C278">
        <v>843</v>
      </c>
      <c r="D278">
        <v>794</v>
      </c>
    </row>
    <row r="279" spans="1:4" x14ac:dyDescent="0.2">
      <c r="A279" s="48">
        <v>29983</v>
      </c>
      <c r="B279">
        <v>935</v>
      </c>
      <c r="C279">
        <v>866</v>
      </c>
      <c r="D279">
        <v>808</v>
      </c>
    </row>
    <row r="280" spans="1:4" x14ac:dyDescent="0.2">
      <c r="A280" s="48">
        <v>30011</v>
      </c>
      <c r="B280">
        <v>965</v>
      </c>
      <c r="C280">
        <v>931</v>
      </c>
      <c r="D280">
        <v>891</v>
      </c>
    </row>
    <row r="281" spans="1:4" x14ac:dyDescent="0.2">
      <c r="A281" s="48">
        <v>30042</v>
      </c>
      <c r="B281">
        <v>979</v>
      </c>
      <c r="C281">
        <v>917</v>
      </c>
      <c r="D281">
        <v>888</v>
      </c>
    </row>
    <row r="282" spans="1:4" x14ac:dyDescent="0.2">
      <c r="A282" s="48">
        <v>30072</v>
      </c>
      <c r="B282">
        <v>1060</v>
      </c>
      <c r="C282">
        <v>1025</v>
      </c>
      <c r="D282">
        <v>953</v>
      </c>
    </row>
    <row r="283" spans="1:4" x14ac:dyDescent="0.2">
      <c r="A283" s="48">
        <v>30103</v>
      </c>
      <c r="B283">
        <v>930</v>
      </c>
      <c r="C283">
        <v>902</v>
      </c>
      <c r="D283">
        <v>913</v>
      </c>
    </row>
    <row r="284" spans="1:4" x14ac:dyDescent="0.2">
      <c r="A284" s="48">
        <v>30133</v>
      </c>
      <c r="B284">
        <v>1006</v>
      </c>
      <c r="C284">
        <v>1166</v>
      </c>
      <c r="D284">
        <v>1044</v>
      </c>
    </row>
    <row r="285" spans="1:4" x14ac:dyDescent="0.2">
      <c r="A285" s="48">
        <v>30164</v>
      </c>
      <c r="B285">
        <v>985</v>
      </c>
      <c r="C285">
        <v>1046</v>
      </c>
      <c r="D285">
        <v>926</v>
      </c>
    </row>
    <row r="286" spans="1:4" x14ac:dyDescent="0.2">
      <c r="A286" s="48">
        <v>30195</v>
      </c>
      <c r="B286">
        <v>947</v>
      </c>
      <c r="C286">
        <v>1144</v>
      </c>
      <c r="D286">
        <v>1042</v>
      </c>
    </row>
    <row r="287" spans="1:4" x14ac:dyDescent="0.2">
      <c r="A287" s="48">
        <v>30225</v>
      </c>
      <c r="B287">
        <v>1059</v>
      </c>
      <c r="C287">
        <v>1173</v>
      </c>
      <c r="D287">
        <v>1149</v>
      </c>
    </row>
    <row r="288" spans="1:4" x14ac:dyDescent="0.2">
      <c r="A288" s="48">
        <v>30256</v>
      </c>
      <c r="B288">
        <v>1079</v>
      </c>
      <c r="C288">
        <v>1372</v>
      </c>
      <c r="D288">
        <v>1229</v>
      </c>
    </row>
    <row r="289" spans="1:4" x14ac:dyDescent="0.2">
      <c r="A289" s="48">
        <v>30286</v>
      </c>
      <c r="B289">
        <v>1047</v>
      </c>
      <c r="C289">
        <v>1303</v>
      </c>
      <c r="D289">
        <v>1351</v>
      </c>
    </row>
    <row r="290" spans="1:4" x14ac:dyDescent="0.2">
      <c r="A290" s="48">
        <v>30317</v>
      </c>
      <c r="B290">
        <v>1187</v>
      </c>
      <c r="C290">
        <v>1586</v>
      </c>
      <c r="D290">
        <v>1426</v>
      </c>
    </row>
    <row r="291" spans="1:4" x14ac:dyDescent="0.2">
      <c r="A291" s="48">
        <v>30348</v>
      </c>
      <c r="B291">
        <v>1135</v>
      </c>
      <c r="C291">
        <v>1699</v>
      </c>
      <c r="D291">
        <v>1471</v>
      </c>
    </row>
    <row r="292" spans="1:4" x14ac:dyDescent="0.2">
      <c r="A292" s="48">
        <v>30376</v>
      </c>
      <c r="B292">
        <v>1168</v>
      </c>
      <c r="C292">
        <v>1606</v>
      </c>
      <c r="D292">
        <v>1475</v>
      </c>
    </row>
    <row r="293" spans="1:4" x14ac:dyDescent="0.2">
      <c r="A293" s="48">
        <v>30407</v>
      </c>
      <c r="B293">
        <v>1197</v>
      </c>
      <c r="C293">
        <v>1472</v>
      </c>
      <c r="D293">
        <v>1566</v>
      </c>
    </row>
    <row r="294" spans="1:4" x14ac:dyDescent="0.2">
      <c r="A294" s="48">
        <v>30437</v>
      </c>
      <c r="B294">
        <v>1300</v>
      </c>
      <c r="C294">
        <v>1776</v>
      </c>
      <c r="D294">
        <v>1669</v>
      </c>
    </row>
    <row r="295" spans="1:4" x14ac:dyDescent="0.2">
      <c r="A295" s="48">
        <v>30468</v>
      </c>
      <c r="B295">
        <v>1344</v>
      </c>
      <c r="C295">
        <v>1733</v>
      </c>
      <c r="D295">
        <v>1769</v>
      </c>
    </row>
    <row r="296" spans="1:4" x14ac:dyDescent="0.2">
      <c r="A296" s="48">
        <v>30498</v>
      </c>
      <c r="B296">
        <v>1410</v>
      </c>
      <c r="C296">
        <v>1785</v>
      </c>
      <c r="D296">
        <v>1795</v>
      </c>
    </row>
    <row r="297" spans="1:4" x14ac:dyDescent="0.2">
      <c r="A297" s="48">
        <v>30529</v>
      </c>
      <c r="B297">
        <v>1711</v>
      </c>
      <c r="C297">
        <v>1910</v>
      </c>
      <c r="D297">
        <v>1713</v>
      </c>
    </row>
    <row r="298" spans="1:4" x14ac:dyDescent="0.2">
      <c r="A298" s="48">
        <v>30560</v>
      </c>
      <c r="B298">
        <v>1493</v>
      </c>
      <c r="C298">
        <v>1710</v>
      </c>
      <c r="D298">
        <v>1585</v>
      </c>
    </row>
    <row r="299" spans="1:4" x14ac:dyDescent="0.2">
      <c r="A299" s="48">
        <v>30590</v>
      </c>
      <c r="B299">
        <v>1586</v>
      </c>
      <c r="C299">
        <v>1715</v>
      </c>
      <c r="D299">
        <v>1716</v>
      </c>
    </row>
    <row r="300" spans="1:4" x14ac:dyDescent="0.2">
      <c r="A300" s="48">
        <v>30621</v>
      </c>
      <c r="B300">
        <v>1462</v>
      </c>
      <c r="C300">
        <v>1785</v>
      </c>
      <c r="D300">
        <v>1668</v>
      </c>
    </row>
    <row r="301" spans="1:4" x14ac:dyDescent="0.2">
      <c r="A301" s="48">
        <v>30651</v>
      </c>
      <c r="B301">
        <v>1509</v>
      </c>
      <c r="C301">
        <v>1688</v>
      </c>
      <c r="D301">
        <v>1627</v>
      </c>
    </row>
    <row r="302" spans="1:4" x14ac:dyDescent="0.2">
      <c r="A302" s="48">
        <v>30682</v>
      </c>
      <c r="B302">
        <v>1595</v>
      </c>
      <c r="C302">
        <v>1897</v>
      </c>
      <c r="D302">
        <v>1816</v>
      </c>
    </row>
    <row r="303" spans="1:4" x14ac:dyDescent="0.2">
      <c r="A303" s="48">
        <v>30713</v>
      </c>
      <c r="B303">
        <v>1562</v>
      </c>
      <c r="C303">
        <v>2260</v>
      </c>
      <c r="D303">
        <v>1987</v>
      </c>
    </row>
    <row r="304" spans="1:4" x14ac:dyDescent="0.2">
      <c r="A304" s="48">
        <v>30742</v>
      </c>
      <c r="B304">
        <v>1600</v>
      </c>
      <c r="C304">
        <v>1663</v>
      </c>
      <c r="D304">
        <v>1725</v>
      </c>
    </row>
    <row r="305" spans="1:4" x14ac:dyDescent="0.2">
      <c r="A305" s="48">
        <v>30773</v>
      </c>
      <c r="B305">
        <v>1683</v>
      </c>
      <c r="C305">
        <v>1851</v>
      </c>
      <c r="D305">
        <v>1776</v>
      </c>
    </row>
    <row r="306" spans="1:4" x14ac:dyDescent="0.2">
      <c r="A306" s="48">
        <v>30803</v>
      </c>
      <c r="B306">
        <v>1732</v>
      </c>
      <c r="C306">
        <v>1774</v>
      </c>
      <c r="D306">
        <v>1741</v>
      </c>
    </row>
    <row r="307" spans="1:4" x14ac:dyDescent="0.2">
      <c r="A307" s="48">
        <v>30834</v>
      </c>
      <c r="B307">
        <v>1714</v>
      </c>
      <c r="C307">
        <v>1843</v>
      </c>
      <c r="D307">
        <v>1814</v>
      </c>
    </row>
    <row r="308" spans="1:4" x14ac:dyDescent="0.2">
      <c r="A308" s="48">
        <v>30864</v>
      </c>
      <c r="B308">
        <v>1692</v>
      </c>
      <c r="C308">
        <v>1732</v>
      </c>
      <c r="D308">
        <v>1605</v>
      </c>
    </row>
    <row r="309" spans="1:4" x14ac:dyDescent="0.2">
      <c r="A309" s="48">
        <v>30895</v>
      </c>
      <c r="B309">
        <v>1685</v>
      </c>
      <c r="C309">
        <v>1586</v>
      </c>
      <c r="D309">
        <v>1530</v>
      </c>
    </row>
    <row r="310" spans="1:4" x14ac:dyDescent="0.2">
      <c r="A310" s="48">
        <v>30926</v>
      </c>
      <c r="B310">
        <v>1642</v>
      </c>
      <c r="C310">
        <v>1698</v>
      </c>
      <c r="D310">
        <v>1523</v>
      </c>
    </row>
    <row r="311" spans="1:4" x14ac:dyDescent="0.2">
      <c r="A311" s="48">
        <v>30956</v>
      </c>
      <c r="B311">
        <v>1633</v>
      </c>
      <c r="C311">
        <v>1590</v>
      </c>
      <c r="D311">
        <v>1490</v>
      </c>
    </row>
    <row r="312" spans="1:4" x14ac:dyDescent="0.2">
      <c r="A312" s="48">
        <v>30987</v>
      </c>
      <c r="B312">
        <v>1611</v>
      </c>
      <c r="C312">
        <v>1689</v>
      </c>
      <c r="D312">
        <v>1643</v>
      </c>
    </row>
    <row r="313" spans="1:4" x14ac:dyDescent="0.2">
      <c r="A313" s="48">
        <v>31017</v>
      </c>
      <c r="B313">
        <v>1629</v>
      </c>
      <c r="C313">
        <v>1612</v>
      </c>
      <c r="D313">
        <v>1626</v>
      </c>
    </row>
    <row r="314" spans="1:4" x14ac:dyDescent="0.2">
      <c r="A314" s="48">
        <v>31048</v>
      </c>
      <c r="B314">
        <v>1646</v>
      </c>
      <c r="C314">
        <v>1711</v>
      </c>
      <c r="D314">
        <v>1660</v>
      </c>
    </row>
    <row r="315" spans="1:4" x14ac:dyDescent="0.2">
      <c r="A315" s="48">
        <v>31079</v>
      </c>
      <c r="B315">
        <v>1772</v>
      </c>
      <c r="C315">
        <v>1632</v>
      </c>
      <c r="D315">
        <v>1662</v>
      </c>
    </row>
    <row r="316" spans="1:4" x14ac:dyDescent="0.2">
      <c r="A316" s="48">
        <v>31107</v>
      </c>
      <c r="B316">
        <v>1715</v>
      </c>
      <c r="C316">
        <v>1800</v>
      </c>
      <c r="D316">
        <v>1727</v>
      </c>
    </row>
    <row r="317" spans="1:4" x14ac:dyDescent="0.2">
      <c r="A317" s="48">
        <v>31138</v>
      </c>
      <c r="B317">
        <v>1630</v>
      </c>
      <c r="C317">
        <v>1821</v>
      </c>
      <c r="D317">
        <v>1664</v>
      </c>
    </row>
    <row r="318" spans="1:4" x14ac:dyDescent="0.2">
      <c r="A318" s="48">
        <v>31168</v>
      </c>
      <c r="B318">
        <v>1665</v>
      </c>
      <c r="C318">
        <v>1680</v>
      </c>
      <c r="D318">
        <v>1709</v>
      </c>
    </row>
    <row r="319" spans="1:4" x14ac:dyDescent="0.2">
      <c r="A319" s="48">
        <v>31199</v>
      </c>
      <c r="B319">
        <v>1791</v>
      </c>
      <c r="C319">
        <v>1676</v>
      </c>
      <c r="D319">
        <v>1716</v>
      </c>
    </row>
    <row r="320" spans="1:4" x14ac:dyDescent="0.2">
      <c r="A320" s="48">
        <v>31229</v>
      </c>
      <c r="B320">
        <v>1693</v>
      </c>
      <c r="C320">
        <v>1684</v>
      </c>
      <c r="D320">
        <v>1697</v>
      </c>
    </row>
    <row r="321" spans="1:4" x14ac:dyDescent="0.2">
      <c r="A321" s="48">
        <v>31260</v>
      </c>
      <c r="B321">
        <v>1685</v>
      </c>
      <c r="C321">
        <v>1743</v>
      </c>
      <c r="D321">
        <v>1808</v>
      </c>
    </row>
    <row r="322" spans="1:4" x14ac:dyDescent="0.2">
      <c r="A322" s="48">
        <v>31291</v>
      </c>
      <c r="B322">
        <v>1806</v>
      </c>
      <c r="C322">
        <v>1676</v>
      </c>
      <c r="D322">
        <v>1916</v>
      </c>
    </row>
    <row r="323" spans="1:4" x14ac:dyDescent="0.2">
      <c r="A323" s="48">
        <v>31321</v>
      </c>
      <c r="B323">
        <v>1565</v>
      </c>
      <c r="C323">
        <v>1834</v>
      </c>
      <c r="D323">
        <v>1743</v>
      </c>
    </row>
    <row r="324" spans="1:4" x14ac:dyDescent="0.2">
      <c r="A324" s="48">
        <v>31352</v>
      </c>
      <c r="B324">
        <v>1749</v>
      </c>
      <c r="C324">
        <v>1698</v>
      </c>
      <c r="D324">
        <v>1692</v>
      </c>
    </row>
    <row r="325" spans="1:4" x14ac:dyDescent="0.2">
      <c r="A325" s="48">
        <v>31382</v>
      </c>
      <c r="B325">
        <v>1732</v>
      </c>
      <c r="C325">
        <v>1942</v>
      </c>
      <c r="D325">
        <v>1794</v>
      </c>
    </row>
    <row r="326" spans="1:4" x14ac:dyDescent="0.2">
      <c r="A326" s="48">
        <v>31413</v>
      </c>
      <c r="B326">
        <v>1723</v>
      </c>
      <c r="C326">
        <v>1972</v>
      </c>
      <c r="D326">
        <v>1847</v>
      </c>
    </row>
    <row r="327" spans="1:4" x14ac:dyDescent="0.2">
      <c r="A327" s="48">
        <v>31444</v>
      </c>
      <c r="B327">
        <v>1753</v>
      </c>
      <c r="C327">
        <v>1848</v>
      </c>
      <c r="D327">
        <v>1767</v>
      </c>
    </row>
    <row r="328" spans="1:4" x14ac:dyDescent="0.2">
      <c r="A328" s="48">
        <v>31472</v>
      </c>
      <c r="B328">
        <v>1756</v>
      </c>
      <c r="C328">
        <v>1876</v>
      </c>
      <c r="D328">
        <v>1780</v>
      </c>
    </row>
    <row r="329" spans="1:4" x14ac:dyDescent="0.2">
      <c r="A329" s="48">
        <v>31503</v>
      </c>
      <c r="B329">
        <v>1685</v>
      </c>
      <c r="C329">
        <v>1933</v>
      </c>
      <c r="D329">
        <v>1858</v>
      </c>
    </row>
    <row r="330" spans="1:4" x14ac:dyDescent="0.2">
      <c r="A330" s="48">
        <v>31533</v>
      </c>
      <c r="B330">
        <v>1833</v>
      </c>
      <c r="C330">
        <v>1854</v>
      </c>
      <c r="D330">
        <v>1797</v>
      </c>
    </row>
    <row r="331" spans="1:4" x14ac:dyDescent="0.2">
      <c r="A331" s="48">
        <v>31564</v>
      </c>
      <c r="B331">
        <v>1672</v>
      </c>
      <c r="C331">
        <v>1847</v>
      </c>
      <c r="D331">
        <v>1790</v>
      </c>
    </row>
    <row r="332" spans="1:4" x14ac:dyDescent="0.2">
      <c r="A332" s="48">
        <v>31594</v>
      </c>
      <c r="B332">
        <v>1722</v>
      </c>
      <c r="C332">
        <v>1782</v>
      </c>
      <c r="D332">
        <v>1780</v>
      </c>
    </row>
    <row r="333" spans="1:4" x14ac:dyDescent="0.2">
      <c r="A333" s="48">
        <v>31625</v>
      </c>
      <c r="B333">
        <v>1763</v>
      </c>
      <c r="C333">
        <v>1807</v>
      </c>
      <c r="D333">
        <v>1726</v>
      </c>
    </row>
    <row r="334" spans="1:4" x14ac:dyDescent="0.2">
      <c r="A334" s="48">
        <v>31656</v>
      </c>
      <c r="B334">
        <v>1732</v>
      </c>
      <c r="C334">
        <v>1687</v>
      </c>
      <c r="D334">
        <v>1686</v>
      </c>
    </row>
    <row r="335" spans="1:4" x14ac:dyDescent="0.2">
      <c r="A335" s="48">
        <v>31686</v>
      </c>
      <c r="B335">
        <v>1782</v>
      </c>
      <c r="C335">
        <v>1681</v>
      </c>
      <c r="D335">
        <v>1675</v>
      </c>
    </row>
    <row r="336" spans="1:4" x14ac:dyDescent="0.2">
      <c r="A336" s="48">
        <v>31717</v>
      </c>
      <c r="B336">
        <v>1793</v>
      </c>
      <c r="C336">
        <v>1623</v>
      </c>
      <c r="D336">
        <v>1644</v>
      </c>
    </row>
    <row r="337" spans="1:4" x14ac:dyDescent="0.2">
      <c r="A337" s="48">
        <v>31747</v>
      </c>
      <c r="B337">
        <v>1840</v>
      </c>
      <c r="C337">
        <v>1833</v>
      </c>
      <c r="D337">
        <v>1903</v>
      </c>
    </row>
    <row r="338" spans="1:4" x14ac:dyDescent="0.2">
      <c r="A338" s="48">
        <v>31778</v>
      </c>
      <c r="B338">
        <v>1862</v>
      </c>
      <c r="C338">
        <v>1774</v>
      </c>
      <c r="D338">
        <v>1690</v>
      </c>
    </row>
    <row r="339" spans="1:4" x14ac:dyDescent="0.2">
      <c r="A339" s="48">
        <v>31809</v>
      </c>
      <c r="B339">
        <v>1771</v>
      </c>
      <c r="C339">
        <v>1784</v>
      </c>
      <c r="D339">
        <v>1689</v>
      </c>
    </row>
    <row r="340" spans="1:4" x14ac:dyDescent="0.2">
      <c r="A340" s="48">
        <v>31837</v>
      </c>
      <c r="B340">
        <v>1694</v>
      </c>
      <c r="C340">
        <v>1726</v>
      </c>
      <c r="D340">
        <v>1704</v>
      </c>
    </row>
    <row r="341" spans="1:4" x14ac:dyDescent="0.2">
      <c r="A341" s="48">
        <v>31868</v>
      </c>
      <c r="B341">
        <v>1735</v>
      </c>
      <c r="C341">
        <v>1614</v>
      </c>
      <c r="D341">
        <v>1601</v>
      </c>
    </row>
    <row r="342" spans="1:4" x14ac:dyDescent="0.2">
      <c r="A342" s="48">
        <v>31898</v>
      </c>
      <c r="B342">
        <v>1713</v>
      </c>
      <c r="C342">
        <v>1628</v>
      </c>
      <c r="D342">
        <v>1500</v>
      </c>
    </row>
    <row r="343" spans="1:4" x14ac:dyDescent="0.2">
      <c r="A343" s="48">
        <v>31929</v>
      </c>
      <c r="B343">
        <v>1635</v>
      </c>
      <c r="C343">
        <v>1594</v>
      </c>
      <c r="D343">
        <v>1522</v>
      </c>
    </row>
    <row r="344" spans="1:4" x14ac:dyDescent="0.2">
      <c r="A344" s="48">
        <v>31959</v>
      </c>
      <c r="B344">
        <v>1685</v>
      </c>
      <c r="C344">
        <v>1575</v>
      </c>
      <c r="D344">
        <v>1516</v>
      </c>
    </row>
    <row r="345" spans="1:4" x14ac:dyDescent="0.2">
      <c r="A345" s="48">
        <v>31990</v>
      </c>
      <c r="B345">
        <v>1624</v>
      </c>
      <c r="C345">
        <v>1605</v>
      </c>
      <c r="D345">
        <v>1511</v>
      </c>
    </row>
    <row r="346" spans="1:4" x14ac:dyDescent="0.2">
      <c r="A346" s="48">
        <v>32021</v>
      </c>
      <c r="B346">
        <v>1587</v>
      </c>
      <c r="C346">
        <v>1695</v>
      </c>
      <c r="D346">
        <v>1514</v>
      </c>
    </row>
    <row r="347" spans="1:4" x14ac:dyDescent="0.2">
      <c r="A347" s="48">
        <v>32051</v>
      </c>
      <c r="B347">
        <v>1577</v>
      </c>
      <c r="C347">
        <v>1515</v>
      </c>
      <c r="D347">
        <v>1447</v>
      </c>
    </row>
    <row r="348" spans="1:4" x14ac:dyDescent="0.2">
      <c r="A348" s="48">
        <v>32082</v>
      </c>
      <c r="B348">
        <v>1578</v>
      </c>
      <c r="C348">
        <v>1656</v>
      </c>
      <c r="D348">
        <v>1457</v>
      </c>
    </row>
    <row r="349" spans="1:4" x14ac:dyDescent="0.2">
      <c r="A349" s="48">
        <v>32112</v>
      </c>
      <c r="B349">
        <v>1632</v>
      </c>
      <c r="C349">
        <v>1400</v>
      </c>
      <c r="D349">
        <v>1345</v>
      </c>
    </row>
    <row r="350" spans="1:4" x14ac:dyDescent="0.2">
      <c r="A350" s="48">
        <v>32143</v>
      </c>
      <c r="B350">
        <v>1554</v>
      </c>
      <c r="C350">
        <v>1271</v>
      </c>
      <c r="D350">
        <v>1244</v>
      </c>
    </row>
    <row r="351" spans="1:4" x14ac:dyDescent="0.2">
      <c r="A351" s="48">
        <v>32174</v>
      </c>
      <c r="B351">
        <v>1450</v>
      </c>
      <c r="C351">
        <v>1473</v>
      </c>
      <c r="D351">
        <v>1438</v>
      </c>
    </row>
    <row r="352" spans="1:4" x14ac:dyDescent="0.2">
      <c r="A352" s="48">
        <v>32203</v>
      </c>
      <c r="B352">
        <v>1600</v>
      </c>
      <c r="C352">
        <v>1532</v>
      </c>
      <c r="D352">
        <v>1525</v>
      </c>
    </row>
    <row r="353" spans="1:4" x14ac:dyDescent="0.2">
      <c r="A353" s="48">
        <v>32234</v>
      </c>
      <c r="B353">
        <v>1615</v>
      </c>
      <c r="C353">
        <v>1573</v>
      </c>
      <c r="D353">
        <v>1429</v>
      </c>
    </row>
    <row r="354" spans="1:4" x14ac:dyDescent="0.2">
      <c r="A354" s="48">
        <v>32264</v>
      </c>
      <c r="B354">
        <v>1483</v>
      </c>
      <c r="C354">
        <v>1421</v>
      </c>
      <c r="D354">
        <v>1444</v>
      </c>
    </row>
    <row r="355" spans="1:4" x14ac:dyDescent="0.2">
      <c r="A355" s="48">
        <v>32295</v>
      </c>
      <c r="B355">
        <v>1512</v>
      </c>
      <c r="C355">
        <v>1478</v>
      </c>
      <c r="D355">
        <v>1485</v>
      </c>
    </row>
    <row r="356" spans="1:4" x14ac:dyDescent="0.2">
      <c r="A356" s="48">
        <v>32325</v>
      </c>
      <c r="B356">
        <v>1527</v>
      </c>
      <c r="C356">
        <v>1467</v>
      </c>
      <c r="D356">
        <v>1439</v>
      </c>
    </row>
    <row r="357" spans="1:4" x14ac:dyDescent="0.2">
      <c r="A357" s="48">
        <v>32356</v>
      </c>
      <c r="B357">
        <v>1551</v>
      </c>
      <c r="C357">
        <v>1493</v>
      </c>
      <c r="D357">
        <v>1460</v>
      </c>
    </row>
    <row r="358" spans="1:4" x14ac:dyDescent="0.2">
      <c r="A358" s="48">
        <v>32387</v>
      </c>
      <c r="B358">
        <v>1531</v>
      </c>
      <c r="C358">
        <v>1492</v>
      </c>
      <c r="D358">
        <v>1436</v>
      </c>
    </row>
    <row r="359" spans="1:4" x14ac:dyDescent="0.2">
      <c r="A359" s="48">
        <v>32417</v>
      </c>
      <c r="B359">
        <v>1529</v>
      </c>
      <c r="C359">
        <v>1522</v>
      </c>
      <c r="D359">
        <v>1516</v>
      </c>
    </row>
    <row r="360" spans="1:4" x14ac:dyDescent="0.2">
      <c r="A360" s="48">
        <v>32448</v>
      </c>
      <c r="B360">
        <v>1407</v>
      </c>
      <c r="C360">
        <v>1569</v>
      </c>
      <c r="D360">
        <v>1508</v>
      </c>
    </row>
    <row r="361" spans="1:4" x14ac:dyDescent="0.2">
      <c r="A361" s="48">
        <v>32478</v>
      </c>
      <c r="B361">
        <v>1547</v>
      </c>
      <c r="C361">
        <v>1563</v>
      </c>
      <c r="D361">
        <v>1501</v>
      </c>
    </row>
    <row r="362" spans="1:4" x14ac:dyDescent="0.2">
      <c r="A362" s="48">
        <v>32509</v>
      </c>
      <c r="B362">
        <v>1561</v>
      </c>
      <c r="C362">
        <v>1621</v>
      </c>
      <c r="D362">
        <v>1466</v>
      </c>
    </row>
    <row r="363" spans="1:4" x14ac:dyDescent="0.2">
      <c r="A363" s="48">
        <v>32540</v>
      </c>
      <c r="B363">
        <v>1597</v>
      </c>
      <c r="C363">
        <v>1425</v>
      </c>
      <c r="D363">
        <v>1383</v>
      </c>
    </row>
    <row r="364" spans="1:4" x14ac:dyDescent="0.2">
      <c r="A364" s="48">
        <v>32568</v>
      </c>
      <c r="B364">
        <v>1442</v>
      </c>
      <c r="C364">
        <v>1422</v>
      </c>
      <c r="D364">
        <v>1214</v>
      </c>
    </row>
    <row r="365" spans="1:4" x14ac:dyDescent="0.2">
      <c r="A365" s="48">
        <v>32599</v>
      </c>
      <c r="B365">
        <v>1542</v>
      </c>
      <c r="C365">
        <v>1339</v>
      </c>
      <c r="D365">
        <v>1376</v>
      </c>
    </row>
    <row r="366" spans="1:4" x14ac:dyDescent="0.2">
      <c r="A366" s="48">
        <v>32629</v>
      </c>
      <c r="B366">
        <v>1449</v>
      </c>
      <c r="C366">
        <v>1331</v>
      </c>
      <c r="D366">
        <v>1381</v>
      </c>
    </row>
    <row r="367" spans="1:4" x14ac:dyDescent="0.2">
      <c r="A367" s="48">
        <v>32660</v>
      </c>
      <c r="B367">
        <v>1346</v>
      </c>
      <c r="C367">
        <v>1397</v>
      </c>
      <c r="D367">
        <v>1322</v>
      </c>
    </row>
    <row r="368" spans="1:4" x14ac:dyDescent="0.2">
      <c r="A368" s="48">
        <v>32690</v>
      </c>
      <c r="B368">
        <v>1386</v>
      </c>
      <c r="C368">
        <v>1427</v>
      </c>
      <c r="D368">
        <v>1283</v>
      </c>
    </row>
    <row r="369" spans="1:4" x14ac:dyDescent="0.2">
      <c r="A369" s="48">
        <v>32721</v>
      </c>
      <c r="B369">
        <v>1429</v>
      </c>
      <c r="C369">
        <v>1332</v>
      </c>
      <c r="D369">
        <v>1334</v>
      </c>
    </row>
    <row r="370" spans="1:4" x14ac:dyDescent="0.2">
      <c r="A370" s="48">
        <v>32752</v>
      </c>
      <c r="B370">
        <v>1338</v>
      </c>
      <c r="C370">
        <v>1279</v>
      </c>
      <c r="D370">
        <v>1314</v>
      </c>
    </row>
    <row r="371" spans="1:4" x14ac:dyDescent="0.2">
      <c r="A371" s="48">
        <v>32782</v>
      </c>
      <c r="B371">
        <v>1333</v>
      </c>
      <c r="C371">
        <v>1410</v>
      </c>
      <c r="D371">
        <v>1365</v>
      </c>
    </row>
    <row r="372" spans="1:4" x14ac:dyDescent="0.2">
      <c r="A372" s="48">
        <v>32813</v>
      </c>
      <c r="B372">
        <v>1475</v>
      </c>
      <c r="C372">
        <v>1351</v>
      </c>
      <c r="D372">
        <v>1344</v>
      </c>
    </row>
    <row r="373" spans="1:4" x14ac:dyDescent="0.2">
      <c r="A373" s="48">
        <v>32843</v>
      </c>
      <c r="B373">
        <v>1304</v>
      </c>
      <c r="C373">
        <v>1251</v>
      </c>
      <c r="D373">
        <v>1422</v>
      </c>
    </row>
    <row r="374" spans="1:4" x14ac:dyDescent="0.2">
      <c r="A374" s="48">
        <v>32874</v>
      </c>
      <c r="B374">
        <v>1508</v>
      </c>
      <c r="C374">
        <v>1551</v>
      </c>
      <c r="D374">
        <v>1748</v>
      </c>
    </row>
    <row r="375" spans="1:4" x14ac:dyDescent="0.2">
      <c r="A375" s="48">
        <v>32905</v>
      </c>
      <c r="B375">
        <v>1352</v>
      </c>
      <c r="C375">
        <v>1437</v>
      </c>
      <c r="D375">
        <v>1329</v>
      </c>
    </row>
    <row r="376" spans="1:4" x14ac:dyDescent="0.2">
      <c r="A376" s="48">
        <v>32933</v>
      </c>
      <c r="B376">
        <v>1345</v>
      </c>
      <c r="C376">
        <v>1289</v>
      </c>
      <c r="D376">
        <v>1246</v>
      </c>
    </row>
    <row r="377" spans="1:4" x14ac:dyDescent="0.2">
      <c r="A377" s="48">
        <v>32964</v>
      </c>
      <c r="B377">
        <v>1332</v>
      </c>
      <c r="C377">
        <v>1248</v>
      </c>
      <c r="D377">
        <v>1136</v>
      </c>
    </row>
    <row r="378" spans="1:4" x14ac:dyDescent="0.2">
      <c r="A378" s="48">
        <v>32994</v>
      </c>
      <c r="B378">
        <v>1351</v>
      </c>
      <c r="C378">
        <v>1212</v>
      </c>
      <c r="D378">
        <v>1067</v>
      </c>
    </row>
    <row r="379" spans="1:4" x14ac:dyDescent="0.2">
      <c r="A379" s="48">
        <v>33025</v>
      </c>
      <c r="B379">
        <v>1263</v>
      </c>
      <c r="C379">
        <v>1177</v>
      </c>
      <c r="D379">
        <v>1108</v>
      </c>
    </row>
    <row r="380" spans="1:4" x14ac:dyDescent="0.2">
      <c r="A380" s="48">
        <v>33055</v>
      </c>
      <c r="B380">
        <v>1295</v>
      </c>
      <c r="C380">
        <v>1171</v>
      </c>
      <c r="D380">
        <v>1078</v>
      </c>
    </row>
    <row r="381" spans="1:4" x14ac:dyDescent="0.2">
      <c r="A381" s="48">
        <v>33086</v>
      </c>
      <c r="B381">
        <v>1307</v>
      </c>
      <c r="C381">
        <v>1115</v>
      </c>
      <c r="D381">
        <v>1069</v>
      </c>
    </row>
    <row r="382" spans="1:4" x14ac:dyDescent="0.2">
      <c r="A382" s="48">
        <v>33117</v>
      </c>
      <c r="B382">
        <v>1312</v>
      </c>
      <c r="C382">
        <v>1110</v>
      </c>
      <c r="D382">
        <v>976</v>
      </c>
    </row>
    <row r="383" spans="1:4" x14ac:dyDescent="0.2">
      <c r="A383" s="48">
        <v>33147</v>
      </c>
      <c r="B383">
        <v>1282</v>
      </c>
      <c r="C383">
        <v>1014</v>
      </c>
      <c r="D383">
        <v>925</v>
      </c>
    </row>
    <row r="384" spans="1:4" x14ac:dyDescent="0.2">
      <c r="A384" s="48">
        <v>33178</v>
      </c>
      <c r="B384">
        <v>1248</v>
      </c>
      <c r="C384">
        <v>1145</v>
      </c>
      <c r="D384">
        <v>941</v>
      </c>
    </row>
    <row r="385" spans="1:4" x14ac:dyDescent="0.2">
      <c r="A385" s="48">
        <v>33208</v>
      </c>
      <c r="B385">
        <v>1173</v>
      </c>
      <c r="C385">
        <v>969</v>
      </c>
      <c r="D385">
        <v>861</v>
      </c>
    </row>
    <row r="386" spans="1:4" x14ac:dyDescent="0.2">
      <c r="A386" s="48">
        <v>33239</v>
      </c>
      <c r="B386">
        <v>1149</v>
      </c>
      <c r="C386">
        <v>798</v>
      </c>
      <c r="D386">
        <v>786</v>
      </c>
    </row>
    <row r="387" spans="1:4" x14ac:dyDescent="0.2">
      <c r="A387" s="48">
        <v>33270</v>
      </c>
      <c r="B387">
        <v>1090</v>
      </c>
      <c r="C387">
        <v>965</v>
      </c>
      <c r="D387">
        <v>853</v>
      </c>
    </row>
    <row r="388" spans="1:4" x14ac:dyDescent="0.2">
      <c r="A388" s="48">
        <v>33298</v>
      </c>
      <c r="B388">
        <v>1176</v>
      </c>
      <c r="C388">
        <v>921</v>
      </c>
      <c r="D388">
        <v>911</v>
      </c>
    </row>
    <row r="389" spans="1:4" x14ac:dyDescent="0.2">
      <c r="A389" s="48">
        <v>33329</v>
      </c>
      <c r="B389">
        <v>1093</v>
      </c>
      <c r="C389">
        <v>1001</v>
      </c>
      <c r="D389">
        <v>916</v>
      </c>
    </row>
    <row r="390" spans="1:4" x14ac:dyDescent="0.2">
      <c r="A390" s="48">
        <v>33359</v>
      </c>
      <c r="B390">
        <v>1070</v>
      </c>
      <c r="C390">
        <v>996</v>
      </c>
      <c r="D390">
        <v>991</v>
      </c>
    </row>
    <row r="391" spans="1:4" x14ac:dyDescent="0.2">
      <c r="A391" s="48">
        <v>33390</v>
      </c>
      <c r="B391">
        <v>1093</v>
      </c>
      <c r="C391">
        <v>1036</v>
      </c>
      <c r="D391">
        <v>964</v>
      </c>
    </row>
    <row r="392" spans="1:4" x14ac:dyDescent="0.2">
      <c r="A392" s="48">
        <v>33420</v>
      </c>
      <c r="B392">
        <v>1076</v>
      </c>
      <c r="C392">
        <v>1063</v>
      </c>
      <c r="D392">
        <v>973</v>
      </c>
    </row>
    <row r="393" spans="1:4" x14ac:dyDescent="0.2">
      <c r="A393" s="48">
        <v>33451</v>
      </c>
      <c r="B393">
        <v>1050</v>
      </c>
      <c r="C393">
        <v>1049</v>
      </c>
      <c r="D393">
        <v>944</v>
      </c>
    </row>
    <row r="394" spans="1:4" x14ac:dyDescent="0.2">
      <c r="A394" s="48">
        <v>33482</v>
      </c>
      <c r="B394">
        <v>1216</v>
      </c>
      <c r="C394">
        <v>1015</v>
      </c>
      <c r="D394">
        <v>974</v>
      </c>
    </row>
    <row r="395" spans="1:4" x14ac:dyDescent="0.2">
      <c r="A395" s="48">
        <v>33512</v>
      </c>
      <c r="B395">
        <v>1076</v>
      </c>
      <c r="C395">
        <v>1079</v>
      </c>
      <c r="D395">
        <v>991</v>
      </c>
    </row>
    <row r="396" spans="1:4" x14ac:dyDescent="0.2">
      <c r="A396" s="48">
        <v>33543</v>
      </c>
      <c r="B396">
        <v>1013</v>
      </c>
      <c r="C396">
        <v>1103</v>
      </c>
      <c r="D396">
        <v>984</v>
      </c>
    </row>
    <row r="397" spans="1:4" x14ac:dyDescent="0.2">
      <c r="A397" s="48">
        <v>33573</v>
      </c>
      <c r="B397">
        <v>1002</v>
      </c>
      <c r="C397">
        <v>1079</v>
      </c>
      <c r="D397">
        <v>1061</v>
      </c>
    </row>
    <row r="398" spans="1:4" x14ac:dyDescent="0.2">
      <c r="A398" s="48">
        <v>33604</v>
      </c>
      <c r="B398">
        <v>1061</v>
      </c>
      <c r="C398">
        <v>1176</v>
      </c>
      <c r="D398">
        <v>1077</v>
      </c>
    </row>
    <row r="399" spans="1:4" x14ac:dyDescent="0.2">
      <c r="A399" s="48">
        <v>33635</v>
      </c>
      <c r="B399">
        <v>1098</v>
      </c>
      <c r="C399">
        <v>1250</v>
      </c>
      <c r="D399">
        <v>1146</v>
      </c>
    </row>
    <row r="400" spans="1:4" x14ac:dyDescent="0.2">
      <c r="A400" s="48">
        <v>33664</v>
      </c>
      <c r="B400">
        <v>1128</v>
      </c>
      <c r="C400">
        <v>1297</v>
      </c>
      <c r="D400">
        <v>1082</v>
      </c>
    </row>
    <row r="401" spans="1:4" x14ac:dyDescent="0.2">
      <c r="A401" s="48">
        <v>33695</v>
      </c>
      <c r="B401">
        <v>1083</v>
      </c>
      <c r="C401">
        <v>1099</v>
      </c>
      <c r="D401">
        <v>1054</v>
      </c>
    </row>
    <row r="402" spans="1:4" x14ac:dyDescent="0.2">
      <c r="A402" s="48">
        <v>33725</v>
      </c>
      <c r="B402">
        <v>1187</v>
      </c>
      <c r="C402">
        <v>1214</v>
      </c>
      <c r="D402">
        <v>1056</v>
      </c>
    </row>
    <row r="403" spans="1:4" x14ac:dyDescent="0.2">
      <c r="A403" s="48">
        <v>33756</v>
      </c>
      <c r="B403">
        <v>1189</v>
      </c>
      <c r="C403">
        <v>1145</v>
      </c>
      <c r="D403">
        <v>1057</v>
      </c>
    </row>
    <row r="404" spans="1:4" x14ac:dyDescent="0.2">
      <c r="A404" s="48">
        <v>33786</v>
      </c>
      <c r="B404">
        <v>1251</v>
      </c>
      <c r="C404">
        <v>1139</v>
      </c>
      <c r="D404">
        <v>1089</v>
      </c>
    </row>
    <row r="405" spans="1:4" x14ac:dyDescent="0.2">
      <c r="A405" s="48">
        <v>33817</v>
      </c>
      <c r="B405">
        <v>1140</v>
      </c>
      <c r="C405">
        <v>1226</v>
      </c>
      <c r="D405">
        <v>1075</v>
      </c>
    </row>
    <row r="406" spans="1:4" x14ac:dyDescent="0.2">
      <c r="A406" s="48">
        <v>33848</v>
      </c>
      <c r="B406">
        <v>1123</v>
      </c>
      <c r="C406">
        <v>1186</v>
      </c>
      <c r="D406">
        <v>1114</v>
      </c>
    </row>
    <row r="407" spans="1:4" x14ac:dyDescent="0.2">
      <c r="A407" s="48">
        <v>33878</v>
      </c>
      <c r="B407">
        <v>1139</v>
      </c>
      <c r="C407">
        <v>1244</v>
      </c>
      <c r="D407">
        <v>1132</v>
      </c>
    </row>
    <row r="408" spans="1:4" x14ac:dyDescent="0.2">
      <c r="A408" s="48">
        <v>33909</v>
      </c>
      <c r="B408">
        <v>1224</v>
      </c>
      <c r="C408">
        <v>1214</v>
      </c>
      <c r="D408">
        <v>1118</v>
      </c>
    </row>
    <row r="409" spans="1:4" x14ac:dyDescent="0.2">
      <c r="A409" s="48">
        <v>33939</v>
      </c>
      <c r="B409">
        <v>1199</v>
      </c>
      <c r="C409">
        <v>1227</v>
      </c>
      <c r="D409">
        <v>1176</v>
      </c>
    </row>
    <row r="410" spans="1:4" x14ac:dyDescent="0.2">
      <c r="A410" s="48">
        <v>33970</v>
      </c>
      <c r="B410">
        <v>1135</v>
      </c>
      <c r="C410">
        <v>1210</v>
      </c>
      <c r="D410">
        <v>1177</v>
      </c>
    </row>
    <row r="411" spans="1:4" x14ac:dyDescent="0.2">
      <c r="A411" s="48">
        <v>34001</v>
      </c>
      <c r="B411">
        <v>1236</v>
      </c>
      <c r="C411">
        <v>1210</v>
      </c>
      <c r="D411">
        <v>1148</v>
      </c>
    </row>
    <row r="412" spans="1:4" x14ac:dyDescent="0.2">
      <c r="A412" s="48">
        <v>34029</v>
      </c>
      <c r="B412">
        <v>1105</v>
      </c>
      <c r="C412">
        <v>1083</v>
      </c>
      <c r="D412">
        <v>1056</v>
      </c>
    </row>
    <row r="413" spans="1:4" x14ac:dyDescent="0.2">
      <c r="A413" s="48">
        <v>34060</v>
      </c>
      <c r="B413">
        <v>1216</v>
      </c>
      <c r="C413">
        <v>1258</v>
      </c>
      <c r="D413">
        <v>1104</v>
      </c>
    </row>
    <row r="414" spans="1:4" x14ac:dyDescent="0.2">
      <c r="A414" s="48">
        <v>34090</v>
      </c>
      <c r="B414">
        <v>1111</v>
      </c>
      <c r="C414">
        <v>1260</v>
      </c>
      <c r="D414">
        <v>1112</v>
      </c>
    </row>
    <row r="415" spans="1:4" x14ac:dyDescent="0.2">
      <c r="A415" s="48">
        <v>34121</v>
      </c>
      <c r="B415">
        <v>1193</v>
      </c>
      <c r="C415">
        <v>1280</v>
      </c>
      <c r="D415">
        <v>1130</v>
      </c>
    </row>
    <row r="416" spans="1:4" x14ac:dyDescent="0.2">
      <c r="A416" s="48">
        <v>34151</v>
      </c>
      <c r="B416">
        <v>1090</v>
      </c>
      <c r="C416">
        <v>1254</v>
      </c>
      <c r="D416">
        <v>1174</v>
      </c>
    </row>
    <row r="417" spans="1:4" x14ac:dyDescent="0.2">
      <c r="A417" s="48">
        <v>34182</v>
      </c>
      <c r="B417">
        <v>1264</v>
      </c>
      <c r="C417">
        <v>1300</v>
      </c>
      <c r="D417">
        <v>1230</v>
      </c>
    </row>
    <row r="418" spans="1:4" x14ac:dyDescent="0.2">
      <c r="A418" s="48">
        <v>34213</v>
      </c>
      <c r="B418">
        <v>1172</v>
      </c>
      <c r="C418">
        <v>1343</v>
      </c>
      <c r="D418">
        <v>1251</v>
      </c>
    </row>
    <row r="419" spans="1:4" x14ac:dyDescent="0.2">
      <c r="A419" s="48">
        <v>34243</v>
      </c>
      <c r="B419">
        <v>1246</v>
      </c>
      <c r="C419">
        <v>1392</v>
      </c>
      <c r="D419">
        <v>1287</v>
      </c>
    </row>
    <row r="420" spans="1:4" x14ac:dyDescent="0.2">
      <c r="A420" s="48">
        <v>34274</v>
      </c>
      <c r="B420">
        <v>1235</v>
      </c>
      <c r="C420">
        <v>1376</v>
      </c>
      <c r="D420">
        <v>1357</v>
      </c>
    </row>
    <row r="421" spans="1:4" x14ac:dyDescent="0.2">
      <c r="A421" s="48">
        <v>34304</v>
      </c>
      <c r="B421">
        <v>1289</v>
      </c>
      <c r="C421">
        <v>1533</v>
      </c>
      <c r="D421">
        <v>1461</v>
      </c>
    </row>
    <row r="422" spans="1:4" x14ac:dyDescent="0.2">
      <c r="A422" s="48">
        <v>34335</v>
      </c>
      <c r="B422">
        <v>1228</v>
      </c>
      <c r="C422">
        <v>1272</v>
      </c>
      <c r="D422">
        <v>1390</v>
      </c>
    </row>
    <row r="423" spans="1:4" x14ac:dyDescent="0.2">
      <c r="A423" s="48">
        <v>34366</v>
      </c>
      <c r="B423">
        <v>1353</v>
      </c>
      <c r="C423">
        <v>1337</v>
      </c>
      <c r="D423">
        <v>1269</v>
      </c>
    </row>
    <row r="424" spans="1:4" x14ac:dyDescent="0.2">
      <c r="A424" s="48">
        <v>34394</v>
      </c>
      <c r="B424">
        <v>1257</v>
      </c>
      <c r="C424">
        <v>1564</v>
      </c>
      <c r="D424">
        <v>1342</v>
      </c>
    </row>
    <row r="425" spans="1:4" x14ac:dyDescent="0.2">
      <c r="A425" s="48">
        <v>34425</v>
      </c>
      <c r="B425">
        <v>1374</v>
      </c>
      <c r="C425">
        <v>1465</v>
      </c>
      <c r="D425">
        <v>1392</v>
      </c>
    </row>
    <row r="426" spans="1:4" x14ac:dyDescent="0.2">
      <c r="A426" s="48">
        <v>34455</v>
      </c>
      <c r="B426">
        <v>1430</v>
      </c>
      <c r="C426">
        <v>1526</v>
      </c>
      <c r="D426">
        <v>1396</v>
      </c>
    </row>
    <row r="427" spans="1:4" x14ac:dyDescent="0.2">
      <c r="A427" s="48">
        <v>34486</v>
      </c>
      <c r="B427">
        <v>1336</v>
      </c>
      <c r="C427">
        <v>1409</v>
      </c>
      <c r="D427">
        <v>1357</v>
      </c>
    </row>
    <row r="428" spans="1:4" x14ac:dyDescent="0.2">
      <c r="A428" s="48">
        <v>34516</v>
      </c>
      <c r="B428">
        <v>1281</v>
      </c>
      <c r="C428">
        <v>1439</v>
      </c>
      <c r="D428">
        <v>1335</v>
      </c>
    </row>
    <row r="429" spans="1:4" x14ac:dyDescent="0.2">
      <c r="A429" s="48">
        <v>34547</v>
      </c>
      <c r="B429">
        <v>1348</v>
      </c>
      <c r="C429">
        <v>1450</v>
      </c>
      <c r="D429">
        <v>1377</v>
      </c>
    </row>
    <row r="430" spans="1:4" x14ac:dyDescent="0.2">
      <c r="A430" s="48">
        <v>34578</v>
      </c>
      <c r="B430">
        <v>1414</v>
      </c>
      <c r="C430">
        <v>1474</v>
      </c>
      <c r="D430">
        <v>1412</v>
      </c>
    </row>
    <row r="431" spans="1:4" x14ac:dyDescent="0.2">
      <c r="A431" s="48">
        <v>34608</v>
      </c>
      <c r="B431">
        <v>1378</v>
      </c>
      <c r="C431">
        <v>1450</v>
      </c>
      <c r="D431">
        <v>1397</v>
      </c>
    </row>
    <row r="432" spans="1:4" x14ac:dyDescent="0.2">
      <c r="A432" s="48">
        <v>34639</v>
      </c>
      <c r="B432">
        <v>1365</v>
      </c>
      <c r="C432">
        <v>1511</v>
      </c>
      <c r="D432">
        <v>1340</v>
      </c>
    </row>
    <row r="433" spans="1:4" x14ac:dyDescent="0.2">
      <c r="A433" s="48">
        <v>34669</v>
      </c>
      <c r="B433">
        <v>1386</v>
      </c>
      <c r="C433">
        <v>1455</v>
      </c>
      <c r="D433">
        <v>1396</v>
      </c>
    </row>
    <row r="434" spans="1:4" x14ac:dyDescent="0.2">
      <c r="A434" s="48">
        <v>34700</v>
      </c>
      <c r="B434">
        <v>1423</v>
      </c>
      <c r="C434">
        <v>1407</v>
      </c>
      <c r="D434">
        <v>1282</v>
      </c>
    </row>
    <row r="435" spans="1:4" x14ac:dyDescent="0.2">
      <c r="A435" s="48">
        <v>34731</v>
      </c>
      <c r="B435">
        <v>1294</v>
      </c>
      <c r="C435">
        <v>1316</v>
      </c>
      <c r="D435">
        <v>1254</v>
      </c>
    </row>
    <row r="436" spans="1:4" x14ac:dyDescent="0.2">
      <c r="A436" s="48">
        <v>34759</v>
      </c>
      <c r="B436">
        <v>1413</v>
      </c>
      <c r="C436">
        <v>1249</v>
      </c>
      <c r="D436">
        <v>1226</v>
      </c>
    </row>
    <row r="437" spans="1:4" x14ac:dyDescent="0.2">
      <c r="A437" s="48">
        <v>34790</v>
      </c>
      <c r="B437">
        <v>1342</v>
      </c>
      <c r="C437">
        <v>1267</v>
      </c>
      <c r="D437">
        <v>1259</v>
      </c>
    </row>
    <row r="438" spans="1:4" x14ac:dyDescent="0.2">
      <c r="A438" s="48">
        <v>34820</v>
      </c>
      <c r="B438">
        <v>1326</v>
      </c>
      <c r="C438">
        <v>1314</v>
      </c>
      <c r="D438">
        <v>1271</v>
      </c>
    </row>
    <row r="439" spans="1:4" x14ac:dyDescent="0.2">
      <c r="A439" s="48">
        <v>34851</v>
      </c>
      <c r="B439">
        <v>1242</v>
      </c>
      <c r="C439">
        <v>1281</v>
      </c>
      <c r="D439">
        <v>1305</v>
      </c>
    </row>
    <row r="440" spans="1:4" x14ac:dyDescent="0.2">
      <c r="A440" s="48">
        <v>34881</v>
      </c>
      <c r="B440">
        <v>1352</v>
      </c>
      <c r="C440">
        <v>1461</v>
      </c>
      <c r="D440">
        <v>1354</v>
      </c>
    </row>
    <row r="441" spans="1:4" x14ac:dyDescent="0.2">
      <c r="A441" s="48">
        <v>34912</v>
      </c>
      <c r="B441">
        <v>1265</v>
      </c>
      <c r="C441">
        <v>1416</v>
      </c>
      <c r="D441">
        <v>1386</v>
      </c>
    </row>
    <row r="442" spans="1:4" x14ac:dyDescent="0.2">
      <c r="A442" s="48">
        <v>34943</v>
      </c>
      <c r="B442">
        <v>1279</v>
      </c>
      <c r="C442">
        <v>1369</v>
      </c>
      <c r="D442">
        <v>1421</v>
      </c>
    </row>
    <row r="443" spans="1:4" x14ac:dyDescent="0.2">
      <c r="A443" s="48">
        <v>34973</v>
      </c>
      <c r="B443">
        <v>1335</v>
      </c>
      <c r="C443">
        <v>1369</v>
      </c>
      <c r="D443">
        <v>1400</v>
      </c>
    </row>
    <row r="444" spans="1:4" x14ac:dyDescent="0.2">
      <c r="A444" s="48">
        <v>35004</v>
      </c>
      <c r="B444">
        <v>1360</v>
      </c>
      <c r="C444">
        <v>1452</v>
      </c>
      <c r="D444">
        <v>1430</v>
      </c>
    </row>
    <row r="445" spans="1:4" x14ac:dyDescent="0.2">
      <c r="A445" s="48">
        <v>35034</v>
      </c>
      <c r="B445">
        <v>1200</v>
      </c>
      <c r="C445">
        <v>1431</v>
      </c>
      <c r="D445">
        <v>1442</v>
      </c>
    </row>
    <row r="446" spans="1:4" x14ac:dyDescent="0.2">
      <c r="A446" s="48">
        <v>35065</v>
      </c>
      <c r="B446">
        <v>1402</v>
      </c>
      <c r="C446">
        <v>1467</v>
      </c>
      <c r="D446">
        <v>1387</v>
      </c>
    </row>
    <row r="447" spans="1:4" x14ac:dyDescent="0.2">
      <c r="A447" s="48">
        <v>35096</v>
      </c>
      <c r="B447">
        <v>1317</v>
      </c>
      <c r="C447">
        <v>1491</v>
      </c>
      <c r="D447">
        <v>1420</v>
      </c>
    </row>
    <row r="448" spans="1:4" x14ac:dyDescent="0.2">
      <c r="A448" s="48">
        <v>35125</v>
      </c>
      <c r="B448">
        <v>1369</v>
      </c>
      <c r="C448">
        <v>1424</v>
      </c>
      <c r="D448">
        <v>1437</v>
      </c>
    </row>
    <row r="449" spans="1:4" x14ac:dyDescent="0.2">
      <c r="A449" s="48">
        <v>35156</v>
      </c>
      <c r="B449">
        <v>1327</v>
      </c>
      <c r="C449">
        <v>1516</v>
      </c>
      <c r="D449">
        <v>1463</v>
      </c>
    </row>
    <row r="450" spans="1:4" x14ac:dyDescent="0.2">
      <c r="A450" s="48">
        <v>35186</v>
      </c>
      <c r="B450">
        <v>1423</v>
      </c>
      <c r="C450">
        <v>1504</v>
      </c>
      <c r="D450">
        <v>1457</v>
      </c>
    </row>
    <row r="451" spans="1:4" x14ac:dyDescent="0.2">
      <c r="A451" s="48">
        <v>35217</v>
      </c>
      <c r="B451">
        <v>1437</v>
      </c>
      <c r="C451">
        <v>1467</v>
      </c>
      <c r="D451">
        <v>1429</v>
      </c>
    </row>
    <row r="452" spans="1:4" x14ac:dyDescent="0.2">
      <c r="A452" s="48">
        <v>35247</v>
      </c>
      <c r="B452">
        <v>1453</v>
      </c>
      <c r="C452">
        <v>1472</v>
      </c>
      <c r="D452">
        <v>1450</v>
      </c>
    </row>
    <row r="453" spans="1:4" x14ac:dyDescent="0.2">
      <c r="A453" s="48">
        <v>35278</v>
      </c>
      <c r="B453">
        <v>1468</v>
      </c>
      <c r="C453">
        <v>1557</v>
      </c>
      <c r="D453">
        <v>1413</v>
      </c>
    </row>
    <row r="454" spans="1:4" x14ac:dyDescent="0.2">
      <c r="A454" s="48">
        <v>35309</v>
      </c>
      <c r="B454">
        <v>1379</v>
      </c>
      <c r="C454">
        <v>1475</v>
      </c>
      <c r="D454">
        <v>1392</v>
      </c>
    </row>
    <row r="455" spans="1:4" x14ac:dyDescent="0.2">
      <c r="A455" s="48">
        <v>35339</v>
      </c>
      <c r="B455">
        <v>1392</v>
      </c>
      <c r="C455">
        <v>1392</v>
      </c>
      <c r="D455">
        <v>1358</v>
      </c>
    </row>
    <row r="456" spans="1:4" x14ac:dyDescent="0.2">
      <c r="A456" s="48">
        <v>35370</v>
      </c>
      <c r="B456">
        <v>1413</v>
      </c>
      <c r="C456">
        <v>1489</v>
      </c>
      <c r="D456">
        <v>1412</v>
      </c>
    </row>
    <row r="457" spans="1:4" x14ac:dyDescent="0.2">
      <c r="A457" s="48">
        <v>35400</v>
      </c>
      <c r="B457">
        <v>1487</v>
      </c>
      <c r="C457">
        <v>1370</v>
      </c>
      <c r="D457">
        <v>1411</v>
      </c>
    </row>
    <row r="458" spans="1:4" x14ac:dyDescent="0.2">
      <c r="A458" s="48">
        <v>35431</v>
      </c>
      <c r="B458">
        <v>1377</v>
      </c>
      <c r="C458">
        <v>1355</v>
      </c>
      <c r="D458">
        <v>1382</v>
      </c>
    </row>
    <row r="459" spans="1:4" x14ac:dyDescent="0.2">
      <c r="A459" s="48">
        <v>35462</v>
      </c>
      <c r="B459">
        <v>1545</v>
      </c>
      <c r="C459">
        <v>1486</v>
      </c>
      <c r="D459">
        <v>1445</v>
      </c>
    </row>
    <row r="460" spans="1:4" x14ac:dyDescent="0.2">
      <c r="A460" s="48">
        <v>35490</v>
      </c>
      <c r="B460">
        <v>1445</v>
      </c>
      <c r="C460">
        <v>1457</v>
      </c>
      <c r="D460">
        <v>1436</v>
      </c>
    </row>
    <row r="461" spans="1:4" x14ac:dyDescent="0.2">
      <c r="A461" s="48">
        <v>35521</v>
      </c>
      <c r="B461">
        <v>1438</v>
      </c>
      <c r="C461">
        <v>1492</v>
      </c>
      <c r="D461">
        <v>1421</v>
      </c>
    </row>
    <row r="462" spans="1:4" x14ac:dyDescent="0.2">
      <c r="A462" s="48">
        <v>35551</v>
      </c>
      <c r="B462">
        <v>1400</v>
      </c>
      <c r="C462">
        <v>1442</v>
      </c>
      <c r="D462">
        <v>1414</v>
      </c>
    </row>
    <row r="463" spans="1:4" x14ac:dyDescent="0.2">
      <c r="A463" s="48">
        <v>35582</v>
      </c>
      <c r="B463">
        <v>1315</v>
      </c>
      <c r="C463">
        <v>1494</v>
      </c>
      <c r="D463">
        <v>1402</v>
      </c>
    </row>
    <row r="464" spans="1:4" x14ac:dyDescent="0.2">
      <c r="A464" s="48">
        <v>35612</v>
      </c>
      <c r="B464">
        <v>1313</v>
      </c>
      <c r="C464">
        <v>1437</v>
      </c>
      <c r="D464">
        <v>1440</v>
      </c>
    </row>
    <row r="465" spans="1:4" x14ac:dyDescent="0.2">
      <c r="A465" s="48">
        <v>35643</v>
      </c>
      <c r="B465">
        <v>1332</v>
      </c>
      <c r="C465">
        <v>1390</v>
      </c>
      <c r="D465">
        <v>1449</v>
      </c>
    </row>
    <row r="466" spans="1:4" x14ac:dyDescent="0.2">
      <c r="A466" s="48">
        <v>35674</v>
      </c>
      <c r="B466">
        <v>1442</v>
      </c>
      <c r="C466">
        <v>1546</v>
      </c>
      <c r="D466">
        <v>1494</v>
      </c>
    </row>
    <row r="467" spans="1:4" x14ac:dyDescent="0.2">
      <c r="A467" s="48">
        <v>35704</v>
      </c>
      <c r="B467">
        <v>1396</v>
      </c>
      <c r="C467">
        <v>1520</v>
      </c>
      <c r="D467">
        <v>1499</v>
      </c>
    </row>
    <row r="468" spans="1:4" x14ac:dyDescent="0.2">
      <c r="A468" s="48">
        <v>35735</v>
      </c>
      <c r="B468">
        <v>1420</v>
      </c>
      <c r="C468">
        <v>1510</v>
      </c>
      <c r="D468">
        <v>1469</v>
      </c>
    </row>
    <row r="469" spans="1:4" x14ac:dyDescent="0.2">
      <c r="A469" s="48">
        <v>35765</v>
      </c>
      <c r="B469">
        <v>1428</v>
      </c>
      <c r="C469">
        <v>1566</v>
      </c>
      <c r="D469">
        <v>1456</v>
      </c>
    </row>
    <row r="470" spans="1:4" x14ac:dyDescent="0.2">
      <c r="A470" s="48">
        <v>35796</v>
      </c>
      <c r="B470">
        <v>1316</v>
      </c>
      <c r="C470">
        <v>1525</v>
      </c>
      <c r="D470">
        <v>1555</v>
      </c>
    </row>
    <row r="471" spans="1:4" x14ac:dyDescent="0.2">
      <c r="A471" s="48">
        <v>35827</v>
      </c>
      <c r="B471">
        <v>1441</v>
      </c>
      <c r="C471">
        <v>1584</v>
      </c>
      <c r="D471">
        <v>1647</v>
      </c>
    </row>
    <row r="472" spans="1:4" x14ac:dyDescent="0.2">
      <c r="A472" s="48">
        <v>35855</v>
      </c>
      <c r="B472">
        <v>1477</v>
      </c>
      <c r="C472">
        <v>1567</v>
      </c>
      <c r="D472">
        <v>1605</v>
      </c>
    </row>
    <row r="473" spans="1:4" x14ac:dyDescent="0.2">
      <c r="A473" s="48">
        <v>35886</v>
      </c>
      <c r="B473">
        <v>1498</v>
      </c>
      <c r="C473">
        <v>1540</v>
      </c>
      <c r="D473">
        <v>1547</v>
      </c>
    </row>
    <row r="474" spans="1:4" x14ac:dyDescent="0.2">
      <c r="A474" s="48">
        <v>35916</v>
      </c>
      <c r="B474">
        <v>1465</v>
      </c>
      <c r="C474">
        <v>1536</v>
      </c>
      <c r="D474">
        <v>1554</v>
      </c>
    </row>
    <row r="475" spans="1:4" x14ac:dyDescent="0.2">
      <c r="A475" s="48">
        <v>35947</v>
      </c>
      <c r="B475">
        <v>1467</v>
      </c>
      <c r="C475">
        <v>1641</v>
      </c>
      <c r="D475">
        <v>1551</v>
      </c>
    </row>
    <row r="476" spans="1:4" x14ac:dyDescent="0.2">
      <c r="A476" s="48">
        <v>35977</v>
      </c>
      <c r="B476">
        <v>1552</v>
      </c>
      <c r="C476">
        <v>1698</v>
      </c>
      <c r="D476">
        <v>1610</v>
      </c>
    </row>
    <row r="477" spans="1:4" x14ac:dyDescent="0.2">
      <c r="A477" s="48">
        <v>36008</v>
      </c>
      <c r="B477">
        <v>1521</v>
      </c>
      <c r="C477">
        <v>1614</v>
      </c>
      <c r="D477">
        <v>1654</v>
      </c>
    </row>
    <row r="478" spans="1:4" x14ac:dyDescent="0.2">
      <c r="A478" s="48">
        <v>36039</v>
      </c>
      <c r="B478">
        <v>1452</v>
      </c>
      <c r="C478">
        <v>1582</v>
      </c>
      <c r="D478">
        <v>1577</v>
      </c>
    </row>
    <row r="479" spans="1:4" x14ac:dyDescent="0.2">
      <c r="A479" s="48">
        <v>36069</v>
      </c>
      <c r="B479">
        <v>1452</v>
      </c>
      <c r="C479">
        <v>1715</v>
      </c>
      <c r="D479">
        <v>1719</v>
      </c>
    </row>
    <row r="480" spans="1:4" x14ac:dyDescent="0.2">
      <c r="A480" s="48">
        <v>36100</v>
      </c>
      <c r="B480">
        <v>1604</v>
      </c>
      <c r="C480">
        <v>1660</v>
      </c>
      <c r="D480">
        <v>1672</v>
      </c>
    </row>
    <row r="481" spans="1:4" x14ac:dyDescent="0.2">
      <c r="A481" s="48">
        <v>36130</v>
      </c>
      <c r="B481">
        <v>1433</v>
      </c>
      <c r="C481">
        <v>1792</v>
      </c>
      <c r="D481">
        <v>1742</v>
      </c>
    </row>
    <row r="482" spans="1:4" x14ac:dyDescent="0.2">
      <c r="A482" s="48">
        <v>36161</v>
      </c>
      <c r="B482">
        <v>1599</v>
      </c>
      <c r="C482">
        <v>1748</v>
      </c>
      <c r="D482">
        <v>1732</v>
      </c>
    </row>
    <row r="483" spans="1:4" x14ac:dyDescent="0.2">
      <c r="A483" s="48">
        <v>36192</v>
      </c>
      <c r="B483">
        <v>1459</v>
      </c>
      <c r="C483">
        <v>1670</v>
      </c>
      <c r="D483">
        <v>1720</v>
      </c>
    </row>
    <row r="484" spans="1:4" x14ac:dyDescent="0.2">
      <c r="A484" s="48">
        <v>36220</v>
      </c>
      <c r="B484">
        <v>1673</v>
      </c>
      <c r="C484">
        <v>1710</v>
      </c>
      <c r="D484">
        <v>1665</v>
      </c>
    </row>
    <row r="485" spans="1:4" x14ac:dyDescent="0.2">
      <c r="A485" s="48">
        <v>36251</v>
      </c>
      <c r="B485">
        <v>1580</v>
      </c>
      <c r="C485">
        <v>1553</v>
      </c>
      <c r="D485">
        <v>1600</v>
      </c>
    </row>
    <row r="486" spans="1:4" x14ac:dyDescent="0.2">
      <c r="A486" s="48">
        <v>36281</v>
      </c>
      <c r="B486">
        <v>1623</v>
      </c>
      <c r="C486">
        <v>1611</v>
      </c>
      <c r="D486">
        <v>1640</v>
      </c>
    </row>
    <row r="487" spans="1:4" x14ac:dyDescent="0.2">
      <c r="A487" s="48">
        <v>36312</v>
      </c>
      <c r="B487">
        <v>1648</v>
      </c>
      <c r="C487">
        <v>1559</v>
      </c>
      <c r="D487">
        <v>1702</v>
      </c>
    </row>
    <row r="488" spans="1:4" x14ac:dyDescent="0.2">
      <c r="A488" s="48">
        <v>36342</v>
      </c>
      <c r="B488">
        <v>1597</v>
      </c>
      <c r="C488">
        <v>1669</v>
      </c>
      <c r="D488">
        <v>1682</v>
      </c>
    </row>
    <row r="489" spans="1:4" x14ac:dyDescent="0.2">
      <c r="A489" s="48">
        <v>36373</v>
      </c>
      <c r="B489">
        <v>1563</v>
      </c>
      <c r="C489">
        <v>1648</v>
      </c>
      <c r="D489">
        <v>1671</v>
      </c>
    </row>
    <row r="490" spans="1:4" x14ac:dyDescent="0.2">
      <c r="A490" s="48">
        <v>36404</v>
      </c>
      <c r="B490">
        <v>1643</v>
      </c>
      <c r="C490">
        <v>1635</v>
      </c>
      <c r="D490">
        <v>1551</v>
      </c>
    </row>
    <row r="491" spans="1:4" x14ac:dyDescent="0.2">
      <c r="A491" s="48">
        <v>36434</v>
      </c>
      <c r="B491">
        <v>1593</v>
      </c>
      <c r="C491">
        <v>1608</v>
      </c>
      <c r="D491">
        <v>1649</v>
      </c>
    </row>
    <row r="492" spans="1:4" x14ac:dyDescent="0.2">
      <c r="A492" s="48">
        <v>36465</v>
      </c>
      <c r="B492">
        <v>1596</v>
      </c>
      <c r="C492">
        <v>1648</v>
      </c>
      <c r="D492">
        <v>1672</v>
      </c>
    </row>
    <row r="493" spans="1:4" x14ac:dyDescent="0.2">
      <c r="A493" s="48">
        <v>36495</v>
      </c>
      <c r="B493">
        <v>1659</v>
      </c>
      <c r="C493">
        <v>1708</v>
      </c>
      <c r="D493">
        <v>1683</v>
      </c>
    </row>
    <row r="494" spans="1:4" x14ac:dyDescent="0.2">
      <c r="A494" s="48">
        <v>36526</v>
      </c>
      <c r="B494">
        <v>1574</v>
      </c>
      <c r="C494">
        <v>1636</v>
      </c>
      <c r="D494">
        <v>1727</v>
      </c>
    </row>
    <row r="495" spans="1:4" x14ac:dyDescent="0.2">
      <c r="A495" s="48">
        <v>36557</v>
      </c>
      <c r="B495">
        <v>1677</v>
      </c>
      <c r="C495">
        <v>1737</v>
      </c>
      <c r="D495">
        <v>1692</v>
      </c>
    </row>
    <row r="496" spans="1:4" x14ac:dyDescent="0.2">
      <c r="A496" s="48">
        <v>36586</v>
      </c>
      <c r="B496">
        <v>1704</v>
      </c>
      <c r="C496">
        <v>1604</v>
      </c>
      <c r="D496">
        <v>1651</v>
      </c>
    </row>
    <row r="497" spans="1:4" x14ac:dyDescent="0.2">
      <c r="A497" s="48">
        <v>36617</v>
      </c>
      <c r="B497">
        <v>1610</v>
      </c>
      <c r="C497">
        <v>1626</v>
      </c>
      <c r="D497">
        <v>1597</v>
      </c>
    </row>
    <row r="498" spans="1:4" x14ac:dyDescent="0.2">
      <c r="A498" s="48">
        <v>36647</v>
      </c>
      <c r="B498">
        <v>1682</v>
      </c>
      <c r="C498">
        <v>1575</v>
      </c>
      <c r="D498">
        <v>1543</v>
      </c>
    </row>
    <row r="499" spans="1:4" x14ac:dyDescent="0.2">
      <c r="A499" s="48">
        <v>36678</v>
      </c>
      <c r="B499">
        <v>1530</v>
      </c>
      <c r="C499">
        <v>1559</v>
      </c>
      <c r="D499">
        <v>1572</v>
      </c>
    </row>
    <row r="500" spans="1:4" x14ac:dyDescent="0.2">
      <c r="A500" s="48">
        <v>36708</v>
      </c>
      <c r="B500">
        <v>1495</v>
      </c>
      <c r="C500">
        <v>1463</v>
      </c>
      <c r="D500">
        <v>1542</v>
      </c>
    </row>
    <row r="501" spans="1:4" x14ac:dyDescent="0.2">
      <c r="A501" s="48">
        <v>36739</v>
      </c>
      <c r="B501">
        <v>1573</v>
      </c>
      <c r="C501">
        <v>1541</v>
      </c>
      <c r="D501">
        <v>1552</v>
      </c>
    </row>
    <row r="502" spans="1:4" x14ac:dyDescent="0.2">
      <c r="A502" s="48">
        <v>36770</v>
      </c>
      <c r="B502">
        <v>1528</v>
      </c>
      <c r="C502">
        <v>1507</v>
      </c>
      <c r="D502">
        <v>1570</v>
      </c>
    </row>
    <row r="503" spans="1:4" x14ac:dyDescent="0.2">
      <c r="A503" s="48">
        <v>36800</v>
      </c>
      <c r="B503">
        <v>1513</v>
      </c>
      <c r="C503">
        <v>1549</v>
      </c>
      <c r="D503">
        <v>1577</v>
      </c>
    </row>
    <row r="504" spans="1:4" x14ac:dyDescent="0.2">
      <c r="A504" s="48">
        <v>36831</v>
      </c>
      <c r="B504">
        <v>1539</v>
      </c>
      <c r="C504">
        <v>1551</v>
      </c>
      <c r="D504">
        <v>1614</v>
      </c>
    </row>
    <row r="505" spans="1:4" x14ac:dyDescent="0.2">
      <c r="A505" s="48">
        <v>36861</v>
      </c>
      <c r="B505">
        <v>1521</v>
      </c>
      <c r="C505">
        <v>1532</v>
      </c>
      <c r="D505">
        <v>1543</v>
      </c>
    </row>
    <row r="506" spans="1:4" x14ac:dyDescent="0.2">
      <c r="A506" s="48">
        <v>36892</v>
      </c>
      <c r="B506">
        <v>1456</v>
      </c>
      <c r="C506">
        <v>1600</v>
      </c>
      <c r="D506">
        <v>1699</v>
      </c>
    </row>
    <row r="507" spans="1:4" x14ac:dyDescent="0.2">
      <c r="A507" s="48">
        <v>36923</v>
      </c>
      <c r="B507">
        <v>1536</v>
      </c>
      <c r="C507">
        <v>1625</v>
      </c>
      <c r="D507">
        <v>1656</v>
      </c>
    </row>
    <row r="508" spans="1:4" x14ac:dyDescent="0.2">
      <c r="A508" s="48">
        <v>36951</v>
      </c>
      <c r="B508">
        <v>1470</v>
      </c>
      <c r="C508">
        <v>1590</v>
      </c>
      <c r="D508">
        <v>1659</v>
      </c>
    </row>
    <row r="509" spans="1:4" x14ac:dyDescent="0.2">
      <c r="A509" s="48">
        <v>36982</v>
      </c>
      <c r="B509">
        <v>1574</v>
      </c>
      <c r="C509">
        <v>1649</v>
      </c>
      <c r="D509">
        <v>1666</v>
      </c>
    </row>
    <row r="510" spans="1:4" x14ac:dyDescent="0.2">
      <c r="A510" s="48">
        <v>37012</v>
      </c>
      <c r="B510">
        <v>1497</v>
      </c>
      <c r="C510">
        <v>1605</v>
      </c>
      <c r="D510">
        <v>1665</v>
      </c>
    </row>
    <row r="511" spans="1:4" x14ac:dyDescent="0.2">
      <c r="A511" s="48">
        <v>37043</v>
      </c>
      <c r="B511">
        <v>1654</v>
      </c>
      <c r="C511">
        <v>1636</v>
      </c>
      <c r="D511">
        <v>1626</v>
      </c>
    </row>
    <row r="512" spans="1:4" x14ac:dyDescent="0.2">
      <c r="A512" s="48">
        <v>37073</v>
      </c>
      <c r="B512">
        <v>1582</v>
      </c>
      <c r="C512">
        <v>1670</v>
      </c>
      <c r="D512">
        <v>1598</v>
      </c>
    </row>
    <row r="513" spans="1:4" x14ac:dyDescent="0.2">
      <c r="A513" s="48">
        <v>37104</v>
      </c>
      <c r="B513">
        <v>1615</v>
      </c>
      <c r="C513">
        <v>1567</v>
      </c>
      <c r="D513">
        <v>1615</v>
      </c>
    </row>
    <row r="514" spans="1:4" x14ac:dyDescent="0.2">
      <c r="A514" s="48">
        <v>37135</v>
      </c>
      <c r="B514">
        <v>1551</v>
      </c>
      <c r="C514">
        <v>1562</v>
      </c>
      <c r="D514">
        <v>1565</v>
      </c>
    </row>
    <row r="515" spans="1:4" x14ac:dyDescent="0.2">
      <c r="A515" s="48">
        <v>37165</v>
      </c>
      <c r="B515">
        <v>1599</v>
      </c>
      <c r="C515">
        <v>1540</v>
      </c>
      <c r="D515">
        <v>1566</v>
      </c>
    </row>
    <row r="516" spans="1:4" x14ac:dyDescent="0.2">
      <c r="A516" s="48">
        <v>37196</v>
      </c>
      <c r="B516">
        <v>1555</v>
      </c>
      <c r="C516">
        <v>1602</v>
      </c>
      <c r="D516">
        <v>1651</v>
      </c>
    </row>
    <row r="517" spans="1:4" x14ac:dyDescent="0.2">
      <c r="A517" s="48">
        <v>37226</v>
      </c>
      <c r="B517">
        <v>1693</v>
      </c>
      <c r="C517">
        <v>1568</v>
      </c>
      <c r="D517">
        <v>1680</v>
      </c>
    </row>
    <row r="518" spans="1:4" x14ac:dyDescent="0.2">
      <c r="A518" s="48">
        <v>37257</v>
      </c>
      <c r="B518">
        <v>1632</v>
      </c>
      <c r="C518">
        <v>1698</v>
      </c>
      <c r="D518">
        <v>1665</v>
      </c>
    </row>
    <row r="519" spans="1:4" x14ac:dyDescent="0.2">
      <c r="A519" s="48">
        <v>37288</v>
      </c>
      <c r="B519">
        <v>1671</v>
      </c>
      <c r="C519">
        <v>1829</v>
      </c>
      <c r="D519">
        <v>1787</v>
      </c>
    </row>
    <row r="520" spans="1:4" x14ac:dyDescent="0.2">
      <c r="A520" s="48">
        <v>37316</v>
      </c>
      <c r="B520">
        <v>1559</v>
      </c>
      <c r="C520">
        <v>1642</v>
      </c>
      <c r="D520">
        <v>1691</v>
      </c>
    </row>
    <row r="521" spans="1:4" x14ac:dyDescent="0.2">
      <c r="A521" s="48">
        <v>37347</v>
      </c>
      <c r="B521">
        <v>1625</v>
      </c>
      <c r="C521">
        <v>1592</v>
      </c>
      <c r="D521">
        <v>1669</v>
      </c>
    </row>
    <row r="522" spans="1:4" x14ac:dyDescent="0.2">
      <c r="A522" s="48">
        <v>37377</v>
      </c>
      <c r="B522">
        <v>1705</v>
      </c>
      <c r="C522">
        <v>1764</v>
      </c>
      <c r="D522">
        <v>1716</v>
      </c>
    </row>
    <row r="523" spans="1:4" x14ac:dyDescent="0.2">
      <c r="A523" s="48">
        <v>37408</v>
      </c>
      <c r="B523">
        <v>1589</v>
      </c>
      <c r="C523">
        <v>1717</v>
      </c>
      <c r="D523">
        <v>1758</v>
      </c>
    </row>
    <row r="524" spans="1:4" x14ac:dyDescent="0.2">
      <c r="A524" s="48">
        <v>37438</v>
      </c>
      <c r="B524">
        <v>1615</v>
      </c>
      <c r="C524">
        <v>1655</v>
      </c>
      <c r="D524">
        <v>1738</v>
      </c>
    </row>
    <row r="525" spans="1:4" x14ac:dyDescent="0.2">
      <c r="A525" s="48">
        <v>37469</v>
      </c>
      <c r="B525">
        <v>1722</v>
      </c>
      <c r="C525">
        <v>1633</v>
      </c>
      <c r="D525">
        <v>1695</v>
      </c>
    </row>
    <row r="526" spans="1:4" x14ac:dyDescent="0.2">
      <c r="A526" s="48">
        <v>37500</v>
      </c>
      <c r="B526">
        <v>1641</v>
      </c>
      <c r="C526">
        <v>1804</v>
      </c>
      <c r="D526">
        <v>1803</v>
      </c>
    </row>
    <row r="527" spans="1:4" x14ac:dyDescent="0.2">
      <c r="A527" s="48">
        <v>37530</v>
      </c>
      <c r="B527">
        <v>1601</v>
      </c>
      <c r="C527">
        <v>1648</v>
      </c>
      <c r="D527">
        <v>1799</v>
      </c>
    </row>
    <row r="528" spans="1:4" x14ac:dyDescent="0.2">
      <c r="A528" s="48">
        <v>37561</v>
      </c>
      <c r="B528">
        <v>1718</v>
      </c>
      <c r="C528">
        <v>1753</v>
      </c>
      <c r="D528">
        <v>1771</v>
      </c>
    </row>
    <row r="529" spans="1:4" x14ac:dyDescent="0.2">
      <c r="A529" s="48">
        <v>37591</v>
      </c>
      <c r="B529">
        <v>1671</v>
      </c>
      <c r="C529">
        <v>1788</v>
      </c>
      <c r="D529">
        <v>1896</v>
      </c>
    </row>
    <row r="530" spans="1:4" x14ac:dyDescent="0.2">
      <c r="A530" s="48">
        <v>37622</v>
      </c>
      <c r="B530">
        <v>1654</v>
      </c>
      <c r="C530">
        <v>1853</v>
      </c>
      <c r="D530">
        <v>1808</v>
      </c>
    </row>
    <row r="531" spans="1:4" x14ac:dyDescent="0.2">
      <c r="A531" s="48">
        <v>37653</v>
      </c>
      <c r="B531">
        <v>1688</v>
      </c>
      <c r="C531">
        <v>1629</v>
      </c>
      <c r="D531">
        <v>1854</v>
      </c>
    </row>
    <row r="532" spans="1:4" x14ac:dyDescent="0.2">
      <c r="A532" s="48">
        <v>37681</v>
      </c>
      <c r="B532">
        <v>1638</v>
      </c>
      <c r="C532">
        <v>1726</v>
      </c>
      <c r="D532">
        <v>1757</v>
      </c>
    </row>
    <row r="533" spans="1:4" x14ac:dyDescent="0.2">
      <c r="A533" s="48">
        <v>37712</v>
      </c>
      <c r="B533">
        <v>1662</v>
      </c>
      <c r="C533">
        <v>1643</v>
      </c>
      <c r="D533">
        <v>1803</v>
      </c>
    </row>
    <row r="534" spans="1:4" x14ac:dyDescent="0.2">
      <c r="A534" s="48">
        <v>37742</v>
      </c>
      <c r="B534">
        <v>1733</v>
      </c>
      <c r="C534">
        <v>1751</v>
      </c>
      <c r="D534">
        <v>1835</v>
      </c>
    </row>
    <row r="535" spans="1:4" x14ac:dyDescent="0.2">
      <c r="A535" s="48">
        <v>37773</v>
      </c>
      <c r="B535">
        <v>1641</v>
      </c>
      <c r="C535">
        <v>1867</v>
      </c>
      <c r="D535">
        <v>1875</v>
      </c>
    </row>
    <row r="536" spans="1:4" x14ac:dyDescent="0.2">
      <c r="A536" s="48">
        <v>37803</v>
      </c>
      <c r="B536">
        <v>1680</v>
      </c>
      <c r="C536">
        <v>1897</v>
      </c>
      <c r="D536">
        <v>1885</v>
      </c>
    </row>
    <row r="537" spans="1:4" x14ac:dyDescent="0.2">
      <c r="A537" s="48">
        <v>37834</v>
      </c>
      <c r="B537">
        <v>1570</v>
      </c>
      <c r="C537">
        <v>1833</v>
      </c>
      <c r="D537">
        <v>1966</v>
      </c>
    </row>
    <row r="538" spans="1:4" x14ac:dyDescent="0.2">
      <c r="A538" s="48">
        <v>37865</v>
      </c>
      <c r="B538">
        <v>1719</v>
      </c>
      <c r="C538">
        <v>1939</v>
      </c>
      <c r="D538">
        <v>1961</v>
      </c>
    </row>
    <row r="539" spans="1:4" x14ac:dyDescent="0.2">
      <c r="A539" s="48">
        <v>37895</v>
      </c>
      <c r="B539">
        <v>1728</v>
      </c>
      <c r="C539">
        <v>1967</v>
      </c>
      <c r="D539">
        <v>2012</v>
      </c>
    </row>
    <row r="540" spans="1:4" x14ac:dyDescent="0.2">
      <c r="A540" s="48">
        <v>37926</v>
      </c>
      <c r="B540">
        <v>1692</v>
      </c>
      <c r="C540">
        <v>2083</v>
      </c>
      <c r="D540">
        <v>1918</v>
      </c>
    </row>
    <row r="541" spans="1:4" x14ac:dyDescent="0.2">
      <c r="A541" s="48">
        <v>37956</v>
      </c>
      <c r="B541">
        <v>1716</v>
      </c>
      <c r="C541">
        <v>2057</v>
      </c>
      <c r="D541">
        <v>1987</v>
      </c>
    </row>
    <row r="542" spans="1:4" x14ac:dyDescent="0.2">
      <c r="A542" s="48">
        <v>37987</v>
      </c>
      <c r="B542">
        <v>1709</v>
      </c>
      <c r="C542">
        <v>1911</v>
      </c>
      <c r="D542">
        <v>1952</v>
      </c>
    </row>
    <row r="543" spans="1:4" x14ac:dyDescent="0.2">
      <c r="A543" s="48">
        <v>38018</v>
      </c>
      <c r="B543">
        <v>1718</v>
      </c>
      <c r="C543">
        <v>1846</v>
      </c>
      <c r="D543">
        <v>1966</v>
      </c>
    </row>
    <row r="544" spans="1:4" x14ac:dyDescent="0.2">
      <c r="A544" s="48">
        <v>38047</v>
      </c>
      <c r="B544">
        <v>1794</v>
      </c>
      <c r="C544">
        <v>1998</v>
      </c>
      <c r="D544">
        <v>2066</v>
      </c>
    </row>
    <row r="545" spans="1:4" x14ac:dyDescent="0.2">
      <c r="A545" s="48">
        <v>38078</v>
      </c>
      <c r="B545">
        <v>1938</v>
      </c>
      <c r="C545">
        <v>2003</v>
      </c>
      <c r="D545">
        <v>2070</v>
      </c>
    </row>
    <row r="546" spans="1:4" x14ac:dyDescent="0.2">
      <c r="A546" s="48">
        <v>38108</v>
      </c>
      <c r="B546">
        <v>1893</v>
      </c>
      <c r="C546">
        <v>1981</v>
      </c>
      <c r="D546">
        <v>2150</v>
      </c>
    </row>
    <row r="547" spans="1:4" x14ac:dyDescent="0.2">
      <c r="A547" s="48">
        <v>38139</v>
      </c>
      <c r="B547">
        <v>1857</v>
      </c>
      <c r="C547">
        <v>1828</v>
      </c>
      <c r="D547">
        <v>2020</v>
      </c>
    </row>
    <row r="548" spans="1:4" x14ac:dyDescent="0.2">
      <c r="A548" s="48">
        <v>38169</v>
      </c>
      <c r="B548">
        <v>1881</v>
      </c>
      <c r="C548">
        <v>2002</v>
      </c>
      <c r="D548">
        <v>2112</v>
      </c>
    </row>
    <row r="549" spans="1:4" x14ac:dyDescent="0.2">
      <c r="A549" s="48">
        <v>38200</v>
      </c>
      <c r="B549">
        <v>1911</v>
      </c>
      <c r="C549">
        <v>2024</v>
      </c>
      <c r="D549">
        <v>2056</v>
      </c>
    </row>
    <row r="550" spans="1:4" x14ac:dyDescent="0.2">
      <c r="A550" s="48">
        <v>38231</v>
      </c>
      <c r="B550">
        <v>1796</v>
      </c>
      <c r="C550">
        <v>1905</v>
      </c>
      <c r="D550">
        <v>2041</v>
      </c>
    </row>
    <row r="551" spans="1:4" x14ac:dyDescent="0.2">
      <c r="A551" s="48">
        <v>38261</v>
      </c>
      <c r="B551">
        <v>1839</v>
      </c>
      <c r="C551">
        <v>2072</v>
      </c>
      <c r="D551">
        <v>2097</v>
      </c>
    </row>
    <row r="552" spans="1:4" x14ac:dyDescent="0.2">
      <c r="A552" s="48">
        <v>38292</v>
      </c>
      <c r="B552">
        <v>1758</v>
      </c>
      <c r="C552">
        <v>1782</v>
      </c>
      <c r="D552">
        <v>2079</v>
      </c>
    </row>
    <row r="553" spans="1:4" x14ac:dyDescent="0.2">
      <c r="A553" s="48">
        <v>38322</v>
      </c>
      <c r="B553">
        <v>1921</v>
      </c>
      <c r="C553">
        <v>2042</v>
      </c>
      <c r="D553">
        <v>2082</v>
      </c>
    </row>
    <row r="554" spans="1:4" x14ac:dyDescent="0.2">
      <c r="A554" s="48">
        <v>38353</v>
      </c>
      <c r="B554">
        <v>1892</v>
      </c>
      <c r="C554">
        <v>2144</v>
      </c>
      <c r="D554">
        <v>2139</v>
      </c>
    </row>
    <row r="555" spans="1:4" x14ac:dyDescent="0.2">
      <c r="A555" s="48">
        <v>38384</v>
      </c>
      <c r="B555">
        <v>1908</v>
      </c>
      <c r="C555">
        <v>2207</v>
      </c>
      <c r="D555">
        <v>2114</v>
      </c>
    </row>
    <row r="556" spans="1:4" x14ac:dyDescent="0.2">
      <c r="A556" s="48">
        <v>38412</v>
      </c>
      <c r="B556">
        <v>1787</v>
      </c>
      <c r="C556">
        <v>1864</v>
      </c>
      <c r="D556">
        <v>2062</v>
      </c>
    </row>
    <row r="557" spans="1:4" x14ac:dyDescent="0.2">
      <c r="A557" s="48">
        <v>38443</v>
      </c>
      <c r="B557">
        <v>1927</v>
      </c>
      <c r="C557">
        <v>2061</v>
      </c>
      <c r="D557">
        <v>2150</v>
      </c>
    </row>
    <row r="558" spans="1:4" x14ac:dyDescent="0.2">
      <c r="A558" s="48">
        <v>38473</v>
      </c>
      <c r="B558">
        <v>2103</v>
      </c>
      <c r="C558">
        <v>2025</v>
      </c>
      <c r="D558">
        <v>2085</v>
      </c>
    </row>
    <row r="559" spans="1:4" x14ac:dyDescent="0.2">
      <c r="A559" s="48">
        <v>38504</v>
      </c>
      <c r="B559">
        <v>1965</v>
      </c>
      <c r="C559">
        <v>2068</v>
      </c>
      <c r="D559">
        <v>2178</v>
      </c>
    </row>
    <row r="560" spans="1:4" x14ac:dyDescent="0.2">
      <c r="A560" s="48">
        <v>38534</v>
      </c>
      <c r="B560">
        <v>1886</v>
      </c>
      <c r="C560">
        <v>2054</v>
      </c>
      <c r="D560">
        <v>2203</v>
      </c>
    </row>
    <row r="561" spans="1:4" x14ac:dyDescent="0.2">
      <c r="A561" s="48">
        <v>38565</v>
      </c>
      <c r="B561">
        <v>1952</v>
      </c>
      <c r="C561">
        <v>2095</v>
      </c>
      <c r="D561">
        <v>2219</v>
      </c>
    </row>
    <row r="562" spans="1:4" x14ac:dyDescent="0.2">
      <c r="A562" s="48">
        <v>38596</v>
      </c>
      <c r="B562">
        <v>1922</v>
      </c>
      <c r="C562">
        <v>2151</v>
      </c>
      <c r="D562">
        <v>2263</v>
      </c>
    </row>
    <row r="563" spans="1:4" x14ac:dyDescent="0.2">
      <c r="A563" s="48">
        <v>38626</v>
      </c>
      <c r="B563">
        <v>1962</v>
      </c>
      <c r="C563">
        <v>2065</v>
      </c>
      <c r="D563">
        <v>2170</v>
      </c>
    </row>
    <row r="564" spans="1:4" x14ac:dyDescent="0.2">
      <c r="A564" s="48">
        <v>38657</v>
      </c>
      <c r="B564">
        <v>1907</v>
      </c>
      <c r="C564">
        <v>2147</v>
      </c>
      <c r="D564">
        <v>2218</v>
      </c>
    </row>
    <row r="565" spans="1:4" x14ac:dyDescent="0.2">
      <c r="A565" s="48">
        <v>38687</v>
      </c>
      <c r="B565">
        <v>1941</v>
      </c>
      <c r="C565">
        <v>1994</v>
      </c>
      <c r="D565">
        <v>2120</v>
      </c>
    </row>
    <row r="566" spans="1:4" x14ac:dyDescent="0.2">
      <c r="A566" s="48">
        <v>38718</v>
      </c>
      <c r="B566">
        <v>2036</v>
      </c>
      <c r="C566">
        <v>2273</v>
      </c>
      <c r="D566">
        <v>2212</v>
      </c>
    </row>
    <row r="567" spans="1:4" x14ac:dyDescent="0.2">
      <c r="A567" s="48">
        <v>38749</v>
      </c>
      <c r="B567">
        <v>2048</v>
      </c>
      <c r="C567">
        <v>2119</v>
      </c>
      <c r="D567">
        <v>2141</v>
      </c>
    </row>
    <row r="568" spans="1:4" x14ac:dyDescent="0.2">
      <c r="A568" s="48">
        <v>38777</v>
      </c>
      <c r="B568">
        <v>2245</v>
      </c>
      <c r="C568">
        <v>1969</v>
      </c>
      <c r="D568">
        <v>2118</v>
      </c>
    </row>
    <row r="569" spans="1:4" x14ac:dyDescent="0.2">
      <c r="A569" s="48">
        <v>38808</v>
      </c>
      <c r="B569">
        <v>2071</v>
      </c>
      <c r="C569">
        <v>1821</v>
      </c>
      <c r="D569">
        <v>1998</v>
      </c>
    </row>
    <row r="570" spans="1:4" x14ac:dyDescent="0.2">
      <c r="A570" s="48">
        <v>38838</v>
      </c>
      <c r="B570">
        <v>1897</v>
      </c>
      <c r="C570">
        <v>1942</v>
      </c>
      <c r="D570">
        <v>1905</v>
      </c>
    </row>
    <row r="571" spans="1:4" x14ac:dyDescent="0.2">
      <c r="A571" s="48">
        <v>38869</v>
      </c>
      <c r="B571">
        <v>2050</v>
      </c>
      <c r="C571">
        <v>1802</v>
      </c>
      <c r="D571">
        <v>1867</v>
      </c>
    </row>
    <row r="572" spans="1:4" x14ac:dyDescent="0.2">
      <c r="A572" s="48">
        <v>38899</v>
      </c>
      <c r="B572">
        <v>1934</v>
      </c>
      <c r="C572">
        <v>1737</v>
      </c>
      <c r="D572">
        <v>1763</v>
      </c>
    </row>
    <row r="573" spans="1:4" x14ac:dyDescent="0.2">
      <c r="A573" s="48">
        <v>38930</v>
      </c>
      <c r="B573">
        <v>1877</v>
      </c>
      <c r="C573">
        <v>1650</v>
      </c>
      <c r="D573">
        <v>1722</v>
      </c>
    </row>
    <row r="574" spans="1:4" x14ac:dyDescent="0.2">
      <c r="A574" s="48">
        <v>38961</v>
      </c>
      <c r="B574">
        <v>2011</v>
      </c>
      <c r="C574">
        <v>1720</v>
      </c>
      <c r="D574">
        <v>1655</v>
      </c>
    </row>
    <row r="575" spans="1:4" x14ac:dyDescent="0.2">
      <c r="A575" s="48">
        <v>38991</v>
      </c>
      <c r="B575">
        <v>1918</v>
      </c>
      <c r="C575">
        <v>1491</v>
      </c>
      <c r="D575">
        <v>1570</v>
      </c>
    </row>
    <row r="576" spans="1:4" x14ac:dyDescent="0.2">
      <c r="A576" s="48">
        <v>39022</v>
      </c>
      <c r="B576">
        <v>1893</v>
      </c>
      <c r="C576">
        <v>1570</v>
      </c>
      <c r="D576">
        <v>1535</v>
      </c>
    </row>
    <row r="577" spans="1:4" x14ac:dyDescent="0.2">
      <c r="A577" s="48">
        <v>39052</v>
      </c>
      <c r="B577">
        <v>1888</v>
      </c>
      <c r="C577">
        <v>1649</v>
      </c>
      <c r="D577">
        <v>1638</v>
      </c>
    </row>
    <row r="578" spans="1:4" x14ac:dyDescent="0.2">
      <c r="A578" s="48">
        <v>39083</v>
      </c>
      <c r="B578">
        <v>1822</v>
      </c>
      <c r="C578">
        <v>1409</v>
      </c>
      <c r="D578">
        <v>1626</v>
      </c>
    </row>
    <row r="579" spans="1:4" x14ac:dyDescent="0.2">
      <c r="A579" s="48">
        <v>39114</v>
      </c>
      <c r="B579">
        <v>1640</v>
      </c>
      <c r="C579">
        <v>1480</v>
      </c>
      <c r="D579">
        <v>1598</v>
      </c>
    </row>
    <row r="580" spans="1:4" x14ac:dyDescent="0.2">
      <c r="A580" s="48">
        <v>39142</v>
      </c>
      <c r="B580">
        <v>1623</v>
      </c>
      <c r="C580">
        <v>1495</v>
      </c>
      <c r="D580">
        <v>1596</v>
      </c>
    </row>
    <row r="581" spans="1:4" x14ac:dyDescent="0.2">
      <c r="A581" s="48">
        <v>39173</v>
      </c>
      <c r="B581">
        <v>1539</v>
      </c>
      <c r="C581">
        <v>1490</v>
      </c>
      <c r="D581">
        <v>1470</v>
      </c>
    </row>
    <row r="582" spans="1:4" x14ac:dyDescent="0.2">
      <c r="A582" s="48">
        <v>39203</v>
      </c>
      <c r="B582">
        <v>1536</v>
      </c>
      <c r="C582">
        <v>1415</v>
      </c>
      <c r="D582">
        <v>1493</v>
      </c>
    </row>
    <row r="583" spans="1:4" x14ac:dyDescent="0.2">
      <c r="A583" s="48">
        <v>39234</v>
      </c>
      <c r="B583">
        <v>1481</v>
      </c>
      <c r="C583">
        <v>1448</v>
      </c>
      <c r="D583">
        <v>1407</v>
      </c>
    </row>
    <row r="584" spans="1:4" x14ac:dyDescent="0.2">
      <c r="A584" s="48">
        <v>39264</v>
      </c>
      <c r="B584">
        <v>1534</v>
      </c>
      <c r="C584">
        <v>1354</v>
      </c>
      <c r="D584">
        <v>1361</v>
      </c>
    </row>
    <row r="585" spans="1:4" x14ac:dyDescent="0.2">
      <c r="A585" s="48">
        <v>39295</v>
      </c>
      <c r="B585">
        <v>1512</v>
      </c>
      <c r="C585">
        <v>1330</v>
      </c>
      <c r="D585">
        <v>1321</v>
      </c>
    </row>
    <row r="586" spans="1:4" x14ac:dyDescent="0.2">
      <c r="A586" s="48">
        <v>39326</v>
      </c>
      <c r="B586">
        <v>1356</v>
      </c>
      <c r="C586">
        <v>1183</v>
      </c>
      <c r="D586">
        <v>1261</v>
      </c>
    </row>
    <row r="587" spans="1:4" x14ac:dyDescent="0.2">
      <c r="A587" s="48">
        <v>39356</v>
      </c>
      <c r="B587">
        <v>1405</v>
      </c>
      <c r="C587">
        <v>1264</v>
      </c>
      <c r="D587">
        <v>1192</v>
      </c>
    </row>
    <row r="588" spans="1:4" x14ac:dyDescent="0.2">
      <c r="A588" s="48">
        <v>39387</v>
      </c>
      <c r="B588">
        <v>1390</v>
      </c>
      <c r="C588">
        <v>1197</v>
      </c>
      <c r="D588">
        <v>1224</v>
      </c>
    </row>
    <row r="589" spans="1:4" x14ac:dyDescent="0.2">
      <c r="A589" s="48">
        <v>39417</v>
      </c>
      <c r="B589">
        <v>1328</v>
      </c>
      <c r="C589">
        <v>1037</v>
      </c>
      <c r="D589">
        <v>1149</v>
      </c>
    </row>
    <row r="590" spans="1:4" x14ac:dyDescent="0.2">
      <c r="A590" s="48">
        <v>39448</v>
      </c>
      <c r="B590">
        <v>1331</v>
      </c>
      <c r="C590">
        <v>1084</v>
      </c>
      <c r="D590">
        <v>1094</v>
      </c>
    </row>
    <row r="591" spans="1:4" x14ac:dyDescent="0.2">
      <c r="A591" s="48">
        <v>39479</v>
      </c>
      <c r="B591">
        <v>1274</v>
      </c>
      <c r="C591">
        <v>1103</v>
      </c>
      <c r="D591">
        <v>1014</v>
      </c>
    </row>
    <row r="592" spans="1:4" x14ac:dyDescent="0.2">
      <c r="A592" s="48">
        <v>39508</v>
      </c>
      <c r="B592">
        <v>1195</v>
      </c>
      <c r="C592">
        <v>1005</v>
      </c>
      <c r="D592">
        <v>967</v>
      </c>
    </row>
    <row r="593" spans="1:4" x14ac:dyDescent="0.2">
      <c r="A593" s="48">
        <v>39539</v>
      </c>
      <c r="B593">
        <v>1022</v>
      </c>
      <c r="C593">
        <v>1013</v>
      </c>
      <c r="D593">
        <v>1008</v>
      </c>
    </row>
    <row r="594" spans="1:4" x14ac:dyDescent="0.2">
      <c r="A594" s="48">
        <v>39569</v>
      </c>
      <c r="B594">
        <v>1142</v>
      </c>
      <c r="C594">
        <v>973</v>
      </c>
      <c r="D594">
        <v>995</v>
      </c>
    </row>
    <row r="595" spans="1:4" x14ac:dyDescent="0.2">
      <c r="A595" s="48">
        <v>39600</v>
      </c>
      <c r="B595">
        <v>1142</v>
      </c>
      <c r="C595">
        <v>1046</v>
      </c>
      <c r="D595">
        <v>1180</v>
      </c>
    </row>
    <row r="596" spans="1:4" x14ac:dyDescent="0.2">
      <c r="A596" s="48">
        <v>39630</v>
      </c>
      <c r="B596">
        <v>1087</v>
      </c>
      <c r="C596">
        <v>923</v>
      </c>
      <c r="D596">
        <v>921</v>
      </c>
    </row>
    <row r="597" spans="1:4" x14ac:dyDescent="0.2">
      <c r="A597" s="48">
        <v>39661</v>
      </c>
      <c r="B597">
        <v>1017</v>
      </c>
      <c r="C597">
        <v>844</v>
      </c>
      <c r="D597">
        <v>858</v>
      </c>
    </row>
    <row r="598" spans="1:4" x14ac:dyDescent="0.2">
      <c r="A598" s="48">
        <v>39692</v>
      </c>
      <c r="B598">
        <v>1160</v>
      </c>
      <c r="C598">
        <v>820</v>
      </c>
      <c r="D598">
        <v>797</v>
      </c>
    </row>
    <row r="599" spans="1:4" x14ac:dyDescent="0.2">
      <c r="A599" s="48">
        <v>39722</v>
      </c>
      <c r="B599">
        <v>1055</v>
      </c>
      <c r="C599">
        <v>777</v>
      </c>
      <c r="D599">
        <v>736</v>
      </c>
    </row>
    <row r="600" spans="1:4" x14ac:dyDescent="0.2">
      <c r="A600" s="48">
        <v>39753</v>
      </c>
      <c r="B600">
        <v>1076</v>
      </c>
      <c r="C600">
        <v>652</v>
      </c>
      <c r="D600">
        <v>626</v>
      </c>
    </row>
    <row r="601" spans="1:4" x14ac:dyDescent="0.2">
      <c r="A601" s="48">
        <v>39783</v>
      </c>
      <c r="B601">
        <v>1021</v>
      </c>
      <c r="C601">
        <v>560</v>
      </c>
      <c r="D601">
        <v>554</v>
      </c>
    </row>
    <row r="602" spans="1:4" x14ac:dyDescent="0.2">
      <c r="A602" s="48">
        <v>39814</v>
      </c>
      <c r="B602">
        <v>777</v>
      </c>
      <c r="C602">
        <v>490</v>
      </c>
      <c r="D602">
        <v>545</v>
      </c>
    </row>
    <row r="603" spans="1:4" x14ac:dyDescent="0.2">
      <c r="A603" s="48">
        <v>39845</v>
      </c>
      <c r="B603">
        <v>819</v>
      </c>
      <c r="C603">
        <v>582</v>
      </c>
      <c r="D603">
        <v>558</v>
      </c>
    </row>
    <row r="604" spans="1:4" x14ac:dyDescent="0.2">
      <c r="A604" s="48">
        <v>39873</v>
      </c>
      <c r="B604">
        <v>839</v>
      </c>
      <c r="C604">
        <v>505</v>
      </c>
      <c r="D604">
        <v>513</v>
      </c>
    </row>
    <row r="605" spans="1:4" x14ac:dyDescent="0.2">
      <c r="A605" s="48">
        <v>39904</v>
      </c>
      <c r="B605">
        <v>846</v>
      </c>
      <c r="C605">
        <v>478</v>
      </c>
      <c r="D605">
        <v>521</v>
      </c>
    </row>
    <row r="606" spans="1:4" x14ac:dyDescent="0.2">
      <c r="A606" s="48">
        <v>39934</v>
      </c>
      <c r="B606">
        <v>818</v>
      </c>
      <c r="C606">
        <v>540</v>
      </c>
      <c r="D606">
        <v>556</v>
      </c>
    </row>
    <row r="607" spans="1:4" x14ac:dyDescent="0.2">
      <c r="A607" s="48">
        <v>39965</v>
      </c>
      <c r="B607">
        <v>797</v>
      </c>
      <c r="C607">
        <v>585</v>
      </c>
      <c r="D607">
        <v>601</v>
      </c>
    </row>
    <row r="608" spans="1:4" x14ac:dyDescent="0.2">
      <c r="A608" s="48">
        <v>39995</v>
      </c>
      <c r="B608">
        <v>797</v>
      </c>
      <c r="C608">
        <v>594</v>
      </c>
      <c r="D608">
        <v>595</v>
      </c>
    </row>
    <row r="609" spans="1:4" x14ac:dyDescent="0.2">
      <c r="A609" s="48">
        <v>40026</v>
      </c>
      <c r="B609">
        <v>792</v>
      </c>
      <c r="C609">
        <v>586</v>
      </c>
      <c r="D609">
        <v>616</v>
      </c>
    </row>
    <row r="610" spans="1:4" x14ac:dyDescent="0.2">
      <c r="A610" s="48">
        <v>40057</v>
      </c>
      <c r="B610">
        <v>721</v>
      </c>
      <c r="C610">
        <v>585</v>
      </c>
      <c r="D610">
        <v>609</v>
      </c>
    </row>
    <row r="611" spans="1:4" x14ac:dyDescent="0.2">
      <c r="A611" s="48">
        <v>40087</v>
      </c>
      <c r="B611">
        <v>746</v>
      </c>
      <c r="C611">
        <v>534</v>
      </c>
      <c r="D611">
        <v>583</v>
      </c>
    </row>
    <row r="612" spans="1:4" x14ac:dyDescent="0.2">
      <c r="A612" s="48">
        <v>40118</v>
      </c>
      <c r="B612">
        <v>844</v>
      </c>
      <c r="C612">
        <v>588</v>
      </c>
      <c r="D612">
        <v>623</v>
      </c>
    </row>
    <row r="613" spans="1:4" x14ac:dyDescent="0.2">
      <c r="A613" s="48">
        <v>40148</v>
      </c>
      <c r="B613">
        <v>750</v>
      </c>
      <c r="C613">
        <v>581</v>
      </c>
      <c r="D613">
        <v>664</v>
      </c>
    </row>
    <row r="614" spans="1:4" x14ac:dyDescent="0.2">
      <c r="A614" s="48">
        <v>40179</v>
      </c>
      <c r="B614">
        <v>689</v>
      </c>
      <c r="C614">
        <v>614</v>
      </c>
      <c r="D614">
        <v>636</v>
      </c>
    </row>
    <row r="615" spans="1:4" x14ac:dyDescent="0.2">
      <c r="A615" s="48">
        <v>40210</v>
      </c>
      <c r="B615">
        <v>670</v>
      </c>
      <c r="C615">
        <v>604</v>
      </c>
      <c r="D615">
        <v>650</v>
      </c>
    </row>
    <row r="616" spans="1:4" x14ac:dyDescent="0.2">
      <c r="A616" s="48">
        <v>40238</v>
      </c>
      <c r="B616">
        <v>635</v>
      </c>
      <c r="C616">
        <v>636</v>
      </c>
      <c r="D616">
        <v>687</v>
      </c>
    </row>
    <row r="617" spans="1:4" x14ac:dyDescent="0.2">
      <c r="A617" s="48">
        <v>40269</v>
      </c>
      <c r="B617">
        <v>737</v>
      </c>
      <c r="C617">
        <v>687</v>
      </c>
      <c r="D617">
        <v>637</v>
      </c>
    </row>
    <row r="618" spans="1:4" x14ac:dyDescent="0.2">
      <c r="A618" s="48">
        <v>40299</v>
      </c>
      <c r="B618">
        <v>702</v>
      </c>
      <c r="C618">
        <v>583</v>
      </c>
      <c r="D618">
        <v>575</v>
      </c>
    </row>
    <row r="619" spans="1:4" x14ac:dyDescent="0.2">
      <c r="A619" s="48">
        <v>40330</v>
      </c>
      <c r="B619">
        <v>894</v>
      </c>
      <c r="C619">
        <v>536</v>
      </c>
      <c r="D619">
        <v>587</v>
      </c>
    </row>
    <row r="620" spans="1:4" x14ac:dyDescent="0.2">
      <c r="A620" s="48">
        <v>40360</v>
      </c>
      <c r="B620">
        <v>572</v>
      </c>
      <c r="C620">
        <v>546</v>
      </c>
      <c r="D620">
        <v>579</v>
      </c>
    </row>
    <row r="621" spans="1:4" x14ac:dyDescent="0.2">
      <c r="A621" s="48">
        <v>40391</v>
      </c>
      <c r="B621">
        <v>592</v>
      </c>
      <c r="C621">
        <v>599</v>
      </c>
      <c r="D621">
        <v>580</v>
      </c>
    </row>
    <row r="622" spans="1:4" x14ac:dyDescent="0.2">
      <c r="A622" s="48">
        <v>40422</v>
      </c>
      <c r="B622">
        <v>632</v>
      </c>
      <c r="C622">
        <v>594</v>
      </c>
      <c r="D622">
        <v>563</v>
      </c>
    </row>
    <row r="623" spans="1:4" x14ac:dyDescent="0.2">
      <c r="A623" s="48">
        <v>40452</v>
      </c>
      <c r="B623">
        <v>605</v>
      </c>
      <c r="C623">
        <v>543</v>
      </c>
      <c r="D623">
        <v>558</v>
      </c>
    </row>
    <row r="624" spans="1:4" x14ac:dyDescent="0.2">
      <c r="A624" s="48">
        <v>40483</v>
      </c>
      <c r="B624">
        <v>552</v>
      </c>
      <c r="C624">
        <v>545</v>
      </c>
      <c r="D624">
        <v>560</v>
      </c>
    </row>
    <row r="625" spans="1:4" x14ac:dyDescent="0.2">
      <c r="A625" s="48">
        <v>40513</v>
      </c>
      <c r="B625">
        <v>565</v>
      </c>
      <c r="C625">
        <v>539</v>
      </c>
      <c r="D625">
        <v>632</v>
      </c>
    </row>
    <row r="626" spans="1:4" x14ac:dyDescent="0.2">
      <c r="A626" s="48">
        <v>40544</v>
      </c>
      <c r="B626">
        <v>520</v>
      </c>
      <c r="C626">
        <v>630</v>
      </c>
      <c r="D626">
        <v>576</v>
      </c>
    </row>
    <row r="627" spans="1:4" x14ac:dyDescent="0.2">
      <c r="A627" s="48">
        <v>40575</v>
      </c>
      <c r="B627">
        <v>615</v>
      </c>
      <c r="C627">
        <v>517</v>
      </c>
      <c r="D627">
        <v>542</v>
      </c>
    </row>
    <row r="628" spans="1:4" x14ac:dyDescent="0.2">
      <c r="A628" s="48">
        <v>40603</v>
      </c>
      <c r="B628">
        <v>591</v>
      </c>
      <c r="C628">
        <v>600</v>
      </c>
      <c r="D628">
        <v>583</v>
      </c>
    </row>
    <row r="629" spans="1:4" x14ac:dyDescent="0.2">
      <c r="A629" s="48">
        <v>40634</v>
      </c>
      <c r="B629">
        <v>549</v>
      </c>
      <c r="C629">
        <v>554</v>
      </c>
      <c r="D629">
        <v>581</v>
      </c>
    </row>
    <row r="630" spans="1:4" x14ac:dyDescent="0.2">
      <c r="A630" s="48">
        <v>40664</v>
      </c>
      <c r="B630">
        <v>549</v>
      </c>
      <c r="C630">
        <v>561</v>
      </c>
      <c r="D630">
        <v>618</v>
      </c>
    </row>
    <row r="631" spans="1:4" x14ac:dyDescent="0.2">
      <c r="A631" s="48">
        <v>40695</v>
      </c>
      <c r="B631">
        <v>579</v>
      </c>
      <c r="C631">
        <v>608</v>
      </c>
      <c r="D631">
        <v>636</v>
      </c>
    </row>
    <row r="632" spans="1:4" x14ac:dyDescent="0.2">
      <c r="A632" s="48">
        <v>40725</v>
      </c>
      <c r="B632">
        <v>634</v>
      </c>
      <c r="C632">
        <v>623</v>
      </c>
      <c r="D632">
        <v>621</v>
      </c>
    </row>
    <row r="633" spans="1:4" x14ac:dyDescent="0.2">
      <c r="A633" s="48">
        <v>40756</v>
      </c>
      <c r="B633">
        <v>614</v>
      </c>
      <c r="C633">
        <v>585</v>
      </c>
      <c r="D633">
        <v>647</v>
      </c>
    </row>
    <row r="634" spans="1:4" x14ac:dyDescent="0.2">
      <c r="A634" s="48">
        <v>40787</v>
      </c>
      <c r="B634">
        <v>603</v>
      </c>
      <c r="C634">
        <v>650</v>
      </c>
      <c r="D634">
        <v>610</v>
      </c>
    </row>
    <row r="635" spans="1:4" x14ac:dyDescent="0.2">
      <c r="A635" s="48">
        <v>40817</v>
      </c>
      <c r="B635">
        <v>566</v>
      </c>
      <c r="C635">
        <v>610</v>
      </c>
      <c r="D635">
        <v>671</v>
      </c>
    </row>
    <row r="636" spans="1:4" x14ac:dyDescent="0.2">
      <c r="A636" s="48">
        <v>40848</v>
      </c>
      <c r="B636">
        <v>585</v>
      </c>
      <c r="C636">
        <v>711</v>
      </c>
      <c r="D636">
        <v>706</v>
      </c>
    </row>
    <row r="637" spans="1:4" x14ac:dyDescent="0.2">
      <c r="A637" s="48">
        <v>40878</v>
      </c>
      <c r="B637">
        <v>610</v>
      </c>
      <c r="C637">
        <v>694</v>
      </c>
      <c r="D637">
        <v>697</v>
      </c>
    </row>
    <row r="638" spans="1:4" x14ac:dyDescent="0.2">
      <c r="A638" s="48">
        <v>40909</v>
      </c>
      <c r="B638">
        <v>545</v>
      </c>
      <c r="C638">
        <v>723</v>
      </c>
      <c r="D638">
        <v>712</v>
      </c>
    </row>
    <row r="639" spans="1:4" x14ac:dyDescent="0.2">
      <c r="A639" s="48">
        <v>40940</v>
      </c>
      <c r="B639">
        <v>561</v>
      </c>
      <c r="C639">
        <v>704</v>
      </c>
      <c r="D639">
        <v>738</v>
      </c>
    </row>
    <row r="640" spans="1:4" x14ac:dyDescent="0.2">
      <c r="A640" s="48">
        <v>40969</v>
      </c>
      <c r="B640">
        <v>582</v>
      </c>
      <c r="C640">
        <v>695</v>
      </c>
      <c r="D640">
        <v>806</v>
      </c>
    </row>
    <row r="641" spans="1:4" x14ac:dyDescent="0.2">
      <c r="A641" s="48">
        <v>41000</v>
      </c>
      <c r="B641">
        <v>671</v>
      </c>
      <c r="C641">
        <v>753</v>
      </c>
      <c r="D641">
        <v>732</v>
      </c>
    </row>
    <row r="642" spans="1:4" x14ac:dyDescent="0.2">
      <c r="A642" s="48">
        <v>41030</v>
      </c>
      <c r="B642">
        <v>626</v>
      </c>
      <c r="C642">
        <v>708</v>
      </c>
      <c r="D642">
        <v>796</v>
      </c>
    </row>
    <row r="643" spans="1:4" x14ac:dyDescent="0.2">
      <c r="A643" s="48">
        <v>41061</v>
      </c>
      <c r="B643">
        <v>625</v>
      </c>
      <c r="C643">
        <v>757</v>
      </c>
      <c r="D643">
        <v>794</v>
      </c>
    </row>
    <row r="644" spans="1:4" x14ac:dyDescent="0.2">
      <c r="A644" s="48">
        <v>41091</v>
      </c>
      <c r="B644">
        <v>676</v>
      </c>
      <c r="C644">
        <v>740</v>
      </c>
      <c r="D644">
        <v>849</v>
      </c>
    </row>
    <row r="645" spans="1:4" x14ac:dyDescent="0.2">
      <c r="A645" s="48">
        <v>41122</v>
      </c>
      <c r="B645">
        <v>684</v>
      </c>
      <c r="C645">
        <v>754</v>
      </c>
      <c r="D645">
        <v>840</v>
      </c>
    </row>
    <row r="646" spans="1:4" x14ac:dyDescent="0.2">
      <c r="A646" s="48">
        <v>41153</v>
      </c>
      <c r="B646">
        <v>652</v>
      </c>
      <c r="C646">
        <v>847</v>
      </c>
      <c r="D646">
        <v>930</v>
      </c>
    </row>
    <row r="647" spans="1:4" x14ac:dyDescent="0.2">
      <c r="A647" s="48">
        <v>41183</v>
      </c>
      <c r="B647">
        <v>730</v>
      </c>
      <c r="C647">
        <v>915</v>
      </c>
      <c r="D647">
        <v>887</v>
      </c>
    </row>
    <row r="648" spans="1:4" x14ac:dyDescent="0.2">
      <c r="A648" s="48">
        <v>41214</v>
      </c>
      <c r="B648">
        <v>668</v>
      </c>
      <c r="C648">
        <v>833</v>
      </c>
      <c r="D648">
        <v>917</v>
      </c>
    </row>
    <row r="649" spans="1:4" x14ac:dyDescent="0.2">
      <c r="A649" s="48">
        <v>41244</v>
      </c>
      <c r="B649">
        <v>677</v>
      </c>
      <c r="C649">
        <v>976</v>
      </c>
      <c r="D649">
        <v>941</v>
      </c>
    </row>
    <row r="650" spans="1:4" x14ac:dyDescent="0.2">
      <c r="A650" s="48">
        <v>41275</v>
      </c>
      <c r="B650">
        <v>714</v>
      </c>
      <c r="C650">
        <v>888</v>
      </c>
      <c r="D650">
        <v>940</v>
      </c>
    </row>
    <row r="651" spans="1:4" x14ac:dyDescent="0.2">
      <c r="A651" s="48">
        <v>41306</v>
      </c>
      <c r="B651">
        <v>729</v>
      </c>
      <c r="C651">
        <v>962</v>
      </c>
      <c r="D651">
        <v>980</v>
      </c>
    </row>
    <row r="652" spans="1:4" x14ac:dyDescent="0.2">
      <c r="A652" s="48">
        <v>41334</v>
      </c>
      <c r="B652">
        <v>816</v>
      </c>
      <c r="C652">
        <v>1010</v>
      </c>
      <c r="D652">
        <v>936</v>
      </c>
    </row>
    <row r="653" spans="1:4" x14ac:dyDescent="0.2">
      <c r="A653" s="48">
        <v>41365</v>
      </c>
      <c r="B653">
        <v>712</v>
      </c>
      <c r="C653">
        <v>835</v>
      </c>
      <c r="D653">
        <v>1012</v>
      </c>
    </row>
    <row r="654" spans="1:4" x14ac:dyDescent="0.2">
      <c r="A654" s="48">
        <v>41395</v>
      </c>
      <c r="B654">
        <v>708</v>
      </c>
      <c r="C654">
        <v>930</v>
      </c>
      <c r="D654">
        <v>1003</v>
      </c>
    </row>
    <row r="655" spans="1:4" x14ac:dyDescent="0.2">
      <c r="A655" s="48">
        <v>41426</v>
      </c>
      <c r="B655">
        <v>736</v>
      </c>
      <c r="C655">
        <v>839</v>
      </c>
      <c r="D655">
        <v>942</v>
      </c>
    </row>
    <row r="656" spans="1:4" x14ac:dyDescent="0.2">
      <c r="A656" s="48">
        <v>41456</v>
      </c>
      <c r="B656">
        <v>784</v>
      </c>
      <c r="C656">
        <v>880</v>
      </c>
      <c r="D656">
        <v>997</v>
      </c>
    </row>
    <row r="657" spans="1:4" x14ac:dyDescent="0.2">
      <c r="A657" s="48">
        <v>41487</v>
      </c>
      <c r="B657">
        <v>765</v>
      </c>
      <c r="C657">
        <v>917</v>
      </c>
      <c r="D657">
        <v>964</v>
      </c>
    </row>
    <row r="658" spans="1:4" x14ac:dyDescent="0.2">
      <c r="A658" s="48">
        <v>41518</v>
      </c>
      <c r="B658">
        <v>776</v>
      </c>
      <c r="C658">
        <v>850</v>
      </c>
      <c r="D658">
        <v>1004</v>
      </c>
    </row>
    <row r="659" spans="1:4" x14ac:dyDescent="0.2">
      <c r="A659" s="48">
        <v>41548</v>
      </c>
      <c r="B659">
        <v>801</v>
      </c>
      <c r="C659">
        <v>925</v>
      </c>
      <c r="D659">
        <v>1044</v>
      </c>
    </row>
    <row r="660" spans="1:4" x14ac:dyDescent="0.2">
      <c r="A660" s="48">
        <v>41579</v>
      </c>
      <c r="B660">
        <v>839</v>
      </c>
      <c r="C660">
        <v>1100</v>
      </c>
      <c r="D660">
        <v>1029</v>
      </c>
    </row>
    <row r="661" spans="1:4" x14ac:dyDescent="0.2">
      <c r="A661" s="48">
        <v>41609</v>
      </c>
      <c r="B661">
        <v>778</v>
      </c>
      <c r="C661">
        <v>1002</v>
      </c>
      <c r="D661">
        <v>1005</v>
      </c>
    </row>
    <row r="662" spans="1:4" x14ac:dyDescent="0.2">
      <c r="A662" s="48">
        <v>41640</v>
      </c>
      <c r="B662">
        <v>838</v>
      </c>
      <c r="C662">
        <v>888</v>
      </c>
      <c r="D662">
        <v>976</v>
      </c>
    </row>
    <row r="663" spans="1:4" x14ac:dyDescent="0.2">
      <c r="A663" s="48">
        <v>41671</v>
      </c>
      <c r="B663">
        <v>876</v>
      </c>
      <c r="C663">
        <v>944</v>
      </c>
      <c r="D663">
        <v>1039</v>
      </c>
    </row>
    <row r="664" spans="1:4" x14ac:dyDescent="0.2">
      <c r="A664" s="48">
        <v>41699</v>
      </c>
      <c r="B664">
        <v>893</v>
      </c>
      <c r="C664">
        <v>970</v>
      </c>
      <c r="D664">
        <v>1067</v>
      </c>
    </row>
    <row r="665" spans="1:4" x14ac:dyDescent="0.2">
      <c r="A665" s="48">
        <v>41730</v>
      </c>
      <c r="B665">
        <v>834</v>
      </c>
      <c r="C665">
        <v>1043</v>
      </c>
      <c r="D665">
        <v>1090</v>
      </c>
    </row>
    <row r="666" spans="1:4" x14ac:dyDescent="0.2">
      <c r="A666" s="48">
        <v>41760</v>
      </c>
      <c r="B666">
        <v>891</v>
      </c>
      <c r="C666">
        <v>1007</v>
      </c>
      <c r="D666">
        <v>1018</v>
      </c>
    </row>
    <row r="667" spans="1:4" x14ac:dyDescent="0.2">
      <c r="A667" s="48">
        <v>41791</v>
      </c>
      <c r="B667">
        <v>800</v>
      </c>
      <c r="C667">
        <v>911</v>
      </c>
      <c r="D667">
        <v>1010</v>
      </c>
    </row>
    <row r="668" spans="1:4" x14ac:dyDescent="0.2">
      <c r="A668" s="48">
        <v>41821</v>
      </c>
      <c r="B668">
        <v>839</v>
      </c>
      <c r="C668">
        <v>1085</v>
      </c>
      <c r="D668">
        <v>1076</v>
      </c>
    </row>
    <row r="669" spans="1:4" x14ac:dyDescent="0.2">
      <c r="A669" s="48">
        <v>41852</v>
      </c>
      <c r="B669">
        <v>908</v>
      </c>
      <c r="C669">
        <v>984</v>
      </c>
      <c r="D669">
        <v>1047</v>
      </c>
    </row>
    <row r="670" spans="1:4" x14ac:dyDescent="0.2">
      <c r="A670" s="48">
        <v>41883</v>
      </c>
      <c r="B670">
        <v>975</v>
      </c>
      <c r="C670">
        <v>1023</v>
      </c>
      <c r="D670">
        <v>1077</v>
      </c>
    </row>
    <row r="671" spans="1:4" x14ac:dyDescent="0.2">
      <c r="A671" s="48">
        <v>41913</v>
      </c>
      <c r="B671">
        <v>920</v>
      </c>
      <c r="C671">
        <v>1074</v>
      </c>
      <c r="D671">
        <v>1094</v>
      </c>
    </row>
    <row r="672" spans="1:4" x14ac:dyDescent="0.2">
      <c r="A672" s="48">
        <v>41944</v>
      </c>
      <c r="B672">
        <v>863</v>
      </c>
      <c r="C672">
        <v>1001</v>
      </c>
      <c r="D672">
        <v>1059</v>
      </c>
    </row>
    <row r="673" spans="1:4" x14ac:dyDescent="0.2">
      <c r="A673" s="48">
        <v>41974</v>
      </c>
      <c r="B673">
        <v>955</v>
      </c>
      <c r="C673">
        <v>1073</v>
      </c>
      <c r="D673">
        <v>1072</v>
      </c>
    </row>
    <row r="674" spans="1:4" x14ac:dyDescent="0.2">
      <c r="A674" s="48">
        <v>42005</v>
      </c>
      <c r="B674">
        <v>954</v>
      </c>
      <c r="C674">
        <v>1085</v>
      </c>
      <c r="D674">
        <v>1049</v>
      </c>
    </row>
    <row r="675" spans="1:4" x14ac:dyDescent="0.2">
      <c r="A675" s="48">
        <v>42036</v>
      </c>
      <c r="B675">
        <v>863</v>
      </c>
      <c r="C675">
        <v>886</v>
      </c>
      <c r="D675">
        <v>1127</v>
      </c>
    </row>
    <row r="676" spans="1:4" x14ac:dyDescent="0.2">
      <c r="A676" s="48">
        <v>42064</v>
      </c>
      <c r="B676">
        <v>781</v>
      </c>
      <c r="C676">
        <v>960</v>
      </c>
      <c r="D676">
        <v>1072</v>
      </c>
    </row>
    <row r="677" spans="1:4" x14ac:dyDescent="0.2">
      <c r="A677" s="48">
        <v>42095</v>
      </c>
      <c r="B677">
        <v>1001</v>
      </c>
      <c r="C677">
        <v>1190</v>
      </c>
      <c r="D677">
        <v>1166</v>
      </c>
    </row>
    <row r="678" spans="1:4" x14ac:dyDescent="0.2">
      <c r="A678" s="48">
        <v>42125</v>
      </c>
      <c r="B678">
        <v>1012</v>
      </c>
      <c r="C678">
        <v>1079</v>
      </c>
      <c r="D678">
        <v>1272</v>
      </c>
    </row>
    <row r="679" spans="1:4" x14ac:dyDescent="0.2">
      <c r="A679" s="48">
        <v>42156</v>
      </c>
      <c r="B679">
        <v>962</v>
      </c>
      <c r="C679">
        <v>1205</v>
      </c>
      <c r="D679">
        <v>1379</v>
      </c>
    </row>
    <row r="680" spans="1:4" x14ac:dyDescent="0.2">
      <c r="A680" s="48">
        <v>42186</v>
      </c>
      <c r="B680">
        <v>988</v>
      </c>
      <c r="C680">
        <v>1146</v>
      </c>
      <c r="D680">
        <v>1140</v>
      </c>
    </row>
    <row r="681" spans="1:4" x14ac:dyDescent="0.2">
      <c r="A681" s="48">
        <v>42217</v>
      </c>
      <c r="B681">
        <v>974</v>
      </c>
      <c r="C681">
        <v>1130</v>
      </c>
      <c r="D681">
        <v>1165</v>
      </c>
    </row>
    <row r="682" spans="1:4" x14ac:dyDescent="0.2">
      <c r="A682" s="48">
        <v>42248</v>
      </c>
      <c r="B682">
        <v>1040</v>
      </c>
      <c r="C682">
        <v>1224</v>
      </c>
      <c r="D682">
        <v>1144</v>
      </c>
    </row>
    <row r="683" spans="1:4" x14ac:dyDescent="0.2">
      <c r="A683" s="48">
        <v>42278</v>
      </c>
      <c r="B683">
        <v>985</v>
      </c>
      <c r="C683">
        <v>1058</v>
      </c>
      <c r="D683">
        <v>1160</v>
      </c>
    </row>
    <row r="684" spans="1:4" x14ac:dyDescent="0.2">
      <c r="A684" s="48">
        <v>42309</v>
      </c>
      <c r="B684">
        <v>1000</v>
      </c>
      <c r="C684">
        <v>1172</v>
      </c>
      <c r="D684">
        <v>1244</v>
      </c>
    </row>
    <row r="685" spans="1:4" x14ac:dyDescent="0.2">
      <c r="A685" s="48">
        <v>42339</v>
      </c>
      <c r="B685">
        <v>1023</v>
      </c>
      <c r="C685">
        <v>1146</v>
      </c>
      <c r="D685">
        <v>1212</v>
      </c>
    </row>
    <row r="686" spans="1:4" x14ac:dyDescent="0.2">
      <c r="A686" s="48">
        <v>42370</v>
      </c>
      <c r="B686">
        <v>1056</v>
      </c>
      <c r="C686">
        <v>1092</v>
      </c>
      <c r="D686">
        <v>1161</v>
      </c>
    </row>
    <row r="687" spans="1:4" x14ac:dyDescent="0.2">
      <c r="A687" s="48">
        <v>42401</v>
      </c>
      <c r="B687">
        <v>1037</v>
      </c>
      <c r="C687">
        <v>1225</v>
      </c>
      <c r="D687">
        <v>1187</v>
      </c>
    </row>
    <row r="688" spans="1:4" x14ac:dyDescent="0.2">
      <c r="A688" s="48">
        <v>42430</v>
      </c>
      <c r="B688">
        <v>1003</v>
      </c>
      <c r="C688">
        <v>1111</v>
      </c>
      <c r="D688">
        <v>1114</v>
      </c>
    </row>
    <row r="689" spans="1:4" x14ac:dyDescent="0.2">
      <c r="A689" s="48">
        <v>42461</v>
      </c>
      <c r="B689">
        <v>945</v>
      </c>
      <c r="C689">
        <v>1163</v>
      </c>
      <c r="D689">
        <v>1158</v>
      </c>
    </row>
    <row r="690" spans="1:4" x14ac:dyDescent="0.2">
      <c r="A690" s="48">
        <v>42491</v>
      </c>
      <c r="B690">
        <v>1000</v>
      </c>
      <c r="C690">
        <v>1148</v>
      </c>
      <c r="D690">
        <v>1196</v>
      </c>
    </row>
    <row r="691" spans="1:4" x14ac:dyDescent="0.2">
      <c r="A691" s="48">
        <v>42522</v>
      </c>
      <c r="B691">
        <v>1109</v>
      </c>
      <c r="C691">
        <v>1203</v>
      </c>
      <c r="D691">
        <v>1208</v>
      </c>
    </row>
    <row r="692" spans="1:4" x14ac:dyDescent="0.2">
      <c r="A692" s="48">
        <v>42552</v>
      </c>
      <c r="B692">
        <v>1072</v>
      </c>
      <c r="C692">
        <v>1239</v>
      </c>
      <c r="D692">
        <v>1190</v>
      </c>
    </row>
    <row r="693" spans="1:4" x14ac:dyDescent="0.2">
      <c r="A693" s="48">
        <v>42583</v>
      </c>
      <c r="B693">
        <v>1054</v>
      </c>
      <c r="C693">
        <v>1171</v>
      </c>
      <c r="D693">
        <v>1205</v>
      </c>
    </row>
    <row r="694" spans="1:4" x14ac:dyDescent="0.2">
      <c r="A694" s="48">
        <v>42614</v>
      </c>
      <c r="B694">
        <v>1035</v>
      </c>
      <c r="C694">
        <v>1068</v>
      </c>
      <c r="D694">
        <v>1280</v>
      </c>
    </row>
    <row r="695" spans="1:4" x14ac:dyDescent="0.2">
      <c r="A695" s="48">
        <v>42644</v>
      </c>
      <c r="B695">
        <v>1070</v>
      </c>
      <c r="C695">
        <v>1313</v>
      </c>
      <c r="D695">
        <v>1278</v>
      </c>
    </row>
    <row r="696" spans="1:4" x14ac:dyDescent="0.2">
      <c r="A696" s="48">
        <v>42675</v>
      </c>
      <c r="B696">
        <v>1244</v>
      </c>
      <c r="C696">
        <v>1140</v>
      </c>
      <c r="D696">
        <v>1236</v>
      </c>
    </row>
    <row r="697" spans="1:4" x14ac:dyDescent="0.2">
      <c r="A697" s="48">
        <v>42705</v>
      </c>
      <c r="B697">
        <v>1101</v>
      </c>
      <c r="C697">
        <v>1252</v>
      </c>
      <c r="D697">
        <v>1252</v>
      </c>
    </row>
    <row r="698" spans="1:4" x14ac:dyDescent="0.2">
      <c r="A698" s="48">
        <v>42736</v>
      </c>
      <c r="B698">
        <v>1073</v>
      </c>
      <c r="C698">
        <v>1193</v>
      </c>
      <c r="D698">
        <v>1301</v>
      </c>
    </row>
    <row r="699" spans="1:4" x14ac:dyDescent="0.2">
      <c r="A699" s="48">
        <v>42767</v>
      </c>
      <c r="B699">
        <v>1152</v>
      </c>
      <c r="C699">
        <v>1281</v>
      </c>
      <c r="D699">
        <v>1240</v>
      </c>
    </row>
    <row r="700" spans="1:4" x14ac:dyDescent="0.2">
      <c r="A700" s="48">
        <v>42795</v>
      </c>
      <c r="B700">
        <v>1162</v>
      </c>
      <c r="C700">
        <v>1190</v>
      </c>
      <c r="D700">
        <v>1285</v>
      </c>
    </row>
    <row r="701" spans="1:4" x14ac:dyDescent="0.2">
      <c r="A701" s="48">
        <v>42826</v>
      </c>
      <c r="B701">
        <v>1066</v>
      </c>
      <c r="C701">
        <v>1145</v>
      </c>
      <c r="D701">
        <v>1258</v>
      </c>
    </row>
    <row r="702" spans="1:4" x14ac:dyDescent="0.2">
      <c r="A702" s="48">
        <v>42856</v>
      </c>
      <c r="B702">
        <v>1170</v>
      </c>
      <c r="C702">
        <v>1160</v>
      </c>
      <c r="D702">
        <v>1209</v>
      </c>
    </row>
    <row r="703" spans="1:4" x14ac:dyDescent="0.2">
      <c r="A703" s="48">
        <v>42887</v>
      </c>
      <c r="B703">
        <v>1238</v>
      </c>
      <c r="C703">
        <v>1247</v>
      </c>
      <c r="D703">
        <v>1329</v>
      </c>
    </row>
    <row r="704" spans="1:4" x14ac:dyDescent="0.2">
      <c r="A704" s="48">
        <v>42917</v>
      </c>
      <c r="B704">
        <v>1174</v>
      </c>
      <c r="C704">
        <v>1202</v>
      </c>
      <c r="D704">
        <v>1264</v>
      </c>
    </row>
    <row r="705" spans="1:4" x14ac:dyDescent="0.2">
      <c r="A705" s="48">
        <v>42948</v>
      </c>
      <c r="B705">
        <v>1100</v>
      </c>
      <c r="C705">
        <v>1159</v>
      </c>
      <c r="D705">
        <v>1314</v>
      </c>
    </row>
    <row r="706" spans="1:4" x14ac:dyDescent="0.2">
      <c r="A706" s="48">
        <v>42979</v>
      </c>
      <c r="B706">
        <v>1108</v>
      </c>
      <c r="C706">
        <v>1175</v>
      </c>
      <c r="D706">
        <v>1257</v>
      </c>
    </row>
    <row r="707" spans="1:4" x14ac:dyDescent="0.2">
      <c r="A707" s="48">
        <v>43009</v>
      </c>
      <c r="B707">
        <v>1191</v>
      </c>
      <c r="C707">
        <v>1248</v>
      </c>
      <c r="D707">
        <v>1346</v>
      </c>
    </row>
    <row r="708" spans="1:4" x14ac:dyDescent="0.2">
      <c r="A708" s="48">
        <v>43040</v>
      </c>
      <c r="B708">
        <v>1180</v>
      </c>
      <c r="C708">
        <v>1278</v>
      </c>
      <c r="D708">
        <v>1302</v>
      </c>
    </row>
    <row r="709" spans="1:4" x14ac:dyDescent="0.2">
      <c r="A709" s="48">
        <v>43070</v>
      </c>
      <c r="B709">
        <v>1203</v>
      </c>
      <c r="C709">
        <v>1182</v>
      </c>
      <c r="D709">
        <v>1309</v>
      </c>
    </row>
    <row r="710" spans="1:4" x14ac:dyDescent="0.2">
      <c r="A710" s="48">
        <v>43101</v>
      </c>
      <c r="B710">
        <v>1204</v>
      </c>
      <c r="C710">
        <v>1309</v>
      </c>
      <c r="D710">
        <v>1352</v>
      </c>
    </row>
    <row r="711" spans="1:4" x14ac:dyDescent="0.2">
      <c r="A711" s="48">
        <v>43132</v>
      </c>
      <c r="B711">
        <v>1290</v>
      </c>
      <c r="C711">
        <v>1289</v>
      </c>
      <c r="D711">
        <v>1332</v>
      </c>
    </row>
    <row r="712" spans="1:4" x14ac:dyDescent="0.2">
      <c r="A712" s="48">
        <v>43160</v>
      </c>
      <c r="B712">
        <v>1189</v>
      </c>
      <c r="C712">
        <v>1327</v>
      </c>
      <c r="D712">
        <v>1407</v>
      </c>
    </row>
    <row r="713" spans="1:4" x14ac:dyDescent="0.2">
      <c r="A713" s="48">
        <v>43191</v>
      </c>
      <c r="B713">
        <v>1213</v>
      </c>
      <c r="C713">
        <v>1285</v>
      </c>
      <c r="D713">
        <v>1391</v>
      </c>
    </row>
    <row r="714" spans="1:4" x14ac:dyDescent="0.2">
      <c r="A714" s="48">
        <v>43221</v>
      </c>
      <c r="B714">
        <v>1263</v>
      </c>
      <c r="C714">
        <v>1354</v>
      </c>
      <c r="D714">
        <v>1331</v>
      </c>
    </row>
    <row r="715" spans="1:4" x14ac:dyDescent="0.2">
      <c r="A715" s="48">
        <v>43252</v>
      </c>
      <c r="B715">
        <v>1216</v>
      </c>
      <c r="C715">
        <v>1199</v>
      </c>
      <c r="D715">
        <v>1320</v>
      </c>
    </row>
    <row r="716" spans="1:4" x14ac:dyDescent="0.2">
      <c r="A716" s="48">
        <v>43282</v>
      </c>
      <c r="B716">
        <v>1169</v>
      </c>
      <c r="C716">
        <v>1193</v>
      </c>
      <c r="D716">
        <v>1328</v>
      </c>
    </row>
    <row r="717" spans="1:4" x14ac:dyDescent="0.2">
      <c r="A717" s="48">
        <v>43313</v>
      </c>
      <c r="B717">
        <v>1246</v>
      </c>
      <c r="C717">
        <v>1288</v>
      </c>
      <c r="D717">
        <v>1264</v>
      </c>
    </row>
    <row r="718" spans="1:4" x14ac:dyDescent="0.2">
      <c r="A718" s="48">
        <v>43344</v>
      </c>
      <c r="B718">
        <v>1174</v>
      </c>
      <c r="C718">
        <v>1238</v>
      </c>
      <c r="D718">
        <v>1289</v>
      </c>
    </row>
    <row r="719" spans="1:4" x14ac:dyDescent="0.2">
      <c r="A719" s="48">
        <v>43374</v>
      </c>
      <c r="B719">
        <v>1116</v>
      </c>
      <c r="C719">
        <v>1208</v>
      </c>
      <c r="D719">
        <v>1275</v>
      </c>
    </row>
    <row r="720" spans="1:4" x14ac:dyDescent="0.2">
      <c r="A720" s="48">
        <v>43405</v>
      </c>
      <c r="B720">
        <v>1142</v>
      </c>
      <c r="C720">
        <v>1183</v>
      </c>
      <c r="D720">
        <v>1318</v>
      </c>
    </row>
    <row r="721" spans="1:4" x14ac:dyDescent="0.2">
      <c r="A721" s="48">
        <v>43435</v>
      </c>
      <c r="B721">
        <v>1052</v>
      </c>
      <c r="C721">
        <v>1095</v>
      </c>
      <c r="D721">
        <v>1338</v>
      </c>
    </row>
    <row r="722" spans="1:4" x14ac:dyDescent="0.2">
      <c r="A722" s="48">
        <v>43466</v>
      </c>
      <c r="B722">
        <v>1246</v>
      </c>
      <c r="C722">
        <v>1244</v>
      </c>
      <c r="D722">
        <v>1295</v>
      </c>
    </row>
    <row r="723" spans="1:4" x14ac:dyDescent="0.2">
      <c r="A723" s="48">
        <v>43497</v>
      </c>
      <c r="B723">
        <v>1337</v>
      </c>
      <c r="C723">
        <v>1142</v>
      </c>
      <c r="D723">
        <v>1304</v>
      </c>
    </row>
    <row r="724" spans="1:4" x14ac:dyDescent="0.2">
      <c r="A724" s="48">
        <v>43525</v>
      </c>
      <c r="B724">
        <v>1316</v>
      </c>
      <c r="C724">
        <v>1203</v>
      </c>
      <c r="D724">
        <v>1316</v>
      </c>
    </row>
    <row r="725" spans="1:4" x14ac:dyDescent="0.2">
      <c r="A725" s="48">
        <v>43556</v>
      </c>
      <c r="B725">
        <v>1312</v>
      </c>
      <c r="C725">
        <v>1282</v>
      </c>
      <c r="D725">
        <v>1337</v>
      </c>
    </row>
    <row r="726" spans="1:4" x14ac:dyDescent="0.2">
      <c r="A726" s="48">
        <v>43586</v>
      </c>
      <c r="B726">
        <v>1235</v>
      </c>
      <c r="C726">
        <v>1303</v>
      </c>
      <c r="D726">
        <v>1337</v>
      </c>
    </row>
    <row r="727" spans="1:4" x14ac:dyDescent="0.2">
      <c r="A727" s="48">
        <v>43617</v>
      </c>
      <c r="B727">
        <v>1170</v>
      </c>
      <c r="C727">
        <v>1237</v>
      </c>
      <c r="D727">
        <v>1276</v>
      </c>
    </row>
    <row r="728" spans="1:4" x14ac:dyDescent="0.2">
      <c r="A728" s="48">
        <v>43647</v>
      </c>
      <c r="B728">
        <v>1242</v>
      </c>
      <c r="C728">
        <v>1224</v>
      </c>
      <c r="D728">
        <v>1369</v>
      </c>
    </row>
    <row r="729" spans="1:4" x14ac:dyDescent="0.2">
      <c r="A729" s="48">
        <v>43678</v>
      </c>
      <c r="B729">
        <v>1272</v>
      </c>
      <c r="C729">
        <v>1371</v>
      </c>
      <c r="D729">
        <v>1479</v>
      </c>
    </row>
    <row r="730" spans="1:4" x14ac:dyDescent="0.2">
      <c r="A730" s="48">
        <v>43709</v>
      </c>
      <c r="B730">
        <v>1136</v>
      </c>
      <c r="C730">
        <v>1285</v>
      </c>
      <c r="D730">
        <v>1439</v>
      </c>
    </row>
    <row r="731" spans="1:4" x14ac:dyDescent="0.2">
      <c r="A731" s="48">
        <v>43739</v>
      </c>
      <c r="B731">
        <v>1279</v>
      </c>
      <c r="C731">
        <v>1318</v>
      </c>
      <c r="D731">
        <v>1509</v>
      </c>
    </row>
    <row r="732" spans="1:4" x14ac:dyDescent="0.2">
      <c r="A732" s="48">
        <v>43770</v>
      </c>
      <c r="B732">
        <v>1252</v>
      </c>
      <c r="C732">
        <v>1350</v>
      </c>
      <c r="D732">
        <v>1509</v>
      </c>
    </row>
    <row r="733" spans="1:4" x14ac:dyDescent="0.2">
      <c r="A733" s="48">
        <v>43800</v>
      </c>
      <c r="B733">
        <v>1308</v>
      </c>
      <c r="C733">
        <v>1547</v>
      </c>
      <c r="D733">
        <v>1453</v>
      </c>
    </row>
    <row r="734" spans="1:4" x14ac:dyDescent="0.2">
      <c r="A734" s="48">
        <v>43831</v>
      </c>
      <c r="B734">
        <v>1288</v>
      </c>
      <c r="C734">
        <v>1589</v>
      </c>
      <c r="D734">
        <v>1550</v>
      </c>
    </row>
    <row r="735" spans="1:4" x14ac:dyDescent="0.2">
      <c r="A735" s="48">
        <v>43862</v>
      </c>
      <c r="B735">
        <v>1294</v>
      </c>
      <c r="C735">
        <v>1589</v>
      </c>
      <c r="D735">
        <v>1478</v>
      </c>
    </row>
    <row r="736" spans="1:4" x14ac:dyDescent="0.2">
      <c r="A736" s="48">
        <v>43891</v>
      </c>
      <c r="B736">
        <v>1267</v>
      </c>
      <c r="C736">
        <v>1277</v>
      </c>
      <c r="D736">
        <v>1382</v>
      </c>
    </row>
    <row r="737" spans="1:4" x14ac:dyDescent="0.2">
      <c r="A737" s="48">
        <v>43922</v>
      </c>
      <c r="B737">
        <v>1191</v>
      </c>
      <c r="C737">
        <v>938</v>
      </c>
      <c r="D737">
        <v>1094</v>
      </c>
    </row>
    <row r="738" spans="1:4" x14ac:dyDescent="0.2">
      <c r="A738" s="48">
        <v>43952</v>
      </c>
      <c r="B738">
        <v>1178</v>
      </c>
      <c r="C738">
        <v>1046</v>
      </c>
      <c r="D738">
        <v>1246</v>
      </c>
    </row>
    <row r="739" spans="1:4" x14ac:dyDescent="0.2">
      <c r="A739" s="48">
        <v>43983</v>
      </c>
      <c r="B739">
        <v>1243</v>
      </c>
      <c r="C739">
        <v>1273</v>
      </c>
      <c r="D739">
        <v>1296</v>
      </c>
    </row>
    <row r="740" spans="1:4" x14ac:dyDescent="0.2">
      <c r="A740" s="48">
        <v>44013</v>
      </c>
      <c r="B740">
        <v>1340</v>
      </c>
      <c r="C740">
        <v>1497</v>
      </c>
      <c r="D740">
        <v>1542</v>
      </c>
    </row>
    <row r="741" spans="1:4" x14ac:dyDescent="0.2">
      <c r="A741" s="48">
        <v>44044</v>
      </c>
      <c r="B741">
        <v>1216</v>
      </c>
      <c r="C741">
        <v>1376</v>
      </c>
      <c r="D741">
        <v>1522</v>
      </c>
    </row>
    <row r="742" spans="1:4" x14ac:dyDescent="0.2">
      <c r="A742" s="48">
        <v>44075</v>
      </c>
      <c r="B742">
        <v>1426</v>
      </c>
      <c r="C742">
        <v>1448</v>
      </c>
      <c r="D742">
        <v>1589</v>
      </c>
    </row>
    <row r="743" spans="1:4" x14ac:dyDescent="0.2">
      <c r="A743" s="48">
        <v>44105</v>
      </c>
      <c r="B743">
        <v>1356</v>
      </c>
      <c r="C743">
        <v>1514</v>
      </c>
      <c r="D743">
        <v>1595</v>
      </c>
    </row>
    <row r="744" spans="1:4" x14ac:dyDescent="0.2">
      <c r="A744" s="48">
        <v>44136</v>
      </c>
      <c r="B744">
        <v>1244</v>
      </c>
      <c r="C744">
        <v>1551</v>
      </c>
      <c r="D744">
        <v>1696</v>
      </c>
    </row>
    <row r="745" spans="1:4" x14ac:dyDescent="0.2">
      <c r="A745" s="48">
        <v>44166</v>
      </c>
      <c r="B745">
        <v>1386</v>
      </c>
      <c r="C745">
        <v>1661</v>
      </c>
      <c r="D745">
        <v>1758</v>
      </c>
    </row>
    <row r="746" spans="1:4" x14ac:dyDescent="0.2">
      <c r="A746" s="48">
        <v>44197</v>
      </c>
      <c r="B746">
        <v>1328</v>
      </c>
      <c r="C746">
        <v>1625</v>
      </c>
      <c r="D746">
        <v>1883</v>
      </c>
    </row>
    <row r="747" spans="1:4" x14ac:dyDescent="0.2">
      <c r="A747" s="48">
        <v>44228</v>
      </c>
      <c r="B747">
        <v>1347</v>
      </c>
      <c r="C747">
        <v>1447</v>
      </c>
      <c r="D747">
        <v>1726</v>
      </c>
    </row>
    <row r="748" spans="1:4" x14ac:dyDescent="0.2">
      <c r="A748" s="48">
        <v>44256</v>
      </c>
      <c r="B748">
        <v>1497</v>
      </c>
      <c r="C748">
        <v>1725</v>
      </c>
      <c r="D748">
        <v>1755</v>
      </c>
    </row>
    <row r="749" spans="1:4" x14ac:dyDescent="0.2">
      <c r="A749" s="48">
        <v>44287</v>
      </c>
      <c r="B749">
        <v>1417</v>
      </c>
      <c r="C749">
        <v>1514</v>
      </c>
      <c r="D749">
        <v>1733</v>
      </c>
    </row>
    <row r="750" spans="1:4" x14ac:dyDescent="0.2">
      <c r="A750" s="48">
        <v>44317</v>
      </c>
      <c r="B750">
        <v>1350</v>
      </c>
      <c r="C750">
        <v>1594</v>
      </c>
      <c r="D750">
        <v>1683</v>
      </c>
    </row>
    <row r="751" spans="1:4" x14ac:dyDescent="0.2">
      <c r="A751" s="48">
        <v>44348</v>
      </c>
      <c r="B751">
        <v>1312</v>
      </c>
      <c r="C751">
        <v>1657</v>
      </c>
      <c r="D751">
        <v>1594</v>
      </c>
    </row>
    <row r="752" spans="1:4" x14ac:dyDescent="0.2">
      <c r="A752" s="48">
        <v>44378</v>
      </c>
      <c r="B752">
        <v>1380</v>
      </c>
      <c r="C752">
        <v>1562</v>
      </c>
      <c r="D752">
        <v>1630</v>
      </c>
    </row>
    <row r="753" spans="1:4" x14ac:dyDescent="0.2">
      <c r="A753" s="48">
        <v>44409</v>
      </c>
      <c r="B753">
        <v>1291</v>
      </c>
      <c r="C753">
        <v>1573</v>
      </c>
      <c r="D753">
        <v>1721</v>
      </c>
    </row>
    <row r="754" spans="1:4" x14ac:dyDescent="0.2">
      <c r="A754" s="48">
        <v>44440</v>
      </c>
      <c r="B754">
        <v>1235</v>
      </c>
      <c r="C754">
        <v>1550</v>
      </c>
      <c r="D754">
        <v>1586</v>
      </c>
    </row>
    <row r="755" spans="1:4" x14ac:dyDescent="0.2">
      <c r="A755" s="48">
        <v>44470</v>
      </c>
      <c r="B755">
        <v>1255</v>
      </c>
      <c r="C755">
        <v>1552</v>
      </c>
      <c r="D755">
        <v>1653</v>
      </c>
    </row>
    <row r="756" spans="1:4" x14ac:dyDescent="0.2">
      <c r="A756" s="48">
        <v>44501</v>
      </c>
      <c r="B756">
        <v>1418</v>
      </c>
      <c r="C756">
        <v>1678</v>
      </c>
      <c r="D756">
        <v>1717</v>
      </c>
    </row>
    <row r="757" spans="1:4" x14ac:dyDescent="0.2">
      <c r="A757" s="48">
        <v>44531</v>
      </c>
      <c r="B757">
        <v>1295</v>
      </c>
      <c r="C757">
        <v>1702</v>
      </c>
      <c r="D757">
        <v>1885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C750"/>
  <sheetViews>
    <sheetView zoomScale="160" zoomScaleNormal="160" workbookViewId="0">
      <pane ySplit="6" topLeftCell="A715" activePane="bottomLeft" state="frozen"/>
      <selection pane="bottomLeft" activeCell="Q746" sqref="Q746"/>
    </sheetView>
  </sheetViews>
  <sheetFormatPr baseColWidth="10" defaultColWidth="9.1640625" defaultRowHeight="15" x14ac:dyDescent="0.2"/>
  <cols>
    <col min="1" max="1" width="14.1640625" style="11" customWidth="1"/>
    <col min="2" max="2" width="27.6640625" style="11" customWidth="1"/>
    <col min="3" max="3" width="17.83203125" style="46" customWidth="1"/>
    <col min="4" max="4" width="9.1640625" style="46" customWidth="1"/>
    <col min="5" max="16384" width="9.1640625" style="46"/>
  </cols>
  <sheetData>
    <row r="1" spans="1:3" ht="19" customHeight="1" x14ac:dyDescent="0.25">
      <c r="A1" s="12" t="s">
        <v>31</v>
      </c>
    </row>
    <row r="2" spans="1:3" x14ac:dyDescent="0.2">
      <c r="A2" s="46" t="s">
        <v>18</v>
      </c>
    </row>
    <row r="5" spans="1:3" ht="16" customHeight="1" thickBot="1" x14ac:dyDescent="0.25"/>
    <row r="6" spans="1:3" ht="39.75" customHeight="1" x14ac:dyDescent="0.2">
      <c r="A6" s="6" t="s">
        <v>32</v>
      </c>
      <c r="B6" s="7" t="s">
        <v>33</v>
      </c>
      <c r="C6" s="8" t="s">
        <v>34</v>
      </c>
    </row>
    <row r="7" spans="1:3" x14ac:dyDescent="0.2">
      <c r="A7" s="9">
        <v>21916</v>
      </c>
      <c r="B7" s="10">
        <f>VLOOKUP(Table2[[#This Row],[Date]],'Database New'!$A:$D,MATCH($A$1,'Database New'!$A$1:$D$1,),)</f>
        <v>1092</v>
      </c>
      <c r="C7" s="10"/>
    </row>
    <row r="8" spans="1:3" x14ac:dyDescent="0.2">
      <c r="A8" s="9">
        <v>21947</v>
      </c>
      <c r="B8" s="10">
        <f>VLOOKUP(Table2[[#This Row],[Date]],'Database New'!$A:$D,MATCH($A$1,'Database New'!$A$1:$D$1,),)</f>
        <v>1088</v>
      </c>
      <c r="C8" s="30">
        <f>(Table2[[#This Row],[Building Permits]]-B7)/B7</f>
        <v>-3.663003663003663E-3</v>
      </c>
    </row>
    <row r="9" spans="1:3" x14ac:dyDescent="0.2">
      <c r="A9" s="9">
        <v>21976</v>
      </c>
      <c r="B9" s="10">
        <f>VLOOKUP(Table2[[#This Row],[Date]],'Database New'!$A:$D,MATCH($A$1,'Database New'!$A$1:$D$1,),)</f>
        <v>955</v>
      </c>
      <c r="C9" s="30">
        <f>(Table2[[#This Row],[Building Permits]]-B8)/B8</f>
        <v>-0.12224264705882353</v>
      </c>
    </row>
    <row r="10" spans="1:3" x14ac:dyDescent="0.2">
      <c r="A10" s="9">
        <v>22007</v>
      </c>
      <c r="B10" s="10">
        <f>VLOOKUP(Table2[[#This Row],[Date]],'Database New'!$A:$D,MATCH($A$1,'Database New'!$A$1:$D$1,),)</f>
        <v>1016</v>
      </c>
      <c r="C10" s="30">
        <f>(Table2[[#This Row],[Building Permits]]-B9)/B9</f>
        <v>6.3874345549738226E-2</v>
      </c>
    </row>
    <row r="11" spans="1:3" x14ac:dyDescent="0.2">
      <c r="A11" s="9">
        <v>22037</v>
      </c>
      <c r="B11" s="10">
        <f>VLOOKUP(Table2[[#This Row],[Date]],'Database New'!$A:$D,MATCH($A$1,'Database New'!$A$1:$D$1,),)</f>
        <v>1052</v>
      </c>
      <c r="C11" s="30">
        <f>(Table2[[#This Row],[Building Permits]]-B10)/B10</f>
        <v>3.5433070866141732E-2</v>
      </c>
    </row>
    <row r="12" spans="1:3" x14ac:dyDescent="0.2">
      <c r="A12" s="9">
        <v>22068</v>
      </c>
      <c r="B12" s="10">
        <f>VLOOKUP(Table2[[#This Row],[Date]],'Database New'!$A:$D,MATCH($A$1,'Database New'!$A$1:$D$1,),)</f>
        <v>958</v>
      </c>
      <c r="C12" s="30">
        <f>(Table2[[#This Row],[Building Permits]]-B11)/B11</f>
        <v>-8.9353612167300381E-2</v>
      </c>
    </row>
    <row r="13" spans="1:3" x14ac:dyDescent="0.2">
      <c r="A13" s="9">
        <v>22098</v>
      </c>
      <c r="B13" s="10">
        <f>VLOOKUP(Table2[[#This Row],[Date]],'Database New'!$A:$D,MATCH($A$1,'Database New'!$A$1:$D$1,),)</f>
        <v>999</v>
      </c>
      <c r="C13" s="30">
        <f>(Table2[[#This Row],[Building Permits]]-B12)/B12</f>
        <v>4.2797494780793317E-2</v>
      </c>
    </row>
    <row r="14" spans="1:3" x14ac:dyDescent="0.2">
      <c r="A14" s="9">
        <v>22129</v>
      </c>
      <c r="B14" s="10">
        <f>VLOOKUP(Table2[[#This Row],[Date]],'Database New'!$A:$D,MATCH($A$1,'Database New'!$A$1:$D$1,),)</f>
        <v>994</v>
      </c>
      <c r="C14" s="30">
        <f>(Table2[[#This Row],[Building Permits]]-B13)/B13</f>
        <v>-5.005005005005005E-3</v>
      </c>
    </row>
    <row r="15" spans="1:3" x14ac:dyDescent="0.2">
      <c r="A15" s="9">
        <v>22160</v>
      </c>
      <c r="B15" s="10">
        <f>VLOOKUP(Table2[[#This Row],[Date]],'Database New'!$A:$D,MATCH($A$1,'Database New'!$A$1:$D$1,),)</f>
        <v>984</v>
      </c>
      <c r="C15" s="30">
        <f>(Table2[[#This Row],[Building Permits]]-B14)/B14</f>
        <v>-1.0060362173038229E-2</v>
      </c>
    </row>
    <row r="16" spans="1:3" x14ac:dyDescent="0.2">
      <c r="A16" s="9">
        <v>22190</v>
      </c>
      <c r="B16" s="10">
        <f>VLOOKUP(Table2[[#This Row],[Date]],'Database New'!$A:$D,MATCH($A$1,'Database New'!$A$1:$D$1,),)</f>
        <v>972</v>
      </c>
      <c r="C16" s="30">
        <f>(Table2[[#This Row],[Building Permits]]-B15)/B15</f>
        <v>-1.2195121951219513E-2</v>
      </c>
    </row>
    <row r="17" spans="1:3" x14ac:dyDescent="0.2">
      <c r="A17" s="9">
        <v>22221</v>
      </c>
      <c r="B17" s="10">
        <f>VLOOKUP(Table2[[#This Row],[Date]],'Database New'!$A:$D,MATCH($A$1,'Database New'!$A$1:$D$1,),)</f>
        <v>979</v>
      </c>
      <c r="C17" s="30">
        <f>(Table2[[#This Row],[Building Permits]]-B16)/B16</f>
        <v>7.2016460905349796E-3</v>
      </c>
    </row>
    <row r="18" spans="1:3" x14ac:dyDescent="0.2">
      <c r="A18" s="9">
        <v>22251</v>
      </c>
      <c r="B18" s="10">
        <f>VLOOKUP(Table2[[#This Row],[Date]],'Database New'!$A:$D,MATCH($A$1,'Database New'!$A$1:$D$1,),)</f>
        <v>951</v>
      </c>
      <c r="C18" s="30">
        <f>(Table2[[#This Row],[Building Permits]]-B17)/B17</f>
        <v>-2.8600612870275793E-2</v>
      </c>
    </row>
    <row r="19" spans="1:3" x14ac:dyDescent="0.2">
      <c r="A19" s="9">
        <v>22282</v>
      </c>
      <c r="B19" s="10">
        <f>VLOOKUP(Table2[[#This Row],[Date]],'Database New'!$A:$D,MATCH($A$1,'Database New'!$A$1:$D$1,),)</f>
        <v>969</v>
      </c>
      <c r="C19" s="30">
        <f>(Table2[[#This Row],[Building Permits]]-B18)/B18</f>
        <v>1.8927444794952682E-2</v>
      </c>
    </row>
    <row r="20" spans="1:3" x14ac:dyDescent="0.2">
      <c r="A20" s="9">
        <v>22313</v>
      </c>
      <c r="B20" s="10">
        <f>VLOOKUP(Table2[[#This Row],[Date]],'Database New'!$A:$D,MATCH($A$1,'Database New'!$A$1:$D$1,),)</f>
        <v>961</v>
      </c>
      <c r="C20" s="30">
        <f>(Table2[[#This Row],[Building Permits]]-B19)/B19</f>
        <v>-8.2559339525283791E-3</v>
      </c>
    </row>
    <row r="21" spans="1:3" x14ac:dyDescent="0.2">
      <c r="A21" s="9">
        <v>22341</v>
      </c>
      <c r="B21" s="10">
        <f>VLOOKUP(Table2[[#This Row],[Date]],'Database New'!$A:$D,MATCH($A$1,'Database New'!$A$1:$D$1,),)</f>
        <v>1000</v>
      </c>
      <c r="C21" s="30">
        <f>(Table2[[#This Row],[Building Permits]]-B20)/B20</f>
        <v>4.0582726326742979E-2</v>
      </c>
    </row>
    <row r="22" spans="1:3" x14ac:dyDescent="0.2">
      <c r="A22" s="9">
        <v>22372</v>
      </c>
      <c r="B22" s="10">
        <f>VLOOKUP(Table2[[#This Row],[Date]],'Database New'!$A:$D,MATCH($A$1,'Database New'!$A$1:$D$1,),)</f>
        <v>1002</v>
      </c>
      <c r="C22" s="30">
        <f>(Table2[[#This Row],[Building Permits]]-B21)/B21</f>
        <v>2E-3</v>
      </c>
    </row>
    <row r="23" spans="1:3" x14ac:dyDescent="0.2">
      <c r="A23" s="9">
        <v>22402</v>
      </c>
      <c r="B23" s="10">
        <f>VLOOKUP(Table2[[#This Row],[Date]],'Database New'!$A:$D,MATCH($A$1,'Database New'!$A$1:$D$1,),)</f>
        <v>1027</v>
      </c>
      <c r="C23" s="30">
        <f>(Table2[[#This Row],[Building Permits]]-B22)/B22</f>
        <v>2.4950099800399202E-2</v>
      </c>
    </row>
    <row r="24" spans="1:3" x14ac:dyDescent="0.2">
      <c r="A24" s="9">
        <v>22433</v>
      </c>
      <c r="B24" s="10">
        <f>VLOOKUP(Table2[[#This Row],[Date]],'Database New'!$A:$D,MATCH($A$1,'Database New'!$A$1:$D$1,),)</f>
        <v>1070</v>
      </c>
      <c r="C24" s="30">
        <f>(Table2[[#This Row],[Building Permits]]-B23)/B23</f>
        <v>4.1869522882181112E-2</v>
      </c>
    </row>
    <row r="25" spans="1:3" x14ac:dyDescent="0.2">
      <c r="A25" s="9">
        <v>22463</v>
      </c>
      <c r="B25" s="10">
        <f>VLOOKUP(Table2[[#This Row],[Date]],'Database New'!$A:$D,MATCH($A$1,'Database New'!$A$1:$D$1,),)</f>
        <v>1083</v>
      </c>
      <c r="C25" s="30">
        <f>(Table2[[#This Row],[Building Permits]]-B24)/B24</f>
        <v>1.2149532710280374E-2</v>
      </c>
    </row>
    <row r="26" spans="1:3" x14ac:dyDescent="0.2">
      <c r="A26" s="9">
        <v>22494</v>
      </c>
      <c r="B26" s="10">
        <f>VLOOKUP(Table2[[#This Row],[Date]],'Database New'!$A:$D,MATCH($A$1,'Database New'!$A$1:$D$1,),)</f>
        <v>1159</v>
      </c>
      <c r="C26" s="30">
        <f>(Table2[[#This Row],[Building Permits]]-B25)/B25</f>
        <v>7.0175438596491224E-2</v>
      </c>
    </row>
    <row r="27" spans="1:3" x14ac:dyDescent="0.2">
      <c r="A27" s="9">
        <v>22525</v>
      </c>
      <c r="B27" s="10">
        <f>VLOOKUP(Table2[[#This Row],[Date]],'Database New'!$A:$D,MATCH($A$1,'Database New'!$A$1:$D$1,),)</f>
        <v>1098</v>
      </c>
      <c r="C27" s="30">
        <f>(Table2[[#This Row],[Building Permits]]-B26)/B26</f>
        <v>-5.2631578947368418E-2</v>
      </c>
    </row>
    <row r="28" spans="1:3" x14ac:dyDescent="0.2">
      <c r="A28" s="9">
        <v>22555</v>
      </c>
      <c r="B28" s="10">
        <f>VLOOKUP(Table2[[#This Row],[Date]],'Database New'!$A:$D,MATCH($A$1,'Database New'!$A$1:$D$1,),)</f>
        <v>1123</v>
      </c>
      <c r="C28" s="30">
        <f>(Table2[[#This Row],[Building Permits]]-B27)/B27</f>
        <v>2.2768670309653915E-2</v>
      </c>
    </row>
    <row r="29" spans="1:3" x14ac:dyDescent="0.2">
      <c r="A29" s="9">
        <v>22586</v>
      </c>
      <c r="B29" s="10">
        <f>VLOOKUP(Table2[[#This Row],[Date]],'Database New'!$A:$D,MATCH($A$1,'Database New'!$A$1:$D$1,),)</f>
        <v>1152</v>
      </c>
      <c r="C29" s="30">
        <f>(Table2[[#This Row],[Building Permits]]-B28)/B28</f>
        <v>2.5823686553873553E-2</v>
      </c>
    </row>
    <row r="30" spans="1:3" x14ac:dyDescent="0.2">
      <c r="A30" s="9">
        <v>22616</v>
      </c>
      <c r="B30" s="10">
        <f>VLOOKUP(Table2[[#This Row],[Date]],'Database New'!$A:$D,MATCH($A$1,'Database New'!$A$1:$D$1,),)</f>
        <v>1161</v>
      </c>
      <c r="C30" s="30">
        <f>(Table2[[#This Row],[Building Permits]]-B29)/B29</f>
        <v>7.8125E-3</v>
      </c>
    </row>
    <row r="31" spans="1:3" x14ac:dyDescent="0.2">
      <c r="A31" s="9">
        <v>22647</v>
      </c>
      <c r="B31" s="10">
        <f>VLOOKUP(Table2[[#This Row],[Date]],'Database New'!$A:$D,MATCH($A$1,'Database New'!$A$1:$D$1,),)</f>
        <v>1122</v>
      </c>
      <c r="C31" s="30">
        <f>(Table2[[#This Row],[Building Permits]]-B30)/B30</f>
        <v>-3.3591731266149873E-2</v>
      </c>
    </row>
    <row r="32" spans="1:3" x14ac:dyDescent="0.2">
      <c r="A32" s="9">
        <v>22678</v>
      </c>
      <c r="B32" s="10">
        <f>VLOOKUP(Table2[[#This Row],[Date]],'Database New'!$A:$D,MATCH($A$1,'Database New'!$A$1:$D$1,),)</f>
        <v>1194</v>
      </c>
      <c r="C32" s="30">
        <f>(Table2[[#This Row],[Building Permits]]-B31)/B31</f>
        <v>6.4171122994652413E-2</v>
      </c>
    </row>
    <row r="33" spans="1:3" x14ac:dyDescent="0.2">
      <c r="A33" s="9">
        <v>22706</v>
      </c>
      <c r="B33" s="10">
        <f>VLOOKUP(Table2[[#This Row],[Date]],'Database New'!$A:$D,MATCH($A$1,'Database New'!$A$1:$D$1,),)</f>
        <v>1134</v>
      </c>
      <c r="C33" s="30">
        <f>(Table2[[#This Row],[Building Permits]]-B32)/B32</f>
        <v>-5.0251256281407038E-2</v>
      </c>
    </row>
    <row r="34" spans="1:3" x14ac:dyDescent="0.2">
      <c r="A34" s="9">
        <v>22737</v>
      </c>
      <c r="B34" s="10">
        <f>VLOOKUP(Table2[[#This Row],[Date]],'Database New'!$A:$D,MATCH($A$1,'Database New'!$A$1:$D$1,),)</f>
        <v>1235</v>
      </c>
      <c r="C34" s="30">
        <f>(Table2[[#This Row],[Building Permits]]-B33)/B33</f>
        <v>8.9065255731922394E-2</v>
      </c>
    </row>
    <row r="35" spans="1:3" x14ac:dyDescent="0.2">
      <c r="A35" s="9">
        <v>22767</v>
      </c>
      <c r="B35" s="10">
        <f>VLOOKUP(Table2[[#This Row],[Date]],'Database New'!$A:$D,MATCH($A$1,'Database New'!$A$1:$D$1,),)</f>
        <v>1142</v>
      </c>
      <c r="C35" s="30">
        <f>(Table2[[#This Row],[Building Permits]]-B34)/B34</f>
        <v>-7.5303643724696362E-2</v>
      </c>
    </row>
    <row r="36" spans="1:3" x14ac:dyDescent="0.2">
      <c r="A36" s="9">
        <v>22798</v>
      </c>
      <c r="B36" s="10">
        <f>VLOOKUP(Table2[[#This Row],[Date]],'Database New'!$A:$D,MATCH($A$1,'Database New'!$A$1:$D$1,),)</f>
        <v>1154</v>
      </c>
      <c r="C36" s="30">
        <f>(Table2[[#This Row],[Building Permits]]-B35)/B35</f>
        <v>1.0507880910683012E-2</v>
      </c>
    </row>
    <row r="37" spans="1:3" x14ac:dyDescent="0.2">
      <c r="A37" s="9">
        <v>22828</v>
      </c>
      <c r="B37" s="10">
        <f>VLOOKUP(Table2[[#This Row],[Date]],'Database New'!$A:$D,MATCH($A$1,'Database New'!$A$1:$D$1,),)</f>
        <v>1189</v>
      </c>
      <c r="C37" s="30">
        <f>(Table2[[#This Row],[Building Permits]]-B36)/B36</f>
        <v>3.0329289428076257E-2</v>
      </c>
    </row>
    <row r="38" spans="1:3" x14ac:dyDescent="0.2">
      <c r="A38" s="9">
        <v>22859</v>
      </c>
      <c r="B38" s="10">
        <f>VLOOKUP(Table2[[#This Row],[Date]],'Database New'!$A:$D,MATCH($A$1,'Database New'!$A$1:$D$1,),)</f>
        <v>1200</v>
      </c>
      <c r="C38" s="30">
        <f>(Table2[[#This Row],[Building Permits]]-B37)/B37</f>
        <v>9.2514718250630776E-3</v>
      </c>
    </row>
    <row r="39" spans="1:3" x14ac:dyDescent="0.2">
      <c r="A39" s="9">
        <v>22890</v>
      </c>
      <c r="B39" s="10">
        <f>VLOOKUP(Table2[[#This Row],[Date]],'Database New'!$A:$D,MATCH($A$1,'Database New'!$A$1:$D$1,),)</f>
        <v>1223</v>
      </c>
      <c r="C39" s="30">
        <f>(Table2[[#This Row],[Building Permits]]-B38)/B38</f>
        <v>1.9166666666666665E-2</v>
      </c>
    </row>
    <row r="40" spans="1:3" x14ac:dyDescent="0.2">
      <c r="A40" s="9">
        <v>22920</v>
      </c>
      <c r="B40" s="10">
        <f>VLOOKUP(Table2[[#This Row],[Date]],'Database New'!$A:$D,MATCH($A$1,'Database New'!$A$1:$D$1,),)</f>
        <v>1181</v>
      </c>
      <c r="C40" s="30">
        <f>(Table2[[#This Row],[Building Permits]]-B39)/B39</f>
        <v>-3.4341782502044151E-2</v>
      </c>
    </row>
    <row r="41" spans="1:3" x14ac:dyDescent="0.2">
      <c r="A41" s="9">
        <v>22951</v>
      </c>
      <c r="B41" s="10">
        <f>VLOOKUP(Table2[[#This Row],[Date]],'Database New'!$A:$D,MATCH($A$1,'Database New'!$A$1:$D$1,),)</f>
        <v>1236</v>
      </c>
      <c r="C41" s="30">
        <f>(Table2[[#This Row],[Building Permits]]-B40)/B40</f>
        <v>4.6570702794242171E-2</v>
      </c>
    </row>
    <row r="42" spans="1:3" x14ac:dyDescent="0.2">
      <c r="A42" s="9">
        <v>22981</v>
      </c>
      <c r="B42" s="10">
        <f>VLOOKUP(Table2[[#This Row],[Date]],'Database New'!$A:$D,MATCH($A$1,'Database New'!$A$1:$D$1,),)</f>
        <v>1236</v>
      </c>
      <c r="C42" s="30">
        <f>(Table2[[#This Row],[Building Permits]]-B41)/B41</f>
        <v>0</v>
      </c>
    </row>
    <row r="43" spans="1:3" x14ac:dyDescent="0.2">
      <c r="A43" s="9">
        <v>23012</v>
      </c>
      <c r="B43" s="10">
        <f>VLOOKUP(Table2[[#This Row],[Date]],'Database New'!$A:$D,MATCH($A$1,'Database New'!$A$1:$D$1,),)</f>
        <v>1248</v>
      </c>
      <c r="C43" s="30">
        <f>(Table2[[#This Row],[Building Permits]]-B42)/B42</f>
        <v>9.7087378640776691E-3</v>
      </c>
    </row>
    <row r="44" spans="1:3" x14ac:dyDescent="0.2">
      <c r="A44" s="9">
        <v>23043</v>
      </c>
      <c r="B44" s="10">
        <f>VLOOKUP(Table2[[#This Row],[Date]],'Database New'!$A:$D,MATCH($A$1,'Database New'!$A$1:$D$1,),)</f>
        <v>1212</v>
      </c>
      <c r="C44" s="30">
        <f>(Table2[[#This Row],[Building Permits]]-B43)/B43</f>
        <v>-2.8846153846153848E-2</v>
      </c>
    </row>
    <row r="45" spans="1:3" x14ac:dyDescent="0.2">
      <c r="A45" s="9">
        <v>23071</v>
      </c>
      <c r="B45" s="10">
        <f>VLOOKUP(Table2[[#This Row],[Date]],'Database New'!$A:$D,MATCH($A$1,'Database New'!$A$1:$D$1,),)</f>
        <v>1258</v>
      </c>
      <c r="C45" s="30">
        <f>(Table2[[#This Row],[Building Permits]]-B44)/B44</f>
        <v>3.7953795379537955E-2</v>
      </c>
    </row>
    <row r="46" spans="1:3" x14ac:dyDescent="0.2">
      <c r="A46" s="9">
        <v>23102</v>
      </c>
      <c r="B46" s="10">
        <f>VLOOKUP(Table2[[#This Row],[Date]],'Database New'!$A:$D,MATCH($A$1,'Database New'!$A$1:$D$1,),)</f>
        <v>1288</v>
      </c>
      <c r="C46" s="30">
        <f>(Table2[[#This Row],[Building Permits]]-B45)/B45</f>
        <v>2.3847376788553261E-2</v>
      </c>
    </row>
    <row r="47" spans="1:3" x14ac:dyDescent="0.2">
      <c r="A47" s="9">
        <v>23132</v>
      </c>
      <c r="B47" s="10">
        <f>VLOOKUP(Table2[[#This Row],[Date]],'Database New'!$A:$D,MATCH($A$1,'Database New'!$A$1:$D$1,),)</f>
        <v>1350</v>
      </c>
      <c r="C47" s="30">
        <f>(Table2[[#This Row],[Building Permits]]-B46)/B46</f>
        <v>4.813664596273292E-2</v>
      </c>
    </row>
    <row r="48" spans="1:3" x14ac:dyDescent="0.2">
      <c r="A48" s="9">
        <v>23163</v>
      </c>
      <c r="B48" s="10">
        <f>VLOOKUP(Table2[[#This Row],[Date]],'Database New'!$A:$D,MATCH($A$1,'Database New'!$A$1:$D$1,),)</f>
        <v>1345</v>
      </c>
      <c r="C48" s="30">
        <f>(Table2[[#This Row],[Building Permits]]-B47)/B47</f>
        <v>-3.7037037037037038E-3</v>
      </c>
    </row>
    <row r="49" spans="1:3" x14ac:dyDescent="0.2">
      <c r="A49" s="9">
        <v>23193</v>
      </c>
      <c r="B49" s="10">
        <f>VLOOKUP(Table2[[#This Row],[Date]],'Database New'!$A:$D,MATCH($A$1,'Database New'!$A$1:$D$1,),)</f>
        <v>1321</v>
      </c>
      <c r="C49" s="30">
        <f>(Table2[[#This Row],[Building Permits]]-B48)/B48</f>
        <v>-1.7843866171003718E-2</v>
      </c>
    </row>
    <row r="50" spans="1:3" x14ac:dyDescent="0.2">
      <c r="A50" s="9">
        <v>23224</v>
      </c>
      <c r="B50" s="10">
        <f>VLOOKUP(Table2[[#This Row],[Date]],'Database New'!$A:$D,MATCH($A$1,'Database New'!$A$1:$D$1,),)</f>
        <v>1310</v>
      </c>
      <c r="C50" s="30">
        <f>(Table2[[#This Row],[Building Permits]]-B49)/B49</f>
        <v>-8.3270249810749441E-3</v>
      </c>
    </row>
    <row r="51" spans="1:3" x14ac:dyDescent="0.2">
      <c r="A51" s="9">
        <v>23255</v>
      </c>
      <c r="B51" s="10">
        <f>VLOOKUP(Table2[[#This Row],[Date]],'Database New'!$A:$D,MATCH($A$1,'Database New'!$A$1:$D$1,),)</f>
        <v>1413</v>
      </c>
      <c r="C51" s="30">
        <f>(Table2[[#This Row],[Building Permits]]-B50)/B50</f>
        <v>7.8625954198473277E-2</v>
      </c>
    </row>
    <row r="52" spans="1:3" x14ac:dyDescent="0.2">
      <c r="A52" s="9">
        <v>23285</v>
      </c>
      <c r="B52" s="10">
        <f>VLOOKUP(Table2[[#This Row],[Date]],'Database New'!$A:$D,MATCH($A$1,'Database New'!$A$1:$D$1,),)</f>
        <v>1414</v>
      </c>
      <c r="C52" s="30">
        <f>(Table2[[#This Row],[Building Permits]]-B51)/B51</f>
        <v>7.0771408351026188E-4</v>
      </c>
    </row>
    <row r="53" spans="1:3" x14ac:dyDescent="0.2">
      <c r="A53" s="9">
        <v>23316</v>
      </c>
      <c r="B53" s="10">
        <f>VLOOKUP(Table2[[#This Row],[Date]],'Database New'!$A:$D,MATCH($A$1,'Database New'!$A$1:$D$1,),)</f>
        <v>1357</v>
      </c>
      <c r="C53" s="30">
        <f>(Table2[[#This Row],[Building Permits]]-B52)/B52</f>
        <v>-4.0311173974540308E-2</v>
      </c>
    </row>
    <row r="54" spans="1:3" x14ac:dyDescent="0.2">
      <c r="A54" s="9">
        <v>23346</v>
      </c>
      <c r="B54" s="10">
        <f>VLOOKUP(Table2[[#This Row],[Date]],'Database New'!$A:$D,MATCH($A$1,'Database New'!$A$1:$D$1,),)</f>
        <v>1423</v>
      </c>
      <c r="C54" s="30">
        <f>(Table2[[#This Row],[Building Permits]]-B53)/B53</f>
        <v>4.8636698599852618E-2</v>
      </c>
    </row>
    <row r="55" spans="1:3" x14ac:dyDescent="0.2">
      <c r="A55" s="9">
        <v>23377</v>
      </c>
      <c r="B55" s="10">
        <f>VLOOKUP(Table2[[#This Row],[Date]],'Database New'!$A:$D,MATCH($A$1,'Database New'!$A$1:$D$1,),)</f>
        <v>1296</v>
      </c>
      <c r="C55" s="30">
        <f>(Table2[[#This Row],[Building Permits]]-B54)/B54</f>
        <v>-8.9248067463106109E-2</v>
      </c>
    </row>
    <row r="56" spans="1:3" x14ac:dyDescent="0.2">
      <c r="A56" s="9">
        <v>23408</v>
      </c>
      <c r="B56" s="10">
        <f>VLOOKUP(Table2[[#This Row],[Date]],'Database New'!$A:$D,MATCH($A$1,'Database New'!$A$1:$D$1,),)</f>
        <v>1442</v>
      </c>
      <c r="C56" s="30">
        <f>(Table2[[#This Row],[Building Permits]]-B55)/B55</f>
        <v>0.11265432098765432</v>
      </c>
    </row>
    <row r="57" spans="1:3" x14ac:dyDescent="0.2">
      <c r="A57" s="9">
        <v>23437</v>
      </c>
      <c r="B57" s="10">
        <f>VLOOKUP(Table2[[#This Row],[Date]],'Database New'!$A:$D,MATCH($A$1,'Database New'!$A$1:$D$1,),)</f>
        <v>1313</v>
      </c>
      <c r="C57" s="30">
        <f>(Table2[[#This Row],[Building Permits]]-B56)/B56</f>
        <v>-8.9459084604715675E-2</v>
      </c>
    </row>
    <row r="58" spans="1:3" x14ac:dyDescent="0.2">
      <c r="A58" s="9">
        <v>23468</v>
      </c>
      <c r="B58" s="10">
        <f>VLOOKUP(Table2[[#This Row],[Date]],'Database New'!$A:$D,MATCH($A$1,'Database New'!$A$1:$D$1,),)</f>
        <v>1264</v>
      </c>
      <c r="C58" s="30">
        <f>(Table2[[#This Row],[Building Permits]]-B57)/B57</f>
        <v>-3.7319116527037316E-2</v>
      </c>
    </row>
    <row r="59" spans="1:3" x14ac:dyDescent="0.2">
      <c r="A59" s="9">
        <v>23498</v>
      </c>
      <c r="B59" s="10">
        <f>VLOOKUP(Table2[[#This Row],[Date]],'Database New'!$A:$D,MATCH($A$1,'Database New'!$A$1:$D$1,),)</f>
        <v>1299</v>
      </c>
      <c r="C59" s="30">
        <f>(Table2[[#This Row],[Building Permits]]-B58)/B58</f>
        <v>2.7689873417721517E-2</v>
      </c>
    </row>
    <row r="60" spans="1:3" x14ac:dyDescent="0.2">
      <c r="A60" s="9">
        <v>23529</v>
      </c>
      <c r="B60" s="10">
        <f>VLOOKUP(Table2[[#This Row],[Date]],'Database New'!$A:$D,MATCH($A$1,'Database New'!$A$1:$D$1,),)</f>
        <v>1280</v>
      </c>
      <c r="C60" s="30">
        <f>(Table2[[#This Row],[Building Permits]]-B59)/B59</f>
        <v>-1.4626635873749037E-2</v>
      </c>
    </row>
    <row r="61" spans="1:3" x14ac:dyDescent="0.2">
      <c r="A61" s="9">
        <v>23559</v>
      </c>
      <c r="B61" s="10">
        <f>VLOOKUP(Table2[[#This Row],[Date]],'Database New'!$A:$D,MATCH($A$1,'Database New'!$A$1:$D$1,),)</f>
        <v>1304</v>
      </c>
      <c r="C61" s="30">
        <f>(Table2[[#This Row],[Building Permits]]-B60)/B60</f>
        <v>1.8749999999999999E-2</v>
      </c>
    </row>
    <row r="62" spans="1:3" x14ac:dyDescent="0.2">
      <c r="A62" s="9">
        <v>23590</v>
      </c>
      <c r="B62" s="10">
        <f>VLOOKUP(Table2[[#This Row],[Date]],'Database New'!$A:$D,MATCH($A$1,'Database New'!$A$1:$D$1,),)</f>
        <v>1306</v>
      </c>
      <c r="C62" s="30">
        <f>(Table2[[#This Row],[Building Permits]]-B61)/B61</f>
        <v>1.5337423312883436E-3</v>
      </c>
    </row>
    <row r="63" spans="1:3" x14ac:dyDescent="0.2">
      <c r="A63" s="9">
        <v>23621</v>
      </c>
      <c r="B63" s="10">
        <f>VLOOKUP(Table2[[#This Row],[Date]],'Database New'!$A:$D,MATCH($A$1,'Database New'!$A$1:$D$1,),)</f>
        <v>1265</v>
      </c>
      <c r="C63" s="30">
        <f>(Table2[[#This Row],[Building Permits]]-B62)/B62</f>
        <v>-3.139356814701378E-2</v>
      </c>
    </row>
    <row r="64" spans="1:3" x14ac:dyDescent="0.2">
      <c r="A64" s="9">
        <v>23651</v>
      </c>
      <c r="B64" s="10">
        <f>VLOOKUP(Table2[[#This Row],[Date]],'Database New'!$A:$D,MATCH($A$1,'Database New'!$A$1:$D$1,),)</f>
        <v>1230</v>
      </c>
      <c r="C64" s="30">
        <f>(Table2[[#This Row],[Building Permits]]-B63)/B63</f>
        <v>-2.766798418972332E-2</v>
      </c>
    </row>
    <row r="65" spans="1:3" x14ac:dyDescent="0.2">
      <c r="A65" s="9">
        <v>23682</v>
      </c>
      <c r="B65" s="10">
        <f>VLOOKUP(Table2[[#This Row],[Date]],'Database New'!$A:$D,MATCH($A$1,'Database New'!$A$1:$D$1,),)</f>
        <v>1254</v>
      </c>
      <c r="C65" s="30">
        <f>(Table2[[#This Row],[Building Permits]]-B64)/B64</f>
        <v>1.9512195121951219E-2</v>
      </c>
    </row>
    <row r="66" spans="1:3" x14ac:dyDescent="0.2">
      <c r="A66" s="9">
        <v>23712</v>
      </c>
      <c r="B66" s="10">
        <f>VLOOKUP(Table2[[#This Row],[Date]],'Database New'!$A:$D,MATCH($A$1,'Database New'!$A$1:$D$1,),)</f>
        <v>1164</v>
      </c>
      <c r="C66" s="30">
        <f>(Table2[[#This Row],[Building Permits]]-B65)/B65</f>
        <v>-7.1770334928229665E-2</v>
      </c>
    </row>
    <row r="67" spans="1:3" x14ac:dyDescent="0.2">
      <c r="A67" s="9">
        <v>23743</v>
      </c>
      <c r="B67" s="10">
        <f>VLOOKUP(Table2[[#This Row],[Date]],'Database New'!$A:$D,MATCH($A$1,'Database New'!$A$1:$D$1,),)</f>
        <v>1264</v>
      </c>
      <c r="C67" s="30">
        <f>(Table2[[#This Row],[Building Permits]]-B66)/B66</f>
        <v>8.5910652920962199E-2</v>
      </c>
    </row>
    <row r="68" spans="1:3" x14ac:dyDescent="0.2">
      <c r="A68" s="9">
        <v>23774</v>
      </c>
      <c r="B68" s="10">
        <f>VLOOKUP(Table2[[#This Row],[Date]],'Database New'!$A:$D,MATCH($A$1,'Database New'!$A$1:$D$1,),)</f>
        <v>1185</v>
      </c>
      <c r="C68" s="30">
        <f>(Table2[[#This Row],[Building Permits]]-B67)/B67</f>
        <v>-6.25E-2</v>
      </c>
    </row>
    <row r="69" spans="1:3" x14ac:dyDescent="0.2">
      <c r="A69" s="9">
        <v>23802</v>
      </c>
      <c r="B69" s="10">
        <f>VLOOKUP(Table2[[#This Row],[Date]],'Database New'!$A:$D,MATCH($A$1,'Database New'!$A$1:$D$1,),)</f>
        <v>1211</v>
      </c>
      <c r="C69" s="30">
        <f>(Table2[[#This Row],[Building Permits]]-B68)/B68</f>
        <v>2.1940928270042195E-2</v>
      </c>
    </row>
    <row r="70" spans="1:3" x14ac:dyDescent="0.2">
      <c r="A70" s="9">
        <v>23833</v>
      </c>
      <c r="B70" s="10">
        <f>VLOOKUP(Table2[[#This Row],[Date]],'Database New'!$A:$D,MATCH($A$1,'Database New'!$A$1:$D$1,),)</f>
        <v>1162</v>
      </c>
      <c r="C70" s="30">
        <f>(Table2[[#This Row],[Building Permits]]-B69)/B69</f>
        <v>-4.046242774566474E-2</v>
      </c>
    </row>
    <row r="71" spans="1:3" x14ac:dyDescent="0.2">
      <c r="A71" s="9">
        <v>23863</v>
      </c>
      <c r="B71" s="10">
        <f>VLOOKUP(Table2[[#This Row],[Date]],'Database New'!$A:$D,MATCH($A$1,'Database New'!$A$1:$D$1,),)</f>
        <v>1207</v>
      </c>
      <c r="C71" s="30">
        <f>(Table2[[#This Row],[Building Permits]]-B70)/B70</f>
        <v>3.8726333907056799E-2</v>
      </c>
    </row>
    <row r="72" spans="1:3" x14ac:dyDescent="0.2">
      <c r="A72" s="9">
        <v>23894</v>
      </c>
      <c r="B72" s="10">
        <f>VLOOKUP(Table2[[#This Row],[Date]],'Database New'!$A:$D,MATCH($A$1,'Database New'!$A$1:$D$1,),)</f>
        <v>1241</v>
      </c>
      <c r="C72" s="30">
        <f>(Table2[[#This Row],[Building Permits]]-B71)/B71</f>
        <v>2.8169014084507043E-2</v>
      </c>
    </row>
    <row r="73" spans="1:3" x14ac:dyDescent="0.2">
      <c r="A73" s="9">
        <v>23924</v>
      </c>
      <c r="B73" s="10">
        <f>VLOOKUP(Table2[[#This Row],[Date]],'Database New'!$A:$D,MATCH($A$1,'Database New'!$A$1:$D$1,),)</f>
        <v>1237</v>
      </c>
      <c r="C73" s="30">
        <f>(Table2[[#This Row],[Building Permits]]-B72)/B72</f>
        <v>-3.2232070910556002E-3</v>
      </c>
    </row>
    <row r="74" spans="1:3" x14ac:dyDescent="0.2">
      <c r="A74" s="9">
        <v>23955</v>
      </c>
      <c r="B74" s="10">
        <f>VLOOKUP(Table2[[#This Row],[Date]],'Database New'!$A:$D,MATCH($A$1,'Database New'!$A$1:$D$1,),)</f>
        <v>1249</v>
      </c>
      <c r="C74" s="30">
        <f>(Table2[[#This Row],[Building Permits]]-B73)/B73</f>
        <v>9.7008892481810841E-3</v>
      </c>
    </row>
    <row r="75" spans="1:3" x14ac:dyDescent="0.2">
      <c r="A75" s="9">
        <v>23986</v>
      </c>
      <c r="B75" s="10">
        <f>VLOOKUP(Table2[[#This Row],[Date]],'Database New'!$A:$D,MATCH($A$1,'Database New'!$A$1:$D$1,),)</f>
        <v>1227</v>
      </c>
      <c r="C75" s="30">
        <f>(Table2[[#This Row],[Building Permits]]-B74)/B74</f>
        <v>-1.7614091273018415E-2</v>
      </c>
    </row>
    <row r="76" spans="1:3" x14ac:dyDescent="0.2">
      <c r="A76" s="9">
        <v>24016</v>
      </c>
      <c r="B76" s="10">
        <f>VLOOKUP(Table2[[#This Row],[Date]],'Database New'!$A:$D,MATCH($A$1,'Database New'!$A$1:$D$1,),)</f>
        <v>1279</v>
      </c>
      <c r="C76" s="30">
        <f>(Table2[[#This Row],[Building Permits]]-B75)/B75</f>
        <v>4.2379788101059496E-2</v>
      </c>
    </row>
    <row r="77" spans="1:3" x14ac:dyDescent="0.2">
      <c r="A77" s="9">
        <v>24047</v>
      </c>
      <c r="B77" s="10">
        <f>VLOOKUP(Table2[[#This Row],[Date]],'Database New'!$A:$D,MATCH($A$1,'Database New'!$A$1:$D$1,),)</f>
        <v>1306</v>
      </c>
      <c r="C77" s="30">
        <f>(Table2[[#This Row],[Building Permits]]-B76)/B76</f>
        <v>2.1110242376856918E-2</v>
      </c>
    </row>
    <row r="78" spans="1:3" x14ac:dyDescent="0.2">
      <c r="A78" s="9">
        <v>24077</v>
      </c>
      <c r="B78" s="10">
        <f>VLOOKUP(Table2[[#This Row],[Date]],'Database New'!$A:$D,MATCH($A$1,'Database New'!$A$1:$D$1,),)</f>
        <v>1315</v>
      </c>
      <c r="C78" s="30">
        <f>(Table2[[#This Row],[Building Permits]]-B77)/B77</f>
        <v>6.8912710566615618E-3</v>
      </c>
    </row>
    <row r="79" spans="1:3" x14ac:dyDescent="0.2">
      <c r="A79" s="9">
        <v>24108</v>
      </c>
      <c r="B79" s="10">
        <f>VLOOKUP(Table2[[#This Row],[Date]],'Database New'!$A:$D,MATCH($A$1,'Database New'!$A$1:$D$1,),)</f>
        <v>1325</v>
      </c>
      <c r="C79" s="30">
        <f>(Table2[[#This Row],[Building Permits]]-B78)/B78</f>
        <v>7.6045627376425855E-3</v>
      </c>
    </row>
    <row r="80" spans="1:3" x14ac:dyDescent="0.2">
      <c r="A80" s="9">
        <v>24139</v>
      </c>
      <c r="B80" s="10">
        <f>VLOOKUP(Table2[[#This Row],[Date]],'Database New'!$A:$D,MATCH($A$1,'Database New'!$A$1:$D$1,),)</f>
        <v>1159</v>
      </c>
      <c r="C80" s="30">
        <f>(Table2[[#This Row],[Building Permits]]-B79)/B79</f>
        <v>-0.12528301886792453</v>
      </c>
    </row>
    <row r="81" spans="1:3" x14ac:dyDescent="0.2">
      <c r="A81" s="9">
        <v>24167</v>
      </c>
      <c r="B81" s="10">
        <f>VLOOKUP(Table2[[#This Row],[Date]],'Database New'!$A:$D,MATCH($A$1,'Database New'!$A$1:$D$1,),)</f>
        <v>1234</v>
      </c>
      <c r="C81" s="30">
        <f>(Table2[[#This Row],[Building Permits]]-B80)/B80</f>
        <v>6.4710957722174292E-2</v>
      </c>
    </row>
    <row r="82" spans="1:3" x14ac:dyDescent="0.2">
      <c r="A82" s="9">
        <v>24198</v>
      </c>
      <c r="B82" s="10">
        <f>VLOOKUP(Table2[[#This Row],[Date]],'Database New'!$A:$D,MATCH($A$1,'Database New'!$A$1:$D$1,),)</f>
        <v>1145</v>
      </c>
      <c r="C82" s="30">
        <f>(Table2[[#This Row],[Building Permits]]-B81)/B81</f>
        <v>-7.2123176661264179E-2</v>
      </c>
    </row>
    <row r="83" spans="1:3" x14ac:dyDescent="0.2">
      <c r="A83" s="9">
        <v>24228</v>
      </c>
      <c r="B83" s="10">
        <f>VLOOKUP(Table2[[#This Row],[Date]],'Database New'!$A:$D,MATCH($A$1,'Database New'!$A$1:$D$1,),)</f>
        <v>1078</v>
      </c>
      <c r="C83" s="30">
        <f>(Table2[[#This Row],[Building Permits]]-B82)/B82</f>
        <v>-5.8515283842794759E-2</v>
      </c>
    </row>
    <row r="84" spans="1:3" x14ac:dyDescent="0.2">
      <c r="A84" s="9">
        <v>24259</v>
      </c>
      <c r="B84" s="10">
        <f>VLOOKUP(Table2[[#This Row],[Date]],'Database New'!$A:$D,MATCH($A$1,'Database New'!$A$1:$D$1,),)</f>
        <v>956</v>
      </c>
      <c r="C84" s="30">
        <f>(Table2[[#This Row],[Building Permits]]-B83)/B83</f>
        <v>-0.11317254174397032</v>
      </c>
    </row>
    <row r="85" spans="1:3" x14ac:dyDescent="0.2">
      <c r="A85" s="9">
        <v>24289</v>
      </c>
      <c r="B85" s="10">
        <f>VLOOKUP(Table2[[#This Row],[Date]],'Database New'!$A:$D,MATCH($A$1,'Database New'!$A$1:$D$1,),)</f>
        <v>932</v>
      </c>
      <c r="C85" s="30">
        <f>(Table2[[#This Row],[Building Permits]]-B84)/B84</f>
        <v>-2.5104602510460251E-2</v>
      </c>
    </row>
    <row r="86" spans="1:3" x14ac:dyDescent="0.2">
      <c r="A86" s="9">
        <v>24320</v>
      </c>
      <c r="B86" s="10">
        <f>VLOOKUP(Table2[[#This Row],[Date]],'Database New'!$A:$D,MATCH($A$1,'Database New'!$A$1:$D$1,),)</f>
        <v>877</v>
      </c>
      <c r="C86" s="30">
        <f>(Table2[[#This Row],[Building Permits]]-B85)/B85</f>
        <v>-5.9012875536480686E-2</v>
      </c>
    </row>
    <row r="87" spans="1:3" x14ac:dyDescent="0.2">
      <c r="A87" s="9">
        <v>24351</v>
      </c>
      <c r="B87" s="10">
        <f>VLOOKUP(Table2[[#This Row],[Date]],'Database New'!$A:$D,MATCH($A$1,'Database New'!$A$1:$D$1,),)</f>
        <v>774</v>
      </c>
      <c r="C87" s="30">
        <f>(Table2[[#This Row],[Building Permits]]-B86)/B86</f>
        <v>-0.11744583808437856</v>
      </c>
    </row>
    <row r="88" spans="1:3" x14ac:dyDescent="0.2">
      <c r="A88" s="9">
        <v>24381</v>
      </c>
      <c r="B88" s="10">
        <f>VLOOKUP(Table2[[#This Row],[Date]],'Database New'!$A:$D,MATCH($A$1,'Database New'!$A$1:$D$1,),)</f>
        <v>739</v>
      </c>
      <c r="C88" s="30">
        <f>(Table2[[#This Row],[Building Permits]]-B87)/B87</f>
        <v>-4.5219638242894059E-2</v>
      </c>
    </row>
    <row r="89" spans="1:3" x14ac:dyDescent="0.2">
      <c r="A89" s="9">
        <v>24412</v>
      </c>
      <c r="B89" s="10">
        <f>VLOOKUP(Table2[[#This Row],[Date]],'Database New'!$A:$D,MATCH($A$1,'Database New'!$A$1:$D$1,),)</f>
        <v>736</v>
      </c>
      <c r="C89" s="30">
        <f>(Table2[[#This Row],[Building Permits]]-B88)/B88</f>
        <v>-4.0595399188092015E-3</v>
      </c>
    </row>
    <row r="90" spans="1:3" x14ac:dyDescent="0.2">
      <c r="A90" s="9">
        <v>24442</v>
      </c>
      <c r="B90" s="10">
        <f>VLOOKUP(Table2[[#This Row],[Date]],'Database New'!$A:$D,MATCH($A$1,'Database New'!$A$1:$D$1,),)</f>
        <v>743</v>
      </c>
      <c r="C90" s="30">
        <f>(Table2[[#This Row],[Building Permits]]-B89)/B89</f>
        <v>9.5108695652173919E-3</v>
      </c>
    </row>
    <row r="91" spans="1:3" x14ac:dyDescent="0.2">
      <c r="A91" s="9">
        <v>24473</v>
      </c>
      <c r="B91" s="10">
        <f>VLOOKUP(Table2[[#This Row],[Date]],'Database New'!$A:$D,MATCH($A$1,'Database New'!$A$1:$D$1,),)</f>
        <v>995</v>
      </c>
      <c r="C91" s="30">
        <f>(Table2[[#This Row],[Building Permits]]-B90)/B90</f>
        <v>0.3391655450874832</v>
      </c>
    </row>
    <row r="92" spans="1:3" x14ac:dyDescent="0.2">
      <c r="A92" s="9">
        <v>24504</v>
      </c>
      <c r="B92" s="10">
        <f>VLOOKUP(Table2[[#This Row],[Date]],'Database New'!$A:$D,MATCH($A$1,'Database New'!$A$1:$D$1,),)</f>
        <v>907</v>
      </c>
      <c r="C92" s="30">
        <f>(Table2[[#This Row],[Building Permits]]-B91)/B91</f>
        <v>-8.8442211055276387E-2</v>
      </c>
    </row>
    <row r="93" spans="1:3" x14ac:dyDescent="0.2">
      <c r="A93" s="9">
        <v>24532</v>
      </c>
      <c r="B93" s="10">
        <f>VLOOKUP(Table2[[#This Row],[Date]],'Database New'!$A:$D,MATCH($A$1,'Database New'!$A$1:$D$1,),)</f>
        <v>955</v>
      </c>
      <c r="C93" s="30">
        <f>(Table2[[#This Row],[Building Permits]]-B92)/B92</f>
        <v>5.2921719955898568E-2</v>
      </c>
    </row>
    <row r="94" spans="1:3" x14ac:dyDescent="0.2">
      <c r="A94" s="9">
        <v>24563</v>
      </c>
      <c r="B94" s="10">
        <f>VLOOKUP(Table2[[#This Row],[Date]],'Database New'!$A:$D,MATCH($A$1,'Database New'!$A$1:$D$1,),)</f>
        <v>1035</v>
      </c>
      <c r="C94" s="30">
        <f>(Table2[[#This Row],[Building Permits]]-B93)/B93</f>
        <v>8.3769633507853408E-2</v>
      </c>
    </row>
    <row r="95" spans="1:3" x14ac:dyDescent="0.2">
      <c r="A95" s="9">
        <v>24593</v>
      </c>
      <c r="B95" s="10">
        <f>VLOOKUP(Table2[[#This Row],[Date]],'Database New'!$A:$D,MATCH($A$1,'Database New'!$A$1:$D$1,),)</f>
        <v>1076</v>
      </c>
      <c r="C95" s="30">
        <f>(Table2[[#This Row],[Building Permits]]-B94)/B94</f>
        <v>3.961352657004831E-2</v>
      </c>
    </row>
    <row r="96" spans="1:3" x14ac:dyDescent="0.2">
      <c r="A96" s="9">
        <v>24624</v>
      </c>
      <c r="B96" s="10">
        <f>VLOOKUP(Table2[[#This Row],[Date]],'Database New'!$A:$D,MATCH($A$1,'Database New'!$A$1:$D$1,),)</f>
        <v>1169</v>
      </c>
      <c r="C96" s="30">
        <f>(Table2[[#This Row],[Building Permits]]-B95)/B95</f>
        <v>8.6431226765799257E-2</v>
      </c>
    </row>
    <row r="97" spans="1:3" x14ac:dyDescent="0.2">
      <c r="A97" s="9">
        <v>24654</v>
      </c>
      <c r="B97" s="10">
        <f>VLOOKUP(Table2[[#This Row],[Date]],'Database New'!$A:$D,MATCH($A$1,'Database New'!$A$1:$D$1,),)</f>
        <v>1177</v>
      </c>
      <c r="C97" s="30">
        <f>(Table2[[#This Row],[Building Permits]]-B96)/B96</f>
        <v>6.8434559452523521E-3</v>
      </c>
    </row>
    <row r="98" spans="1:3" x14ac:dyDescent="0.2">
      <c r="A98" s="9">
        <v>24685</v>
      </c>
      <c r="B98" s="10">
        <f>VLOOKUP(Table2[[#This Row],[Date]],'Database New'!$A:$D,MATCH($A$1,'Database New'!$A$1:$D$1,),)</f>
        <v>1229</v>
      </c>
      <c r="C98" s="30">
        <f>(Table2[[#This Row],[Building Permits]]-B97)/B97</f>
        <v>4.4180118946474084E-2</v>
      </c>
    </row>
    <row r="99" spans="1:3" x14ac:dyDescent="0.2">
      <c r="A99" s="9">
        <v>24716</v>
      </c>
      <c r="B99" s="10">
        <f>VLOOKUP(Table2[[#This Row],[Date]],'Database New'!$A:$D,MATCH($A$1,'Database New'!$A$1:$D$1,),)</f>
        <v>1279</v>
      </c>
      <c r="C99" s="30">
        <f>(Table2[[#This Row],[Building Permits]]-B98)/B98</f>
        <v>4.0683482506102521E-2</v>
      </c>
    </row>
    <row r="100" spans="1:3" x14ac:dyDescent="0.2">
      <c r="A100" s="9">
        <v>24746</v>
      </c>
      <c r="B100" s="10">
        <f>VLOOKUP(Table2[[#This Row],[Date]],'Database New'!$A:$D,MATCH($A$1,'Database New'!$A$1:$D$1,),)</f>
        <v>1280</v>
      </c>
      <c r="C100" s="30">
        <f>(Table2[[#This Row],[Building Permits]]-B99)/B99</f>
        <v>7.8186082877247849E-4</v>
      </c>
    </row>
    <row r="101" spans="1:3" x14ac:dyDescent="0.2">
      <c r="A101" s="9">
        <v>24777</v>
      </c>
      <c r="B101" s="10">
        <f>VLOOKUP(Table2[[#This Row],[Date]],'Database New'!$A:$D,MATCH($A$1,'Database New'!$A$1:$D$1,),)</f>
        <v>1297</v>
      </c>
      <c r="C101" s="30">
        <f>(Table2[[#This Row],[Building Permits]]-B100)/B100</f>
        <v>1.328125E-2</v>
      </c>
    </row>
    <row r="102" spans="1:3" x14ac:dyDescent="0.2">
      <c r="A102" s="9">
        <v>24807</v>
      </c>
      <c r="B102" s="10">
        <f>VLOOKUP(Table2[[#This Row],[Date]],'Database New'!$A:$D,MATCH($A$1,'Database New'!$A$1:$D$1,),)</f>
        <v>1315</v>
      </c>
      <c r="C102" s="30">
        <f>(Table2[[#This Row],[Building Permits]]-B101)/B101</f>
        <v>1.3878180416345412E-2</v>
      </c>
    </row>
    <row r="103" spans="1:3" x14ac:dyDescent="0.2">
      <c r="A103" s="9">
        <v>24838</v>
      </c>
      <c r="B103" s="10">
        <f>VLOOKUP(Table2[[#This Row],[Date]],'Database New'!$A:$D,MATCH($A$1,'Database New'!$A$1:$D$1,),)</f>
        <v>1179</v>
      </c>
      <c r="C103" s="30">
        <f>(Table2[[#This Row],[Building Permits]]-B102)/B102</f>
        <v>-0.10342205323193916</v>
      </c>
    </row>
    <row r="104" spans="1:3" x14ac:dyDescent="0.2">
      <c r="A104" s="9">
        <v>24869</v>
      </c>
      <c r="B104" s="10">
        <f>VLOOKUP(Table2[[#This Row],[Date]],'Database New'!$A:$D,MATCH($A$1,'Database New'!$A$1:$D$1,),)</f>
        <v>1342</v>
      </c>
      <c r="C104" s="30">
        <f>(Table2[[#This Row],[Building Permits]]-B103)/B103</f>
        <v>0.13825275657336725</v>
      </c>
    </row>
    <row r="105" spans="1:3" x14ac:dyDescent="0.2">
      <c r="A105" s="9">
        <v>24898</v>
      </c>
      <c r="B105" s="10">
        <f>VLOOKUP(Table2[[#This Row],[Date]],'Database New'!$A:$D,MATCH($A$1,'Database New'!$A$1:$D$1,),)</f>
        <v>1370</v>
      </c>
      <c r="C105" s="30">
        <f>(Table2[[#This Row],[Building Permits]]-B104)/B104</f>
        <v>2.0864381520119227E-2</v>
      </c>
    </row>
    <row r="106" spans="1:3" x14ac:dyDescent="0.2">
      <c r="A106" s="9">
        <v>24929</v>
      </c>
      <c r="B106" s="10">
        <f>VLOOKUP(Table2[[#This Row],[Date]],'Database New'!$A:$D,MATCH($A$1,'Database New'!$A$1:$D$1,),)</f>
        <v>1286</v>
      </c>
      <c r="C106" s="30">
        <f>(Table2[[#This Row],[Building Permits]]-B105)/B105</f>
        <v>-6.1313868613138686E-2</v>
      </c>
    </row>
    <row r="107" spans="1:3" x14ac:dyDescent="0.2">
      <c r="A107" s="9">
        <v>24959</v>
      </c>
      <c r="B107" s="10">
        <f>VLOOKUP(Table2[[#This Row],[Date]],'Database New'!$A:$D,MATCH($A$1,'Database New'!$A$1:$D$1,),)</f>
        <v>1297</v>
      </c>
      <c r="C107" s="30">
        <f>(Table2[[#This Row],[Building Permits]]-B106)/B106</f>
        <v>8.553654743390357E-3</v>
      </c>
    </row>
    <row r="108" spans="1:3" x14ac:dyDescent="0.2">
      <c r="A108" s="9">
        <v>24990</v>
      </c>
      <c r="B108" s="10">
        <f>VLOOKUP(Table2[[#This Row],[Date]],'Database New'!$A:$D,MATCH($A$1,'Database New'!$A$1:$D$1,),)</f>
        <v>1300</v>
      </c>
      <c r="C108" s="30">
        <f>(Table2[[#This Row],[Building Permits]]-B107)/B107</f>
        <v>2.3130300693909021E-3</v>
      </c>
    </row>
    <row r="109" spans="1:3" x14ac:dyDescent="0.2">
      <c r="A109" s="9">
        <v>25020</v>
      </c>
      <c r="B109" s="10">
        <f>VLOOKUP(Table2[[#This Row],[Date]],'Database New'!$A:$D,MATCH($A$1,'Database New'!$A$1:$D$1,),)</f>
        <v>1344</v>
      </c>
      <c r="C109" s="30">
        <f>(Table2[[#This Row],[Building Permits]]-B108)/B108</f>
        <v>3.3846153846153845E-2</v>
      </c>
    </row>
    <row r="110" spans="1:3" x14ac:dyDescent="0.2">
      <c r="A110" s="9">
        <v>25051</v>
      </c>
      <c r="B110" s="10">
        <f>VLOOKUP(Table2[[#This Row],[Date]],'Database New'!$A:$D,MATCH($A$1,'Database New'!$A$1:$D$1,),)</f>
        <v>1357</v>
      </c>
      <c r="C110" s="30">
        <f>(Table2[[#This Row],[Building Permits]]-B109)/B109</f>
        <v>9.6726190476190479E-3</v>
      </c>
    </row>
    <row r="111" spans="1:3" x14ac:dyDescent="0.2">
      <c r="A111" s="9">
        <v>25082</v>
      </c>
      <c r="B111" s="10">
        <f>VLOOKUP(Table2[[#This Row],[Date]],'Database New'!$A:$D,MATCH($A$1,'Database New'!$A$1:$D$1,),)</f>
        <v>1464</v>
      </c>
      <c r="C111" s="30">
        <f>(Table2[[#This Row],[Building Permits]]-B110)/B110</f>
        <v>7.8850405305821672E-2</v>
      </c>
    </row>
    <row r="112" spans="1:3" x14ac:dyDescent="0.2">
      <c r="A112" s="9">
        <v>25112</v>
      </c>
      <c r="B112" s="10">
        <f>VLOOKUP(Table2[[#This Row],[Date]],'Database New'!$A:$D,MATCH($A$1,'Database New'!$A$1:$D$1,),)</f>
        <v>1421</v>
      </c>
      <c r="C112" s="30">
        <f>(Table2[[#This Row],[Building Permits]]-B111)/B111</f>
        <v>-2.9371584699453553E-2</v>
      </c>
    </row>
    <row r="113" spans="1:3" x14ac:dyDescent="0.2">
      <c r="A113" s="9">
        <v>25143</v>
      </c>
      <c r="B113" s="10">
        <f>VLOOKUP(Table2[[#This Row],[Date]],'Database New'!$A:$D,MATCH($A$1,'Database New'!$A$1:$D$1,),)</f>
        <v>1436</v>
      </c>
      <c r="C113" s="30">
        <f>(Table2[[#This Row],[Building Permits]]-B112)/B112</f>
        <v>1.055594651653765E-2</v>
      </c>
    </row>
    <row r="114" spans="1:3" x14ac:dyDescent="0.2">
      <c r="A114" s="9">
        <v>25173</v>
      </c>
      <c r="B114" s="10">
        <f>VLOOKUP(Table2[[#This Row],[Date]],'Database New'!$A:$D,MATCH($A$1,'Database New'!$A$1:$D$1,),)</f>
        <v>1389</v>
      </c>
      <c r="C114" s="30">
        <f>(Table2[[#This Row],[Building Permits]]-B113)/B113</f>
        <v>-3.2729805013927575E-2</v>
      </c>
    </row>
    <row r="115" spans="1:3" x14ac:dyDescent="0.2">
      <c r="A115" s="9">
        <v>25204</v>
      </c>
      <c r="B115" s="10">
        <f>VLOOKUP(Table2[[#This Row],[Date]],'Database New'!$A:$D,MATCH($A$1,'Database New'!$A$1:$D$1,),)</f>
        <v>1459</v>
      </c>
      <c r="C115" s="30">
        <f>(Table2[[#This Row],[Building Permits]]-B114)/B114</f>
        <v>5.03959683225342E-2</v>
      </c>
    </row>
    <row r="116" spans="1:3" x14ac:dyDescent="0.2">
      <c r="A116" s="9">
        <v>25235</v>
      </c>
      <c r="B116" s="10">
        <f>VLOOKUP(Table2[[#This Row],[Date]],'Database New'!$A:$D,MATCH($A$1,'Database New'!$A$1:$D$1,),)</f>
        <v>1495</v>
      </c>
      <c r="C116" s="30">
        <f>(Table2[[#This Row],[Building Permits]]-B115)/B115</f>
        <v>2.4674434544208361E-2</v>
      </c>
    </row>
    <row r="117" spans="1:3" x14ac:dyDescent="0.2">
      <c r="A117" s="9">
        <v>25263</v>
      </c>
      <c r="B117" s="10">
        <f>VLOOKUP(Table2[[#This Row],[Date]],'Database New'!$A:$D,MATCH($A$1,'Database New'!$A$1:$D$1,),)</f>
        <v>1438</v>
      </c>
      <c r="C117" s="30">
        <f>(Table2[[#This Row],[Building Permits]]-B116)/B116</f>
        <v>-3.8127090301003343E-2</v>
      </c>
    </row>
    <row r="118" spans="1:3" x14ac:dyDescent="0.2">
      <c r="A118" s="9">
        <v>25294</v>
      </c>
      <c r="B118" s="10">
        <f>VLOOKUP(Table2[[#This Row],[Date]],'Database New'!$A:$D,MATCH($A$1,'Database New'!$A$1:$D$1,),)</f>
        <v>1441</v>
      </c>
      <c r="C118" s="30">
        <f>(Table2[[#This Row],[Building Permits]]-B117)/B117</f>
        <v>2.086230876216968E-3</v>
      </c>
    </row>
    <row r="119" spans="1:3" x14ac:dyDescent="0.2">
      <c r="A119" s="9">
        <v>25324</v>
      </c>
      <c r="B119" s="10">
        <f>VLOOKUP(Table2[[#This Row],[Date]],'Database New'!$A:$D,MATCH($A$1,'Database New'!$A$1:$D$1,),)</f>
        <v>1328</v>
      </c>
      <c r="C119" s="30">
        <f>(Table2[[#This Row],[Building Permits]]-B118)/B118</f>
        <v>-7.8417765440666198E-2</v>
      </c>
    </row>
    <row r="120" spans="1:3" x14ac:dyDescent="0.2">
      <c r="A120" s="9">
        <v>25355</v>
      </c>
      <c r="B120" s="10">
        <f>VLOOKUP(Table2[[#This Row],[Date]],'Database New'!$A:$D,MATCH($A$1,'Database New'!$A$1:$D$1,),)</f>
        <v>1349</v>
      </c>
      <c r="C120" s="30">
        <f>(Table2[[#This Row],[Building Permits]]-B119)/B119</f>
        <v>1.5813253012048192E-2</v>
      </c>
    </row>
    <row r="121" spans="1:3" x14ac:dyDescent="0.2">
      <c r="A121" s="9">
        <v>25385</v>
      </c>
      <c r="B121" s="10">
        <f>VLOOKUP(Table2[[#This Row],[Date]],'Database New'!$A:$D,MATCH($A$1,'Database New'!$A$1:$D$1,),)</f>
        <v>1278</v>
      </c>
      <c r="C121" s="30">
        <f>(Table2[[#This Row],[Building Permits]]-B120)/B120</f>
        <v>-5.2631578947368418E-2</v>
      </c>
    </row>
    <row r="122" spans="1:3" x14ac:dyDescent="0.2">
      <c r="A122" s="9">
        <v>25416</v>
      </c>
      <c r="B122" s="10">
        <f>VLOOKUP(Table2[[#This Row],[Date]],'Database New'!$A:$D,MATCH($A$1,'Database New'!$A$1:$D$1,),)</f>
        <v>1317</v>
      </c>
      <c r="C122" s="30">
        <f>(Table2[[#This Row],[Building Permits]]-B121)/B121</f>
        <v>3.0516431924882629E-2</v>
      </c>
    </row>
    <row r="123" spans="1:3" x14ac:dyDescent="0.2">
      <c r="A123" s="9">
        <v>25447</v>
      </c>
      <c r="B123" s="10">
        <f>VLOOKUP(Table2[[#This Row],[Date]],'Database New'!$A:$D,MATCH($A$1,'Database New'!$A$1:$D$1,),)</f>
        <v>1263</v>
      </c>
      <c r="C123" s="30">
        <f>(Table2[[#This Row],[Building Permits]]-B122)/B122</f>
        <v>-4.1002277904328019E-2</v>
      </c>
    </row>
    <row r="124" spans="1:3" x14ac:dyDescent="0.2">
      <c r="A124" s="9">
        <v>25477</v>
      </c>
      <c r="B124" s="10">
        <f>VLOOKUP(Table2[[#This Row],[Date]],'Database New'!$A:$D,MATCH($A$1,'Database New'!$A$1:$D$1,),)</f>
        <v>1216</v>
      </c>
      <c r="C124" s="30">
        <f>(Table2[[#This Row],[Building Permits]]-B123)/B123</f>
        <v>-3.7212984956452887E-2</v>
      </c>
    </row>
    <row r="125" spans="1:3" x14ac:dyDescent="0.2">
      <c r="A125" s="9">
        <v>25508</v>
      </c>
      <c r="B125" s="10">
        <f>VLOOKUP(Table2[[#This Row],[Date]],'Database New'!$A:$D,MATCH($A$1,'Database New'!$A$1:$D$1,),)</f>
        <v>1191</v>
      </c>
      <c r="C125" s="30">
        <f>(Table2[[#This Row],[Building Permits]]-B124)/B124</f>
        <v>-2.0559210526315791E-2</v>
      </c>
    </row>
    <row r="126" spans="1:3" x14ac:dyDescent="0.2">
      <c r="A126" s="9">
        <v>25538</v>
      </c>
      <c r="B126" s="10">
        <f>VLOOKUP(Table2[[#This Row],[Date]],'Database New'!$A:$D,MATCH($A$1,'Database New'!$A$1:$D$1,),)</f>
        <v>1155</v>
      </c>
      <c r="C126" s="30">
        <f>(Table2[[#This Row],[Building Permits]]-B125)/B125</f>
        <v>-3.0226700251889168E-2</v>
      </c>
    </row>
    <row r="127" spans="1:3" x14ac:dyDescent="0.2">
      <c r="A127" s="9">
        <v>25569</v>
      </c>
      <c r="B127" s="10">
        <f>VLOOKUP(Table2[[#This Row],[Date]],'Database New'!$A:$D,MATCH($A$1,'Database New'!$A$1:$D$1,),)</f>
        <v>1062</v>
      </c>
      <c r="C127" s="30">
        <f>(Table2[[#This Row],[Building Permits]]-B126)/B126</f>
        <v>-8.0519480519480519E-2</v>
      </c>
    </row>
    <row r="128" spans="1:3" x14ac:dyDescent="0.2">
      <c r="A128" s="9">
        <v>25600</v>
      </c>
      <c r="B128" s="10">
        <f>VLOOKUP(Table2[[#This Row],[Date]],'Database New'!$A:$D,MATCH($A$1,'Database New'!$A$1:$D$1,),)</f>
        <v>1118</v>
      </c>
      <c r="C128" s="30">
        <f>(Table2[[#This Row],[Building Permits]]-B127)/B127</f>
        <v>5.2730696798493411E-2</v>
      </c>
    </row>
    <row r="129" spans="1:3" x14ac:dyDescent="0.2">
      <c r="A129" s="9">
        <v>25628</v>
      </c>
      <c r="B129" s="10">
        <f>VLOOKUP(Table2[[#This Row],[Date]],'Database New'!$A:$D,MATCH($A$1,'Database New'!$A$1:$D$1,),)</f>
        <v>1132</v>
      </c>
      <c r="C129" s="30">
        <f>(Table2[[#This Row],[Building Permits]]-B128)/B128</f>
        <v>1.2522361359570662E-2</v>
      </c>
    </row>
    <row r="130" spans="1:3" x14ac:dyDescent="0.2">
      <c r="A130" s="9">
        <v>25659</v>
      </c>
      <c r="B130" s="10">
        <f>VLOOKUP(Table2[[#This Row],[Date]],'Database New'!$A:$D,MATCH($A$1,'Database New'!$A$1:$D$1,),)</f>
        <v>1224</v>
      </c>
      <c r="C130" s="30">
        <f>(Table2[[#This Row],[Building Permits]]-B129)/B129</f>
        <v>8.1272084805653705E-2</v>
      </c>
    </row>
    <row r="131" spans="1:3" x14ac:dyDescent="0.2">
      <c r="A131" s="9">
        <v>25689</v>
      </c>
      <c r="B131" s="10">
        <f>VLOOKUP(Table2[[#This Row],[Date]],'Database New'!$A:$D,MATCH($A$1,'Database New'!$A$1:$D$1,),)</f>
        <v>1328</v>
      </c>
      <c r="C131" s="30">
        <f>(Table2[[#This Row],[Building Permits]]-B130)/B130</f>
        <v>8.4967320261437912E-2</v>
      </c>
    </row>
    <row r="132" spans="1:3" x14ac:dyDescent="0.2">
      <c r="A132" s="9">
        <v>25720</v>
      </c>
      <c r="B132" s="10">
        <f>VLOOKUP(Table2[[#This Row],[Date]],'Database New'!$A:$D,MATCH($A$1,'Database New'!$A$1:$D$1,),)</f>
        <v>1322</v>
      </c>
      <c r="C132" s="30">
        <f>(Table2[[#This Row],[Building Permits]]-B131)/B131</f>
        <v>-4.5180722891566263E-3</v>
      </c>
    </row>
    <row r="133" spans="1:3" x14ac:dyDescent="0.2">
      <c r="A133" s="9">
        <v>25750</v>
      </c>
      <c r="B133" s="10">
        <f>VLOOKUP(Table2[[#This Row],[Date]],'Database New'!$A:$D,MATCH($A$1,'Database New'!$A$1:$D$1,),)</f>
        <v>1324</v>
      </c>
      <c r="C133" s="30">
        <f>(Table2[[#This Row],[Building Permits]]-B132)/B132</f>
        <v>1.5128593040847202E-3</v>
      </c>
    </row>
    <row r="134" spans="1:3" x14ac:dyDescent="0.2">
      <c r="A134" s="9">
        <v>25781</v>
      </c>
      <c r="B134" s="10">
        <f>VLOOKUP(Table2[[#This Row],[Date]],'Database New'!$A:$D,MATCH($A$1,'Database New'!$A$1:$D$1,),)</f>
        <v>1394</v>
      </c>
      <c r="C134" s="30">
        <f>(Table2[[#This Row],[Building Permits]]-B133)/B133</f>
        <v>5.2870090634441085E-2</v>
      </c>
    </row>
    <row r="135" spans="1:3" x14ac:dyDescent="0.2">
      <c r="A135" s="9">
        <v>25812</v>
      </c>
      <c r="B135" s="10">
        <f>VLOOKUP(Table2[[#This Row],[Date]],'Database New'!$A:$D,MATCH($A$1,'Database New'!$A$1:$D$1,),)</f>
        <v>1426</v>
      </c>
      <c r="C135" s="30">
        <f>(Table2[[#This Row],[Building Permits]]-B134)/B134</f>
        <v>2.2955523672883789E-2</v>
      </c>
    </row>
    <row r="136" spans="1:3" x14ac:dyDescent="0.2">
      <c r="A136" s="9">
        <v>25842</v>
      </c>
      <c r="B136" s="10">
        <f>VLOOKUP(Table2[[#This Row],[Date]],'Database New'!$A:$D,MATCH($A$1,'Database New'!$A$1:$D$1,),)</f>
        <v>1564</v>
      </c>
      <c r="C136" s="30">
        <f>(Table2[[#This Row],[Building Permits]]-B135)/B135</f>
        <v>9.6774193548387094E-2</v>
      </c>
    </row>
    <row r="137" spans="1:3" x14ac:dyDescent="0.2">
      <c r="A137" s="9">
        <v>25873</v>
      </c>
      <c r="B137" s="10">
        <f>VLOOKUP(Table2[[#This Row],[Date]],'Database New'!$A:$D,MATCH($A$1,'Database New'!$A$1:$D$1,),)</f>
        <v>1502</v>
      </c>
      <c r="C137" s="30">
        <f>(Table2[[#This Row],[Building Permits]]-B136)/B136</f>
        <v>-3.9641943734015347E-2</v>
      </c>
    </row>
    <row r="138" spans="1:3" x14ac:dyDescent="0.2">
      <c r="A138" s="9">
        <v>25903</v>
      </c>
      <c r="B138" s="10">
        <f>VLOOKUP(Table2[[#This Row],[Date]],'Database New'!$A:$D,MATCH($A$1,'Database New'!$A$1:$D$1,),)</f>
        <v>1767</v>
      </c>
      <c r="C138" s="30">
        <f>(Table2[[#This Row],[Building Permits]]-B137)/B137</f>
        <v>0.17643142476697737</v>
      </c>
    </row>
    <row r="139" spans="1:3" x14ac:dyDescent="0.2">
      <c r="A139" s="9">
        <v>25934</v>
      </c>
      <c r="B139" s="10">
        <f>VLOOKUP(Table2[[#This Row],[Date]],'Database New'!$A:$D,MATCH($A$1,'Database New'!$A$1:$D$1,),)</f>
        <v>1643</v>
      </c>
      <c r="C139" s="30">
        <f>(Table2[[#This Row],[Building Permits]]-B138)/B138</f>
        <v>-7.0175438596491224E-2</v>
      </c>
    </row>
    <row r="140" spans="1:3" x14ac:dyDescent="0.2">
      <c r="A140" s="9">
        <v>25965</v>
      </c>
      <c r="B140" s="10">
        <f>VLOOKUP(Table2[[#This Row],[Date]],'Database New'!$A:$D,MATCH($A$1,'Database New'!$A$1:$D$1,),)</f>
        <v>1588</v>
      </c>
      <c r="C140" s="30">
        <f>(Table2[[#This Row],[Building Permits]]-B139)/B139</f>
        <v>-3.3475349969567865E-2</v>
      </c>
    </row>
    <row r="141" spans="1:3" x14ac:dyDescent="0.2">
      <c r="A141" s="9">
        <v>25993</v>
      </c>
      <c r="B141" s="10">
        <f>VLOOKUP(Table2[[#This Row],[Date]],'Database New'!$A:$D,MATCH($A$1,'Database New'!$A$1:$D$1,),)</f>
        <v>1759</v>
      </c>
      <c r="C141" s="30">
        <f>(Table2[[#This Row],[Building Permits]]-B140)/B140</f>
        <v>0.10768261964735516</v>
      </c>
    </row>
    <row r="142" spans="1:3" x14ac:dyDescent="0.2">
      <c r="A142" s="9">
        <v>26024</v>
      </c>
      <c r="B142" s="10">
        <f>VLOOKUP(Table2[[#This Row],[Date]],'Database New'!$A:$D,MATCH($A$1,'Database New'!$A$1:$D$1,),)</f>
        <v>1745</v>
      </c>
      <c r="C142" s="30">
        <f>(Table2[[#This Row],[Building Permits]]-B141)/B141</f>
        <v>-7.9590676520750435E-3</v>
      </c>
    </row>
    <row r="143" spans="1:3" x14ac:dyDescent="0.2">
      <c r="A143" s="9">
        <v>26054</v>
      </c>
      <c r="B143" s="10">
        <f>VLOOKUP(Table2[[#This Row],[Date]],'Database New'!$A:$D,MATCH($A$1,'Database New'!$A$1:$D$1,),)</f>
        <v>1972</v>
      </c>
      <c r="C143" s="30">
        <f>(Table2[[#This Row],[Building Permits]]-B142)/B142</f>
        <v>0.13008595988538682</v>
      </c>
    </row>
    <row r="144" spans="1:3" x14ac:dyDescent="0.2">
      <c r="A144" s="9">
        <v>26085</v>
      </c>
      <c r="B144" s="10">
        <f>VLOOKUP(Table2[[#This Row],[Date]],'Database New'!$A:$D,MATCH($A$1,'Database New'!$A$1:$D$1,),)</f>
        <v>1903</v>
      </c>
      <c r="C144" s="30">
        <f>(Table2[[#This Row],[Building Permits]]-B143)/B143</f>
        <v>-3.4989858012170388E-2</v>
      </c>
    </row>
    <row r="145" spans="1:3" x14ac:dyDescent="0.2">
      <c r="A145" s="9">
        <v>26115</v>
      </c>
      <c r="B145" s="10">
        <f>VLOOKUP(Table2[[#This Row],[Date]],'Database New'!$A:$D,MATCH($A$1,'Database New'!$A$1:$D$1,),)</f>
        <v>2069</v>
      </c>
      <c r="C145" s="30">
        <f>(Table2[[#This Row],[Building Permits]]-B144)/B144</f>
        <v>8.7230688386757751E-2</v>
      </c>
    </row>
    <row r="146" spans="1:3" x14ac:dyDescent="0.2">
      <c r="A146" s="9">
        <v>26146</v>
      </c>
      <c r="B146" s="10">
        <f>VLOOKUP(Table2[[#This Row],[Date]],'Database New'!$A:$D,MATCH($A$1,'Database New'!$A$1:$D$1,),)</f>
        <v>2004</v>
      </c>
      <c r="C146" s="30">
        <f>(Table2[[#This Row],[Building Permits]]-B145)/B145</f>
        <v>-3.1416143064282261E-2</v>
      </c>
    </row>
    <row r="147" spans="1:3" x14ac:dyDescent="0.2">
      <c r="A147" s="9">
        <v>26177</v>
      </c>
      <c r="B147" s="10">
        <f>VLOOKUP(Table2[[#This Row],[Date]],'Database New'!$A:$D,MATCH($A$1,'Database New'!$A$1:$D$1,),)</f>
        <v>1996</v>
      </c>
      <c r="C147" s="30">
        <f>(Table2[[#This Row],[Building Permits]]-B146)/B146</f>
        <v>-3.9920159680638719E-3</v>
      </c>
    </row>
    <row r="148" spans="1:3" x14ac:dyDescent="0.2">
      <c r="A148" s="9">
        <v>26207</v>
      </c>
      <c r="B148" s="10">
        <f>VLOOKUP(Table2[[#This Row],[Date]],'Database New'!$A:$D,MATCH($A$1,'Database New'!$A$1:$D$1,),)</f>
        <v>2026</v>
      </c>
      <c r="C148" s="30">
        <f>(Table2[[#This Row],[Building Permits]]-B147)/B147</f>
        <v>1.503006012024048E-2</v>
      </c>
    </row>
    <row r="149" spans="1:3" x14ac:dyDescent="0.2">
      <c r="A149" s="9">
        <v>26238</v>
      </c>
      <c r="B149" s="10">
        <f>VLOOKUP(Table2[[#This Row],[Date]],'Database New'!$A:$D,MATCH($A$1,'Database New'!$A$1:$D$1,),)</f>
        <v>2079</v>
      </c>
      <c r="C149" s="30">
        <f>(Table2[[#This Row],[Building Permits]]-B148)/B148</f>
        <v>2.6159921026653505E-2</v>
      </c>
    </row>
    <row r="150" spans="1:3" x14ac:dyDescent="0.2">
      <c r="A150" s="9">
        <v>26268</v>
      </c>
      <c r="B150" s="10">
        <f>VLOOKUP(Table2[[#This Row],[Date]],'Database New'!$A:$D,MATCH($A$1,'Database New'!$A$1:$D$1,),)</f>
        <v>2133</v>
      </c>
      <c r="C150" s="30">
        <f>(Table2[[#This Row],[Building Permits]]-B149)/B149</f>
        <v>2.5974025974025976E-2</v>
      </c>
    </row>
    <row r="151" spans="1:3" x14ac:dyDescent="0.2">
      <c r="A151" s="9">
        <v>26299</v>
      </c>
      <c r="B151" s="10">
        <f>VLOOKUP(Table2[[#This Row],[Date]],'Database New'!$A:$D,MATCH($A$1,'Database New'!$A$1:$D$1,),)</f>
        <v>2238</v>
      </c>
      <c r="C151" s="30">
        <f>(Table2[[#This Row],[Building Permits]]-B150)/B150</f>
        <v>4.9226441631504921E-2</v>
      </c>
    </row>
    <row r="152" spans="1:3" x14ac:dyDescent="0.2">
      <c r="A152" s="9">
        <v>26330</v>
      </c>
      <c r="B152" s="10">
        <f>VLOOKUP(Table2[[#This Row],[Date]],'Database New'!$A:$D,MATCH($A$1,'Database New'!$A$1:$D$1,),)</f>
        <v>2169</v>
      </c>
      <c r="C152" s="30">
        <f>(Table2[[#This Row],[Building Permits]]-B151)/B151</f>
        <v>-3.0831099195710455E-2</v>
      </c>
    </row>
    <row r="153" spans="1:3" x14ac:dyDescent="0.2">
      <c r="A153" s="9">
        <v>26359</v>
      </c>
      <c r="B153" s="10">
        <f>VLOOKUP(Table2[[#This Row],[Date]],'Database New'!$A:$D,MATCH($A$1,'Database New'!$A$1:$D$1,),)</f>
        <v>2105</v>
      </c>
      <c r="C153" s="30">
        <f>(Table2[[#This Row],[Building Permits]]-B152)/B152</f>
        <v>-2.9506685108344859E-2</v>
      </c>
    </row>
    <row r="154" spans="1:3" x14ac:dyDescent="0.2">
      <c r="A154" s="9">
        <v>26390</v>
      </c>
      <c r="B154" s="10">
        <f>VLOOKUP(Table2[[#This Row],[Date]],'Database New'!$A:$D,MATCH($A$1,'Database New'!$A$1:$D$1,),)</f>
        <v>2139</v>
      </c>
      <c r="C154" s="30">
        <f>(Table2[[#This Row],[Building Permits]]-B153)/B153</f>
        <v>1.6152019002375298E-2</v>
      </c>
    </row>
    <row r="155" spans="1:3" x14ac:dyDescent="0.2">
      <c r="A155" s="9">
        <v>26420</v>
      </c>
      <c r="B155" s="10">
        <f>VLOOKUP(Table2[[#This Row],[Date]],'Database New'!$A:$D,MATCH($A$1,'Database New'!$A$1:$D$1,),)</f>
        <v>2067</v>
      </c>
      <c r="C155" s="30">
        <f>(Table2[[#This Row],[Building Permits]]-B154)/B154</f>
        <v>-3.3660589060308554E-2</v>
      </c>
    </row>
    <row r="156" spans="1:3" x14ac:dyDescent="0.2">
      <c r="A156" s="9">
        <v>26451</v>
      </c>
      <c r="B156" s="10">
        <f>VLOOKUP(Table2[[#This Row],[Date]],'Database New'!$A:$D,MATCH($A$1,'Database New'!$A$1:$D$1,),)</f>
        <v>2183</v>
      </c>
      <c r="C156" s="30">
        <f>(Table2[[#This Row],[Building Permits]]-B155)/B155</f>
        <v>5.6119980648282532E-2</v>
      </c>
    </row>
    <row r="157" spans="1:3" x14ac:dyDescent="0.2">
      <c r="A157" s="9">
        <v>26481</v>
      </c>
      <c r="B157" s="10">
        <f>VLOOKUP(Table2[[#This Row],[Date]],'Database New'!$A:$D,MATCH($A$1,'Database New'!$A$1:$D$1,),)</f>
        <v>2195</v>
      </c>
      <c r="C157" s="30">
        <f>(Table2[[#This Row],[Building Permits]]-B156)/B156</f>
        <v>5.4970224461749883E-3</v>
      </c>
    </row>
    <row r="158" spans="1:3" x14ac:dyDescent="0.2">
      <c r="A158" s="9">
        <v>26512</v>
      </c>
      <c r="B158" s="10">
        <f>VLOOKUP(Table2[[#This Row],[Date]],'Database New'!$A:$D,MATCH($A$1,'Database New'!$A$1:$D$1,),)</f>
        <v>2263</v>
      </c>
      <c r="C158" s="30">
        <f>(Table2[[#This Row],[Building Permits]]-B157)/B157</f>
        <v>3.0979498861047835E-2</v>
      </c>
    </row>
    <row r="159" spans="1:3" x14ac:dyDescent="0.2">
      <c r="A159" s="9">
        <v>26543</v>
      </c>
      <c r="B159" s="10">
        <f>VLOOKUP(Table2[[#This Row],[Date]],'Database New'!$A:$D,MATCH($A$1,'Database New'!$A$1:$D$1,),)</f>
        <v>2393</v>
      </c>
      <c r="C159" s="30">
        <f>(Table2[[#This Row],[Building Permits]]-B158)/B158</f>
        <v>5.7445868316394165E-2</v>
      </c>
    </row>
    <row r="160" spans="1:3" x14ac:dyDescent="0.2">
      <c r="A160" s="9">
        <v>26573</v>
      </c>
      <c r="B160" s="10">
        <f>VLOOKUP(Table2[[#This Row],[Date]],'Database New'!$A:$D,MATCH($A$1,'Database New'!$A$1:$D$1,),)</f>
        <v>2354</v>
      </c>
      <c r="C160" s="30">
        <f>(Table2[[#This Row],[Building Permits]]-B159)/B159</f>
        <v>-1.62975344755537E-2</v>
      </c>
    </row>
    <row r="161" spans="1:3" x14ac:dyDescent="0.2">
      <c r="A161" s="9">
        <v>26604</v>
      </c>
      <c r="B161" s="10">
        <f>VLOOKUP(Table2[[#This Row],[Date]],'Database New'!$A:$D,MATCH($A$1,'Database New'!$A$1:$D$1,),)</f>
        <v>2234</v>
      </c>
      <c r="C161" s="30">
        <f>(Table2[[#This Row],[Building Permits]]-B160)/B160</f>
        <v>-5.0977060322854713E-2</v>
      </c>
    </row>
    <row r="162" spans="1:3" x14ac:dyDescent="0.2">
      <c r="A162" s="9">
        <v>26634</v>
      </c>
      <c r="B162" s="10">
        <f>VLOOKUP(Table2[[#This Row],[Date]],'Database New'!$A:$D,MATCH($A$1,'Database New'!$A$1:$D$1,),)</f>
        <v>2419</v>
      </c>
      <c r="C162" s="30">
        <f>(Table2[[#This Row],[Building Permits]]-B161)/B161</f>
        <v>8.2811101163831696E-2</v>
      </c>
    </row>
    <row r="163" spans="1:3" x14ac:dyDescent="0.2">
      <c r="A163" s="9">
        <v>26665</v>
      </c>
      <c r="B163" s="10">
        <f>VLOOKUP(Table2[[#This Row],[Date]],'Database New'!$A:$D,MATCH($A$1,'Database New'!$A$1:$D$1,),)</f>
        <v>2271</v>
      </c>
      <c r="C163" s="30">
        <f>(Table2[[#This Row],[Building Permits]]-B162)/B162</f>
        <v>-6.1182306738321618E-2</v>
      </c>
    </row>
    <row r="164" spans="1:3" x14ac:dyDescent="0.2">
      <c r="A164" s="9">
        <v>26696</v>
      </c>
      <c r="B164" s="10">
        <f>VLOOKUP(Table2[[#This Row],[Date]],'Database New'!$A:$D,MATCH($A$1,'Database New'!$A$1:$D$1,),)</f>
        <v>2226</v>
      </c>
      <c r="C164" s="30">
        <f>(Table2[[#This Row],[Building Permits]]-B163)/B163</f>
        <v>-1.9815059445178335E-2</v>
      </c>
    </row>
    <row r="165" spans="1:3" x14ac:dyDescent="0.2">
      <c r="A165" s="9">
        <v>26724</v>
      </c>
      <c r="B165" s="10">
        <f>VLOOKUP(Table2[[#This Row],[Date]],'Database New'!$A:$D,MATCH($A$1,'Database New'!$A$1:$D$1,),)</f>
        <v>2062</v>
      </c>
      <c r="C165" s="30">
        <f>(Table2[[#This Row],[Building Permits]]-B164)/B164</f>
        <v>-7.3674752920035932E-2</v>
      </c>
    </row>
    <row r="166" spans="1:3" x14ac:dyDescent="0.2">
      <c r="A166" s="9">
        <v>26755</v>
      </c>
      <c r="B166" s="10">
        <f>VLOOKUP(Table2[[#This Row],[Date]],'Database New'!$A:$D,MATCH($A$1,'Database New'!$A$1:$D$1,),)</f>
        <v>1908</v>
      </c>
      <c r="C166" s="30">
        <f>(Table2[[#This Row],[Building Permits]]-B165)/B165</f>
        <v>-7.4684772065955377E-2</v>
      </c>
    </row>
    <row r="167" spans="1:3" x14ac:dyDescent="0.2">
      <c r="A167" s="9">
        <v>26785</v>
      </c>
      <c r="B167" s="10">
        <f>VLOOKUP(Table2[[#This Row],[Date]],'Database New'!$A:$D,MATCH($A$1,'Database New'!$A$1:$D$1,),)</f>
        <v>1931</v>
      </c>
      <c r="C167" s="30">
        <f>(Table2[[#This Row],[Building Permits]]-B166)/B166</f>
        <v>1.2054507337526206E-2</v>
      </c>
    </row>
    <row r="168" spans="1:3" x14ac:dyDescent="0.2">
      <c r="A168" s="9">
        <v>26816</v>
      </c>
      <c r="B168" s="10">
        <f>VLOOKUP(Table2[[#This Row],[Date]],'Database New'!$A:$D,MATCH($A$1,'Database New'!$A$1:$D$1,),)</f>
        <v>2051</v>
      </c>
      <c r="C168" s="30">
        <f>(Table2[[#This Row],[Building Permits]]-B167)/B167</f>
        <v>6.2143966856551013E-2</v>
      </c>
    </row>
    <row r="169" spans="1:3" x14ac:dyDescent="0.2">
      <c r="A169" s="9">
        <v>26846</v>
      </c>
      <c r="B169" s="10">
        <f>VLOOKUP(Table2[[#This Row],[Date]],'Database New'!$A:$D,MATCH($A$1,'Database New'!$A$1:$D$1,),)</f>
        <v>1819</v>
      </c>
      <c r="C169" s="30">
        <f>(Table2[[#This Row],[Building Permits]]-B168)/B168</f>
        <v>-0.11311555338859093</v>
      </c>
    </row>
    <row r="170" spans="1:3" x14ac:dyDescent="0.2">
      <c r="A170" s="9">
        <v>26877</v>
      </c>
      <c r="B170" s="10">
        <f>VLOOKUP(Table2[[#This Row],[Date]],'Database New'!$A:$D,MATCH($A$1,'Database New'!$A$1:$D$1,),)</f>
        <v>1809</v>
      </c>
      <c r="C170" s="30">
        <f>(Table2[[#This Row],[Building Permits]]-B169)/B169</f>
        <v>-5.4975261132490377E-3</v>
      </c>
    </row>
    <row r="171" spans="1:3" x14ac:dyDescent="0.2">
      <c r="A171" s="9">
        <v>26908</v>
      </c>
      <c r="B171" s="10">
        <f>VLOOKUP(Table2[[#This Row],[Date]],'Database New'!$A:$D,MATCH($A$1,'Database New'!$A$1:$D$1,),)</f>
        <v>1704</v>
      </c>
      <c r="C171" s="30">
        <f>(Table2[[#This Row],[Building Permits]]-B170)/B170</f>
        <v>-5.8043117744610281E-2</v>
      </c>
    </row>
    <row r="172" spans="1:3" x14ac:dyDescent="0.2">
      <c r="A172" s="9">
        <v>26938</v>
      </c>
      <c r="B172" s="10">
        <f>VLOOKUP(Table2[[#This Row],[Date]],'Database New'!$A:$D,MATCH($A$1,'Database New'!$A$1:$D$1,),)</f>
        <v>1411</v>
      </c>
      <c r="C172" s="30">
        <f>(Table2[[#This Row],[Building Permits]]-B171)/B171</f>
        <v>-0.17194835680751175</v>
      </c>
    </row>
    <row r="173" spans="1:3" x14ac:dyDescent="0.2">
      <c r="A173" s="9">
        <v>26969</v>
      </c>
      <c r="B173" s="10">
        <f>VLOOKUP(Table2[[#This Row],[Date]],'Database New'!$A:$D,MATCH($A$1,'Database New'!$A$1:$D$1,),)</f>
        <v>1402</v>
      </c>
      <c r="C173" s="30">
        <f>(Table2[[#This Row],[Building Permits]]-B172)/B172</f>
        <v>-6.3784549964564135E-3</v>
      </c>
    </row>
    <row r="174" spans="1:3" x14ac:dyDescent="0.2">
      <c r="A174" s="9">
        <v>26999</v>
      </c>
      <c r="B174" s="10">
        <f>VLOOKUP(Table2[[#This Row],[Date]],'Database New'!$A:$D,MATCH($A$1,'Database New'!$A$1:$D$1,),)</f>
        <v>1288</v>
      </c>
      <c r="C174" s="30">
        <f>(Table2[[#This Row],[Building Permits]]-B173)/B173</f>
        <v>-8.1312410841654775E-2</v>
      </c>
    </row>
    <row r="175" spans="1:3" x14ac:dyDescent="0.2">
      <c r="A175" s="9">
        <v>27030</v>
      </c>
      <c r="B175" s="10">
        <f>VLOOKUP(Table2[[#This Row],[Date]],'Database New'!$A:$D,MATCH($A$1,'Database New'!$A$1:$D$1,),)</f>
        <v>1331</v>
      </c>
      <c r="C175" s="30">
        <f>(Table2[[#This Row],[Building Permits]]-B174)/B174</f>
        <v>3.3385093167701864E-2</v>
      </c>
    </row>
    <row r="176" spans="1:3" x14ac:dyDescent="0.2">
      <c r="A176" s="9">
        <v>27061</v>
      </c>
      <c r="B176" s="10">
        <f>VLOOKUP(Table2[[#This Row],[Date]],'Database New'!$A:$D,MATCH($A$1,'Database New'!$A$1:$D$1,),)</f>
        <v>1360</v>
      </c>
      <c r="C176" s="30">
        <f>(Table2[[#This Row],[Building Permits]]-B175)/B175</f>
        <v>2.1788129226145755E-2</v>
      </c>
    </row>
    <row r="177" spans="1:3" x14ac:dyDescent="0.2">
      <c r="A177" s="9">
        <v>27089</v>
      </c>
      <c r="B177" s="10">
        <f>VLOOKUP(Table2[[#This Row],[Date]],'Database New'!$A:$D,MATCH($A$1,'Database New'!$A$1:$D$1,),)</f>
        <v>1440</v>
      </c>
      <c r="C177" s="30">
        <f>(Table2[[#This Row],[Building Permits]]-B176)/B176</f>
        <v>5.8823529411764705E-2</v>
      </c>
    </row>
    <row r="178" spans="1:3" x14ac:dyDescent="0.2">
      <c r="A178" s="9">
        <v>27120</v>
      </c>
      <c r="B178" s="10">
        <f>VLOOKUP(Table2[[#This Row],[Date]],'Database New'!$A:$D,MATCH($A$1,'Database New'!$A$1:$D$1,),)</f>
        <v>1254</v>
      </c>
      <c r="C178" s="30">
        <f>(Table2[[#This Row],[Building Permits]]-B177)/B177</f>
        <v>-0.12916666666666668</v>
      </c>
    </row>
    <row r="179" spans="1:3" x14ac:dyDescent="0.2">
      <c r="A179" s="9">
        <v>27150</v>
      </c>
      <c r="B179" s="10">
        <f>VLOOKUP(Table2[[#This Row],[Date]],'Database New'!$A:$D,MATCH($A$1,'Database New'!$A$1:$D$1,),)</f>
        <v>1138</v>
      </c>
      <c r="C179" s="30">
        <f>(Table2[[#This Row],[Building Permits]]-B178)/B178</f>
        <v>-9.2503987240829352E-2</v>
      </c>
    </row>
    <row r="180" spans="1:3" x14ac:dyDescent="0.2">
      <c r="A180" s="9">
        <v>27181</v>
      </c>
      <c r="B180" s="10">
        <f>VLOOKUP(Table2[[#This Row],[Date]],'Database New'!$A:$D,MATCH($A$1,'Database New'!$A$1:$D$1,),)</f>
        <v>1086</v>
      </c>
      <c r="C180" s="30">
        <f>(Table2[[#This Row],[Building Permits]]-B179)/B179</f>
        <v>-4.5694200351493852E-2</v>
      </c>
    </row>
    <row r="181" spans="1:3" x14ac:dyDescent="0.2">
      <c r="A181" s="9">
        <v>27211</v>
      </c>
      <c r="B181" s="10">
        <f>VLOOKUP(Table2[[#This Row],[Date]],'Database New'!$A:$D,MATCH($A$1,'Database New'!$A$1:$D$1,),)</f>
        <v>1002</v>
      </c>
      <c r="C181" s="30">
        <f>(Table2[[#This Row],[Building Permits]]-B180)/B180</f>
        <v>-7.7348066298342538E-2</v>
      </c>
    </row>
    <row r="182" spans="1:3" x14ac:dyDescent="0.2">
      <c r="A182" s="9">
        <v>27242</v>
      </c>
      <c r="B182" s="10">
        <f>VLOOKUP(Table2[[#This Row],[Date]],'Database New'!$A:$D,MATCH($A$1,'Database New'!$A$1:$D$1,),)</f>
        <v>917</v>
      </c>
      <c r="C182" s="30">
        <f>(Table2[[#This Row],[Building Permits]]-B181)/B181</f>
        <v>-8.4830339321357279E-2</v>
      </c>
    </row>
    <row r="183" spans="1:3" x14ac:dyDescent="0.2">
      <c r="A183" s="9">
        <v>27273</v>
      </c>
      <c r="B183" s="10">
        <f>VLOOKUP(Table2[[#This Row],[Date]],'Database New'!$A:$D,MATCH($A$1,'Database New'!$A$1:$D$1,),)</f>
        <v>840</v>
      </c>
      <c r="C183" s="30">
        <f>(Table2[[#This Row],[Building Permits]]-B182)/B182</f>
        <v>-8.3969465648854963E-2</v>
      </c>
    </row>
    <row r="184" spans="1:3" x14ac:dyDescent="0.2">
      <c r="A184" s="9">
        <v>27303</v>
      </c>
      <c r="B184" s="10">
        <f>VLOOKUP(Table2[[#This Row],[Date]],'Database New'!$A:$D,MATCH($A$1,'Database New'!$A$1:$D$1,),)</f>
        <v>824</v>
      </c>
      <c r="C184" s="30">
        <f>(Table2[[#This Row],[Building Permits]]-B183)/B183</f>
        <v>-1.9047619047619049E-2</v>
      </c>
    </row>
    <row r="185" spans="1:3" x14ac:dyDescent="0.2">
      <c r="A185" s="9">
        <v>27334</v>
      </c>
      <c r="B185" s="10">
        <f>VLOOKUP(Table2[[#This Row],[Date]],'Database New'!$A:$D,MATCH($A$1,'Database New'!$A$1:$D$1,),)</f>
        <v>783</v>
      </c>
      <c r="C185" s="30">
        <f>(Table2[[#This Row],[Building Permits]]-B184)/B184</f>
        <v>-4.9757281553398057E-2</v>
      </c>
    </row>
    <row r="186" spans="1:3" x14ac:dyDescent="0.2">
      <c r="A186" s="9">
        <v>27364</v>
      </c>
      <c r="B186" s="10">
        <f>VLOOKUP(Table2[[#This Row],[Date]],'Database New'!$A:$D,MATCH($A$1,'Database New'!$A$1:$D$1,),)</f>
        <v>869</v>
      </c>
      <c r="C186" s="30">
        <f>(Table2[[#This Row],[Building Permits]]-B185)/B185</f>
        <v>0.10983397190293742</v>
      </c>
    </row>
    <row r="187" spans="1:3" x14ac:dyDescent="0.2">
      <c r="A187" s="9">
        <v>27395</v>
      </c>
      <c r="B187" s="10">
        <f>VLOOKUP(Table2[[#This Row],[Date]],'Database New'!$A:$D,MATCH($A$1,'Database New'!$A$1:$D$1,),)</f>
        <v>726</v>
      </c>
      <c r="C187" s="30">
        <f>(Table2[[#This Row],[Building Permits]]-B186)/B186</f>
        <v>-0.16455696202531644</v>
      </c>
    </row>
    <row r="188" spans="1:3" x14ac:dyDescent="0.2">
      <c r="A188" s="9">
        <v>27426</v>
      </c>
      <c r="B188" s="10">
        <f>VLOOKUP(Table2[[#This Row],[Date]],'Database New'!$A:$D,MATCH($A$1,'Database New'!$A$1:$D$1,),)</f>
        <v>729</v>
      </c>
      <c r="C188" s="30">
        <f>(Table2[[#This Row],[Building Permits]]-B187)/B187</f>
        <v>4.1322314049586778E-3</v>
      </c>
    </row>
    <row r="189" spans="1:3" x14ac:dyDescent="0.2">
      <c r="A189" s="9">
        <v>27454</v>
      </c>
      <c r="B189" s="10">
        <f>VLOOKUP(Table2[[#This Row],[Date]],'Database New'!$A:$D,MATCH($A$1,'Database New'!$A$1:$D$1,),)</f>
        <v>709</v>
      </c>
      <c r="C189" s="30">
        <f>(Table2[[#This Row],[Building Permits]]-B188)/B188</f>
        <v>-2.7434842249657063E-2</v>
      </c>
    </row>
    <row r="190" spans="1:3" x14ac:dyDescent="0.2">
      <c r="A190" s="9">
        <v>27485</v>
      </c>
      <c r="B190" s="10">
        <f>VLOOKUP(Table2[[#This Row],[Date]],'Database New'!$A:$D,MATCH($A$1,'Database New'!$A$1:$D$1,),)</f>
        <v>866</v>
      </c>
      <c r="C190" s="30">
        <f>(Table2[[#This Row],[Building Permits]]-B189)/B189</f>
        <v>0.22143864598025387</v>
      </c>
    </row>
    <row r="191" spans="1:3" x14ac:dyDescent="0.2">
      <c r="A191" s="9">
        <v>27515</v>
      </c>
      <c r="B191" s="10">
        <f>VLOOKUP(Table2[[#This Row],[Date]],'Database New'!$A:$D,MATCH($A$1,'Database New'!$A$1:$D$1,),)</f>
        <v>914</v>
      </c>
      <c r="C191" s="30">
        <f>(Table2[[#This Row],[Building Permits]]-B190)/B190</f>
        <v>5.5427251732101619E-2</v>
      </c>
    </row>
    <row r="192" spans="1:3" x14ac:dyDescent="0.2">
      <c r="A192" s="9">
        <v>27546</v>
      </c>
      <c r="B192" s="10">
        <f>VLOOKUP(Table2[[#This Row],[Date]],'Database New'!$A:$D,MATCH($A$1,'Database New'!$A$1:$D$1,),)</f>
        <v>946</v>
      </c>
      <c r="C192" s="30">
        <f>(Table2[[#This Row],[Building Permits]]-B191)/B191</f>
        <v>3.5010940919037198E-2</v>
      </c>
    </row>
    <row r="193" spans="1:3" x14ac:dyDescent="0.2">
      <c r="A193" s="9">
        <v>27576</v>
      </c>
      <c r="B193" s="10">
        <f>VLOOKUP(Table2[[#This Row],[Date]],'Database New'!$A:$D,MATCH($A$1,'Database New'!$A$1:$D$1,),)</f>
        <v>1020</v>
      </c>
      <c r="C193" s="30">
        <f>(Table2[[#This Row],[Building Permits]]-B192)/B192</f>
        <v>7.8224101479915431E-2</v>
      </c>
    </row>
    <row r="194" spans="1:3" x14ac:dyDescent="0.2">
      <c r="A194" s="9">
        <v>27607</v>
      </c>
      <c r="B194" s="10">
        <f>VLOOKUP(Table2[[#This Row],[Date]],'Database New'!$A:$D,MATCH($A$1,'Database New'!$A$1:$D$1,),)</f>
        <v>994</v>
      </c>
      <c r="C194" s="30">
        <f>(Table2[[#This Row],[Building Permits]]-B193)/B193</f>
        <v>-2.5490196078431372E-2</v>
      </c>
    </row>
    <row r="195" spans="1:3" x14ac:dyDescent="0.2">
      <c r="A195" s="9">
        <v>27638</v>
      </c>
      <c r="B195" s="10">
        <f>VLOOKUP(Table2[[#This Row],[Date]],'Database New'!$A:$D,MATCH($A$1,'Database New'!$A$1:$D$1,),)</f>
        <v>1064</v>
      </c>
      <c r="C195" s="30">
        <f>(Table2[[#This Row],[Building Permits]]-B194)/B194</f>
        <v>7.0422535211267609E-2</v>
      </c>
    </row>
    <row r="196" spans="1:3" x14ac:dyDescent="0.2">
      <c r="A196" s="9">
        <v>27668</v>
      </c>
      <c r="B196" s="10">
        <f>VLOOKUP(Table2[[#This Row],[Date]],'Database New'!$A:$D,MATCH($A$1,'Database New'!$A$1:$D$1,),)</f>
        <v>1096</v>
      </c>
      <c r="C196" s="30">
        <f>(Table2[[#This Row],[Building Permits]]-B195)/B195</f>
        <v>3.007518796992481E-2</v>
      </c>
    </row>
    <row r="197" spans="1:3" x14ac:dyDescent="0.2">
      <c r="A197" s="9">
        <v>27699</v>
      </c>
      <c r="B197" s="10">
        <f>VLOOKUP(Table2[[#This Row],[Date]],'Database New'!$A:$D,MATCH($A$1,'Database New'!$A$1:$D$1,),)</f>
        <v>1110</v>
      </c>
      <c r="C197" s="30">
        <f>(Table2[[#This Row],[Building Permits]]-B196)/B196</f>
        <v>1.2773722627737226E-2</v>
      </c>
    </row>
    <row r="198" spans="1:3" x14ac:dyDescent="0.2">
      <c r="A198" s="9">
        <v>27729</v>
      </c>
      <c r="B198" s="10">
        <f>VLOOKUP(Table2[[#This Row],[Date]],'Database New'!$A:$D,MATCH($A$1,'Database New'!$A$1:$D$1,),)</f>
        <v>1091</v>
      </c>
      <c r="C198" s="30">
        <f>(Table2[[#This Row],[Building Permits]]-B197)/B197</f>
        <v>-1.7117117117117116E-2</v>
      </c>
    </row>
    <row r="199" spans="1:3" x14ac:dyDescent="0.2">
      <c r="A199" s="9">
        <v>27760</v>
      </c>
      <c r="B199" s="10">
        <f>VLOOKUP(Table2[[#This Row],[Date]],'Database New'!$A:$D,MATCH($A$1,'Database New'!$A$1:$D$1,),)</f>
        <v>1195</v>
      </c>
      <c r="C199" s="30">
        <f>(Table2[[#This Row],[Building Permits]]-B198)/B198</f>
        <v>9.5325389550870762E-2</v>
      </c>
    </row>
    <row r="200" spans="1:3" x14ac:dyDescent="0.2">
      <c r="A200" s="9">
        <v>27791</v>
      </c>
      <c r="B200" s="10">
        <f>VLOOKUP(Table2[[#This Row],[Date]],'Database New'!$A:$D,MATCH($A$1,'Database New'!$A$1:$D$1,),)</f>
        <v>1190</v>
      </c>
      <c r="C200" s="30">
        <f>(Table2[[#This Row],[Building Permits]]-B199)/B199</f>
        <v>-4.1841004184100415E-3</v>
      </c>
    </row>
    <row r="201" spans="1:3" x14ac:dyDescent="0.2">
      <c r="A201" s="9">
        <v>27820</v>
      </c>
      <c r="B201" s="10">
        <f>VLOOKUP(Table2[[#This Row],[Date]],'Database New'!$A:$D,MATCH($A$1,'Database New'!$A$1:$D$1,),)</f>
        <v>1164</v>
      </c>
      <c r="C201" s="30">
        <f>(Table2[[#This Row],[Building Permits]]-B200)/B200</f>
        <v>-2.1848739495798318E-2</v>
      </c>
    </row>
    <row r="202" spans="1:3" x14ac:dyDescent="0.2">
      <c r="A202" s="9">
        <v>27851</v>
      </c>
      <c r="B202" s="10">
        <f>VLOOKUP(Table2[[#This Row],[Date]],'Database New'!$A:$D,MATCH($A$1,'Database New'!$A$1:$D$1,),)</f>
        <v>1132</v>
      </c>
      <c r="C202" s="30">
        <f>(Table2[[#This Row],[Building Permits]]-B201)/B201</f>
        <v>-2.7491408934707903E-2</v>
      </c>
    </row>
    <row r="203" spans="1:3" x14ac:dyDescent="0.2">
      <c r="A203" s="9">
        <v>27881</v>
      </c>
      <c r="B203" s="10">
        <f>VLOOKUP(Table2[[#This Row],[Date]],'Database New'!$A:$D,MATCH($A$1,'Database New'!$A$1:$D$1,),)</f>
        <v>1194</v>
      </c>
      <c r="C203" s="30">
        <f>(Table2[[#This Row],[Building Permits]]-B202)/B202</f>
        <v>5.4770318021201414E-2</v>
      </c>
    </row>
    <row r="204" spans="1:3" x14ac:dyDescent="0.2">
      <c r="A204" s="9">
        <v>27912</v>
      </c>
      <c r="B204" s="10">
        <f>VLOOKUP(Table2[[#This Row],[Date]],'Database New'!$A:$D,MATCH($A$1,'Database New'!$A$1:$D$1,),)</f>
        <v>1188</v>
      </c>
      <c r="C204" s="30">
        <f>(Table2[[#This Row],[Building Permits]]-B203)/B203</f>
        <v>-5.0251256281407036E-3</v>
      </c>
    </row>
    <row r="205" spans="1:3" x14ac:dyDescent="0.2">
      <c r="A205" s="9">
        <v>27942</v>
      </c>
      <c r="B205" s="10">
        <f>VLOOKUP(Table2[[#This Row],[Date]],'Database New'!$A:$D,MATCH($A$1,'Database New'!$A$1:$D$1,),)</f>
        <v>1245</v>
      </c>
      <c r="C205" s="30">
        <f>(Table2[[#This Row],[Building Permits]]-B204)/B204</f>
        <v>4.7979797979797977E-2</v>
      </c>
    </row>
    <row r="206" spans="1:3" x14ac:dyDescent="0.2">
      <c r="A206" s="9">
        <v>27973</v>
      </c>
      <c r="B206" s="10">
        <f>VLOOKUP(Table2[[#This Row],[Date]],'Database New'!$A:$D,MATCH($A$1,'Database New'!$A$1:$D$1,),)</f>
        <v>1309</v>
      </c>
      <c r="C206" s="30">
        <f>(Table2[[#This Row],[Building Permits]]-B205)/B205</f>
        <v>5.1405622489959842E-2</v>
      </c>
    </row>
    <row r="207" spans="1:3" x14ac:dyDescent="0.2">
      <c r="A207" s="9">
        <v>28004</v>
      </c>
      <c r="B207" s="10">
        <f>VLOOKUP(Table2[[#This Row],[Date]],'Database New'!$A:$D,MATCH($A$1,'Database New'!$A$1:$D$1,),)</f>
        <v>1481</v>
      </c>
      <c r="C207" s="30">
        <f>(Table2[[#This Row],[Building Permits]]-B206)/B206</f>
        <v>0.13139801375095492</v>
      </c>
    </row>
    <row r="208" spans="1:3" x14ac:dyDescent="0.2">
      <c r="A208" s="9">
        <v>28034</v>
      </c>
      <c r="B208" s="10">
        <f>VLOOKUP(Table2[[#This Row],[Date]],'Database New'!$A:$D,MATCH($A$1,'Database New'!$A$1:$D$1,),)</f>
        <v>1425</v>
      </c>
      <c r="C208" s="30">
        <f>(Table2[[#This Row],[Building Permits]]-B207)/B207</f>
        <v>-3.7812288993923027E-2</v>
      </c>
    </row>
    <row r="209" spans="1:3" x14ac:dyDescent="0.2">
      <c r="A209" s="9">
        <v>28065</v>
      </c>
      <c r="B209" s="10">
        <f>VLOOKUP(Table2[[#This Row],[Date]],'Database New'!$A:$D,MATCH($A$1,'Database New'!$A$1:$D$1,),)</f>
        <v>1531</v>
      </c>
      <c r="C209" s="30">
        <f>(Table2[[#This Row],[Building Permits]]-B208)/B208</f>
        <v>7.4385964912280708E-2</v>
      </c>
    </row>
    <row r="210" spans="1:3" x14ac:dyDescent="0.2">
      <c r="A210" s="9">
        <v>28095</v>
      </c>
      <c r="B210" s="10">
        <f>VLOOKUP(Table2[[#This Row],[Date]],'Database New'!$A:$D,MATCH($A$1,'Database New'!$A$1:$D$1,),)</f>
        <v>1511</v>
      </c>
      <c r="C210" s="30">
        <f>(Table2[[#This Row],[Building Permits]]-B209)/B209</f>
        <v>-1.3063357282821686E-2</v>
      </c>
    </row>
    <row r="211" spans="1:3" x14ac:dyDescent="0.2">
      <c r="A211" s="9">
        <v>28126</v>
      </c>
      <c r="B211" s="10">
        <f>VLOOKUP(Table2[[#This Row],[Date]],'Database New'!$A:$D,MATCH($A$1,'Database New'!$A$1:$D$1,),)</f>
        <v>1466</v>
      </c>
      <c r="C211" s="30">
        <f>(Table2[[#This Row],[Building Permits]]-B210)/B210</f>
        <v>-2.9781601588352084E-2</v>
      </c>
    </row>
    <row r="212" spans="1:3" x14ac:dyDescent="0.2">
      <c r="A212" s="9">
        <v>28157</v>
      </c>
      <c r="B212" s="10">
        <f>VLOOKUP(Table2[[#This Row],[Date]],'Database New'!$A:$D,MATCH($A$1,'Database New'!$A$1:$D$1,),)</f>
        <v>1560</v>
      </c>
      <c r="C212" s="30">
        <f>(Table2[[#This Row],[Building Permits]]-B211)/B211</f>
        <v>6.4120054570259211E-2</v>
      </c>
    </row>
    <row r="213" spans="1:3" x14ac:dyDescent="0.2">
      <c r="A213" s="9">
        <v>28185</v>
      </c>
      <c r="B213" s="10">
        <f>VLOOKUP(Table2[[#This Row],[Date]],'Database New'!$A:$D,MATCH($A$1,'Database New'!$A$1:$D$1,),)</f>
        <v>1660</v>
      </c>
      <c r="C213" s="30">
        <f>(Table2[[#This Row],[Building Permits]]-B212)/B212</f>
        <v>6.4102564102564097E-2</v>
      </c>
    </row>
    <row r="214" spans="1:3" x14ac:dyDescent="0.2">
      <c r="A214" s="9">
        <v>28216</v>
      </c>
      <c r="B214" s="10">
        <f>VLOOKUP(Table2[[#This Row],[Date]],'Database New'!$A:$D,MATCH($A$1,'Database New'!$A$1:$D$1,),)</f>
        <v>1660</v>
      </c>
      <c r="C214" s="30">
        <f>(Table2[[#This Row],[Building Permits]]-B213)/B213</f>
        <v>0</v>
      </c>
    </row>
    <row r="215" spans="1:3" x14ac:dyDescent="0.2">
      <c r="A215" s="9">
        <v>28246</v>
      </c>
      <c r="B215" s="10">
        <f>VLOOKUP(Table2[[#This Row],[Date]],'Database New'!$A:$D,MATCH($A$1,'Database New'!$A$1:$D$1,),)</f>
        <v>1668</v>
      </c>
      <c r="C215" s="30">
        <f>(Table2[[#This Row],[Building Permits]]-B214)/B214</f>
        <v>4.8192771084337354E-3</v>
      </c>
    </row>
    <row r="216" spans="1:3" x14ac:dyDescent="0.2">
      <c r="A216" s="9">
        <v>28277</v>
      </c>
      <c r="B216" s="10">
        <f>VLOOKUP(Table2[[#This Row],[Date]],'Database New'!$A:$D,MATCH($A$1,'Database New'!$A$1:$D$1,),)</f>
        <v>1752</v>
      </c>
      <c r="C216" s="30">
        <f>(Table2[[#This Row],[Building Permits]]-B215)/B215</f>
        <v>5.0359712230215826E-2</v>
      </c>
    </row>
    <row r="217" spans="1:3" x14ac:dyDescent="0.2">
      <c r="A217" s="9">
        <v>28307</v>
      </c>
      <c r="B217" s="10">
        <f>VLOOKUP(Table2[[#This Row],[Date]],'Database New'!$A:$D,MATCH($A$1,'Database New'!$A$1:$D$1,),)</f>
        <v>1687</v>
      </c>
      <c r="C217" s="30">
        <f>(Table2[[#This Row],[Building Permits]]-B216)/B216</f>
        <v>-3.7100456621004564E-2</v>
      </c>
    </row>
    <row r="218" spans="1:3" x14ac:dyDescent="0.2">
      <c r="A218" s="9">
        <v>28338</v>
      </c>
      <c r="B218" s="10">
        <f>VLOOKUP(Table2[[#This Row],[Date]],'Database New'!$A:$D,MATCH($A$1,'Database New'!$A$1:$D$1,),)</f>
        <v>1780</v>
      </c>
      <c r="C218" s="30">
        <f>(Table2[[#This Row],[Building Permits]]-B217)/B217</f>
        <v>5.5127445168938943E-2</v>
      </c>
    </row>
    <row r="219" spans="1:3" x14ac:dyDescent="0.2">
      <c r="A219" s="9">
        <v>28369</v>
      </c>
      <c r="B219" s="10">
        <f>VLOOKUP(Table2[[#This Row],[Date]],'Database New'!$A:$D,MATCH($A$1,'Database New'!$A$1:$D$1,),)</f>
        <v>1674</v>
      </c>
      <c r="C219" s="30">
        <f>(Table2[[#This Row],[Building Permits]]-B218)/B218</f>
        <v>-5.955056179775281E-2</v>
      </c>
    </row>
    <row r="220" spans="1:3" x14ac:dyDescent="0.2">
      <c r="A220" s="9">
        <v>28399</v>
      </c>
      <c r="B220" s="10">
        <f>VLOOKUP(Table2[[#This Row],[Date]],'Database New'!$A:$D,MATCH($A$1,'Database New'!$A$1:$D$1,),)</f>
        <v>1758</v>
      </c>
      <c r="C220" s="30">
        <f>(Table2[[#This Row],[Building Permits]]-B219)/B219</f>
        <v>5.0179211469534052E-2</v>
      </c>
    </row>
    <row r="221" spans="1:3" x14ac:dyDescent="0.2">
      <c r="A221" s="9">
        <v>28430</v>
      </c>
      <c r="B221" s="10">
        <f>VLOOKUP(Table2[[#This Row],[Date]],'Database New'!$A:$D,MATCH($A$1,'Database New'!$A$1:$D$1,),)</f>
        <v>1771</v>
      </c>
      <c r="C221" s="30">
        <f>(Table2[[#This Row],[Building Permits]]-B220)/B220</f>
        <v>7.3947667804323096E-3</v>
      </c>
    </row>
    <row r="222" spans="1:3" x14ac:dyDescent="0.2">
      <c r="A222" s="9">
        <v>28460</v>
      </c>
      <c r="B222" s="10">
        <f>VLOOKUP(Table2[[#This Row],[Date]],'Database New'!$A:$D,MATCH($A$1,'Database New'!$A$1:$D$1,),)</f>
        <v>1754</v>
      </c>
      <c r="C222" s="30">
        <f>(Table2[[#This Row],[Building Permits]]-B221)/B221</f>
        <v>-9.5990965556182941E-3</v>
      </c>
    </row>
    <row r="223" spans="1:3" x14ac:dyDescent="0.2">
      <c r="A223" s="9">
        <v>28491</v>
      </c>
      <c r="B223" s="10">
        <f>VLOOKUP(Table2[[#This Row],[Date]],'Database New'!$A:$D,MATCH($A$1,'Database New'!$A$1:$D$1,),)</f>
        <v>1740</v>
      </c>
      <c r="C223" s="30">
        <f>(Table2[[#This Row],[Building Permits]]-B222)/B222</f>
        <v>-7.98175598631699E-3</v>
      </c>
    </row>
    <row r="224" spans="1:3" x14ac:dyDescent="0.2">
      <c r="A224" s="9">
        <v>28522</v>
      </c>
      <c r="B224" s="10">
        <f>VLOOKUP(Table2[[#This Row],[Date]],'Database New'!$A:$D,MATCH($A$1,'Database New'!$A$1:$D$1,),)</f>
        <v>1736</v>
      </c>
      <c r="C224" s="30">
        <f>(Table2[[#This Row],[Building Permits]]-B223)/B223</f>
        <v>-2.2988505747126436E-3</v>
      </c>
    </row>
    <row r="225" spans="1:3" x14ac:dyDescent="0.2">
      <c r="A225" s="9">
        <v>28550</v>
      </c>
      <c r="B225" s="10">
        <f>VLOOKUP(Table2[[#This Row],[Date]],'Database New'!$A:$D,MATCH($A$1,'Database New'!$A$1:$D$1,),)</f>
        <v>1799</v>
      </c>
      <c r="C225" s="30">
        <f>(Table2[[#This Row],[Building Permits]]-B224)/B224</f>
        <v>3.6290322580645164E-2</v>
      </c>
    </row>
    <row r="226" spans="1:3" x14ac:dyDescent="0.2">
      <c r="A226" s="9">
        <v>28581</v>
      </c>
      <c r="B226" s="10">
        <f>VLOOKUP(Table2[[#This Row],[Date]],'Database New'!$A:$D,MATCH($A$1,'Database New'!$A$1:$D$1,),)</f>
        <v>1948</v>
      </c>
      <c r="C226" s="30">
        <f>(Table2[[#This Row],[Building Permits]]-B225)/B225</f>
        <v>8.2823790994997218E-2</v>
      </c>
    </row>
    <row r="227" spans="1:3" x14ac:dyDescent="0.2">
      <c r="A227" s="13">
        <v>28611</v>
      </c>
      <c r="B227" s="10">
        <f>VLOOKUP(Table2[[#This Row],[Date]],'Database New'!$A:$D,MATCH($A$1,'Database New'!$A$1:$D$1,),)</f>
        <v>1766</v>
      </c>
      <c r="C227" s="30">
        <f>(Table2[[#This Row],[Building Permits]]-B226)/B226</f>
        <v>-9.3429158110882954E-2</v>
      </c>
    </row>
    <row r="228" spans="1:3" x14ac:dyDescent="0.2">
      <c r="A228" s="13">
        <v>28642</v>
      </c>
      <c r="B228" s="10">
        <f>VLOOKUP(Table2[[#This Row],[Date]],'Database New'!$A:$D,MATCH($A$1,'Database New'!$A$1:$D$1,),)</f>
        <v>1983</v>
      </c>
      <c r="C228" s="30">
        <f>(Table2[[#This Row],[Building Permits]]-B227)/B227</f>
        <v>0.12287655719139298</v>
      </c>
    </row>
    <row r="229" spans="1:3" x14ac:dyDescent="0.2">
      <c r="A229" s="13">
        <v>28672</v>
      </c>
      <c r="B229" s="10">
        <f>VLOOKUP(Table2[[#This Row],[Date]],'Database New'!$A:$D,MATCH($A$1,'Database New'!$A$1:$D$1,),)</f>
        <v>1786</v>
      </c>
      <c r="C229" s="30">
        <f>(Table2[[#This Row],[Building Permits]]-B228)/B228</f>
        <v>-9.934442763489662E-2</v>
      </c>
    </row>
    <row r="230" spans="1:3" x14ac:dyDescent="0.2">
      <c r="A230" s="13">
        <v>28703</v>
      </c>
      <c r="B230" s="10">
        <f>VLOOKUP(Table2[[#This Row],[Date]],'Database New'!$A:$D,MATCH($A$1,'Database New'!$A$1:$D$1,),)</f>
        <v>1691</v>
      </c>
      <c r="C230" s="30">
        <f>(Table2[[#This Row],[Building Permits]]-B229)/B229</f>
        <v>-5.3191489361702128E-2</v>
      </c>
    </row>
    <row r="231" spans="1:3" x14ac:dyDescent="0.2">
      <c r="A231" s="13">
        <v>28734</v>
      </c>
      <c r="B231" s="10">
        <f>VLOOKUP(Table2[[#This Row],[Date]],'Database New'!$A:$D,MATCH($A$1,'Database New'!$A$1:$D$1,),)</f>
        <v>1751</v>
      </c>
      <c r="C231" s="30">
        <f>(Table2[[#This Row],[Building Permits]]-B230)/B230</f>
        <v>3.5481963335304553E-2</v>
      </c>
    </row>
    <row r="232" spans="1:3" x14ac:dyDescent="0.2">
      <c r="A232" s="13">
        <v>28764</v>
      </c>
      <c r="B232" s="10">
        <f>VLOOKUP(Table2[[#This Row],[Date]],'Database New'!$A:$D,MATCH($A$1,'Database New'!$A$1:$D$1,),)</f>
        <v>1781</v>
      </c>
      <c r="C232" s="30">
        <f>(Table2[[#This Row],[Building Permits]]-B231)/B231</f>
        <v>1.7133066818960593E-2</v>
      </c>
    </row>
    <row r="233" spans="1:3" x14ac:dyDescent="0.2">
      <c r="A233" s="13">
        <v>28795</v>
      </c>
      <c r="B233" s="10">
        <f>VLOOKUP(Table2[[#This Row],[Date]],'Database New'!$A:$D,MATCH($A$1,'Database New'!$A$1:$D$1,),)</f>
        <v>1795</v>
      </c>
      <c r="C233" s="30">
        <f>(Table2[[#This Row],[Building Permits]]-B232)/B232</f>
        <v>7.860752386299831E-3</v>
      </c>
    </row>
    <row r="234" spans="1:3" x14ac:dyDescent="0.2">
      <c r="A234" s="13">
        <v>28825</v>
      </c>
      <c r="B234" s="10">
        <f>VLOOKUP(Table2[[#This Row],[Date]],'Database New'!$A:$D,MATCH($A$1,'Database New'!$A$1:$D$1,),)</f>
        <v>1818</v>
      </c>
      <c r="C234" s="30">
        <f>(Table2[[#This Row],[Building Permits]]-B233)/B233</f>
        <v>1.2813370473537604E-2</v>
      </c>
    </row>
    <row r="235" spans="1:3" x14ac:dyDescent="0.2">
      <c r="A235" s="13">
        <v>28856</v>
      </c>
      <c r="B235" s="10">
        <f>VLOOKUP(Table2[[#This Row],[Date]],'Database New'!$A:$D,MATCH($A$1,'Database New'!$A$1:$D$1,),)</f>
        <v>1461</v>
      </c>
      <c r="C235" s="30">
        <f>(Table2[[#This Row],[Building Permits]]-B234)/B234</f>
        <v>-0.19636963696369636</v>
      </c>
    </row>
    <row r="236" spans="1:3" x14ac:dyDescent="0.2">
      <c r="A236" s="13">
        <v>28887</v>
      </c>
      <c r="B236" s="10">
        <f>VLOOKUP(Table2[[#This Row],[Date]],'Database New'!$A:$D,MATCH($A$1,'Database New'!$A$1:$D$1,),)</f>
        <v>1492</v>
      </c>
      <c r="C236" s="30">
        <f>(Table2[[#This Row],[Building Permits]]-B235)/B235</f>
        <v>2.1218343600273786E-2</v>
      </c>
    </row>
    <row r="237" spans="1:3" x14ac:dyDescent="0.2">
      <c r="A237" s="13">
        <v>28915</v>
      </c>
      <c r="B237" s="10">
        <f>VLOOKUP(Table2[[#This Row],[Date]],'Database New'!$A:$D,MATCH($A$1,'Database New'!$A$1:$D$1,),)</f>
        <v>1720</v>
      </c>
      <c r="C237" s="30">
        <f>(Table2[[#This Row],[Building Permits]]-B236)/B236</f>
        <v>0.15281501340482573</v>
      </c>
    </row>
    <row r="238" spans="1:3" x14ac:dyDescent="0.2">
      <c r="A238" s="13">
        <v>28946</v>
      </c>
      <c r="B238" s="10">
        <f>VLOOKUP(Table2[[#This Row],[Date]],'Database New'!$A:$D,MATCH($A$1,'Database New'!$A$1:$D$1,),)</f>
        <v>1597</v>
      </c>
      <c r="C238" s="30">
        <f>(Table2[[#This Row],[Building Permits]]-B237)/B237</f>
        <v>-7.1511627906976738E-2</v>
      </c>
    </row>
    <row r="239" spans="1:3" x14ac:dyDescent="0.2">
      <c r="A239" s="13">
        <v>28976</v>
      </c>
      <c r="B239" s="10">
        <f>VLOOKUP(Table2[[#This Row],[Date]],'Database New'!$A:$D,MATCH($A$1,'Database New'!$A$1:$D$1,),)</f>
        <v>1684</v>
      </c>
      <c r="C239" s="30">
        <f>(Table2[[#This Row],[Building Permits]]-B238)/B238</f>
        <v>5.4477144646211645E-2</v>
      </c>
    </row>
    <row r="240" spans="1:3" x14ac:dyDescent="0.2">
      <c r="A240" s="13">
        <v>29007</v>
      </c>
      <c r="B240" s="10">
        <f>VLOOKUP(Table2[[#This Row],[Date]],'Database New'!$A:$D,MATCH($A$1,'Database New'!$A$1:$D$1,),)</f>
        <v>1640</v>
      </c>
      <c r="C240" s="30">
        <f>(Table2[[#This Row],[Building Permits]]-B239)/B239</f>
        <v>-2.6128266033254157E-2</v>
      </c>
    </row>
    <row r="241" spans="1:3" x14ac:dyDescent="0.2">
      <c r="A241" s="13">
        <v>29037</v>
      </c>
      <c r="B241" s="10">
        <f>VLOOKUP(Table2[[#This Row],[Date]],'Database New'!$A:$D,MATCH($A$1,'Database New'!$A$1:$D$1,),)</f>
        <v>1534</v>
      </c>
      <c r="C241" s="30">
        <f>(Table2[[#This Row],[Building Permits]]-B240)/B240</f>
        <v>-6.4634146341463417E-2</v>
      </c>
    </row>
    <row r="242" spans="1:3" x14ac:dyDescent="0.2">
      <c r="A242" s="13">
        <v>29068</v>
      </c>
      <c r="B242" s="10">
        <f>VLOOKUP(Table2[[#This Row],[Date]],'Database New'!$A:$D,MATCH($A$1,'Database New'!$A$1:$D$1,),)</f>
        <v>1591</v>
      </c>
      <c r="C242" s="30">
        <f>(Table2[[#This Row],[Building Permits]]-B241)/B241</f>
        <v>3.7157757496740544E-2</v>
      </c>
    </row>
    <row r="243" spans="1:3" x14ac:dyDescent="0.2">
      <c r="A243" s="9">
        <v>29099</v>
      </c>
      <c r="B243" s="10">
        <f>VLOOKUP(Table2[[#This Row],[Date]],'Database New'!$A:$D,MATCH($A$1,'Database New'!$A$1:$D$1,),)</f>
        <v>1638</v>
      </c>
      <c r="C243" s="30">
        <f>(Table2[[#This Row],[Building Permits]]-B242)/B242</f>
        <v>2.9541169076052799E-2</v>
      </c>
    </row>
    <row r="244" spans="1:3" x14ac:dyDescent="0.2">
      <c r="A244" s="9">
        <v>29129</v>
      </c>
      <c r="B244" s="10">
        <f>VLOOKUP(Table2[[#This Row],[Date]],'Database New'!$A:$D,MATCH($A$1,'Database New'!$A$1:$D$1,),)</f>
        <v>1481</v>
      </c>
      <c r="C244" s="30">
        <f>(Table2[[#This Row],[Building Permits]]-B243)/B243</f>
        <v>-9.5848595848595855E-2</v>
      </c>
    </row>
    <row r="245" spans="1:3" x14ac:dyDescent="0.2">
      <c r="A245" s="9">
        <v>29160</v>
      </c>
      <c r="B245" s="10">
        <f>VLOOKUP(Table2[[#This Row],[Date]],'Database New'!$A:$D,MATCH($A$1,'Database New'!$A$1:$D$1,),)</f>
        <v>1276</v>
      </c>
      <c r="C245" s="30">
        <f>(Table2[[#This Row],[Building Permits]]-B244)/B244</f>
        <v>-0.13841998649561107</v>
      </c>
    </row>
    <row r="246" spans="1:3" x14ac:dyDescent="0.2">
      <c r="A246" s="9">
        <v>29190</v>
      </c>
      <c r="B246" s="10">
        <f>VLOOKUP(Table2[[#This Row],[Date]],'Database New'!$A:$D,MATCH($A$1,'Database New'!$A$1:$D$1,),)</f>
        <v>1254</v>
      </c>
      <c r="C246" s="30">
        <f>(Table2[[#This Row],[Building Permits]]-B245)/B245</f>
        <v>-1.7241379310344827E-2</v>
      </c>
    </row>
    <row r="247" spans="1:3" x14ac:dyDescent="0.2">
      <c r="A247" s="9">
        <v>29221</v>
      </c>
      <c r="B247" s="10">
        <f>VLOOKUP(Table2[[#This Row],[Date]],'Database New'!$A:$D,MATCH($A$1,'Database New'!$A$1:$D$1,),)</f>
        <v>1280</v>
      </c>
      <c r="C247" s="30">
        <f>(Table2[[#This Row],[Building Permits]]-B246)/B246</f>
        <v>2.0733652312599681E-2</v>
      </c>
    </row>
    <row r="248" spans="1:3" x14ac:dyDescent="0.2">
      <c r="A248" s="9">
        <v>29252</v>
      </c>
      <c r="B248" s="10">
        <f>VLOOKUP(Table2[[#This Row],[Date]],'Database New'!$A:$D,MATCH($A$1,'Database New'!$A$1:$D$1,),)</f>
        <v>1199</v>
      </c>
      <c r="C248" s="30">
        <f>(Table2[[#This Row],[Building Permits]]-B247)/B247</f>
        <v>-6.3281249999999997E-2</v>
      </c>
    </row>
    <row r="249" spans="1:3" x14ac:dyDescent="0.2">
      <c r="A249" s="9">
        <v>29281</v>
      </c>
      <c r="B249" s="10">
        <f>VLOOKUP(Table2[[#This Row],[Date]],'Database New'!$A:$D,MATCH($A$1,'Database New'!$A$1:$D$1,),)</f>
        <v>988</v>
      </c>
      <c r="C249" s="30">
        <f>(Table2[[#This Row],[Building Permits]]-B248)/B248</f>
        <v>-0.17597998331943285</v>
      </c>
    </row>
    <row r="250" spans="1:3" x14ac:dyDescent="0.2">
      <c r="A250" s="9">
        <v>29312</v>
      </c>
      <c r="B250" s="10">
        <f>VLOOKUP(Table2[[#This Row],[Date]],'Database New'!$A:$D,MATCH($A$1,'Database New'!$A$1:$D$1,),)</f>
        <v>808</v>
      </c>
      <c r="C250" s="30">
        <f>(Table2[[#This Row],[Building Permits]]-B249)/B249</f>
        <v>-0.18218623481781376</v>
      </c>
    </row>
    <row r="251" spans="1:3" x14ac:dyDescent="0.2">
      <c r="A251" s="9">
        <v>29342</v>
      </c>
      <c r="B251" s="10">
        <f>VLOOKUP(Table2[[#This Row],[Date]],'Database New'!$A:$D,MATCH($A$1,'Database New'!$A$1:$D$1,),)</f>
        <v>861</v>
      </c>
      <c r="C251" s="30">
        <f>(Table2[[#This Row],[Building Permits]]-B250)/B250</f>
        <v>6.5594059405940597E-2</v>
      </c>
    </row>
    <row r="252" spans="1:3" x14ac:dyDescent="0.2">
      <c r="A252" s="9">
        <v>29373</v>
      </c>
      <c r="B252" s="10">
        <f>VLOOKUP(Table2[[#This Row],[Date]],'Database New'!$A:$D,MATCH($A$1,'Database New'!$A$1:$D$1,),)</f>
        <v>1118</v>
      </c>
      <c r="C252" s="30">
        <f>(Table2[[#This Row],[Building Permits]]-B251)/B251</f>
        <v>0.29849012775842043</v>
      </c>
    </row>
    <row r="253" spans="1:3" x14ac:dyDescent="0.2">
      <c r="A253" s="9">
        <v>29403</v>
      </c>
      <c r="B253" s="10">
        <f>VLOOKUP(Table2[[#This Row],[Date]],'Database New'!$A:$D,MATCH($A$1,'Database New'!$A$1:$D$1,),)</f>
        <v>1259</v>
      </c>
      <c r="C253" s="30">
        <f>(Table2[[#This Row],[Building Permits]]-B252)/B252</f>
        <v>0.12611806797853309</v>
      </c>
    </row>
    <row r="254" spans="1:3" x14ac:dyDescent="0.2">
      <c r="A254" s="9">
        <v>29434</v>
      </c>
      <c r="B254" s="10">
        <f>VLOOKUP(Table2[[#This Row],[Date]],'Database New'!$A:$D,MATCH($A$1,'Database New'!$A$1:$D$1,),)</f>
        <v>1367</v>
      </c>
      <c r="C254" s="30">
        <f>(Table2[[#This Row],[Building Permits]]-B253)/B253</f>
        <v>8.5782366957903103E-2</v>
      </c>
    </row>
    <row r="255" spans="1:3" x14ac:dyDescent="0.2">
      <c r="A255" s="9">
        <v>29465</v>
      </c>
      <c r="B255" s="10">
        <f>VLOOKUP(Table2[[#This Row],[Date]],'Database New'!$A:$D,MATCH($A$1,'Database New'!$A$1:$D$1,),)</f>
        <v>1484</v>
      </c>
      <c r="C255" s="30">
        <f>(Table2[[#This Row],[Building Permits]]-B254)/B254</f>
        <v>8.5588880760790048E-2</v>
      </c>
    </row>
    <row r="256" spans="1:3" x14ac:dyDescent="0.2">
      <c r="A256" s="9">
        <v>29495</v>
      </c>
      <c r="B256" s="10">
        <f>VLOOKUP(Table2[[#This Row],[Date]],'Database New'!$A:$D,MATCH($A$1,'Database New'!$A$1:$D$1,),)</f>
        <v>1366</v>
      </c>
      <c r="C256" s="30">
        <f>(Table2[[#This Row],[Building Permits]]-B255)/B255</f>
        <v>-7.9514824797843664E-2</v>
      </c>
    </row>
    <row r="257" spans="1:3" x14ac:dyDescent="0.2">
      <c r="A257" s="9">
        <v>29526</v>
      </c>
      <c r="B257" s="10">
        <f>VLOOKUP(Table2[[#This Row],[Date]],'Database New'!$A:$D,MATCH($A$1,'Database New'!$A$1:$D$1,),)</f>
        <v>1383</v>
      </c>
      <c r="C257" s="30">
        <f>(Table2[[#This Row],[Building Permits]]-B256)/B256</f>
        <v>1.2445095168374817E-2</v>
      </c>
    </row>
    <row r="258" spans="1:3" x14ac:dyDescent="0.2">
      <c r="A258" s="9">
        <v>29556</v>
      </c>
      <c r="B258" s="10">
        <f>VLOOKUP(Table2[[#This Row],[Date]],'Database New'!$A:$D,MATCH($A$1,'Database New'!$A$1:$D$1,),)</f>
        <v>1249</v>
      </c>
      <c r="C258" s="30">
        <f>(Table2[[#This Row],[Building Permits]]-B257)/B257</f>
        <v>-9.689081706435286E-2</v>
      </c>
    </row>
    <row r="259" spans="1:3" x14ac:dyDescent="0.2">
      <c r="A259" s="9">
        <v>29587</v>
      </c>
      <c r="B259" s="10">
        <f>VLOOKUP(Table2[[#This Row],[Date]],'Database New'!$A:$D,MATCH($A$1,'Database New'!$A$1:$D$1,),)</f>
        <v>1221</v>
      </c>
      <c r="C259" s="30">
        <f>(Table2[[#This Row],[Building Permits]]-B258)/B258</f>
        <v>-2.2417934347477981E-2</v>
      </c>
    </row>
    <row r="260" spans="1:3" x14ac:dyDescent="0.2">
      <c r="A260" s="9">
        <v>29618</v>
      </c>
      <c r="B260" s="10">
        <f>VLOOKUP(Table2[[#This Row],[Date]],'Database New'!$A:$D,MATCH($A$1,'Database New'!$A$1:$D$1,),)</f>
        <v>1199</v>
      </c>
      <c r="C260" s="30">
        <f>(Table2[[#This Row],[Building Permits]]-B259)/B259</f>
        <v>-1.8018018018018018E-2</v>
      </c>
    </row>
    <row r="261" spans="1:3" x14ac:dyDescent="0.2">
      <c r="A261" s="9">
        <v>29646</v>
      </c>
      <c r="B261" s="10">
        <f>VLOOKUP(Table2[[#This Row],[Date]],'Database New'!$A:$D,MATCH($A$1,'Database New'!$A$1:$D$1,),)</f>
        <v>1183</v>
      </c>
      <c r="C261" s="30">
        <f>(Table2[[#This Row],[Building Permits]]-B260)/B260</f>
        <v>-1.3344453711426188E-2</v>
      </c>
    </row>
    <row r="262" spans="1:3" x14ac:dyDescent="0.2">
      <c r="A262" s="9">
        <v>29677</v>
      </c>
      <c r="B262" s="10">
        <f>VLOOKUP(Table2[[#This Row],[Date]],'Database New'!$A:$D,MATCH($A$1,'Database New'!$A$1:$D$1,),)</f>
        <v>1190</v>
      </c>
      <c r="C262" s="30">
        <f>(Table2[[#This Row],[Building Permits]]-B261)/B261</f>
        <v>5.9171597633136093E-3</v>
      </c>
    </row>
    <row r="263" spans="1:3" x14ac:dyDescent="0.2">
      <c r="A263" s="9">
        <v>29707</v>
      </c>
      <c r="B263" s="10">
        <f>VLOOKUP(Table2[[#This Row],[Date]],'Database New'!$A:$D,MATCH($A$1,'Database New'!$A$1:$D$1,),)</f>
        <v>1173</v>
      </c>
      <c r="C263" s="30">
        <f>(Table2[[#This Row],[Building Permits]]-B262)/B262</f>
        <v>-1.4285714285714285E-2</v>
      </c>
    </row>
    <row r="264" spans="1:3" x14ac:dyDescent="0.2">
      <c r="A264" s="9">
        <v>29738</v>
      </c>
      <c r="B264" s="10">
        <f>VLOOKUP(Table2[[#This Row],[Date]],'Database New'!$A:$D,MATCH($A$1,'Database New'!$A$1:$D$1,),)</f>
        <v>976</v>
      </c>
      <c r="C264" s="30">
        <f>(Table2[[#This Row],[Building Permits]]-B263)/B263</f>
        <v>-0.1679454390451833</v>
      </c>
    </row>
    <row r="265" spans="1:3" x14ac:dyDescent="0.2">
      <c r="A265" s="9">
        <v>29768</v>
      </c>
      <c r="B265" s="10">
        <f>VLOOKUP(Table2[[#This Row],[Date]],'Database New'!$A:$D,MATCH($A$1,'Database New'!$A$1:$D$1,),)</f>
        <v>935</v>
      </c>
      <c r="C265" s="30">
        <f>(Table2[[#This Row],[Building Permits]]-B264)/B264</f>
        <v>-4.2008196721311473E-2</v>
      </c>
    </row>
    <row r="266" spans="1:3" x14ac:dyDescent="0.2">
      <c r="A266" s="9">
        <v>29799</v>
      </c>
      <c r="B266" s="10">
        <f>VLOOKUP(Table2[[#This Row],[Date]],'Database New'!$A:$D,MATCH($A$1,'Database New'!$A$1:$D$1,),)</f>
        <v>889</v>
      </c>
      <c r="C266" s="30">
        <f>(Table2[[#This Row],[Building Permits]]-B265)/B265</f>
        <v>-4.9197860962566842E-2</v>
      </c>
    </row>
    <row r="267" spans="1:3" x14ac:dyDescent="0.2">
      <c r="A267" s="9">
        <v>29830</v>
      </c>
      <c r="B267" s="10">
        <f>VLOOKUP(Table2[[#This Row],[Date]],'Database New'!$A:$D,MATCH($A$1,'Database New'!$A$1:$D$1,),)</f>
        <v>847</v>
      </c>
      <c r="C267" s="30">
        <f>(Table2[[#This Row],[Building Permits]]-B266)/B266</f>
        <v>-4.7244094488188976E-2</v>
      </c>
    </row>
    <row r="268" spans="1:3" x14ac:dyDescent="0.2">
      <c r="A268" s="9">
        <v>29860</v>
      </c>
      <c r="B268" s="10">
        <f>VLOOKUP(Table2[[#This Row],[Date]],'Database New'!$A:$D,MATCH($A$1,'Database New'!$A$1:$D$1,),)</f>
        <v>731</v>
      </c>
      <c r="C268" s="30">
        <f>(Table2[[#This Row],[Building Permits]]-B267)/B267</f>
        <v>-0.13695395513577333</v>
      </c>
    </row>
    <row r="269" spans="1:3" x14ac:dyDescent="0.2">
      <c r="A269" s="9">
        <v>29891</v>
      </c>
      <c r="B269" s="10">
        <f>VLOOKUP(Table2[[#This Row],[Date]],'Database New'!$A:$D,MATCH($A$1,'Database New'!$A$1:$D$1,),)</f>
        <v>748</v>
      </c>
      <c r="C269" s="30">
        <f>(Table2[[#This Row],[Building Permits]]-B268)/B268</f>
        <v>2.3255813953488372E-2</v>
      </c>
    </row>
    <row r="270" spans="1:3" x14ac:dyDescent="0.2">
      <c r="A270" s="9">
        <v>29921</v>
      </c>
      <c r="B270" s="10">
        <f>VLOOKUP(Table2[[#This Row],[Date]],'Database New'!$A:$D,MATCH($A$1,'Database New'!$A$1:$D$1,),)</f>
        <v>796</v>
      </c>
      <c r="C270" s="30">
        <f>(Table2[[#This Row],[Building Permits]]-B269)/B269</f>
        <v>6.4171122994652413E-2</v>
      </c>
    </row>
    <row r="271" spans="1:3" x14ac:dyDescent="0.2">
      <c r="A271" s="9">
        <v>29952</v>
      </c>
      <c r="B271" s="10">
        <f>VLOOKUP(Table2[[#This Row],[Date]],'Database New'!$A:$D,MATCH($A$1,'Database New'!$A$1:$D$1,),)</f>
        <v>794</v>
      </c>
      <c r="C271" s="30">
        <f>(Table2[[#This Row],[Building Permits]]-B270)/B270</f>
        <v>-2.5125628140703518E-3</v>
      </c>
    </row>
    <row r="272" spans="1:3" x14ac:dyDescent="0.2">
      <c r="A272" s="9">
        <v>29983</v>
      </c>
      <c r="B272" s="10">
        <f>VLOOKUP(Table2[[#This Row],[Date]],'Database New'!$A:$D,MATCH($A$1,'Database New'!$A$1:$D$1,),)</f>
        <v>808</v>
      </c>
      <c r="C272" s="30">
        <f>(Table2[[#This Row],[Building Permits]]-B271)/B271</f>
        <v>1.7632241813602016E-2</v>
      </c>
    </row>
    <row r="273" spans="1:3" x14ac:dyDescent="0.2">
      <c r="A273" s="9">
        <v>30011</v>
      </c>
      <c r="B273" s="10">
        <f>VLOOKUP(Table2[[#This Row],[Date]],'Database New'!$A:$D,MATCH($A$1,'Database New'!$A$1:$D$1,),)</f>
        <v>891</v>
      </c>
      <c r="C273" s="30">
        <f>(Table2[[#This Row],[Building Permits]]-B272)/B272</f>
        <v>0.10272277227722772</v>
      </c>
    </row>
    <row r="274" spans="1:3" x14ac:dyDescent="0.2">
      <c r="A274" s="9">
        <v>30042</v>
      </c>
      <c r="B274" s="10">
        <f>VLOOKUP(Table2[[#This Row],[Date]],'Database New'!$A:$D,MATCH($A$1,'Database New'!$A$1:$D$1,),)</f>
        <v>888</v>
      </c>
      <c r="C274" s="30">
        <f>(Table2[[#This Row],[Building Permits]]-B273)/B273</f>
        <v>-3.3670033670033669E-3</v>
      </c>
    </row>
    <row r="275" spans="1:3" x14ac:dyDescent="0.2">
      <c r="A275" s="9">
        <v>30072</v>
      </c>
      <c r="B275" s="10">
        <f>VLOOKUP(Table2[[#This Row],[Date]],'Database New'!$A:$D,MATCH($A$1,'Database New'!$A$1:$D$1,),)</f>
        <v>953</v>
      </c>
      <c r="C275" s="30">
        <f>(Table2[[#This Row],[Building Permits]]-B274)/B274</f>
        <v>7.31981981981982E-2</v>
      </c>
    </row>
    <row r="276" spans="1:3" x14ac:dyDescent="0.2">
      <c r="A276" s="9">
        <v>30103</v>
      </c>
      <c r="B276" s="10">
        <f>VLOOKUP(Table2[[#This Row],[Date]],'Database New'!$A:$D,MATCH($A$1,'Database New'!$A$1:$D$1,),)</f>
        <v>913</v>
      </c>
      <c r="C276" s="30">
        <f>(Table2[[#This Row],[Building Permits]]-B275)/B275</f>
        <v>-4.197271773347324E-2</v>
      </c>
    </row>
    <row r="277" spans="1:3" x14ac:dyDescent="0.2">
      <c r="A277" s="9">
        <v>30133</v>
      </c>
      <c r="B277" s="10">
        <f>VLOOKUP(Table2[[#This Row],[Date]],'Database New'!$A:$D,MATCH($A$1,'Database New'!$A$1:$D$1,),)</f>
        <v>1044</v>
      </c>
      <c r="C277" s="30">
        <f>(Table2[[#This Row],[Building Permits]]-B276)/B276</f>
        <v>0.14348302300109528</v>
      </c>
    </row>
    <row r="278" spans="1:3" x14ac:dyDescent="0.2">
      <c r="A278" s="9">
        <v>30164</v>
      </c>
      <c r="B278" s="10">
        <f>VLOOKUP(Table2[[#This Row],[Date]],'Database New'!$A:$D,MATCH($A$1,'Database New'!$A$1:$D$1,),)</f>
        <v>926</v>
      </c>
      <c r="C278" s="30">
        <f>(Table2[[#This Row],[Building Permits]]-B277)/B277</f>
        <v>-0.11302681992337164</v>
      </c>
    </row>
    <row r="279" spans="1:3" x14ac:dyDescent="0.2">
      <c r="A279" s="9">
        <v>30195</v>
      </c>
      <c r="B279" s="10">
        <f>VLOOKUP(Table2[[#This Row],[Date]],'Database New'!$A:$D,MATCH($A$1,'Database New'!$A$1:$D$1,),)</f>
        <v>1042</v>
      </c>
      <c r="C279" s="30">
        <f>(Table2[[#This Row],[Building Permits]]-B278)/B278</f>
        <v>0.12526997840172785</v>
      </c>
    </row>
    <row r="280" spans="1:3" x14ac:dyDescent="0.2">
      <c r="A280" s="9">
        <v>30225</v>
      </c>
      <c r="B280" s="10">
        <f>VLOOKUP(Table2[[#This Row],[Date]],'Database New'!$A:$D,MATCH($A$1,'Database New'!$A$1:$D$1,),)</f>
        <v>1149</v>
      </c>
      <c r="C280" s="30">
        <f>(Table2[[#This Row],[Building Permits]]-B279)/B279</f>
        <v>0.10268714011516315</v>
      </c>
    </row>
    <row r="281" spans="1:3" x14ac:dyDescent="0.2">
      <c r="A281" s="9">
        <v>30256</v>
      </c>
      <c r="B281" s="10">
        <f>VLOOKUP(Table2[[#This Row],[Date]],'Database New'!$A:$D,MATCH($A$1,'Database New'!$A$1:$D$1,),)</f>
        <v>1229</v>
      </c>
      <c r="C281" s="30">
        <f>(Table2[[#This Row],[Building Permits]]-B280)/B280</f>
        <v>6.962576153176675E-2</v>
      </c>
    </row>
    <row r="282" spans="1:3" x14ac:dyDescent="0.2">
      <c r="A282" s="9">
        <v>30286</v>
      </c>
      <c r="B282" s="10">
        <f>VLOOKUP(Table2[[#This Row],[Date]],'Database New'!$A:$D,MATCH($A$1,'Database New'!$A$1:$D$1,),)</f>
        <v>1351</v>
      </c>
      <c r="C282" s="30">
        <f>(Table2[[#This Row],[Building Permits]]-B281)/B281</f>
        <v>9.9267697314890158E-2</v>
      </c>
    </row>
    <row r="283" spans="1:3" x14ac:dyDescent="0.2">
      <c r="A283" s="9">
        <v>30317</v>
      </c>
      <c r="B283" s="10">
        <f>VLOOKUP(Table2[[#This Row],[Date]],'Database New'!$A:$D,MATCH($A$1,'Database New'!$A$1:$D$1,),)</f>
        <v>1426</v>
      </c>
      <c r="C283" s="30">
        <f>(Table2[[#This Row],[Building Permits]]-B282)/B282</f>
        <v>5.5514433752775719E-2</v>
      </c>
    </row>
    <row r="284" spans="1:3" x14ac:dyDescent="0.2">
      <c r="A284" s="9">
        <v>30348</v>
      </c>
      <c r="B284" s="10">
        <f>VLOOKUP(Table2[[#This Row],[Date]],'Database New'!$A:$D,MATCH($A$1,'Database New'!$A$1:$D$1,),)</f>
        <v>1471</v>
      </c>
      <c r="C284" s="30">
        <f>(Table2[[#This Row],[Building Permits]]-B283)/B283</f>
        <v>3.155680224403927E-2</v>
      </c>
    </row>
    <row r="285" spans="1:3" x14ac:dyDescent="0.2">
      <c r="A285" s="9">
        <v>30376</v>
      </c>
      <c r="B285" s="10">
        <f>VLOOKUP(Table2[[#This Row],[Date]],'Database New'!$A:$D,MATCH($A$1,'Database New'!$A$1:$D$1,),)</f>
        <v>1475</v>
      </c>
      <c r="C285" s="30">
        <f>(Table2[[#This Row],[Building Permits]]-B284)/B284</f>
        <v>2.7192386131883071E-3</v>
      </c>
    </row>
    <row r="286" spans="1:3" x14ac:dyDescent="0.2">
      <c r="A286" s="9">
        <v>30407</v>
      </c>
      <c r="B286" s="10">
        <f>VLOOKUP(Table2[[#This Row],[Date]],'Database New'!$A:$D,MATCH($A$1,'Database New'!$A$1:$D$1,),)</f>
        <v>1566</v>
      </c>
      <c r="C286" s="30">
        <f>(Table2[[#This Row],[Building Permits]]-B285)/B285</f>
        <v>6.1694915254237287E-2</v>
      </c>
    </row>
    <row r="287" spans="1:3" x14ac:dyDescent="0.2">
      <c r="A287" s="9">
        <v>30437</v>
      </c>
      <c r="B287" s="10">
        <f>VLOOKUP(Table2[[#This Row],[Date]],'Database New'!$A:$D,MATCH($A$1,'Database New'!$A$1:$D$1,),)</f>
        <v>1669</v>
      </c>
      <c r="C287" s="30">
        <f>(Table2[[#This Row],[Building Permits]]-B286)/B286</f>
        <v>6.5772669220945087E-2</v>
      </c>
    </row>
    <row r="288" spans="1:3" x14ac:dyDescent="0.2">
      <c r="A288" s="9">
        <v>30468</v>
      </c>
      <c r="B288" s="10">
        <f>VLOOKUP(Table2[[#This Row],[Date]],'Database New'!$A:$D,MATCH($A$1,'Database New'!$A$1:$D$1,),)</f>
        <v>1769</v>
      </c>
      <c r="C288" s="30">
        <f>(Table2[[#This Row],[Building Permits]]-B287)/B287</f>
        <v>5.9916117435590173E-2</v>
      </c>
    </row>
    <row r="289" spans="1:3" x14ac:dyDescent="0.2">
      <c r="A289" s="9">
        <v>30498</v>
      </c>
      <c r="B289" s="10">
        <f>VLOOKUP(Table2[[#This Row],[Date]],'Database New'!$A:$D,MATCH($A$1,'Database New'!$A$1:$D$1,),)</f>
        <v>1795</v>
      </c>
      <c r="C289" s="30">
        <f>(Table2[[#This Row],[Building Permits]]-B288)/B288</f>
        <v>1.4697569248162803E-2</v>
      </c>
    </row>
    <row r="290" spans="1:3" x14ac:dyDescent="0.2">
      <c r="A290" s="9">
        <v>30529</v>
      </c>
      <c r="B290" s="10">
        <f>VLOOKUP(Table2[[#This Row],[Date]],'Database New'!$A:$D,MATCH($A$1,'Database New'!$A$1:$D$1,),)</f>
        <v>1713</v>
      </c>
      <c r="C290" s="30">
        <f>(Table2[[#This Row],[Building Permits]]-B289)/B289</f>
        <v>-4.5682451253481894E-2</v>
      </c>
    </row>
    <row r="291" spans="1:3" x14ac:dyDescent="0.2">
      <c r="A291" s="9">
        <v>30560</v>
      </c>
      <c r="B291" s="10">
        <f>VLOOKUP(Table2[[#This Row],[Date]],'Database New'!$A:$D,MATCH($A$1,'Database New'!$A$1:$D$1,),)</f>
        <v>1585</v>
      </c>
      <c r="C291" s="30">
        <f>(Table2[[#This Row],[Building Permits]]-B290)/B290</f>
        <v>-7.472270869819031E-2</v>
      </c>
    </row>
    <row r="292" spans="1:3" x14ac:dyDescent="0.2">
      <c r="A292" s="9">
        <v>30590</v>
      </c>
      <c r="B292" s="10">
        <f>VLOOKUP(Table2[[#This Row],[Date]],'Database New'!$A:$D,MATCH($A$1,'Database New'!$A$1:$D$1,),)</f>
        <v>1716</v>
      </c>
      <c r="C292" s="30">
        <f>(Table2[[#This Row],[Building Permits]]-B291)/B291</f>
        <v>8.2649842271293378E-2</v>
      </c>
    </row>
    <row r="293" spans="1:3" x14ac:dyDescent="0.2">
      <c r="A293" s="9">
        <v>30621</v>
      </c>
      <c r="B293" s="10">
        <f>VLOOKUP(Table2[[#This Row],[Date]],'Database New'!$A:$D,MATCH($A$1,'Database New'!$A$1:$D$1,),)</f>
        <v>1668</v>
      </c>
      <c r="C293" s="30">
        <f>(Table2[[#This Row],[Building Permits]]-B292)/B292</f>
        <v>-2.7972027972027972E-2</v>
      </c>
    </row>
    <row r="294" spans="1:3" x14ac:dyDescent="0.2">
      <c r="A294" s="9">
        <v>30651</v>
      </c>
      <c r="B294" s="10">
        <f>VLOOKUP(Table2[[#This Row],[Date]],'Database New'!$A:$D,MATCH($A$1,'Database New'!$A$1:$D$1,),)</f>
        <v>1627</v>
      </c>
      <c r="C294" s="30">
        <f>(Table2[[#This Row],[Building Permits]]-B293)/B293</f>
        <v>-2.4580335731414868E-2</v>
      </c>
    </row>
    <row r="295" spans="1:3" x14ac:dyDescent="0.2">
      <c r="A295" s="9">
        <v>30682</v>
      </c>
      <c r="B295" s="10">
        <f>VLOOKUP(Table2[[#This Row],[Date]],'Database New'!$A:$D,MATCH($A$1,'Database New'!$A$1:$D$1,),)</f>
        <v>1816</v>
      </c>
      <c r="C295" s="30">
        <f>(Table2[[#This Row],[Building Permits]]-B294)/B294</f>
        <v>0.11616472034419176</v>
      </c>
    </row>
    <row r="296" spans="1:3" x14ac:dyDescent="0.2">
      <c r="A296" s="9">
        <v>30713</v>
      </c>
      <c r="B296" s="10">
        <f>VLOOKUP(Table2[[#This Row],[Date]],'Database New'!$A:$D,MATCH($A$1,'Database New'!$A$1:$D$1,),)</f>
        <v>1987</v>
      </c>
      <c r="C296" s="30">
        <f>(Table2[[#This Row],[Building Permits]]-B295)/B295</f>
        <v>9.4162995594713653E-2</v>
      </c>
    </row>
    <row r="297" spans="1:3" x14ac:dyDescent="0.2">
      <c r="A297" s="9">
        <v>30742</v>
      </c>
      <c r="B297" s="10">
        <f>VLOOKUP(Table2[[#This Row],[Date]],'Database New'!$A:$D,MATCH($A$1,'Database New'!$A$1:$D$1,),)</f>
        <v>1725</v>
      </c>
      <c r="C297" s="30">
        <f>(Table2[[#This Row],[Building Permits]]-B296)/B296</f>
        <v>-0.1318570709612481</v>
      </c>
    </row>
    <row r="298" spans="1:3" x14ac:dyDescent="0.2">
      <c r="A298" s="9">
        <v>30773</v>
      </c>
      <c r="B298" s="10">
        <f>VLOOKUP(Table2[[#This Row],[Date]],'Database New'!$A:$D,MATCH($A$1,'Database New'!$A$1:$D$1,),)</f>
        <v>1776</v>
      </c>
      <c r="C298" s="30">
        <f>(Table2[[#This Row],[Building Permits]]-B297)/B297</f>
        <v>2.9565217391304348E-2</v>
      </c>
    </row>
    <row r="299" spans="1:3" x14ac:dyDescent="0.2">
      <c r="A299" s="9">
        <v>30803</v>
      </c>
      <c r="B299" s="10">
        <f>VLOOKUP(Table2[[#This Row],[Date]],'Database New'!$A:$D,MATCH($A$1,'Database New'!$A$1:$D$1,),)</f>
        <v>1741</v>
      </c>
      <c r="C299" s="30">
        <f>(Table2[[#This Row],[Building Permits]]-B298)/B298</f>
        <v>-1.9707207207207207E-2</v>
      </c>
    </row>
    <row r="300" spans="1:3" x14ac:dyDescent="0.2">
      <c r="A300" s="9">
        <v>30834</v>
      </c>
      <c r="B300" s="10">
        <f>VLOOKUP(Table2[[#This Row],[Date]],'Database New'!$A:$D,MATCH($A$1,'Database New'!$A$1:$D$1,),)</f>
        <v>1814</v>
      </c>
      <c r="C300" s="30">
        <f>(Table2[[#This Row],[Building Permits]]-B299)/B299</f>
        <v>4.1929925330269957E-2</v>
      </c>
    </row>
    <row r="301" spans="1:3" x14ac:dyDescent="0.2">
      <c r="A301" s="9">
        <v>30864</v>
      </c>
      <c r="B301" s="10">
        <f>VLOOKUP(Table2[[#This Row],[Date]],'Database New'!$A:$D,MATCH($A$1,'Database New'!$A$1:$D$1,),)</f>
        <v>1605</v>
      </c>
      <c r="C301" s="30">
        <f>(Table2[[#This Row],[Building Permits]]-B300)/B300</f>
        <v>-0.11521499448732084</v>
      </c>
    </row>
    <row r="302" spans="1:3" x14ac:dyDescent="0.2">
      <c r="A302" s="9">
        <v>30895</v>
      </c>
      <c r="B302" s="10">
        <f>VLOOKUP(Table2[[#This Row],[Date]],'Database New'!$A:$D,MATCH($A$1,'Database New'!$A$1:$D$1,),)</f>
        <v>1530</v>
      </c>
      <c r="C302" s="30">
        <f>(Table2[[#This Row],[Building Permits]]-B301)/B301</f>
        <v>-4.6728971962616821E-2</v>
      </c>
    </row>
    <row r="303" spans="1:3" x14ac:dyDescent="0.2">
      <c r="A303" s="9">
        <v>30926</v>
      </c>
      <c r="B303" s="10">
        <f>VLOOKUP(Table2[[#This Row],[Date]],'Database New'!$A:$D,MATCH($A$1,'Database New'!$A$1:$D$1,),)</f>
        <v>1523</v>
      </c>
      <c r="C303" s="30">
        <f>(Table2[[#This Row],[Building Permits]]-B302)/B302</f>
        <v>-4.5751633986928107E-3</v>
      </c>
    </row>
    <row r="304" spans="1:3" x14ac:dyDescent="0.2">
      <c r="A304" s="9">
        <v>30956</v>
      </c>
      <c r="B304" s="10">
        <f>VLOOKUP(Table2[[#This Row],[Date]],'Database New'!$A:$D,MATCH($A$1,'Database New'!$A$1:$D$1,),)</f>
        <v>1490</v>
      </c>
      <c r="C304" s="30">
        <f>(Table2[[#This Row],[Building Permits]]-B303)/B303</f>
        <v>-2.1667760998030205E-2</v>
      </c>
    </row>
    <row r="305" spans="1:3" x14ac:dyDescent="0.2">
      <c r="A305" s="9">
        <v>30987</v>
      </c>
      <c r="B305" s="10">
        <f>VLOOKUP(Table2[[#This Row],[Date]],'Database New'!$A:$D,MATCH($A$1,'Database New'!$A$1:$D$1,),)</f>
        <v>1643</v>
      </c>
      <c r="C305" s="30">
        <f>(Table2[[#This Row],[Building Permits]]-B304)/B304</f>
        <v>0.10268456375838926</v>
      </c>
    </row>
    <row r="306" spans="1:3" x14ac:dyDescent="0.2">
      <c r="A306" s="9">
        <v>31017</v>
      </c>
      <c r="B306" s="10">
        <f>VLOOKUP(Table2[[#This Row],[Date]],'Database New'!$A:$D,MATCH($A$1,'Database New'!$A$1:$D$1,),)</f>
        <v>1626</v>
      </c>
      <c r="C306" s="30">
        <f>(Table2[[#This Row],[Building Permits]]-B305)/B305</f>
        <v>-1.0346926354230066E-2</v>
      </c>
    </row>
    <row r="307" spans="1:3" x14ac:dyDescent="0.2">
      <c r="A307" s="9">
        <v>31048</v>
      </c>
      <c r="B307" s="10">
        <f>VLOOKUP(Table2[[#This Row],[Date]],'Database New'!$A:$D,MATCH($A$1,'Database New'!$A$1:$D$1,),)</f>
        <v>1660</v>
      </c>
      <c r="C307" s="30">
        <f>(Table2[[#This Row],[Building Permits]]-B306)/B306</f>
        <v>2.0910209102091022E-2</v>
      </c>
    </row>
    <row r="308" spans="1:3" x14ac:dyDescent="0.2">
      <c r="A308" s="9">
        <v>31079</v>
      </c>
      <c r="B308" s="10">
        <f>VLOOKUP(Table2[[#This Row],[Date]],'Database New'!$A:$D,MATCH($A$1,'Database New'!$A$1:$D$1,),)</f>
        <v>1662</v>
      </c>
      <c r="C308" s="30">
        <f>(Table2[[#This Row],[Building Permits]]-B307)/B307</f>
        <v>1.2048192771084338E-3</v>
      </c>
    </row>
    <row r="309" spans="1:3" x14ac:dyDescent="0.2">
      <c r="A309" s="9">
        <v>31107</v>
      </c>
      <c r="B309" s="10">
        <f>VLOOKUP(Table2[[#This Row],[Date]],'Database New'!$A:$D,MATCH($A$1,'Database New'!$A$1:$D$1,),)</f>
        <v>1727</v>
      </c>
      <c r="C309" s="30">
        <f>(Table2[[#This Row],[Building Permits]]-B308)/B308</f>
        <v>3.9109506618531888E-2</v>
      </c>
    </row>
    <row r="310" spans="1:3" x14ac:dyDescent="0.2">
      <c r="A310" s="9">
        <v>31138</v>
      </c>
      <c r="B310" s="10">
        <f>VLOOKUP(Table2[[#This Row],[Date]],'Database New'!$A:$D,MATCH($A$1,'Database New'!$A$1:$D$1,),)</f>
        <v>1664</v>
      </c>
      <c r="C310" s="30">
        <f>(Table2[[#This Row],[Building Permits]]-B309)/B309</f>
        <v>-3.6479444122756222E-2</v>
      </c>
    </row>
    <row r="311" spans="1:3" x14ac:dyDescent="0.2">
      <c r="A311" s="9">
        <v>31168</v>
      </c>
      <c r="B311" s="10">
        <f>VLOOKUP(Table2[[#This Row],[Date]],'Database New'!$A:$D,MATCH($A$1,'Database New'!$A$1:$D$1,),)</f>
        <v>1709</v>
      </c>
      <c r="C311" s="30">
        <f>(Table2[[#This Row],[Building Permits]]-B310)/B310</f>
        <v>2.7043269230769232E-2</v>
      </c>
    </row>
    <row r="312" spans="1:3" x14ac:dyDescent="0.2">
      <c r="A312" s="9">
        <v>31199</v>
      </c>
      <c r="B312" s="10">
        <f>VLOOKUP(Table2[[#This Row],[Date]],'Database New'!$A:$D,MATCH($A$1,'Database New'!$A$1:$D$1,),)</f>
        <v>1716</v>
      </c>
      <c r="C312" s="30">
        <f>(Table2[[#This Row],[Building Permits]]-B311)/B311</f>
        <v>4.0959625511995321E-3</v>
      </c>
    </row>
    <row r="313" spans="1:3" x14ac:dyDescent="0.2">
      <c r="A313" s="9">
        <v>31229</v>
      </c>
      <c r="B313" s="10">
        <f>VLOOKUP(Table2[[#This Row],[Date]],'Database New'!$A:$D,MATCH($A$1,'Database New'!$A$1:$D$1,),)</f>
        <v>1697</v>
      </c>
      <c r="C313" s="30">
        <f>(Table2[[#This Row],[Building Permits]]-B312)/B312</f>
        <v>-1.1072261072261072E-2</v>
      </c>
    </row>
    <row r="314" spans="1:3" x14ac:dyDescent="0.2">
      <c r="A314" s="9">
        <v>31260</v>
      </c>
      <c r="B314" s="10">
        <f>VLOOKUP(Table2[[#This Row],[Date]],'Database New'!$A:$D,MATCH($A$1,'Database New'!$A$1:$D$1,),)</f>
        <v>1808</v>
      </c>
      <c r="C314" s="30">
        <f>(Table2[[#This Row],[Building Permits]]-B313)/B313</f>
        <v>6.5409546258102538E-2</v>
      </c>
    </row>
    <row r="315" spans="1:3" x14ac:dyDescent="0.2">
      <c r="A315" s="9">
        <v>31291</v>
      </c>
      <c r="B315" s="10">
        <f>VLOOKUP(Table2[[#This Row],[Date]],'Database New'!$A:$D,MATCH($A$1,'Database New'!$A$1:$D$1,),)</f>
        <v>1916</v>
      </c>
      <c r="C315" s="30">
        <f>(Table2[[#This Row],[Building Permits]]-B314)/B314</f>
        <v>5.9734513274336286E-2</v>
      </c>
    </row>
    <row r="316" spans="1:3" x14ac:dyDescent="0.2">
      <c r="A316" s="9">
        <v>31321</v>
      </c>
      <c r="B316" s="10">
        <f>VLOOKUP(Table2[[#This Row],[Date]],'Database New'!$A:$D,MATCH($A$1,'Database New'!$A$1:$D$1,),)</f>
        <v>1743</v>
      </c>
      <c r="C316" s="30">
        <f>(Table2[[#This Row],[Building Permits]]-B315)/B315</f>
        <v>-9.0292275574112735E-2</v>
      </c>
    </row>
    <row r="317" spans="1:3" x14ac:dyDescent="0.2">
      <c r="A317" s="9">
        <v>31352</v>
      </c>
      <c r="B317" s="10">
        <f>VLOOKUP(Table2[[#This Row],[Date]],'Database New'!$A:$D,MATCH($A$1,'Database New'!$A$1:$D$1,),)</f>
        <v>1692</v>
      </c>
      <c r="C317" s="30">
        <f>(Table2[[#This Row],[Building Permits]]-B316)/B316</f>
        <v>-2.9259896729776247E-2</v>
      </c>
    </row>
    <row r="318" spans="1:3" x14ac:dyDescent="0.2">
      <c r="A318" s="9">
        <v>31382</v>
      </c>
      <c r="B318" s="10">
        <f>VLOOKUP(Table2[[#This Row],[Date]],'Database New'!$A:$D,MATCH($A$1,'Database New'!$A$1:$D$1,),)</f>
        <v>1794</v>
      </c>
      <c r="C318" s="30">
        <f>(Table2[[#This Row],[Building Permits]]-B317)/B317</f>
        <v>6.0283687943262408E-2</v>
      </c>
    </row>
    <row r="319" spans="1:3" x14ac:dyDescent="0.2">
      <c r="A319" s="9">
        <v>31413</v>
      </c>
      <c r="B319" s="10">
        <f>VLOOKUP(Table2[[#This Row],[Date]],'Database New'!$A:$D,MATCH($A$1,'Database New'!$A$1:$D$1,),)</f>
        <v>1847</v>
      </c>
      <c r="C319" s="30">
        <f>(Table2[[#This Row],[Building Permits]]-B318)/B318</f>
        <v>2.9542920847268672E-2</v>
      </c>
    </row>
    <row r="320" spans="1:3" x14ac:dyDescent="0.2">
      <c r="A320" s="9">
        <v>31444</v>
      </c>
      <c r="B320" s="10">
        <f>VLOOKUP(Table2[[#This Row],[Date]],'Database New'!$A:$D,MATCH($A$1,'Database New'!$A$1:$D$1,),)</f>
        <v>1767</v>
      </c>
      <c r="C320" s="30">
        <f>(Table2[[#This Row],[Building Permits]]-B319)/B319</f>
        <v>-4.3313481321061179E-2</v>
      </c>
    </row>
    <row r="321" spans="1:3" x14ac:dyDescent="0.2">
      <c r="A321" s="9">
        <v>31472</v>
      </c>
      <c r="B321" s="10">
        <f>VLOOKUP(Table2[[#This Row],[Date]],'Database New'!$A:$D,MATCH($A$1,'Database New'!$A$1:$D$1,),)</f>
        <v>1780</v>
      </c>
      <c r="C321" s="30">
        <f>(Table2[[#This Row],[Building Permits]]-B320)/B320</f>
        <v>7.3571024335031127E-3</v>
      </c>
    </row>
    <row r="322" spans="1:3" x14ac:dyDescent="0.2">
      <c r="A322" s="9">
        <v>31503</v>
      </c>
      <c r="B322" s="10">
        <f>VLOOKUP(Table2[[#This Row],[Date]],'Database New'!$A:$D,MATCH($A$1,'Database New'!$A$1:$D$1,),)</f>
        <v>1858</v>
      </c>
      <c r="C322" s="30">
        <f>(Table2[[#This Row],[Building Permits]]-B321)/B321</f>
        <v>4.3820224719101124E-2</v>
      </c>
    </row>
    <row r="323" spans="1:3" x14ac:dyDescent="0.2">
      <c r="A323" s="9">
        <v>31533</v>
      </c>
      <c r="B323" s="10">
        <f>VLOOKUP(Table2[[#This Row],[Date]],'Database New'!$A:$D,MATCH($A$1,'Database New'!$A$1:$D$1,),)</f>
        <v>1797</v>
      </c>
      <c r="C323" s="30">
        <f>(Table2[[#This Row],[Building Permits]]-B322)/B322</f>
        <v>-3.2831001076426267E-2</v>
      </c>
    </row>
    <row r="324" spans="1:3" x14ac:dyDescent="0.2">
      <c r="A324" s="9">
        <v>31564</v>
      </c>
      <c r="B324" s="10">
        <f>VLOOKUP(Table2[[#This Row],[Date]],'Database New'!$A:$D,MATCH($A$1,'Database New'!$A$1:$D$1,),)</f>
        <v>1790</v>
      </c>
      <c r="C324" s="30">
        <f>(Table2[[#This Row],[Building Permits]]-B323)/B323</f>
        <v>-3.8953811908736783E-3</v>
      </c>
    </row>
    <row r="325" spans="1:3" x14ac:dyDescent="0.2">
      <c r="A325" s="9">
        <v>31594</v>
      </c>
      <c r="B325" s="10">
        <f>VLOOKUP(Table2[[#This Row],[Date]],'Database New'!$A:$D,MATCH($A$1,'Database New'!$A$1:$D$1,),)</f>
        <v>1780</v>
      </c>
      <c r="C325" s="30">
        <f>(Table2[[#This Row],[Building Permits]]-B324)/B324</f>
        <v>-5.5865921787709499E-3</v>
      </c>
    </row>
    <row r="326" spans="1:3" x14ac:dyDescent="0.2">
      <c r="A326" s="9">
        <v>31625</v>
      </c>
      <c r="B326" s="10">
        <f>VLOOKUP(Table2[[#This Row],[Date]],'Database New'!$A:$D,MATCH($A$1,'Database New'!$A$1:$D$1,),)</f>
        <v>1726</v>
      </c>
      <c r="C326" s="30">
        <f>(Table2[[#This Row],[Building Permits]]-B325)/B325</f>
        <v>-3.0337078651685393E-2</v>
      </c>
    </row>
    <row r="327" spans="1:3" x14ac:dyDescent="0.2">
      <c r="A327" s="9">
        <v>31656</v>
      </c>
      <c r="B327" s="10">
        <f>VLOOKUP(Table2[[#This Row],[Date]],'Database New'!$A:$D,MATCH($A$1,'Database New'!$A$1:$D$1,),)</f>
        <v>1686</v>
      </c>
      <c r="C327" s="30">
        <f>(Table2[[#This Row],[Building Permits]]-B326)/B326</f>
        <v>-2.3174971031286212E-2</v>
      </c>
    </row>
    <row r="328" spans="1:3" x14ac:dyDescent="0.2">
      <c r="A328" s="9">
        <v>31686</v>
      </c>
      <c r="B328" s="10">
        <f>VLOOKUP(Table2[[#This Row],[Date]],'Database New'!$A:$D,MATCH($A$1,'Database New'!$A$1:$D$1,),)</f>
        <v>1675</v>
      </c>
      <c r="C328" s="30">
        <f>(Table2[[#This Row],[Building Permits]]-B327)/B327</f>
        <v>-6.5243179122182679E-3</v>
      </c>
    </row>
    <row r="329" spans="1:3" x14ac:dyDescent="0.2">
      <c r="A329" s="9">
        <v>31717</v>
      </c>
      <c r="B329" s="10">
        <f>VLOOKUP(Table2[[#This Row],[Date]],'Database New'!$A:$D,MATCH($A$1,'Database New'!$A$1:$D$1,),)</f>
        <v>1644</v>
      </c>
      <c r="C329" s="30">
        <f>(Table2[[#This Row],[Building Permits]]-B328)/B328</f>
        <v>-1.8507462686567163E-2</v>
      </c>
    </row>
    <row r="330" spans="1:3" x14ac:dyDescent="0.2">
      <c r="A330" s="9">
        <v>31747</v>
      </c>
      <c r="B330" s="10">
        <f>VLOOKUP(Table2[[#This Row],[Date]],'Database New'!$A:$D,MATCH($A$1,'Database New'!$A$1:$D$1,),)</f>
        <v>1903</v>
      </c>
      <c r="C330" s="30">
        <f>(Table2[[#This Row],[Building Permits]]-B329)/B329</f>
        <v>0.15754257907542579</v>
      </c>
    </row>
    <row r="331" spans="1:3" x14ac:dyDescent="0.2">
      <c r="A331" s="9">
        <v>31778</v>
      </c>
      <c r="B331" s="10">
        <f>VLOOKUP(Table2[[#This Row],[Date]],'Database New'!$A:$D,MATCH($A$1,'Database New'!$A$1:$D$1,),)</f>
        <v>1690</v>
      </c>
      <c r="C331" s="30">
        <f>(Table2[[#This Row],[Building Permits]]-B330)/B330</f>
        <v>-0.11192853389385181</v>
      </c>
    </row>
    <row r="332" spans="1:3" x14ac:dyDescent="0.2">
      <c r="A332" s="9">
        <v>31809</v>
      </c>
      <c r="B332" s="10">
        <f>VLOOKUP(Table2[[#This Row],[Date]],'Database New'!$A:$D,MATCH($A$1,'Database New'!$A$1:$D$1,),)</f>
        <v>1689</v>
      </c>
      <c r="C332" s="30">
        <f>(Table2[[#This Row],[Building Permits]]-B331)/B331</f>
        <v>-5.9171597633136095E-4</v>
      </c>
    </row>
    <row r="333" spans="1:3" x14ac:dyDescent="0.2">
      <c r="A333" s="9">
        <v>31837</v>
      </c>
      <c r="B333" s="10">
        <f>VLOOKUP(Table2[[#This Row],[Date]],'Database New'!$A:$D,MATCH($A$1,'Database New'!$A$1:$D$1,),)</f>
        <v>1704</v>
      </c>
      <c r="C333" s="30">
        <f>(Table2[[#This Row],[Building Permits]]-B332)/B332</f>
        <v>8.8809946714031966E-3</v>
      </c>
    </row>
    <row r="334" spans="1:3" x14ac:dyDescent="0.2">
      <c r="A334" s="9">
        <v>31868</v>
      </c>
      <c r="B334" s="10">
        <f>VLOOKUP(Table2[[#This Row],[Date]],'Database New'!$A:$D,MATCH($A$1,'Database New'!$A$1:$D$1,),)</f>
        <v>1601</v>
      </c>
      <c r="C334" s="30">
        <f>(Table2[[#This Row],[Building Permits]]-B333)/B333</f>
        <v>-6.044600938967136E-2</v>
      </c>
    </row>
    <row r="335" spans="1:3" x14ac:dyDescent="0.2">
      <c r="A335" s="9">
        <v>31898</v>
      </c>
      <c r="B335" s="10">
        <f>VLOOKUP(Table2[[#This Row],[Date]],'Database New'!$A:$D,MATCH($A$1,'Database New'!$A$1:$D$1,),)</f>
        <v>1500</v>
      </c>
      <c r="C335" s="30">
        <f>(Table2[[#This Row],[Building Permits]]-B334)/B334</f>
        <v>-6.3085571517801378E-2</v>
      </c>
    </row>
    <row r="336" spans="1:3" x14ac:dyDescent="0.2">
      <c r="A336" s="9">
        <v>31929</v>
      </c>
      <c r="B336" s="10">
        <f>VLOOKUP(Table2[[#This Row],[Date]],'Database New'!$A:$D,MATCH($A$1,'Database New'!$A$1:$D$1,),)</f>
        <v>1522</v>
      </c>
      <c r="C336" s="30">
        <f>(Table2[[#This Row],[Building Permits]]-B335)/B335</f>
        <v>1.4666666666666666E-2</v>
      </c>
    </row>
    <row r="337" spans="1:3" x14ac:dyDescent="0.2">
      <c r="A337" s="9">
        <v>31959</v>
      </c>
      <c r="B337" s="10">
        <f>VLOOKUP(Table2[[#This Row],[Date]],'Database New'!$A:$D,MATCH($A$1,'Database New'!$A$1:$D$1,),)</f>
        <v>1516</v>
      </c>
      <c r="C337" s="30">
        <f>(Table2[[#This Row],[Building Permits]]-B336)/B336</f>
        <v>-3.9421813403416554E-3</v>
      </c>
    </row>
    <row r="338" spans="1:3" x14ac:dyDescent="0.2">
      <c r="A338" s="9">
        <v>31990</v>
      </c>
      <c r="B338" s="10">
        <f>VLOOKUP(Table2[[#This Row],[Date]],'Database New'!$A:$D,MATCH($A$1,'Database New'!$A$1:$D$1,),)</f>
        <v>1511</v>
      </c>
      <c r="C338" s="30">
        <f>(Table2[[#This Row],[Building Permits]]-B337)/B337</f>
        <v>-3.2981530343007917E-3</v>
      </c>
    </row>
    <row r="339" spans="1:3" x14ac:dyDescent="0.2">
      <c r="A339" s="9">
        <v>32021</v>
      </c>
      <c r="B339" s="10">
        <f>VLOOKUP(Table2[[#This Row],[Date]],'Database New'!$A:$D,MATCH($A$1,'Database New'!$A$1:$D$1,),)</f>
        <v>1514</v>
      </c>
      <c r="C339" s="30">
        <f>(Table2[[#This Row],[Building Permits]]-B338)/B338</f>
        <v>1.9854401058901389E-3</v>
      </c>
    </row>
    <row r="340" spans="1:3" x14ac:dyDescent="0.2">
      <c r="A340" s="9">
        <v>32051</v>
      </c>
      <c r="B340" s="10">
        <f>VLOOKUP(Table2[[#This Row],[Date]],'Database New'!$A:$D,MATCH($A$1,'Database New'!$A$1:$D$1,),)</f>
        <v>1447</v>
      </c>
      <c r="C340" s="30">
        <f>(Table2[[#This Row],[Building Permits]]-B339)/B339</f>
        <v>-4.4253632760898283E-2</v>
      </c>
    </row>
    <row r="341" spans="1:3" x14ac:dyDescent="0.2">
      <c r="A341" s="9">
        <v>32082</v>
      </c>
      <c r="B341" s="10">
        <f>VLOOKUP(Table2[[#This Row],[Date]],'Database New'!$A:$D,MATCH($A$1,'Database New'!$A$1:$D$1,),)</f>
        <v>1457</v>
      </c>
      <c r="C341" s="30">
        <f>(Table2[[#This Row],[Building Permits]]-B340)/B340</f>
        <v>6.9108500345542506E-3</v>
      </c>
    </row>
    <row r="342" spans="1:3" x14ac:dyDescent="0.2">
      <c r="A342" s="9">
        <v>32112</v>
      </c>
      <c r="B342" s="10">
        <f>VLOOKUP(Table2[[#This Row],[Date]],'Database New'!$A:$D,MATCH($A$1,'Database New'!$A$1:$D$1,),)</f>
        <v>1345</v>
      </c>
      <c r="C342" s="30">
        <f>(Table2[[#This Row],[Building Permits]]-B341)/B341</f>
        <v>-7.6870281400137269E-2</v>
      </c>
    </row>
    <row r="343" spans="1:3" x14ac:dyDescent="0.2">
      <c r="A343" s="9">
        <v>32143</v>
      </c>
      <c r="B343" s="10">
        <f>VLOOKUP(Table2[[#This Row],[Date]],'Database New'!$A:$D,MATCH($A$1,'Database New'!$A$1:$D$1,),)</f>
        <v>1244</v>
      </c>
      <c r="C343" s="30">
        <f>(Table2[[#This Row],[Building Permits]]-B342)/B342</f>
        <v>-7.5092936802973978E-2</v>
      </c>
    </row>
    <row r="344" spans="1:3" x14ac:dyDescent="0.2">
      <c r="A344" s="9">
        <v>32174</v>
      </c>
      <c r="B344" s="10">
        <f>VLOOKUP(Table2[[#This Row],[Date]],'Database New'!$A:$D,MATCH($A$1,'Database New'!$A$1:$D$1,),)</f>
        <v>1438</v>
      </c>
      <c r="C344" s="30">
        <f>(Table2[[#This Row],[Building Permits]]-B343)/B343</f>
        <v>0.15594855305466238</v>
      </c>
    </row>
    <row r="345" spans="1:3" x14ac:dyDescent="0.2">
      <c r="A345" s="9">
        <v>32203</v>
      </c>
      <c r="B345" s="10">
        <f>VLOOKUP(Table2[[#This Row],[Date]],'Database New'!$A:$D,MATCH($A$1,'Database New'!$A$1:$D$1,),)</f>
        <v>1525</v>
      </c>
      <c r="C345" s="30">
        <f>(Table2[[#This Row],[Building Permits]]-B344)/B344</f>
        <v>6.0500695410292071E-2</v>
      </c>
    </row>
    <row r="346" spans="1:3" x14ac:dyDescent="0.2">
      <c r="A346" s="9">
        <v>32234</v>
      </c>
      <c r="B346" s="10">
        <f>VLOOKUP(Table2[[#This Row],[Date]],'Database New'!$A:$D,MATCH($A$1,'Database New'!$A$1:$D$1,),)</f>
        <v>1429</v>
      </c>
      <c r="C346" s="30">
        <f>(Table2[[#This Row],[Building Permits]]-B345)/B345</f>
        <v>-6.2950819672131147E-2</v>
      </c>
    </row>
    <row r="347" spans="1:3" x14ac:dyDescent="0.2">
      <c r="A347" s="9">
        <v>32264</v>
      </c>
      <c r="B347" s="10">
        <f>VLOOKUP(Table2[[#This Row],[Date]],'Database New'!$A:$D,MATCH($A$1,'Database New'!$A$1:$D$1,),)</f>
        <v>1444</v>
      </c>
      <c r="C347" s="30">
        <f>(Table2[[#This Row],[Building Permits]]-B346)/B346</f>
        <v>1.0496850944716585E-2</v>
      </c>
    </row>
    <row r="348" spans="1:3" x14ac:dyDescent="0.2">
      <c r="A348" s="9">
        <v>32295</v>
      </c>
      <c r="B348" s="10">
        <f>VLOOKUP(Table2[[#This Row],[Date]],'Database New'!$A:$D,MATCH($A$1,'Database New'!$A$1:$D$1,),)</f>
        <v>1485</v>
      </c>
      <c r="C348" s="30">
        <f>(Table2[[#This Row],[Building Permits]]-B347)/B347</f>
        <v>2.8393351800554016E-2</v>
      </c>
    </row>
    <row r="349" spans="1:3" x14ac:dyDescent="0.2">
      <c r="A349" s="9">
        <v>32325</v>
      </c>
      <c r="B349" s="10">
        <f>VLOOKUP(Table2[[#This Row],[Date]],'Database New'!$A:$D,MATCH($A$1,'Database New'!$A$1:$D$1,),)</f>
        <v>1439</v>
      </c>
      <c r="C349" s="30">
        <f>(Table2[[#This Row],[Building Permits]]-B348)/B348</f>
        <v>-3.0976430976430977E-2</v>
      </c>
    </row>
    <row r="350" spans="1:3" x14ac:dyDescent="0.2">
      <c r="A350" s="9">
        <v>32356</v>
      </c>
      <c r="B350" s="10">
        <f>VLOOKUP(Table2[[#This Row],[Date]],'Database New'!$A:$D,MATCH($A$1,'Database New'!$A$1:$D$1,),)</f>
        <v>1460</v>
      </c>
      <c r="C350" s="30">
        <f>(Table2[[#This Row],[Building Permits]]-B349)/B349</f>
        <v>1.4593467685892982E-2</v>
      </c>
    </row>
    <row r="351" spans="1:3" x14ac:dyDescent="0.2">
      <c r="A351" s="9">
        <v>32387</v>
      </c>
      <c r="B351" s="10">
        <f>VLOOKUP(Table2[[#This Row],[Date]],'Database New'!$A:$D,MATCH($A$1,'Database New'!$A$1:$D$1,),)</f>
        <v>1436</v>
      </c>
      <c r="C351" s="30">
        <f>(Table2[[#This Row],[Building Permits]]-B350)/B350</f>
        <v>-1.643835616438356E-2</v>
      </c>
    </row>
    <row r="352" spans="1:3" x14ac:dyDescent="0.2">
      <c r="A352" s="9">
        <v>32417</v>
      </c>
      <c r="B352" s="10">
        <f>VLOOKUP(Table2[[#This Row],[Date]],'Database New'!$A:$D,MATCH($A$1,'Database New'!$A$1:$D$1,),)</f>
        <v>1516</v>
      </c>
      <c r="C352" s="30">
        <f>(Table2[[#This Row],[Building Permits]]-B351)/B351</f>
        <v>5.5710306406685235E-2</v>
      </c>
    </row>
    <row r="353" spans="1:3" x14ac:dyDescent="0.2">
      <c r="A353" s="9">
        <v>32448</v>
      </c>
      <c r="B353" s="10">
        <f>VLOOKUP(Table2[[#This Row],[Date]],'Database New'!$A:$D,MATCH($A$1,'Database New'!$A$1:$D$1,),)</f>
        <v>1508</v>
      </c>
      <c r="C353" s="30">
        <f>(Table2[[#This Row],[Building Permits]]-B352)/B352</f>
        <v>-5.2770448548812663E-3</v>
      </c>
    </row>
    <row r="354" spans="1:3" x14ac:dyDescent="0.2">
      <c r="A354" s="9">
        <v>32478</v>
      </c>
      <c r="B354" s="10">
        <f>VLOOKUP(Table2[[#This Row],[Date]],'Database New'!$A:$D,MATCH($A$1,'Database New'!$A$1:$D$1,),)</f>
        <v>1501</v>
      </c>
      <c r="C354" s="30">
        <f>(Table2[[#This Row],[Building Permits]]-B353)/B353</f>
        <v>-4.6419098143236073E-3</v>
      </c>
    </row>
    <row r="355" spans="1:3" x14ac:dyDescent="0.2">
      <c r="A355" s="9">
        <v>32509</v>
      </c>
      <c r="B355" s="10">
        <f>VLOOKUP(Table2[[#This Row],[Date]],'Database New'!$A:$D,MATCH($A$1,'Database New'!$A$1:$D$1,),)</f>
        <v>1466</v>
      </c>
      <c r="C355" s="30">
        <f>(Table2[[#This Row],[Building Permits]]-B354)/B354</f>
        <v>-2.3317788141239172E-2</v>
      </c>
    </row>
    <row r="356" spans="1:3" x14ac:dyDescent="0.2">
      <c r="A356" s="9">
        <v>32540</v>
      </c>
      <c r="B356" s="10">
        <f>VLOOKUP(Table2[[#This Row],[Date]],'Database New'!$A:$D,MATCH($A$1,'Database New'!$A$1:$D$1,),)</f>
        <v>1383</v>
      </c>
      <c r="C356" s="30">
        <f>(Table2[[#This Row],[Building Permits]]-B355)/B355</f>
        <v>-5.6616643929058665E-2</v>
      </c>
    </row>
    <row r="357" spans="1:3" x14ac:dyDescent="0.2">
      <c r="A357" s="9">
        <v>32568</v>
      </c>
      <c r="B357" s="10">
        <f>VLOOKUP(Table2[[#This Row],[Date]],'Database New'!$A:$D,MATCH($A$1,'Database New'!$A$1:$D$1,),)</f>
        <v>1214</v>
      </c>
      <c r="C357" s="30">
        <f>(Table2[[#This Row],[Building Permits]]-B356)/B356</f>
        <v>-0.12219812002892264</v>
      </c>
    </row>
    <row r="358" spans="1:3" x14ac:dyDescent="0.2">
      <c r="A358" s="9">
        <v>32599</v>
      </c>
      <c r="B358" s="10">
        <f>VLOOKUP(Table2[[#This Row],[Date]],'Database New'!$A:$D,MATCH($A$1,'Database New'!$A$1:$D$1,),)</f>
        <v>1376</v>
      </c>
      <c r="C358" s="30">
        <f>(Table2[[#This Row],[Building Permits]]-B357)/B357</f>
        <v>0.13344316309719934</v>
      </c>
    </row>
    <row r="359" spans="1:3" x14ac:dyDescent="0.2">
      <c r="A359" s="9">
        <v>32629</v>
      </c>
      <c r="B359" s="10">
        <f>VLOOKUP(Table2[[#This Row],[Date]],'Database New'!$A:$D,MATCH($A$1,'Database New'!$A$1:$D$1,),)</f>
        <v>1381</v>
      </c>
      <c r="C359" s="30">
        <f>(Table2[[#This Row],[Building Permits]]-B358)/B358</f>
        <v>3.6337209302325581E-3</v>
      </c>
    </row>
    <row r="360" spans="1:3" x14ac:dyDescent="0.2">
      <c r="A360" s="9">
        <v>32660</v>
      </c>
      <c r="B360" s="10">
        <f>VLOOKUP(Table2[[#This Row],[Date]],'Database New'!$A:$D,MATCH($A$1,'Database New'!$A$1:$D$1,),)</f>
        <v>1322</v>
      </c>
      <c r="C360" s="30">
        <f>(Table2[[#This Row],[Building Permits]]-B359)/B359</f>
        <v>-4.2722664735698766E-2</v>
      </c>
    </row>
    <row r="361" spans="1:3" x14ac:dyDescent="0.2">
      <c r="A361" s="9">
        <v>32690</v>
      </c>
      <c r="B361" s="10">
        <f>VLOOKUP(Table2[[#This Row],[Date]],'Database New'!$A:$D,MATCH($A$1,'Database New'!$A$1:$D$1,),)</f>
        <v>1283</v>
      </c>
      <c r="C361" s="30">
        <f>(Table2[[#This Row],[Building Permits]]-B360)/B360</f>
        <v>-2.9500756429652043E-2</v>
      </c>
    </row>
    <row r="362" spans="1:3" x14ac:dyDescent="0.2">
      <c r="A362" s="9">
        <v>32721</v>
      </c>
      <c r="B362" s="10">
        <f>VLOOKUP(Table2[[#This Row],[Date]],'Database New'!$A:$D,MATCH($A$1,'Database New'!$A$1:$D$1,),)</f>
        <v>1334</v>
      </c>
      <c r="C362" s="30">
        <f>(Table2[[#This Row],[Building Permits]]-B361)/B361</f>
        <v>3.9750584567420109E-2</v>
      </c>
    </row>
    <row r="363" spans="1:3" x14ac:dyDescent="0.2">
      <c r="A363" s="9">
        <v>32752</v>
      </c>
      <c r="B363" s="10">
        <f>VLOOKUP(Table2[[#This Row],[Date]],'Database New'!$A:$D,MATCH($A$1,'Database New'!$A$1:$D$1,),)</f>
        <v>1314</v>
      </c>
      <c r="C363" s="30">
        <f>(Table2[[#This Row],[Building Permits]]-B362)/B362</f>
        <v>-1.4992503748125937E-2</v>
      </c>
    </row>
    <row r="364" spans="1:3" x14ac:dyDescent="0.2">
      <c r="A364" s="9">
        <v>32782</v>
      </c>
      <c r="B364" s="10">
        <f>VLOOKUP(Table2[[#This Row],[Date]],'Database New'!$A:$D,MATCH($A$1,'Database New'!$A$1:$D$1,),)</f>
        <v>1365</v>
      </c>
      <c r="C364" s="30">
        <f>(Table2[[#This Row],[Building Permits]]-B363)/B363</f>
        <v>3.8812785388127852E-2</v>
      </c>
    </row>
    <row r="365" spans="1:3" x14ac:dyDescent="0.2">
      <c r="A365" s="9">
        <v>32813</v>
      </c>
      <c r="B365" s="10">
        <f>VLOOKUP(Table2[[#This Row],[Date]],'Database New'!$A:$D,MATCH($A$1,'Database New'!$A$1:$D$1,),)</f>
        <v>1344</v>
      </c>
      <c r="C365" s="30">
        <f>(Table2[[#This Row],[Building Permits]]-B364)/B364</f>
        <v>-1.5384615384615385E-2</v>
      </c>
    </row>
    <row r="366" spans="1:3" x14ac:dyDescent="0.2">
      <c r="A366" s="9">
        <v>32843</v>
      </c>
      <c r="B366" s="10">
        <f>VLOOKUP(Table2[[#This Row],[Date]],'Database New'!$A:$D,MATCH($A$1,'Database New'!$A$1:$D$1,),)</f>
        <v>1422</v>
      </c>
      <c r="C366" s="30">
        <f>(Table2[[#This Row],[Building Permits]]-B365)/B365</f>
        <v>5.8035714285714288E-2</v>
      </c>
    </row>
    <row r="367" spans="1:3" x14ac:dyDescent="0.2">
      <c r="A367" s="9">
        <v>32874</v>
      </c>
      <c r="B367" s="10">
        <f>VLOOKUP(Table2[[#This Row],[Date]],'Database New'!$A:$D,MATCH($A$1,'Database New'!$A$1:$D$1,),)</f>
        <v>1748</v>
      </c>
      <c r="C367" s="30">
        <f>(Table2[[#This Row],[Building Permits]]-B366)/B366</f>
        <v>0.22925457102672292</v>
      </c>
    </row>
    <row r="368" spans="1:3" x14ac:dyDescent="0.2">
      <c r="A368" s="9">
        <v>32905</v>
      </c>
      <c r="B368" s="10">
        <f>VLOOKUP(Table2[[#This Row],[Date]],'Database New'!$A:$D,MATCH($A$1,'Database New'!$A$1:$D$1,),)</f>
        <v>1329</v>
      </c>
      <c r="C368" s="30">
        <f>(Table2[[#This Row],[Building Permits]]-B367)/B367</f>
        <v>-0.2397025171624714</v>
      </c>
    </row>
    <row r="369" spans="1:3" x14ac:dyDescent="0.2">
      <c r="A369" s="9">
        <v>32933</v>
      </c>
      <c r="B369" s="10">
        <f>VLOOKUP(Table2[[#This Row],[Date]],'Database New'!$A:$D,MATCH($A$1,'Database New'!$A$1:$D$1,),)</f>
        <v>1246</v>
      </c>
      <c r="C369" s="30">
        <f>(Table2[[#This Row],[Building Permits]]-B368)/B368</f>
        <v>-6.2452972159518436E-2</v>
      </c>
    </row>
    <row r="370" spans="1:3" x14ac:dyDescent="0.2">
      <c r="A370" s="9">
        <v>32964</v>
      </c>
      <c r="B370" s="10">
        <f>VLOOKUP(Table2[[#This Row],[Date]],'Database New'!$A:$D,MATCH($A$1,'Database New'!$A$1:$D$1,),)</f>
        <v>1136</v>
      </c>
      <c r="C370" s="30">
        <f>(Table2[[#This Row],[Building Permits]]-B369)/B369</f>
        <v>-8.8282504012841087E-2</v>
      </c>
    </row>
    <row r="371" spans="1:3" x14ac:dyDescent="0.2">
      <c r="A371" s="9">
        <v>32994</v>
      </c>
      <c r="B371" s="10">
        <f>VLOOKUP(Table2[[#This Row],[Date]],'Database New'!$A:$D,MATCH($A$1,'Database New'!$A$1:$D$1,),)</f>
        <v>1067</v>
      </c>
      <c r="C371" s="30">
        <f>(Table2[[#This Row],[Building Permits]]-B370)/B370</f>
        <v>-6.0739436619718312E-2</v>
      </c>
    </row>
    <row r="372" spans="1:3" x14ac:dyDescent="0.2">
      <c r="A372" s="9">
        <v>33025</v>
      </c>
      <c r="B372" s="10">
        <f>VLOOKUP(Table2[[#This Row],[Date]],'Database New'!$A:$D,MATCH($A$1,'Database New'!$A$1:$D$1,),)</f>
        <v>1108</v>
      </c>
      <c r="C372" s="30">
        <f>(Table2[[#This Row],[Building Permits]]-B371)/B371</f>
        <v>3.8425492033739454E-2</v>
      </c>
    </row>
    <row r="373" spans="1:3" x14ac:dyDescent="0.2">
      <c r="A373" s="9">
        <v>33055</v>
      </c>
      <c r="B373" s="10">
        <f>VLOOKUP(Table2[[#This Row],[Date]],'Database New'!$A:$D,MATCH($A$1,'Database New'!$A$1:$D$1,),)</f>
        <v>1078</v>
      </c>
      <c r="C373" s="30">
        <f>(Table2[[#This Row],[Building Permits]]-B372)/B372</f>
        <v>-2.7075812274368231E-2</v>
      </c>
    </row>
    <row r="374" spans="1:3" x14ac:dyDescent="0.2">
      <c r="A374" s="9">
        <v>33086</v>
      </c>
      <c r="B374" s="10">
        <f>VLOOKUP(Table2[[#This Row],[Date]],'Database New'!$A:$D,MATCH($A$1,'Database New'!$A$1:$D$1,),)</f>
        <v>1069</v>
      </c>
      <c r="C374" s="30">
        <f>(Table2[[#This Row],[Building Permits]]-B373)/B373</f>
        <v>-8.3487940630797772E-3</v>
      </c>
    </row>
    <row r="375" spans="1:3" x14ac:dyDescent="0.2">
      <c r="A375" s="9">
        <v>33117</v>
      </c>
      <c r="B375" s="10">
        <f>VLOOKUP(Table2[[#This Row],[Date]],'Database New'!$A:$D,MATCH($A$1,'Database New'!$A$1:$D$1,),)</f>
        <v>976</v>
      </c>
      <c r="C375" s="30">
        <f>(Table2[[#This Row],[Building Permits]]-B374)/B374</f>
        <v>-8.699719363891488E-2</v>
      </c>
    </row>
    <row r="376" spans="1:3" x14ac:dyDescent="0.2">
      <c r="A376" s="9">
        <v>33147</v>
      </c>
      <c r="B376" s="10">
        <f>VLOOKUP(Table2[[#This Row],[Date]],'Database New'!$A:$D,MATCH($A$1,'Database New'!$A$1:$D$1,),)</f>
        <v>925</v>
      </c>
      <c r="C376" s="30">
        <f>(Table2[[#This Row],[Building Permits]]-B375)/B375</f>
        <v>-5.225409836065574E-2</v>
      </c>
    </row>
    <row r="377" spans="1:3" x14ac:dyDescent="0.2">
      <c r="A377" s="9">
        <v>33178</v>
      </c>
      <c r="B377" s="10">
        <f>VLOOKUP(Table2[[#This Row],[Date]],'Database New'!$A:$D,MATCH($A$1,'Database New'!$A$1:$D$1,),)</f>
        <v>941</v>
      </c>
      <c r="C377" s="30">
        <f>(Table2[[#This Row],[Building Permits]]-B376)/B376</f>
        <v>1.7297297297297298E-2</v>
      </c>
    </row>
    <row r="378" spans="1:3" x14ac:dyDescent="0.2">
      <c r="A378" s="9">
        <v>33208</v>
      </c>
      <c r="B378" s="10">
        <f>VLOOKUP(Table2[[#This Row],[Date]],'Database New'!$A:$D,MATCH($A$1,'Database New'!$A$1:$D$1,),)</f>
        <v>861</v>
      </c>
      <c r="C378" s="30">
        <f>(Table2[[#This Row],[Building Permits]]-B377)/B377</f>
        <v>-8.501594048884166E-2</v>
      </c>
    </row>
    <row r="379" spans="1:3" x14ac:dyDescent="0.2">
      <c r="A379" s="9">
        <v>33239</v>
      </c>
      <c r="B379" s="10">
        <f>VLOOKUP(Table2[[#This Row],[Date]],'Database New'!$A:$D,MATCH($A$1,'Database New'!$A$1:$D$1,),)</f>
        <v>786</v>
      </c>
      <c r="C379" s="30">
        <f>(Table2[[#This Row],[Building Permits]]-B378)/B378</f>
        <v>-8.7108013937282236E-2</v>
      </c>
    </row>
    <row r="380" spans="1:3" x14ac:dyDescent="0.2">
      <c r="A380" s="9">
        <v>33270</v>
      </c>
      <c r="B380" s="10">
        <f>VLOOKUP(Table2[[#This Row],[Date]],'Database New'!$A:$D,MATCH($A$1,'Database New'!$A$1:$D$1,),)</f>
        <v>853</v>
      </c>
      <c r="C380" s="30">
        <f>(Table2[[#This Row],[Building Permits]]-B379)/B379</f>
        <v>8.5241730279898217E-2</v>
      </c>
    </row>
    <row r="381" spans="1:3" x14ac:dyDescent="0.2">
      <c r="A381" s="9">
        <v>33298</v>
      </c>
      <c r="B381" s="10">
        <f>VLOOKUP(Table2[[#This Row],[Date]],'Database New'!$A:$D,MATCH($A$1,'Database New'!$A$1:$D$1,),)</f>
        <v>911</v>
      </c>
      <c r="C381" s="30">
        <f>(Table2[[#This Row],[Building Permits]]-B380)/B380</f>
        <v>6.799531066822978E-2</v>
      </c>
    </row>
    <row r="382" spans="1:3" x14ac:dyDescent="0.2">
      <c r="A382" s="9">
        <v>33329</v>
      </c>
      <c r="B382" s="10">
        <f>VLOOKUP(Table2[[#This Row],[Date]],'Database New'!$A:$D,MATCH($A$1,'Database New'!$A$1:$D$1,),)</f>
        <v>916</v>
      </c>
      <c r="C382" s="30">
        <f>(Table2[[#This Row],[Building Permits]]-B381)/B381</f>
        <v>5.4884742041712408E-3</v>
      </c>
    </row>
    <row r="383" spans="1:3" x14ac:dyDescent="0.2">
      <c r="A383" s="9">
        <v>33359</v>
      </c>
      <c r="B383" s="10">
        <f>VLOOKUP(Table2[[#This Row],[Date]],'Database New'!$A:$D,MATCH($A$1,'Database New'!$A$1:$D$1,),)</f>
        <v>991</v>
      </c>
      <c r="C383" s="30">
        <f>(Table2[[#This Row],[Building Permits]]-B382)/B382</f>
        <v>8.1877729257641918E-2</v>
      </c>
    </row>
    <row r="384" spans="1:3" x14ac:dyDescent="0.2">
      <c r="A384" s="9">
        <v>33390</v>
      </c>
      <c r="B384" s="10">
        <f>VLOOKUP(Table2[[#This Row],[Date]],'Database New'!$A:$D,MATCH($A$1,'Database New'!$A$1:$D$1,),)</f>
        <v>964</v>
      </c>
      <c r="C384" s="30">
        <f>(Table2[[#This Row],[Building Permits]]-B383)/B383</f>
        <v>-2.7245206861755803E-2</v>
      </c>
    </row>
    <row r="385" spans="1:3" x14ac:dyDescent="0.2">
      <c r="A385" s="9">
        <v>33420</v>
      </c>
      <c r="B385" s="10">
        <f>VLOOKUP(Table2[[#This Row],[Date]],'Database New'!$A:$D,MATCH($A$1,'Database New'!$A$1:$D$1,),)</f>
        <v>973</v>
      </c>
      <c r="C385" s="30">
        <f>(Table2[[#This Row],[Building Permits]]-B384)/B384</f>
        <v>9.3360995850622405E-3</v>
      </c>
    </row>
    <row r="386" spans="1:3" x14ac:dyDescent="0.2">
      <c r="A386" s="9">
        <v>33451</v>
      </c>
      <c r="B386" s="10">
        <f>VLOOKUP(Table2[[#This Row],[Date]],'Database New'!$A:$D,MATCH($A$1,'Database New'!$A$1:$D$1,),)</f>
        <v>944</v>
      </c>
      <c r="C386" s="30">
        <f>(Table2[[#This Row],[Building Permits]]-B385)/B385</f>
        <v>-2.9804727646454265E-2</v>
      </c>
    </row>
    <row r="387" spans="1:3" x14ac:dyDescent="0.2">
      <c r="A387" s="9">
        <v>33482</v>
      </c>
      <c r="B387" s="10">
        <f>VLOOKUP(Table2[[#This Row],[Date]],'Database New'!$A:$D,MATCH($A$1,'Database New'!$A$1:$D$1,),)</f>
        <v>974</v>
      </c>
      <c r="C387" s="30">
        <f>(Table2[[#This Row],[Building Permits]]-B386)/B386</f>
        <v>3.1779661016949151E-2</v>
      </c>
    </row>
    <row r="388" spans="1:3" x14ac:dyDescent="0.2">
      <c r="A388" s="9">
        <v>33512</v>
      </c>
      <c r="B388" s="10">
        <f>VLOOKUP(Table2[[#This Row],[Date]],'Database New'!$A:$D,MATCH($A$1,'Database New'!$A$1:$D$1,),)</f>
        <v>991</v>
      </c>
      <c r="C388" s="30">
        <f>(Table2[[#This Row],[Building Permits]]-B387)/B387</f>
        <v>1.7453798767967144E-2</v>
      </c>
    </row>
    <row r="389" spans="1:3" x14ac:dyDescent="0.2">
      <c r="A389" s="9">
        <v>33543</v>
      </c>
      <c r="B389" s="10">
        <f>VLOOKUP(Table2[[#This Row],[Date]],'Database New'!$A:$D,MATCH($A$1,'Database New'!$A$1:$D$1,),)</f>
        <v>984</v>
      </c>
      <c r="C389" s="30">
        <f>(Table2[[#This Row],[Building Permits]]-B388)/B388</f>
        <v>-7.0635721493440967E-3</v>
      </c>
    </row>
    <row r="390" spans="1:3" x14ac:dyDescent="0.2">
      <c r="A390" s="9">
        <v>33573</v>
      </c>
      <c r="B390" s="10">
        <f>VLOOKUP(Table2[[#This Row],[Date]],'Database New'!$A:$D,MATCH($A$1,'Database New'!$A$1:$D$1,),)</f>
        <v>1061</v>
      </c>
      <c r="C390" s="30">
        <f>(Table2[[#This Row],[Building Permits]]-B389)/B389</f>
        <v>7.8252032520325199E-2</v>
      </c>
    </row>
    <row r="391" spans="1:3" x14ac:dyDescent="0.2">
      <c r="A391" s="9">
        <v>33604</v>
      </c>
      <c r="B391" s="10">
        <f>VLOOKUP(Table2[[#This Row],[Date]],'Database New'!$A:$D,MATCH($A$1,'Database New'!$A$1:$D$1,),)</f>
        <v>1077</v>
      </c>
      <c r="C391" s="30">
        <f>(Table2[[#This Row],[Building Permits]]-B390)/B390</f>
        <v>1.5080113100848256E-2</v>
      </c>
    </row>
    <row r="392" spans="1:3" x14ac:dyDescent="0.2">
      <c r="A392" s="9">
        <v>33635</v>
      </c>
      <c r="B392" s="10">
        <f>VLOOKUP(Table2[[#This Row],[Date]],'Database New'!$A:$D,MATCH($A$1,'Database New'!$A$1:$D$1,),)</f>
        <v>1146</v>
      </c>
      <c r="C392" s="30">
        <f>(Table2[[#This Row],[Building Permits]]-B391)/B391</f>
        <v>6.4066852367688026E-2</v>
      </c>
    </row>
    <row r="393" spans="1:3" x14ac:dyDescent="0.2">
      <c r="A393" s="9">
        <v>33664</v>
      </c>
      <c r="B393" s="10">
        <f>VLOOKUP(Table2[[#This Row],[Date]],'Database New'!$A:$D,MATCH($A$1,'Database New'!$A$1:$D$1,),)</f>
        <v>1082</v>
      </c>
      <c r="C393" s="30">
        <f>(Table2[[#This Row],[Building Permits]]-B392)/B392</f>
        <v>-5.5846422338568937E-2</v>
      </c>
    </row>
    <row r="394" spans="1:3" x14ac:dyDescent="0.2">
      <c r="A394" s="9">
        <v>33695</v>
      </c>
      <c r="B394" s="10">
        <f>VLOOKUP(Table2[[#This Row],[Date]],'Database New'!$A:$D,MATCH($A$1,'Database New'!$A$1:$D$1,),)</f>
        <v>1054</v>
      </c>
      <c r="C394" s="30">
        <f>(Table2[[#This Row],[Building Permits]]-B393)/B393</f>
        <v>-2.5878003696857672E-2</v>
      </c>
    </row>
    <row r="395" spans="1:3" x14ac:dyDescent="0.2">
      <c r="A395" s="9">
        <v>33725</v>
      </c>
      <c r="B395" s="10">
        <f>VLOOKUP(Table2[[#This Row],[Date]],'Database New'!$A:$D,MATCH($A$1,'Database New'!$A$1:$D$1,),)</f>
        <v>1056</v>
      </c>
      <c r="C395" s="30">
        <f>(Table2[[#This Row],[Building Permits]]-B394)/B394</f>
        <v>1.8975332068311196E-3</v>
      </c>
    </row>
    <row r="396" spans="1:3" x14ac:dyDescent="0.2">
      <c r="A396" s="9">
        <v>33756</v>
      </c>
      <c r="B396" s="10">
        <f>VLOOKUP(Table2[[#This Row],[Date]],'Database New'!$A:$D,MATCH($A$1,'Database New'!$A$1:$D$1,),)</f>
        <v>1057</v>
      </c>
      <c r="C396" s="30">
        <f>(Table2[[#This Row],[Building Permits]]-B395)/B395</f>
        <v>9.46969696969697E-4</v>
      </c>
    </row>
    <row r="397" spans="1:3" x14ac:dyDescent="0.2">
      <c r="A397" s="9">
        <v>33786</v>
      </c>
      <c r="B397" s="10">
        <f>VLOOKUP(Table2[[#This Row],[Date]],'Database New'!$A:$D,MATCH($A$1,'Database New'!$A$1:$D$1,),)</f>
        <v>1089</v>
      </c>
      <c r="C397" s="30">
        <f>(Table2[[#This Row],[Building Permits]]-B396)/B396</f>
        <v>3.0274361400189215E-2</v>
      </c>
    </row>
    <row r="398" spans="1:3" x14ac:dyDescent="0.2">
      <c r="A398" s="9">
        <v>33817</v>
      </c>
      <c r="B398" s="10">
        <f>VLOOKUP(Table2[[#This Row],[Date]],'Database New'!$A:$D,MATCH($A$1,'Database New'!$A$1:$D$1,),)</f>
        <v>1075</v>
      </c>
      <c r="C398" s="30">
        <f>(Table2[[#This Row],[Building Permits]]-B397)/B397</f>
        <v>-1.2855831037649219E-2</v>
      </c>
    </row>
    <row r="399" spans="1:3" x14ac:dyDescent="0.2">
      <c r="A399" s="9">
        <v>33848</v>
      </c>
      <c r="B399" s="10">
        <f>VLOOKUP(Table2[[#This Row],[Date]],'Database New'!$A:$D,MATCH($A$1,'Database New'!$A$1:$D$1,),)</f>
        <v>1114</v>
      </c>
      <c r="C399" s="30">
        <f>(Table2[[#This Row],[Building Permits]]-B398)/B398</f>
        <v>3.6279069767441857E-2</v>
      </c>
    </row>
    <row r="400" spans="1:3" x14ac:dyDescent="0.2">
      <c r="A400" s="9">
        <v>33878</v>
      </c>
      <c r="B400" s="10">
        <f>VLOOKUP(Table2[[#This Row],[Date]],'Database New'!$A:$D,MATCH($A$1,'Database New'!$A$1:$D$1,),)</f>
        <v>1132</v>
      </c>
      <c r="C400" s="30">
        <f>(Table2[[#This Row],[Building Permits]]-B399)/B399</f>
        <v>1.615798922800718E-2</v>
      </c>
    </row>
    <row r="401" spans="1:3" x14ac:dyDescent="0.2">
      <c r="A401" s="9">
        <v>33909</v>
      </c>
      <c r="B401" s="10">
        <f>VLOOKUP(Table2[[#This Row],[Date]],'Database New'!$A:$D,MATCH($A$1,'Database New'!$A$1:$D$1,),)</f>
        <v>1118</v>
      </c>
      <c r="C401" s="30">
        <f>(Table2[[#This Row],[Building Permits]]-B400)/B400</f>
        <v>-1.2367491166077738E-2</v>
      </c>
    </row>
    <row r="402" spans="1:3" x14ac:dyDescent="0.2">
      <c r="A402" s="9">
        <v>33939</v>
      </c>
      <c r="B402" s="10">
        <f>VLOOKUP(Table2[[#This Row],[Date]],'Database New'!$A:$D,MATCH($A$1,'Database New'!$A$1:$D$1,),)</f>
        <v>1176</v>
      </c>
      <c r="C402" s="30">
        <f>(Table2[[#This Row],[Building Permits]]-B401)/B401</f>
        <v>5.1878354203935599E-2</v>
      </c>
    </row>
    <row r="403" spans="1:3" x14ac:dyDescent="0.2">
      <c r="A403" s="9">
        <v>33970</v>
      </c>
      <c r="B403" s="10">
        <f>VLOOKUP(Table2[[#This Row],[Date]],'Database New'!$A:$D,MATCH($A$1,'Database New'!$A$1:$D$1,),)</f>
        <v>1177</v>
      </c>
      <c r="C403" s="30">
        <f>(Table2[[#This Row],[Building Permits]]-B402)/B402</f>
        <v>8.5034013605442174E-4</v>
      </c>
    </row>
    <row r="404" spans="1:3" x14ac:dyDescent="0.2">
      <c r="A404" s="9">
        <v>34001</v>
      </c>
      <c r="B404" s="10">
        <f>VLOOKUP(Table2[[#This Row],[Date]],'Database New'!$A:$D,MATCH($A$1,'Database New'!$A$1:$D$1,),)</f>
        <v>1148</v>
      </c>
      <c r="C404" s="30">
        <f>(Table2[[#This Row],[Building Permits]]-B403)/B403</f>
        <v>-2.4638912489379779E-2</v>
      </c>
    </row>
    <row r="405" spans="1:3" x14ac:dyDescent="0.2">
      <c r="A405" s="9">
        <v>34029</v>
      </c>
      <c r="B405" s="10">
        <f>VLOOKUP(Table2[[#This Row],[Date]],'Database New'!$A:$D,MATCH($A$1,'Database New'!$A$1:$D$1,),)</f>
        <v>1056</v>
      </c>
      <c r="C405" s="30">
        <f>(Table2[[#This Row],[Building Permits]]-B404)/B404</f>
        <v>-8.0139372822299645E-2</v>
      </c>
    </row>
    <row r="406" spans="1:3" x14ac:dyDescent="0.2">
      <c r="A406" s="9">
        <v>34060</v>
      </c>
      <c r="B406" s="10">
        <f>VLOOKUP(Table2[[#This Row],[Date]],'Database New'!$A:$D,MATCH($A$1,'Database New'!$A$1:$D$1,),)</f>
        <v>1104</v>
      </c>
      <c r="C406" s="30">
        <f>(Table2[[#This Row],[Building Permits]]-B405)/B405</f>
        <v>4.5454545454545456E-2</v>
      </c>
    </row>
    <row r="407" spans="1:3" x14ac:dyDescent="0.2">
      <c r="A407" s="9">
        <v>34090</v>
      </c>
      <c r="B407" s="10">
        <f>VLOOKUP(Table2[[#This Row],[Date]],'Database New'!$A:$D,MATCH($A$1,'Database New'!$A$1:$D$1,),)</f>
        <v>1112</v>
      </c>
      <c r="C407" s="30">
        <f>(Table2[[#This Row],[Building Permits]]-B406)/B406</f>
        <v>7.246376811594203E-3</v>
      </c>
    </row>
    <row r="408" spans="1:3" x14ac:dyDescent="0.2">
      <c r="A408" s="9">
        <v>34121</v>
      </c>
      <c r="B408" s="10">
        <f>VLOOKUP(Table2[[#This Row],[Date]],'Database New'!$A:$D,MATCH($A$1,'Database New'!$A$1:$D$1,),)</f>
        <v>1130</v>
      </c>
      <c r="C408" s="30">
        <f>(Table2[[#This Row],[Building Permits]]-B407)/B407</f>
        <v>1.618705035971223E-2</v>
      </c>
    </row>
    <row r="409" spans="1:3" x14ac:dyDescent="0.2">
      <c r="A409" s="9">
        <v>34151</v>
      </c>
      <c r="B409" s="10">
        <f>VLOOKUP(Table2[[#This Row],[Date]],'Database New'!$A:$D,MATCH($A$1,'Database New'!$A$1:$D$1,),)</f>
        <v>1174</v>
      </c>
      <c r="C409" s="30">
        <f>(Table2[[#This Row],[Building Permits]]-B408)/B408</f>
        <v>3.8938053097345132E-2</v>
      </c>
    </row>
    <row r="410" spans="1:3" x14ac:dyDescent="0.2">
      <c r="A410" s="9">
        <v>34182</v>
      </c>
      <c r="B410" s="10">
        <f>VLOOKUP(Table2[[#This Row],[Date]],'Database New'!$A:$D,MATCH($A$1,'Database New'!$A$1:$D$1,),)</f>
        <v>1230</v>
      </c>
      <c r="C410" s="30">
        <f>(Table2[[#This Row],[Building Permits]]-B409)/B409</f>
        <v>4.770017035775128E-2</v>
      </c>
    </row>
    <row r="411" spans="1:3" x14ac:dyDescent="0.2">
      <c r="A411" s="9">
        <v>34213</v>
      </c>
      <c r="B411" s="10">
        <f>VLOOKUP(Table2[[#This Row],[Date]],'Database New'!$A:$D,MATCH($A$1,'Database New'!$A$1:$D$1,),)</f>
        <v>1251</v>
      </c>
      <c r="C411" s="30">
        <f>(Table2[[#This Row],[Building Permits]]-B410)/B410</f>
        <v>1.7073170731707318E-2</v>
      </c>
    </row>
    <row r="412" spans="1:3" x14ac:dyDescent="0.2">
      <c r="A412" s="9">
        <v>34243</v>
      </c>
      <c r="B412" s="10">
        <f>VLOOKUP(Table2[[#This Row],[Date]],'Database New'!$A:$D,MATCH($A$1,'Database New'!$A$1:$D$1,),)</f>
        <v>1287</v>
      </c>
      <c r="C412" s="30">
        <f>(Table2[[#This Row],[Building Permits]]-B411)/B411</f>
        <v>2.8776978417266189E-2</v>
      </c>
    </row>
    <row r="413" spans="1:3" x14ac:dyDescent="0.2">
      <c r="A413" s="9">
        <v>34274</v>
      </c>
      <c r="B413" s="10">
        <f>VLOOKUP(Table2[[#This Row],[Date]],'Database New'!$A:$D,MATCH($A$1,'Database New'!$A$1:$D$1,),)</f>
        <v>1357</v>
      </c>
      <c r="C413" s="30">
        <f>(Table2[[#This Row],[Building Permits]]-B412)/B412</f>
        <v>5.4390054390054392E-2</v>
      </c>
    </row>
    <row r="414" spans="1:3" x14ac:dyDescent="0.2">
      <c r="A414" s="9">
        <v>34304</v>
      </c>
      <c r="B414" s="10">
        <f>VLOOKUP(Table2[[#This Row],[Date]],'Database New'!$A:$D,MATCH($A$1,'Database New'!$A$1:$D$1,),)</f>
        <v>1461</v>
      </c>
      <c r="C414" s="30">
        <f>(Table2[[#This Row],[Building Permits]]-B413)/B413</f>
        <v>7.6639646278555643E-2</v>
      </c>
    </row>
    <row r="415" spans="1:3" x14ac:dyDescent="0.2">
      <c r="A415" s="9">
        <v>34335</v>
      </c>
      <c r="B415" s="10">
        <f>VLOOKUP(Table2[[#This Row],[Date]],'Database New'!$A:$D,MATCH($A$1,'Database New'!$A$1:$D$1,),)</f>
        <v>1390</v>
      </c>
      <c r="C415" s="30">
        <f>(Table2[[#This Row],[Building Permits]]-B414)/B414</f>
        <v>-4.8596851471594801E-2</v>
      </c>
    </row>
    <row r="416" spans="1:3" x14ac:dyDescent="0.2">
      <c r="A416" s="9">
        <v>34366</v>
      </c>
      <c r="B416" s="10">
        <f>VLOOKUP(Table2[[#This Row],[Date]],'Database New'!$A:$D,MATCH($A$1,'Database New'!$A$1:$D$1,),)</f>
        <v>1269</v>
      </c>
      <c r="C416" s="30">
        <f>(Table2[[#This Row],[Building Permits]]-B415)/B415</f>
        <v>-8.7050359712230213E-2</v>
      </c>
    </row>
    <row r="417" spans="1:3" x14ac:dyDescent="0.2">
      <c r="A417" s="9">
        <v>34394</v>
      </c>
      <c r="B417" s="10">
        <f>VLOOKUP(Table2[[#This Row],[Date]],'Database New'!$A:$D,MATCH($A$1,'Database New'!$A$1:$D$1,),)</f>
        <v>1342</v>
      </c>
      <c r="C417" s="30">
        <f>(Table2[[#This Row],[Building Permits]]-B416)/B416</f>
        <v>5.7525610717100079E-2</v>
      </c>
    </row>
    <row r="418" spans="1:3" x14ac:dyDescent="0.2">
      <c r="A418" s="9">
        <v>34425</v>
      </c>
      <c r="B418" s="10">
        <f>VLOOKUP(Table2[[#This Row],[Date]],'Database New'!$A:$D,MATCH($A$1,'Database New'!$A$1:$D$1,),)</f>
        <v>1392</v>
      </c>
      <c r="C418" s="30">
        <f>(Table2[[#This Row],[Building Permits]]-B417)/B417</f>
        <v>3.7257824143070044E-2</v>
      </c>
    </row>
    <row r="419" spans="1:3" x14ac:dyDescent="0.2">
      <c r="A419" s="9">
        <v>34455</v>
      </c>
      <c r="B419" s="10">
        <f>VLOOKUP(Table2[[#This Row],[Date]],'Database New'!$A:$D,MATCH($A$1,'Database New'!$A$1:$D$1,),)</f>
        <v>1396</v>
      </c>
      <c r="C419" s="30">
        <f>(Table2[[#This Row],[Building Permits]]-B418)/B418</f>
        <v>2.8735632183908046E-3</v>
      </c>
    </row>
    <row r="420" spans="1:3" x14ac:dyDescent="0.2">
      <c r="A420" s="9">
        <v>34486</v>
      </c>
      <c r="B420" s="10">
        <f>VLOOKUP(Table2[[#This Row],[Date]],'Database New'!$A:$D,MATCH($A$1,'Database New'!$A$1:$D$1,),)</f>
        <v>1357</v>
      </c>
      <c r="C420" s="30">
        <f>(Table2[[#This Row],[Building Permits]]-B419)/B419</f>
        <v>-2.7936962750716332E-2</v>
      </c>
    </row>
    <row r="421" spans="1:3" x14ac:dyDescent="0.2">
      <c r="A421" s="9">
        <v>34516</v>
      </c>
      <c r="B421" s="10">
        <f>VLOOKUP(Table2[[#This Row],[Date]],'Database New'!$A:$D,MATCH($A$1,'Database New'!$A$1:$D$1,),)</f>
        <v>1335</v>
      </c>
      <c r="C421" s="30">
        <f>(Table2[[#This Row],[Building Permits]]-B420)/B420</f>
        <v>-1.6212232866617538E-2</v>
      </c>
    </row>
    <row r="422" spans="1:3" x14ac:dyDescent="0.2">
      <c r="A422" s="9">
        <v>34547</v>
      </c>
      <c r="B422" s="10">
        <f>VLOOKUP(Table2[[#This Row],[Date]],'Database New'!$A:$D,MATCH($A$1,'Database New'!$A$1:$D$1,),)</f>
        <v>1377</v>
      </c>
      <c r="C422" s="30">
        <f>(Table2[[#This Row],[Building Permits]]-B421)/B421</f>
        <v>3.1460674157303373E-2</v>
      </c>
    </row>
    <row r="423" spans="1:3" x14ac:dyDescent="0.2">
      <c r="A423" s="9">
        <v>34578</v>
      </c>
      <c r="B423" s="10">
        <f>VLOOKUP(Table2[[#This Row],[Date]],'Database New'!$A:$D,MATCH($A$1,'Database New'!$A$1:$D$1,),)</f>
        <v>1412</v>
      </c>
      <c r="C423" s="30">
        <f>(Table2[[#This Row],[Building Permits]]-B422)/B422</f>
        <v>2.5417574437182282E-2</v>
      </c>
    </row>
    <row r="424" spans="1:3" x14ac:dyDescent="0.2">
      <c r="A424" s="9">
        <v>34608</v>
      </c>
      <c r="B424" s="10">
        <f>VLOOKUP(Table2[[#This Row],[Date]],'Database New'!$A:$D,MATCH($A$1,'Database New'!$A$1:$D$1,),)</f>
        <v>1397</v>
      </c>
      <c r="C424" s="30">
        <f>(Table2[[#This Row],[Building Permits]]-B423)/B423</f>
        <v>-1.0623229461756374E-2</v>
      </c>
    </row>
    <row r="425" spans="1:3" x14ac:dyDescent="0.2">
      <c r="A425" s="9">
        <v>34639</v>
      </c>
      <c r="B425" s="10">
        <f>VLOOKUP(Table2[[#This Row],[Date]],'Database New'!$A:$D,MATCH($A$1,'Database New'!$A$1:$D$1,),)</f>
        <v>1340</v>
      </c>
      <c r="C425" s="30">
        <f>(Table2[[#This Row],[Building Permits]]-B424)/B424</f>
        <v>-4.0801717967072298E-2</v>
      </c>
    </row>
    <row r="426" spans="1:3" x14ac:dyDescent="0.2">
      <c r="A426" s="9">
        <v>34669</v>
      </c>
      <c r="B426" s="10">
        <f>VLOOKUP(Table2[[#This Row],[Date]],'Database New'!$A:$D,MATCH($A$1,'Database New'!$A$1:$D$1,),)</f>
        <v>1396</v>
      </c>
      <c r="C426" s="30">
        <f>(Table2[[#This Row],[Building Permits]]-B425)/B425</f>
        <v>4.1791044776119404E-2</v>
      </c>
    </row>
    <row r="427" spans="1:3" x14ac:dyDescent="0.2">
      <c r="A427" s="9">
        <v>34700</v>
      </c>
      <c r="B427" s="10">
        <f>VLOOKUP(Table2[[#This Row],[Date]],'Database New'!$A:$D,MATCH($A$1,'Database New'!$A$1:$D$1,),)</f>
        <v>1282</v>
      </c>
      <c r="C427" s="30">
        <f>(Table2[[#This Row],[Building Permits]]-B426)/B426</f>
        <v>-8.1661891117478513E-2</v>
      </c>
    </row>
    <row r="428" spans="1:3" x14ac:dyDescent="0.2">
      <c r="A428" s="9">
        <v>34731</v>
      </c>
      <c r="B428" s="10">
        <f>VLOOKUP(Table2[[#This Row],[Date]],'Database New'!$A:$D,MATCH($A$1,'Database New'!$A$1:$D$1,),)</f>
        <v>1254</v>
      </c>
      <c r="C428" s="30">
        <f>(Table2[[#This Row],[Building Permits]]-B427)/B427</f>
        <v>-2.1840873634945399E-2</v>
      </c>
    </row>
    <row r="429" spans="1:3" x14ac:dyDescent="0.2">
      <c r="A429" s="9">
        <v>34759</v>
      </c>
      <c r="B429" s="10">
        <f>VLOOKUP(Table2[[#This Row],[Date]],'Database New'!$A:$D,MATCH($A$1,'Database New'!$A$1:$D$1,),)</f>
        <v>1226</v>
      </c>
      <c r="C429" s="30">
        <f>(Table2[[#This Row],[Building Permits]]-B428)/B428</f>
        <v>-2.2328548644338118E-2</v>
      </c>
    </row>
    <row r="430" spans="1:3" x14ac:dyDescent="0.2">
      <c r="A430" s="9">
        <v>34790</v>
      </c>
      <c r="B430" s="10">
        <f>VLOOKUP(Table2[[#This Row],[Date]],'Database New'!$A:$D,MATCH($A$1,'Database New'!$A$1:$D$1,),)</f>
        <v>1259</v>
      </c>
      <c r="C430" s="30">
        <f>(Table2[[#This Row],[Building Permits]]-B429)/B429</f>
        <v>2.6916802610114192E-2</v>
      </c>
    </row>
    <row r="431" spans="1:3" x14ac:dyDescent="0.2">
      <c r="A431" s="9">
        <v>34820</v>
      </c>
      <c r="B431" s="10">
        <f>VLOOKUP(Table2[[#This Row],[Date]],'Database New'!$A:$D,MATCH($A$1,'Database New'!$A$1:$D$1,),)</f>
        <v>1271</v>
      </c>
      <c r="C431" s="30">
        <f>(Table2[[#This Row],[Building Permits]]-B430)/B430</f>
        <v>9.5313741064336783E-3</v>
      </c>
    </row>
    <row r="432" spans="1:3" x14ac:dyDescent="0.2">
      <c r="A432" s="9">
        <v>34851</v>
      </c>
      <c r="B432" s="10">
        <f>VLOOKUP(Table2[[#This Row],[Date]],'Database New'!$A:$D,MATCH($A$1,'Database New'!$A$1:$D$1,),)</f>
        <v>1305</v>
      </c>
      <c r="C432" s="30">
        <f>(Table2[[#This Row],[Building Permits]]-B431)/B431</f>
        <v>2.6750590086546028E-2</v>
      </c>
    </row>
    <row r="433" spans="1:3" x14ac:dyDescent="0.2">
      <c r="A433" s="9">
        <v>34881</v>
      </c>
      <c r="B433" s="10">
        <f>VLOOKUP(Table2[[#This Row],[Date]],'Database New'!$A:$D,MATCH($A$1,'Database New'!$A$1:$D$1,),)</f>
        <v>1354</v>
      </c>
      <c r="C433" s="30">
        <f>(Table2[[#This Row],[Building Permits]]-B432)/B432</f>
        <v>3.7547892720306515E-2</v>
      </c>
    </row>
    <row r="434" spans="1:3" x14ac:dyDescent="0.2">
      <c r="A434" s="9">
        <v>34912</v>
      </c>
      <c r="B434" s="10">
        <f>VLOOKUP(Table2[[#This Row],[Date]],'Database New'!$A:$D,MATCH($A$1,'Database New'!$A$1:$D$1,),)</f>
        <v>1386</v>
      </c>
      <c r="C434" s="30">
        <f>(Table2[[#This Row],[Building Permits]]-B433)/B433</f>
        <v>2.3633677991137372E-2</v>
      </c>
    </row>
    <row r="435" spans="1:3" x14ac:dyDescent="0.2">
      <c r="A435" s="9">
        <v>34943</v>
      </c>
      <c r="B435" s="10">
        <f>VLOOKUP(Table2[[#This Row],[Date]],'Database New'!$A:$D,MATCH($A$1,'Database New'!$A$1:$D$1,),)</f>
        <v>1421</v>
      </c>
      <c r="C435" s="30">
        <f>(Table2[[#This Row],[Building Permits]]-B434)/B434</f>
        <v>2.5252525252525252E-2</v>
      </c>
    </row>
    <row r="436" spans="1:3" x14ac:dyDescent="0.2">
      <c r="A436" s="9">
        <v>34973</v>
      </c>
      <c r="B436" s="10">
        <f>VLOOKUP(Table2[[#This Row],[Date]],'Database New'!$A:$D,MATCH($A$1,'Database New'!$A$1:$D$1,),)</f>
        <v>1400</v>
      </c>
      <c r="C436" s="30">
        <f>(Table2[[#This Row],[Building Permits]]-B435)/B435</f>
        <v>-1.4778325123152709E-2</v>
      </c>
    </row>
    <row r="437" spans="1:3" x14ac:dyDescent="0.2">
      <c r="A437" s="9">
        <v>35004</v>
      </c>
      <c r="B437" s="10">
        <f>VLOOKUP(Table2[[#This Row],[Date]],'Database New'!$A:$D,MATCH($A$1,'Database New'!$A$1:$D$1,),)</f>
        <v>1430</v>
      </c>
      <c r="C437" s="30">
        <f>(Table2[[#This Row],[Building Permits]]-B436)/B436</f>
        <v>2.1428571428571429E-2</v>
      </c>
    </row>
    <row r="438" spans="1:3" x14ac:dyDescent="0.2">
      <c r="A438" s="9">
        <v>35034</v>
      </c>
      <c r="B438" s="10">
        <f>VLOOKUP(Table2[[#This Row],[Date]],'Database New'!$A:$D,MATCH($A$1,'Database New'!$A$1:$D$1,),)</f>
        <v>1442</v>
      </c>
      <c r="C438" s="30">
        <f>(Table2[[#This Row],[Building Permits]]-B437)/B437</f>
        <v>8.3916083916083916E-3</v>
      </c>
    </row>
    <row r="439" spans="1:3" x14ac:dyDescent="0.2">
      <c r="A439" s="9">
        <v>35065</v>
      </c>
      <c r="B439" s="10">
        <f>VLOOKUP(Table2[[#This Row],[Date]],'Database New'!$A:$D,MATCH($A$1,'Database New'!$A$1:$D$1,),)</f>
        <v>1387</v>
      </c>
      <c r="C439" s="30">
        <f>(Table2[[#This Row],[Building Permits]]-B438)/B438</f>
        <v>-3.8141470180305129E-2</v>
      </c>
    </row>
    <row r="440" spans="1:3" x14ac:dyDescent="0.2">
      <c r="A440" s="9">
        <v>35096</v>
      </c>
      <c r="B440" s="10">
        <f>VLOOKUP(Table2[[#This Row],[Date]],'Database New'!$A:$D,MATCH($A$1,'Database New'!$A$1:$D$1,),)</f>
        <v>1420</v>
      </c>
      <c r="C440" s="30">
        <f>(Table2[[#This Row],[Building Permits]]-B439)/B439</f>
        <v>2.3792357606344627E-2</v>
      </c>
    </row>
    <row r="441" spans="1:3" x14ac:dyDescent="0.2">
      <c r="A441" s="9">
        <v>35125</v>
      </c>
      <c r="B441" s="10">
        <f>VLOOKUP(Table2[[#This Row],[Date]],'Database New'!$A:$D,MATCH($A$1,'Database New'!$A$1:$D$1,),)</f>
        <v>1437</v>
      </c>
      <c r="C441" s="30">
        <f>(Table2[[#This Row],[Building Permits]]-B440)/B440</f>
        <v>1.1971830985915493E-2</v>
      </c>
    </row>
    <row r="442" spans="1:3" x14ac:dyDescent="0.2">
      <c r="A442" s="9">
        <v>35156</v>
      </c>
      <c r="B442" s="10">
        <f>VLOOKUP(Table2[[#This Row],[Date]],'Database New'!$A:$D,MATCH($A$1,'Database New'!$A$1:$D$1,),)</f>
        <v>1463</v>
      </c>
      <c r="C442" s="30">
        <f>(Table2[[#This Row],[Building Permits]]-B441)/B441</f>
        <v>1.8093249826026444E-2</v>
      </c>
    </row>
    <row r="443" spans="1:3" x14ac:dyDescent="0.2">
      <c r="A443" s="9">
        <v>35186</v>
      </c>
      <c r="B443" s="10">
        <f>VLOOKUP(Table2[[#This Row],[Date]],'Database New'!$A:$D,MATCH($A$1,'Database New'!$A$1:$D$1,),)</f>
        <v>1457</v>
      </c>
      <c r="C443" s="30">
        <f>(Table2[[#This Row],[Building Permits]]-B442)/B442</f>
        <v>-4.1011619958988381E-3</v>
      </c>
    </row>
    <row r="444" spans="1:3" x14ac:dyDescent="0.2">
      <c r="A444" s="9">
        <v>35217</v>
      </c>
      <c r="B444" s="10">
        <f>VLOOKUP(Table2[[#This Row],[Date]],'Database New'!$A:$D,MATCH($A$1,'Database New'!$A$1:$D$1,),)</f>
        <v>1429</v>
      </c>
      <c r="C444" s="30">
        <f>(Table2[[#This Row],[Building Permits]]-B443)/B443</f>
        <v>-1.9217570350034317E-2</v>
      </c>
    </row>
    <row r="445" spans="1:3" x14ac:dyDescent="0.2">
      <c r="A445" s="9">
        <v>35247</v>
      </c>
      <c r="B445" s="10">
        <f>VLOOKUP(Table2[[#This Row],[Date]],'Database New'!$A:$D,MATCH($A$1,'Database New'!$A$1:$D$1,),)</f>
        <v>1450</v>
      </c>
      <c r="C445" s="30">
        <f>(Table2[[#This Row],[Building Permits]]-B444)/B444</f>
        <v>1.4695591322603219E-2</v>
      </c>
    </row>
    <row r="446" spans="1:3" x14ac:dyDescent="0.2">
      <c r="A446" s="9">
        <v>35278</v>
      </c>
      <c r="B446" s="10">
        <f>VLOOKUP(Table2[[#This Row],[Date]],'Database New'!$A:$D,MATCH($A$1,'Database New'!$A$1:$D$1,),)</f>
        <v>1413</v>
      </c>
      <c r="C446" s="30">
        <f>(Table2[[#This Row],[Building Permits]]-B445)/B445</f>
        <v>-2.5517241379310347E-2</v>
      </c>
    </row>
    <row r="447" spans="1:3" x14ac:dyDescent="0.2">
      <c r="A447" s="9">
        <v>35309</v>
      </c>
      <c r="B447" s="10">
        <f>VLOOKUP(Table2[[#This Row],[Date]],'Database New'!$A:$D,MATCH($A$1,'Database New'!$A$1:$D$1,),)</f>
        <v>1392</v>
      </c>
      <c r="C447" s="30">
        <f>(Table2[[#This Row],[Building Permits]]-B446)/B446</f>
        <v>-1.4861995753715499E-2</v>
      </c>
    </row>
    <row r="448" spans="1:3" x14ac:dyDescent="0.2">
      <c r="A448" s="9">
        <v>35339</v>
      </c>
      <c r="B448" s="10">
        <f>VLOOKUP(Table2[[#This Row],[Date]],'Database New'!$A:$D,MATCH($A$1,'Database New'!$A$1:$D$1,),)</f>
        <v>1358</v>
      </c>
      <c r="C448" s="30">
        <f>(Table2[[#This Row],[Building Permits]]-B447)/B447</f>
        <v>-2.442528735632184E-2</v>
      </c>
    </row>
    <row r="449" spans="1:3" x14ac:dyDescent="0.2">
      <c r="A449" s="9">
        <v>35370</v>
      </c>
      <c r="B449" s="10">
        <f>VLOOKUP(Table2[[#This Row],[Date]],'Database New'!$A:$D,MATCH($A$1,'Database New'!$A$1:$D$1,),)</f>
        <v>1412</v>
      </c>
      <c r="C449" s="30">
        <f>(Table2[[#This Row],[Building Permits]]-B448)/B448</f>
        <v>3.9764359351988215E-2</v>
      </c>
    </row>
    <row r="450" spans="1:3" x14ac:dyDescent="0.2">
      <c r="A450" s="9">
        <v>35400</v>
      </c>
      <c r="B450" s="10">
        <f>VLOOKUP(Table2[[#This Row],[Date]],'Database New'!$A:$D,MATCH($A$1,'Database New'!$A$1:$D$1,),)</f>
        <v>1411</v>
      </c>
      <c r="C450" s="30">
        <f>(Table2[[#This Row],[Building Permits]]-B449)/B449</f>
        <v>-7.0821529745042496E-4</v>
      </c>
    </row>
    <row r="451" spans="1:3" x14ac:dyDescent="0.2">
      <c r="A451" s="9">
        <v>35431</v>
      </c>
      <c r="B451" s="10">
        <f>VLOOKUP(Table2[[#This Row],[Date]],'Database New'!$A:$D,MATCH($A$1,'Database New'!$A$1:$D$1,),)</f>
        <v>1382</v>
      </c>
      <c r="C451" s="30">
        <f>(Table2[[#This Row],[Building Permits]]-B450)/B450</f>
        <v>-2.0552799433026223E-2</v>
      </c>
    </row>
    <row r="452" spans="1:3" x14ac:dyDescent="0.2">
      <c r="A452" s="9">
        <v>35462</v>
      </c>
      <c r="B452" s="10">
        <f>VLOOKUP(Table2[[#This Row],[Date]],'Database New'!$A:$D,MATCH($A$1,'Database New'!$A$1:$D$1,),)</f>
        <v>1445</v>
      </c>
      <c r="C452" s="30">
        <f>(Table2[[#This Row],[Building Permits]]-B451)/B451</f>
        <v>4.5586107091172216E-2</v>
      </c>
    </row>
    <row r="453" spans="1:3" x14ac:dyDescent="0.2">
      <c r="A453" s="9">
        <v>35490</v>
      </c>
      <c r="B453" s="10">
        <f>VLOOKUP(Table2[[#This Row],[Date]],'Database New'!$A:$D,MATCH($A$1,'Database New'!$A$1:$D$1,),)</f>
        <v>1436</v>
      </c>
      <c r="C453" s="30">
        <f>(Table2[[#This Row],[Building Permits]]-B452)/B452</f>
        <v>-6.2283737024221453E-3</v>
      </c>
    </row>
    <row r="454" spans="1:3" x14ac:dyDescent="0.2">
      <c r="A454" s="9">
        <v>35521</v>
      </c>
      <c r="B454" s="10">
        <f>VLOOKUP(Table2[[#This Row],[Date]],'Database New'!$A:$D,MATCH($A$1,'Database New'!$A$1:$D$1,),)</f>
        <v>1421</v>
      </c>
      <c r="C454" s="30">
        <f>(Table2[[#This Row],[Building Permits]]-B453)/B453</f>
        <v>-1.0445682451253482E-2</v>
      </c>
    </row>
    <row r="455" spans="1:3" x14ac:dyDescent="0.2">
      <c r="A455" s="9">
        <v>35551</v>
      </c>
      <c r="B455" s="10">
        <f>VLOOKUP(Table2[[#This Row],[Date]],'Database New'!$A:$D,MATCH($A$1,'Database New'!$A$1:$D$1,),)</f>
        <v>1414</v>
      </c>
      <c r="C455" s="30">
        <f>(Table2[[#This Row],[Building Permits]]-B454)/B454</f>
        <v>-4.9261083743842365E-3</v>
      </c>
    </row>
    <row r="456" spans="1:3" x14ac:dyDescent="0.2">
      <c r="A456" s="9">
        <v>35582</v>
      </c>
      <c r="B456" s="10">
        <f>VLOOKUP(Table2[[#This Row],[Date]],'Database New'!$A:$D,MATCH($A$1,'Database New'!$A$1:$D$1,),)</f>
        <v>1402</v>
      </c>
      <c r="C456" s="30">
        <f>(Table2[[#This Row],[Building Permits]]-B455)/B455</f>
        <v>-8.4865629420084864E-3</v>
      </c>
    </row>
    <row r="457" spans="1:3" x14ac:dyDescent="0.2">
      <c r="A457" s="9">
        <v>35612</v>
      </c>
      <c r="B457" s="10">
        <f>VLOOKUP(Table2[[#This Row],[Date]],'Database New'!$A:$D,MATCH($A$1,'Database New'!$A$1:$D$1,),)</f>
        <v>1440</v>
      </c>
      <c r="C457" s="30">
        <f>(Table2[[#This Row],[Building Permits]]-B456)/B456</f>
        <v>2.710413694721826E-2</v>
      </c>
    </row>
    <row r="458" spans="1:3" x14ac:dyDescent="0.2">
      <c r="A458" s="9">
        <v>35643</v>
      </c>
      <c r="B458" s="10">
        <f>VLOOKUP(Table2[[#This Row],[Date]],'Database New'!$A:$D,MATCH($A$1,'Database New'!$A$1:$D$1,),)</f>
        <v>1449</v>
      </c>
      <c r="C458" s="30">
        <f>(Table2[[#This Row],[Building Permits]]-B457)/B457</f>
        <v>6.2500000000000003E-3</v>
      </c>
    </row>
    <row r="459" spans="1:3" x14ac:dyDescent="0.2">
      <c r="A459" s="9">
        <v>35674</v>
      </c>
      <c r="B459" s="10">
        <f>VLOOKUP(Table2[[#This Row],[Date]],'Database New'!$A:$D,MATCH($A$1,'Database New'!$A$1:$D$1,),)</f>
        <v>1494</v>
      </c>
      <c r="C459" s="30">
        <f>(Table2[[#This Row],[Building Permits]]-B458)/B458</f>
        <v>3.1055900621118012E-2</v>
      </c>
    </row>
    <row r="460" spans="1:3" x14ac:dyDescent="0.2">
      <c r="A460" s="9">
        <v>35704</v>
      </c>
      <c r="B460" s="10">
        <f>VLOOKUP(Table2[[#This Row],[Date]],'Database New'!$A:$D,MATCH($A$1,'Database New'!$A$1:$D$1,),)</f>
        <v>1499</v>
      </c>
      <c r="C460" s="30">
        <f>(Table2[[#This Row],[Building Permits]]-B459)/B459</f>
        <v>3.3467202141900937E-3</v>
      </c>
    </row>
    <row r="461" spans="1:3" x14ac:dyDescent="0.2">
      <c r="A461" s="9">
        <v>35735</v>
      </c>
      <c r="B461" s="10">
        <f>VLOOKUP(Table2[[#This Row],[Date]],'Database New'!$A:$D,MATCH($A$1,'Database New'!$A$1:$D$1,),)</f>
        <v>1469</v>
      </c>
      <c r="C461" s="30">
        <f>(Table2[[#This Row],[Building Permits]]-B460)/B460</f>
        <v>-2.0013342228152101E-2</v>
      </c>
    </row>
    <row r="462" spans="1:3" x14ac:dyDescent="0.2">
      <c r="A462" s="9">
        <v>35765</v>
      </c>
      <c r="B462" s="10">
        <f>VLOOKUP(Table2[[#This Row],[Date]],'Database New'!$A:$D,MATCH($A$1,'Database New'!$A$1:$D$1,),)</f>
        <v>1456</v>
      </c>
      <c r="C462" s="30">
        <f>(Table2[[#This Row],[Building Permits]]-B461)/B461</f>
        <v>-8.8495575221238937E-3</v>
      </c>
    </row>
    <row r="463" spans="1:3" x14ac:dyDescent="0.2">
      <c r="A463" s="9">
        <v>35796</v>
      </c>
      <c r="B463" s="10">
        <f>VLOOKUP(Table2[[#This Row],[Date]],'Database New'!$A:$D,MATCH($A$1,'Database New'!$A$1:$D$1,),)</f>
        <v>1555</v>
      </c>
      <c r="C463" s="30">
        <f>(Table2[[#This Row],[Building Permits]]-B462)/B462</f>
        <v>6.7994505494505489E-2</v>
      </c>
    </row>
    <row r="464" spans="1:3" x14ac:dyDescent="0.2">
      <c r="A464" s="9">
        <v>35827</v>
      </c>
      <c r="B464" s="10">
        <f>VLOOKUP(Table2[[#This Row],[Date]],'Database New'!$A:$D,MATCH($A$1,'Database New'!$A$1:$D$1,),)</f>
        <v>1647</v>
      </c>
      <c r="C464" s="30">
        <f>(Table2[[#This Row],[Building Permits]]-B463)/B463</f>
        <v>5.9163987138263666E-2</v>
      </c>
    </row>
    <row r="465" spans="1:3" x14ac:dyDescent="0.2">
      <c r="A465" s="9">
        <v>35855</v>
      </c>
      <c r="B465" s="10">
        <f>VLOOKUP(Table2[[#This Row],[Date]],'Database New'!$A:$D,MATCH($A$1,'Database New'!$A$1:$D$1,),)</f>
        <v>1605</v>
      </c>
      <c r="C465" s="30">
        <f>(Table2[[#This Row],[Building Permits]]-B464)/B464</f>
        <v>-2.5500910746812388E-2</v>
      </c>
    </row>
    <row r="466" spans="1:3" x14ac:dyDescent="0.2">
      <c r="A466" s="9">
        <v>35886</v>
      </c>
      <c r="B466" s="10">
        <f>VLOOKUP(Table2[[#This Row],[Date]],'Database New'!$A:$D,MATCH($A$1,'Database New'!$A$1:$D$1,),)</f>
        <v>1547</v>
      </c>
      <c r="C466" s="30">
        <f>(Table2[[#This Row],[Building Permits]]-B465)/B465</f>
        <v>-3.6137071651090341E-2</v>
      </c>
    </row>
    <row r="467" spans="1:3" x14ac:dyDescent="0.2">
      <c r="A467" s="9">
        <v>35916</v>
      </c>
      <c r="B467" s="10">
        <f>VLOOKUP(Table2[[#This Row],[Date]],'Database New'!$A:$D,MATCH($A$1,'Database New'!$A$1:$D$1,),)</f>
        <v>1554</v>
      </c>
      <c r="C467" s="30">
        <f>(Table2[[#This Row],[Building Permits]]-B466)/B466</f>
        <v>4.5248868778280547E-3</v>
      </c>
    </row>
    <row r="468" spans="1:3" x14ac:dyDescent="0.2">
      <c r="A468" s="9">
        <v>35947</v>
      </c>
      <c r="B468" s="10">
        <f>VLOOKUP(Table2[[#This Row],[Date]],'Database New'!$A:$D,MATCH($A$1,'Database New'!$A$1:$D$1,),)</f>
        <v>1551</v>
      </c>
      <c r="C468" s="30">
        <f>(Table2[[#This Row],[Building Permits]]-B467)/B467</f>
        <v>-1.9305019305019305E-3</v>
      </c>
    </row>
    <row r="469" spans="1:3" x14ac:dyDescent="0.2">
      <c r="A469" s="9">
        <v>35977</v>
      </c>
      <c r="B469" s="10">
        <f>VLOOKUP(Table2[[#This Row],[Date]],'Database New'!$A:$D,MATCH($A$1,'Database New'!$A$1:$D$1,),)</f>
        <v>1610</v>
      </c>
      <c r="C469" s="30">
        <f>(Table2[[#This Row],[Building Permits]]-B468)/B468</f>
        <v>3.8039974210186976E-2</v>
      </c>
    </row>
    <row r="470" spans="1:3" x14ac:dyDescent="0.2">
      <c r="A470" s="9">
        <v>36008</v>
      </c>
      <c r="B470" s="10">
        <f>VLOOKUP(Table2[[#This Row],[Date]],'Database New'!$A:$D,MATCH($A$1,'Database New'!$A$1:$D$1,),)</f>
        <v>1654</v>
      </c>
      <c r="C470" s="30">
        <f>(Table2[[#This Row],[Building Permits]]-B469)/B469</f>
        <v>2.732919254658385E-2</v>
      </c>
    </row>
    <row r="471" spans="1:3" x14ac:dyDescent="0.2">
      <c r="A471" s="9">
        <v>36039</v>
      </c>
      <c r="B471" s="10">
        <f>VLOOKUP(Table2[[#This Row],[Date]],'Database New'!$A:$D,MATCH($A$1,'Database New'!$A$1:$D$1,),)</f>
        <v>1577</v>
      </c>
      <c r="C471" s="30">
        <f>(Table2[[#This Row],[Building Permits]]-B470)/B470</f>
        <v>-4.6553808948004836E-2</v>
      </c>
    </row>
    <row r="472" spans="1:3" x14ac:dyDescent="0.2">
      <c r="A472" s="9">
        <v>36069</v>
      </c>
      <c r="B472" s="10">
        <f>VLOOKUP(Table2[[#This Row],[Date]],'Database New'!$A:$D,MATCH($A$1,'Database New'!$A$1:$D$1,),)</f>
        <v>1719</v>
      </c>
      <c r="C472" s="30">
        <f>(Table2[[#This Row],[Building Permits]]-B471)/B471</f>
        <v>9.0044388078630314E-2</v>
      </c>
    </row>
    <row r="473" spans="1:3" x14ac:dyDescent="0.2">
      <c r="A473" s="9">
        <v>36100</v>
      </c>
      <c r="B473" s="10">
        <f>VLOOKUP(Table2[[#This Row],[Date]],'Database New'!$A:$D,MATCH($A$1,'Database New'!$A$1:$D$1,),)</f>
        <v>1672</v>
      </c>
      <c r="C473" s="30">
        <f>(Table2[[#This Row],[Building Permits]]-B472)/B472</f>
        <v>-2.7341477603257707E-2</v>
      </c>
    </row>
    <row r="474" spans="1:3" x14ac:dyDescent="0.2">
      <c r="A474" s="9">
        <v>36130</v>
      </c>
      <c r="B474" s="10">
        <f>VLOOKUP(Table2[[#This Row],[Date]],'Database New'!$A:$D,MATCH($A$1,'Database New'!$A$1:$D$1,),)</f>
        <v>1742</v>
      </c>
      <c r="C474" s="30">
        <f>(Table2[[#This Row],[Building Permits]]-B473)/B473</f>
        <v>4.1866028708133975E-2</v>
      </c>
    </row>
    <row r="475" spans="1:3" x14ac:dyDescent="0.2">
      <c r="A475" s="9">
        <v>36161</v>
      </c>
      <c r="B475" s="10">
        <f>VLOOKUP(Table2[[#This Row],[Date]],'Database New'!$A:$D,MATCH($A$1,'Database New'!$A$1:$D$1,),)</f>
        <v>1732</v>
      </c>
      <c r="C475" s="30">
        <f>(Table2[[#This Row],[Building Permits]]-B474)/B474</f>
        <v>-5.7405281285878304E-3</v>
      </c>
    </row>
    <row r="476" spans="1:3" x14ac:dyDescent="0.2">
      <c r="A476" s="9">
        <v>36192</v>
      </c>
      <c r="B476" s="10">
        <f>VLOOKUP(Table2[[#This Row],[Date]],'Database New'!$A:$D,MATCH($A$1,'Database New'!$A$1:$D$1,),)</f>
        <v>1720</v>
      </c>
      <c r="C476" s="30">
        <f>(Table2[[#This Row],[Building Permits]]-B475)/B475</f>
        <v>-6.9284064665127024E-3</v>
      </c>
    </row>
    <row r="477" spans="1:3" x14ac:dyDescent="0.2">
      <c r="A477" s="9">
        <v>36220</v>
      </c>
      <c r="B477" s="10">
        <f>VLOOKUP(Table2[[#This Row],[Date]],'Database New'!$A:$D,MATCH($A$1,'Database New'!$A$1:$D$1,),)</f>
        <v>1665</v>
      </c>
      <c r="C477" s="30">
        <f>(Table2[[#This Row],[Building Permits]]-B476)/B476</f>
        <v>-3.1976744186046513E-2</v>
      </c>
    </row>
    <row r="478" spans="1:3" x14ac:dyDescent="0.2">
      <c r="A478" s="9">
        <v>36251</v>
      </c>
      <c r="B478" s="10">
        <f>VLOOKUP(Table2[[#This Row],[Date]],'Database New'!$A:$D,MATCH($A$1,'Database New'!$A$1:$D$1,),)</f>
        <v>1600</v>
      </c>
      <c r="C478" s="30">
        <f>(Table2[[#This Row],[Building Permits]]-B477)/B477</f>
        <v>-3.903903903903904E-2</v>
      </c>
    </row>
    <row r="479" spans="1:3" x14ac:dyDescent="0.2">
      <c r="A479" s="9">
        <v>36281</v>
      </c>
      <c r="B479" s="10">
        <f>VLOOKUP(Table2[[#This Row],[Date]],'Database New'!$A:$D,MATCH($A$1,'Database New'!$A$1:$D$1,),)</f>
        <v>1640</v>
      </c>
      <c r="C479" s="30">
        <f>(Table2[[#This Row],[Building Permits]]-B478)/B478</f>
        <v>2.5000000000000001E-2</v>
      </c>
    </row>
    <row r="480" spans="1:3" x14ac:dyDescent="0.2">
      <c r="A480" s="9">
        <v>36312</v>
      </c>
      <c r="B480" s="10">
        <f>VLOOKUP(Table2[[#This Row],[Date]],'Database New'!$A:$D,MATCH($A$1,'Database New'!$A$1:$D$1,),)</f>
        <v>1702</v>
      </c>
      <c r="C480" s="30">
        <f>(Table2[[#This Row],[Building Permits]]-B479)/B479</f>
        <v>3.7804878048780487E-2</v>
      </c>
    </row>
    <row r="481" spans="1:3" x14ac:dyDescent="0.2">
      <c r="A481" s="9">
        <v>36342</v>
      </c>
      <c r="B481" s="10">
        <f>VLOOKUP(Table2[[#This Row],[Date]],'Database New'!$A:$D,MATCH($A$1,'Database New'!$A$1:$D$1,),)</f>
        <v>1682</v>
      </c>
      <c r="C481" s="30">
        <f>(Table2[[#This Row],[Building Permits]]-B480)/B480</f>
        <v>-1.1750881316098707E-2</v>
      </c>
    </row>
    <row r="482" spans="1:3" x14ac:dyDescent="0.2">
      <c r="A482" s="9">
        <v>36373</v>
      </c>
      <c r="B482" s="10">
        <f>VLOOKUP(Table2[[#This Row],[Date]],'Database New'!$A:$D,MATCH($A$1,'Database New'!$A$1:$D$1,),)</f>
        <v>1671</v>
      </c>
      <c r="C482" s="30">
        <f>(Table2[[#This Row],[Building Permits]]-B481)/B481</f>
        <v>-6.5398335315101069E-3</v>
      </c>
    </row>
    <row r="483" spans="1:3" x14ac:dyDescent="0.2">
      <c r="A483" s="9">
        <v>36404</v>
      </c>
      <c r="B483" s="10">
        <f>VLOOKUP(Table2[[#This Row],[Date]],'Database New'!$A:$D,MATCH($A$1,'Database New'!$A$1:$D$1,),)</f>
        <v>1551</v>
      </c>
      <c r="C483" s="30">
        <f>(Table2[[#This Row],[Building Permits]]-B482)/B482</f>
        <v>-7.1813285457809697E-2</v>
      </c>
    </row>
    <row r="484" spans="1:3" x14ac:dyDescent="0.2">
      <c r="A484" s="9">
        <v>36434</v>
      </c>
      <c r="B484" s="10">
        <f>VLOOKUP(Table2[[#This Row],[Date]],'Database New'!$A:$D,MATCH($A$1,'Database New'!$A$1:$D$1,),)</f>
        <v>1649</v>
      </c>
      <c r="C484" s="30">
        <f>(Table2[[#This Row],[Building Permits]]-B483)/B483</f>
        <v>6.3185041908446163E-2</v>
      </c>
    </row>
    <row r="485" spans="1:3" x14ac:dyDescent="0.2">
      <c r="A485" s="9">
        <v>36465</v>
      </c>
      <c r="B485" s="10">
        <f>VLOOKUP(Table2[[#This Row],[Date]],'Database New'!$A:$D,MATCH($A$1,'Database New'!$A$1:$D$1,),)</f>
        <v>1672</v>
      </c>
      <c r="C485" s="30">
        <f>(Table2[[#This Row],[Building Permits]]-B484)/B484</f>
        <v>1.3947847180109158E-2</v>
      </c>
    </row>
    <row r="486" spans="1:3" x14ac:dyDescent="0.2">
      <c r="A486" s="9">
        <v>36495</v>
      </c>
      <c r="B486" s="10">
        <f>VLOOKUP(Table2[[#This Row],[Date]],'Database New'!$A:$D,MATCH($A$1,'Database New'!$A$1:$D$1,),)</f>
        <v>1683</v>
      </c>
      <c r="C486" s="30">
        <f>(Table2[[#This Row],[Building Permits]]-B485)/B485</f>
        <v>6.5789473684210523E-3</v>
      </c>
    </row>
    <row r="487" spans="1:3" x14ac:dyDescent="0.2">
      <c r="A487" s="9">
        <v>36526</v>
      </c>
      <c r="B487" s="10">
        <f>VLOOKUP(Table2[[#This Row],[Date]],'Database New'!$A:$D,MATCH($A$1,'Database New'!$A$1:$D$1,),)</f>
        <v>1727</v>
      </c>
      <c r="C487" s="30">
        <f>(Table2[[#This Row],[Building Permits]]-B486)/B486</f>
        <v>2.6143790849673203E-2</v>
      </c>
    </row>
    <row r="488" spans="1:3" x14ac:dyDescent="0.2">
      <c r="A488" s="9">
        <v>36557</v>
      </c>
      <c r="B488" s="10">
        <f>VLOOKUP(Table2[[#This Row],[Date]],'Database New'!$A:$D,MATCH($A$1,'Database New'!$A$1:$D$1,),)</f>
        <v>1692</v>
      </c>
      <c r="C488" s="30">
        <f>(Table2[[#This Row],[Building Permits]]-B487)/B487</f>
        <v>-2.0266357845975681E-2</v>
      </c>
    </row>
    <row r="489" spans="1:3" x14ac:dyDescent="0.2">
      <c r="A489" s="9">
        <v>36586</v>
      </c>
      <c r="B489" s="10">
        <f>VLOOKUP(Table2[[#This Row],[Date]],'Database New'!$A:$D,MATCH($A$1,'Database New'!$A$1:$D$1,),)</f>
        <v>1651</v>
      </c>
      <c r="C489" s="30">
        <f>(Table2[[#This Row],[Building Permits]]-B488)/B488</f>
        <v>-2.4231678486997636E-2</v>
      </c>
    </row>
    <row r="490" spans="1:3" x14ac:dyDescent="0.2">
      <c r="A490" s="9">
        <v>36617</v>
      </c>
      <c r="B490" s="10">
        <f>VLOOKUP(Table2[[#This Row],[Date]],'Database New'!$A:$D,MATCH($A$1,'Database New'!$A$1:$D$1,),)</f>
        <v>1597</v>
      </c>
      <c r="C490" s="30">
        <f>(Table2[[#This Row],[Building Permits]]-B489)/B489</f>
        <v>-3.2707450030284677E-2</v>
      </c>
    </row>
    <row r="491" spans="1:3" x14ac:dyDescent="0.2">
      <c r="A491" s="9">
        <v>36647</v>
      </c>
      <c r="B491" s="10">
        <f>VLOOKUP(Table2[[#This Row],[Date]],'Database New'!$A:$D,MATCH($A$1,'Database New'!$A$1:$D$1,),)</f>
        <v>1543</v>
      </c>
      <c r="C491" s="30">
        <f>(Table2[[#This Row],[Building Permits]]-B490)/B490</f>
        <v>-3.3813400125234816E-2</v>
      </c>
    </row>
    <row r="492" spans="1:3" x14ac:dyDescent="0.2">
      <c r="A492" s="9">
        <v>36678</v>
      </c>
      <c r="B492" s="10">
        <f>VLOOKUP(Table2[[#This Row],[Date]],'Database New'!$A:$D,MATCH($A$1,'Database New'!$A$1:$D$1,),)</f>
        <v>1572</v>
      </c>
      <c r="C492" s="30">
        <f>(Table2[[#This Row],[Building Permits]]-B491)/B491</f>
        <v>1.8794556059624108E-2</v>
      </c>
    </row>
    <row r="493" spans="1:3" x14ac:dyDescent="0.2">
      <c r="A493" s="9">
        <v>36708</v>
      </c>
      <c r="B493" s="10">
        <f>VLOOKUP(Table2[[#This Row],[Date]],'Database New'!$A:$D,MATCH($A$1,'Database New'!$A$1:$D$1,),)</f>
        <v>1542</v>
      </c>
      <c r="C493" s="30">
        <f>(Table2[[#This Row],[Building Permits]]-B492)/B492</f>
        <v>-1.9083969465648856E-2</v>
      </c>
    </row>
    <row r="494" spans="1:3" x14ac:dyDescent="0.2">
      <c r="A494" s="9">
        <v>36739</v>
      </c>
      <c r="B494" s="10">
        <f>VLOOKUP(Table2[[#This Row],[Date]],'Database New'!$A:$D,MATCH($A$1,'Database New'!$A$1:$D$1,),)</f>
        <v>1552</v>
      </c>
      <c r="C494" s="30">
        <f>(Table2[[#This Row],[Building Permits]]-B493)/B493</f>
        <v>6.4850843060959796E-3</v>
      </c>
    </row>
    <row r="495" spans="1:3" x14ac:dyDescent="0.2">
      <c r="A495" s="9">
        <v>36770</v>
      </c>
      <c r="B495" s="10">
        <f>VLOOKUP(Table2[[#This Row],[Date]],'Database New'!$A:$D,MATCH($A$1,'Database New'!$A$1:$D$1,),)</f>
        <v>1570</v>
      </c>
      <c r="C495" s="30">
        <f>(Table2[[#This Row],[Building Permits]]-B494)/B494</f>
        <v>1.1597938144329897E-2</v>
      </c>
    </row>
    <row r="496" spans="1:3" x14ac:dyDescent="0.2">
      <c r="A496" s="9">
        <v>36800</v>
      </c>
      <c r="B496" s="10">
        <f>VLOOKUP(Table2[[#This Row],[Date]],'Database New'!$A:$D,MATCH($A$1,'Database New'!$A$1:$D$1,),)</f>
        <v>1577</v>
      </c>
      <c r="C496" s="30">
        <f>(Table2[[#This Row],[Building Permits]]-B495)/B495</f>
        <v>4.4585987261146496E-3</v>
      </c>
    </row>
    <row r="497" spans="1:3" x14ac:dyDescent="0.2">
      <c r="A497" s="9">
        <v>36831</v>
      </c>
      <c r="B497" s="10">
        <f>VLOOKUP(Table2[[#This Row],[Date]],'Database New'!$A:$D,MATCH($A$1,'Database New'!$A$1:$D$1,),)</f>
        <v>1614</v>
      </c>
      <c r="C497" s="30">
        <f>(Table2[[#This Row],[Building Permits]]-B496)/B496</f>
        <v>2.3462270133164237E-2</v>
      </c>
    </row>
    <row r="498" spans="1:3" x14ac:dyDescent="0.2">
      <c r="A498" s="9">
        <v>36861</v>
      </c>
      <c r="B498" s="10">
        <f>VLOOKUP(Table2[[#This Row],[Date]],'Database New'!$A:$D,MATCH($A$1,'Database New'!$A$1:$D$1,),)</f>
        <v>1543</v>
      </c>
      <c r="C498" s="30">
        <f>(Table2[[#This Row],[Building Permits]]-B497)/B497</f>
        <v>-4.3990086741016107E-2</v>
      </c>
    </row>
    <row r="499" spans="1:3" x14ac:dyDescent="0.2">
      <c r="A499" s="9">
        <v>36892</v>
      </c>
      <c r="B499" s="10">
        <f>VLOOKUP(Table2[[#This Row],[Date]],'Database New'!$A:$D,MATCH($A$1,'Database New'!$A$1:$D$1,),)</f>
        <v>1699</v>
      </c>
      <c r="C499" s="30">
        <f>(Table2[[#This Row],[Building Permits]]-B498)/B498</f>
        <v>0.10110174983797797</v>
      </c>
    </row>
    <row r="500" spans="1:3" x14ac:dyDescent="0.2">
      <c r="A500" s="9">
        <v>36923</v>
      </c>
      <c r="B500" s="10">
        <f>VLOOKUP(Table2[[#This Row],[Date]],'Database New'!$A:$D,MATCH($A$1,'Database New'!$A$1:$D$1,),)</f>
        <v>1656</v>
      </c>
      <c r="C500" s="30">
        <f>(Table2[[#This Row],[Building Permits]]-B499)/B499</f>
        <v>-2.5309005297233667E-2</v>
      </c>
    </row>
    <row r="501" spans="1:3" x14ac:dyDescent="0.2">
      <c r="A501" s="9">
        <v>36951</v>
      </c>
      <c r="B501" s="10">
        <f>VLOOKUP(Table2[[#This Row],[Date]],'Database New'!$A:$D,MATCH($A$1,'Database New'!$A$1:$D$1,),)</f>
        <v>1659</v>
      </c>
      <c r="C501" s="30">
        <f>(Table2[[#This Row],[Building Permits]]-B500)/B500</f>
        <v>1.8115942028985507E-3</v>
      </c>
    </row>
    <row r="502" spans="1:3" x14ac:dyDescent="0.2">
      <c r="A502" s="9">
        <v>36982</v>
      </c>
      <c r="B502" s="10">
        <f>VLOOKUP(Table2[[#This Row],[Date]],'Database New'!$A:$D,MATCH($A$1,'Database New'!$A$1:$D$1,),)</f>
        <v>1666</v>
      </c>
      <c r="C502" s="30">
        <f>(Table2[[#This Row],[Building Permits]]-B501)/B501</f>
        <v>4.2194092827004216E-3</v>
      </c>
    </row>
    <row r="503" spans="1:3" x14ac:dyDescent="0.2">
      <c r="A503" s="9">
        <v>37012</v>
      </c>
      <c r="B503" s="10">
        <f>VLOOKUP(Table2[[#This Row],[Date]],'Database New'!$A:$D,MATCH($A$1,'Database New'!$A$1:$D$1,),)</f>
        <v>1665</v>
      </c>
      <c r="C503" s="30">
        <f>(Table2[[#This Row],[Building Permits]]-B502)/B502</f>
        <v>-6.0024009603841532E-4</v>
      </c>
    </row>
    <row r="504" spans="1:3" x14ac:dyDescent="0.2">
      <c r="A504" s="9">
        <v>37043</v>
      </c>
      <c r="B504" s="10">
        <f>VLOOKUP(Table2[[#This Row],[Date]],'Database New'!$A:$D,MATCH($A$1,'Database New'!$A$1:$D$1,),)</f>
        <v>1626</v>
      </c>
      <c r="C504" s="30">
        <f>(Table2[[#This Row],[Building Permits]]-B503)/B503</f>
        <v>-2.3423423423423424E-2</v>
      </c>
    </row>
    <row r="505" spans="1:3" x14ac:dyDescent="0.2">
      <c r="A505" s="9">
        <v>37073</v>
      </c>
      <c r="B505" s="10">
        <f>VLOOKUP(Table2[[#This Row],[Date]],'Database New'!$A:$D,MATCH($A$1,'Database New'!$A$1:$D$1,),)</f>
        <v>1598</v>
      </c>
      <c r="C505" s="30">
        <f>(Table2[[#This Row],[Building Permits]]-B504)/B504</f>
        <v>-1.7220172201722016E-2</v>
      </c>
    </row>
    <row r="506" spans="1:3" x14ac:dyDescent="0.2">
      <c r="A506" s="9">
        <v>37104</v>
      </c>
      <c r="B506" s="10">
        <f>VLOOKUP(Table2[[#This Row],[Date]],'Database New'!$A:$D,MATCH($A$1,'Database New'!$A$1:$D$1,),)</f>
        <v>1615</v>
      </c>
      <c r="C506" s="30">
        <f>(Table2[[#This Row],[Building Permits]]-B505)/B505</f>
        <v>1.0638297872340425E-2</v>
      </c>
    </row>
    <row r="507" spans="1:3" x14ac:dyDescent="0.2">
      <c r="A507" s="9">
        <v>37135</v>
      </c>
      <c r="B507" s="10">
        <f>VLOOKUP(Table2[[#This Row],[Date]],'Database New'!$A:$D,MATCH($A$1,'Database New'!$A$1:$D$1,),)</f>
        <v>1565</v>
      </c>
      <c r="C507" s="30">
        <f>(Table2[[#This Row],[Building Permits]]-B506)/B506</f>
        <v>-3.0959752321981424E-2</v>
      </c>
    </row>
    <row r="508" spans="1:3" x14ac:dyDescent="0.2">
      <c r="A508" s="9">
        <v>37165</v>
      </c>
      <c r="B508" s="10">
        <f>VLOOKUP(Table2[[#This Row],[Date]],'Database New'!$A:$D,MATCH($A$1,'Database New'!$A$1:$D$1,),)</f>
        <v>1566</v>
      </c>
      <c r="C508" s="30">
        <f>(Table2[[#This Row],[Building Permits]]-B507)/B507</f>
        <v>6.3897763578274762E-4</v>
      </c>
    </row>
    <row r="509" spans="1:3" x14ac:dyDescent="0.2">
      <c r="A509" s="9">
        <v>37196</v>
      </c>
      <c r="B509" s="10">
        <f>VLOOKUP(Table2[[#This Row],[Date]],'Database New'!$A:$D,MATCH($A$1,'Database New'!$A$1:$D$1,),)</f>
        <v>1651</v>
      </c>
      <c r="C509" s="30">
        <f>(Table2[[#This Row],[Building Permits]]-B508)/B508</f>
        <v>5.4278416347381862E-2</v>
      </c>
    </row>
    <row r="510" spans="1:3" x14ac:dyDescent="0.2">
      <c r="A510" s="9">
        <v>37226</v>
      </c>
      <c r="B510" s="10">
        <f>VLOOKUP(Table2[[#This Row],[Date]],'Database New'!$A:$D,MATCH($A$1,'Database New'!$A$1:$D$1,),)</f>
        <v>1680</v>
      </c>
      <c r="C510" s="30">
        <f>(Table2[[#This Row],[Building Permits]]-B509)/B509</f>
        <v>1.7565112053301031E-2</v>
      </c>
    </row>
    <row r="511" spans="1:3" x14ac:dyDescent="0.2">
      <c r="A511" s="9">
        <v>37257</v>
      </c>
      <c r="B511" s="10">
        <f>VLOOKUP(Table2[[#This Row],[Date]],'Database New'!$A:$D,MATCH($A$1,'Database New'!$A$1:$D$1,),)</f>
        <v>1665</v>
      </c>
      <c r="C511" s="30">
        <f>(Table2[[#This Row],[Building Permits]]-B510)/B510</f>
        <v>-8.9285714285714281E-3</v>
      </c>
    </row>
    <row r="512" spans="1:3" x14ac:dyDescent="0.2">
      <c r="A512" s="9">
        <v>37288</v>
      </c>
      <c r="B512" s="10">
        <f>VLOOKUP(Table2[[#This Row],[Date]],'Database New'!$A:$D,MATCH($A$1,'Database New'!$A$1:$D$1,),)</f>
        <v>1787</v>
      </c>
      <c r="C512" s="30">
        <f>(Table2[[#This Row],[Building Permits]]-B511)/B511</f>
        <v>7.3273273273273279E-2</v>
      </c>
    </row>
    <row r="513" spans="1:3" x14ac:dyDescent="0.2">
      <c r="A513" s="9">
        <v>37316</v>
      </c>
      <c r="B513" s="10">
        <f>VLOOKUP(Table2[[#This Row],[Date]],'Database New'!$A:$D,MATCH($A$1,'Database New'!$A$1:$D$1,),)</f>
        <v>1691</v>
      </c>
      <c r="C513" s="30">
        <f>(Table2[[#This Row],[Building Permits]]-B512)/B512</f>
        <v>-5.3721320649132626E-2</v>
      </c>
    </row>
    <row r="514" spans="1:3" x14ac:dyDescent="0.2">
      <c r="A514" s="9">
        <v>37347</v>
      </c>
      <c r="B514" s="10">
        <f>VLOOKUP(Table2[[#This Row],[Date]],'Database New'!$A:$D,MATCH($A$1,'Database New'!$A$1:$D$1,),)</f>
        <v>1669</v>
      </c>
      <c r="C514" s="30">
        <f>(Table2[[#This Row],[Building Permits]]-B513)/B513</f>
        <v>-1.3010053222945003E-2</v>
      </c>
    </row>
    <row r="515" spans="1:3" x14ac:dyDescent="0.2">
      <c r="A515" s="9">
        <v>37377</v>
      </c>
      <c r="B515" s="10">
        <f>VLOOKUP(Table2[[#This Row],[Date]],'Database New'!$A:$D,MATCH($A$1,'Database New'!$A$1:$D$1,),)</f>
        <v>1716</v>
      </c>
      <c r="C515" s="30">
        <f>(Table2[[#This Row],[Building Permits]]-B514)/B514</f>
        <v>2.816057519472738E-2</v>
      </c>
    </row>
    <row r="516" spans="1:3" x14ac:dyDescent="0.2">
      <c r="A516" s="9">
        <v>37408</v>
      </c>
      <c r="B516" s="10">
        <f>VLOOKUP(Table2[[#This Row],[Date]],'Database New'!$A:$D,MATCH($A$1,'Database New'!$A$1:$D$1,),)</f>
        <v>1758</v>
      </c>
      <c r="C516" s="30">
        <f>(Table2[[#This Row],[Building Permits]]-B515)/B515</f>
        <v>2.4475524475524476E-2</v>
      </c>
    </row>
    <row r="517" spans="1:3" x14ac:dyDescent="0.2">
      <c r="A517" s="9">
        <v>37438</v>
      </c>
      <c r="B517" s="10">
        <f>VLOOKUP(Table2[[#This Row],[Date]],'Database New'!$A:$D,MATCH($A$1,'Database New'!$A$1:$D$1,),)</f>
        <v>1738</v>
      </c>
      <c r="C517" s="30">
        <f>(Table2[[#This Row],[Building Permits]]-B516)/B516</f>
        <v>-1.1376564277588168E-2</v>
      </c>
    </row>
    <row r="518" spans="1:3" x14ac:dyDescent="0.2">
      <c r="A518" s="9">
        <v>37469</v>
      </c>
      <c r="B518" s="10">
        <f>VLOOKUP(Table2[[#This Row],[Date]],'Database New'!$A:$D,MATCH($A$1,'Database New'!$A$1:$D$1,),)</f>
        <v>1695</v>
      </c>
      <c r="C518" s="30">
        <f>(Table2[[#This Row],[Building Permits]]-B517)/B517</f>
        <v>-2.4741081703107019E-2</v>
      </c>
    </row>
    <row r="519" spans="1:3" x14ac:dyDescent="0.2">
      <c r="A519" s="9">
        <v>37500</v>
      </c>
      <c r="B519" s="10">
        <f>VLOOKUP(Table2[[#This Row],[Date]],'Database New'!$A:$D,MATCH($A$1,'Database New'!$A$1:$D$1,),)</f>
        <v>1803</v>
      </c>
      <c r="C519" s="30">
        <f>(Table2[[#This Row],[Building Permits]]-B518)/B518</f>
        <v>6.3716814159292035E-2</v>
      </c>
    </row>
    <row r="520" spans="1:3" x14ac:dyDescent="0.2">
      <c r="A520" s="9">
        <v>37530</v>
      </c>
      <c r="B520" s="10">
        <f>VLOOKUP(Table2[[#This Row],[Date]],'Database New'!$A:$D,MATCH($A$1,'Database New'!$A$1:$D$1,),)</f>
        <v>1799</v>
      </c>
      <c r="C520" s="30">
        <f>(Table2[[#This Row],[Building Permits]]-B519)/B519</f>
        <v>-2.2185246810870773E-3</v>
      </c>
    </row>
    <row r="521" spans="1:3" x14ac:dyDescent="0.2">
      <c r="A521" s="9">
        <v>37561</v>
      </c>
      <c r="B521" s="10">
        <f>VLOOKUP(Table2[[#This Row],[Date]],'Database New'!$A:$D,MATCH($A$1,'Database New'!$A$1:$D$1,),)</f>
        <v>1771</v>
      </c>
      <c r="C521" s="30">
        <f>(Table2[[#This Row],[Building Permits]]-B520)/B520</f>
        <v>-1.556420233463035E-2</v>
      </c>
    </row>
    <row r="522" spans="1:3" x14ac:dyDescent="0.2">
      <c r="A522" s="9">
        <v>37591</v>
      </c>
      <c r="B522" s="10">
        <f>VLOOKUP(Table2[[#This Row],[Date]],'Database New'!$A:$D,MATCH($A$1,'Database New'!$A$1:$D$1,),)</f>
        <v>1896</v>
      </c>
      <c r="C522" s="30">
        <f>(Table2[[#This Row],[Building Permits]]-B521)/B521</f>
        <v>7.0581592320722752E-2</v>
      </c>
    </row>
    <row r="523" spans="1:3" x14ac:dyDescent="0.2">
      <c r="A523" s="9">
        <v>37622</v>
      </c>
      <c r="B523" s="10">
        <f>VLOOKUP(Table2[[#This Row],[Date]],'Database New'!$A:$D,MATCH($A$1,'Database New'!$A$1:$D$1,),)</f>
        <v>1808</v>
      </c>
      <c r="C523" s="30">
        <f>(Table2[[#This Row],[Building Permits]]-B522)/B522</f>
        <v>-4.6413502109704644E-2</v>
      </c>
    </row>
    <row r="524" spans="1:3" x14ac:dyDescent="0.2">
      <c r="A524" s="9">
        <v>37653</v>
      </c>
      <c r="B524" s="10">
        <f>VLOOKUP(Table2[[#This Row],[Date]],'Database New'!$A:$D,MATCH($A$1,'Database New'!$A$1:$D$1,),)</f>
        <v>1854</v>
      </c>
      <c r="C524" s="30">
        <f>(Table2[[#This Row],[Building Permits]]-B523)/B523</f>
        <v>2.5442477876106196E-2</v>
      </c>
    </row>
    <row r="525" spans="1:3" x14ac:dyDescent="0.2">
      <c r="A525" s="9">
        <v>37681</v>
      </c>
      <c r="B525" s="10">
        <f>VLOOKUP(Table2[[#This Row],[Date]],'Database New'!$A:$D,MATCH($A$1,'Database New'!$A$1:$D$1,),)</f>
        <v>1757</v>
      </c>
      <c r="C525" s="30">
        <f>(Table2[[#This Row],[Building Permits]]-B524)/B524</f>
        <v>-5.2319309600863E-2</v>
      </c>
    </row>
    <row r="526" spans="1:3" x14ac:dyDescent="0.2">
      <c r="A526" s="9">
        <v>37712</v>
      </c>
      <c r="B526" s="10">
        <f>VLOOKUP(Table2[[#This Row],[Date]],'Database New'!$A:$D,MATCH($A$1,'Database New'!$A$1:$D$1,),)</f>
        <v>1803</v>
      </c>
      <c r="C526" s="30">
        <f>(Table2[[#This Row],[Building Permits]]-B525)/B525</f>
        <v>2.618099032441662E-2</v>
      </c>
    </row>
    <row r="527" spans="1:3" x14ac:dyDescent="0.2">
      <c r="A527" s="9">
        <v>37742</v>
      </c>
      <c r="B527" s="10">
        <f>VLOOKUP(Table2[[#This Row],[Date]],'Database New'!$A:$D,MATCH($A$1,'Database New'!$A$1:$D$1,),)</f>
        <v>1835</v>
      </c>
      <c r="C527" s="30">
        <f>(Table2[[#This Row],[Building Permits]]-B526)/B526</f>
        <v>1.7748197448696618E-2</v>
      </c>
    </row>
    <row r="528" spans="1:3" x14ac:dyDescent="0.2">
      <c r="A528" s="9">
        <v>37773</v>
      </c>
      <c r="B528" s="10">
        <f>VLOOKUP(Table2[[#This Row],[Date]],'Database New'!$A:$D,MATCH($A$1,'Database New'!$A$1:$D$1,),)</f>
        <v>1875</v>
      </c>
      <c r="C528" s="30">
        <f>(Table2[[#This Row],[Building Permits]]-B527)/B527</f>
        <v>2.1798365122615803E-2</v>
      </c>
    </row>
    <row r="529" spans="1:3" x14ac:dyDescent="0.2">
      <c r="A529" s="9">
        <v>37803</v>
      </c>
      <c r="B529" s="10">
        <f>VLOOKUP(Table2[[#This Row],[Date]],'Database New'!$A:$D,MATCH($A$1,'Database New'!$A$1:$D$1,),)</f>
        <v>1885</v>
      </c>
      <c r="C529" s="30">
        <f>(Table2[[#This Row],[Building Permits]]-B528)/B528</f>
        <v>5.3333333333333332E-3</v>
      </c>
    </row>
    <row r="530" spans="1:3" x14ac:dyDescent="0.2">
      <c r="A530" s="9">
        <v>37834</v>
      </c>
      <c r="B530" s="10">
        <f>VLOOKUP(Table2[[#This Row],[Date]],'Database New'!$A:$D,MATCH($A$1,'Database New'!$A$1:$D$1,),)</f>
        <v>1966</v>
      </c>
      <c r="C530" s="30">
        <f>(Table2[[#This Row],[Building Permits]]-B529)/B529</f>
        <v>4.2970822281167109E-2</v>
      </c>
    </row>
    <row r="531" spans="1:3" x14ac:dyDescent="0.2">
      <c r="A531" s="9">
        <v>37865</v>
      </c>
      <c r="B531" s="10">
        <f>VLOOKUP(Table2[[#This Row],[Date]],'Database New'!$A:$D,MATCH($A$1,'Database New'!$A$1:$D$1,),)</f>
        <v>1961</v>
      </c>
      <c r="C531" s="30">
        <f>(Table2[[#This Row],[Building Permits]]-B530)/B530</f>
        <v>-2.5432349949135302E-3</v>
      </c>
    </row>
    <row r="532" spans="1:3" x14ac:dyDescent="0.2">
      <c r="A532" s="9">
        <v>37895</v>
      </c>
      <c r="B532" s="10">
        <f>VLOOKUP(Table2[[#This Row],[Date]],'Database New'!$A:$D,MATCH($A$1,'Database New'!$A$1:$D$1,),)</f>
        <v>2012</v>
      </c>
      <c r="C532" s="30">
        <f>(Table2[[#This Row],[Building Permits]]-B531)/B531</f>
        <v>2.6007139214686385E-2</v>
      </c>
    </row>
    <row r="533" spans="1:3" x14ac:dyDescent="0.2">
      <c r="A533" s="9">
        <v>37926</v>
      </c>
      <c r="B533" s="10">
        <f>VLOOKUP(Table2[[#This Row],[Date]],'Database New'!$A:$D,MATCH($A$1,'Database New'!$A$1:$D$1,),)</f>
        <v>1918</v>
      </c>
      <c r="C533" s="30">
        <f>(Table2[[#This Row],[Building Permits]]-B532)/B532</f>
        <v>-4.6719681908548708E-2</v>
      </c>
    </row>
    <row r="534" spans="1:3" x14ac:dyDescent="0.2">
      <c r="A534" s="9">
        <v>37956</v>
      </c>
      <c r="B534" s="10">
        <f>VLOOKUP(Table2[[#This Row],[Date]],'Database New'!$A:$D,MATCH($A$1,'Database New'!$A$1:$D$1,),)</f>
        <v>1987</v>
      </c>
      <c r="C534" s="30">
        <f>(Table2[[#This Row],[Building Permits]]-B533)/B533</f>
        <v>3.5974973931178308E-2</v>
      </c>
    </row>
    <row r="535" spans="1:3" x14ac:dyDescent="0.2">
      <c r="A535" s="9">
        <v>37987</v>
      </c>
      <c r="B535" s="10">
        <f>VLOOKUP(Table2[[#This Row],[Date]],'Database New'!$A:$D,MATCH($A$1,'Database New'!$A$1:$D$1,),)</f>
        <v>1952</v>
      </c>
      <c r="C535" s="30">
        <f>(Table2[[#This Row],[Building Permits]]-B534)/B534</f>
        <v>-1.7614494212380472E-2</v>
      </c>
    </row>
    <row r="536" spans="1:3" x14ac:dyDescent="0.2">
      <c r="A536" s="9">
        <v>38018</v>
      </c>
      <c r="B536" s="10">
        <f>VLOOKUP(Table2[[#This Row],[Date]],'Database New'!$A:$D,MATCH($A$1,'Database New'!$A$1:$D$1,),)</f>
        <v>1966</v>
      </c>
      <c r="C536" s="30">
        <f>(Table2[[#This Row],[Building Permits]]-B535)/B535</f>
        <v>7.1721311475409838E-3</v>
      </c>
    </row>
    <row r="537" spans="1:3" x14ac:dyDescent="0.2">
      <c r="A537" s="9">
        <v>38047</v>
      </c>
      <c r="B537" s="10">
        <f>VLOOKUP(Table2[[#This Row],[Date]],'Database New'!$A:$D,MATCH($A$1,'Database New'!$A$1:$D$1,),)</f>
        <v>2066</v>
      </c>
      <c r="C537" s="30">
        <f>(Table2[[#This Row],[Building Permits]]-B536)/B536</f>
        <v>5.0864699898270603E-2</v>
      </c>
    </row>
    <row r="538" spans="1:3" x14ac:dyDescent="0.2">
      <c r="A538" s="9">
        <v>38078</v>
      </c>
      <c r="B538" s="10">
        <f>VLOOKUP(Table2[[#This Row],[Date]],'Database New'!$A:$D,MATCH($A$1,'Database New'!$A$1:$D$1,),)</f>
        <v>2070</v>
      </c>
      <c r="C538" s="30">
        <f>(Table2[[#This Row],[Building Permits]]-B537)/B537</f>
        <v>1.9361084220716361E-3</v>
      </c>
    </row>
    <row r="539" spans="1:3" x14ac:dyDescent="0.2">
      <c r="A539" s="9">
        <v>38108</v>
      </c>
      <c r="B539" s="10">
        <f>VLOOKUP(Table2[[#This Row],[Date]],'Database New'!$A:$D,MATCH($A$1,'Database New'!$A$1:$D$1,),)</f>
        <v>2150</v>
      </c>
      <c r="C539" s="30">
        <f>(Table2[[#This Row],[Building Permits]]-B538)/B538</f>
        <v>3.864734299516908E-2</v>
      </c>
    </row>
    <row r="540" spans="1:3" x14ac:dyDescent="0.2">
      <c r="A540" s="9">
        <v>38139</v>
      </c>
      <c r="B540" s="10">
        <f>VLOOKUP(Table2[[#This Row],[Date]],'Database New'!$A:$D,MATCH($A$1,'Database New'!$A$1:$D$1,),)</f>
        <v>2020</v>
      </c>
      <c r="C540" s="30">
        <f>(Table2[[#This Row],[Building Permits]]-B539)/B539</f>
        <v>-6.0465116279069767E-2</v>
      </c>
    </row>
    <row r="541" spans="1:3" x14ac:dyDescent="0.2">
      <c r="A541" s="9">
        <v>38169</v>
      </c>
      <c r="B541" s="10">
        <f>VLOOKUP(Table2[[#This Row],[Date]],'Database New'!$A:$D,MATCH($A$1,'Database New'!$A$1:$D$1,),)</f>
        <v>2112</v>
      </c>
      <c r="C541" s="30">
        <f>(Table2[[#This Row],[Building Permits]]-B540)/B540</f>
        <v>4.5544554455445543E-2</v>
      </c>
    </row>
    <row r="542" spans="1:3" x14ac:dyDescent="0.2">
      <c r="A542" s="9">
        <v>38200</v>
      </c>
      <c r="B542" s="10">
        <f>VLOOKUP(Table2[[#This Row],[Date]],'Database New'!$A:$D,MATCH($A$1,'Database New'!$A$1:$D$1,),)</f>
        <v>2056</v>
      </c>
      <c r="C542" s="30">
        <f>(Table2[[#This Row],[Building Permits]]-B541)/B541</f>
        <v>-2.6515151515151516E-2</v>
      </c>
    </row>
    <row r="543" spans="1:3" x14ac:dyDescent="0.2">
      <c r="A543" s="9">
        <v>38231</v>
      </c>
      <c r="B543" s="10">
        <f>VLOOKUP(Table2[[#This Row],[Date]],'Database New'!$A:$D,MATCH($A$1,'Database New'!$A$1:$D$1,),)</f>
        <v>2041</v>
      </c>
      <c r="C543" s="30">
        <f>(Table2[[#This Row],[Building Permits]]-B542)/B542</f>
        <v>-7.2957198443579768E-3</v>
      </c>
    </row>
    <row r="544" spans="1:3" x14ac:dyDescent="0.2">
      <c r="A544" s="9">
        <v>38261</v>
      </c>
      <c r="B544" s="10">
        <f>VLOOKUP(Table2[[#This Row],[Date]],'Database New'!$A:$D,MATCH($A$1,'Database New'!$A$1:$D$1,),)</f>
        <v>2097</v>
      </c>
      <c r="C544" s="30">
        <f>(Table2[[#This Row],[Building Permits]]-B543)/B543</f>
        <v>2.7437530622243998E-2</v>
      </c>
    </row>
    <row r="545" spans="1:3" x14ac:dyDescent="0.2">
      <c r="A545" s="9">
        <v>38292</v>
      </c>
      <c r="B545" s="10">
        <f>VLOOKUP(Table2[[#This Row],[Date]],'Database New'!$A:$D,MATCH($A$1,'Database New'!$A$1:$D$1,),)</f>
        <v>2079</v>
      </c>
      <c r="C545" s="30">
        <f>(Table2[[#This Row],[Building Permits]]-B544)/B544</f>
        <v>-8.5836909871244635E-3</v>
      </c>
    </row>
    <row r="546" spans="1:3" x14ac:dyDescent="0.2">
      <c r="A546" s="9">
        <v>38322</v>
      </c>
      <c r="B546" s="10">
        <f>VLOOKUP(Table2[[#This Row],[Date]],'Database New'!$A:$D,MATCH($A$1,'Database New'!$A$1:$D$1,),)</f>
        <v>2082</v>
      </c>
      <c r="C546" s="30">
        <f>(Table2[[#This Row],[Building Permits]]-B545)/B545</f>
        <v>1.443001443001443E-3</v>
      </c>
    </row>
    <row r="547" spans="1:3" x14ac:dyDescent="0.2">
      <c r="A547" s="9">
        <v>38353</v>
      </c>
      <c r="B547" s="10">
        <f>VLOOKUP(Table2[[#This Row],[Date]],'Database New'!$A:$D,MATCH($A$1,'Database New'!$A$1:$D$1,),)</f>
        <v>2139</v>
      </c>
      <c r="C547" s="30">
        <f>(Table2[[#This Row],[Building Permits]]-B546)/B546</f>
        <v>2.7377521613832854E-2</v>
      </c>
    </row>
    <row r="548" spans="1:3" x14ac:dyDescent="0.2">
      <c r="A548" s="9">
        <v>38384</v>
      </c>
      <c r="B548" s="10">
        <f>VLOOKUP(Table2[[#This Row],[Date]],'Database New'!$A:$D,MATCH($A$1,'Database New'!$A$1:$D$1,),)</f>
        <v>2114</v>
      </c>
      <c r="C548" s="30">
        <f>(Table2[[#This Row],[Building Permits]]-B547)/B547</f>
        <v>-1.168770453482936E-2</v>
      </c>
    </row>
    <row r="549" spans="1:3" x14ac:dyDescent="0.2">
      <c r="A549" s="9">
        <v>38412</v>
      </c>
      <c r="B549" s="10">
        <f>VLOOKUP(Table2[[#This Row],[Date]],'Database New'!$A:$D,MATCH($A$1,'Database New'!$A$1:$D$1,),)</f>
        <v>2062</v>
      </c>
      <c r="C549" s="30">
        <f>(Table2[[#This Row],[Building Permits]]-B548)/B548</f>
        <v>-2.4597918637653739E-2</v>
      </c>
    </row>
    <row r="550" spans="1:3" x14ac:dyDescent="0.2">
      <c r="A550" s="9">
        <v>38443</v>
      </c>
      <c r="B550" s="10">
        <f>VLOOKUP(Table2[[#This Row],[Date]],'Database New'!$A:$D,MATCH($A$1,'Database New'!$A$1:$D$1,),)</f>
        <v>2150</v>
      </c>
      <c r="C550" s="30">
        <f>(Table2[[#This Row],[Building Permits]]-B549)/B549</f>
        <v>4.2677012609117361E-2</v>
      </c>
    </row>
    <row r="551" spans="1:3" x14ac:dyDescent="0.2">
      <c r="A551" s="9">
        <v>38473</v>
      </c>
      <c r="B551" s="10">
        <f>VLOOKUP(Table2[[#This Row],[Date]],'Database New'!$A:$D,MATCH($A$1,'Database New'!$A$1:$D$1,),)</f>
        <v>2085</v>
      </c>
      <c r="C551" s="30">
        <f>(Table2[[#This Row],[Building Permits]]-B550)/B550</f>
        <v>-3.0232558139534883E-2</v>
      </c>
    </row>
    <row r="552" spans="1:3" x14ac:dyDescent="0.2">
      <c r="A552" s="9">
        <v>38504</v>
      </c>
      <c r="B552" s="10">
        <f>VLOOKUP(Table2[[#This Row],[Date]],'Database New'!$A:$D,MATCH($A$1,'Database New'!$A$1:$D$1,),)</f>
        <v>2178</v>
      </c>
      <c r="C552" s="30">
        <f>(Table2[[#This Row],[Building Permits]]-B551)/B551</f>
        <v>4.4604316546762592E-2</v>
      </c>
    </row>
    <row r="553" spans="1:3" x14ac:dyDescent="0.2">
      <c r="A553" s="9">
        <v>38534</v>
      </c>
      <c r="B553" s="10">
        <f>VLOOKUP(Table2[[#This Row],[Date]],'Database New'!$A:$D,MATCH($A$1,'Database New'!$A$1:$D$1,),)</f>
        <v>2203</v>
      </c>
      <c r="C553" s="30">
        <f>(Table2[[#This Row],[Building Permits]]-B552)/B552</f>
        <v>1.1478420569329659E-2</v>
      </c>
    </row>
    <row r="554" spans="1:3" x14ac:dyDescent="0.2">
      <c r="A554" s="9">
        <v>38565</v>
      </c>
      <c r="B554" s="10">
        <f>VLOOKUP(Table2[[#This Row],[Date]],'Database New'!$A:$D,MATCH($A$1,'Database New'!$A$1:$D$1,),)</f>
        <v>2219</v>
      </c>
      <c r="C554" s="30">
        <f>(Table2[[#This Row],[Building Permits]]-B553)/B553</f>
        <v>7.2628234226055381E-3</v>
      </c>
    </row>
    <row r="555" spans="1:3" x14ac:dyDescent="0.2">
      <c r="A555" s="9">
        <v>38596</v>
      </c>
      <c r="B555" s="10">
        <f>VLOOKUP(Table2[[#This Row],[Date]],'Database New'!$A:$D,MATCH($A$1,'Database New'!$A$1:$D$1,),)</f>
        <v>2263</v>
      </c>
      <c r="C555" s="30">
        <f>(Table2[[#This Row],[Building Permits]]-B554)/B554</f>
        <v>1.9828751689950429E-2</v>
      </c>
    </row>
    <row r="556" spans="1:3" x14ac:dyDescent="0.2">
      <c r="A556" s="9">
        <v>38626</v>
      </c>
      <c r="B556" s="10">
        <f>VLOOKUP(Table2[[#This Row],[Date]],'Database New'!$A:$D,MATCH($A$1,'Database New'!$A$1:$D$1,),)</f>
        <v>2170</v>
      </c>
      <c r="C556" s="30">
        <f>(Table2[[#This Row],[Building Permits]]-B555)/B555</f>
        <v>-4.1095890410958902E-2</v>
      </c>
    </row>
    <row r="557" spans="1:3" x14ac:dyDescent="0.2">
      <c r="A557" s="9">
        <v>38657</v>
      </c>
      <c r="B557" s="10">
        <f>VLOOKUP(Table2[[#This Row],[Date]],'Database New'!$A:$D,MATCH($A$1,'Database New'!$A$1:$D$1,),)</f>
        <v>2218</v>
      </c>
      <c r="C557" s="30">
        <f>(Table2[[#This Row],[Building Permits]]-B556)/B556</f>
        <v>2.2119815668202765E-2</v>
      </c>
    </row>
    <row r="558" spans="1:3" x14ac:dyDescent="0.2">
      <c r="A558" s="9">
        <v>38687</v>
      </c>
      <c r="B558" s="10">
        <f>VLOOKUP(Table2[[#This Row],[Date]],'Database New'!$A:$D,MATCH($A$1,'Database New'!$A$1:$D$1,),)</f>
        <v>2120</v>
      </c>
      <c r="C558" s="30">
        <f>(Table2[[#This Row],[Building Permits]]-B557)/B557</f>
        <v>-4.4183949504057712E-2</v>
      </c>
    </row>
    <row r="559" spans="1:3" x14ac:dyDescent="0.2">
      <c r="A559" s="9">
        <v>38718</v>
      </c>
      <c r="B559" s="10">
        <f>VLOOKUP(Table2[[#This Row],[Date]],'Database New'!$A:$D,MATCH($A$1,'Database New'!$A$1:$D$1,),)</f>
        <v>2212</v>
      </c>
      <c r="C559" s="30">
        <f>(Table2[[#This Row],[Building Permits]]-B558)/B558</f>
        <v>4.3396226415094337E-2</v>
      </c>
    </row>
    <row r="560" spans="1:3" x14ac:dyDescent="0.2">
      <c r="A560" s="9">
        <v>38749</v>
      </c>
      <c r="B560" s="10">
        <f>VLOOKUP(Table2[[#This Row],[Date]],'Database New'!$A:$D,MATCH($A$1,'Database New'!$A$1:$D$1,),)</f>
        <v>2141</v>
      </c>
      <c r="C560" s="30">
        <f>(Table2[[#This Row],[Building Permits]]-B559)/B559</f>
        <v>-3.209764918625678E-2</v>
      </c>
    </row>
    <row r="561" spans="1:3" x14ac:dyDescent="0.2">
      <c r="A561" s="9">
        <v>38777</v>
      </c>
      <c r="B561" s="10">
        <f>VLOOKUP(Table2[[#This Row],[Date]],'Database New'!$A:$D,MATCH($A$1,'Database New'!$A$1:$D$1,),)</f>
        <v>2118</v>
      </c>
      <c r="C561" s="30">
        <f>(Table2[[#This Row],[Building Permits]]-B560)/B560</f>
        <v>-1.0742643624474545E-2</v>
      </c>
    </row>
    <row r="562" spans="1:3" x14ac:dyDescent="0.2">
      <c r="A562" s="9">
        <v>38808</v>
      </c>
      <c r="B562" s="10">
        <f>VLOOKUP(Table2[[#This Row],[Date]],'Database New'!$A:$D,MATCH($A$1,'Database New'!$A$1:$D$1,),)</f>
        <v>1998</v>
      </c>
      <c r="C562" s="30">
        <f>(Table2[[#This Row],[Building Permits]]-B561)/B561</f>
        <v>-5.6657223796033995E-2</v>
      </c>
    </row>
    <row r="563" spans="1:3" x14ac:dyDescent="0.2">
      <c r="A563" s="9">
        <v>38838</v>
      </c>
      <c r="B563" s="10">
        <f>VLOOKUP(Table2[[#This Row],[Date]],'Database New'!$A:$D,MATCH($A$1,'Database New'!$A$1:$D$1,),)</f>
        <v>1905</v>
      </c>
      <c r="C563" s="30">
        <f>(Table2[[#This Row],[Building Permits]]-B562)/B562</f>
        <v>-4.6546546546546545E-2</v>
      </c>
    </row>
    <row r="564" spans="1:3" x14ac:dyDescent="0.2">
      <c r="A564" s="9">
        <v>38869</v>
      </c>
      <c r="B564" s="10">
        <f>VLOOKUP(Table2[[#This Row],[Date]],'Database New'!$A:$D,MATCH($A$1,'Database New'!$A$1:$D$1,),)</f>
        <v>1867</v>
      </c>
      <c r="C564" s="30">
        <f>(Table2[[#This Row],[Building Permits]]-B563)/B563</f>
        <v>-1.994750656167979E-2</v>
      </c>
    </row>
    <row r="565" spans="1:3" x14ac:dyDescent="0.2">
      <c r="A565" s="9">
        <v>38899</v>
      </c>
      <c r="B565" s="10">
        <f>VLOOKUP(Table2[[#This Row],[Date]],'Database New'!$A:$D,MATCH($A$1,'Database New'!$A$1:$D$1,),)</f>
        <v>1763</v>
      </c>
      <c r="C565" s="30">
        <f>(Table2[[#This Row],[Building Permits]]-B564)/B564</f>
        <v>-5.5704338510980181E-2</v>
      </c>
    </row>
    <row r="566" spans="1:3" x14ac:dyDescent="0.2">
      <c r="A566" s="9">
        <v>38930</v>
      </c>
      <c r="B566" s="10">
        <f>VLOOKUP(Table2[[#This Row],[Date]],'Database New'!$A:$D,MATCH($A$1,'Database New'!$A$1:$D$1,),)</f>
        <v>1722</v>
      </c>
      <c r="C566" s="30">
        <f>(Table2[[#This Row],[Building Permits]]-B565)/B565</f>
        <v>-2.3255813953488372E-2</v>
      </c>
    </row>
    <row r="567" spans="1:3" x14ac:dyDescent="0.2">
      <c r="A567" s="9">
        <v>38961</v>
      </c>
      <c r="B567" s="10">
        <f>VLOOKUP(Table2[[#This Row],[Date]],'Database New'!$A:$D,MATCH($A$1,'Database New'!$A$1:$D$1,),)</f>
        <v>1655</v>
      </c>
      <c r="C567" s="30">
        <f>(Table2[[#This Row],[Building Permits]]-B566)/B566</f>
        <v>-3.8908246225319396E-2</v>
      </c>
    </row>
    <row r="568" spans="1:3" x14ac:dyDescent="0.2">
      <c r="A568" s="9">
        <v>38991</v>
      </c>
      <c r="B568" s="10">
        <f>VLOOKUP(Table2[[#This Row],[Date]],'Database New'!$A:$D,MATCH($A$1,'Database New'!$A$1:$D$1,),)</f>
        <v>1570</v>
      </c>
      <c r="C568" s="30">
        <f>(Table2[[#This Row],[Building Permits]]-B567)/B567</f>
        <v>-5.1359516616314202E-2</v>
      </c>
    </row>
    <row r="569" spans="1:3" x14ac:dyDescent="0.2">
      <c r="A569" s="9">
        <v>39022</v>
      </c>
      <c r="B569" s="10">
        <f>VLOOKUP(Table2[[#This Row],[Date]],'Database New'!$A:$D,MATCH($A$1,'Database New'!$A$1:$D$1,),)</f>
        <v>1535</v>
      </c>
      <c r="C569" s="30">
        <f>(Table2[[#This Row],[Building Permits]]-B568)/B568</f>
        <v>-2.2292993630573247E-2</v>
      </c>
    </row>
    <row r="570" spans="1:3" x14ac:dyDescent="0.2">
      <c r="A570" s="9">
        <v>39052</v>
      </c>
      <c r="B570" s="10">
        <f>VLOOKUP(Table2[[#This Row],[Date]],'Database New'!$A:$D,MATCH($A$1,'Database New'!$A$1:$D$1,),)</f>
        <v>1638</v>
      </c>
      <c r="C570" s="30">
        <f>(Table2[[#This Row],[Building Permits]]-B569)/B569</f>
        <v>6.7100977198697065E-2</v>
      </c>
    </row>
    <row r="571" spans="1:3" x14ac:dyDescent="0.2">
      <c r="A571" s="9">
        <v>39083</v>
      </c>
      <c r="B571" s="10">
        <f>VLOOKUP(Table2[[#This Row],[Date]],'Database New'!$A:$D,MATCH($A$1,'Database New'!$A$1:$D$1,),)</f>
        <v>1626</v>
      </c>
      <c r="C571" s="30">
        <f>(Table2[[#This Row],[Building Permits]]-B570)/B570</f>
        <v>-7.326007326007326E-3</v>
      </c>
    </row>
    <row r="572" spans="1:3" x14ac:dyDescent="0.2">
      <c r="A572" s="9">
        <v>39114</v>
      </c>
      <c r="B572" s="10">
        <f>VLOOKUP(Table2[[#This Row],[Date]],'Database New'!$A:$D,MATCH($A$1,'Database New'!$A$1:$D$1,),)</f>
        <v>1598</v>
      </c>
      <c r="C572" s="30">
        <f>(Table2[[#This Row],[Building Permits]]-B571)/B571</f>
        <v>-1.7220172201722016E-2</v>
      </c>
    </row>
    <row r="573" spans="1:3" x14ac:dyDescent="0.2">
      <c r="A573" s="9">
        <v>39142</v>
      </c>
      <c r="B573" s="10">
        <f>VLOOKUP(Table2[[#This Row],[Date]],'Database New'!$A:$D,MATCH($A$1,'Database New'!$A$1:$D$1,),)</f>
        <v>1596</v>
      </c>
      <c r="C573" s="30">
        <f>(Table2[[#This Row],[Building Permits]]-B572)/B572</f>
        <v>-1.2515644555694619E-3</v>
      </c>
    </row>
    <row r="574" spans="1:3" x14ac:dyDescent="0.2">
      <c r="A574" s="9">
        <v>39173</v>
      </c>
      <c r="B574" s="10">
        <f>VLOOKUP(Table2[[#This Row],[Date]],'Database New'!$A:$D,MATCH($A$1,'Database New'!$A$1:$D$1,),)</f>
        <v>1470</v>
      </c>
      <c r="C574" s="30">
        <f>(Table2[[#This Row],[Building Permits]]-B573)/B573</f>
        <v>-7.8947368421052627E-2</v>
      </c>
    </row>
    <row r="575" spans="1:3" x14ac:dyDescent="0.2">
      <c r="A575" s="9">
        <v>39203</v>
      </c>
      <c r="B575" s="10">
        <f>VLOOKUP(Table2[[#This Row],[Date]],'Database New'!$A:$D,MATCH($A$1,'Database New'!$A$1:$D$1,),)</f>
        <v>1493</v>
      </c>
      <c r="C575" s="30">
        <f>(Table2[[#This Row],[Building Permits]]-B574)/B574</f>
        <v>1.5646258503401362E-2</v>
      </c>
    </row>
    <row r="576" spans="1:3" x14ac:dyDescent="0.2">
      <c r="A576" s="9">
        <v>39234</v>
      </c>
      <c r="B576" s="10">
        <f>VLOOKUP(Table2[[#This Row],[Date]],'Database New'!$A:$D,MATCH($A$1,'Database New'!$A$1:$D$1,),)</f>
        <v>1407</v>
      </c>
      <c r="C576" s="30">
        <f>(Table2[[#This Row],[Building Permits]]-B575)/B575</f>
        <v>-5.7602143335565972E-2</v>
      </c>
    </row>
    <row r="577" spans="1:3" x14ac:dyDescent="0.2">
      <c r="A577" s="9">
        <v>39264</v>
      </c>
      <c r="B577" s="10">
        <f>VLOOKUP(Table2[[#This Row],[Date]],'Database New'!$A:$D,MATCH($A$1,'Database New'!$A$1:$D$1,),)</f>
        <v>1361</v>
      </c>
      <c r="C577" s="30">
        <f>(Table2[[#This Row],[Building Permits]]-B576)/B576</f>
        <v>-3.2693674484719264E-2</v>
      </c>
    </row>
    <row r="578" spans="1:3" x14ac:dyDescent="0.2">
      <c r="A578" s="9">
        <v>39295</v>
      </c>
      <c r="B578" s="10">
        <f>VLOOKUP(Table2[[#This Row],[Date]],'Database New'!$A:$D,MATCH($A$1,'Database New'!$A$1:$D$1,),)</f>
        <v>1321</v>
      </c>
      <c r="C578" s="30">
        <f>(Table2[[#This Row],[Building Permits]]-B577)/B577</f>
        <v>-2.9390154298310066E-2</v>
      </c>
    </row>
    <row r="579" spans="1:3" x14ac:dyDescent="0.2">
      <c r="A579" s="9">
        <v>39326</v>
      </c>
      <c r="B579" s="10">
        <f>VLOOKUP(Table2[[#This Row],[Date]],'Database New'!$A:$D,MATCH($A$1,'Database New'!$A$1:$D$1,),)</f>
        <v>1261</v>
      </c>
      <c r="C579" s="30">
        <f>(Table2[[#This Row],[Building Permits]]-B578)/B578</f>
        <v>-4.5420136260408785E-2</v>
      </c>
    </row>
    <row r="580" spans="1:3" x14ac:dyDescent="0.2">
      <c r="A580" s="9">
        <v>39356</v>
      </c>
      <c r="B580" s="10">
        <f>VLOOKUP(Table2[[#This Row],[Date]],'Database New'!$A:$D,MATCH($A$1,'Database New'!$A$1:$D$1,),)</f>
        <v>1192</v>
      </c>
      <c r="C580" s="30">
        <f>(Table2[[#This Row],[Building Permits]]-B579)/B579</f>
        <v>-5.471847739888977E-2</v>
      </c>
    </row>
    <row r="581" spans="1:3" x14ac:dyDescent="0.2">
      <c r="A581" s="9">
        <v>39387</v>
      </c>
      <c r="B581" s="10">
        <f>VLOOKUP(Table2[[#This Row],[Date]],'Database New'!$A:$D,MATCH($A$1,'Database New'!$A$1:$D$1,),)</f>
        <v>1224</v>
      </c>
      <c r="C581" s="30">
        <f>(Table2[[#This Row],[Building Permits]]-B580)/B580</f>
        <v>2.6845637583892617E-2</v>
      </c>
    </row>
    <row r="582" spans="1:3" x14ac:dyDescent="0.2">
      <c r="A582" s="9">
        <v>39417</v>
      </c>
      <c r="B582" s="10">
        <f>VLOOKUP(Table2[[#This Row],[Date]],'Database New'!$A:$D,MATCH($A$1,'Database New'!$A$1:$D$1,),)</f>
        <v>1149</v>
      </c>
      <c r="C582" s="30">
        <f>(Table2[[#This Row],[Building Permits]]-B581)/B581</f>
        <v>-6.1274509803921566E-2</v>
      </c>
    </row>
    <row r="583" spans="1:3" x14ac:dyDescent="0.2">
      <c r="A583" s="9">
        <v>39448</v>
      </c>
      <c r="B583" s="10">
        <f>VLOOKUP(Table2[[#This Row],[Date]],'Database New'!$A:$D,MATCH($A$1,'Database New'!$A$1:$D$1,),)</f>
        <v>1094</v>
      </c>
      <c r="C583" s="30">
        <f>(Table2[[#This Row],[Building Permits]]-B582)/B582</f>
        <v>-4.7867711053089644E-2</v>
      </c>
    </row>
    <row r="584" spans="1:3" x14ac:dyDescent="0.2">
      <c r="A584" s="9">
        <v>39479</v>
      </c>
      <c r="B584" s="10">
        <f>VLOOKUP(Table2[[#This Row],[Date]],'Database New'!$A:$D,MATCH($A$1,'Database New'!$A$1:$D$1,),)</f>
        <v>1014</v>
      </c>
      <c r="C584" s="30">
        <f>(Table2[[#This Row],[Building Permits]]-B583)/B583</f>
        <v>-7.3126142595978064E-2</v>
      </c>
    </row>
    <row r="585" spans="1:3" x14ac:dyDescent="0.2">
      <c r="A585" s="9">
        <v>39508</v>
      </c>
      <c r="B585" s="10">
        <f>VLOOKUP(Table2[[#This Row],[Date]],'Database New'!$A:$D,MATCH($A$1,'Database New'!$A$1:$D$1,),)</f>
        <v>967</v>
      </c>
      <c r="C585" s="30">
        <f>(Table2[[#This Row],[Building Permits]]-B584)/B584</f>
        <v>-4.6351084812623275E-2</v>
      </c>
    </row>
    <row r="586" spans="1:3" x14ac:dyDescent="0.2">
      <c r="A586" s="9">
        <v>39539</v>
      </c>
      <c r="B586" s="10">
        <f>VLOOKUP(Table2[[#This Row],[Date]],'Database New'!$A:$D,MATCH($A$1,'Database New'!$A$1:$D$1,),)</f>
        <v>1008</v>
      </c>
      <c r="C586" s="30">
        <f>(Table2[[#This Row],[Building Permits]]-B585)/B585</f>
        <v>4.2399172699069287E-2</v>
      </c>
    </row>
    <row r="587" spans="1:3" x14ac:dyDescent="0.2">
      <c r="A587" s="9">
        <v>39569</v>
      </c>
      <c r="B587" s="10">
        <f>VLOOKUP(Table2[[#This Row],[Date]],'Database New'!$A:$D,MATCH($A$1,'Database New'!$A$1:$D$1,),)</f>
        <v>995</v>
      </c>
      <c r="C587" s="30">
        <f>(Table2[[#This Row],[Building Permits]]-B586)/B586</f>
        <v>-1.2896825396825396E-2</v>
      </c>
    </row>
    <row r="588" spans="1:3" x14ac:dyDescent="0.2">
      <c r="A588" s="9">
        <v>39600</v>
      </c>
      <c r="B588" s="10">
        <f>VLOOKUP(Table2[[#This Row],[Date]],'Database New'!$A:$D,MATCH($A$1,'Database New'!$A$1:$D$1,),)</f>
        <v>1180</v>
      </c>
      <c r="C588" s="30">
        <f>(Table2[[#This Row],[Building Permits]]-B587)/B587</f>
        <v>0.18592964824120603</v>
      </c>
    </row>
    <row r="589" spans="1:3" x14ac:dyDescent="0.2">
      <c r="A589" s="9">
        <v>39630</v>
      </c>
      <c r="B589" s="10">
        <f>VLOOKUP(Table2[[#This Row],[Date]],'Database New'!$A:$D,MATCH($A$1,'Database New'!$A$1:$D$1,),)</f>
        <v>921</v>
      </c>
      <c r="C589" s="30">
        <f>(Table2[[#This Row],[Building Permits]]-B588)/B588</f>
        <v>-0.21949152542372882</v>
      </c>
    </row>
    <row r="590" spans="1:3" x14ac:dyDescent="0.2">
      <c r="A590" s="9">
        <v>39661</v>
      </c>
      <c r="B590" s="10">
        <f>VLOOKUP(Table2[[#This Row],[Date]],'Database New'!$A:$D,MATCH($A$1,'Database New'!$A$1:$D$1,),)</f>
        <v>858</v>
      </c>
      <c r="C590" s="30">
        <f>(Table2[[#This Row],[Building Permits]]-B589)/B589</f>
        <v>-6.8403908794788276E-2</v>
      </c>
    </row>
    <row r="591" spans="1:3" x14ac:dyDescent="0.2">
      <c r="A591" s="9">
        <v>39692</v>
      </c>
      <c r="B591" s="10">
        <f>VLOOKUP(Table2[[#This Row],[Date]],'Database New'!$A:$D,MATCH($A$1,'Database New'!$A$1:$D$1,),)</f>
        <v>797</v>
      </c>
      <c r="C591" s="30">
        <f>(Table2[[#This Row],[Building Permits]]-B590)/B590</f>
        <v>-7.1095571095571089E-2</v>
      </c>
    </row>
    <row r="592" spans="1:3" x14ac:dyDescent="0.2">
      <c r="A592" s="9">
        <v>39722</v>
      </c>
      <c r="B592" s="10">
        <f>VLOOKUP(Table2[[#This Row],[Date]],'Database New'!$A:$D,MATCH($A$1,'Database New'!$A$1:$D$1,),)</f>
        <v>736</v>
      </c>
      <c r="C592" s="30">
        <f>(Table2[[#This Row],[Building Permits]]-B591)/B591</f>
        <v>-7.6537013801756593E-2</v>
      </c>
    </row>
    <row r="593" spans="1:3" x14ac:dyDescent="0.2">
      <c r="A593" s="9">
        <v>39753</v>
      </c>
      <c r="B593" s="10">
        <f>VLOOKUP(Table2[[#This Row],[Date]],'Database New'!$A:$D,MATCH($A$1,'Database New'!$A$1:$D$1,),)</f>
        <v>626</v>
      </c>
      <c r="C593" s="30">
        <f>(Table2[[#This Row],[Building Permits]]-B592)/B592</f>
        <v>-0.14945652173913043</v>
      </c>
    </row>
    <row r="594" spans="1:3" x14ac:dyDescent="0.2">
      <c r="A594" s="9">
        <v>39783</v>
      </c>
      <c r="B594" s="10">
        <f>VLOOKUP(Table2[[#This Row],[Date]],'Database New'!$A:$D,MATCH($A$1,'Database New'!$A$1:$D$1,),)</f>
        <v>554</v>
      </c>
      <c r="C594" s="30">
        <f>(Table2[[#This Row],[Building Permits]]-B593)/B593</f>
        <v>-0.11501597444089456</v>
      </c>
    </row>
    <row r="595" spans="1:3" x14ac:dyDescent="0.2">
      <c r="A595" s="9">
        <v>39814</v>
      </c>
      <c r="B595" s="10">
        <f>VLOOKUP(Table2[[#This Row],[Date]],'Database New'!$A:$D,MATCH($A$1,'Database New'!$A$1:$D$1,),)</f>
        <v>545</v>
      </c>
      <c r="C595" s="30">
        <f>(Table2[[#This Row],[Building Permits]]-B594)/B594</f>
        <v>-1.6245487364620937E-2</v>
      </c>
    </row>
    <row r="596" spans="1:3" x14ac:dyDescent="0.2">
      <c r="A596" s="9">
        <v>39845</v>
      </c>
      <c r="B596" s="10">
        <f>VLOOKUP(Table2[[#This Row],[Date]],'Database New'!$A:$D,MATCH($A$1,'Database New'!$A$1:$D$1,),)</f>
        <v>558</v>
      </c>
      <c r="C596" s="30">
        <f>(Table2[[#This Row],[Building Permits]]-B595)/B595</f>
        <v>2.3853211009174313E-2</v>
      </c>
    </row>
    <row r="597" spans="1:3" x14ac:dyDescent="0.2">
      <c r="A597" s="9">
        <v>39873</v>
      </c>
      <c r="B597" s="10">
        <f>VLOOKUP(Table2[[#This Row],[Date]],'Database New'!$A:$D,MATCH($A$1,'Database New'!$A$1:$D$1,),)</f>
        <v>513</v>
      </c>
      <c r="C597" s="30">
        <f>(Table2[[#This Row],[Building Permits]]-B596)/B596</f>
        <v>-8.0645161290322578E-2</v>
      </c>
    </row>
    <row r="598" spans="1:3" x14ac:dyDescent="0.2">
      <c r="A598" s="9">
        <v>39904</v>
      </c>
      <c r="B598" s="10">
        <f>VLOOKUP(Table2[[#This Row],[Date]],'Database New'!$A:$D,MATCH($A$1,'Database New'!$A$1:$D$1,),)</f>
        <v>521</v>
      </c>
      <c r="C598" s="30">
        <f>(Table2[[#This Row],[Building Permits]]-B597)/B597</f>
        <v>1.5594541910331383E-2</v>
      </c>
    </row>
    <row r="599" spans="1:3" x14ac:dyDescent="0.2">
      <c r="A599" s="9">
        <v>39934</v>
      </c>
      <c r="B599" s="10">
        <f>VLOOKUP(Table2[[#This Row],[Date]],'Database New'!$A:$D,MATCH($A$1,'Database New'!$A$1:$D$1,),)</f>
        <v>556</v>
      </c>
      <c r="C599" s="30">
        <f>(Table2[[#This Row],[Building Permits]]-B598)/B598</f>
        <v>6.71785028790787E-2</v>
      </c>
    </row>
    <row r="600" spans="1:3" x14ac:dyDescent="0.2">
      <c r="A600" s="9">
        <v>39965</v>
      </c>
      <c r="B600" s="10">
        <f>VLOOKUP(Table2[[#This Row],[Date]],'Database New'!$A:$D,MATCH($A$1,'Database New'!$A$1:$D$1,),)</f>
        <v>601</v>
      </c>
      <c r="C600" s="30">
        <f>(Table2[[#This Row],[Building Permits]]-B599)/B599</f>
        <v>8.0935251798561147E-2</v>
      </c>
    </row>
    <row r="601" spans="1:3" x14ac:dyDescent="0.2">
      <c r="A601" s="9">
        <v>39995</v>
      </c>
      <c r="B601" s="10">
        <f>VLOOKUP(Table2[[#This Row],[Date]],'Database New'!$A:$D,MATCH($A$1,'Database New'!$A$1:$D$1,),)</f>
        <v>595</v>
      </c>
      <c r="C601" s="30">
        <f>(Table2[[#This Row],[Building Permits]]-B600)/B600</f>
        <v>-9.9833610648918467E-3</v>
      </c>
    </row>
    <row r="602" spans="1:3" x14ac:dyDescent="0.2">
      <c r="A602" s="9">
        <v>40026</v>
      </c>
      <c r="B602" s="10">
        <f>VLOOKUP(Table2[[#This Row],[Date]],'Database New'!$A:$D,MATCH($A$1,'Database New'!$A$1:$D$1,),)</f>
        <v>616</v>
      </c>
      <c r="C602" s="30">
        <f>(Table2[[#This Row],[Building Permits]]-B601)/B601</f>
        <v>3.5294117647058823E-2</v>
      </c>
    </row>
    <row r="603" spans="1:3" x14ac:dyDescent="0.2">
      <c r="A603" s="9">
        <v>40057</v>
      </c>
      <c r="B603" s="10">
        <f>VLOOKUP(Table2[[#This Row],[Date]],'Database New'!$A:$D,MATCH($A$1,'Database New'!$A$1:$D$1,),)</f>
        <v>609</v>
      </c>
      <c r="C603" s="30">
        <f>(Table2[[#This Row],[Building Permits]]-B602)/B602</f>
        <v>-1.1363636363636364E-2</v>
      </c>
    </row>
    <row r="604" spans="1:3" x14ac:dyDescent="0.2">
      <c r="A604" s="9">
        <v>40087</v>
      </c>
      <c r="B604" s="10">
        <f>VLOOKUP(Table2[[#This Row],[Date]],'Database New'!$A:$D,MATCH($A$1,'Database New'!$A$1:$D$1,),)</f>
        <v>583</v>
      </c>
      <c r="C604" s="30">
        <f>(Table2[[#This Row],[Building Permits]]-B603)/B603</f>
        <v>-4.2692939244663386E-2</v>
      </c>
    </row>
    <row r="605" spans="1:3" x14ac:dyDescent="0.2">
      <c r="A605" s="9">
        <v>40118</v>
      </c>
      <c r="B605" s="10">
        <f>VLOOKUP(Table2[[#This Row],[Date]],'Database New'!$A:$D,MATCH($A$1,'Database New'!$A$1:$D$1,),)</f>
        <v>623</v>
      </c>
      <c r="C605" s="30">
        <f>(Table2[[#This Row],[Building Permits]]-B604)/B604</f>
        <v>6.86106346483705E-2</v>
      </c>
    </row>
    <row r="606" spans="1:3" x14ac:dyDescent="0.2">
      <c r="A606" s="9">
        <v>40148</v>
      </c>
      <c r="B606" s="10">
        <f>VLOOKUP(Table2[[#This Row],[Date]],'Database New'!$A:$D,MATCH($A$1,'Database New'!$A$1:$D$1,),)</f>
        <v>664</v>
      </c>
      <c r="C606" s="30">
        <f>(Table2[[#This Row],[Building Permits]]-B605)/B605</f>
        <v>6.5810593900481537E-2</v>
      </c>
    </row>
    <row r="607" spans="1:3" x14ac:dyDescent="0.2">
      <c r="A607" s="9">
        <v>40179</v>
      </c>
      <c r="B607" s="10">
        <f>VLOOKUP(Table2[[#This Row],[Date]],'Database New'!$A:$D,MATCH($A$1,'Database New'!$A$1:$D$1,),)</f>
        <v>636</v>
      </c>
      <c r="C607" s="30">
        <f>(Table2[[#This Row],[Building Permits]]-B606)/B606</f>
        <v>-4.2168674698795178E-2</v>
      </c>
    </row>
    <row r="608" spans="1:3" x14ac:dyDescent="0.2">
      <c r="A608" s="9">
        <v>40210</v>
      </c>
      <c r="B608" s="10">
        <f>VLOOKUP(Table2[[#This Row],[Date]],'Database New'!$A:$D,MATCH($A$1,'Database New'!$A$1:$D$1,),)</f>
        <v>650</v>
      </c>
      <c r="C608" s="30">
        <f>(Table2[[#This Row],[Building Permits]]-B607)/B607</f>
        <v>2.20125786163522E-2</v>
      </c>
    </row>
    <row r="609" spans="1:3" x14ac:dyDescent="0.2">
      <c r="A609" s="9">
        <v>40238</v>
      </c>
      <c r="B609" s="10">
        <f>VLOOKUP(Table2[[#This Row],[Date]],'Database New'!$A:$D,MATCH($A$1,'Database New'!$A$1:$D$1,),)</f>
        <v>687</v>
      </c>
      <c r="C609" s="30">
        <f>(Table2[[#This Row],[Building Permits]]-B608)/B608</f>
        <v>5.6923076923076923E-2</v>
      </c>
    </row>
    <row r="610" spans="1:3" x14ac:dyDescent="0.2">
      <c r="A610" s="9">
        <v>40269</v>
      </c>
      <c r="B610" s="10">
        <f>VLOOKUP(Table2[[#This Row],[Date]],'Database New'!$A:$D,MATCH($A$1,'Database New'!$A$1:$D$1,),)</f>
        <v>637</v>
      </c>
      <c r="C610" s="30">
        <f>(Table2[[#This Row],[Building Permits]]-B609)/B609</f>
        <v>-7.2780203784570591E-2</v>
      </c>
    </row>
    <row r="611" spans="1:3" x14ac:dyDescent="0.2">
      <c r="A611" s="9">
        <v>40299</v>
      </c>
      <c r="B611" s="10">
        <f>VLOOKUP(Table2[[#This Row],[Date]],'Database New'!$A:$D,MATCH($A$1,'Database New'!$A$1:$D$1,),)</f>
        <v>575</v>
      </c>
      <c r="C611" s="30">
        <f>(Table2[[#This Row],[Building Permits]]-B610)/B610</f>
        <v>-9.7331240188383045E-2</v>
      </c>
    </row>
    <row r="612" spans="1:3" x14ac:dyDescent="0.2">
      <c r="A612" s="9">
        <v>40330</v>
      </c>
      <c r="B612" s="10">
        <f>VLOOKUP(Table2[[#This Row],[Date]],'Database New'!$A:$D,MATCH($A$1,'Database New'!$A$1:$D$1,),)</f>
        <v>587</v>
      </c>
      <c r="C612" s="30">
        <f>(Table2[[#This Row],[Building Permits]]-B611)/B611</f>
        <v>2.0869565217391306E-2</v>
      </c>
    </row>
    <row r="613" spans="1:3" x14ac:dyDescent="0.2">
      <c r="A613" s="9">
        <v>40360</v>
      </c>
      <c r="B613" s="10">
        <f>VLOOKUP(Table2[[#This Row],[Date]],'Database New'!$A:$D,MATCH($A$1,'Database New'!$A$1:$D$1,),)</f>
        <v>579</v>
      </c>
      <c r="C613" s="30">
        <f>(Table2[[#This Row],[Building Permits]]-B612)/B612</f>
        <v>-1.3628620102214651E-2</v>
      </c>
    </row>
    <row r="614" spans="1:3" x14ac:dyDescent="0.2">
      <c r="A614" s="9">
        <v>40391</v>
      </c>
      <c r="B614" s="10">
        <f>VLOOKUP(Table2[[#This Row],[Date]],'Database New'!$A:$D,MATCH($A$1,'Database New'!$A$1:$D$1,),)</f>
        <v>580</v>
      </c>
      <c r="C614" s="30">
        <f>(Table2[[#This Row],[Building Permits]]-B613)/B613</f>
        <v>1.7271157167530224E-3</v>
      </c>
    </row>
    <row r="615" spans="1:3" x14ac:dyDescent="0.2">
      <c r="A615" s="9">
        <v>40422</v>
      </c>
      <c r="B615" s="10">
        <f>VLOOKUP(Table2[[#This Row],[Date]],'Database New'!$A:$D,MATCH($A$1,'Database New'!$A$1:$D$1,),)</f>
        <v>563</v>
      </c>
      <c r="C615" s="30">
        <f>(Table2[[#This Row],[Building Permits]]-B614)/B614</f>
        <v>-2.9310344827586206E-2</v>
      </c>
    </row>
    <row r="616" spans="1:3" x14ac:dyDescent="0.2">
      <c r="A616" s="9">
        <v>40452</v>
      </c>
      <c r="B616" s="10">
        <f>VLOOKUP(Table2[[#This Row],[Date]],'Database New'!$A:$D,MATCH($A$1,'Database New'!$A$1:$D$1,),)</f>
        <v>558</v>
      </c>
      <c r="C616" s="30">
        <f>(Table2[[#This Row],[Building Permits]]-B615)/B615</f>
        <v>-8.8809946714031966E-3</v>
      </c>
    </row>
    <row r="617" spans="1:3" x14ac:dyDescent="0.2">
      <c r="A617" s="9">
        <v>40483</v>
      </c>
      <c r="B617" s="10">
        <f>VLOOKUP(Table2[[#This Row],[Date]],'Database New'!$A:$D,MATCH($A$1,'Database New'!$A$1:$D$1,),)</f>
        <v>560</v>
      </c>
      <c r="C617" s="30">
        <f>(Table2[[#This Row],[Building Permits]]-B616)/B616</f>
        <v>3.5842293906810036E-3</v>
      </c>
    </row>
    <row r="618" spans="1:3" x14ac:dyDescent="0.2">
      <c r="A618" s="9">
        <v>40513</v>
      </c>
      <c r="B618" s="10">
        <f>VLOOKUP(Table2[[#This Row],[Date]],'Database New'!$A:$D,MATCH($A$1,'Database New'!$A$1:$D$1,),)</f>
        <v>632</v>
      </c>
      <c r="C618" s="30">
        <f>(Table2[[#This Row],[Building Permits]]-B617)/B617</f>
        <v>0.12857142857142856</v>
      </c>
    </row>
    <row r="619" spans="1:3" x14ac:dyDescent="0.2">
      <c r="A619" s="9">
        <v>40544</v>
      </c>
      <c r="B619" s="10">
        <f>VLOOKUP(Table2[[#This Row],[Date]],'Database New'!$A:$D,MATCH($A$1,'Database New'!$A$1:$D$1,),)</f>
        <v>576</v>
      </c>
      <c r="C619" s="30">
        <f>(Table2[[#This Row],[Building Permits]]-B618)/B618</f>
        <v>-8.8607594936708861E-2</v>
      </c>
    </row>
    <row r="620" spans="1:3" x14ac:dyDescent="0.2">
      <c r="A620" s="9">
        <v>40575</v>
      </c>
      <c r="B620" s="10">
        <f>VLOOKUP(Table2[[#This Row],[Date]],'Database New'!$A:$D,MATCH($A$1,'Database New'!$A$1:$D$1,),)</f>
        <v>542</v>
      </c>
      <c r="C620" s="30">
        <f>(Table2[[#This Row],[Building Permits]]-B619)/B619</f>
        <v>-5.9027777777777776E-2</v>
      </c>
    </row>
    <row r="621" spans="1:3" x14ac:dyDescent="0.2">
      <c r="A621" s="9">
        <v>40603</v>
      </c>
      <c r="B621" s="10">
        <f>VLOOKUP(Table2[[#This Row],[Date]],'Database New'!$A:$D,MATCH($A$1,'Database New'!$A$1:$D$1,),)</f>
        <v>583</v>
      </c>
      <c r="C621" s="30">
        <f>(Table2[[#This Row],[Building Permits]]-B620)/B620</f>
        <v>7.5645756457564578E-2</v>
      </c>
    </row>
    <row r="622" spans="1:3" x14ac:dyDescent="0.2">
      <c r="A622" s="9">
        <v>40634</v>
      </c>
      <c r="B622" s="10">
        <f>VLOOKUP(Table2[[#This Row],[Date]],'Database New'!$A:$D,MATCH($A$1,'Database New'!$A$1:$D$1,),)</f>
        <v>581</v>
      </c>
      <c r="C622" s="30">
        <f>(Table2[[#This Row],[Building Permits]]-B621)/B621</f>
        <v>-3.4305317324185248E-3</v>
      </c>
    </row>
    <row r="623" spans="1:3" x14ac:dyDescent="0.2">
      <c r="A623" s="9">
        <v>40664</v>
      </c>
      <c r="B623" s="10">
        <f>VLOOKUP(Table2[[#This Row],[Date]],'Database New'!$A:$D,MATCH($A$1,'Database New'!$A$1:$D$1,),)</f>
        <v>618</v>
      </c>
      <c r="C623" s="30">
        <f>(Table2[[#This Row],[Building Permits]]-B622)/B622</f>
        <v>6.3683304647160072E-2</v>
      </c>
    </row>
    <row r="624" spans="1:3" x14ac:dyDescent="0.2">
      <c r="A624" s="9">
        <v>40695</v>
      </c>
      <c r="B624" s="10">
        <f>VLOOKUP(Table2[[#This Row],[Date]],'Database New'!$A:$D,MATCH($A$1,'Database New'!$A$1:$D$1,),)</f>
        <v>636</v>
      </c>
      <c r="C624" s="30">
        <f>(Table2[[#This Row],[Building Permits]]-B623)/B623</f>
        <v>2.9126213592233011E-2</v>
      </c>
    </row>
    <row r="625" spans="1:3" x14ac:dyDescent="0.2">
      <c r="A625" s="9">
        <v>40725</v>
      </c>
      <c r="B625" s="10">
        <f>VLOOKUP(Table2[[#This Row],[Date]],'Database New'!$A:$D,MATCH($A$1,'Database New'!$A$1:$D$1,),)</f>
        <v>621</v>
      </c>
      <c r="C625" s="30">
        <f>(Table2[[#This Row],[Building Permits]]-B624)/B624</f>
        <v>-2.358490566037736E-2</v>
      </c>
    </row>
    <row r="626" spans="1:3" x14ac:dyDescent="0.2">
      <c r="A626" s="9">
        <v>40756</v>
      </c>
      <c r="B626" s="10">
        <f>VLOOKUP(Table2[[#This Row],[Date]],'Database New'!$A:$D,MATCH($A$1,'Database New'!$A$1:$D$1,),)</f>
        <v>647</v>
      </c>
      <c r="C626" s="30">
        <f>(Table2[[#This Row],[Building Permits]]-B625)/B625</f>
        <v>4.1867954911433171E-2</v>
      </c>
    </row>
    <row r="627" spans="1:3" x14ac:dyDescent="0.2">
      <c r="A627" s="9">
        <v>40787</v>
      </c>
      <c r="B627" s="10">
        <f>VLOOKUP(Table2[[#This Row],[Date]],'Database New'!$A:$D,MATCH($A$1,'Database New'!$A$1:$D$1,),)</f>
        <v>610</v>
      </c>
      <c r="C627" s="30">
        <f>(Table2[[#This Row],[Building Permits]]-B626)/B626</f>
        <v>-5.7187017001545597E-2</v>
      </c>
    </row>
    <row r="628" spans="1:3" x14ac:dyDescent="0.2">
      <c r="A628" s="9">
        <v>40817</v>
      </c>
      <c r="B628" s="10">
        <f>VLOOKUP(Table2[[#This Row],[Date]],'Database New'!$A:$D,MATCH($A$1,'Database New'!$A$1:$D$1,),)</f>
        <v>671</v>
      </c>
      <c r="C628" s="30">
        <f>(Table2[[#This Row],[Building Permits]]-B627)/B627</f>
        <v>0.1</v>
      </c>
    </row>
    <row r="629" spans="1:3" x14ac:dyDescent="0.2">
      <c r="A629" s="9">
        <v>40848</v>
      </c>
      <c r="B629" s="10">
        <f>VLOOKUP(Table2[[#This Row],[Date]],'Database New'!$A:$D,MATCH($A$1,'Database New'!$A$1:$D$1,),)</f>
        <v>706</v>
      </c>
      <c r="C629" s="30">
        <f>(Table2[[#This Row],[Building Permits]]-B628)/B628</f>
        <v>5.216095380029806E-2</v>
      </c>
    </row>
    <row r="630" spans="1:3" x14ac:dyDescent="0.2">
      <c r="A630" s="9">
        <v>40878</v>
      </c>
      <c r="B630" s="10">
        <f>VLOOKUP(Table2[[#This Row],[Date]],'Database New'!$A:$D,MATCH($A$1,'Database New'!$A$1:$D$1,),)</f>
        <v>697</v>
      </c>
      <c r="C630" s="30">
        <f>(Table2[[#This Row],[Building Permits]]-B629)/B629</f>
        <v>-1.2747875354107648E-2</v>
      </c>
    </row>
    <row r="631" spans="1:3" x14ac:dyDescent="0.2">
      <c r="A631" s="9">
        <v>40909</v>
      </c>
      <c r="B631" s="10">
        <f>VLOOKUP(Table2[[#This Row],[Date]],'Database New'!$A:$D,MATCH($A$1,'Database New'!$A$1:$D$1,),)</f>
        <v>712</v>
      </c>
      <c r="C631" s="30">
        <f>(Table2[[#This Row],[Building Permits]]-B630)/B630</f>
        <v>2.1520803443328552E-2</v>
      </c>
    </row>
    <row r="632" spans="1:3" x14ac:dyDescent="0.2">
      <c r="A632" s="9">
        <v>40940</v>
      </c>
      <c r="B632" s="10">
        <f>VLOOKUP(Table2[[#This Row],[Date]],'Database New'!$A:$D,MATCH($A$1,'Database New'!$A$1:$D$1,),)</f>
        <v>738</v>
      </c>
      <c r="C632" s="30">
        <f>(Table2[[#This Row],[Building Permits]]-B631)/B631</f>
        <v>3.6516853932584269E-2</v>
      </c>
    </row>
    <row r="633" spans="1:3" x14ac:dyDescent="0.2">
      <c r="A633" s="9">
        <v>40969</v>
      </c>
      <c r="B633" s="10">
        <f>VLOOKUP(Table2[[#This Row],[Date]],'Database New'!$A:$D,MATCH($A$1,'Database New'!$A$1:$D$1,),)</f>
        <v>806</v>
      </c>
      <c r="C633" s="30">
        <f>(Table2[[#This Row],[Building Permits]]-B632)/B632</f>
        <v>9.2140921409214094E-2</v>
      </c>
    </row>
    <row r="634" spans="1:3" x14ac:dyDescent="0.2">
      <c r="A634" s="9">
        <v>41000</v>
      </c>
      <c r="B634" s="10">
        <f>VLOOKUP(Table2[[#This Row],[Date]],'Database New'!$A:$D,MATCH($A$1,'Database New'!$A$1:$D$1,),)</f>
        <v>732</v>
      </c>
      <c r="C634" s="30">
        <f>(Table2[[#This Row],[Building Permits]]-B633)/B633</f>
        <v>-9.1811414392059559E-2</v>
      </c>
    </row>
    <row r="635" spans="1:3" x14ac:dyDescent="0.2">
      <c r="A635" s="9">
        <v>41030</v>
      </c>
      <c r="B635" s="10">
        <f>VLOOKUP(Table2[[#This Row],[Date]],'Database New'!$A:$D,MATCH($A$1,'Database New'!$A$1:$D$1,),)</f>
        <v>796</v>
      </c>
      <c r="C635" s="30">
        <f>(Table2[[#This Row],[Building Permits]]-B634)/B634</f>
        <v>8.7431693989071038E-2</v>
      </c>
    </row>
    <row r="636" spans="1:3" x14ac:dyDescent="0.2">
      <c r="A636" s="9">
        <v>41061</v>
      </c>
      <c r="B636" s="10">
        <f>VLOOKUP(Table2[[#This Row],[Date]],'Database New'!$A:$D,MATCH($A$1,'Database New'!$A$1:$D$1,),)</f>
        <v>794</v>
      </c>
      <c r="C636" s="30">
        <f>(Table2[[#This Row],[Building Permits]]-B635)/B635</f>
        <v>-2.5125628140703518E-3</v>
      </c>
    </row>
    <row r="637" spans="1:3" x14ac:dyDescent="0.2">
      <c r="A637" s="9">
        <v>41091</v>
      </c>
      <c r="B637" s="10">
        <f>VLOOKUP(Table2[[#This Row],[Date]],'Database New'!$A:$D,MATCH($A$1,'Database New'!$A$1:$D$1,),)</f>
        <v>849</v>
      </c>
      <c r="C637" s="30">
        <f>(Table2[[#This Row],[Building Permits]]-B636)/B636</f>
        <v>6.9269521410579349E-2</v>
      </c>
    </row>
    <row r="638" spans="1:3" x14ac:dyDescent="0.2">
      <c r="A638" s="9">
        <v>41122</v>
      </c>
      <c r="B638" s="10">
        <f>VLOOKUP(Table2[[#This Row],[Date]],'Database New'!$A:$D,MATCH($A$1,'Database New'!$A$1:$D$1,),)</f>
        <v>840</v>
      </c>
      <c r="C638" s="30">
        <f>(Table2[[#This Row],[Building Permits]]-B637)/B637</f>
        <v>-1.0600706713780919E-2</v>
      </c>
    </row>
    <row r="639" spans="1:3" x14ac:dyDescent="0.2">
      <c r="A639" s="9">
        <v>41153</v>
      </c>
      <c r="B639" s="10">
        <f>VLOOKUP(Table2[[#This Row],[Date]],'Database New'!$A:$D,MATCH($A$1,'Database New'!$A$1:$D$1,),)</f>
        <v>930</v>
      </c>
      <c r="C639" s="30">
        <f>(Table2[[#This Row],[Building Permits]]-B638)/B638</f>
        <v>0.10714285714285714</v>
      </c>
    </row>
    <row r="640" spans="1:3" x14ac:dyDescent="0.2">
      <c r="A640" s="9">
        <v>41183</v>
      </c>
      <c r="B640" s="10">
        <f>VLOOKUP(Table2[[#This Row],[Date]],'Database New'!$A:$D,MATCH($A$1,'Database New'!$A$1:$D$1,),)</f>
        <v>887</v>
      </c>
      <c r="C640" s="30">
        <f>(Table2[[#This Row],[Building Permits]]-B639)/B639</f>
        <v>-4.6236559139784944E-2</v>
      </c>
    </row>
    <row r="641" spans="1:3" x14ac:dyDescent="0.2">
      <c r="A641" s="9">
        <v>41214</v>
      </c>
      <c r="B641" s="10">
        <f>VLOOKUP(Table2[[#This Row],[Date]],'Database New'!$A:$D,MATCH($A$1,'Database New'!$A$1:$D$1,),)</f>
        <v>917</v>
      </c>
      <c r="C641" s="30">
        <f>(Table2[[#This Row],[Building Permits]]-B640)/B640</f>
        <v>3.3821871476888386E-2</v>
      </c>
    </row>
    <row r="642" spans="1:3" x14ac:dyDescent="0.2">
      <c r="A642" s="9">
        <v>41244</v>
      </c>
      <c r="B642" s="10">
        <f>VLOOKUP(Table2[[#This Row],[Date]],'Database New'!$A:$D,MATCH($A$1,'Database New'!$A$1:$D$1,),)</f>
        <v>941</v>
      </c>
      <c r="C642" s="30">
        <f>(Table2[[#This Row],[Building Permits]]-B641)/B641</f>
        <v>2.6172300981461286E-2</v>
      </c>
    </row>
    <row r="643" spans="1:3" x14ac:dyDescent="0.2">
      <c r="A643" s="9">
        <v>41275</v>
      </c>
      <c r="B643" s="10">
        <f>VLOOKUP(Table2[[#This Row],[Date]],'Database New'!$A:$D,MATCH($A$1,'Database New'!$A$1:$D$1,),)</f>
        <v>940</v>
      </c>
      <c r="C643" s="30">
        <f>(Table2[[#This Row],[Building Permits]]-B642)/B642</f>
        <v>-1.0626992561105207E-3</v>
      </c>
    </row>
    <row r="644" spans="1:3" x14ac:dyDescent="0.2">
      <c r="A644" s="9">
        <v>41306</v>
      </c>
      <c r="B644" s="10">
        <f>VLOOKUP(Table2[[#This Row],[Date]],'Database New'!$A:$D,MATCH($A$1,'Database New'!$A$1:$D$1,),)</f>
        <v>980</v>
      </c>
      <c r="C644" s="30">
        <f>(Table2[[#This Row],[Building Permits]]-B643)/B643</f>
        <v>4.2553191489361701E-2</v>
      </c>
    </row>
    <row r="645" spans="1:3" x14ac:dyDescent="0.2">
      <c r="A645" s="9">
        <v>41334</v>
      </c>
      <c r="B645" s="10">
        <f>VLOOKUP(Table2[[#This Row],[Date]],'Database New'!$A:$D,MATCH($A$1,'Database New'!$A$1:$D$1,),)</f>
        <v>936</v>
      </c>
      <c r="C645" s="30">
        <f>(Table2[[#This Row],[Building Permits]]-B644)/B644</f>
        <v>-4.4897959183673466E-2</v>
      </c>
    </row>
    <row r="646" spans="1:3" x14ac:dyDescent="0.2">
      <c r="A646" s="9">
        <v>41365</v>
      </c>
      <c r="B646" s="10">
        <f>VLOOKUP(Table2[[#This Row],[Date]],'Database New'!$A:$D,MATCH($A$1,'Database New'!$A$1:$D$1,),)</f>
        <v>1012</v>
      </c>
      <c r="C646" s="30">
        <f>(Table2[[#This Row],[Building Permits]]-B645)/B645</f>
        <v>8.11965811965812E-2</v>
      </c>
    </row>
    <row r="647" spans="1:3" x14ac:dyDescent="0.2">
      <c r="A647" s="9">
        <v>41395</v>
      </c>
      <c r="B647" s="10">
        <f>VLOOKUP(Table2[[#This Row],[Date]],'Database New'!$A:$D,MATCH($A$1,'Database New'!$A$1:$D$1,),)</f>
        <v>1003</v>
      </c>
      <c r="C647" s="30">
        <f>(Table2[[#This Row],[Building Permits]]-B646)/B646</f>
        <v>-8.8932806324110679E-3</v>
      </c>
    </row>
    <row r="648" spans="1:3" x14ac:dyDescent="0.2">
      <c r="A648" s="9">
        <v>41426</v>
      </c>
      <c r="B648" s="10">
        <f>VLOOKUP(Table2[[#This Row],[Date]],'Database New'!$A:$D,MATCH($A$1,'Database New'!$A$1:$D$1,),)</f>
        <v>942</v>
      </c>
      <c r="C648" s="30">
        <f>(Table2[[#This Row],[Building Permits]]-B647)/B647</f>
        <v>-6.0817547357926223E-2</v>
      </c>
    </row>
    <row r="649" spans="1:3" x14ac:dyDescent="0.2">
      <c r="A649" s="9">
        <v>41456</v>
      </c>
      <c r="B649" s="10">
        <f>VLOOKUP(Table2[[#This Row],[Date]],'Database New'!$A:$D,MATCH($A$1,'Database New'!$A$1:$D$1,),)</f>
        <v>997</v>
      </c>
      <c r="C649" s="30">
        <f>(Table2[[#This Row],[Building Permits]]-B648)/B648</f>
        <v>5.8386411889596604E-2</v>
      </c>
    </row>
    <row r="650" spans="1:3" x14ac:dyDescent="0.2">
      <c r="A650" s="9">
        <v>41487</v>
      </c>
      <c r="B650" s="10">
        <f>VLOOKUP(Table2[[#This Row],[Date]],'Database New'!$A:$D,MATCH($A$1,'Database New'!$A$1:$D$1,),)</f>
        <v>964</v>
      </c>
      <c r="C650" s="30">
        <f>(Table2[[#This Row],[Building Permits]]-B649)/B649</f>
        <v>-3.3099297893681046E-2</v>
      </c>
    </row>
    <row r="651" spans="1:3" x14ac:dyDescent="0.2">
      <c r="A651" s="9">
        <v>41518</v>
      </c>
      <c r="B651" s="10">
        <f>VLOOKUP(Table2[[#This Row],[Date]],'Database New'!$A:$D,MATCH($A$1,'Database New'!$A$1:$D$1,),)</f>
        <v>1004</v>
      </c>
      <c r="C651" s="30">
        <f>(Table2[[#This Row],[Building Permits]]-B650)/B650</f>
        <v>4.1493775933609957E-2</v>
      </c>
    </row>
    <row r="652" spans="1:3" x14ac:dyDescent="0.2">
      <c r="A652" s="9">
        <v>41548</v>
      </c>
      <c r="B652" s="10">
        <f>VLOOKUP(Table2[[#This Row],[Date]],'Database New'!$A:$D,MATCH($A$1,'Database New'!$A$1:$D$1,),)</f>
        <v>1044</v>
      </c>
      <c r="C652" s="30">
        <f>(Table2[[#This Row],[Building Permits]]-B651)/B651</f>
        <v>3.9840637450199202E-2</v>
      </c>
    </row>
    <row r="653" spans="1:3" x14ac:dyDescent="0.2">
      <c r="A653" s="9">
        <v>41579</v>
      </c>
      <c r="B653" s="10">
        <f>VLOOKUP(Table2[[#This Row],[Date]],'Database New'!$A:$D,MATCH($A$1,'Database New'!$A$1:$D$1,),)</f>
        <v>1029</v>
      </c>
      <c r="C653" s="30">
        <f>(Table2[[#This Row],[Building Permits]]-B652)/B652</f>
        <v>-1.4367816091954023E-2</v>
      </c>
    </row>
    <row r="654" spans="1:3" x14ac:dyDescent="0.2">
      <c r="A654" s="9">
        <v>41609</v>
      </c>
      <c r="B654" s="10">
        <f>VLOOKUP(Table2[[#This Row],[Date]],'Database New'!$A:$D,MATCH($A$1,'Database New'!$A$1:$D$1,),)</f>
        <v>1005</v>
      </c>
      <c r="C654" s="30">
        <f>(Table2[[#This Row],[Building Permits]]-B653)/B653</f>
        <v>-2.3323615160349854E-2</v>
      </c>
    </row>
    <row r="655" spans="1:3" x14ac:dyDescent="0.2">
      <c r="A655" s="9">
        <v>41640</v>
      </c>
      <c r="B655" s="10">
        <f>VLOOKUP(Table2[[#This Row],[Date]],'Database New'!$A:$D,MATCH($A$1,'Database New'!$A$1:$D$1,),)</f>
        <v>976</v>
      </c>
      <c r="C655" s="30">
        <f>(Table2[[#This Row],[Building Permits]]-B654)/B654</f>
        <v>-2.8855721393034824E-2</v>
      </c>
    </row>
    <row r="656" spans="1:3" x14ac:dyDescent="0.2">
      <c r="A656" s="9">
        <v>41671</v>
      </c>
      <c r="B656" s="10">
        <f>VLOOKUP(Table2[[#This Row],[Date]],'Database New'!$A:$D,MATCH($A$1,'Database New'!$A$1:$D$1,),)</f>
        <v>1039</v>
      </c>
      <c r="C656" s="30">
        <f>(Table2[[#This Row],[Building Permits]]-B655)/B655</f>
        <v>6.4549180327868855E-2</v>
      </c>
    </row>
    <row r="657" spans="1:3" x14ac:dyDescent="0.2">
      <c r="A657" s="9">
        <v>41699</v>
      </c>
      <c r="B657" s="10">
        <f>VLOOKUP(Table2[[#This Row],[Date]],'Database New'!$A:$D,MATCH($A$1,'Database New'!$A$1:$D$1,),)</f>
        <v>1067</v>
      </c>
      <c r="C657" s="30">
        <f>(Table2[[#This Row],[Building Permits]]-B656)/B656</f>
        <v>2.6948989412897015E-2</v>
      </c>
    </row>
    <row r="658" spans="1:3" x14ac:dyDescent="0.2">
      <c r="A658" s="9">
        <v>41730</v>
      </c>
      <c r="B658" s="10">
        <f>VLOOKUP(Table2[[#This Row],[Date]],'Database New'!$A:$D,MATCH($A$1,'Database New'!$A$1:$D$1,),)</f>
        <v>1090</v>
      </c>
      <c r="C658" s="30">
        <f>(Table2[[#This Row],[Building Permits]]-B657)/B657</f>
        <v>2.1555763823805061E-2</v>
      </c>
    </row>
    <row r="659" spans="1:3" x14ac:dyDescent="0.2">
      <c r="A659" s="9">
        <v>41760</v>
      </c>
      <c r="B659" s="10">
        <f>VLOOKUP(Table2[[#This Row],[Date]],'Database New'!$A:$D,MATCH($A$1,'Database New'!$A$1:$D$1,),)</f>
        <v>1018</v>
      </c>
      <c r="C659" s="30">
        <f>(Table2[[#This Row],[Building Permits]]-B658)/B658</f>
        <v>-6.6055045871559637E-2</v>
      </c>
    </row>
    <row r="660" spans="1:3" x14ac:dyDescent="0.2">
      <c r="A660" s="9">
        <v>41791</v>
      </c>
      <c r="B660" s="10">
        <f>VLOOKUP(Table2[[#This Row],[Date]],'Database New'!$A:$D,MATCH($A$1,'Database New'!$A$1:$D$1,),)</f>
        <v>1010</v>
      </c>
      <c r="C660" s="30">
        <f>(Table2[[#This Row],[Building Permits]]-B659)/B659</f>
        <v>-7.8585461689587421E-3</v>
      </c>
    </row>
    <row r="661" spans="1:3" x14ac:dyDescent="0.2">
      <c r="A661" s="9">
        <v>41821</v>
      </c>
      <c r="B661" s="10">
        <f>VLOOKUP(Table2[[#This Row],[Date]],'Database New'!$A:$D,MATCH($A$1,'Database New'!$A$1:$D$1,),)</f>
        <v>1076</v>
      </c>
      <c r="C661" s="30">
        <f>(Table2[[#This Row],[Building Permits]]-B660)/B660</f>
        <v>6.5346534653465349E-2</v>
      </c>
    </row>
    <row r="662" spans="1:3" x14ac:dyDescent="0.2">
      <c r="A662" s="9">
        <v>41852</v>
      </c>
      <c r="B662" s="10">
        <f>VLOOKUP(Table2[[#This Row],[Date]],'Database New'!$A:$D,MATCH($A$1,'Database New'!$A$1:$D$1,),)</f>
        <v>1047</v>
      </c>
      <c r="C662" s="30">
        <f>(Table2[[#This Row],[Building Permits]]-B661)/B661</f>
        <v>-2.6951672862453532E-2</v>
      </c>
    </row>
    <row r="663" spans="1:3" x14ac:dyDescent="0.2">
      <c r="A663" s="9">
        <v>41883</v>
      </c>
      <c r="B663" s="10">
        <f>VLOOKUP(Table2[[#This Row],[Date]],'Database New'!$A:$D,MATCH($A$1,'Database New'!$A$1:$D$1,),)</f>
        <v>1077</v>
      </c>
      <c r="C663" s="30">
        <f>(Table2[[#This Row],[Building Permits]]-B662)/B662</f>
        <v>2.865329512893983E-2</v>
      </c>
    </row>
    <row r="664" spans="1:3" x14ac:dyDescent="0.2">
      <c r="A664" s="9">
        <v>41913</v>
      </c>
      <c r="B664" s="10">
        <f>VLOOKUP(Table2[[#This Row],[Date]],'Database New'!$A:$D,MATCH($A$1,'Database New'!$A$1:$D$1,),)</f>
        <v>1094</v>
      </c>
      <c r="C664" s="30">
        <f>(Table2[[#This Row],[Building Permits]]-B663)/B663</f>
        <v>1.5784586815227482E-2</v>
      </c>
    </row>
    <row r="665" spans="1:3" x14ac:dyDescent="0.2">
      <c r="A665" s="9">
        <v>41944</v>
      </c>
      <c r="B665" s="10">
        <f>VLOOKUP(Table2[[#This Row],[Date]],'Database New'!$A:$D,MATCH($A$1,'Database New'!$A$1:$D$1,),)</f>
        <v>1059</v>
      </c>
      <c r="C665" s="30">
        <f>(Table2[[#This Row],[Building Permits]]-B664)/B664</f>
        <v>-3.1992687385740404E-2</v>
      </c>
    </row>
    <row r="666" spans="1:3" x14ac:dyDescent="0.2">
      <c r="A666" s="9">
        <v>41974</v>
      </c>
      <c r="B666" s="10">
        <f>VLOOKUP(Table2[[#This Row],[Date]],'Database New'!$A:$D,MATCH($A$1,'Database New'!$A$1:$D$1,),)</f>
        <v>1072</v>
      </c>
      <c r="C666" s="30">
        <f>(Table2[[#This Row],[Building Permits]]-B665)/B665</f>
        <v>1.2275731822474031E-2</v>
      </c>
    </row>
    <row r="667" spans="1:3" x14ac:dyDescent="0.2">
      <c r="A667" s="9">
        <v>42005</v>
      </c>
      <c r="B667" s="10">
        <f>VLOOKUP(Table2[[#This Row],[Date]],'Database New'!$A:$D,MATCH($A$1,'Database New'!$A$1:$D$1,),)</f>
        <v>1049</v>
      </c>
      <c r="C667" s="30">
        <f>(Table2[[#This Row],[Building Permits]]-B666)/B666</f>
        <v>-2.1455223880597014E-2</v>
      </c>
    </row>
    <row r="668" spans="1:3" x14ac:dyDescent="0.2">
      <c r="A668" s="9">
        <v>42036</v>
      </c>
      <c r="B668" s="10">
        <f>VLOOKUP(Table2[[#This Row],[Date]],'Database New'!$A:$D,MATCH($A$1,'Database New'!$A$1:$D$1,),)</f>
        <v>1127</v>
      </c>
      <c r="C668" s="30">
        <f>(Table2[[#This Row],[Building Permits]]-B667)/B667</f>
        <v>7.4356530028598669E-2</v>
      </c>
    </row>
    <row r="669" spans="1:3" x14ac:dyDescent="0.2">
      <c r="A669" s="9">
        <v>42064</v>
      </c>
      <c r="B669" s="10">
        <f>VLOOKUP(Table2[[#This Row],[Date]],'Database New'!$A:$D,MATCH($A$1,'Database New'!$A$1:$D$1,),)</f>
        <v>1072</v>
      </c>
      <c r="C669" s="30">
        <f>(Table2[[#This Row],[Building Permits]]-B668)/B668</f>
        <v>-4.8802129547471165E-2</v>
      </c>
    </row>
    <row r="670" spans="1:3" x14ac:dyDescent="0.2">
      <c r="A670" s="9">
        <v>42095</v>
      </c>
      <c r="B670" s="10">
        <f>VLOOKUP(Table2[[#This Row],[Date]],'Database New'!$A:$D,MATCH($A$1,'Database New'!$A$1:$D$1,),)</f>
        <v>1166</v>
      </c>
      <c r="C670" s="30">
        <f>(Table2[[#This Row],[Building Permits]]-B669)/B669</f>
        <v>8.7686567164179108E-2</v>
      </c>
    </row>
    <row r="671" spans="1:3" x14ac:dyDescent="0.2">
      <c r="A671" s="9">
        <v>42125</v>
      </c>
      <c r="B671" s="10">
        <f>VLOOKUP(Table2[[#This Row],[Date]],'Database New'!$A:$D,MATCH($A$1,'Database New'!$A$1:$D$1,),)</f>
        <v>1272</v>
      </c>
      <c r="C671" s="30">
        <f>(Table2[[#This Row],[Building Permits]]-B670)/B670</f>
        <v>9.0909090909090912E-2</v>
      </c>
    </row>
    <row r="672" spans="1:3" x14ac:dyDescent="0.2">
      <c r="A672" s="9">
        <v>42156</v>
      </c>
      <c r="B672" s="10">
        <f>VLOOKUP(Table2[[#This Row],[Date]],'Database New'!$A:$D,MATCH($A$1,'Database New'!$A$1:$D$1,),)</f>
        <v>1379</v>
      </c>
      <c r="C672" s="30">
        <f>(Table2[[#This Row],[Building Permits]]-B671)/B671</f>
        <v>8.4119496855345907E-2</v>
      </c>
    </row>
    <row r="673" spans="1:3" x14ac:dyDescent="0.2">
      <c r="A673" s="9">
        <v>42186</v>
      </c>
      <c r="B673" s="10">
        <f>VLOOKUP(Table2[[#This Row],[Date]],'Database New'!$A:$D,MATCH($A$1,'Database New'!$A$1:$D$1,),)</f>
        <v>1140</v>
      </c>
      <c r="C673" s="30">
        <f>(Table2[[#This Row],[Building Permits]]-B672)/B672</f>
        <v>-0.17331399564902103</v>
      </c>
    </row>
    <row r="674" spans="1:3" x14ac:dyDescent="0.2">
      <c r="A674" s="9">
        <v>42217</v>
      </c>
      <c r="B674" s="10">
        <f>VLOOKUP(Table2[[#This Row],[Date]],'Database New'!$A:$D,MATCH($A$1,'Database New'!$A$1:$D$1,),)</f>
        <v>1165</v>
      </c>
      <c r="C674" s="30">
        <f>(Table2[[#This Row],[Building Permits]]-B673)/B673</f>
        <v>2.1929824561403508E-2</v>
      </c>
    </row>
    <row r="675" spans="1:3" x14ac:dyDescent="0.2">
      <c r="A675" s="9">
        <v>42248</v>
      </c>
      <c r="B675" s="10">
        <f>VLOOKUP(Table2[[#This Row],[Date]],'Database New'!$A:$D,MATCH($A$1,'Database New'!$A$1:$D$1,),)</f>
        <v>1144</v>
      </c>
      <c r="C675" s="30">
        <f>(Table2[[#This Row],[Building Permits]]-B674)/B674</f>
        <v>-1.8025751072961373E-2</v>
      </c>
    </row>
    <row r="676" spans="1:3" x14ac:dyDescent="0.2">
      <c r="A676" s="9">
        <v>42278</v>
      </c>
      <c r="B676" s="10">
        <f>VLOOKUP(Table2[[#This Row],[Date]],'Database New'!$A:$D,MATCH($A$1,'Database New'!$A$1:$D$1,),)</f>
        <v>1160</v>
      </c>
      <c r="C676" s="30">
        <f>(Table2[[#This Row],[Building Permits]]-B675)/B675</f>
        <v>1.3986013986013986E-2</v>
      </c>
    </row>
    <row r="677" spans="1:3" x14ac:dyDescent="0.2">
      <c r="A677" s="9">
        <v>42309</v>
      </c>
      <c r="B677" s="10">
        <f>VLOOKUP(Table2[[#This Row],[Date]],'Database New'!$A:$D,MATCH($A$1,'Database New'!$A$1:$D$1,),)</f>
        <v>1244</v>
      </c>
      <c r="C677" s="30">
        <f>(Table2[[#This Row],[Building Permits]]-B676)/B676</f>
        <v>7.2413793103448282E-2</v>
      </c>
    </row>
    <row r="678" spans="1:3" x14ac:dyDescent="0.2">
      <c r="A678" s="9">
        <v>42339</v>
      </c>
      <c r="B678" s="10">
        <f>VLOOKUP(Table2[[#This Row],[Date]],'Database New'!$A:$D,MATCH($A$1,'Database New'!$A$1:$D$1,),)</f>
        <v>1212</v>
      </c>
      <c r="C678" s="30">
        <f>(Table2[[#This Row],[Building Permits]]-B677)/B677</f>
        <v>-2.5723472668810289E-2</v>
      </c>
    </row>
    <row r="679" spans="1:3" x14ac:dyDescent="0.2">
      <c r="A679" s="9">
        <v>42370</v>
      </c>
      <c r="B679" s="10">
        <f>VLOOKUP(Table2[[#This Row],[Date]],'Database New'!$A:$D,MATCH($A$1,'Database New'!$A$1:$D$1,),)</f>
        <v>1161</v>
      </c>
      <c r="C679" s="30">
        <f>(Table2[[#This Row],[Building Permits]]-B678)/B678</f>
        <v>-4.2079207920792082E-2</v>
      </c>
    </row>
    <row r="680" spans="1:3" x14ac:dyDescent="0.2">
      <c r="A680" s="9">
        <v>42401</v>
      </c>
      <c r="B680" s="10">
        <f>VLOOKUP(Table2[[#This Row],[Date]],'Database New'!$A:$D,MATCH($A$1,'Database New'!$A$1:$D$1,),)</f>
        <v>1187</v>
      </c>
      <c r="C680" s="30">
        <f>(Table2[[#This Row],[Building Permits]]-B679)/B679</f>
        <v>2.2394487510766579E-2</v>
      </c>
    </row>
    <row r="681" spans="1:3" x14ac:dyDescent="0.2">
      <c r="A681" s="9">
        <v>42430</v>
      </c>
      <c r="B681" s="10">
        <f>VLOOKUP(Table2[[#This Row],[Date]],'Database New'!$A:$D,MATCH($A$1,'Database New'!$A$1:$D$1,),)</f>
        <v>1114</v>
      </c>
      <c r="C681" s="30">
        <f>(Table2[[#This Row],[Building Permits]]-B680)/B680</f>
        <v>-6.1499578770008424E-2</v>
      </c>
    </row>
    <row r="682" spans="1:3" x14ac:dyDescent="0.2">
      <c r="A682" s="9">
        <v>42461</v>
      </c>
      <c r="B682" s="10">
        <f>VLOOKUP(Table2[[#This Row],[Date]],'Database New'!$A:$D,MATCH($A$1,'Database New'!$A$1:$D$1,),)</f>
        <v>1158</v>
      </c>
      <c r="C682" s="30">
        <f>(Table2[[#This Row],[Building Permits]]-B681)/B681</f>
        <v>3.949730700179533E-2</v>
      </c>
    </row>
    <row r="683" spans="1:3" x14ac:dyDescent="0.2">
      <c r="A683" s="9">
        <v>42491</v>
      </c>
      <c r="B683" s="10">
        <f>VLOOKUP(Table2[[#This Row],[Date]],'Database New'!$A:$D,MATCH($A$1,'Database New'!$A$1:$D$1,),)</f>
        <v>1196</v>
      </c>
      <c r="C683" s="30">
        <f>(Table2[[#This Row],[Building Permits]]-B682)/B682</f>
        <v>3.281519861830743E-2</v>
      </c>
    </row>
    <row r="684" spans="1:3" x14ac:dyDescent="0.2">
      <c r="A684" s="9">
        <v>42522</v>
      </c>
      <c r="B684" s="10">
        <f>VLOOKUP(Table2[[#This Row],[Date]],'Database New'!$A:$D,MATCH($A$1,'Database New'!$A$1:$D$1,),)</f>
        <v>1208</v>
      </c>
      <c r="C684" s="30">
        <f>(Table2[[#This Row],[Building Permits]]-B683)/B683</f>
        <v>1.0033444816053512E-2</v>
      </c>
    </row>
    <row r="685" spans="1:3" x14ac:dyDescent="0.2">
      <c r="A685" s="9">
        <v>42552</v>
      </c>
      <c r="B685" s="10">
        <f>VLOOKUP(Table2[[#This Row],[Date]],'Database New'!$A:$D,MATCH($A$1,'Database New'!$A$1:$D$1,),)</f>
        <v>1190</v>
      </c>
      <c r="C685" s="30">
        <f>(Table2[[#This Row],[Building Permits]]-B684)/B684</f>
        <v>-1.4900662251655629E-2</v>
      </c>
    </row>
    <row r="686" spans="1:3" x14ac:dyDescent="0.2">
      <c r="A686" s="9">
        <v>42583</v>
      </c>
      <c r="B686" s="10">
        <f>VLOOKUP(Table2[[#This Row],[Date]],'Database New'!$A:$D,MATCH($A$1,'Database New'!$A$1:$D$1,),)</f>
        <v>1205</v>
      </c>
      <c r="C686" s="30">
        <f>(Table2[[#This Row],[Building Permits]]-B685)/B685</f>
        <v>1.2605042016806723E-2</v>
      </c>
    </row>
    <row r="687" spans="1:3" x14ac:dyDescent="0.2">
      <c r="A687" s="9">
        <v>42614</v>
      </c>
      <c r="B687" s="10">
        <f>VLOOKUP(Table2[[#This Row],[Date]],'Database New'!$A:$D,MATCH($A$1,'Database New'!$A$1:$D$1,),)</f>
        <v>1280</v>
      </c>
      <c r="C687" s="30">
        <f>(Table2[[#This Row],[Building Permits]]-B686)/B686</f>
        <v>6.2240663900414939E-2</v>
      </c>
    </row>
    <row r="688" spans="1:3" x14ac:dyDescent="0.2">
      <c r="A688" s="9">
        <v>42644</v>
      </c>
      <c r="B688" s="10">
        <f>VLOOKUP(Table2[[#This Row],[Date]],'Database New'!$A:$D,MATCH($A$1,'Database New'!$A$1:$D$1,),)</f>
        <v>1278</v>
      </c>
      <c r="C688" s="30">
        <f>(Table2[[#This Row],[Building Permits]]-B687)/B687</f>
        <v>-1.5625000000000001E-3</v>
      </c>
    </row>
    <row r="689" spans="1:3" x14ac:dyDescent="0.2">
      <c r="A689" s="9">
        <v>42675</v>
      </c>
      <c r="B689" s="10">
        <f>VLOOKUP(Table2[[#This Row],[Date]],'Database New'!$A:$D,MATCH($A$1,'Database New'!$A$1:$D$1,),)</f>
        <v>1236</v>
      </c>
      <c r="C689" s="30">
        <f>(Table2[[#This Row],[Building Permits]]-B688)/B688</f>
        <v>-3.2863849765258218E-2</v>
      </c>
    </row>
    <row r="690" spans="1:3" x14ac:dyDescent="0.2">
      <c r="A690" s="9">
        <v>42705</v>
      </c>
      <c r="B690" s="10">
        <f>VLOOKUP(Table2[[#This Row],[Date]],'Database New'!$A:$D,MATCH($A$1,'Database New'!$A$1:$D$1,),)</f>
        <v>1252</v>
      </c>
      <c r="C690" s="30">
        <f>(Table2[[#This Row],[Building Permits]]-B689)/B689</f>
        <v>1.2944983818770227E-2</v>
      </c>
    </row>
    <row r="691" spans="1:3" x14ac:dyDescent="0.2">
      <c r="A691" s="9">
        <v>42736</v>
      </c>
      <c r="B691" s="10">
        <f>VLOOKUP(Table2[[#This Row],[Date]],'Database New'!$A:$D,MATCH($A$1,'Database New'!$A$1:$D$1,),)</f>
        <v>1301</v>
      </c>
      <c r="C691" s="30">
        <f>(Table2[[#This Row],[Building Permits]]-B690)/B690</f>
        <v>3.9137380191693293E-2</v>
      </c>
    </row>
    <row r="692" spans="1:3" x14ac:dyDescent="0.2">
      <c r="A692" s="9">
        <v>42767</v>
      </c>
      <c r="B692" s="10">
        <f>VLOOKUP(Table2[[#This Row],[Date]],'Database New'!$A:$D,MATCH($A$1,'Database New'!$A$1:$D$1,),)</f>
        <v>1240</v>
      </c>
      <c r="C692" s="30">
        <f>(Table2[[#This Row],[Building Permits]]-B691)/B691</f>
        <v>-4.6887009992313607E-2</v>
      </c>
    </row>
    <row r="693" spans="1:3" x14ac:dyDescent="0.2">
      <c r="A693" s="9">
        <v>42795</v>
      </c>
      <c r="B693" s="10">
        <f>VLOOKUP(Table2[[#This Row],[Date]],'Database New'!$A:$D,MATCH($A$1,'Database New'!$A$1:$D$1,),)</f>
        <v>1285</v>
      </c>
      <c r="C693" s="30">
        <f>(Table2[[#This Row],[Building Permits]]-B692)/B692</f>
        <v>3.6290322580645164E-2</v>
      </c>
    </row>
    <row r="694" spans="1:3" x14ac:dyDescent="0.2">
      <c r="A694" s="9">
        <v>42826</v>
      </c>
      <c r="B694" s="10">
        <f>VLOOKUP(Table2[[#This Row],[Date]],'Database New'!$A:$D,MATCH($A$1,'Database New'!$A$1:$D$1,),)</f>
        <v>1258</v>
      </c>
      <c r="C694" s="30">
        <f>(Table2[[#This Row],[Building Permits]]-B693)/B693</f>
        <v>-2.1011673151750974E-2</v>
      </c>
    </row>
    <row r="695" spans="1:3" x14ac:dyDescent="0.2">
      <c r="A695" s="9">
        <v>42856</v>
      </c>
      <c r="B695" s="10">
        <f>VLOOKUP(Table2[[#This Row],[Date]],'Database New'!$A:$D,MATCH($A$1,'Database New'!$A$1:$D$1,),)</f>
        <v>1209</v>
      </c>
      <c r="C695" s="30">
        <f>(Table2[[#This Row],[Building Permits]]-B694)/B694</f>
        <v>-3.8950715421303655E-2</v>
      </c>
    </row>
    <row r="696" spans="1:3" x14ac:dyDescent="0.2">
      <c r="A696" s="9">
        <v>42887</v>
      </c>
      <c r="B696" s="10">
        <f>VLOOKUP(Table2[[#This Row],[Date]],'Database New'!$A:$D,MATCH($A$1,'Database New'!$A$1:$D$1,),)</f>
        <v>1329</v>
      </c>
      <c r="C696" s="30">
        <f>(Table2[[#This Row],[Building Permits]]-B695)/B695</f>
        <v>9.9255583126550875E-2</v>
      </c>
    </row>
    <row r="697" spans="1:3" x14ac:dyDescent="0.2">
      <c r="A697" s="9">
        <v>42917</v>
      </c>
      <c r="B697" s="10">
        <f>VLOOKUP(Table2[[#This Row],[Date]],'Database New'!$A:$D,MATCH($A$1,'Database New'!$A$1:$D$1,),)</f>
        <v>1264</v>
      </c>
      <c r="C697" s="30">
        <f>(Table2[[#This Row],[Building Permits]]-B696)/B696</f>
        <v>-4.8908954100827691E-2</v>
      </c>
    </row>
    <row r="698" spans="1:3" x14ac:dyDescent="0.2">
      <c r="A698" s="9">
        <v>42948</v>
      </c>
      <c r="B698" s="10">
        <f>VLOOKUP(Table2[[#This Row],[Date]],'Database New'!$A:$D,MATCH($A$1,'Database New'!$A$1:$D$1,),)</f>
        <v>1314</v>
      </c>
      <c r="C698" s="30">
        <f>(Table2[[#This Row],[Building Permits]]-B697)/B697</f>
        <v>3.9556962025316458E-2</v>
      </c>
    </row>
    <row r="699" spans="1:3" x14ac:dyDescent="0.2">
      <c r="A699" s="9">
        <v>42979</v>
      </c>
      <c r="B699" s="10">
        <f>VLOOKUP(Table2[[#This Row],[Date]],'Database New'!$A:$D,MATCH($A$1,'Database New'!$A$1:$D$1,),)</f>
        <v>1257</v>
      </c>
      <c r="C699" s="30">
        <f>(Table2[[#This Row],[Building Permits]]-B698)/B698</f>
        <v>-4.3378995433789952E-2</v>
      </c>
    </row>
    <row r="700" spans="1:3" x14ac:dyDescent="0.2">
      <c r="A700" s="9">
        <v>43009</v>
      </c>
      <c r="B700" s="10">
        <f>VLOOKUP(Table2[[#This Row],[Date]],'Database New'!$A:$D,MATCH($A$1,'Database New'!$A$1:$D$1,),)</f>
        <v>1346</v>
      </c>
      <c r="C700" s="30">
        <f>(Table2[[#This Row],[Building Permits]]-B699)/B699</f>
        <v>7.0803500397772473E-2</v>
      </c>
    </row>
    <row r="701" spans="1:3" x14ac:dyDescent="0.2">
      <c r="A701" s="9">
        <v>43040</v>
      </c>
      <c r="B701" s="10">
        <f>VLOOKUP(Table2[[#This Row],[Date]],'Database New'!$A:$D,MATCH($A$1,'Database New'!$A$1:$D$1,),)</f>
        <v>1302</v>
      </c>
      <c r="C701" s="30">
        <f>(Table2[[#This Row],[Building Permits]]-B700)/B700</f>
        <v>-3.2689450222882617E-2</v>
      </c>
    </row>
    <row r="702" spans="1:3" x14ac:dyDescent="0.2">
      <c r="A702" s="9">
        <v>43070</v>
      </c>
      <c r="B702" s="10">
        <f>VLOOKUP(Table2[[#This Row],[Date]],'Database New'!$A:$D,MATCH($A$1,'Database New'!$A$1:$D$1,),)</f>
        <v>1309</v>
      </c>
      <c r="C702" s="30">
        <f>(Table2[[#This Row],[Building Permits]]-B701)/B701</f>
        <v>5.3763440860215058E-3</v>
      </c>
    </row>
    <row r="703" spans="1:3" x14ac:dyDescent="0.2">
      <c r="A703" s="9">
        <v>43101</v>
      </c>
      <c r="B703" s="10">
        <f>VLOOKUP(Table2[[#This Row],[Date]],'Database New'!$A:$D,MATCH($A$1,'Database New'!$A$1:$D$1,),)</f>
        <v>1352</v>
      </c>
      <c r="C703" s="30">
        <f>(Table2[[#This Row],[Building Permits]]-B702)/B702</f>
        <v>3.2849503437738729E-2</v>
      </c>
    </row>
    <row r="704" spans="1:3" x14ac:dyDescent="0.2">
      <c r="A704" s="9">
        <v>43132</v>
      </c>
      <c r="B704" s="10">
        <f>VLOOKUP(Table2[[#This Row],[Date]],'Database New'!$A:$D,MATCH($A$1,'Database New'!$A$1:$D$1,),)</f>
        <v>1332</v>
      </c>
      <c r="C704" s="30">
        <f>(Table2[[#This Row],[Building Permits]]-B703)/B703</f>
        <v>-1.4792899408284023E-2</v>
      </c>
    </row>
    <row r="705" spans="1:3" x14ac:dyDescent="0.2">
      <c r="A705" s="9">
        <v>43160</v>
      </c>
      <c r="B705" s="10">
        <f>VLOOKUP(Table2[[#This Row],[Date]],'Database New'!$A:$D,MATCH($A$1,'Database New'!$A$1:$D$1,),)</f>
        <v>1407</v>
      </c>
      <c r="C705" s="30">
        <f>(Table2[[#This Row],[Building Permits]]-B704)/B704</f>
        <v>5.6306306306306307E-2</v>
      </c>
    </row>
    <row r="706" spans="1:3" x14ac:dyDescent="0.2">
      <c r="A706" s="9">
        <v>43191</v>
      </c>
      <c r="B706" s="10">
        <f>VLOOKUP(Table2[[#This Row],[Date]],'Database New'!$A:$D,MATCH($A$1,'Database New'!$A$1:$D$1,),)</f>
        <v>1391</v>
      </c>
      <c r="C706" s="30">
        <f>(Table2[[#This Row],[Building Permits]]-B705)/B705</f>
        <v>-1.1371712864250177E-2</v>
      </c>
    </row>
    <row r="707" spans="1:3" x14ac:dyDescent="0.2">
      <c r="A707" s="9">
        <v>43221</v>
      </c>
      <c r="B707" s="10">
        <f>VLOOKUP(Table2[[#This Row],[Date]],'Database New'!$A:$D,MATCH($A$1,'Database New'!$A$1:$D$1,),)</f>
        <v>1331</v>
      </c>
      <c r="C707" s="30">
        <f>(Table2[[#This Row],[Building Permits]]-B706)/B706</f>
        <v>-4.3134435657800146E-2</v>
      </c>
    </row>
    <row r="708" spans="1:3" x14ac:dyDescent="0.2">
      <c r="A708" s="9">
        <v>43252</v>
      </c>
      <c r="B708" s="10">
        <f>VLOOKUP(Table2[[#This Row],[Date]],'Database New'!$A:$D,MATCH($A$1,'Database New'!$A$1:$D$1,),)</f>
        <v>1320</v>
      </c>
      <c r="C708" s="30">
        <f>(Table2[[#This Row],[Building Permits]]-B707)/B707</f>
        <v>-8.2644628099173556E-3</v>
      </c>
    </row>
    <row r="709" spans="1:3" x14ac:dyDescent="0.2">
      <c r="A709" s="9">
        <v>43282</v>
      </c>
      <c r="B709" s="10">
        <f>VLOOKUP(Table2[[#This Row],[Date]],'Database New'!$A:$D,MATCH($A$1,'Database New'!$A$1:$D$1,),)</f>
        <v>1328</v>
      </c>
      <c r="C709" s="30">
        <f>(Table2[[#This Row],[Building Permits]]-B708)/B708</f>
        <v>6.0606060606060606E-3</v>
      </c>
    </row>
    <row r="710" spans="1:3" x14ac:dyDescent="0.2">
      <c r="A710" s="9">
        <v>43313</v>
      </c>
      <c r="B710" s="10">
        <f>VLOOKUP(Table2[[#This Row],[Date]],'Database New'!$A:$D,MATCH($A$1,'Database New'!$A$1:$D$1,),)</f>
        <v>1264</v>
      </c>
      <c r="C710" s="30">
        <f>(Table2[[#This Row],[Building Permits]]-B709)/B709</f>
        <v>-4.8192771084337352E-2</v>
      </c>
    </row>
    <row r="711" spans="1:3" x14ac:dyDescent="0.2">
      <c r="A711" s="9">
        <v>43344</v>
      </c>
      <c r="B711" s="10">
        <f>VLOOKUP(Table2[[#This Row],[Date]],'Database New'!$A:$D,MATCH($A$1,'Database New'!$A$1:$D$1,),)</f>
        <v>1289</v>
      </c>
      <c r="C711" s="30">
        <f>(Table2[[#This Row],[Building Permits]]-B710)/B710</f>
        <v>1.9778481012658229E-2</v>
      </c>
    </row>
    <row r="712" spans="1:3" x14ac:dyDescent="0.2">
      <c r="A712" s="9">
        <v>43374</v>
      </c>
      <c r="B712" s="10">
        <f>VLOOKUP(Table2[[#This Row],[Date]],'Database New'!$A:$D,MATCH($A$1,'Database New'!$A$1:$D$1,),)</f>
        <v>1275</v>
      </c>
      <c r="C712" s="30">
        <f>(Table2[[#This Row],[Building Permits]]-B711)/B711</f>
        <v>-1.0861132660977503E-2</v>
      </c>
    </row>
    <row r="713" spans="1:3" x14ac:dyDescent="0.2">
      <c r="A713" s="9">
        <v>43405</v>
      </c>
      <c r="B713" s="10">
        <f>VLOOKUP(Table2[[#This Row],[Date]],'Database New'!$A:$D,MATCH($A$1,'Database New'!$A$1:$D$1,),)</f>
        <v>1318</v>
      </c>
      <c r="C713" s="30">
        <f>(Table2[[#This Row],[Building Permits]]-B712)/B712</f>
        <v>3.3725490196078428E-2</v>
      </c>
    </row>
    <row r="714" spans="1:3" x14ac:dyDescent="0.2">
      <c r="A714" s="9">
        <v>43435</v>
      </c>
      <c r="B714" s="10">
        <f>VLOOKUP(Table2[[#This Row],[Date]],'Database New'!$A:$D,MATCH($A$1,'Database New'!$A$1:$D$1,),)</f>
        <v>1338</v>
      </c>
      <c r="C714" s="30">
        <f>(Table2[[#This Row],[Building Permits]]-B713)/B713</f>
        <v>1.5174506828528073E-2</v>
      </c>
    </row>
    <row r="715" spans="1:3" x14ac:dyDescent="0.2">
      <c r="A715" s="9">
        <v>43466</v>
      </c>
      <c r="B715" s="10">
        <f>VLOOKUP(Table2[[#This Row],[Date]],'Database New'!$A:$D,MATCH($A$1,'Database New'!$A$1:$D$1,),)</f>
        <v>1295</v>
      </c>
      <c r="C715" s="30">
        <f>(Table2[[#This Row],[Building Permits]]-B714)/B714</f>
        <v>-3.2137518684603884E-2</v>
      </c>
    </row>
    <row r="716" spans="1:3" x14ac:dyDescent="0.2">
      <c r="A716" s="9">
        <v>43497</v>
      </c>
      <c r="B716" s="10">
        <f>VLOOKUP(Table2[[#This Row],[Date]],'Database New'!$A:$D,MATCH($A$1,'Database New'!$A$1:$D$1,),)</f>
        <v>1304</v>
      </c>
      <c r="C716" s="30">
        <f>(Table2[[#This Row],[Building Permits]]-B715)/B715</f>
        <v>6.9498069498069494E-3</v>
      </c>
    </row>
    <row r="717" spans="1:3" x14ac:dyDescent="0.2">
      <c r="A717" s="9">
        <v>43525</v>
      </c>
      <c r="B717" s="10">
        <f>VLOOKUP(Table2[[#This Row],[Date]],'Database New'!$A:$D,MATCH($A$1,'Database New'!$A$1:$D$1,),)</f>
        <v>1316</v>
      </c>
      <c r="C717" s="30">
        <f>(Table2[[#This Row],[Building Permits]]-B716)/B716</f>
        <v>9.202453987730062E-3</v>
      </c>
    </row>
    <row r="718" spans="1:3" x14ac:dyDescent="0.2">
      <c r="A718" s="9">
        <v>43556</v>
      </c>
      <c r="B718" s="10">
        <f>VLOOKUP(Table2[[#This Row],[Date]],'Database New'!$A:$D,MATCH($A$1,'Database New'!$A$1:$D$1,),)</f>
        <v>1337</v>
      </c>
      <c r="C718" s="30">
        <f>(Table2[[#This Row],[Building Permits]]-B717)/B717</f>
        <v>1.5957446808510637E-2</v>
      </c>
    </row>
    <row r="719" spans="1:3" x14ac:dyDescent="0.2">
      <c r="A719" s="9">
        <v>43586</v>
      </c>
      <c r="B719" s="10">
        <f>VLOOKUP(Table2[[#This Row],[Date]],'Database New'!$A:$D,MATCH($A$1,'Database New'!$A$1:$D$1,),)</f>
        <v>1337</v>
      </c>
      <c r="C719" s="30">
        <f>(Table2[[#This Row],[Building Permits]]-B718)/B718</f>
        <v>0</v>
      </c>
    </row>
    <row r="720" spans="1:3" x14ac:dyDescent="0.2">
      <c r="A720" s="9">
        <v>43617</v>
      </c>
      <c r="B720" s="10">
        <f>VLOOKUP(Table2[[#This Row],[Date]],'Database New'!$A:$D,MATCH($A$1,'Database New'!$A$1:$D$1,),)</f>
        <v>1276</v>
      </c>
      <c r="C720" s="30">
        <f>(Table2[[#This Row],[Building Permits]]-B719)/B719</f>
        <v>-4.5624532535527298E-2</v>
      </c>
    </row>
    <row r="721" spans="1:3" x14ac:dyDescent="0.2">
      <c r="A721" s="9">
        <v>43647</v>
      </c>
      <c r="B721" s="10">
        <f>VLOOKUP(Table2[[#This Row],[Date]],'Database New'!$A:$D,MATCH($A$1,'Database New'!$A$1:$D$1,),)</f>
        <v>1369</v>
      </c>
      <c r="C721" s="30">
        <f>(Table2[[#This Row],[Building Permits]]-B720)/B720</f>
        <v>7.2884012539184959E-2</v>
      </c>
    </row>
    <row r="722" spans="1:3" x14ac:dyDescent="0.2">
      <c r="A722" s="9">
        <v>43678</v>
      </c>
      <c r="B722" s="10">
        <f>VLOOKUP(Table2[[#This Row],[Date]],'Database New'!$A:$D,MATCH($A$1,'Database New'!$A$1:$D$1,),)</f>
        <v>1479</v>
      </c>
      <c r="C722" s="30">
        <f>(Table2[[#This Row],[Building Permits]]-B721)/B721</f>
        <v>8.0350620891161434E-2</v>
      </c>
    </row>
    <row r="723" spans="1:3" x14ac:dyDescent="0.2">
      <c r="A723" s="9">
        <v>43709</v>
      </c>
      <c r="B723" s="10">
        <f>VLOOKUP(Table2[[#This Row],[Date]],'Database New'!$A:$D,MATCH($A$1,'Database New'!$A$1:$D$1,),)</f>
        <v>1439</v>
      </c>
      <c r="C723" s="30">
        <f>(Table2[[#This Row],[Building Permits]]-B722)/B722</f>
        <v>-2.7045300878972278E-2</v>
      </c>
    </row>
    <row r="724" spans="1:3" x14ac:dyDescent="0.2">
      <c r="A724" s="9">
        <v>43739</v>
      </c>
      <c r="B724" s="10">
        <f>VLOOKUP(Table2[[#This Row],[Date]],'Database New'!$A:$D,MATCH($A$1,'Database New'!$A$1:$D$1,),)</f>
        <v>1509</v>
      </c>
      <c r="C724" s="30">
        <f>(Table2[[#This Row],[Building Permits]]-B723)/B723</f>
        <v>4.8644892286309936E-2</v>
      </c>
    </row>
    <row r="725" spans="1:3" x14ac:dyDescent="0.2">
      <c r="A725" s="9">
        <v>43770</v>
      </c>
      <c r="B725" s="10">
        <f>VLOOKUP(Table2[[#This Row],[Date]],'Database New'!$A:$D,MATCH($A$1,'Database New'!$A$1:$D$1,),)</f>
        <v>1509</v>
      </c>
      <c r="C725" s="30">
        <f>(Table2[[#This Row],[Building Permits]]-B724)/B724</f>
        <v>0</v>
      </c>
    </row>
    <row r="726" spans="1:3" x14ac:dyDescent="0.2">
      <c r="A726" s="9">
        <v>43800</v>
      </c>
      <c r="B726" s="10">
        <f>VLOOKUP(Table2[[#This Row],[Date]],'Database New'!$A:$D,MATCH($A$1,'Database New'!$A$1:$D$1,),)</f>
        <v>1453</v>
      </c>
      <c r="C726" s="30">
        <f>(Table2[[#This Row],[Building Permits]]-B725)/B725</f>
        <v>-3.7110669317428763E-2</v>
      </c>
    </row>
    <row r="727" spans="1:3" x14ac:dyDescent="0.2">
      <c r="A727" s="9">
        <v>43831</v>
      </c>
      <c r="B727" s="10">
        <f>VLOOKUP(Table2[[#This Row],[Date]],'Database New'!$A:$D,MATCH($A$1,'Database New'!$A$1:$D$1,),)</f>
        <v>1550</v>
      </c>
      <c r="C727" s="30">
        <f>(Table2[[#This Row],[Building Permits]]-B726)/B726</f>
        <v>6.6758430832759813E-2</v>
      </c>
    </row>
    <row r="728" spans="1:3" x14ac:dyDescent="0.2">
      <c r="A728" s="9">
        <v>43862</v>
      </c>
      <c r="B728" s="10">
        <f>VLOOKUP(Table2[[#This Row],[Date]],'Database New'!$A:$D,MATCH($A$1,'Database New'!$A$1:$D$1,),)</f>
        <v>1478</v>
      </c>
      <c r="C728" s="30">
        <f>(Table2[[#This Row],[Building Permits]]-B727)/B727</f>
        <v>-4.645161290322581E-2</v>
      </c>
    </row>
    <row r="729" spans="1:3" x14ac:dyDescent="0.2">
      <c r="A729" s="9">
        <v>43891</v>
      </c>
      <c r="B729" s="10">
        <f>VLOOKUP(Table2[[#This Row],[Date]],'Database New'!$A:$D,MATCH($A$1,'Database New'!$A$1:$D$1,),)</f>
        <v>1382</v>
      </c>
      <c r="C729" s="30">
        <f>(Table2[[#This Row],[Building Permits]]-B728)/B728</f>
        <v>-6.4952638700947224E-2</v>
      </c>
    </row>
    <row r="730" spans="1:3" x14ac:dyDescent="0.2">
      <c r="A730" s="9">
        <v>43922</v>
      </c>
      <c r="B730" s="10">
        <f>VLOOKUP(Table2[[#This Row],[Date]],'Database New'!$A:$D,MATCH($A$1,'Database New'!$A$1:$D$1,),)</f>
        <v>1094</v>
      </c>
      <c r="C730" s="30">
        <f>(Table2[[#This Row],[Building Permits]]-B729)/B729</f>
        <v>-0.20839363241678727</v>
      </c>
    </row>
    <row r="731" spans="1:3" x14ac:dyDescent="0.2">
      <c r="A731" s="9">
        <v>43952</v>
      </c>
      <c r="B731" s="10">
        <f>VLOOKUP(Table2[[#This Row],[Date]],'Database New'!$A:$D,MATCH($A$1,'Database New'!$A$1:$D$1,),)</f>
        <v>1246</v>
      </c>
      <c r="C731" s="30">
        <f>(Table2[[#This Row],[Building Permits]]-B730)/B730</f>
        <v>0.13893967093235832</v>
      </c>
    </row>
    <row r="732" spans="1:3" x14ac:dyDescent="0.2">
      <c r="A732" s="9">
        <v>43983</v>
      </c>
      <c r="B732" s="10">
        <f>VLOOKUP(Table2[[#This Row],[Date]],'Database New'!$A:$D,MATCH($A$1,'Database New'!$A$1:$D$1,),)</f>
        <v>1296</v>
      </c>
      <c r="C732" s="30">
        <f>(Table2[[#This Row],[Building Permits]]-B731)/B731</f>
        <v>4.0128410914927769E-2</v>
      </c>
    </row>
    <row r="733" spans="1:3" x14ac:dyDescent="0.2">
      <c r="A733" s="9">
        <v>44013</v>
      </c>
      <c r="B733" s="10">
        <f>VLOOKUP(Table2[[#This Row],[Date]],'Database New'!$A:$D,MATCH($A$1,'Database New'!$A$1:$D$1,),)</f>
        <v>1542</v>
      </c>
      <c r="C733" s="30">
        <f>(Table2[[#This Row],[Building Permits]]-B732)/B732</f>
        <v>0.18981481481481483</v>
      </c>
    </row>
    <row r="734" spans="1:3" x14ac:dyDescent="0.2">
      <c r="A734" s="9">
        <v>44044</v>
      </c>
      <c r="B734" s="10">
        <f>VLOOKUP(Table2[[#This Row],[Date]],'Database New'!$A:$D,MATCH($A$1,'Database New'!$A$1:$D$1,),)</f>
        <v>1522</v>
      </c>
      <c r="C734" s="30">
        <f>(Table2[[#This Row],[Building Permits]]-B733)/B733</f>
        <v>-1.2970168612191959E-2</v>
      </c>
    </row>
    <row r="735" spans="1:3" x14ac:dyDescent="0.2">
      <c r="A735" s="9">
        <v>44075</v>
      </c>
      <c r="B735" s="10">
        <f>VLOOKUP(Table2[[#This Row],[Date]],'Database New'!$A:$D,MATCH($A$1,'Database New'!$A$1:$D$1,),)</f>
        <v>1589</v>
      </c>
      <c r="C735" s="30">
        <f>(Table2[[#This Row],[Building Permits]]-B734)/B734</f>
        <v>4.4021024967148492E-2</v>
      </c>
    </row>
    <row r="736" spans="1:3" x14ac:dyDescent="0.2">
      <c r="A736" s="9">
        <v>44105</v>
      </c>
      <c r="B736" s="10">
        <f>VLOOKUP(Table2[[#This Row],[Date]],'Database New'!$A:$D,MATCH($A$1,'Database New'!$A$1:$D$1,),)</f>
        <v>1595</v>
      </c>
      <c r="C736" s="30">
        <f>(Table2[[#This Row],[Building Permits]]-B735)/B735</f>
        <v>3.775959723096287E-3</v>
      </c>
    </row>
    <row r="737" spans="1:3" x14ac:dyDescent="0.2">
      <c r="A737" s="9">
        <v>44136</v>
      </c>
      <c r="B737" s="10">
        <f>VLOOKUP(Table2[[#This Row],[Date]],'Database New'!$A:$D,MATCH($A$1,'Database New'!$A$1:$D$1,),)</f>
        <v>1696</v>
      </c>
      <c r="C737" s="30">
        <f>(Table2[[#This Row],[Building Permits]]-B736)/B736</f>
        <v>6.3322884012539188E-2</v>
      </c>
    </row>
    <row r="738" spans="1:3" x14ac:dyDescent="0.2">
      <c r="A738" s="9">
        <v>44166</v>
      </c>
      <c r="B738" s="10">
        <f>VLOOKUP(Table2[[#This Row],[Date]],'Database New'!$A:$D,MATCH($A$1,'Database New'!$A$1:$D$1,),)</f>
        <v>1758</v>
      </c>
      <c r="C738" s="30">
        <f>(Table2[[#This Row],[Building Permits]]-B737)/B737</f>
        <v>3.6556603773584904E-2</v>
      </c>
    </row>
    <row r="739" spans="1:3" x14ac:dyDescent="0.2">
      <c r="A739" s="9">
        <v>44197</v>
      </c>
      <c r="B739" s="10">
        <f>VLOOKUP(Table2[[#This Row],[Date]],'Database New'!$A:$D,MATCH($A$1,'Database New'!$A$1:$D$1,),)</f>
        <v>1883</v>
      </c>
      <c r="C739" s="30">
        <f>(Table2[[#This Row],[Building Permits]]-B738)/B738</f>
        <v>7.1103526734926051E-2</v>
      </c>
    </row>
    <row r="740" spans="1:3" x14ac:dyDescent="0.2">
      <c r="A740" s="9">
        <v>44228</v>
      </c>
      <c r="B740" s="10">
        <f>VLOOKUP(Table2[[#This Row],[Date]],'Database New'!$A:$D,MATCH($A$1,'Database New'!$A$1:$D$1,),)</f>
        <v>1726</v>
      </c>
      <c r="C740" s="30">
        <f>(Table2[[#This Row],[Building Permits]]-B739)/B739</f>
        <v>-8.3377588953797127E-2</v>
      </c>
    </row>
    <row r="741" spans="1:3" x14ac:dyDescent="0.2">
      <c r="A741" s="9">
        <v>44256</v>
      </c>
      <c r="B741" s="10">
        <f>VLOOKUP(Table2[[#This Row],[Date]],'Database New'!$A:$D,MATCH($A$1,'Database New'!$A$1:$D$1,),)</f>
        <v>1755</v>
      </c>
      <c r="C741" s="30">
        <f>(Table2[[#This Row],[Building Permits]]-B740)/B740</f>
        <v>1.6801853997682505E-2</v>
      </c>
    </row>
    <row r="742" spans="1:3" x14ac:dyDescent="0.2">
      <c r="A742" s="9">
        <v>44287</v>
      </c>
      <c r="B742" s="10">
        <f>VLOOKUP(Table2[[#This Row],[Date]],'Database New'!$A:$D,MATCH($A$1,'Database New'!$A$1:$D$1,),)</f>
        <v>1733</v>
      </c>
      <c r="C742" s="30">
        <f>(Table2[[#This Row],[Building Permits]]-B741)/B741</f>
        <v>-1.2535612535612535E-2</v>
      </c>
    </row>
    <row r="743" spans="1:3" x14ac:dyDescent="0.2">
      <c r="A743" s="9">
        <v>44317</v>
      </c>
      <c r="B743" s="10">
        <f>VLOOKUP(Table2[[#This Row],[Date]],'Database New'!$A:$D,MATCH($A$1,'Database New'!$A$1:$D$1,),)</f>
        <v>1683</v>
      </c>
      <c r="C743" s="30">
        <f>(Table2[[#This Row],[Building Permits]]-B742)/B742</f>
        <v>-2.8851702250432775E-2</v>
      </c>
    </row>
    <row r="744" spans="1:3" x14ac:dyDescent="0.2">
      <c r="A744" s="9">
        <v>44348</v>
      </c>
      <c r="B744" s="10">
        <f>VLOOKUP(Table2[[#This Row],[Date]],'Database New'!$A:$D,MATCH($A$1,'Database New'!$A$1:$D$1,),)</f>
        <v>1594</v>
      </c>
      <c r="C744" s="30">
        <f>(Table2[[#This Row],[Building Permits]]-B743)/B743</f>
        <v>-5.2881758764111705E-2</v>
      </c>
    </row>
    <row r="745" spans="1:3" x14ac:dyDescent="0.2">
      <c r="A745" s="9">
        <v>44378</v>
      </c>
      <c r="B745" s="10">
        <f>VLOOKUP(Table2[[#This Row],[Date]],'Database New'!$A:$D,MATCH($A$1,'Database New'!$A$1:$D$1,),)</f>
        <v>1630</v>
      </c>
      <c r="C745" s="30">
        <f>(Table2[[#This Row],[Building Permits]]-B744)/B744</f>
        <v>2.258469259723965E-2</v>
      </c>
    </row>
    <row r="746" spans="1:3" x14ac:dyDescent="0.2">
      <c r="A746" s="9">
        <v>44409</v>
      </c>
      <c r="B746" s="10">
        <f>VLOOKUP(Table2[[#This Row],[Date]],'Database New'!$A:$D,MATCH($A$1,'Database New'!$A$1:$D$1,),)</f>
        <v>1721</v>
      </c>
      <c r="C746" s="30">
        <f>(Table2[[#This Row],[Building Permits]]-B745)/B745</f>
        <v>5.5828220858895702E-2</v>
      </c>
    </row>
    <row r="747" spans="1:3" x14ac:dyDescent="0.2">
      <c r="A747" s="9">
        <v>44440</v>
      </c>
      <c r="B747" s="10">
        <f>VLOOKUP(Table2[[#This Row],[Date]],'Database New'!$A:$D,MATCH($A$1,'Database New'!$A$1:$D$1,),)</f>
        <v>1586</v>
      </c>
      <c r="C747" s="30">
        <f>(Table2[[#This Row],[Building Permits]]-B746)/B746</f>
        <v>-7.8442765833817554E-2</v>
      </c>
    </row>
    <row r="748" spans="1:3" x14ac:dyDescent="0.2">
      <c r="A748" s="9">
        <v>44470</v>
      </c>
      <c r="B748" s="10">
        <f>VLOOKUP(Table2[[#This Row],[Date]],'Database New'!$A:$D,MATCH($A$1,'Database New'!$A$1:$D$1,),)</f>
        <v>1653</v>
      </c>
      <c r="C748" s="30">
        <f>(Table2[[#This Row],[Building Permits]]-B747)/B747</f>
        <v>4.2244640605296341E-2</v>
      </c>
    </row>
    <row r="749" spans="1:3" x14ac:dyDescent="0.2">
      <c r="A749" s="9">
        <v>44501</v>
      </c>
      <c r="B749" s="10">
        <f>VLOOKUP(Table2[[#This Row],[Date]],'Database New'!$A:$D,MATCH($A$1,'Database New'!$A$1:$D$1,),)</f>
        <v>1717</v>
      </c>
      <c r="C749" s="30">
        <f>(Table2[[#This Row],[Building Permits]]-B748)/B748</f>
        <v>3.871748336358137E-2</v>
      </c>
    </row>
    <row r="750" spans="1:3" x14ac:dyDescent="0.2">
      <c r="A750" s="9">
        <v>44531</v>
      </c>
      <c r="B750" s="10">
        <f>VLOOKUP(Table2[[#This Row],[Date]],'Database New'!$A:$D,MATCH($A$1,'Database New'!$A$1:$D$1,),)</f>
        <v>1885</v>
      </c>
      <c r="C750" s="30">
        <f>(Table2[[#This Row],[Building Permits]]-B749)/B749</f>
        <v>9.7845078625509604E-2</v>
      </c>
    </row>
  </sheetData>
  <conditionalFormatting sqref="C679:C750">
    <cfRule type="colorScale" priority="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679:B75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C750"/>
  <sheetViews>
    <sheetView zoomScale="160" zoomScaleNormal="160" workbookViewId="0">
      <pane ySplit="6" topLeftCell="A725" activePane="bottomLeft" state="frozen"/>
      <selection pane="bottomLeft" activeCell="P745" sqref="P745"/>
    </sheetView>
  </sheetViews>
  <sheetFormatPr baseColWidth="10" defaultColWidth="9.1640625" defaultRowHeight="15" x14ac:dyDescent="0.2"/>
  <cols>
    <col min="1" max="1" width="14.1640625" style="11" customWidth="1"/>
    <col min="2" max="2" width="27.6640625" style="11" customWidth="1"/>
    <col min="3" max="3" width="17.83203125" style="46" customWidth="1"/>
    <col min="4" max="4" width="9.1640625" style="46" customWidth="1"/>
    <col min="5" max="16384" width="9.1640625" style="46"/>
  </cols>
  <sheetData>
    <row r="1" spans="1:3" ht="19" customHeight="1" x14ac:dyDescent="0.25">
      <c r="A1" s="12" t="s">
        <v>30</v>
      </c>
    </row>
    <row r="2" spans="1:3" x14ac:dyDescent="0.2">
      <c r="A2" s="46" t="s">
        <v>22</v>
      </c>
    </row>
    <row r="5" spans="1:3" ht="16" customHeight="1" thickBot="1" x14ac:dyDescent="0.25"/>
    <row r="6" spans="1:3" ht="39.75" customHeight="1" x14ac:dyDescent="0.2">
      <c r="A6" s="6" t="s">
        <v>32</v>
      </c>
      <c r="B6" s="7" t="s">
        <v>26</v>
      </c>
      <c r="C6" s="8" t="s">
        <v>34</v>
      </c>
    </row>
    <row r="7" spans="1:3" x14ac:dyDescent="0.2">
      <c r="A7" s="9">
        <v>21916</v>
      </c>
      <c r="B7" s="10">
        <f>VLOOKUP(Table24[[#This Row],[Date]],'Database New'!$A:$D,MATCH($A$1,'Database New'!$A$1:$D$1,),)</f>
        <v>1460</v>
      </c>
      <c r="C7" s="10"/>
    </row>
    <row r="8" spans="1:3" x14ac:dyDescent="0.2">
      <c r="A8" s="9">
        <v>21947</v>
      </c>
      <c r="B8" s="10">
        <f>VLOOKUP(Table24[[#This Row],[Date]],'Database New'!$A:$D,MATCH($A$1,'Database New'!$A$1:$D$1,),)</f>
        <v>1503</v>
      </c>
      <c r="C8" s="30">
        <f>(Table24[[#This Row],[Started]]-B7)/B7</f>
        <v>2.9452054794520548E-2</v>
      </c>
    </row>
    <row r="9" spans="1:3" x14ac:dyDescent="0.2">
      <c r="A9" s="9">
        <v>21976</v>
      </c>
      <c r="B9" s="10">
        <f>VLOOKUP(Table24[[#This Row],[Date]],'Database New'!$A:$D,MATCH($A$1,'Database New'!$A$1:$D$1,),)</f>
        <v>1109</v>
      </c>
      <c r="C9" s="30">
        <f>(Table24[[#This Row],[Started]]-B8)/B8</f>
        <v>-0.26214238190286093</v>
      </c>
    </row>
    <row r="10" spans="1:3" x14ac:dyDescent="0.2">
      <c r="A10" s="9">
        <v>22007</v>
      </c>
      <c r="B10" s="10">
        <f>VLOOKUP(Table24[[#This Row],[Date]],'Database New'!$A:$D,MATCH($A$1,'Database New'!$A$1:$D$1,),)</f>
        <v>1289</v>
      </c>
      <c r="C10" s="30">
        <f>(Table24[[#This Row],[Started]]-B9)/B9</f>
        <v>0.16230838593327321</v>
      </c>
    </row>
    <row r="11" spans="1:3" x14ac:dyDescent="0.2">
      <c r="A11" s="9">
        <v>22037</v>
      </c>
      <c r="B11" s="10">
        <f>VLOOKUP(Table24[[#This Row],[Date]],'Database New'!$A:$D,MATCH($A$1,'Database New'!$A$1:$D$1,),)</f>
        <v>1271</v>
      </c>
      <c r="C11" s="30">
        <f>(Table24[[#This Row],[Started]]-B10)/B10</f>
        <v>-1.3964313421256789E-2</v>
      </c>
    </row>
    <row r="12" spans="1:3" x14ac:dyDescent="0.2">
      <c r="A12" s="9">
        <v>22068</v>
      </c>
      <c r="B12" s="10">
        <f>VLOOKUP(Table24[[#This Row],[Date]],'Database New'!$A:$D,MATCH($A$1,'Database New'!$A$1:$D$1,),)</f>
        <v>1247</v>
      </c>
      <c r="C12" s="30">
        <f>(Table24[[#This Row],[Started]]-B11)/B11</f>
        <v>-1.8882769472856019E-2</v>
      </c>
    </row>
    <row r="13" spans="1:3" x14ac:dyDescent="0.2">
      <c r="A13" s="9">
        <v>22098</v>
      </c>
      <c r="B13" s="10">
        <f>VLOOKUP(Table24[[#This Row],[Date]],'Database New'!$A:$D,MATCH($A$1,'Database New'!$A$1:$D$1,),)</f>
        <v>1197</v>
      </c>
      <c r="C13" s="30">
        <f>(Table24[[#This Row],[Started]]-B12)/B12</f>
        <v>-4.0096230954290296E-2</v>
      </c>
    </row>
    <row r="14" spans="1:3" x14ac:dyDescent="0.2">
      <c r="A14" s="9">
        <v>22129</v>
      </c>
      <c r="B14" s="10">
        <f>VLOOKUP(Table24[[#This Row],[Date]],'Database New'!$A:$D,MATCH($A$1,'Database New'!$A$1:$D$1,),)</f>
        <v>1344</v>
      </c>
      <c r="C14" s="30">
        <f>(Table24[[#This Row],[Started]]-B13)/B13</f>
        <v>0.12280701754385964</v>
      </c>
    </row>
    <row r="15" spans="1:3" x14ac:dyDescent="0.2">
      <c r="A15" s="9">
        <v>22160</v>
      </c>
      <c r="B15" s="10">
        <f>VLOOKUP(Table24[[#This Row],[Date]],'Database New'!$A:$D,MATCH($A$1,'Database New'!$A$1:$D$1,),)</f>
        <v>1097</v>
      </c>
      <c r="C15" s="30">
        <f>(Table24[[#This Row],[Started]]-B14)/B14</f>
        <v>-0.18377976190476192</v>
      </c>
    </row>
    <row r="16" spans="1:3" x14ac:dyDescent="0.2">
      <c r="A16" s="9">
        <v>22190</v>
      </c>
      <c r="B16" s="10">
        <f>VLOOKUP(Table24[[#This Row],[Date]],'Database New'!$A:$D,MATCH($A$1,'Database New'!$A$1:$D$1,),)</f>
        <v>1246</v>
      </c>
      <c r="C16" s="30">
        <f>(Table24[[#This Row],[Started]]-B15)/B15</f>
        <v>0.13582497721057429</v>
      </c>
    </row>
    <row r="17" spans="1:3" x14ac:dyDescent="0.2">
      <c r="A17" s="9">
        <v>22221</v>
      </c>
      <c r="B17" s="10">
        <f>VLOOKUP(Table24[[#This Row],[Date]],'Database New'!$A:$D,MATCH($A$1,'Database New'!$A$1:$D$1,),)</f>
        <v>1246</v>
      </c>
      <c r="C17" s="30">
        <f>(Table24[[#This Row],[Started]]-B16)/B16</f>
        <v>0</v>
      </c>
    </row>
    <row r="18" spans="1:3" x14ac:dyDescent="0.2">
      <c r="A18" s="9">
        <v>22251</v>
      </c>
      <c r="B18" s="10">
        <f>VLOOKUP(Table24[[#This Row],[Date]],'Database New'!$A:$D,MATCH($A$1,'Database New'!$A$1:$D$1,),)</f>
        <v>1063</v>
      </c>
      <c r="C18" s="30">
        <f>(Table24[[#This Row],[Started]]-B17)/B17</f>
        <v>-0.14686998394863562</v>
      </c>
    </row>
    <row r="19" spans="1:3" x14ac:dyDescent="0.2">
      <c r="A19" s="9">
        <v>22282</v>
      </c>
      <c r="B19" s="10">
        <f>VLOOKUP(Table24[[#This Row],[Date]],'Database New'!$A:$D,MATCH($A$1,'Database New'!$A$1:$D$1,),)</f>
        <v>1183</v>
      </c>
      <c r="C19" s="30">
        <f>(Table24[[#This Row],[Started]]-B18)/B18</f>
        <v>0.11288805268109126</v>
      </c>
    </row>
    <row r="20" spans="1:3" x14ac:dyDescent="0.2">
      <c r="A20" s="9">
        <v>22313</v>
      </c>
      <c r="B20" s="10">
        <f>VLOOKUP(Table24[[#This Row],[Date]],'Database New'!$A:$D,MATCH($A$1,'Database New'!$A$1:$D$1,),)</f>
        <v>1226</v>
      </c>
      <c r="C20" s="30">
        <f>(Table24[[#This Row],[Started]]-B19)/B19</f>
        <v>3.634826711749789E-2</v>
      </c>
    </row>
    <row r="21" spans="1:3" x14ac:dyDescent="0.2">
      <c r="A21" s="9">
        <v>22341</v>
      </c>
      <c r="B21" s="10">
        <f>VLOOKUP(Table24[[#This Row],[Date]],'Database New'!$A:$D,MATCH($A$1,'Database New'!$A$1:$D$1,),)</f>
        <v>1312</v>
      </c>
      <c r="C21" s="30">
        <f>(Table24[[#This Row],[Started]]-B20)/B20</f>
        <v>7.01468189233279E-2</v>
      </c>
    </row>
    <row r="22" spans="1:3" x14ac:dyDescent="0.2">
      <c r="A22" s="9">
        <v>22372</v>
      </c>
      <c r="B22" s="10">
        <f>VLOOKUP(Table24[[#This Row],[Date]],'Database New'!$A:$D,MATCH($A$1,'Database New'!$A$1:$D$1,),)</f>
        <v>1166</v>
      </c>
      <c r="C22" s="30">
        <f>(Table24[[#This Row],[Started]]-B21)/B21</f>
        <v>-0.11128048780487805</v>
      </c>
    </row>
    <row r="23" spans="1:3" x14ac:dyDescent="0.2">
      <c r="A23" s="9">
        <v>22402</v>
      </c>
      <c r="B23" s="10">
        <f>VLOOKUP(Table24[[#This Row],[Date]],'Database New'!$A:$D,MATCH($A$1,'Database New'!$A$1:$D$1,),)</f>
        <v>1228</v>
      </c>
      <c r="C23" s="30">
        <f>(Table24[[#This Row],[Started]]-B22)/B22</f>
        <v>5.3173241852487133E-2</v>
      </c>
    </row>
    <row r="24" spans="1:3" x14ac:dyDescent="0.2">
      <c r="A24" s="9">
        <v>22433</v>
      </c>
      <c r="B24" s="10">
        <f>VLOOKUP(Table24[[#This Row],[Date]],'Database New'!$A:$D,MATCH($A$1,'Database New'!$A$1:$D$1,),)</f>
        <v>1382</v>
      </c>
      <c r="C24" s="30">
        <f>(Table24[[#This Row],[Started]]-B23)/B23</f>
        <v>0.1254071661237785</v>
      </c>
    </row>
    <row r="25" spans="1:3" x14ac:dyDescent="0.2">
      <c r="A25" s="9">
        <v>22463</v>
      </c>
      <c r="B25" s="10">
        <f>VLOOKUP(Table24[[#This Row],[Date]],'Database New'!$A:$D,MATCH($A$1,'Database New'!$A$1:$D$1,),)</f>
        <v>1335</v>
      </c>
      <c r="C25" s="30">
        <f>(Table24[[#This Row],[Started]]-B24)/B24</f>
        <v>-3.4008683068017367E-2</v>
      </c>
    </row>
    <row r="26" spans="1:3" x14ac:dyDescent="0.2">
      <c r="A26" s="9">
        <v>22494</v>
      </c>
      <c r="B26" s="10">
        <f>VLOOKUP(Table24[[#This Row],[Date]],'Database New'!$A:$D,MATCH($A$1,'Database New'!$A$1:$D$1,),)</f>
        <v>1312</v>
      </c>
      <c r="C26" s="30">
        <f>(Table24[[#This Row],[Started]]-B25)/B25</f>
        <v>-1.7228464419475654E-2</v>
      </c>
    </row>
    <row r="27" spans="1:3" x14ac:dyDescent="0.2">
      <c r="A27" s="9">
        <v>22525</v>
      </c>
      <c r="B27" s="10">
        <f>VLOOKUP(Table24[[#This Row],[Date]],'Database New'!$A:$D,MATCH($A$1,'Database New'!$A$1:$D$1,),)</f>
        <v>1429</v>
      </c>
      <c r="C27" s="30">
        <f>(Table24[[#This Row],[Started]]-B26)/B26</f>
        <v>8.9176829268292679E-2</v>
      </c>
    </row>
    <row r="28" spans="1:3" x14ac:dyDescent="0.2">
      <c r="A28" s="9">
        <v>22555</v>
      </c>
      <c r="B28" s="10">
        <f>VLOOKUP(Table24[[#This Row],[Date]],'Database New'!$A:$D,MATCH($A$1,'Database New'!$A$1:$D$1,),)</f>
        <v>1415</v>
      </c>
      <c r="C28" s="30">
        <f>(Table24[[#This Row],[Started]]-B27)/B27</f>
        <v>-9.7970608817354796E-3</v>
      </c>
    </row>
    <row r="29" spans="1:3" x14ac:dyDescent="0.2">
      <c r="A29" s="9">
        <v>22586</v>
      </c>
      <c r="B29" s="10">
        <f>VLOOKUP(Table24[[#This Row],[Date]],'Database New'!$A:$D,MATCH($A$1,'Database New'!$A$1:$D$1,),)</f>
        <v>1385</v>
      </c>
      <c r="C29" s="30">
        <f>(Table24[[#This Row],[Started]]-B28)/B28</f>
        <v>-2.1201413427561839E-2</v>
      </c>
    </row>
    <row r="30" spans="1:3" x14ac:dyDescent="0.2">
      <c r="A30" s="9">
        <v>22616</v>
      </c>
      <c r="B30" s="10">
        <f>VLOOKUP(Table24[[#This Row],[Date]],'Database New'!$A:$D,MATCH($A$1,'Database New'!$A$1:$D$1,),)</f>
        <v>1365</v>
      </c>
      <c r="C30" s="30">
        <f>(Table24[[#This Row],[Started]]-B29)/B29</f>
        <v>-1.444043321299639E-2</v>
      </c>
    </row>
    <row r="31" spans="1:3" x14ac:dyDescent="0.2">
      <c r="A31" s="9">
        <v>22647</v>
      </c>
      <c r="B31" s="10">
        <f>VLOOKUP(Table24[[#This Row],[Date]],'Database New'!$A:$D,MATCH($A$1,'Database New'!$A$1:$D$1,),)</f>
        <v>1361</v>
      </c>
      <c r="C31" s="30">
        <f>(Table24[[#This Row],[Started]]-B30)/B30</f>
        <v>-2.9304029304029304E-3</v>
      </c>
    </row>
    <row r="32" spans="1:3" x14ac:dyDescent="0.2">
      <c r="A32" s="9">
        <v>22678</v>
      </c>
      <c r="B32" s="10">
        <f>VLOOKUP(Table24[[#This Row],[Date]],'Database New'!$A:$D,MATCH($A$1,'Database New'!$A$1:$D$1,),)</f>
        <v>1278</v>
      </c>
      <c r="C32" s="30">
        <f>(Table24[[#This Row],[Started]]-B31)/B31</f>
        <v>-6.0984570168993391E-2</v>
      </c>
    </row>
    <row r="33" spans="1:3" x14ac:dyDescent="0.2">
      <c r="A33" s="9">
        <v>22706</v>
      </c>
      <c r="B33" s="10">
        <f>VLOOKUP(Table24[[#This Row],[Date]],'Database New'!$A:$D,MATCH($A$1,'Database New'!$A$1:$D$1,),)</f>
        <v>1443</v>
      </c>
      <c r="C33" s="30">
        <f>(Table24[[#This Row],[Started]]-B32)/B32</f>
        <v>0.12910798122065728</v>
      </c>
    </row>
    <row r="34" spans="1:3" x14ac:dyDescent="0.2">
      <c r="A34" s="9">
        <v>22737</v>
      </c>
      <c r="B34" s="10">
        <f>VLOOKUP(Table24[[#This Row],[Date]],'Database New'!$A:$D,MATCH($A$1,'Database New'!$A$1:$D$1,),)</f>
        <v>1524</v>
      </c>
      <c r="C34" s="30">
        <f>(Table24[[#This Row],[Started]]-B33)/B33</f>
        <v>5.6133056133056136E-2</v>
      </c>
    </row>
    <row r="35" spans="1:3" x14ac:dyDescent="0.2">
      <c r="A35" s="9">
        <v>22767</v>
      </c>
      <c r="B35" s="10">
        <f>VLOOKUP(Table24[[#This Row],[Date]],'Database New'!$A:$D,MATCH($A$1,'Database New'!$A$1:$D$1,),)</f>
        <v>1483</v>
      </c>
      <c r="C35" s="30">
        <f>(Table24[[#This Row],[Started]]-B34)/B34</f>
        <v>-2.6902887139107611E-2</v>
      </c>
    </row>
    <row r="36" spans="1:3" x14ac:dyDescent="0.2">
      <c r="A36" s="9">
        <v>22798</v>
      </c>
      <c r="B36" s="10">
        <f>VLOOKUP(Table24[[#This Row],[Date]],'Database New'!$A:$D,MATCH($A$1,'Database New'!$A$1:$D$1,),)</f>
        <v>1404</v>
      </c>
      <c r="C36" s="30">
        <f>(Table24[[#This Row],[Started]]-B35)/B35</f>
        <v>-5.3270397842211735E-2</v>
      </c>
    </row>
    <row r="37" spans="1:3" x14ac:dyDescent="0.2">
      <c r="A37" s="9">
        <v>22828</v>
      </c>
      <c r="B37" s="10">
        <f>VLOOKUP(Table24[[#This Row],[Date]],'Database New'!$A:$D,MATCH($A$1,'Database New'!$A$1:$D$1,),)</f>
        <v>1450</v>
      </c>
      <c r="C37" s="30">
        <f>(Table24[[#This Row],[Started]]-B36)/B36</f>
        <v>3.2763532763532763E-2</v>
      </c>
    </row>
    <row r="38" spans="1:3" x14ac:dyDescent="0.2">
      <c r="A38" s="9">
        <v>22859</v>
      </c>
      <c r="B38" s="10">
        <f>VLOOKUP(Table24[[#This Row],[Date]],'Database New'!$A:$D,MATCH($A$1,'Database New'!$A$1:$D$1,),)</f>
        <v>1517</v>
      </c>
      <c r="C38" s="30">
        <f>(Table24[[#This Row],[Started]]-B37)/B37</f>
        <v>4.6206896551724136E-2</v>
      </c>
    </row>
    <row r="39" spans="1:3" x14ac:dyDescent="0.2">
      <c r="A39" s="9">
        <v>22890</v>
      </c>
      <c r="B39" s="10">
        <f>VLOOKUP(Table24[[#This Row],[Date]],'Database New'!$A:$D,MATCH($A$1,'Database New'!$A$1:$D$1,),)</f>
        <v>1324</v>
      </c>
      <c r="C39" s="30">
        <f>(Table24[[#This Row],[Started]]-B38)/B38</f>
        <v>-0.12722478576137114</v>
      </c>
    </row>
    <row r="40" spans="1:3" x14ac:dyDescent="0.2">
      <c r="A40" s="9">
        <v>22920</v>
      </c>
      <c r="B40" s="10">
        <f>VLOOKUP(Table24[[#This Row],[Date]],'Database New'!$A:$D,MATCH($A$1,'Database New'!$A$1:$D$1,),)</f>
        <v>1533</v>
      </c>
      <c r="C40" s="30">
        <f>(Table24[[#This Row],[Started]]-B39)/B39</f>
        <v>0.15785498489425981</v>
      </c>
    </row>
    <row r="41" spans="1:3" x14ac:dyDescent="0.2">
      <c r="A41" s="9">
        <v>22951</v>
      </c>
      <c r="B41" s="10">
        <f>VLOOKUP(Table24[[#This Row],[Date]],'Database New'!$A:$D,MATCH($A$1,'Database New'!$A$1:$D$1,),)</f>
        <v>1622</v>
      </c>
      <c r="C41" s="30">
        <f>(Table24[[#This Row],[Started]]-B40)/B40</f>
        <v>5.805609915198956E-2</v>
      </c>
    </row>
    <row r="42" spans="1:3" x14ac:dyDescent="0.2">
      <c r="A42" s="9">
        <v>22981</v>
      </c>
      <c r="B42" s="10">
        <f>VLOOKUP(Table24[[#This Row],[Date]],'Database New'!$A:$D,MATCH($A$1,'Database New'!$A$1:$D$1,),)</f>
        <v>1564</v>
      </c>
      <c r="C42" s="30">
        <f>(Table24[[#This Row],[Started]]-B41)/B41</f>
        <v>-3.5758323057953144E-2</v>
      </c>
    </row>
    <row r="43" spans="1:3" x14ac:dyDescent="0.2">
      <c r="A43" s="9">
        <v>23012</v>
      </c>
      <c r="B43" s="10">
        <f>VLOOKUP(Table24[[#This Row],[Date]],'Database New'!$A:$D,MATCH($A$1,'Database New'!$A$1:$D$1,),)</f>
        <v>1244</v>
      </c>
      <c r="C43" s="30">
        <f>(Table24[[#This Row],[Started]]-B42)/B42</f>
        <v>-0.20460358056265984</v>
      </c>
    </row>
    <row r="44" spans="1:3" x14ac:dyDescent="0.2">
      <c r="A44" s="9">
        <v>23043</v>
      </c>
      <c r="B44" s="10">
        <f>VLOOKUP(Table24[[#This Row],[Date]],'Database New'!$A:$D,MATCH($A$1,'Database New'!$A$1:$D$1,),)</f>
        <v>1456</v>
      </c>
      <c r="C44" s="30">
        <f>(Table24[[#This Row],[Started]]-B43)/B43</f>
        <v>0.17041800643086816</v>
      </c>
    </row>
    <row r="45" spans="1:3" x14ac:dyDescent="0.2">
      <c r="A45" s="9">
        <v>23071</v>
      </c>
      <c r="B45" s="10">
        <f>VLOOKUP(Table24[[#This Row],[Date]],'Database New'!$A:$D,MATCH($A$1,'Database New'!$A$1:$D$1,),)</f>
        <v>1534</v>
      </c>
      <c r="C45" s="30">
        <f>(Table24[[#This Row],[Started]]-B44)/B44</f>
        <v>5.3571428571428568E-2</v>
      </c>
    </row>
    <row r="46" spans="1:3" x14ac:dyDescent="0.2">
      <c r="A46" s="9">
        <v>23102</v>
      </c>
      <c r="B46" s="10">
        <f>VLOOKUP(Table24[[#This Row],[Date]],'Database New'!$A:$D,MATCH($A$1,'Database New'!$A$1:$D$1,),)</f>
        <v>1689</v>
      </c>
      <c r="C46" s="30">
        <f>(Table24[[#This Row],[Started]]-B45)/B45</f>
        <v>0.10104302477183832</v>
      </c>
    </row>
    <row r="47" spans="1:3" x14ac:dyDescent="0.2">
      <c r="A47" s="9">
        <v>23132</v>
      </c>
      <c r="B47" s="10">
        <f>VLOOKUP(Table24[[#This Row],[Date]],'Database New'!$A:$D,MATCH($A$1,'Database New'!$A$1:$D$1,),)</f>
        <v>1641</v>
      </c>
      <c r="C47" s="30">
        <f>(Table24[[#This Row],[Started]]-B46)/B46</f>
        <v>-2.8419182948490232E-2</v>
      </c>
    </row>
    <row r="48" spans="1:3" x14ac:dyDescent="0.2">
      <c r="A48" s="9">
        <v>23163</v>
      </c>
      <c r="B48" s="10">
        <f>VLOOKUP(Table24[[#This Row],[Date]],'Database New'!$A:$D,MATCH($A$1,'Database New'!$A$1:$D$1,),)</f>
        <v>1588</v>
      </c>
      <c r="C48" s="30">
        <f>(Table24[[#This Row],[Started]]-B47)/B47</f>
        <v>-3.2297379646556976E-2</v>
      </c>
    </row>
    <row r="49" spans="1:3" x14ac:dyDescent="0.2">
      <c r="A49" s="9">
        <v>23193</v>
      </c>
      <c r="B49" s="10">
        <f>VLOOKUP(Table24[[#This Row],[Date]],'Database New'!$A:$D,MATCH($A$1,'Database New'!$A$1:$D$1,),)</f>
        <v>1614</v>
      </c>
      <c r="C49" s="30">
        <f>(Table24[[#This Row],[Started]]-B48)/B48</f>
        <v>1.6372795969773299E-2</v>
      </c>
    </row>
    <row r="50" spans="1:3" x14ac:dyDescent="0.2">
      <c r="A50" s="9">
        <v>23224</v>
      </c>
      <c r="B50" s="10">
        <f>VLOOKUP(Table24[[#This Row],[Date]],'Database New'!$A:$D,MATCH($A$1,'Database New'!$A$1:$D$1,),)</f>
        <v>1639</v>
      </c>
      <c r="C50" s="30">
        <f>(Table24[[#This Row],[Started]]-B49)/B49</f>
        <v>1.5489467162329617E-2</v>
      </c>
    </row>
    <row r="51" spans="1:3" x14ac:dyDescent="0.2">
      <c r="A51" s="9">
        <v>23255</v>
      </c>
      <c r="B51" s="10">
        <f>VLOOKUP(Table24[[#This Row],[Date]],'Database New'!$A:$D,MATCH($A$1,'Database New'!$A$1:$D$1,),)</f>
        <v>1763</v>
      </c>
      <c r="C51" s="30">
        <f>(Table24[[#This Row],[Started]]-B50)/B50</f>
        <v>7.5655887736424648E-2</v>
      </c>
    </row>
    <row r="52" spans="1:3" x14ac:dyDescent="0.2">
      <c r="A52" s="9">
        <v>23285</v>
      </c>
      <c r="B52" s="10">
        <f>VLOOKUP(Table24[[#This Row],[Date]],'Database New'!$A:$D,MATCH($A$1,'Database New'!$A$1:$D$1,),)</f>
        <v>1779</v>
      </c>
      <c r="C52" s="30">
        <f>(Table24[[#This Row],[Started]]-B51)/B51</f>
        <v>9.0754395916052191E-3</v>
      </c>
    </row>
    <row r="53" spans="1:3" x14ac:dyDescent="0.2">
      <c r="A53" s="9">
        <v>23316</v>
      </c>
      <c r="B53" s="10">
        <f>VLOOKUP(Table24[[#This Row],[Date]],'Database New'!$A:$D,MATCH($A$1,'Database New'!$A$1:$D$1,),)</f>
        <v>1622</v>
      </c>
      <c r="C53" s="30">
        <f>(Table24[[#This Row],[Started]]-B52)/B52</f>
        <v>-8.825182686902755E-2</v>
      </c>
    </row>
    <row r="54" spans="1:3" x14ac:dyDescent="0.2">
      <c r="A54" s="9">
        <v>23346</v>
      </c>
      <c r="B54" s="10">
        <f>VLOOKUP(Table24[[#This Row],[Date]],'Database New'!$A:$D,MATCH($A$1,'Database New'!$A$1:$D$1,),)</f>
        <v>1491</v>
      </c>
      <c r="C54" s="30">
        <f>(Table24[[#This Row],[Started]]-B53)/B53</f>
        <v>-8.0764488286066582E-2</v>
      </c>
    </row>
    <row r="55" spans="1:3" x14ac:dyDescent="0.2">
      <c r="A55" s="9">
        <v>23377</v>
      </c>
      <c r="B55" s="10">
        <f>VLOOKUP(Table24[[#This Row],[Date]],'Database New'!$A:$D,MATCH($A$1,'Database New'!$A$1:$D$1,),)</f>
        <v>1603</v>
      </c>
      <c r="C55" s="30">
        <f>(Table24[[#This Row],[Started]]-B54)/B54</f>
        <v>7.5117370892018781E-2</v>
      </c>
    </row>
    <row r="56" spans="1:3" x14ac:dyDescent="0.2">
      <c r="A56" s="9">
        <v>23408</v>
      </c>
      <c r="B56" s="10">
        <f>VLOOKUP(Table24[[#This Row],[Date]],'Database New'!$A:$D,MATCH($A$1,'Database New'!$A$1:$D$1,),)</f>
        <v>1820</v>
      </c>
      <c r="C56" s="30">
        <f>(Table24[[#This Row],[Started]]-B55)/B55</f>
        <v>0.13537117903930132</v>
      </c>
    </row>
    <row r="57" spans="1:3" x14ac:dyDescent="0.2">
      <c r="A57" s="9">
        <v>23437</v>
      </c>
      <c r="B57" s="10">
        <f>VLOOKUP(Table24[[#This Row],[Date]],'Database New'!$A:$D,MATCH($A$1,'Database New'!$A$1:$D$1,),)</f>
        <v>1517</v>
      </c>
      <c r="C57" s="30">
        <f>(Table24[[#This Row],[Started]]-B56)/B56</f>
        <v>-0.16648351648351647</v>
      </c>
    </row>
    <row r="58" spans="1:3" x14ac:dyDescent="0.2">
      <c r="A58" s="9">
        <v>23468</v>
      </c>
      <c r="B58" s="10">
        <f>VLOOKUP(Table24[[#This Row],[Date]],'Database New'!$A:$D,MATCH($A$1,'Database New'!$A$1:$D$1,),)</f>
        <v>1448</v>
      </c>
      <c r="C58" s="30">
        <f>(Table24[[#This Row],[Started]]-B57)/B57</f>
        <v>-4.5484508899143045E-2</v>
      </c>
    </row>
    <row r="59" spans="1:3" x14ac:dyDescent="0.2">
      <c r="A59" s="9">
        <v>23498</v>
      </c>
      <c r="B59" s="10">
        <f>VLOOKUP(Table24[[#This Row],[Date]],'Database New'!$A:$D,MATCH($A$1,'Database New'!$A$1:$D$1,),)</f>
        <v>1467</v>
      </c>
      <c r="C59" s="30">
        <f>(Table24[[#This Row],[Started]]-B58)/B58</f>
        <v>1.3121546961325966E-2</v>
      </c>
    </row>
    <row r="60" spans="1:3" x14ac:dyDescent="0.2">
      <c r="A60" s="9">
        <v>23529</v>
      </c>
      <c r="B60" s="10">
        <f>VLOOKUP(Table24[[#This Row],[Date]],'Database New'!$A:$D,MATCH($A$1,'Database New'!$A$1:$D$1,),)</f>
        <v>1550</v>
      </c>
      <c r="C60" s="30">
        <f>(Table24[[#This Row],[Started]]-B59)/B59</f>
        <v>5.6578050443081118E-2</v>
      </c>
    </row>
    <row r="61" spans="1:3" x14ac:dyDescent="0.2">
      <c r="A61" s="9">
        <v>23559</v>
      </c>
      <c r="B61" s="10">
        <f>VLOOKUP(Table24[[#This Row],[Date]],'Database New'!$A:$D,MATCH($A$1,'Database New'!$A$1:$D$1,),)</f>
        <v>1562</v>
      </c>
      <c r="C61" s="30">
        <f>(Table24[[#This Row],[Started]]-B60)/B60</f>
        <v>7.7419354838709677E-3</v>
      </c>
    </row>
    <row r="62" spans="1:3" x14ac:dyDescent="0.2">
      <c r="A62" s="9">
        <v>23590</v>
      </c>
      <c r="B62" s="10">
        <f>VLOOKUP(Table24[[#This Row],[Date]],'Database New'!$A:$D,MATCH($A$1,'Database New'!$A$1:$D$1,),)</f>
        <v>1569</v>
      </c>
      <c r="C62" s="30">
        <f>(Table24[[#This Row],[Started]]-B61)/B61</f>
        <v>4.4814340588988479E-3</v>
      </c>
    </row>
    <row r="63" spans="1:3" x14ac:dyDescent="0.2">
      <c r="A63" s="9">
        <v>23621</v>
      </c>
      <c r="B63" s="10">
        <f>VLOOKUP(Table24[[#This Row],[Date]],'Database New'!$A:$D,MATCH($A$1,'Database New'!$A$1:$D$1,),)</f>
        <v>1455</v>
      </c>
      <c r="C63" s="30">
        <f>(Table24[[#This Row],[Started]]-B62)/B62</f>
        <v>-7.2657743785850867E-2</v>
      </c>
    </row>
    <row r="64" spans="1:3" x14ac:dyDescent="0.2">
      <c r="A64" s="9">
        <v>23651</v>
      </c>
      <c r="B64" s="10">
        <f>VLOOKUP(Table24[[#This Row],[Date]],'Database New'!$A:$D,MATCH($A$1,'Database New'!$A$1:$D$1,),)</f>
        <v>1524</v>
      </c>
      <c r="C64" s="30">
        <f>(Table24[[#This Row],[Started]]-B63)/B63</f>
        <v>4.7422680412371132E-2</v>
      </c>
    </row>
    <row r="65" spans="1:3" x14ac:dyDescent="0.2">
      <c r="A65" s="9">
        <v>23682</v>
      </c>
      <c r="B65" s="10">
        <f>VLOOKUP(Table24[[#This Row],[Date]],'Database New'!$A:$D,MATCH($A$1,'Database New'!$A$1:$D$1,),)</f>
        <v>1486</v>
      </c>
      <c r="C65" s="30">
        <f>(Table24[[#This Row],[Started]]-B64)/B64</f>
        <v>-2.4934383202099737E-2</v>
      </c>
    </row>
    <row r="66" spans="1:3" x14ac:dyDescent="0.2">
      <c r="A66" s="9">
        <v>23712</v>
      </c>
      <c r="B66" s="10">
        <f>VLOOKUP(Table24[[#This Row],[Date]],'Database New'!$A:$D,MATCH($A$1,'Database New'!$A$1:$D$1,),)</f>
        <v>1484</v>
      </c>
      <c r="C66" s="30">
        <f>(Table24[[#This Row],[Started]]-B65)/B65</f>
        <v>-1.3458950201884253E-3</v>
      </c>
    </row>
    <row r="67" spans="1:3" x14ac:dyDescent="0.2">
      <c r="A67" s="9">
        <v>23743</v>
      </c>
      <c r="B67" s="10">
        <f>VLOOKUP(Table24[[#This Row],[Date]],'Database New'!$A:$D,MATCH($A$1,'Database New'!$A$1:$D$1,),)</f>
        <v>1361</v>
      </c>
      <c r="C67" s="30">
        <f>(Table24[[#This Row],[Started]]-B66)/B66</f>
        <v>-8.2884097035040433E-2</v>
      </c>
    </row>
    <row r="68" spans="1:3" x14ac:dyDescent="0.2">
      <c r="A68" s="9">
        <v>23774</v>
      </c>
      <c r="B68" s="10">
        <f>VLOOKUP(Table24[[#This Row],[Date]],'Database New'!$A:$D,MATCH($A$1,'Database New'!$A$1:$D$1,),)</f>
        <v>1433</v>
      </c>
      <c r="C68" s="30">
        <f>(Table24[[#This Row],[Started]]-B67)/B67</f>
        <v>5.2902277736958117E-2</v>
      </c>
    </row>
    <row r="69" spans="1:3" x14ac:dyDescent="0.2">
      <c r="A69" s="9">
        <v>23802</v>
      </c>
      <c r="B69" s="10">
        <f>VLOOKUP(Table24[[#This Row],[Date]],'Database New'!$A:$D,MATCH($A$1,'Database New'!$A$1:$D$1,),)</f>
        <v>1423</v>
      </c>
      <c r="C69" s="30">
        <f>(Table24[[#This Row],[Started]]-B68)/B68</f>
        <v>-6.9783670621074668E-3</v>
      </c>
    </row>
    <row r="70" spans="1:3" x14ac:dyDescent="0.2">
      <c r="A70" s="9">
        <v>23833</v>
      </c>
      <c r="B70" s="10">
        <f>VLOOKUP(Table24[[#This Row],[Date]],'Database New'!$A:$D,MATCH($A$1,'Database New'!$A$1:$D$1,),)</f>
        <v>1438</v>
      </c>
      <c r="C70" s="30">
        <f>(Table24[[#This Row],[Started]]-B69)/B69</f>
        <v>1.0541110330288124E-2</v>
      </c>
    </row>
    <row r="71" spans="1:3" x14ac:dyDescent="0.2">
      <c r="A71" s="9">
        <v>23863</v>
      </c>
      <c r="B71" s="10">
        <f>VLOOKUP(Table24[[#This Row],[Date]],'Database New'!$A:$D,MATCH($A$1,'Database New'!$A$1:$D$1,),)</f>
        <v>1478</v>
      </c>
      <c r="C71" s="30">
        <f>(Table24[[#This Row],[Started]]-B70)/B70</f>
        <v>2.7816411682892908E-2</v>
      </c>
    </row>
    <row r="72" spans="1:3" x14ac:dyDescent="0.2">
      <c r="A72" s="9">
        <v>23894</v>
      </c>
      <c r="B72" s="10">
        <f>VLOOKUP(Table24[[#This Row],[Date]],'Database New'!$A:$D,MATCH($A$1,'Database New'!$A$1:$D$1,),)</f>
        <v>1488</v>
      </c>
      <c r="C72" s="30">
        <f>(Table24[[#This Row],[Started]]-B71)/B71</f>
        <v>6.7658998646820028E-3</v>
      </c>
    </row>
    <row r="73" spans="1:3" x14ac:dyDescent="0.2">
      <c r="A73" s="9">
        <v>23924</v>
      </c>
      <c r="B73" s="10">
        <f>VLOOKUP(Table24[[#This Row],[Date]],'Database New'!$A:$D,MATCH($A$1,'Database New'!$A$1:$D$1,),)</f>
        <v>1529</v>
      </c>
      <c r="C73" s="30">
        <f>(Table24[[#This Row],[Started]]-B72)/B72</f>
        <v>2.7553763440860215E-2</v>
      </c>
    </row>
    <row r="74" spans="1:3" x14ac:dyDescent="0.2">
      <c r="A74" s="9">
        <v>23955</v>
      </c>
      <c r="B74" s="10">
        <f>VLOOKUP(Table24[[#This Row],[Date]],'Database New'!$A:$D,MATCH($A$1,'Database New'!$A$1:$D$1,),)</f>
        <v>1432</v>
      </c>
      <c r="C74" s="30">
        <f>(Table24[[#This Row],[Started]]-B73)/B73</f>
        <v>-6.3440156965336822E-2</v>
      </c>
    </row>
    <row r="75" spans="1:3" x14ac:dyDescent="0.2">
      <c r="A75" s="9">
        <v>23986</v>
      </c>
      <c r="B75" s="10">
        <f>VLOOKUP(Table24[[#This Row],[Date]],'Database New'!$A:$D,MATCH($A$1,'Database New'!$A$1:$D$1,),)</f>
        <v>1482</v>
      </c>
      <c r="C75" s="30">
        <f>(Table24[[#This Row],[Started]]-B74)/B74</f>
        <v>3.4916201117318434E-2</v>
      </c>
    </row>
    <row r="76" spans="1:3" x14ac:dyDescent="0.2">
      <c r="A76" s="9">
        <v>24016</v>
      </c>
      <c r="B76" s="10">
        <f>VLOOKUP(Table24[[#This Row],[Date]],'Database New'!$A:$D,MATCH($A$1,'Database New'!$A$1:$D$1,),)</f>
        <v>1452</v>
      </c>
      <c r="C76" s="30">
        <f>(Table24[[#This Row],[Started]]-B75)/B75</f>
        <v>-2.0242914979757085E-2</v>
      </c>
    </row>
    <row r="77" spans="1:3" x14ac:dyDescent="0.2">
      <c r="A77" s="9">
        <v>24047</v>
      </c>
      <c r="B77" s="10">
        <f>VLOOKUP(Table24[[#This Row],[Date]],'Database New'!$A:$D,MATCH($A$1,'Database New'!$A$1:$D$1,),)</f>
        <v>1460</v>
      </c>
      <c r="C77" s="30">
        <f>(Table24[[#This Row],[Started]]-B76)/B76</f>
        <v>5.5096418732782371E-3</v>
      </c>
    </row>
    <row r="78" spans="1:3" x14ac:dyDescent="0.2">
      <c r="A78" s="9">
        <v>24077</v>
      </c>
      <c r="B78" s="10">
        <f>VLOOKUP(Table24[[#This Row],[Date]],'Database New'!$A:$D,MATCH($A$1,'Database New'!$A$1:$D$1,),)</f>
        <v>1656</v>
      </c>
      <c r="C78" s="30">
        <f>(Table24[[#This Row],[Started]]-B77)/B77</f>
        <v>0.13424657534246576</v>
      </c>
    </row>
    <row r="79" spans="1:3" x14ac:dyDescent="0.2">
      <c r="A79" s="9">
        <v>24108</v>
      </c>
      <c r="B79" s="10">
        <f>VLOOKUP(Table24[[#This Row],[Date]],'Database New'!$A:$D,MATCH($A$1,'Database New'!$A$1:$D$1,),)</f>
        <v>1370</v>
      </c>
      <c r="C79" s="30">
        <f>(Table24[[#This Row],[Started]]-B78)/B78</f>
        <v>-0.17270531400966183</v>
      </c>
    </row>
    <row r="80" spans="1:3" x14ac:dyDescent="0.2">
      <c r="A80" s="9">
        <v>24139</v>
      </c>
      <c r="B80" s="10">
        <f>VLOOKUP(Table24[[#This Row],[Date]],'Database New'!$A:$D,MATCH($A$1,'Database New'!$A$1:$D$1,),)</f>
        <v>1378</v>
      </c>
      <c r="C80" s="30">
        <f>(Table24[[#This Row],[Started]]-B79)/B79</f>
        <v>5.8394160583941602E-3</v>
      </c>
    </row>
    <row r="81" spans="1:3" x14ac:dyDescent="0.2">
      <c r="A81" s="9">
        <v>24167</v>
      </c>
      <c r="B81" s="10">
        <f>VLOOKUP(Table24[[#This Row],[Date]],'Database New'!$A:$D,MATCH($A$1,'Database New'!$A$1:$D$1,),)</f>
        <v>1394</v>
      </c>
      <c r="C81" s="30">
        <f>(Table24[[#This Row],[Started]]-B80)/B80</f>
        <v>1.1611030478955007E-2</v>
      </c>
    </row>
    <row r="82" spans="1:3" x14ac:dyDescent="0.2">
      <c r="A82" s="9">
        <v>24198</v>
      </c>
      <c r="B82" s="10">
        <f>VLOOKUP(Table24[[#This Row],[Date]],'Database New'!$A:$D,MATCH($A$1,'Database New'!$A$1:$D$1,),)</f>
        <v>1352</v>
      </c>
      <c r="C82" s="30">
        <f>(Table24[[#This Row],[Started]]-B81)/B81</f>
        <v>-3.0129124820659971E-2</v>
      </c>
    </row>
    <row r="83" spans="1:3" x14ac:dyDescent="0.2">
      <c r="A83" s="9">
        <v>24228</v>
      </c>
      <c r="B83" s="10">
        <f>VLOOKUP(Table24[[#This Row],[Date]],'Database New'!$A:$D,MATCH($A$1,'Database New'!$A$1:$D$1,),)</f>
        <v>1265</v>
      </c>
      <c r="C83" s="30">
        <f>(Table24[[#This Row],[Started]]-B82)/B82</f>
        <v>-6.4349112426035499E-2</v>
      </c>
    </row>
    <row r="84" spans="1:3" x14ac:dyDescent="0.2">
      <c r="A84" s="9">
        <v>24259</v>
      </c>
      <c r="B84" s="10">
        <f>VLOOKUP(Table24[[#This Row],[Date]],'Database New'!$A:$D,MATCH($A$1,'Database New'!$A$1:$D$1,),)</f>
        <v>1194</v>
      </c>
      <c r="C84" s="30">
        <f>(Table24[[#This Row],[Started]]-B83)/B83</f>
        <v>-5.6126482213438737E-2</v>
      </c>
    </row>
    <row r="85" spans="1:3" x14ac:dyDescent="0.2">
      <c r="A85" s="9">
        <v>24289</v>
      </c>
      <c r="B85" s="10">
        <f>VLOOKUP(Table24[[#This Row],[Date]],'Database New'!$A:$D,MATCH($A$1,'Database New'!$A$1:$D$1,),)</f>
        <v>1086</v>
      </c>
      <c r="C85" s="30">
        <f>(Table24[[#This Row],[Started]]-B84)/B84</f>
        <v>-9.0452261306532666E-2</v>
      </c>
    </row>
    <row r="86" spans="1:3" x14ac:dyDescent="0.2">
      <c r="A86" s="9">
        <v>24320</v>
      </c>
      <c r="B86" s="10">
        <f>VLOOKUP(Table24[[#This Row],[Date]],'Database New'!$A:$D,MATCH($A$1,'Database New'!$A$1:$D$1,),)</f>
        <v>1119</v>
      </c>
      <c r="C86" s="30">
        <f>(Table24[[#This Row],[Started]]-B85)/B85</f>
        <v>3.0386740331491711E-2</v>
      </c>
    </row>
    <row r="87" spans="1:3" x14ac:dyDescent="0.2">
      <c r="A87" s="9">
        <v>24351</v>
      </c>
      <c r="B87" s="10">
        <f>VLOOKUP(Table24[[#This Row],[Date]],'Database New'!$A:$D,MATCH($A$1,'Database New'!$A$1:$D$1,),)</f>
        <v>1046</v>
      </c>
      <c r="C87" s="30">
        <f>(Table24[[#This Row],[Started]]-B86)/B86</f>
        <v>-6.523681858802502E-2</v>
      </c>
    </row>
    <row r="88" spans="1:3" x14ac:dyDescent="0.2">
      <c r="A88" s="9">
        <v>24381</v>
      </c>
      <c r="B88" s="10">
        <f>VLOOKUP(Table24[[#This Row],[Date]],'Database New'!$A:$D,MATCH($A$1,'Database New'!$A$1:$D$1,),)</f>
        <v>843</v>
      </c>
      <c r="C88" s="30">
        <f>(Table24[[#This Row],[Started]]-B87)/B87</f>
        <v>-0.19407265774378585</v>
      </c>
    </row>
    <row r="89" spans="1:3" x14ac:dyDescent="0.2">
      <c r="A89" s="9">
        <v>24412</v>
      </c>
      <c r="B89" s="10">
        <f>VLOOKUP(Table24[[#This Row],[Date]],'Database New'!$A:$D,MATCH($A$1,'Database New'!$A$1:$D$1,),)</f>
        <v>961</v>
      </c>
      <c r="C89" s="30">
        <f>(Table24[[#This Row],[Started]]-B88)/B88</f>
        <v>0.13997627520759193</v>
      </c>
    </row>
    <row r="90" spans="1:3" x14ac:dyDescent="0.2">
      <c r="A90" s="9">
        <v>24442</v>
      </c>
      <c r="B90" s="10">
        <f>VLOOKUP(Table24[[#This Row],[Date]],'Database New'!$A:$D,MATCH($A$1,'Database New'!$A$1:$D$1,),)</f>
        <v>990</v>
      </c>
      <c r="C90" s="30">
        <f>(Table24[[#This Row],[Started]]-B89)/B89</f>
        <v>3.0176899063475548E-2</v>
      </c>
    </row>
    <row r="91" spans="1:3" x14ac:dyDescent="0.2">
      <c r="A91" s="9">
        <v>24473</v>
      </c>
      <c r="B91" s="10">
        <f>VLOOKUP(Table24[[#This Row],[Date]],'Database New'!$A:$D,MATCH($A$1,'Database New'!$A$1:$D$1,),)</f>
        <v>1067</v>
      </c>
      <c r="C91" s="30">
        <f>(Table24[[#This Row],[Started]]-B90)/B90</f>
        <v>7.7777777777777779E-2</v>
      </c>
    </row>
    <row r="92" spans="1:3" x14ac:dyDescent="0.2">
      <c r="A92" s="9">
        <v>24504</v>
      </c>
      <c r="B92" s="10">
        <f>VLOOKUP(Table24[[#This Row],[Date]],'Database New'!$A:$D,MATCH($A$1,'Database New'!$A$1:$D$1,),)</f>
        <v>1123</v>
      </c>
      <c r="C92" s="30">
        <f>(Table24[[#This Row],[Started]]-B91)/B91</f>
        <v>5.248359887535145E-2</v>
      </c>
    </row>
    <row r="93" spans="1:3" x14ac:dyDescent="0.2">
      <c r="A93" s="9">
        <v>24532</v>
      </c>
      <c r="B93" s="10">
        <f>VLOOKUP(Table24[[#This Row],[Date]],'Database New'!$A:$D,MATCH($A$1,'Database New'!$A$1:$D$1,),)</f>
        <v>1056</v>
      </c>
      <c r="C93" s="30">
        <f>(Table24[[#This Row],[Started]]-B92)/B92</f>
        <v>-5.9661620658949241E-2</v>
      </c>
    </row>
    <row r="94" spans="1:3" x14ac:dyDescent="0.2">
      <c r="A94" s="9">
        <v>24563</v>
      </c>
      <c r="B94" s="10">
        <f>VLOOKUP(Table24[[#This Row],[Date]],'Database New'!$A:$D,MATCH($A$1,'Database New'!$A$1:$D$1,),)</f>
        <v>1091</v>
      </c>
      <c r="C94" s="30">
        <f>(Table24[[#This Row],[Started]]-B93)/B93</f>
        <v>3.3143939393939392E-2</v>
      </c>
    </row>
    <row r="95" spans="1:3" x14ac:dyDescent="0.2">
      <c r="A95" s="9">
        <v>24593</v>
      </c>
      <c r="B95" s="10">
        <f>VLOOKUP(Table24[[#This Row],[Date]],'Database New'!$A:$D,MATCH($A$1,'Database New'!$A$1:$D$1,),)</f>
        <v>1304</v>
      </c>
      <c r="C95" s="30">
        <f>(Table24[[#This Row],[Started]]-B94)/B94</f>
        <v>0.19523373052245646</v>
      </c>
    </row>
    <row r="96" spans="1:3" x14ac:dyDescent="0.2">
      <c r="A96" s="9">
        <v>24624</v>
      </c>
      <c r="B96" s="10">
        <f>VLOOKUP(Table24[[#This Row],[Date]],'Database New'!$A:$D,MATCH($A$1,'Database New'!$A$1:$D$1,),)</f>
        <v>1248</v>
      </c>
      <c r="C96" s="30">
        <f>(Table24[[#This Row],[Started]]-B95)/B95</f>
        <v>-4.2944785276073622E-2</v>
      </c>
    </row>
    <row r="97" spans="1:3" x14ac:dyDescent="0.2">
      <c r="A97" s="9">
        <v>24654</v>
      </c>
      <c r="B97" s="10">
        <f>VLOOKUP(Table24[[#This Row],[Date]],'Database New'!$A:$D,MATCH($A$1,'Database New'!$A$1:$D$1,),)</f>
        <v>1364</v>
      </c>
      <c r="C97" s="30">
        <f>(Table24[[#This Row],[Started]]-B96)/B96</f>
        <v>9.2948717948717952E-2</v>
      </c>
    </row>
    <row r="98" spans="1:3" x14ac:dyDescent="0.2">
      <c r="A98" s="9">
        <v>24685</v>
      </c>
      <c r="B98" s="10">
        <f>VLOOKUP(Table24[[#This Row],[Date]],'Database New'!$A:$D,MATCH($A$1,'Database New'!$A$1:$D$1,),)</f>
        <v>1407</v>
      </c>
      <c r="C98" s="30">
        <f>(Table24[[#This Row],[Started]]-B97)/B97</f>
        <v>3.1524926686217009E-2</v>
      </c>
    </row>
    <row r="99" spans="1:3" x14ac:dyDescent="0.2">
      <c r="A99" s="9">
        <v>24716</v>
      </c>
      <c r="B99" s="10">
        <f>VLOOKUP(Table24[[#This Row],[Date]],'Database New'!$A:$D,MATCH($A$1,'Database New'!$A$1:$D$1,),)</f>
        <v>1421</v>
      </c>
      <c r="C99" s="30">
        <f>(Table24[[#This Row],[Started]]-B98)/B98</f>
        <v>9.9502487562189053E-3</v>
      </c>
    </row>
    <row r="100" spans="1:3" x14ac:dyDescent="0.2">
      <c r="A100" s="9">
        <v>24746</v>
      </c>
      <c r="B100" s="10">
        <f>VLOOKUP(Table24[[#This Row],[Date]],'Database New'!$A:$D,MATCH($A$1,'Database New'!$A$1:$D$1,),)</f>
        <v>1491</v>
      </c>
      <c r="C100" s="30">
        <f>(Table24[[#This Row],[Started]]-B99)/B99</f>
        <v>4.9261083743842367E-2</v>
      </c>
    </row>
    <row r="101" spans="1:3" x14ac:dyDescent="0.2">
      <c r="A101" s="9">
        <v>24777</v>
      </c>
      <c r="B101" s="10">
        <f>VLOOKUP(Table24[[#This Row],[Date]],'Database New'!$A:$D,MATCH($A$1,'Database New'!$A$1:$D$1,),)</f>
        <v>1538</v>
      </c>
      <c r="C101" s="30">
        <f>(Table24[[#This Row],[Started]]-B100)/B100</f>
        <v>3.1522468142186455E-2</v>
      </c>
    </row>
    <row r="102" spans="1:3" x14ac:dyDescent="0.2">
      <c r="A102" s="9">
        <v>24807</v>
      </c>
      <c r="B102" s="10">
        <f>VLOOKUP(Table24[[#This Row],[Date]],'Database New'!$A:$D,MATCH($A$1,'Database New'!$A$1:$D$1,),)</f>
        <v>1308</v>
      </c>
      <c r="C102" s="30">
        <f>(Table24[[#This Row],[Started]]-B101)/B101</f>
        <v>-0.14954486345903772</v>
      </c>
    </row>
    <row r="103" spans="1:3" x14ac:dyDescent="0.2">
      <c r="A103" s="9">
        <v>24838</v>
      </c>
      <c r="B103" s="10">
        <f>VLOOKUP(Table24[[#This Row],[Date]],'Database New'!$A:$D,MATCH($A$1,'Database New'!$A$1:$D$1,),)</f>
        <v>1380</v>
      </c>
      <c r="C103" s="30">
        <f>(Table24[[#This Row],[Started]]-B102)/B102</f>
        <v>5.5045871559633031E-2</v>
      </c>
    </row>
    <row r="104" spans="1:3" x14ac:dyDescent="0.2">
      <c r="A104" s="9">
        <v>24869</v>
      </c>
      <c r="B104" s="10">
        <f>VLOOKUP(Table24[[#This Row],[Date]],'Database New'!$A:$D,MATCH($A$1,'Database New'!$A$1:$D$1,),)</f>
        <v>1520</v>
      </c>
      <c r="C104" s="30">
        <f>(Table24[[#This Row],[Started]]-B103)/B103</f>
        <v>0.10144927536231885</v>
      </c>
    </row>
    <row r="105" spans="1:3" x14ac:dyDescent="0.2">
      <c r="A105" s="9">
        <v>24898</v>
      </c>
      <c r="B105" s="10">
        <f>VLOOKUP(Table24[[#This Row],[Date]],'Database New'!$A:$D,MATCH($A$1,'Database New'!$A$1:$D$1,),)</f>
        <v>1466</v>
      </c>
      <c r="C105" s="30">
        <f>(Table24[[#This Row],[Started]]-B104)/B104</f>
        <v>-3.5526315789473684E-2</v>
      </c>
    </row>
    <row r="106" spans="1:3" x14ac:dyDescent="0.2">
      <c r="A106" s="9">
        <v>24929</v>
      </c>
      <c r="B106" s="10">
        <f>VLOOKUP(Table24[[#This Row],[Date]],'Database New'!$A:$D,MATCH($A$1,'Database New'!$A$1:$D$1,),)</f>
        <v>1554</v>
      </c>
      <c r="C106" s="30">
        <f>(Table24[[#This Row],[Started]]-B105)/B105</f>
        <v>6.0027285129604369E-2</v>
      </c>
    </row>
    <row r="107" spans="1:3" x14ac:dyDescent="0.2">
      <c r="A107" s="9">
        <v>24959</v>
      </c>
      <c r="B107" s="10">
        <f>VLOOKUP(Table24[[#This Row],[Date]],'Database New'!$A:$D,MATCH($A$1,'Database New'!$A$1:$D$1,),)</f>
        <v>1408</v>
      </c>
      <c r="C107" s="30">
        <f>(Table24[[#This Row],[Started]]-B106)/B106</f>
        <v>-9.3951093951093953E-2</v>
      </c>
    </row>
    <row r="108" spans="1:3" x14ac:dyDescent="0.2">
      <c r="A108" s="9">
        <v>24990</v>
      </c>
      <c r="B108" s="10">
        <f>VLOOKUP(Table24[[#This Row],[Date]],'Database New'!$A:$D,MATCH($A$1,'Database New'!$A$1:$D$1,),)</f>
        <v>1405</v>
      </c>
      <c r="C108" s="30">
        <f>(Table24[[#This Row],[Started]]-B107)/B107</f>
        <v>-2.130681818181818E-3</v>
      </c>
    </row>
    <row r="109" spans="1:3" x14ac:dyDescent="0.2">
      <c r="A109" s="9">
        <v>25020</v>
      </c>
      <c r="B109" s="10">
        <f>VLOOKUP(Table24[[#This Row],[Date]],'Database New'!$A:$D,MATCH($A$1,'Database New'!$A$1:$D$1,),)</f>
        <v>1512</v>
      </c>
      <c r="C109" s="30">
        <f>(Table24[[#This Row],[Started]]-B108)/B108</f>
        <v>7.6156583629893235E-2</v>
      </c>
    </row>
    <row r="110" spans="1:3" x14ac:dyDescent="0.2">
      <c r="A110" s="9">
        <v>25051</v>
      </c>
      <c r="B110" s="10">
        <f>VLOOKUP(Table24[[#This Row],[Date]],'Database New'!$A:$D,MATCH($A$1,'Database New'!$A$1:$D$1,),)</f>
        <v>1495</v>
      </c>
      <c r="C110" s="30">
        <f>(Table24[[#This Row],[Started]]-B109)/B109</f>
        <v>-1.1243386243386243E-2</v>
      </c>
    </row>
    <row r="111" spans="1:3" x14ac:dyDescent="0.2">
      <c r="A111" s="9">
        <v>25082</v>
      </c>
      <c r="B111" s="10">
        <f>VLOOKUP(Table24[[#This Row],[Date]],'Database New'!$A:$D,MATCH($A$1,'Database New'!$A$1:$D$1,),)</f>
        <v>1556</v>
      </c>
      <c r="C111" s="30">
        <f>(Table24[[#This Row],[Started]]-B110)/B110</f>
        <v>4.0802675585284283E-2</v>
      </c>
    </row>
    <row r="112" spans="1:3" x14ac:dyDescent="0.2">
      <c r="A112" s="9">
        <v>25112</v>
      </c>
      <c r="B112" s="10">
        <f>VLOOKUP(Table24[[#This Row],[Date]],'Database New'!$A:$D,MATCH($A$1,'Database New'!$A$1:$D$1,),)</f>
        <v>1569</v>
      </c>
      <c r="C112" s="30">
        <f>(Table24[[#This Row],[Started]]-B111)/B111</f>
        <v>8.3547557840616959E-3</v>
      </c>
    </row>
    <row r="113" spans="1:3" x14ac:dyDescent="0.2">
      <c r="A113" s="9">
        <v>25143</v>
      </c>
      <c r="B113" s="10">
        <f>VLOOKUP(Table24[[#This Row],[Date]],'Database New'!$A:$D,MATCH($A$1,'Database New'!$A$1:$D$1,),)</f>
        <v>1630</v>
      </c>
      <c r="C113" s="30">
        <f>(Table24[[#This Row],[Started]]-B112)/B112</f>
        <v>3.8878266411727216E-2</v>
      </c>
    </row>
    <row r="114" spans="1:3" x14ac:dyDescent="0.2">
      <c r="A114" s="9">
        <v>25173</v>
      </c>
      <c r="B114" s="10">
        <f>VLOOKUP(Table24[[#This Row],[Date]],'Database New'!$A:$D,MATCH($A$1,'Database New'!$A$1:$D$1,),)</f>
        <v>1548</v>
      </c>
      <c r="C114" s="30">
        <f>(Table24[[#This Row],[Started]]-B113)/B113</f>
        <v>-5.030674846625767E-2</v>
      </c>
    </row>
    <row r="115" spans="1:3" x14ac:dyDescent="0.2">
      <c r="A115" s="9">
        <v>25204</v>
      </c>
      <c r="B115" s="10">
        <f>VLOOKUP(Table24[[#This Row],[Date]],'Database New'!$A:$D,MATCH($A$1,'Database New'!$A$1:$D$1,),)</f>
        <v>1769</v>
      </c>
      <c r="C115" s="30">
        <f>(Table24[[#This Row],[Started]]-B114)/B114</f>
        <v>0.14276485788113696</v>
      </c>
    </row>
    <row r="116" spans="1:3" x14ac:dyDescent="0.2">
      <c r="A116" s="9">
        <v>25235</v>
      </c>
      <c r="B116" s="10">
        <f>VLOOKUP(Table24[[#This Row],[Date]],'Database New'!$A:$D,MATCH($A$1,'Database New'!$A$1:$D$1,),)</f>
        <v>1705</v>
      </c>
      <c r="C116" s="30">
        <f>(Table24[[#This Row],[Started]]-B115)/B115</f>
        <v>-3.6178631995477668E-2</v>
      </c>
    </row>
    <row r="117" spans="1:3" x14ac:dyDescent="0.2">
      <c r="A117" s="9">
        <v>25263</v>
      </c>
      <c r="B117" s="10">
        <f>VLOOKUP(Table24[[#This Row],[Date]],'Database New'!$A:$D,MATCH($A$1,'Database New'!$A$1:$D$1,),)</f>
        <v>1561</v>
      </c>
      <c r="C117" s="30">
        <f>(Table24[[#This Row],[Started]]-B116)/B116</f>
        <v>-8.4457478005865103E-2</v>
      </c>
    </row>
    <row r="118" spans="1:3" x14ac:dyDescent="0.2">
      <c r="A118" s="9">
        <v>25294</v>
      </c>
      <c r="B118" s="10">
        <f>VLOOKUP(Table24[[#This Row],[Date]],'Database New'!$A:$D,MATCH($A$1,'Database New'!$A$1:$D$1,),)</f>
        <v>1524</v>
      </c>
      <c r="C118" s="30">
        <f>(Table24[[#This Row],[Started]]-B117)/B117</f>
        <v>-2.370275464445868E-2</v>
      </c>
    </row>
    <row r="119" spans="1:3" x14ac:dyDescent="0.2">
      <c r="A119" s="9">
        <v>25324</v>
      </c>
      <c r="B119" s="10">
        <f>VLOOKUP(Table24[[#This Row],[Date]],'Database New'!$A:$D,MATCH($A$1,'Database New'!$A$1:$D$1,),)</f>
        <v>1583</v>
      </c>
      <c r="C119" s="30">
        <f>(Table24[[#This Row],[Started]]-B118)/B118</f>
        <v>3.8713910761154859E-2</v>
      </c>
    </row>
    <row r="120" spans="1:3" x14ac:dyDescent="0.2">
      <c r="A120" s="9">
        <v>25355</v>
      </c>
      <c r="B120" s="10">
        <f>VLOOKUP(Table24[[#This Row],[Date]],'Database New'!$A:$D,MATCH($A$1,'Database New'!$A$1:$D$1,),)</f>
        <v>1528</v>
      </c>
      <c r="C120" s="30">
        <f>(Table24[[#This Row],[Started]]-B119)/B119</f>
        <v>-3.474415666456096E-2</v>
      </c>
    </row>
    <row r="121" spans="1:3" x14ac:dyDescent="0.2">
      <c r="A121" s="9">
        <v>25385</v>
      </c>
      <c r="B121" s="10">
        <f>VLOOKUP(Table24[[#This Row],[Date]],'Database New'!$A:$D,MATCH($A$1,'Database New'!$A$1:$D$1,),)</f>
        <v>1368</v>
      </c>
      <c r="C121" s="30">
        <f>(Table24[[#This Row],[Started]]-B120)/B120</f>
        <v>-0.10471204188481675</v>
      </c>
    </row>
    <row r="122" spans="1:3" x14ac:dyDescent="0.2">
      <c r="A122" s="9">
        <v>25416</v>
      </c>
      <c r="B122" s="10">
        <f>VLOOKUP(Table24[[#This Row],[Date]],'Database New'!$A:$D,MATCH($A$1,'Database New'!$A$1:$D$1,),)</f>
        <v>1358</v>
      </c>
      <c r="C122" s="30">
        <f>(Table24[[#This Row],[Started]]-B121)/B121</f>
        <v>-7.3099415204678359E-3</v>
      </c>
    </row>
    <row r="123" spans="1:3" x14ac:dyDescent="0.2">
      <c r="A123" s="9">
        <v>25447</v>
      </c>
      <c r="B123" s="10">
        <f>VLOOKUP(Table24[[#This Row],[Date]],'Database New'!$A:$D,MATCH($A$1,'Database New'!$A$1:$D$1,),)</f>
        <v>1507</v>
      </c>
      <c r="C123" s="30">
        <f>(Table24[[#This Row],[Started]]-B122)/B122</f>
        <v>0.10972017673048601</v>
      </c>
    </row>
    <row r="124" spans="1:3" x14ac:dyDescent="0.2">
      <c r="A124" s="9">
        <v>25477</v>
      </c>
      <c r="B124" s="10">
        <f>VLOOKUP(Table24[[#This Row],[Date]],'Database New'!$A:$D,MATCH($A$1,'Database New'!$A$1:$D$1,),)</f>
        <v>1381</v>
      </c>
      <c r="C124" s="30">
        <f>(Table24[[#This Row],[Started]]-B123)/B123</f>
        <v>-8.3609820836098206E-2</v>
      </c>
    </row>
    <row r="125" spans="1:3" x14ac:dyDescent="0.2">
      <c r="A125" s="9">
        <v>25508</v>
      </c>
      <c r="B125" s="10">
        <f>VLOOKUP(Table24[[#This Row],[Date]],'Database New'!$A:$D,MATCH($A$1,'Database New'!$A$1:$D$1,),)</f>
        <v>1229</v>
      </c>
      <c r="C125" s="30">
        <f>(Table24[[#This Row],[Started]]-B124)/B124</f>
        <v>-0.11006517016654598</v>
      </c>
    </row>
    <row r="126" spans="1:3" x14ac:dyDescent="0.2">
      <c r="A126" s="9">
        <v>25538</v>
      </c>
      <c r="B126" s="10">
        <f>VLOOKUP(Table24[[#This Row],[Date]],'Database New'!$A:$D,MATCH($A$1,'Database New'!$A$1:$D$1,),)</f>
        <v>1327</v>
      </c>
      <c r="C126" s="30">
        <f>(Table24[[#This Row],[Started]]-B125)/B125</f>
        <v>7.9739625711960943E-2</v>
      </c>
    </row>
    <row r="127" spans="1:3" x14ac:dyDescent="0.2">
      <c r="A127" s="9">
        <v>25569</v>
      </c>
      <c r="B127" s="10">
        <f>VLOOKUP(Table24[[#This Row],[Date]],'Database New'!$A:$D,MATCH($A$1,'Database New'!$A$1:$D$1,),)</f>
        <v>1085</v>
      </c>
      <c r="C127" s="30">
        <f>(Table24[[#This Row],[Started]]-B126)/B126</f>
        <v>-0.18236623963828183</v>
      </c>
    </row>
    <row r="128" spans="1:3" x14ac:dyDescent="0.2">
      <c r="A128" s="9">
        <v>25600</v>
      </c>
      <c r="B128" s="10">
        <f>VLOOKUP(Table24[[#This Row],[Date]],'Database New'!$A:$D,MATCH($A$1,'Database New'!$A$1:$D$1,),)</f>
        <v>1305</v>
      </c>
      <c r="C128" s="30">
        <f>(Table24[[#This Row],[Started]]-B127)/B127</f>
        <v>0.20276497695852536</v>
      </c>
    </row>
    <row r="129" spans="1:3" x14ac:dyDescent="0.2">
      <c r="A129" s="9">
        <v>25628</v>
      </c>
      <c r="B129" s="10">
        <f>VLOOKUP(Table24[[#This Row],[Date]],'Database New'!$A:$D,MATCH($A$1,'Database New'!$A$1:$D$1,),)</f>
        <v>1319</v>
      </c>
      <c r="C129" s="30">
        <f>(Table24[[#This Row],[Started]]-B128)/B128</f>
        <v>1.0727969348659003E-2</v>
      </c>
    </row>
    <row r="130" spans="1:3" x14ac:dyDescent="0.2">
      <c r="A130" s="9">
        <v>25659</v>
      </c>
      <c r="B130" s="10">
        <f>VLOOKUP(Table24[[#This Row],[Date]],'Database New'!$A:$D,MATCH($A$1,'Database New'!$A$1:$D$1,),)</f>
        <v>1264</v>
      </c>
      <c r="C130" s="30">
        <f>(Table24[[#This Row],[Started]]-B129)/B129</f>
        <v>-4.1698256254738442E-2</v>
      </c>
    </row>
    <row r="131" spans="1:3" x14ac:dyDescent="0.2">
      <c r="A131" s="9">
        <v>25689</v>
      </c>
      <c r="B131" s="10">
        <f>VLOOKUP(Table24[[#This Row],[Date]],'Database New'!$A:$D,MATCH($A$1,'Database New'!$A$1:$D$1,),)</f>
        <v>1290</v>
      </c>
      <c r="C131" s="30">
        <f>(Table24[[#This Row],[Started]]-B130)/B130</f>
        <v>2.0569620253164556E-2</v>
      </c>
    </row>
    <row r="132" spans="1:3" x14ac:dyDescent="0.2">
      <c r="A132" s="9">
        <v>25720</v>
      </c>
      <c r="B132" s="10">
        <f>VLOOKUP(Table24[[#This Row],[Date]],'Database New'!$A:$D,MATCH($A$1,'Database New'!$A$1:$D$1,),)</f>
        <v>1385</v>
      </c>
      <c r="C132" s="30">
        <f>(Table24[[#This Row],[Started]]-B131)/B131</f>
        <v>7.3643410852713184E-2</v>
      </c>
    </row>
    <row r="133" spans="1:3" x14ac:dyDescent="0.2">
      <c r="A133" s="9">
        <v>25750</v>
      </c>
      <c r="B133" s="10">
        <f>VLOOKUP(Table24[[#This Row],[Date]],'Database New'!$A:$D,MATCH($A$1,'Database New'!$A$1:$D$1,),)</f>
        <v>1517</v>
      </c>
      <c r="C133" s="30">
        <f>(Table24[[#This Row],[Started]]-B132)/B132</f>
        <v>9.5306859205776168E-2</v>
      </c>
    </row>
    <row r="134" spans="1:3" x14ac:dyDescent="0.2">
      <c r="A134" s="9">
        <v>25781</v>
      </c>
      <c r="B134" s="10">
        <f>VLOOKUP(Table24[[#This Row],[Date]],'Database New'!$A:$D,MATCH($A$1,'Database New'!$A$1:$D$1,),)</f>
        <v>1399</v>
      </c>
      <c r="C134" s="30">
        <f>(Table24[[#This Row],[Started]]-B133)/B133</f>
        <v>-7.778510217534608E-2</v>
      </c>
    </row>
    <row r="135" spans="1:3" x14ac:dyDescent="0.2">
      <c r="A135" s="9">
        <v>25812</v>
      </c>
      <c r="B135" s="10">
        <f>VLOOKUP(Table24[[#This Row],[Date]],'Database New'!$A:$D,MATCH($A$1,'Database New'!$A$1:$D$1,),)</f>
        <v>1534</v>
      </c>
      <c r="C135" s="30">
        <f>(Table24[[#This Row],[Started]]-B134)/B134</f>
        <v>9.6497498213009292E-2</v>
      </c>
    </row>
    <row r="136" spans="1:3" x14ac:dyDescent="0.2">
      <c r="A136" s="9">
        <v>25842</v>
      </c>
      <c r="B136" s="10">
        <f>VLOOKUP(Table24[[#This Row],[Date]],'Database New'!$A:$D,MATCH($A$1,'Database New'!$A$1:$D$1,),)</f>
        <v>1580</v>
      </c>
      <c r="C136" s="30">
        <f>(Table24[[#This Row],[Started]]-B135)/B135</f>
        <v>2.9986962190352021E-2</v>
      </c>
    </row>
    <row r="137" spans="1:3" x14ac:dyDescent="0.2">
      <c r="A137" s="9">
        <v>25873</v>
      </c>
      <c r="B137" s="10">
        <f>VLOOKUP(Table24[[#This Row],[Date]],'Database New'!$A:$D,MATCH($A$1,'Database New'!$A$1:$D$1,),)</f>
        <v>1647</v>
      </c>
      <c r="C137" s="30">
        <f>(Table24[[#This Row],[Started]]-B136)/B136</f>
        <v>4.2405063291139238E-2</v>
      </c>
    </row>
    <row r="138" spans="1:3" x14ac:dyDescent="0.2">
      <c r="A138" s="9">
        <v>25903</v>
      </c>
      <c r="B138" s="10">
        <f>VLOOKUP(Table24[[#This Row],[Date]],'Database New'!$A:$D,MATCH($A$1,'Database New'!$A$1:$D$1,),)</f>
        <v>1893</v>
      </c>
      <c r="C138" s="30">
        <f>(Table24[[#This Row],[Started]]-B137)/B137</f>
        <v>0.1493624772313297</v>
      </c>
    </row>
    <row r="139" spans="1:3" x14ac:dyDescent="0.2">
      <c r="A139" s="9">
        <v>25934</v>
      </c>
      <c r="B139" s="10">
        <f>VLOOKUP(Table24[[#This Row],[Date]],'Database New'!$A:$D,MATCH($A$1,'Database New'!$A$1:$D$1,),)</f>
        <v>1828</v>
      </c>
      <c r="C139" s="30">
        <f>(Table24[[#This Row],[Started]]-B138)/B138</f>
        <v>-3.4337031167459058E-2</v>
      </c>
    </row>
    <row r="140" spans="1:3" x14ac:dyDescent="0.2">
      <c r="A140" s="9">
        <v>25965</v>
      </c>
      <c r="B140" s="10">
        <f>VLOOKUP(Table24[[#This Row],[Date]],'Database New'!$A:$D,MATCH($A$1,'Database New'!$A$1:$D$1,),)</f>
        <v>1741</v>
      </c>
      <c r="C140" s="30">
        <f>(Table24[[#This Row],[Started]]-B139)/B139</f>
        <v>-4.7592997811816196E-2</v>
      </c>
    </row>
    <row r="141" spans="1:3" x14ac:dyDescent="0.2">
      <c r="A141" s="9">
        <v>25993</v>
      </c>
      <c r="B141" s="10">
        <f>VLOOKUP(Table24[[#This Row],[Date]],'Database New'!$A:$D,MATCH($A$1,'Database New'!$A$1:$D$1,),)</f>
        <v>1910</v>
      </c>
      <c r="C141" s="30">
        <f>(Table24[[#This Row],[Started]]-B140)/B140</f>
        <v>9.7070649052268809E-2</v>
      </c>
    </row>
    <row r="142" spans="1:3" x14ac:dyDescent="0.2">
      <c r="A142" s="9">
        <v>26024</v>
      </c>
      <c r="B142" s="10">
        <f>VLOOKUP(Table24[[#This Row],[Date]],'Database New'!$A:$D,MATCH($A$1,'Database New'!$A$1:$D$1,),)</f>
        <v>1986</v>
      </c>
      <c r="C142" s="30">
        <f>(Table24[[#This Row],[Started]]-B141)/B141</f>
        <v>3.9790575916230364E-2</v>
      </c>
    </row>
    <row r="143" spans="1:3" x14ac:dyDescent="0.2">
      <c r="A143" s="9">
        <v>26054</v>
      </c>
      <c r="B143" s="10">
        <f>VLOOKUP(Table24[[#This Row],[Date]],'Database New'!$A:$D,MATCH($A$1,'Database New'!$A$1:$D$1,),)</f>
        <v>2049</v>
      </c>
      <c r="C143" s="30">
        <f>(Table24[[#This Row],[Started]]-B142)/B142</f>
        <v>3.1722054380664652E-2</v>
      </c>
    </row>
    <row r="144" spans="1:3" x14ac:dyDescent="0.2">
      <c r="A144" s="9">
        <v>26085</v>
      </c>
      <c r="B144" s="10">
        <f>VLOOKUP(Table24[[#This Row],[Date]],'Database New'!$A:$D,MATCH($A$1,'Database New'!$A$1:$D$1,),)</f>
        <v>2026</v>
      </c>
      <c r="C144" s="30">
        <f>(Table24[[#This Row],[Started]]-B143)/B143</f>
        <v>-1.1224987798926306E-2</v>
      </c>
    </row>
    <row r="145" spans="1:3" x14ac:dyDescent="0.2">
      <c r="A145" s="9">
        <v>26115</v>
      </c>
      <c r="B145" s="10">
        <f>VLOOKUP(Table24[[#This Row],[Date]],'Database New'!$A:$D,MATCH($A$1,'Database New'!$A$1:$D$1,),)</f>
        <v>2083</v>
      </c>
      <c r="C145" s="30">
        <f>(Table24[[#This Row],[Started]]-B144)/B144</f>
        <v>2.8134254689042449E-2</v>
      </c>
    </row>
    <row r="146" spans="1:3" x14ac:dyDescent="0.2">
      <c r="A146" s="9">
        <v>26146</v>
      </c>
      <c r="B146" s="10">
        <f>VLOOKUP(Table24[[#This Row],[Date]],'Database New'!$A:$D,MATCH($A$1,'Database New'!$A$1:$D$1,),)</f>
        <v>2158</v>
      </c>
      <c r="C146" s="30">
        <f>(Table24[[#This Row],[Started]]-B145)/B145</f>
        <v>3.6005760921747482E-2</v>
      </c>
    </row>
    <row r="147" spans="1:3" x14ac:dyDescent="0.2">
      <c r="A147" s="9">
        <v>26177</v>
      </c>
      <c r="B147" s="10">
        <f>VLOOKUP(Table24[[#This Row],[Date]],'Database New'!$A:$D,MATCH($A$1,'Database New'!$A$1:$D$1,),)</f>
        <v>2041</v>
      </c>
      <c r="C147" s="30">
        <f>(Table24[[#This Row],[Started]]-B146)/B146</f>
        <v>-5.4216867469879519E-2</v>
      </c>
    </row>
    <row r="148" spans="1:3" x14ac:dyDescent="0.2">
      <c r="A148" s="9">
        <v>26207</v>
      </c>
      <c r="B148" s="10">
        <f>VLOOKUP(Table24[[#This Row],[Date]],'Database New'!$A:$D,MATCH($A$1,'Database New'!$A$1:$D$1,),)</f>
        <v>2128</v>
      </c>
      <c r="C148" s="30">
        <f>(Table24[[#This Row],[Started]]-B147)/B147</f>
        <v>4.2626163645271928E-2</v>
      </c>
    </row>
    <row r="149" spans="1:3" x14ac:dyDescent="0.2">
      <c r="A149" s="9">
        <v>26238</v>
      </c>
      <c r="B149" s="10">
        <f>VLOOKUP(Table24[[#This Row],[Date]],'Database New'!$A:$D,MATCH($A$1,'Database New'!$A$1:$D$1,),)</f>
        <v>2182</v>
      </c>
      <c r="C149" s="30">
        <f>(Table24[[#This Row],[Started]]-B148)/B148</f>
        <v>2.5375939849624059E-2</v>
      </c>
    </row>
    <row r="150" spans="1:3" x14ac:dyDescent="0.2">
      <c r="A150" s="9">
        <v>26268</v>
      </c>
      <c r="B150" s="10">
        <f>VLOOKUP(Table24[[#This Row],[Date]],'Database New'!$A:$D,MATCH($A$1,'Database New'!$A$1:$D$1,),)</f>
        <v>2295</v>
      </c>
      <c r="C150" s="30">
        <f>(Table24[[#This Row],[Started]]-B149)/B149</f>
        <v>5.1787351054078827E-2</v>
      </c>
    </row>
    <row r="151" spans="1:3" x14ac:dyDescent="0.2">
      <c r="A151" s="9">
        <v>26299</v>
      </c>
      <c r="B151" s="10">
        <f>VLOOKUP(Table24[[#This Row],[Date]],'Database New'!$A:$D,MATCH($A$1,'Database New'!$A$1:$D$1,),)</f>
        <v>2494</v>
      </c>
      <c r="C151" s="30">
        <f>(Table24[[#This Row],[Started]]-B150)/B150</f>
        <v>8.6710239651416124E-2</v>
      </c>
    </row>
    <row r="152" spans="1:3" x14ac:dyDescent="0.2">
      <c r="A152" s="9">
        <v>26330</v>
      </c>
      <c r="B152" s="10">
        <f>VLOOKUP(Table24[[#This Row],[Date]],'Database New'!$A:$D,MATCH($A$1,'Database New'!$A$1:$D$1,),)</f>
        <v>2390</v>
      </c>
      <c r="C152" s="30">
        <f>(Table24[[#This Row],[Started]]-B151)/B151</f>
        <v>-4.1700080192461908E-2</v>
      </c>
    </row>
    <row r="153" spans="1:3" x14ac:dyDescent="0.2">
      <c r="A153" s="9">
        <v>26359</v>
      </c>
      <c r="B153" s="10">
        <f>VLOOKUP(Table24[[#This Row],[Date]],'Database New'!$A:$D,MATCH($A$1,'Database New'!$A$1:$D$1,),)</f>
        <v>2334</v>
      </c>
      <c r="C153" s="30">
        <f>(Table24[[#This Row],[Started]]-B152)/B152</f>
        <v>-2.3430962343096235E-2</v>
      </c>
    </row>
    <row r="154" spans="1:3" x14ac:dyDescent="0.2">
      <c r="A154" s="9">
        <v>26390</v>
      </c>
      <c r="B154" s="10">
        <f>VLOOKUP(Table24[[#This Row],[Date]],'Database New'!$A:$D,MATCH($A$1,'Database New'!$A$1:$D$1,),)</f>
        <v>2249</v>
      </c>
      <c r="C154" s="30">
        <f>(Table24[[#This Row],[Started]]-B153)/B153</f>
        <v>-3.6418166238217649E-2</v>
      </c>
    </row>
    <row r="155" spans="1:3" x14ac:dyDescent="0.2">
      <c r="A155" s="9">
        <v>26420</v>
      </c>
      <c r="B155" s="10">
        <f>VLOOKUP(Table24[[#This Row],[Date]],'Database New'!$A:$D,MATCH($A$1,'Database New'!$A$1:$D$1,),)</f>
        <v>2221</v>
      </c>
      <c r="C155" s="30">
        <f>(Table24[[#This Row],[Started]]-B154)/B154</f>
        <v>-1.2449977767896843E-2</v>
      </c>
    </row>
    <row r="156" spans="1:3" x14ac:dyDescent="0.2">
      <c r="A156" s="9">
        <v>26451</v>
      </c>
      <c r="B156" s="10">
        <f>VLOOKUP(Table24[[#This Row],[Date]],'Database New'!$A:$D,MATCH($A$1,'Database New'!$A$1:$D$1,),)</f>
        <v>2254</v>
      </c>
      <c r="C156" s="30">
        <f>(Table24[[#This Row],[Started]]-B155)/B155</f>
        <v>1.4858171994597028E-2</v>
      </c>
    </row>
    <row r="157" spans="1:3" x14ac:dyDescent="0.2">
      <c r="A157" s="9">
        <v>26481</v>
      </c>
      <c r="B157" s="10">
        <f>VLOOKUP(Table24[[#This Row],[Date]],'Database New'!$A:$D,MATCH($A$1,'Database New'!$A$1:$D$1,),)</f>
        <v>2252</v>
      </c>
      <c r="C157" s="30">
        <f>(Table24[[#This Row],[Started]]-B156)/B156</f>
        <v>-8.8731144631765753E-4</v>
      </c>
    </row>
    <row r="158" spans="1:3" x14ac:dyDescent="0.2">
      <c r="A158" s="9">
        <v>26512</v>
      </c>
      <c r="B158" s="10">
        <f>VLOOKUP(Table24[[#This Row],[Date]],'Database New'!$A:$D,MATCH($A$1,'Database New'!$A$1:$D$1,),)</f>
        <v>2382</v>
      </c>
      <c r="C158" s="30">
        <f>(Table24[[#This Row],[Started]]-B157)/B157</f>
        <v>5.772646536412078E-2</v>
      </c>
    </row>
    <row r="159" spans="1:3" x14ac:dyDescent="0.2">
      <c r="A159" s="9">
        <v>26543</v>
      </c>
      <c r="B159" s="10">
        <f>VLOOKUP(Table24[[#This Row],[Date]],'Database New'!$A:$D,MATCH($A$1,'Database New'!$A$1:$D$1,),)</f>
        <v>2481</v>
      </c>
      <c r="C159" s="30">
        <f>(Table24[[#This Row],[Started]]-B158)/B158</f>
        <v>4.1561712846347604E-2</v>
      </c>
    </row>
    <row r="160" spans="1:3" x14ac:dyDescent="0.2">
      <c r="A160" s="9">
        <v>26573</v>
      </c>
      <c r="B160" s="10">
        <f>VLOOKUP(Table24[[#This Row],[Date]],'Database New'!$A:$D,MATCH($A$1,'Database New'!$A$1:$D$1,),)</f>
        <v>2485</v>
      </c>
      <c r="C160" s="30">
        <f>(Table24[[#This Row],[Started]]-B159)/B159</f>
        <v>1.6122531237404273E-3</v>
      </c>
    </row>
    <row r="161" spans="1:3" x14ac:dyDescent="0.2">
      <c r="A161" s="9">
        <v>26604</v>
      </c>
      <c r="B161" s="10">
        <f>VLOOKUP(Table24[[#This Row],[Date]],'Database New'!$A:$D,MATCH($A$1,'Database New'!$A$1:$D$1,),)</f>
        <v>2421</v>
      </c>
      <c r="C161" s="30">
        <f>(Table24[[#This Row],[Started]]-B160)/B160</f>
        <v>-2.5754527162977867E-2</v>
      </c>
    </row>
    <row r="162" spans="1:3" x14ac:dyDescent="0.2">
      <c r="A162" s="9">
        <v>26634</v>
      </c>
      <c r="B162" s="10">
        <f>VLOOKUP(Table24[[#This Row],[Date]],'Database New'!$A:$D,MATCH($A$1,'Database New'!$A$1:$D$1,),)</f>
        <v>2366</v>
      </c>
      <c r="C162" s="30">
        <f>(Table24[[#This Row],[Started]]-B161)/B161</f>
        <v>-2.271788517141677E-2</v>
      </c>
    </row>
    <row r="163" spans="1:3" x14ac:dyDescent="0.2">
      <c r="A163" s="9">
        <v>26665</v>
      </c>
      <c r="B163" s="10">
        <f>VLOOKUP(Table24[[#This Row],[Date]],'Database New'!$A:$D,MATCH($A$1,'Database New'!$A$1:$D$1,),)</f>
        <v>2481</v>
      </c>
      <c r="C163" s="30">
        <f>(Table24[[#This Row],[Started]]-B162)/B162</f>
        <v>4.8605240912933223E-2</v>
      </c>
    </row>
    <row r="164" spans="1:3" x14ac:dyDescent="0.2">
      <c r="A164" s="9">
        <v>26696</v>
      </c>
      <c r="B164" s="10">
        <f>VLOOKUP(Table24[[#This Row],[Date]],'Database New'!$A:$D,MATCH($A$1,'Database New'!$A$1:$D$1,),)</f>
        <v>2289</v>
      </c>
      <c r="C164" s="30">
        <f>(Table24[[#This Row],[Started]]-B163)/B163</f>
        <v>-7.7388149939540504E-2</v>
      </c>
    </row>
    <row r="165" spans="1:3" x14ac:dyDescent="0.2">
      <c r="A165" s="9">
        <v>26724</v>
      </c>
      <c r="B165" s="10">
        <f>VLOOKUP(Table24[[#This Row],[Date]],'Database New'!$A:$D,MATCH($A$1,'Database New'!$A$1:$D$1,),)</f>
        <v>2365</v>
      </c>
      <c r="C165" s="30">
        <f>(Table24[[#This Row],[Started]]-B164)/B164</f>
        <v>3.3202271734381825E-2</v>
      </c>
    </row>
    <row r="166" spans="1:3" x14ac:dyDescent="0.2">
      <c r="A166" s="9">
        <v>26755</v>
      </c>
      <c r="B166" s="10">
        <f>VLOOKUP(Table24[[#This Row],[Date]],'Database New'!$A:$D,MATCH($A$1,'Database New'!$A$1:$D$1,),)</f>
        <v>2084</v>
      </c>
      <c r="C166" s="30">
        <f>(Table24[[#This Row],[Started]]-B165)/B165</f>
        <v>-0.11881606765327696</v>
      </c>
    </row>
    <row r="167" spans="1:3" x14ac:dyDescent="0.2">
      <c r="A167" s="9">
        <v>26785</v>
      </c>
      <c r="B167" s="10">
        <f>VLOOKUP(Table24[[#This Row],[Date]],'Database New'!$A:$D,MATCH($A$1,'Database New'!$A$1:$D$1,),)</f>
        <v>2266</v>
      </c>
      <c r="C167" s="30">
        <f>(Table24[[#This Row],[Started]]-B166)/B166</f>
        <v>8.7332053742802299E-2</v>
      </c>
    </row>
    <row r="168" spans="1:3" x14ac:dyDescent="0.2">
      <c r="A168" s="9">
        <v>26816</v>
      </c>
      <c r="B168" s="10">
        <f>VLOOKUP(Table24[[#This Row],[Date]],'Database New'!$A:$D,MATCH($A$1,'Database New'!$A$1:$D$1,),)</f>
        <v>2067</v>
      </c>
      <c r="C168" s="30">
        <f>(Table24[[#This Row],[Started]]-B167)/B167</f>
        <v>-8.7819947043248012E-2</v>
      </c>
    </row>
    <row r="169" spans="1:3" x14ac:dyDescent="0.2">
      <c r="A169" s="9">
        <v>26846</v>
      </c>
      <c r="B169" s="10">
        <f>VLOOKUP(Table24[[#This Row],[Date]],'Database New'!$A:$D,MATCH($A$1,'Database New'!$A$1:$D$1,),)</f>
        <v>2123</v>
      </c>
      <c r="C169" s="30">
        <f>(Table24[[#This Row],[Started]]-B168)/B168</f>
        <v>2.7092404450895016E-2</v>
      </c>
    </row>
    <row r="170" spans="1:3" x14ac:dyDescent="0.2">
      <c r="A170" s="9">
        <v>26877</v>
      </c>
      <c r="B170" s="10">
        <f>VLOOKUP(Table24[[#This Row],[Date]],'Database New'!$A:$D,MATCH($A$1,'Database New'!$A$1:$D$1,),)</f>
        <v>2051</v>
      </c>
      <c r="C170" s="30">
        <f>(Table24[[#This Row],[Started]]-B169)/B169</f>
        <v>-3.3914272256241169E-2</v>
      </c>
    </row>
    <row r="171" spans="1:3" x14ac:dyDescent="0.2">
      <c r="A171" s="9">
        <v>26908</v>
      </c>
      <c r="B171" s="10">
        <f>VLOOKUP(Table24[[#This Row],[Date]],'Database New'!$A:$D,MATCH($A$1,'Database New'!$A$1:$D$1,),)</f>
        <v>1874</v>
      </c>
      <c r="C171" s="30">
        <f>(Table24[[#This Row],[Started]]-B170)/B170</f>
        <v>-8.6299366162847391E-2</v>
      </c>
    </row>
    <row r="172" spans="1:3" x14ac:dyDescent="0.2">
      <c r="A172" s="9">
        <v>26938</v>
      </c>
      <c r="B172" s="10">
        <f>VLOOKUP(Table24[[#This Row],[Date]],'Database New'!$A:$D,MATCH($A$1,'Database New'!$A$1:$D$1,),)</f>
        <v>1677</v>
      </c>
      <c r="C172" s="30">
        <f>(Table24[[#This Row],[Started]]-B171)/B171</f>
        <v>-0.10512273212379936</v>
      </c>
    </row>
    <row r="173" spans="1:3" x14ac:dyDescent="0.2">
      <c r="A173" s="9">
        <v>26969</v>
      </c>
      <c r="B173" s="10">
        <f>VLOOKUP(Table24[[#This Row],[Date]],'Database New'!$A:$D,MATCH($A$1,'Database New'!$A$1:$D$1,),)</f>
        <v>1724</v>
      </c>
      <c r="C173" s="30">
        <f>(Table24[[#This Row],[Started]]-B172)/B172</f>
        <v>2.8026237328562909E-2</v>
      </c>
    </row>
    <row r="174" spans="1:3" x14ac:dyDescent="0.2">
      <c r="A174" s="9">
        <v>26999</v>
      </c>
      <c r="B174" s="10">
        <f>VLOOKUP(Table24[[#This Row],[Date]],'Database New'!$A:$D,MATCH($A$1,'Database New'!$A$1:$D$1,),)</f>
        <v>1526</v>
      </c>
      <c r="C174" s="30">
        <f>(Table24[[#This Row],[Started]]-B173)/B173</f>
        <v>-0.1148491879350348</v>
      </c>
    </row>
    <row r="175" spans="1:3" x14ac:dyDescent="0.2">
      <c r="A175" s="9">
        <v>27030</v>
      </c>
      <c r="B175" s="10">
        <f>VLOOKUP(Table24[[#This Row],[Date]],'Database New'!$A:$D,MATCH($A$1,'Database New'!$A$1:$D$1,),)</f>
        <v>1451</v>
      </c>
      <c r="C175" s="30">
        <f>(Table24[[#This Row],[Started]]-B174)/B174</f>
        <v>-4.9148099606815203E-2</v>
      </c>
    </row>
    <row r="176" spans="1:3" x14ac:dyDescent="0.2">
      <c r="A176" s="9">
        <v>27061</v>
      </c>
      <c r="B176" s="10">
        <f>VLOOKUP(Table24[[#This Row],[Date]],'Database New'!$A:$D,MATCH($A$1,'Database New'!$A$1:$D$1,),)</f>
        <v>1752</v>
      </c>
      <c r="C176" s="30">
        <f>(Table24[[#This Row],[Started]]-B175)/B175</f>
        <v>0.20744314266023431</v>
      </c>
    </row>
    <row r="177" spans="1:3" x14ac:dyDescent="0.2">
      <c r="A177" s="9">
        <v>27089</v>
      </c>
      <c r="B177" s="10">
        <f>VLOOKUP(Table24[[#This Row],[Date]],'Database New'!$A:$D,MATCH($A$1,'Database New'!$A$1:$D$1,),)</f>
        <v>1555</v>
      </c>
      <c r="C177" s="30">
        <f>(Table24[[#This Row],[Started]]-B176)/B176</f>
        <v>-0.11244292237442922</v>
      </c>
    </row>
    <row r="178" spans="1:3" x14ac:dyDescent="0.2">
      <c r="A178" s="9">
        <v>27120</v>
      </c>
      <c r="B178" s="10">
        <f>VLOOKUP(Table24[[#This Row],[Date]],'Database New'!$A:$D,MATCH($A$1,'Database New'!$A$1:$D$1,),)</f>
        <v>1607</v>
      </c>
      <c r="C178" s="30">
        <f>(Table24[[#This Row],[Started]]-B177)/B177</f>
        <v>3.3440514469453377E-2</v>
      </c>
    </row>
    <row r="179" spans="1:3" x14ac:dyDescent="0.2">
      <c r="A179" s="9">
        <v>27150</v>
      </c>
      <c r="B179" s="10">
        <f>VLOOKUP(Table24[[#This Row],[Date]],'Database New'!$A:$D,MATCH($A$1,'Database New'!$A$1:$D$1,),)</f>
        <v>1426</v>
      </c>
      <c r="C179" s="30">
        <f>(Table24[[#This Row],[Started]]-B178)/B178</f>
        <v>-0.11263223397635345</v>
      </c>
    </row>
    <row r="180" spans="1:3" x14ac:dyDescent="0.2">
      <c r="A180" s="9">
        <v>27181</v>
      </c>
      <c r="B180" s="10">
        <f>VLOOKUP(Table24[[#This Row],[Date]],'Database New'!$A:$D,MATCH($A$1,'Database New'!$A$1:$D$1,),)</f>
        <v>1513</v>
      </c>
      <c r="C180" s="30">
        <f>(Table24[[#This Row],[Started]]-B179)/B179</f>
        <v>6.1009817671809255E-2</v>
      </c>
    </row>
    <row r="181" spans="1:3" x14ac:dyDescent="0.2">
      <c r="A181" s="9">
        <v>27211</v>
      </c>
      <c r="B181" s="10">
        <f>VLOOKUP(Table24[[#This Row],[Date]],'Database New'!$A:$D,MATCH($A$1,'Database New'!$A$1:$D$1,),)</f>
        <v>1316</v>
      </c>
      <c r="C181" s="30">
        <f>(Table24[[#This Row],[Started]]-B180)/B180</f>
        <v>-0.13020489094514209</v>
      </c>
    </row>
    <row r="182" spans="1:3" x14ac:dyDescent="0.2">
      <c r="A182" s="9">
        <v>27242</v>
      </c>
      <c r="B182" s="10">
        <f>VLOOKUP(Table24[[#This Row],[Date]],'Database New'!$A:$D,MATCH($A$1,'Database New'!$A$1:$D$1,),)</f>
        <v>1142</v>
      </c>
      <c r="C182" s="30">
        <f>(Table24[[#This Row],[Started]]-B181)/B181</f>
        <v>-0.13221884498480244</v>
      </c>
    </row>
    <row r="183" spans="1:3" x14ac:dyDescent="0.2">
      <c r="A183" s="9">
        <v>27273</v>
      </c>
      <c r="B183" s="10">
        <f>VLOOKUP(Table24[[#This Row],[Date]],'Database New'!$A:$D,MATCH($A$1,'Database New'!$A$1:$D$1,),)</f>
        <v>1150</v>
      </c>
      <c r="C183" s="30">
        <f>(Table24[[#This Row],[Started]]-B182)/B182</f>
        <v>7.0052539404553416E-3</v>
      </c>
    </row>
    <row r="184" spans="1:3" x14ac:dyDescent="0.2">
      <c r="A184" s="9">
        <v>27303</v>
      </c>
      <c r="B184" s="10">
        <f>VLOOKUP(Table24[[#This Row],[Date]],'Database New'!$A:$D,MATCH($A$1,'Database New'!$A$1:$D$1,),)</f>
        <v>1070</v>
      </c>
      <c r="C184" s="30">
        <f>(Table24[[#This Row],[Started]]-B183)/B183</f>
        <v>-6.9565217391304349E-2</v>
      </c>
    </row>
    <row r="185" spans="1:3" x14ac:dyDescent="0.2">
      <c r="A185" s="9">
        <v>27334</v>
      </c>
      <c r="B185" s="10">
        <f>VLOOKUP(Table24[[#This Row],[Date]],'Database New'!$A:$D,MATCH($A$1,'Database New'!$A$1:$D$1,),)</f>
        <v>1026</v>
      </c>
      <c r="C185" s="30">
        <f>(Table24[[#This Row],[Started]]-B184)/B184</f>
        <v>-4.1121495327102804E-2</v>
      </c>
    </row>
    <row r="186" spans="1:3" x14ac:dyDescent="0.2">
      <c r="A186" s="9">
        <v>27364</v>
      </c>
      <c r="B186" s="10">
        <f>VLOOKUP(Table24[[#This Row],[Date]],'Database New'!$A:$D,MATCH($A$1,'Database New'!$A$1:$D$1,),)</f>
        <v>975</v>
      </c>
      <c r="C186" s="30">
        <f>(Table24[[#This Row],[Started]]-B185)/B185</f>
        <v>-4.9707602339181284E-2</v>
      </c>
    </row>
    <row r="187" spans="1:3" x14ac:dyDescent="0.2">
      <c r="A187" s="9">
        <v>27395</v>
      </c>
      <c r="B187" s="10">
        <f>VLOOKUP(Table24[[#This Row],[Date]],'Database New'!$A:$D,MATCH($A$1,'Database New'!$A$1:$D$1,),)</f>
        <v>1032</v>
      </c>
      <c r="C187" s="30">
        <f>(Table24[[#This Row],[Started]]-B186)/B186</f>
        <v>5.8461538461538461E-2</v>
      </c>
    </row>
    <row r="188" spans="1:3" x14ac:dyDescent="0.2">
      <c r="A188" s="9">
        <v>27426</v>
      </c>
      <c r="B188" s="10">
        <f>VLOOKUP(Table24[[#This Row],[Date]],'Database New'!$A:$D,MATCH($A$1,'Database New'!$A$1:$D$1,),)</f>
        <v>904</v>
      </c>
      <c r="C188" s="30">
        <f>(Table24[[#This Row],[Started]]-B187)/B187</f>
        <v>-0.12403100775193798</v>
      </c>
    </row>
    <row r="189" spans="1:3" x14ac:dyDescent="0.2">
      <c r="A189" s="9">
        <v>27454</v>
      </c>
      <c r="B189" s="10">
        <f>VLOOKUP(Table24[[#This Row],[Date]],'Database New'!$A:$D,MATCH($A$1,'Database New'!$A$1:$D$1,),)</f>
        <v>993</v>
      </c>
      <c r="C189" s="30">
        <f>(Table24[[#This Row],[Started]]-B188)/B188</f>
        <v>9.8451327433628319E-2</v>
      </c>
    </row>
    <row r="190" spans="1:3" x14ac:dyDescent="0.2">
      <c r="A190" s="9">
        <v>27485</v>
      </c>
      <c r="B190" s="10">
        <f>VLOOKUP(Table24[[#This Row],[Date]],'Database New'!$A:$D,MATCH($A$1,'Database New'!$A$1:$D$1,),)</f>
        <v>1005</v>
      </c>
      <c r="C190" s="30">
        <f>(Table24[[#This Row],[Started]]-B189)/B189</f>
        <v>1.2084592145015106E-2</v>
      </c>
    </row>
    <row r="191" spans="1:3" x14ac:dyDescent="0.2">
      <c r="A191" s="9">
        <v>27515</v>
      </c>
      <c r="B191" s="10">
        <f>VLOOKUP(Table24[[#This Row],[Date]],'Database New'!$A:$D,MATCH($A$1,'Database New'!$A$1:$D$1,),)</f>
        <v>1121</v>
      </c>
      <c r="C191" s="30">
        <f>(Table24[[#This Row],[Started]]-B190)/B190</f>
        <v>0.1154228855721393</v>
      </c>
    </row>
    <row r="192" spans="1:3" x14ac:dyDescent="0.2">
      <c r="A192" s="9">
        <v>27546</v>
      </c>
      <c r="B192" s="10">
        <f>VLOOKUP(Table24[[#This Row],[Date]],'Database New'!$A:$D,MATCH($A$1,'Database New'!$A$1:$D$1,),)</f>
        <v>1087</v>
      </c>
      <c r="C192" s="30">
        <f>(Table24[[#This Row],[Started]]-B191)/B191</f>
        <v>-3.0330062444246207E-2</v>
      </c>
    </row>
    <row r="193" spans="1:3" x14ac:dyDescent="0.2">
      <c r="A193" s="9">
        <v>27576</v>
      </c>
      <c r="B193" s="10">
        <f>VLOOKUP(Table24[[#This Row],[Date]],'Database New'!$A:$D,MATCH($A$1,'Database New'!$A$1:$D$1,),)</f>
        <v>1226</v>
      </c>
      <c r="C193" s="30">
        <f>(Table24[[#This Row],[Started]]-B192)/B192</f>
        <v>0.12787488500459981</v>
      </c>
    </row>
    <row r="194" spans="1:3" x14ac:dyDescent="0.2">
      <c r="A194" s="9">
        <v>27607</v>
      </c>
      <c r="B194" s="10">
        <f>VLOOKUP(Table24[[#This Row],[Date]],'Database New'!$A:$D,MATCH($A$1,'Database New'!$A$1:$D$1,),)</f>
        <v>1260</v>
      </c>
      <c r="C194" s="30">
        <f>(Table24[[#This Row],[Started]]-B193)/B193</f>
        <v>2.7732463295269169E-2</v>
      </c>
    </row>
    <row r="195" spans="1:3" x14ac:dyDescent="0.2">
      <c r="A195" s="9">
        <v>27638</v>
      </c>
      <c r="B195" s="10">
        <f>VLOOKUP(Table24[[#This Row],[Date]],'Database New'!$A:$D,MATCH($A$1,'Database New'!$A$1:$D$1,),)</f>
        <v>1264</v>
      </c>
      <c r="C195" s="30">
        <f>(Table24[[#This Row],[Started]]-B194)/B194</f>
        <v>3.1746031746031746E-3</v>
      </c>
    </row>
    <row r="196" spans="1:3" x14ac:dyDescent="0.2">
      <c r="A196" s="9">
        <v>27668</v>
      </c>
      <c r="B196" s="10">
        <f>VLOOKUP(Table24[[#This Row],[Date]],'Database New'!$A:$D,MATCH($A$1,'Database New'!$A$1:$D$1,),)</f>
        <v>1344</v>
      </c>
      <c r="C196" s="30">
        <f>(Table24[[#This Row],[Started]]-B195)/B195</f>
        <v>6.3291139240506333E-2</v>
      </c>
    </row>
    <row r="197" spans="1:3" x14ac:dyDescent="0.2">
      <c r="A197" s="9">
        <v>27699</v>
      </c>
      <c r="B197" s="10">
        <f>VLOOKUP(Table24[[#This Row],[Date]],'Database New'!$A:$D,MATCH($A$1,'Database New'!$A$1:$D$1,),)</f>
        <v>1360</v>
      </c>
      <c r="C197" s="30">
        <f>(Table24[[#This Row],[Started]]-B196)/B196</f>
        <v>1.1904761904761904E-2</v>
      </c>
    </row>
    <row r="198" spans="1:3" x14ac:dyDescent="0.2">
      <c r="A198" s="9">
        <v>27729</v>
      </c>
      <c r="B198" s="10">
        <f>VLOOKUP(Table24[[#This Row],[Date]],'Database New'!$A:$D,MATCH($A$1,'Database New'!$A$1:$D$1,),)</f>
        <v>1321</v>
      </c>
      <c r="C198" s="30">
        <f>(Table24[[#This Row],[Started]]-B197)/B197</f>
        <v>-2.8676470588235293E-2</v>
      </c>
    </row>
    <row r="199" spans="1:3" x14ac:dyDescent="0.2">
      <c r="A199" s="9">
        <v>27760</v>
      </c>
      <c r="B199" s="10">
        <f>VLOOKUP(Table24[[#This Row],[Date]],'Database New'!$A:$D,MATCH($A$1,'Database New'!$A$1:$D$1,),)</f>
        <v>1367</v>
      </c>
      <c r="C199" s="30">
        <f>(Table24[[#This Row],[Started]]-B198)/B198</f>
        <v>3.4822104466313397E-2</v>
      </c>
    </row>
    <row r="200" spans="1:3" x14ac:dyDescent="0.2">
      <c r="A200" s="9">
        <v>27791</v>
      </c>
      <c r="B200" s="10">
        <f>VLOOKUP(Table24[[#This Row],[Date]],'Database New'!$A:$D,MATCH($A$1,'Database New'!$A$1:$D$1,),)</f>
        <v>1538</v>
      </c>
      <c r="C200" s="30">
        <f>(Table24[[#This Row],[Started]]-B199)/B199</f>
        <v>0.12509144111192391</v>
      </c>
    </row>
    <row r="201" spans="1:3" x14ac:dyDescent="0.2">
      <c r="A201" s="9">
        <v>27820</v>
      </c>
      <c r="B201" s="10">
        <f>VLOOKUP(Table24[[#This Row],[Date]],'Database New'!$A:$D,MATCH($A$1,'Database New'!$A$1:$D$1,),)</f>
        <v>1421</v>
      </c>
      <c r="C201" s="30">
        <f>(Table24[[#This Row],[Started]]-B200)/B200</f>
        <v>-7.6072821846553965E-2</v>
      </c>
    </row>
    <row r="202" spans="1:3" x14ac:dyDescent="0.2">
      <c r="A202" s="9">
        <v>27851</v>
      </c>
      <c r="B202" s="10">
        <f>VLOOKUP(Table24[[#This Row],[Date]],'Database New'!$A:$D,MATCH($A$1,'Database New'!$A$1:$D$1,),)</f>
        <v>1395</v>
      </c>
      <c r="C202" s="30">
        <f>(Table24[[#This Row],[Started]]-B201)/B201</f>
        <v>-1.8296973961998593E-2</v>
      </c>
    </row>
    <row r="203" spans="1:3" x14ac:dyDescent="0.2">
      <c r="A203" s="9">
        <v>27881</v>
      </c>
      <c r="B203" s="10">
        <f>VLOOKUP(Table24[[#This Row],[Date]],'Database New'!$A:$D,MATCH($A$1,'Database New'!$A$1:$D$1,),)</f>
        <v>1459</v>
      </c>
      <c r="C203" s="30">
        <f>(Table24[[#This Row],[Started]]-B202)/B202</f>
        <v>4.5878136200716846E-2</v>
      </c>
    </row>
    <row r="204" spans="1:3" x14ac:dyDescent="0.2">
      <c r="A204" s="9">
        <v>27912</v>
      </c>
      <c r="B204" s="10">
        <f>VLOOKUP(Table24[[#This Row],[Date]],'Database New'!$A:$D,MATCH($A$1,'Database New'!$A$1:$D$1,),)</f>
        <v>1495</v>
      </c>
      <c r="C204" s="30">
        <f>(Table24[[#This Row],[Started]]-B203)/B203</f>
        <v>2.4674434544208361E-2</v>
      </c>
    </row>
    <row r="205" spans="1:3" x14ac:dyDescent="0.2">
      <c r="A205" s="9">
        <v>27942</v>
      </c>
      <c r="B205" s="10">
        <f>VLOOKUP(Table24[[#This Row],[Date]],'Database New'!$A:$D,MATCH($A$1,'Database New'!$A$1:$D$1,),)</f>
        <v>1401</v>
      </c>
      <c r="C205" s="30">
        <f>(Table24[[#This Row],[Started]]-B204)/B204</f>
        <v>-6.2876254180602012E-2</v>
      </c>
    </row>
    <row r="206" spans="1:3" x14ac:dyDescent="0.2">
      <c r="A206" s="9">
        <v>27973</v>
      </c>
      <c r="B206" s="10">
        <f>VLOOKUP(Table24[[#This Row],[Date]],'Database New'!$A:$D,MATCH($A$1,'Database New'!$A$1:$D$1,),)</f>
        <v>1550</v>
      </c>
      <c r="C206" s="30">
        <f>(Table24[[#This Row],[Started]]-B205)/B205</f>
        <v>0.10635260528194147</v>
      </c>
    </row>
    <row r="207" spans="1:3" x14ac:dyDescent="0.2">
      <c r="A207" s="9">
        <v>28004</v>
      </c>
      <c r="B207" s="10">
        <f>VLOOKUP(Table24[[#This Row],[Date]],'Database New'!$A:$D,MATCH($A$1,'Database New'!$A$1:$D$1,),)</f>
        <v>1720</v>
      </c>
      <c r="C207" s="30">
        <f>(Table24[[#This Row],[Started]]-B206)/B206</f>
        <v>0.10967741935483871</v>
      </c>
    </row>
    <row r="208" spans="1:3" x14ac:dyDescent="0.2">
      <c r="A208" s="9">
        <v>28034</v>
      </c>
      <c r="B208" s="10">
        <f>VLOOKUP(Table24[[#This Row],[Date]],'Database New'!$A:$D,MATCH($A$1,'Database New'!$A$1:$D$1,),)</f>
        <v>1629</v>
      </c>
      <c r="C208" s="30">
        <f>(Table24[[#This Row],[Started]]-B207)/B207</f>
        <v>-5.2906976744186048E-2</v>
      </c>
    </row>
    <row r="209" spans="1:3" x14ac:dyDescent="0.2">
      <c r="A209" s="9">
        <v>28065</v>
      </c>
      <c r="B209" s="10">
        <f>VLOOKUP(Table24[[#This Row],[Date]],'Database New'!$A:$D,MATCH($A$1,'Database New'!$A$1:$D$1,),)</f>
        <v>1641</v>
      </c>
      <c r="C209" s="30">
        <f>(Table24[[#This Row],[Started]]-B208)/B208</f>
        <v>7.3664825046040518E-3</v>
      </c>
    </row>
    <row r="210" spans="1:3" x14ac:dyDescent="0.2">
      <c r="A210" s="9">
        <v>28095</v>
      </c>
      <c r="B210" s="10">
        <f>VLOOKUP(Table24[[#This Row],[Date]],'Database New'!$A:$D,MATCH($A$1,'Database New'!$A$1:$D$1,),)</f>
        <v>1804</v>
      </c>
      <c r="C210" s="30">
        <f>(Table24[[#This Row],[Started]]-B209)/B209</f>
        <v>9.9329677026203531E-2</v>
      </c>
    </row>
    <row r="211" spans="1:3" x14ac:dyDescent="0.2">
      <c r="A211" s="9">
        <v>28126</v>
      </c>
      <c r="B211" s="10">
        <f>VLOOKUP(Table24[[#This Row],[Date]],'Database New'!$A:$D,MATCH($A$1,'Database New'!$A$1:$D$1,),)</f>
        <v>1527</v>
      </c>
      <c r="C211" s="30">
        <f>(Table24[[#This Row],[Started]]-B210)/B210</f>
        <v>-0.15354767184035475</v>
      </c>
    </row>
    <row r="212" spans="1:3" x14ac:dyDescent="0.2">
      <c r="A212" s="9">
        <v>28157</v>
      </c>
      <c r="B212" s="10">
        <f>VLOOKUP(Table24[[#This Row],[Date]],'Database New'!$A:$D,MATCH($A$1,'Database New'!$A$1:$D$1,),)</f>
        <v>1943</v>
      </c>
      <c r="C212" s="30">
        <f>(Table24[[#This Row],[Started]]-B211)/B211</f>
        <v>0.27242960052390308</v>
      </c>
    </row>
    <row r="213" spans="1:3" x14ac:dyDescent="0.2">
      <c r="A213" s="9">
        <v>28185</v>
      </c>
      <c r="B213" s="10">
        <f>VLOOKUP(Table24[[#This Row],[Date]],'Database New'!$A:$D,MATCH($A$1,'Database New'!$A$1:$D$1,),)</f>
        <v>2063</v>
      </c>
      <c r="C213" s="30">
        <f>(Table24[[#This Row],[Started]]-B212)/B212</f>
        <v>6.1760164693772518E-2</v>
      </c>
    </row>
    <row r="214" spans="1:3" x14ac:dyDescent="0.2">
      <c r="A214" s="9">
        <v>28216</v>
      </c>
      <c r="B214" s="10">
        <f>VLOOKUP(Table24[[#This Row],[Date]],'Database New'!$A:$D,MATCH($A$1,'Database New'!$A$1:$D$1,),)</f>
        <v>1892</v>
      </c>
      <c r="C214" s="30">
        <f>(Table24[[#This Row],[Started]]-B213)/B213</f>
        <v>-8.2888996606883175E-2</v>
      </c>
    </row>
    <row r="215" spans="1:3" x14ac:dyDescent="0.2">
      <c r="A215" s="9">
        <v>28246</v>
      </c>
      <c r="B215" s="10">
        <f>VLOOKUP(Table24[[#This Row],[Date]],'Database New'!$A:$D,MATCH($A$1,'Database New'!$A$1:$D$1,),)</f>
        <v>1971</v>
      </c>
      <c r="C215" s="30">
        <f>(Table24[[#This Row],[Started]]-B214)/B214</f>
        <v>4.1754756871035942E-2</v>
      </c>
    </row>
    <row r="216" spans="1:3" x14ac:dyDescent="0.2">
      <c r="A216" s="9">
        <v>28277</v>
      </c>
      <c r="B216" s="10">
        <f>VLOOKUP(Table24[[#This Row],[Date]],'Database New'!$A:$D,MATCH($A$1,'Database New'!$A$1:$D$1,),)</f>
        <v>1893</v>
      </c>
      <c r="C216" s="30">
        <f>(Table24[[#This Row],[Started]]-B215)/B215</f>
        <v>-3.9573820395738202E-2</v>
      </c>
    </row>
    <row r="217" spans="1:3" x14ac:dyDescent="0.2">
      <c r="A217" s="9">
        <v>28307</v>
      </c>
      <c r="B217" s="10">
        <f>VLOOKUP(Table24[[#This Row],[Date]],'Database New'!$A:$D,MATCH($A$1,'Database New'!$A$1:$D$1,),)</f>
        <v>2058</v>
      </c>
      <c r="C217" s="30">
        <f>(Table24[[#This Row],[Started]]-B216)/B216</f>
        <v>8.7163232963549928E-2</v>
      </c>
    </row>
    <row r="218" spans="1:3" x14ac:dyDescent="0.2">
      <c r="A218" s="9">
        <v>28338</v>
      </c>
      <c r="B218" s="10">
        <f>VLOOKUP(Table24[[#This Row],[Date]],'Database New'!$A:$D,MATCH($A$1,'Database New'!$A$1:$D$1,),)</f>
        <v>2020</v>
      </c>
      <c r="C218" s="30">
        <f>(Table24[[#This Row],[Started]]-B217)/B217</f>
        <v>-1.84645286686103E-2</v>
      </c>
    </row>
    <row r="219" spans="1:3" x14ac:dyDescent="0.2">
      <c r="A219" s="9">
        <v>28369</v>
      </c>
      <c r="B219" s="10">
        <f>VLOOKUP(Table24[[#This Row],[Date]],'Database New'!$A:$D,MATCH($A$1,'Database New'!$A$1:$D$1,),)</f>
        <v>1949</v>
      </c>
      <c r="C219" s="30">
        <f>(Table24[[#This Row],[Started]]-B218)/B218</f>
        <v>-3.5148514851485152E-2</v>
      </c>
    </row>
    <row r="220" spans="1:3" x14ac:dyDescent="0.2">
      <c r="A220" s="9">
        <v>28399</v>
      </c>
      <c r="B220" s="10">
        <f>VLOOKUP(Table24[[#This Row],[Date]],'Database New'!$A:$D,MATCH($A$1,'Database New'!$A$1:$D$1,),)</f>
        <v>2042</v>
      </c>
      <c r="C220" s="30">
        <f>(Table24[[#This Row],[Started]]-B219)/B219</f>
        <v>4.7716777834787068E-2</v>
      </c>
    </row>
    <row r="221" spans="1:3" x14ac:dyDescent="0.2">
      <c r="A221" s="9">
        <v>28430</v>
      </c>
      <c r="B221" s="10">
        <f>VLOOKUP(Table24[[#This Row],[Date]],'Database New'!$A:$D,MATCH($A$1,'Database New'!$A$1:$D$1,),)</f>
        <v>2042</v>
      </c>
      <c r="C221" s="30">
        <f>(Table24[[#This Row],[Started]]-B220)/B220</f>
        <v>0</v>
      </c>
    </row>
    <row r="222" spans="1:3" x14ac:dyDescent="0.2">
      <c r="A222" s="9">
        <v>28460</v>
      </c>
      <c r="B222" s="10">
        <f>VLOOKUP(Table24[[#This Row],[Date]],'Database New'!$A:$D,MATCH($A$1,'Database New'!$A$1:$D$1,),)</f>
        <v>2142</v>
      </c>
      <c r="C222" s="30">
        <f>(Table24[[#This Row],[Started]]-B221)/B221</f>
        <v>4.8971596474045052E-2</v>
      </c>
    </row>
    <row r="223" spans="1:3" x14ac:dyDescent="0.2">
      <c r="A223" s="9">
        <v>28491</v>
      </c>
      <c r="B223" s="10">
        <f>VLOOKUP(Table24[[#This Row],[Date]],'Database New'!$A:$D,MATCH($A$1,'Database New'!$A$1:$D$1,),)</f>
        <v>1718</v>
      </c>
      <c r="C223" s="30">
        <f>(Table24[[#This Row],[Started]]-B222)/B222</f>
        <v>-0.19794584500466852</v>
      </c>
    </row>
    <row r="224" spans="1:3" x14ac:dyDescent="0.2">
      <c r="A224" s="9">
        <v>28522</v>
      </c>
      <c r="B224" s="10">
        <f>VLOOKUP(Table24[[#This Row],[Date]],'Database New'!$A:$D,MATCH($A$1,'Database New'!$A$1:$D$1,),)</f>
        <v>1738</v>
      </c>
      <c r="C224" s="30">
        <f>(Table24[[#This Row],[Started]]-B223)/B223</f>
        <v>1.1641443538998836E-2</v>
      </c>
    </row>
    <row r="225" spans="1:3" x14ac:dyDescent="0.2">
      <c r="A225" s="9">
        <v>28550</v>
      </c>
      <c r="B225" s="10">
        <f>VLOOKUP(Table24[[#This Row],[Date]],'Database New'!$A:$D,MATCH($A$1,'Database New'!$A$1:$D$1,),)</f>
        <v>2032</v>
      </c>
      <c r="C225" s="30">
        <f>(Table24[[#This Row],[Started]]-B224)/B224</f>
        <v>0.16915995397008055</v>
      </c>
    </row>
    <row r="226" spans="1:3" x14ac:dyDescent="0.2">
      <c r="A226" s="9">
        <v>28581</v>
      </c>
      <c r="B226" s="10">
        <f>VLOOKUP(Table24[[#This Row],[Date]],'Database New'!$A:$D,MATCH($A$1,'Database New'!$A$1:$D$1,),)</f>
        <v>2197</v>
      </c>
      <c r="C226" s="30">
        <f>(Table24[[#This Row],[Started]]-B225)/B225</f>
        <v>8.1200787401574798E-2</v>
      </c>
    </row>
    <row r="227" spans="1:3" x14ac:dyDescent="0.2">
      <c r="A227" s="13">
        <v>28611</v>
      </c>
      <c r="B227" s="10">
        <f>VLOOKUP(Table24[[#This Row],[Date]],'Database New'!$A:$D,MATCH($A$1,'Database New'!$A$1:$D$1,),)</f>
        <v>2075</v>
      </c>
      <c r="C227" s="30">
        <f>(Table24[[#This Row],[Started]]-B226)/B226</f>
        <v>-5.5530268548020026E-2</v>
      </c>
    </row>
    <row r="228" spans="1:3" x14ac:dyDescent="0.2">
      <c r="A228" s="13">
        <v>28642</v>
      </c>
      <c r="B228" s="10">
        <f>VLOOKUP(Table24[[#This Row],[Date]],'Database New'!$A:$D,MATCH($A$1,'Database New'!$A$1:$D$1,),)</f>
        <v>2070</v>
      </c>
      <c r="C228" s="30">
        <f>(Table24[[#This Row],[Started]]-B227)/B227</f>
        <v>-2.4096385542168677E-3</v>
      </c>
    </row>
    <row r="229" spans="1:3" x14ac:dyDescent="0.2">
      <c r="A229" s="13">
        <v>28672</v>
      </c>
      <c r="B229" s="10">
        <f>VLOOKUP(Table24[[#This Row],[Date]],'Database New'!$A:$D,MATCH($A$1,'Database New'!$A$1:$D$1,),)</f>
        <v>2092</v>
      </c>
      <c r="C229" s="30">
        <f>(Table24[[#This Row],[Started]]-B228)/B228</f>
        <v>1.0628019323671498E-2</v>
      </c>
    </row>
    <row r="230" spans="1:3" x14ac:dyDescent="0.2">
      <c r="A230" s="13">
        <v>28703</v>
      </c>
      <c r="B230" s="10">
        <f>VLOOKUP(Table24[[#This Row],[Date]],'Database New'!$A:$D,MATCH($A$1,'Database New'!$A$1:$D$1,),)</f>
        <v>1996</v>
      </c>
      <c r="C230" s="30">
        <f>(Table24[[#This Row],[Started]]-B229)/B229</f>
        <v>-4.5889101338432124E-2</v>
      </c>
    </row>
    <row r="231" spans="1:3" x14ac:dyDescent="0.2">
      <c r="A231" s="13">
        <v>28734</v>
      </c>
      <c r="B231" s="10">
        <f>VLOOKUP(Table24[[#This Row],[Date]],'Database New'!$A:$D,MATCH($A$1,'Database New'!$A$1:$D$1,),)</f>
        <v>1970</v>
      </c>
      <c r="C231" s="30">
        <f>(Table24[[#This Row],[Started]]-B230)/B230</f>
        <v>-1.3026052104208416E-2</v>
      </c>
    </row>
    <row r="232" spans="1:3" x14ac:dyDescent="0.2">
      <c r="A232" s="13">
        <v>28764</v>
      </c>
      <c r="B232" s="10">
        <f>VLOOKUP(Table24[[#This Row],[Date]],'Database New'!$A:$D,MATCH($A$1,'Database New'!$A$1:$D$1,),)</f>
        <v>1981</v>
      </c>
      <c r="C232" s="30">
        <f>(Table24[[#This Row],[Started]]-B231)/B231</f>
        <v>5.5837563451776647E-3</v>
      </c>
    </row>
    <row r="233" spans="1:3" x14ac:dyDescent="0.2">
      <c r="A233" s="13">
        <v>28795</v>
      </c>
      <c r="B233" s="10">
        <f>VLOOKUP(Table24[[#This Row],[Date]],'Database New'!$A:$D,MATCH($A$1,'Database New'!$A$1:$D$1,),)</f>
        <v>2094</v>
      </c>
      <c r="C233" s="30">
        <f>(Table24[[#This Row],[Started]]-B232)/B232</f>
        <v>5.7041898031297326E-2</v>
      </c>
    </row>
    <row r="234" spans="1:3" x14ac:dyDescent="0.2">
      <c r="A234" s="13">
        <v>28825</v>
      </c>
      <c r="B234" s="10">
        <f>VLOOKUP(Table24[[#This Row],[Date]],'Database New'!$A:$D,MATCH($A$1,'Database New'!$A$1:$D$1,),)</f>
        <v>2044</v>
      </c>
      <c r="C234" s="30">
        <f>(Table24[[#This Row],[Started]]-B233)/B233</f>
        <v>-2.387774594078319E-2</v>
      </c>
    </row>
    <row r="235" spans="1:3" x14ac:dyDescent="0.2">
      <c r="A235" s="13">
        <v>28856</v>
      </c>
      <c r="B235" s="10">
        <f>VLOOKUP(Table24[[#This Row],[Date]],'Database New'!$A:$D,MATCH($A$1,'Database New'!$A$1:$D$1,),)</f>
        <v>1630</v>
      </c>
      <c r="C235" s="30">
        <f>(Table24[[#This Row],[Started]]-B234)/B234</f>
        <v>-0.20254403131115459</v>
      </c>
    </row>
    <row r="236" spans="1:3" x14ac:dyDescent="0.2">
      <c r="A236" s="13">
        <v>28887</v>
      </c>
      <c r="B236" s="10">
        <f>VLOOKUP(Table24[[#This Row],[Date]],'Database New'!$A:$D,MATCH($A$1,'Database New'!$A$1:$D$1,),)</f>
        <v>1520</v>
      </c>
      <c r="C236" s="30">
        <f>(Table24[[#This Row],[Started]]-B235)/B235</f>
        <v>-6.7484662576687116E-2</v>
      </c>
    </row>
    <row r="237" spans="1:3" x14ac:dyDescent="0.2">
      <c r="A237" s="13">
        <v>28915</v>
      </c>
      <c r="B237" s="10">
        <f>VLOOKUP(Table24[[#This Row],[Date]],'Database New'!$A:$D,MATCH($A$1,'Database New'!$A$1:$D$1,),)</f>
        <v>1847</v>
      </c>
      <c r="C237" s="30">
        <f>(Table24[[#This Row],[Started]]-B236)/B236</f>
        <v>0.21513157894736842</v>
      </c>
    </row>
    <row r="238" spans="1:3" x14ac:dyDescent="0.2">
      <c r="A238" s="13">
        <v>28946</v>
      </c>
      <c r="B238" s="10">
        <f>VLOOKUP(Table24[[#This Row],[Date]],'Database New'!$A:$D,MATCH($A$1,'Database New'!$A$1:$D$1,),)</f>
        <v>1748</v>
      </c>
      <c r="C238" s="30">
        <f>(Table24[[#This Row],[Started]]-B237)/B237</f>
        <v>-5.3600433134813212E-2</v>
      </c>
    </row>
    <row r="239" spans="1:3" x14ac:dyDescent="0.2">
      <c r="A239" s="13">
        <v>28976</v>
      </c>
      <c r="B239" s="10">
        <f>VLOOKUP(Table24[[#This Row],[Date]],'Database New'!$A:$D,MATCH($A$1,'Database New'!$A$1:$D$1,),)</f>
        <v>1876</v>
      </c>
      <c r="C239" s="30">
        <f>(Table24[[#This Row],[Started]]-B238)/B238</f>
        <v>7.3226544622425629E-2</v>
      </c>
    </row>
    <row r="240" spans="1:3" x14ac:dyDescent="0.2">
      <c r="A240" s="13">
        <v>29007</v>
      </c>
      <c r="B240" s="10">
        <f>VLOOKUP(Table24[[#This Row],[Date]],'Database New'!$A:$D,MATCH($A$1,'Database New'!$A$1:$D$1,),)</f>
        <v>1913</v>
      </c>
      <c r="C240" s="30">
        <f>(Table24[[#This Row],[Started]]-B239)/B239</f>
        <v>1.9722814498933903E-2</v>
      </c>
    </row>
    <row r="241" spans="1:3" x14ac:dyDescent="0.2">
      <c r="A241" s="13">
        <v>29037</v>
      </c>
      <c r="B241" s="10">
        <f>VLOOKUP(Table24[[#This Row],[Date]],'Database New'!$A:$D,MATCH($A$1,'Database New'!$A$1:$D$1,),)</f>
        <v>1760</v>
      </c>
      <c r="C241" s="30">
        <f>(Table24[[#This Row],[Started]]-B240)/B240</f>
        <v>-7.9979090433873495E-2</v>
      </c>
    </row>
    <row r="242" spans="1:3" x14ac:dyDescent="0.2">
      <c r="A242" s="13">
        <v>29068</v>
      </c>
      <c r="B242" s="10">
        <f>VLOOKUP(Table24[[#This Row],[Date]],'Database New'!$A:$D,MATCH($A$1,'Database New'!$A$1:$D$1,),)</f>
        <v>1778</v>
      </c>
      <c r="C242" s="30">
        <f>(Table24[[#This Row],[Started]]-B241)/B241</f>
        <v>1.0227272727272727E-2</v>
      </c>
    </row>
    <row r="243" spans="1:3" x14ac:dyDescent="0.2">
      <c r="A243" s="9">
        <v>29099</v>
      </c>
      <c r="B243" s="10">
        <f>VLOOKUP(Table24[[#This Row],[Date]],'Database New'!$A:$D,MATCH($A$1,'Database New'!$A$1:$D$1,),)</f>
        <v>1832</v>
      </c>
      <c r="C243" s="30">
        <f>(Table24[[#This Row],[Started]]-B242)/B242</f>
        <v>3.0371203599550055E-2</v>
      </c>
    </row>
    <row r="244" spans="1:3" x14ac:dyDescent="0.2">
      <c r="A244" s="9">
        <v>29129</v>
      </c>
      <c r="B244" s="10">
        <f>VLOOKUP(Table24[[#This Row],[Date]],'Database New'!$A:$D,MATCH($A$1,'Database New'!$A$1:$D$1,),)</f>
        <v>1681</v>
      </c>
      <c r="C244" s="30">
        <f>(Table24[[#This Row],[Started]]-B243)/B243</f>
        <v>-8.2423580786026199E-2</v>
      </c>
    </row>
    <row r="245" spans="1:3" x14ac:dyDescent="0.2">
      <c r="A245" s="9">
        <v>29160</v>
      </c>
      <c r="B245" s="10">
        <f>VLOOKUP(Table24[[#This Row],[Date]],'Database New'!$A:$D,MATCH($A$1,'Database New'!$A$1:$D$1,),)</f>
        <v>1524</v>
      </c>
      <c r="C245" s="30">
        <f>(Table24[[#This Row],[Started]]-B244)/B244</f>
        <v>-9.3396787626412847E-2</v>
      </c>
    </row>
    <row r="246" spans="1:3" x14ac:dyDescent="0.2">
      <c r="A246" s="9">
        <v>29190</v>
      </c>
      <c r="B246" s="10">
        <f>VLOOKUP(Table24[[#This Row],[Date]],'Database New'!$A:$D,MATCH($A$1,'Database New'!$A$1:$D$1,),)</f>
        <v>1498</v>
      </c>
      <c r="C246" s="30">
        <f>(Table24[[#This Row],[Started]]-B245)/B245</f>
        <v>-1.7060367454068241E-2</v>
      </c>
    </row>
    <row r="247" spans="1:3" x14ac:dyDescent="0.2">
      <c r="A247" s="9">
        <v>29221</v>
      </c>
      <c r="B247" s="10">
        <f>VLOOKUP(Table24[[#This Row],[Date]],'Database New'!$A:$D,MATCH($A$1,'Database New'!$A$1:$D$1,),)</f>
        <v>1341</v>
      </c>
      <c r="C247" s="30">
        <f>(Table24[[#This Row],[Started]]-B246)/B246</f>
        <v>-0.1048064085447263</v>
      </c>
    </row>
    <row r="248" spans="1:3" x14ac:dyDescent="0.2">
      <c r="A248" s="9">
        <v>29252</v>
      </c>
      <c r="B248" s="10">
        <f>VLOOKUP(Table24[[#This Row],[Date]],'Database New'!$A:$D,MATCH($A$1,'Database New'!$A$1:$D$1,),)</f>
        <v>1350</v>
      </c>
      <c r="C248" s="30">
        <f>(Table24[[#This Row],[Started]]-B247)/B247</f>
        <v>6.7114093959731542E-3</v>
      </c>
    </row>
    <row r="249" spans="1:3" x14ac:dyDescent="0.2">
      <c r="A249" s="9">
        <v>29281</v>
      </c>
      <c r="B249" s="10">
        <f>VLOOKUP(Table24[[#This Row],[Date]],'Database New'!$A:$D,MATCH($A$1,'Database New'!$A$1:$D$1,),)</f>
        <v>1047</v>
      </c>
      <c r="C249" s="30">
        <f>(Table24[[#This Row],[Started]]-B248)/B248</f>
        <v>-0.22444444444444445</v>
      </c>
    </row>
    <row r="250" spans="1:3" x14ac:dyDescent="0.2">
      <c r="A250" s="9">
        <v>29312</v>
      </c>
      <c r="B250" s="10">
        <f>VLOOKUP(Table24[[#This Row],[Date]],'Database New'!$A:$D,MATCH($A$1,'Database New'!$A$1:$D$1,),)</f>
        <v>1051</v>
      </c>
      <c r="C250" s="30">
        <f>(Table24[[#This Row],[Started]]-B249)/B249</f>
        <v>3.8204393505253103E-3</v>
      </c>
    </row>
    <row r="251" spans="1:3" x14ac:dyDescent="0.2">
      <c r="A251" s="9">
        <v>29342</v>
      </c>
      <c r="B251" s="10">
        <f>VLOOKUP(Table24[[#This Row],[Date]],'Database New'!$A:$D,MATCH($A$1,'Database New'!$A$1:$D$1,),)</f>
        <v>927</v>
      </c>
      <c r="C251" s="30">
        <f>(Table24[[#This Row],[Started]]-B250)/B250</f>
        <v>-0.11798287345385347</v>
      </c>
    </row>
    <row r="252" spans="1:3" x14ac:dyDescent="0.2">
      <c r="A252" s="9">
        <v>29373</v>
      </c>
      <c r="B252" s="10">
        <f>VLOOKUP(Table24[[#This Row],[Date]],'Database New'!$A:$D,MATCH($A$1,'Database New'!$A$1:$D$1,),)</f>
        <v>1196</v>
      </c>
      <c r="C252" s="30">
        <f>(Table24[[#This Row],[Started]]-B251)/B251</f>
        <v>0.29018338727076592</v>
      </c>
    </row>
    <row r="253" spans="1:3" x14ac:dyDescent="0.2">
      <c r="A253" s="9">
        <v>29403</v>
      </c>
      <c r="B253" s="10">
        <f>VLOOKUP(Table24[[#This Row],[Date]],'Database New'!$A:$D,MATCH($A$1,'Database New'!$A$1:$D$1,),)</f>
        <v>1269</v>
      </c>
      <c r="C253" s="30">
        <f>(Table24[[#This Row],[Started]]-B252)/B252</f>
        <v>6.1036789297658864E-2</v>
      </c>
    </row>
    <row r="254" spans="1:3" x14ac:dyDescent="0.2">
      <c r="A254" s="9">
        <v>29434</v>
      </c>
      <c r="B254" s="10">
        <f>VLOOKUP(Table24[[#This Row],[Date]],'Database New'!$A:$D,MATCH($A$1,'Database New'!$A$1:$D$1,),)</f>
        <v>1436</v>
      </c>
      <c r="C254" s="30">
        <f>(Table24[[#This Row],[Started]]-B253)/B253</f>
        <v>0.13159968479117415</v>
      </c>
    </row>
    <row r="255" spans="1:3" x14ac:dyDescent="0.2">
      <c r="A255" s="9">
        <v>29465</v>
      </c>
      <c r="B255" s="10">
        <f>VLOOKUP(Table24[[#This Row],[Date]],'Database New'!$A:$D,MATCH($A$1,'Database New'!$A$1:$D$1,),)</f>
        <v>1471</v>
      </c>
      <c r="C255" s="30">
        <f>(Table24[[#This Row],[Started]]-B254)/B254</f>
        <v>2.4373259052924791E-2</v>
      </c>
    </row>
    <row r="256" spans="1:3" x14ac:dyDescent="0.2">
      <c r="A256" s="9">
        <v>29495</v>
      </c>
      <c r="B256" s="10">
        <f>VLOOKUP(Table24[[#This Row],[Date]],'Database New'!$A:$D,MATCH($A$1,'Database New'!$A$1:$D$1,),)</f>
        <v>1523</v>
      </c>
      <c r="C256" s="30">
        <f>(Table24[[#This Row],[Started]]-B255)/B255</f>
        <v>3.5350101971447993E-2</v>
      </c>
    </row>
    <row r="257" spans="1:3" x14ac:dyDescent="0.2">
      <c r="A257" s="9">
        <v>29526</v>
      </c>
      <c r="B257" s="10">
        <f>VLOOKUP(Table24[[#This Row],[Date]],'Database New'!$A:$D,MATCH($A$1,'Database New'!$A$1:$D$1,),)</f>
        <v>1510</v>
      </c>
      <c r="C257" s="30">
        <f>(Table24[[#This Row],[Started]]-B256)/B256</f>
        <v>-8.5357846355876565E-3</v>
      </c>
    </row>
    <row r="258" spans="1:3" x14ac:dyDescent="0.2">
      <c r="A258" s="9">
        <v>29556</v>
      </c>
      <c r="B258" s="10">
        <f>VLOOKUP(Table24[[#This Row],[Date]],'Database New'!$A:$D,MATCH($A$1,'Database New'!$A$1:$D$1,),)</f>
        <v>1482</v>
      </c>
      <c r="C258" s="30">
        <f>(Table24[[#This Row],[Started]]-B257)/B257</f>
        <v>-1.8543046357615896E-2</v>
      </c>
    </row>
    <row r="259" spans="1:3" x14ac:dyDescent="0.2">
      <c r="A259" s="9">
        <v>29587</v>
      </c>
      <c r="B259" s="10">
        <f>VLOOKUP(Table24[[#This Row],[Date]],'Database New'!$A:$D,MATCH($A$1,'Database New'!$A$1:$D$1,),)</f>
        <v>1547</v>
      </c>
      <c r="C259" s="30">
        <f>(Table24[[#This Row],[Started]]-B258)/B258</f>
        <v>4.3859649122807015E-2</v>
      </c>
    </row>
    <row r="260" spans="1:3" x14ac:dyDescent="0.2">
      <c r="A260" s="9">
        <v>29618</v>
      </c>
      <c r="B260" s="10">
        <f>VLOOKUP(Table24[[#This Row],[Date]],'Database New'!$A:$D,MATCH($A$1,'Database New'!$A$1:$D$1,),)</f>
        <v>1246</v>
      </c>
      <c r="C260" s="30">
        <f>(Table24[[#This Row],[Started]]-B259)/B259</f>
        <v>-0.19457013574660634</v>
      </c>
    </row>
    <row r="261" spans="1:3" x14ac:dyDescent="0.2">
      <c r="A261" s="9">
        <v>29646</v>
      </c>
      <c r="B261" s="10">
        <f>VLOOKUP(Table24[[#This Row],[Date]],'Database New'!$A:$D,MATCH($A$1,'Database New'!$A$1:$D$1,),)</f>
        <v>1306</v>
      </c>
      <c r="C261" s="30">
        <f>(Table24[[#This Row],[Started]]-B260)/B260</f>
        <v>4.8154093097913325E-2</v>
      </c>
    </row>
    <row r="262" spans="1:3" x14ac:dyDescent="0.2">
      <c r="A262" s="9">
        <v>29677</v>
      </c>
      <c r="B262" s="10">
        <f>VLOOKUP(Table24[[#This Row],[Date]],'Database New'!$A:$D,MATCH($A$1,'Database New'!$A$1:$D$1,),)</f>
        <v>1360</v>
      </c>
      <c r="C262" s="30">
        <f>(Table24[[#This Row],[Started]]-B261)/B261</f>
        <v>4.1347626339969371E-2</v>
      </c>
    </row>
    <row r="263" spans="1:3" x14ac:dyDescent="0.2">
      <c r="A263" s="9">
        <v>29707</v>
      </c>
      <c r="B263" s="10">
        <f>VLOOKUP(Table24[[#This Row],[Date]],'Database New'!$A:$D,MATCH($A$1,'Database New'!$A$1:$D$1,),)</f>
        <v>1140</v>
      </c>
      <c r="C263" s="30">
        <f>(Table24[[#This Row],[Started]]-B262)/B262</f>
        <v>-0.16176470588235295</v>
      </c>
    </row>
    <row r="264" spans="1:3" x14ac:dyDescent="0.2">
      <c r="A264" s="9">
        <v>29738</v>
      </c>
      <c r="B264" s="10">
        <f>VLOOKUP(Table24[[#This Row],[Date]],'Database New'!$A:$D,MATCH($A$1,'Database New'!$A$1:$D$1,),)</f>
        <v>1045</v>
      </c>
      <c r="C264" s="30">
        <f>(Table24[[#This Row],[Started]]-B263)/B263</f>
        <v>-8.3333333333333329E-2</v>
      </c>
    </row>
    <row r="265" spans="1:3" x14ac:dyDescent="0.2">
      <c r="A265" s="9">
        <v>29768</v>
      </c>
      <c r="B265" s="10">
        <f>VLOOKUP(Table24[[#This Row],[Date]],'Database New'!$A:$D,MATCH($A$1,'Database New'!$A$1:$D$1,),)</f>
        <v>1041</v>
      </c>
      <c r="C265" s="30">
        <f>(Table24[[#This Row],[Started]]-B264)/B264</f>
        <v>-3.8277511961722489E-3</v>
      </c>
    </row>
    <row r="266" spans="1:3" x14ac:dyDescent="0.2">
      <c r="A266" s="9">
        <v>29799</v>
      </c>
      <c r="B266" s="10">
        <f>VLOOKUP(Table24[[#This Row],[Date]],'Database New'!$A:$D,MATCH($A$1,'Database New'!$A$1:$D$1,),)</f>
        <v>940</v>
      </c>
      <c r="C266" s="30">
        <f>(Table24[[#This Row],[Started]]-B265)/B265</f>
        <v>-9.7022094140249759E-2</v>
      </c>
    </row>
    <row r="267" spans="1:3" x14ac:dyDescent="0.2">
      <c r="A267" s="9">
        <v>29830</v>
      </c>
      <c r="B267" s="10">
        <f>VLOOKUP(Table24[[#This Row],[Date]],'Database New'!$A:$D,MATCH($A$1,'Database New'!$A$1:$D$1,),)</f>
        <v>911</v>
      </c>
      <c r="C267" s="30">
        <f>(Table24[[#This Row],[Started]]-B266)/B266</f>
        <v>-3.0851063829787233E-2</v>
      </c>
    </row>
    <row r="268" spans="1:3" x14ac:dyDescent="0.2">
      <c r="A268" s="9">
        <v>29860</v>
      </c>
      <c r="B268" s="10">
        <f>VLOOKUP(Table24[[#This Row],[Date]],'Database New'!$A:$D,MATCH($A$1,'Database New'!$A$1:$D$1,),)</f>
        <v>873</v>
      </c>
      <c r="C268" s="30">
        <f>(Table24[[#This Row],[Started]]-B267)/B267</f>
        <v>-4.1712403951701428E-2</v>
      </c>
    </row>
    <row r="269" spans="1:3" x14ac:dyDescent="0.2">
      <c r="A269" s="9">
        <v>29891</v>
      </c>
      <c r="B269" s="10">
        <f>VLOOKUP(Table24[[#This Row],[Date]],'Database New'!$A:$D,MATCH($A$1,'Database New'!$A$1:$D$1,),)</f>
        <v>837</v>
      </c>
      <c r="C269" s="30">
        <f>(Table24[[#This Row],[Started]]-B268)/B268</f>
        <v>-4.1237113402061855E-2</v>
      </c>
    </row>
    <row r="270" spans="1:3" x14ac:dyDescent="0.2">
      <c r="A270" s="9">
        <v>29921</v>
      </c>
      <c r="B270" s="10">
        <f>VLOOKUP(Table24[[#This Row],[Date]],'Database New'!$A:$D,MATCH($A$1,'Database New'!$A$1:$D$1,),)</f>
        <v>910</v>
      </c>
      <c r="C270" s="30">
        <f>(Table24[[#This Row],[Started]]-B269)/B269</f>
        <v>8.7216248506571087E-2</v>
      </c>
    </row>
    <row r="271" spans="1:3" x14ac:dyDescent="0.2">
      <c r="A271" s="9">
        <v>29952</v>
      </c>
      <c r="B271" s="10">
        <f>VLOOKUP(Table24[[#This Row],[Date]],'Database New'!$A:$D,MATCH($A$1,'Database New'!$A$1:$D$1,),)</f>
        <v>843</v>
      </c>
      <c r="C271" s="30">
        <f>(Table24[[#This Row],[Started]]-B270)/B270</f>
        <v>-7.3626373626373628E-2</v>
      </c>
    </row>
    <row r="272" spans="1:3" x14ac:dyDescent="0.2">
      <c r="A272" s="9">
        <v>29983</v>
      </c>
      <c r="B272" s="10">
        <f>VLOOKUP(Table24[[#This Row],[Date]],'Database New'!$A:$D,MATCH($A$1,'Database New'!$A$1:$D$1,),)</f>
        <v>866</v>
      </c>
      <c r="C272" s="30">
        <f>(Table24[[#This Row],[Started]]-B271)/B271</f>
        <v>2.7283511269276393E-2</v>
      </c>
    </row>
    <row r="273" spans="1:3" x14ac:dyDescent="0.2">
      <c r="A273" s="9">
        <v>30011</v>
      </c>
      <c r="B273" s="10">
        <f>VLOOKUP(Table24[[#This Row],[Date]],'Database New'!$A:$D,MATCH($A$1,'Database New'!$A$1:$D$1,),)</f>
        <v>931</v>
      </c>
      <c r="C273" s="30">
        <f>(Table24[[#This Row],[Started]]-B272)/B272</f>
        <v>7.5057736720554269E-2</v>
      </c>
    </row>
    <row r="274" spans="1:3" x14ac:dyDescent="0.2">
      <c r="A274" s="9">
        <v>30042</v>
      </c>
      <c r="B274" s="10">
        <f>VLOOKUP(Table24[[#This Row],[Date]],'Database New'!$A:$D,MATCH($A$1,'Database New'!$A$1:$D$1,),)</f>
        <v>917</v>
      </c>
      <c r="C274" s="30">
        <f>(Table24[[#This Row],[Started]]-B273)/B273</f>
        <v>-1.5037593984962405E-2</v>
      </c>
    </row>
    <row r="275" spans="1:3" x14ac:dyDescent="0.2">
      <c r="A275" s="9">
        <v>30072</v>
      </c>
      <c r="B275" s="10">
        <f>VLOOKUP(Table24[[#This Row],[Date]],'Database New'!$A:$D,MATCH($A$1,'Database New'!$A$1:$D$1,),)</f>
        <v>1025</v>
      </c>
      <c r="C275" s="30">
        <f>(Table24[[#This Row],[Started]]-B274)/B274</f>
        <v>0.11777535441657579</v>
      </c>
    </row>
    <row r="276" spans="1:3" x14ac:dyDescent="0.2">
      <c r="A276" s="9">
        <v>30103</v>
      </c>
      <c r="B276" s="10">
        <f>VLOOKUP(Table24[[#This Row],[Date]],'Database New'!$A:$D,MATCH($A$1,'Database New'!$A$1:$D$1,),)</f>
        <v>902</v>
      </c>
      <c r="C276" s="30">
        <f>(Table24[[#This Row],[Started]]-B275)/B275</f>
        <v>-0.12</v>
      </c>
    </row>
    <row r="277" spans="1:3" x14ac:dyDescent="0.2">
      <c r="A277" s="9">
        <v>30133</v>
      </c>
      <c r="B277" s="10">
        <f>VLOOKUP(Table24[[#This Row],[Date]],'Database New'!$A:$D,MATCH($A$1,'Database New'!$A$1:$D$1,),)</f>
        <v>1166</v>
      </c>
      <c r="C277" s="30">
        <f>(Table24[[#This Row],[Started]]-B276)/B276</f>
        <v>0.29268292682926828</v>
      </c>
    </row>
    <row r="278" spans="1:3" x14ac:dyDescent="0.2">
      <c r="A278" s="9">
        <v>30164</v>
      </c>
      <c r="B278" s="10">
        <f>VLOOKUP(Table24[[#This Row],[Date]],'Database New'!$A:$D,MATCH($A$1,'Database New'!$A$1:$D$1,),)</f>
        <v>1046</v>
      </c>
      <c r="C278" s="30">
        <f>(Table24[[#This Row],[Started]]-B277)/B277</f>
        <v>-0.10291595197255575</v>
      </c>
    </row>
    <row r="279" spans="1:3" x14ac:dyDescent="0.2">
      <c r="A279" s="9">
        <v>30195</v>
      </c>
      <c r="B279" s="10">
        <f>VLOOKUP(Table24[[#This Row],[Date]],'Database New'!$A:$D,MATCH($A$1,'Database New'!$A$1:$D$1,),)</f>
        <v>1144</v>
      </c>
      <c r="C279" s="30">
        <f>(Table24[[#This Row],[Started]]-B278)/B278</f>
        <v>9.3690248565965584E-2</v>
      </c>
    </row>
    <row r="280" spans="1:3" x14ac:dyDescent="0.2">
      <c r="A280" s="9">
        <v>30225</v>
      </c>
      <c r="B280" s="10">
        <f>VLOOKUP(Table24[[#This Row],[Date]],'Database New'!$A:$D,MATCH($A$1,'Database New'!$A$1:$D$1,),)</f>
        <v>1173</v>
      </c>
      <c r="C280" s="30">
        <f>(Table24[[#This Row],[Started]]-B279)/B279</f>
        <v>2.5349650349650348E-2</v>
      </c>
    </row>
    <row r="281" spans="1:3" x14ac:dyDescent="0.2">
      <c r="A281" s="9">
        <v>30256</v>
      </c>
      <c r="B281" s="10">
        <f>VLOOKUP(Table24[[#This Row],[Date]],'Database New'!$A:$D,MATCH($A$1,'Database New'!$A$1:$D$1,),)</f>
        <v>1372</v>
      </c>
      <c r="C281" s="30">
        <f>(Table24[[#This Row],[Started]]-B280)/B280</f>
        <v>0.16965046888320545</v>
      </c>
    </row>
    <row r="282" spans="1:3" x14ac:dyDescent="0.2">
      <c r="A282" s="9">
        <v>30286</v>
      </c>
      <c r="B282" s="10">
        <f>VLOOKUP(Table24[[#This Row],[Date]],'Database New'!$A:$D,MATCH($A$1,'Database New'!$A$1:$D$1,),)</f>
        <v>1303</v>
      </c>
      <c r="C282" s="30">
        <f>(Table24[[#This Row],[Started]]-B281)/B281</f>
        <v>-5.0291545189504371E-2</v>
      </c>
    </row>
    <row r="283" spans="1:3" x14ac:dyDescent="0.2">
      <c r="A283" s="9">
        <v>30317</v>
      </c>
      <c r="B283" s="10">
        <f>VLOOKUP(Table24[[#This Row],[Date]],'Database New'!$A:$D,MATCH($A$1,'Database New'!$A$1:$D$1,),)</f>
        <v>1586</v>
      </c>
      <c r="C283" s="30">
        <f>(Table24[[#This Row],[Started]]-B282)/B282</f>
        <v>0.21719109746738297</v>
      </c>
    </row>
    <row r="284" spans="1:3" x14ac:dyDescent="0.2">
      <c r="A284" s="9">
        <v>30348</v>
      </c>
      <c r="B284" s="10">
        <f>VLOOKUP(Table24[[#This Row],[Date]],'Database New'!$A:$D,MATCH($A$1,'Database New'!$A$1:$D$1,),)</f>
        <v>1699</v>
      </c>
      <c r="C284" s="30">
        <f>(Table24[[#This Row],[Started]]-B283)/B283</f>
        <v>7.1248423707440098E-2</v>
      </c>
    </row>
    <row r="285" spans="1:3" x14ac:dyDescent="0.2">
      <c r="A285" s="9">
        <v>30376</v>
      </c>
      <c r="B285" s="10">
        <f>VLOOKUP(Table24[[#This Row],[Date]],'Database New'!$A:$D,MATCH($A$1,'Database New'!$A$1:$D$1,),)</f>
        <v>1606</v>
      </c>
      <c r="C285" s="30">
        <f>(Table24[[#This Row],[Started]]-B284)/B284</f>
        <v>-5.4738081224249557E-2</v>
      </c>
    </row>
    <row r="286" spans="1:3" x14ac:dyDescent="0.2">
      <c r="A286" s="9">
        <v>30407</v>
      </c>
      <c r="B286" s="10">
        <f>VLOOKUP(Table24[[#This Row],[Date]],'Database New'!$A:$D,MATCH($A$1,'Database New'!$A$1:$D$1,),)</f>
        <v>1472</v>
      </c>
      <c r="C286" s="30">
        <f>(Table24[[#This Row],[Started]]-B285)/B285</f>
        <v>-8.3437110834371109E-2</v>
      </c>
    </row>
    <row r="287" spans="1:3" x14ac:dyDescent="0.2">
      <c r="A287" s="9">
        <v>30437</v>
      </c>
      <c r="B287" s="10">
        <f>VLOOKUP(Table24[[#This Row],[Date]],'Database New'!$A:$D,MATCH($A$1,'Database New'!$A$1:$D$1,),)</f>
        <v>1776</v>
      </c>
      <c r="C287" s="30">
        <f>(Table24[[#This Row],[Started]]-B286)/B286</f>
        <v>0.20652173913043478</v>
      </c>
    </row>
    <row r="288" spans="1:3" x14ac:dyDescent="0.2">
      <c r="A288" s="9">
        <v>30468</v>
      </c>
      <c r="B288" s="10">
        <f>VLOOKUP(Table24[[#This Row],[Date]],'Database New'!$A:$D,MATCH($A$1,'Database New'!$A$1:$D$1,),)</f>
        <v>1733</v>
      </c>
      <c r="C288" s="30">
        <f>(Table24[[#This Row],[Started]]-B287)/B287</f>
        <v>-2.4211711711711711E-2</v>
      </c>
    </row>
    <row r="289" spans="1:3" x14ac:dyDescent="0.2">
      <c r="A289" s="9">
        <v>30498</v>
      </c>
      <c r="B289" s="10">
        <f>VLOOKUP(Table24[[#This Row],[Date]],'Database New'!$A:$D,MATCH($A$1,'Database New'!$A$1:$D$1,),)</f>
        <v>1785</v>
      </c>
      <c r="C289" s="30">
        <f>(Table24[[#This Row],[Started]]-B288)/B288</f>
        <v>3.0005770340450086E-2</v>
      </c>
    </row>
    <row r="290" spans="1:3" x14ac:dyDescent="0.2">
      <c r="A290" s="9">
        <v>30529</v>
      </c>
      <c r="B290" s="10">
        <f>VLOOKUP(Table24[[#This Row],[Date]],'Database New'!$A:$D,MATCH($A$1,'Database New'!$A$1:$D$1,),)</f>
        <v>1910</v>
      </c>
      <c r="C290" s="30">
        <f>(Table24[[#This Row],[Started]]-B289)/B289</f>
        <v>7.0028011204481794E-2</v>
      </c>
    </row>
    <row r="291" spans="1:3" x14ac:dyDescent="0.2">
      <c r="A291" s="9">
        <v>30560</v>
      </c>
      <c r="B291" s="10">
        <f>VLOOKUP(Table24[[#This Row],[Date]],'Database New'!$A:$D,MATCH($A$1,'Database New'!$A$1:$D$1,),)</f>
        <v>1710</v>
      </c>
      <c r="C291" s="30">
        <f>(Table24[[#This Row],[Started]]-B290)/B290</f>
        <v>-0.10471204188481675</v>
      </c>
    </row>
    <row r="292" spans="1:3" x14ac:dyDescent="0.2">
      <c r="A292" s="9">
        <v>30590</v>
      </c>
      <c r="B292" s="10">
        <f>VLOOKUP(Table24[[#This Row],[Date]],'Database New'!$A:$D,MATCH($A$1,'Database New'!$A$1:$D$1,),)</f>
        <v>1715</v>
      </c>
      <c r="C292" s="30">
        <f>(Table24[[#This Row],[Started]]-B291)/B291</f>
        <v>2.9239766081871343E-3</v>
      </c>
    </row>
    <row r="293" spans="1:3" x14ac:dyDescent="0.2">
      <c r="A293" s="9">
        <v>30621</v>
      </c>
      <c r="B293" s="10">
        <f>VLOOKUP(Table24[[#This Row],[Date]],'Database New'!$A:$D,MATCH($A$1,'Database New'!$A$1:$D$1,),)</f>
        <v>1785</v>
      </c>
      <c r="C293" s="30">
        <f>(Table24[[#This Row],[Started]]-B292)/B292</f>
        <v>4.0816326530612242E-2</v>
      </c>
    </row>
    <row r="294" spans="1:3" x14ac:dyDescent="0.2">
      <c r="A294" s="9">
        <v>30651</v>
      </c>
      <c r="B294" s="10">
        <f>VLOOKUP(Table24[[#This Row],[Date]],'Database New'!$A:$D,MATCH($A$1,'Database New'!$A$1:$D$1,),)</f>
        <v>1688</v>
      </c>
      <c r="C294" s="30">
        <f>(Table24[[#This Row],[Started]]-B293)/B293</f>
        <v>-5.4341736694677872E-2</v>
      </c>
    </row>
    <row r="295" spans="1:3" x14ac:dyDescent="0.2">
      <c r="A295" s="9">
        <v>30682</v>
      </c>
      <c r="B295" s="10">
        <f>VLOOKUP(Table24[[#This Row],[Date]],'Database New'!$A:$D,MATCH($A$1,'Database New'!$A$1:$D$1,),)</f>
        <v>1897</v>
      </c>
      <c r="C295" s="30">
        <f>(Table24[[#This Row],[Started]]-B294)/B294</f>
        <v>0.12381516587677725</v>
      </c>
    </row>
    <row r="296" spans="1:3" x14ac:dyDescent="0.2">
      <c r="A296" s="9">
        <v>30713</v>
      </c>
      <c r="B296" s="10">
        <f>VLOOKUP(Table24[[#This Row],[Date]],'Database New'!$A:$D,MATCH($A$1,'Database New'!$A$1:$D$1,),)</f>
        <v>2260</v>
      </c>
      <c r="C296" s="30">
        <f>(Table24[[#This Row],[Started]]-B295)/B295</f>
        <v>0.19135477069056406</v>
      </c>
    </row>
    <row r="297" spans="1:3" x14ac:dyDescent="0.2">
      <c r="A297" s="9">
        <v>30742</v>
      </c>
      <c r="B297" s="10">
        <f>VLOOKUP(Table24[[#This Row],[Date]],'Database New'!$A:$D,MATCH($A$1,'Database New'!$A$1:$D$1,),)</f>
        <v>1663</v>
      </c>
      <c r="C297" s="30">
        <f>(Table24[[#This Row],[Started]]-B296)/B296</f>
        <v>-0.26415929203539823</v>
      </c>
    </row>
    <row r="298" spans="1:3" x14ac:dyDescent="0.2">
      <c r="A298" s="9">
        <v>30773</v>
      </c>
      <c r="B298" s="10">
        <f>VLOOKUP(Table24[[#This Row],[Date]],'Database New'!$A:$D,MATCH($A$1,'Database New'!$A$1:$D$1,),)</f>
        <v>1851</v>
      </c>
      <c r="C298" s="30">
        <f>(Table24[[#This Row],[Started]]-B297)/B297</f>
        <v>0.11304870715574264</v>
      </c>
    </row>
    <row r="299" spans="1:3" x14ac:dyDescent="0.2">
      <c r="A299" s="9">
        <v>30803</v>
      </c>
      <c r="B299" s="10">
        <f>VLOOKUP(Table24[[#This Row],[Date]],'Database New'!$A:$D,MATCH($A$1,'Database New'!$A$1:$D$1,),)</f>
        <v>1774</v>
      </c>
      <c r="C299" s="30">
        <f>(Table24[[#This Row],[Started]]-B298)/B298</f>
        <v>-4.1599135602377095E-2</v>
      </c>
    </row>
    <row r="300" spans="1:3" x14ac:dyDescent="0.2">
      <c r="A300" s="9">
        <v>30834</v>
      </c>
      <c r="B300" s="10">
        <f>VLOOKUP(Table24[[#This Row],[Date]],'Database New'!$A:$D,MATCH($A$1,'Database New'!$A$1:$D$1,),)</f>
        <v>1843</v>
      </c>
      <c r="C300" s="30">
        <f>(Table24[[#This Row],[Started]]-B299)/B299</f>
        <v>3.8895152198421649E-2</v>
      </c>
    </row>
    <row r="301" spans="1:3" x14ac:dyDescent="0.2">
      <c r="A301" s="9">
        <v>30864</v>
      </c>
      <c r="B301" s="10">
        <f>VLOOKUP(Table24[[#This Row],[Date]],'Database New'!$A:$D,MATCH($A$1,'Database New'!$A$1:$D$1,),)</f>
        <v>1732</v>
      </c>
      <c r="C301" s="30">
        <f>(Table24[[#This Row],[Started]]-B300)/B300</f>
        <v>-6.0227889310906134E-2</v>
      </c>
    </row>
    <row r="302" spans="1:3" x14ac:dyDescent="0.2">
      <c r="A302" s="9">
        <v>30895</v>
      </c>
      <c r="B302" s="10">
        <f>VLOOKUP(Table24[[#This Row],[Date]],'Database New'!$A:$D,MATCH($A$1,'Database New'!$A$1:$D$1,),)</f>
        <v>1586</v>
      </c>
      <c r="C302" s="30">
        <f>(Table24[[#This Row],[Started]]-B301)/B301</f>
        <v>-8.429561200923788E-2</v>
      </c>
    </row>
    <row r="303" spans="1:3" x14ac:dyDescent="0.2">
      <c r="A303" s="9">
        <v>30926</v>
      </c>
      <c r="B303" s="10">
        <f>VLOOKUP(Table24[[#This Row],[Date]],'Database New'!$A:$D,MATCH($A$1,'Database New'!$A$1:$D$1,),)</f>
        <v>1698</v>
      </c>
      <c r="C303" s="30">
        <f>(Table24[[#This Row],[Started]]-B302)/B302</f>
        <v>7.0617906683480461E-2</v>
      </c>
    </row>
    <row r="304" spans="1:3" x14ac:dyDescent="0.2">
      <c r="A304" s="9">
        <v>30956</v>
      </c>
      <c r="B304" s="10">
        <f>VLOOKUP(Table24[[#This Row],[Date]],'Database New'!$A:$D,MATCH($A$1,'Database New'!$A$1:$D$1,),)</f>
        <v>1590</v>
      </c>
      <c r="C304" s="30">
        <f>(Table24[[#This Row],[Started]]-B303)/B303</f>
        <v>-6.3604240282685506E-2</v>
      </c>
    </row>
    <row r="305" spans="1:3" x14ac:dyDescent="0.2">
      <c r="A305" s="9">
        <v>30987</v>
      </c>
      <c r="B305" s="10">
        <f>VLOOKUP(Table24[[#This Row],[Date]],'Database New'!$A:$D,MATCH($A$1,'Database New'!$A$1:$D$1,),)</f>
        <v>1689</v>
      </c>
      <c r="C305" s="30">
        <f>(Table24[[#This Row],[Started]]-B304)/B304</f>
        <v>6.2264150943396226E-2</v>
      </c>
    </row>
    <row r="306" spans="1:3" x14ac:dyDescent="0.2">
      <c r="A306" s="9">
        <v>31017</v>
      </c>
      <c r="B306" s="10">
        <f>VLOOKUP(Table24[[#This Row],[Date]],'Database New'!$A:$D,MATCH($A$1,'Database New'!$A$1:$D$1,),)</f>
        <v>1612</v>
      </c>
      <c r="C306" s="30">
        <f>(Table24[[#This Row],[Started]]-B305)/B305</f>
        <v>-4.5589105979869746E-2</v>
      </c>
    </row>
    <row r="307" spans="1:3" x14ac:dyDescent="0.2">
      <c r="A307" s="9">
        <v>31048</v>
      </c>
      <c r="B307" s="10">
        <f>VLOOKUP(Table24[[#This Row],[Date]],'Database New'!$A:$D,MATCH($A$1,'Database New'!$A$1:$D$1,),)</f>
        <v>1711</v>
      </c>
      <c r="C307" s="30">
        <f>(Table24[[#This Row],[Started]]-B306)/B306</f>
        <v>6.1414392059553347E-2</v>
      </c>
    </row>
    <row r="308" spans="1:3" x14ac:dyDescent="0.2">
      <c r="A308" s="9">
        <v>31079</v>
      </c>
      <c r="B308" s="10">
        <f>VLOOKUP(Table24[[#This Row],[Date]],'Database New'!$A:$D,MATCH($A$1,'Database New'!$A$1:$D$1,),)</f>
        <v>1632</v>
      </c>
      <c r="C308" s="30">
        <f>(Table24[[#This Row],[Started]]-B307)/B307</f>
        <v>-4.6171829339567504E-2</v>
      </c>
    </row>
    <row r="309" spans="1:3" x14ac:dyDescent="0.2">
      <c r="A309" s="9">
        <v>31107</v>
      </c>
      <c r="B309" s="10">
        <f>VLOOKUP(Table24[[#This Row],[Date]],'Database New'!$A:$D,MATCH($A$1,'Database New'!$A$1:$D$1,),)</f>
        <v>1800</v>
      </c>
      <c r="C309" s="30">
        <f>(Table24[[#This Row],[Started]]-B308)/B308</f>
        <v>0.10294117647058823</v>
      </c>
    </row>
    <row r="310" spans="1:3" x14ac:dyDescent="0.2">
      <c r="A310" s="9">
        <v>31138</v>
      </c>
      <c r="B310" s="10">
        <f>VLOOKUP(Table24[[#This Row],[Date]],'Database New'!$A:$D,MATCH($A$1,'Database New'!$A$1:$D$1,),)</f>
        <v>1821</v>
      </c>
      <c r="C310" s="30">
        <f>(Table24[[#This Row],[Started]]-B309)/B309</f>
        <v>1.1666666666666667E-2</v>
      </c>
    </row>
    <row r="311" spans="1:3" x14ac:dyDescent="0.2">
      <c r="A311" s="9">
        <v>31168</v>
      </c>
      <c r="B311" s="10">
        <f>VLOOKUP(Table24[[#This Row],[Date]],'Database New'!$A:$D,MATCH($A$1,'Database New'!$A$1:$D$1,),)</f>
        <v>1680</v>
      </c>
      <c r="C311" s="30">
        <f>(Table24[[#This Row],[Started]]-B310)/B310</f>
        <v>-7.7429983525535415E-2</v>
      </c>
    </row>
    <row r="312" spans="1:3" x14ac:dyDescent="0.2">
      <c r="A312" s="9">
        <v>31199</v>
      </c>
      <c r="B312" s="10">
        <f>VLOOKUP(Table24[[#This Row],[Date]],'Database New'!$A:$D,MATCH($A$1,'Database New'!$A$1:$D$1,),)</f>
        <v>1676</v>
      </c>
      <c r="C312" s="30">
        <f>(Table24[[#This Row],[Started]]-B311)/B311</f>
        <v>-2.3809523809523812E-3</v>
      </c>
    </row>
    <row r="313" spans="1:3" x14ac:dyDescent="0.2">
      <c r="A313" s="9">
        <v>31229</v>
      </c>
      <c r="B313" s="10">
        <f>VLOOKUP(Table24[[#This Row],[Date]],'Database New'!$A:$D,MATCH($A$1,'Database New'!$A$1:$D$1,),)</f>
        <v>1684</v>
      </c>
      <c r="C313" s="30">
        <f>(Table24[[#This Row],[Started]]-B312)/B312</f>
        <v>4.7732696897374704E-3</v>
      </c>
    </row>
    <row r="314" spans="1:3" x14ac:dyDescent="0.2">
      <c r="A314" s="9">
        <v>31260</v>
      </c>
      <c r="B314" s="10">
        <f>VLOOKUP(Table24[[#This Row],[Date]],'Database New'!$A:$D,MATCH($A$1,'Database New'!$A$1:$D$1,),)</f>
        <v>1743</v>
      </c>
      <c r="C314" s="30">
        <f>(Table24[[#This Row],[Started]]-B313)/B313</f>
        <v>3.5035629453681709E-2</v>
      </c>
    </row>
    <row r="315" spans="1:3" x14ac:dyDescent="0.2">
      <c r="A315" s="9">
        <v>31291</v>
      </c>
      <c r="B315" s="10">
        <f>VLOOKUP(Table24[[#This Row],[Date]],'Database New'!$A:$D,MATCH($A$1,'Database New'!$A$1:$D$1,),)</f>
        <v>1676</v>
      </c>
      <c r="C315" s="30">
        <f>(Table24[[#This Row],[Started]]-B314)/B314</f>
        <v>-3.8439472174411932E-2</v>
      </c>
    </row>
    <row r="316" spans="1:3" x14ac:dyDescent="0.2">
      <c r="A316" s="9">
        <v>31321</v>
      </c>
      <c r="B316" s="10">
        <f>VLOOKUP(Table24[[#This Row],[Date]],'Database New'!$A:$D,MATCH($A$1,'Database New'!$A$1:$D$1,),)</f>
        <v>1834</v>
      </c>
      <c r="C316" s="30">
        <f>(Table24[[#This Row],[Started]]-B315)/B315</f>
        <v>9.4272076372315036E-2</v>
      </c>
    </row>
    <row r="317" spans="1:3" x14ac:dyDescent="0.2">
      <c r="A317" s="9">
        <v>31352</v>
      </c>
      <c r="B317" s="10">
        <f>VLOOKUP(Table24[[#This Row],[Date]],'Database New'!$A:$D,MATCH($A$1,'Database New'!$A$1:$D$1,),)</f>
        <v>1698</v>
      </c>
      <c r="C317" s="30">
        <f>(Table24[[#This Row],[Started]]-B316)/B316</f>
        <v>-7.4154852780806982E-2</v>
      </c>
    </row>
    <row r="318" spans="1:3" x14ac:dyDescent="0.2">
      <c r="A318" s="9">
        <v>31382</v>
      </c>
      <c r="B318" s="10">
        <f>VLOOKUP(Table24[[#This Row],[Date]],'Database New'!$A:$D,MATCH($A$1,'Database New'!$A$1:$D$1,),)</f>
        <v>1942</v>
      </c>
      <c r="C318" s="30">
        <f>(Table24[[#This Row],[Started]]-B317)/B317</f>
        <v>0.143698468786808</v>
      </c>
    </row>
    <row r="319" spans="1:3" x14ac:dyDescent="0.2">
      <c r="A319" s="9">
        <v>31413</v>
      </c>
      <c r="B319" s="10">
        <f>VLOOKUP(Table24[[#This Row],[Date]],'Database New'!$A:$D,MATCH($A$1,'Database New'!$A$1:$D$1,),)</f>
        <v>1972</v>
      </c>
      <c r="C319" s="30">
        <f>(Table24[[#This Row],[Started]]-B318)/B318</f>
        <v>1.5447991761071062E-2</v>
      </c>
    </row>
    <row r="320" spans="1:3" x14ac:dyDescent="0.2">
      <c r="A320" s="9">
        <v>31444</v>
      </c>
      <c r="B320" s="10">
        <f>VLOOKUP(Table24[[#This Row],[Date]],'Database New'!$A:$D,MATCH($A$1,'Database New'!$A$1:$D$1,),)</f>
        <v>1848</v>
      </c>
      <c r="C320" s="30">
        <f>(Table24[[#This Row],[Started]]-B319)/B319</f>
        <v>-6.2880324543610547E-2</v>
      </c>
    </row>
    <row r="321" spans="1:3" x14ac:dyDescent="0.2">
      <c r="A321" s="9">
        <v>31472</v>
      </c>
      <c r="B321" s="10">
        <f>VLOOKUP(Table24[[#This Row],[Date]],'Database New'!$A:$D,MATCH($A$1,'Database New'!$A$1:$D$1,),)</f>
        <v>1876</v>
      </c>
      <c r="C321" s="30">
        <f>(Table24[[#This Row],[Started]]-B320)/B320</f>
        <v>1.5151515151515152E-2</v>
      </c>
    </row>
    <row r="322" spans="1:3" x14ac:dyDescent="0.2">
      <c r="A322" s="9">
        <v>31503</v>
      </c>
      <c r="B322" s="10">
        <f>VLOOKUP(Table24[[#This Row],[Date]],'Database New'!$A:$D,MATCH($A$1,'Database New'!$A$1:$D$1,),)</f>
        <v>1933</v>
      </c>
      <c r="C322" s="30">
        <f>(Table24[[#This Row],[Started]]-B321)/B321</f>
        <v>3.0383795309168442E-2</v>
      </c>
    </row>
    <row r="323" spans="1:3" x14ac:dyDescent="0.2">
      <c r="A323" s="9">
        <v>31533</v>
      </c>
      <c r="B323" s="10">
        <f>VLOOKUP(Table24[[#This Row],[Date]],'Database New'!$A:$D,MATCH($A$1,'Database New'!$A$1:$D$1,),)</f>
        <v>1854</v>
      </c>
      <c r="C323" s="30">
        <f>(Table24[[#This Row],[Started]]-B322)/B322</f>
        <v>-4.0869115364718052E-2</v>
      </c>
    </row>
    <row r="324" spans="1:3" x14ac:dyDescent="0.2">
      <c r="A324" s="9">
        <v>31564</v>
      </c>
      <c r="B324" s="10">
        <f>VLOOKUP(Table24[[#This Row],[Date]],'Database New'!$A:$D,MATCH($A$1,'Database New'!$A$1:$D$1,),)</f>
        <v>1847</v>
      </c>
      <c r="C324" s="30">
        <f>(Table24[[#This Row],[Started]]-B323)/B323</f>
        <v>-3.7756202804746495E-3</v>
      </c>
    </row>
    <row r="325" spans="1:3" x14ac:dyDescent="0.2">
      <c r="A325" s="9">
        <v>31594</v>
      </c>
      <c r="B325" s="10">
        <f>VLOOKUP(Table24[[#This Row],[Date]],'Database New'!$A:$D,MATCH($A$1,'Database New'!$A$1:$D$1,),)</f>
        <v>1782</v>
      </c>
      <c r="C325" s="30">
        <f>(Table24[[#This Row],[Started]]-B324)/B324</f>
        <v>-3.519220357336221E-2</v>
      </c>
    </row>
    <row r="326" spans="1:3" x14ac:dyDescent="0.2">
      <c r="A326" s="9">
        <v>31625</v>
      </c>
      <c r="B326" s="10">
        <f>VLOOKUP(Table24[[#This Row],[Date]],'Database New'!$A:$D,MATCH($A$1,'Database New'!$A$1:$D$1,),)</f>
        <v>1807</v>
      </c>
      <c r="C326" s="30">
        <f>(Table24[[#This Row],[Started]]-B325)/B325</f>
        <v>1.4029180695847363E-2</v>
      </c>
    </row>
    <row r="327" spans="1:3" x14ac:dyDescent="0.2">
      <c r="A327" s="9">
        <v>31656</v>
      </c>
      <c r="B327" s="10">
        <f>VLOOKUP(Table24[[#This Row],[Date]],'Database New'!$A:$D,MATCH($A$1,'Database New'!$A$1:$D$1,),)</f>
        <v>1687</v>
      </c>
      <c r="C327" s="30">
        <f>(Table24[[#This Row],[Started]]-B326)/B326</f>
        <v>-6.6408411732152742E-2</v>
      </c>
    </row>
    <row r="328" spans="1:3" x14ac:dyDescent="0.2">
      <c r="A328" s="9">
        <v>31686</v>
      </c>
      <c r="B328" s="10">
        <f>VLOOKUP(Table24[[#This Row],[Date]],'Database New'!$A:$D,MATCH($A$1,'Database New'!$A$1:$D$1,),)</f>
        <v>1681</v>
      </c>
      <c r="C328" s="30">
        <f>(Table24[[#This Row],[Started]]-B327)/B327</f>
        <v>-3.5566093657379964E-3</v>
      </c>
    </row>
    <row r="329" spans="1:3" x14ac:dyDescent="0.2">
      <c r="A329" s="9">
        <v>31717</v>
      </c>
      <c r="B329" s="10">
        <f>VLOOKUP(Table24[[#This Row],[Date]],'Database New'!$A:$D,MATCH($A$1,'Database New'!$A$1:$D$1,),)</f>
        <v>1623</v>
      </c>
      <c r="C329" s="30">
        <f>(Table24[[#This Row],[Started]]-B328)/B328</f>
        <v>-3.4503271861986914E-2</v>
      </c>
    </row>
    <row r="330" spans="1:3" x14ac:dyDescent="0.2">
      <c r="A330" s="9">
        <v>31747</v>
      </c>
      <c r="B330" s="10">
        <f>VLOOKUP(Table24[[#This Row],[Date]],'Database New'!$A:$D,MATCH($A$1,'Database New'!$A$1:$D$1,),)</f>
        <v>1833</v>
      </c>
      <c r="C330" s="30">
        <f>(Table24[[#This Row],[Started]]-B329)/B329</f>
        <v>0.12939001848428835</v>
      </c>
    </row>
    <row r="331" spans="1:3" x14ac:dyDescent="0.2">
      <c r="A331" s="9">
        <v>31778</v>
      </c>
      <c r="B331" s="10">
        <f>VLOOKUP(Table24[[#This Row],[Date]],'Database New'!$A:$D,MATCH($A$1,'Database New'!$A$1:$D$1,),)</f>
        <v>1774</v>
      </c>
      <c r="C331" s="30">
        <f>(Table24[[#This Row],[Started]]-B330)/B330</f>
        <v>-3.2187670485542823E-2</v>
      </c>
    </row>
    <row r="332" spans="1:3" x14ac:dyDescent="0.2">
      <c r="A332" s="9">
        <v>31809</v>
      </c>
      <c r="B332" s="10">
        <f>VLOOKUP(Table24[[#This Row],[Date]],'Database New'!$A:$D,MATCH($A$1,'Database New'!$A$1:$D$1,),)</f>
        <v>1784</v>
      </c>
      <c r="C332" s="30">
        <f>(Table24[[#This Row],[Started]]-B331)/B331</f>
        <v>5.6369785794813977E-3</v>
      </c>
    </row>
    <row r="333" spans="1:3" x14ac:dyDescent="0.2">
      <c r="A333" s="9">
        <v>31837</v>
      </c>
      <c r="B333" s="10">
        <f>VLOOKUP(Table24[[#This Row],[Date]],'Database New'!$A:$D,MATCH($A$1,'Database New'!$A$1:$D$1,),)</f>
        <v>1726</v>
      </c>
      <c r="C333" s="30">
        <f>(Table24[[#This Row],[Started]]-B332)/B332</f>
        <v>-3.2511210762331835E-2</v>
      </c>
    </row>
    <row r="334" spans="1:3" x14ac:dyDescent="0.2">
      <c r="A334" s="9">
        <v>31868</v>
      </c>
      <c r="B334" s="10">
        <f>VLOOKUP(Table24[[#This Row],[Date]],'Database New'!$A:$D,MATCH($A$1,'Database New'!$A$1:$D$1,),)</f>
        <v>1614</v>
      </c>
      <c r="C334" s="30">
        <f>(Table24[[#This Row],[Started]]-B333)/B333</f>
        <v>-6.4889918887601386E-2</v>
      </c>
    </row>
    <row r="335" spans="1:3" x14ac:dyDescent="0.2">
      <c r="A335" s="9">
        <v>31898</v>
      </c>
      <c r="B335" s="10">
        <f>VLOOKUP(Table24[[#This Row],[Date]],'Database New'!$A:$D,MATCH($A$1,'Database New'!$A$1:$D$1,),)</f>
        <v>1628</v>
      </c>
      <c r="C335" s="30">
        <f>(Table24[[#This Row],[Started]]-B334)/B334</f>
        <v>8.6741016109045856E-3</v>
      </c>
    </row>
    <row r="336" spans="1:3" x14ac:dyDescent="0.2">
      <c r="A336" s="9">
        <v>31929</v>
      </c>
      <c r="B336" s="10">
        <f>VLOOKUP(Table24[[#This Row],[Date]],'Database New'!$A:$D,MATCH($A$1,'Database New'!$A$1:$D$1,),)</f>
        <v>1594</v>
      </c>
      <c r="C336" s="30">
        <f>(Table24[[#This Row],[Started]]-B335)/B335</f>
        <v>-2.0884520884520884E-2</v>
      </c>
    </row>
    <row r="337" spans="1:3" x14ac:dyDescent="0.2">
      <c r="A337" s="9">
        <v>31959</v>
      </c>
      <c r="B337" s="10">
        <f>VLOOKUP(Table24[[#This Row],[Date]],'Database New'!$A:$D,MATCH($A$1,'Database New'!$A$1:$D$1,),)</f>
        <v>1575</v>
      </c>
      <c r="C337" s="30">
        <f>(Table24[[#This Row],[Started]]-B336)/B336</f>
        <v>-1.1919698870765371E-2</v>
      </c>
    </row>
    <row r="338" spans="1:3" x14ac:dyDescent="0.2">
      <c r="A338" s="9">
        <v>31990</v>
      </c>
      <c r="B338" s="10">
        <f>VLOOKUP(Table24[[#This Row],[Date]],'Database New'!$A:$D,MATCH($A$1,'Database New'!$A$1:$D$1,),)</f>
        <v>1605</v>
      </c>
      <c r="C338" s="30">
        <f>(Table24[[#This Row],[Started]]-B337)/B337</f>
        <v>1.9047619047619049E-2</v>
      </c>
    </row>
    <row r="339" spans="1:3" x14ac:dyDescent="0.2">
      <c r="A339" s="9">
        <v>32021</v>
      </c>
      <c r="B339" s="10">
        <f>VLOOKUP(Table24[[#This Row],[Date]],'Database New'!$A:$D,MATCH($A$1,'Database New'!$A$1:$D$1,),)</f>
        <v>1695</v>
      </c>
      <c r="C339" s="30">
        <f>(Table24[[#This Row],[Started]]-B338)/B338</f>
        <v>5.6074766355140186E-2</v>
      </c>
    </row>
    <row r="340" spans="1:3" x14ac:dyDescent="0.2">
      <c r="A340" s="9">
        <v>32051</v>
      </c>
      <c r="B340" s="10">
        <f>VLOOKUP(Table24[[#This Row],[Date]],'Database New'!$A:$D,MATCH($A$1,'Database New'!$A$1:$D$1,),)</f>
        <v>1515</v>
      </c>
      <c r="C340" s="30">
        <f>(Table24[[#This Row],[Started]]-B339)/B339</f>
        <v>-0.10619469026548672</v>
      </c>
    </row>
    <row r="341" spans="1:3" x14ac:dyDescent="0.2">
      <c r="A341" s="9">
        <v>32082</v>
      </c>
      <c r="B341" s="10">
        <f>VLOOKUP(Table24[[#This Row],[Date]],'Database New'!$A:$D,MATCH($A$1,'Database New'!$A$1:$D$1,),)</f>
        <v>1656</v>
      </c>
      <c r="C341" s="30">
        <f>(Table24[[#This Row],[Started]]-B340)/B340</f>
        <v>9.3069306930693069E-2</v>
      </c>
    </row>
    <row r="342" spans="1:3" x14ac:dyDescent="0.2">
      <c r="A342" s="9">
        <v>32112</v>
      </c>
      <c r="B342" s="10">
        <f>VLOOKUP(Table24[[#This Row],[Date]],'Database New'!$A:$D,MATCH($A$1,'Database New'!$A$1:$D$1,),)</f>
        <v>1400</v>
      </c>
      <c r="C342" s="30">
        <f>(Table24[[#This Row],[Started]]-B341)/B341</f>
        <v>-0.15458937198067632</v>
      </c>
    </row>
    <row r="343" spans="1:3" x14ac:dyDescent="0.2">
      <c r="A343" s="9">
        <v>32143</v>
      </c>
      <c r="B343" s="10">
        <f>VLOOKUP(Table24[[#This Row],[Date]],'Database New'!$A:$D,MATCH($A$1,'Database New'!$A$1:$D$1,),)</f>
        <v>1271</v>
      </c>
      <c r="C343" s="30">
        <f>(Table24[[#This Row],[Started]]-B342)/B342</f>
        <v>-9.2142857142857137E-2</v>
      </c>
    </row>
    <row r="344" spans="1:3" x14ac:dyDescent="0.2">
      <c r="A344" s="9">
        <v>32174</v>
      </c>
      <c r="B344" s="10">
        <f>VLOOKUP(Table24[[#This Row],[Date]],'Database New'!$A:$D,MATCH($A$1,'Database New'!$A$1:$D$1,),)</f>
        <v>1473</v>
      </c>
      <c r="C344" s="30">
        <f>(Table24[[#This Row],[Started]]-B343)/B343</f>
        <v>0.15892997639653816</v>
      </c>
    </row>
    <row r="345" spans="1:3" x14ac:dyDescent="0.2">
      <c r="A345" s="9">
        <v>32203</v>
      </c>
      <c r="B345" s="10">
        <f>VLOOKUP(Table24[[#This Row],[Date]],'Database New'!$A:$D,MATCH($A$1,'Database New'!$A$1:$D$1,),)</f>
        <v>1532</v>
      </c>
      <c r="C345" s="30">
        <f>(Table24[[#This Row],[Started]]-B344)/B344</f>
        <v>4.005431093007468E-2</v>
      </c>
    </row>
    <row r="346" spans="1:3" x14ac:dyDescent="0.2">
      <c r="A346" s="9">
        <v>32234</v>
      </c>
      <c r="B346" s="10">
        <f>VLOOKUP(Table24[[#This Row],[Date]],'Database New'!$A:$D,MATCH($A$1,'Database New'!$A$1:$D$1,),)</f>
        <v>1573</v>
      </c>
      <c r="C346" s="30">
        <f>(Table24[[#This Row],[Started]]-B345)/B345</f>
        <v>2.6762402088772844E-2</v>
      </c>
    </row>
    <row r="347" spans="1:3" x14ac:dyDescent="0.2">
      <c r="A347" s="9">
        <v>32264</v>
      </c>
      <c r="B347" s="10">
        <f>VLOOKUP(Table24[[#This Row],[Date]],'Database New'!$A:$D,MATCH($A$1,'Database New'!$A$1:$D$1,),)</f>
        <v>1421</v>
      </c>
      <c r="C347" s="30">
        <f>(Table24[[#This Row],[Started]]-B346)/B346</f>
        <v>-9.663064208518754E-2</v>
      </c>
    </row>
    <row r="348" spans="1:3" x14ac:dyDescent="0.2">
      <c r="A348" s="9">
        <v>32295</v>
      </c>
      <c r="B348" s="10">
        <f>VLOOKUP(Table24[[#This Row],[Date]],'Database New'!$A:$D,MATCH($A$1,'Database New'!$A$1:$D$1,),)</f>
        <v>1478</v>
      </c>
      <c r="C348" s="30">
        <f>(Table24[[#This Row],[Started]]-B347)/B347</f>
        <v>4.0112596762843067E-2</v>
      </c>
    </row>
    <row r="349" spans="1:3" x14ac:dyDescent="0.2">
      <c r="A349" s="9">
        <v>32325</v>
      </c>
      <c r="B349" s="10">
        <f>VLOOKUP(Table24[[#This Row],[Date]],'Database New'!$A:$D,MATCH($A$1,'Database New'!$A$1:$D$1,),)</f>
        <v>1467</v>
      </c>
      <c r="C349" s="30">
        <f>(Table24[[#This Row],[Started]]-B348)/B348</f>
        <v>-7.4424898511502033E-3</v>
      </c>
    </row>
    <row r="350" spans="1:3" x14ac:dyDescent="0.2">
      <c r="A350" s="9">
        <v>32356</v>
      </c>
      <c r="B350" s="10">
        <f>VLOOKUP(Table24[[#This Row],[Date]],'Database New'!$A:$D,MATCH($A$1,'Database New'!$A$1:$D$1,),)</f>
        <v>1493</v>
      </c>
      <c r="C350" s="30">
        <f>(Table24[[#This Row],[Started]]-B349)/B349</f>
        <v>1.7723244717109749E-2</v>
      </c>
    </row>
    <row r="351" spans="1:3" x14ac:dyDescent="0.2">
      <c r="A351" s="9">
        <v>32387</v>
      </c>
      <c r="B351" s="10">
        <f>VLOOKUP(Table24[[#This Row],[Date]],'Database New'!$A:$D,MATCH($A$1,'Database New'!$A$1:$D$1,),)</f>
        <v>1492</v>
      </c>
      <c r="C351" s="30">
        <f>(Table24[[#This Row],[Started]]-B350)/B350</f>
        <v>-6.6979236436704619E-4</v>
      </c>
    </row>
    <row r="352" spans="1:3" x14ac:dyDescent="0.2">
      <c r="A352" s="9">
        <v>32417</v>
      </c>
      <c r="B352" s="10">
        <f>VLOOKUP(Table24[[#This Row],[Date]],'Database New'!$A:$D,MATCH($A$1,'Database New'!$A$1:$D$1,),)</f>
        <v>1522</v>
      </c>
      <c r="C352" s="30">
        <f>(Table24[[#This Row],[Started]]-B351)/B351</f>
        <v>2.0107238605898123E-2</v>
      </c>
    </row>
    <row r="353" spans="1:3" x14ac:dyDescent="0.2">
      <c r="A353" s="9">
        <v>32448</v>
      </c>
      <c r="B353" s="10">
        <f>VLOOKUP(Table24[[#This Row],[Date]],'Database New'!$A:$D,MATCH($A$1,'Database New'!$A$1:$D$1,),)</f>
        <v>1569</v>
      </c>
      <c r="C353" s="30">
        <f>(Table24[[#This Row],[Started]]-B352)/B352</f>
        <v>3.0880420499342968E-2</v>
      </c>
    </row>
    <row r="354" spans="1:3" x14ac:dyDescent="0.2">
      <c r="A354" s="9">
        <v>32478</v>
      </c>
      <c r="B354" s="10">
        <f>VLOOKUP(Table24[[#This Row],[Date]],'Database New'!$A:$D,MATCH($A$1,'Database New'!$A$1:$D$1,),)</f>
        <v>1563</v>
      </c>
      <c r="C354" s="30">
        <f>(Table24[[#This Row],[Started]]-B353)/B353</f>
        <v>-3.8240917782026767E-3</v>
      </c>
    </row>
    <row r="355" spans="1:3" x14ac:dyDescent="0.2">
      <c r="A355" s="9">
        <v>32509</v>
      </c>
      <c r="B355" s="10">
        <f>VLOOKUP(Table24[[#This Row],[Date]],'Database New'!$A:$D,MATCH($A$1,'Database New'!$A$1:$D$1,),)</f>
        <v>1621</v>
      </c>
      <c r="C355" s="30">
        <f>(Table24[[#This Row],[Started]]-B354)/B354</f>
        <v>3.7108125399872044E-2</v>
      </c>
    </row>
    <row r="356" spans="1:3" x14ac:dyDescent="0.2">
      <c r="A356" s="9">
        <v>32540</v>
      </c>
      <c r="B356" s="10">
        <f>VLOOKUP(Table24[[#This Row],[Date]],'Database New'!$A:$D,MATCH($A$1,'Database New'!$A$1:$D$1,),)</f>
        <v>1425</v>
      </c>
      <c r="C356" s="30">
        <f>(Table24[[#This Row],[Started]]-B355)/B355</f>
        <v>-0.12091301665638494</v>
      </c>
    </row>
    <row r="357" spans="1:3" x14ac:dyDescent="0.2">
      <c r="A357" s="9">
        <v>32568</v>
      </c>
      <c r="B357" s="10">
        <f>VLOOKUP(Table24[[#This Row],[Date]],'Database New'!$A:$D,MATCH($A$1,'Database New'!$A$1:$D$1,),)</f>
        <v>1422</v>
      </c>
      <c r="C357" s="30">
        <f>(Table24[[#This Row],[Started]]-B356)/B356</f>
        <v>-2.1052631578947368E-3</v>
      </c>
    </row>
    <row r="358" spans="1:3" x14ac:dyDescent="0.2">
      <c r="A358" s="9">
        <v>32599</v>
      </c>
      <c r="B358" s="10">
        <f>VLOOKUP(Table24[[#This Row],[Date]],'Database New'!$A:$D,MATCH($A$1,'Database New'!$A$1:$D$1,),)</f>
        <v>1339</v>
      </c>
      <c r="C358" s="30">
        <f>(Table24[[#This Row],[Started]]-B357)/B357</f>
        <v>-5.8368495077355836E-2</v>
      </c>
    </row>
    <row r="359" spans="1:3" x14ac:dyDescent="0.2">
      <c r="A359" s="9">
        <v>32629</v>
      </c>
      <c r="B359" s="10">
        <f>VLOOKUP(Table24[[#This Row],[Date]],'Database New'!$A:$D,MATCH($A$1,'Database New'!$A$1:$D$1,),)</f>
        <v>1331</v>
      </c>
      <c r="C359" s="30">
        <f>(Table24[[#This Row],[Started]]-B358)/B358</f>
        <v>-5.9746079163554896E-3</v>
      </c>
    </row>
    <row r="360" spans="1:3" x14ac:dyDescent="0.2">
      <c r="A360" s="9">
        <v>32660</v>
      </c>
      <c r="B360" s="10">
        <f>VLOOKUP(Table24[[#This Row],[Date]],'Database New'!$A:$D,MATCH($A$1,'Database New'!$A$1:$D$1,),)</f>
        <v>1397</v>
      </c>
      <c r="C360" s="30">
        <f>(Table24[[#This Row],[Started]]-B359)/B359</f>
        <v>4.9586776859504134E-2</v>
      </c>
    </row>
    <row r="361" spans="1:3" x14ac:dyDescent="0.2">
      <c r="A361" s="9">
        <v>32690</v>
      </c>
      <c r="B361" s="10">
        <f>VLOOKUP(Table24[[#This Row],[Date]],'Database New'!$A:$D,MATCH($A$1,'Database New'!$A$1:$D$1,),)</f>
        <v>1427</v>
      </c>
      <c r="C361" s="30">
        <f>(Table24[[#This Row],[Started]]-B360)/B360</f>
        <v>2.1474588403722263E-2</v>
      </c>
    </row>
    <row r="362" spans="1:3" x14ac:dyDescent="0.2">
      <c r="A362" s="9">
        <v>32721</v>
      </c>
      <c r="B362" s="10">
        <f>VLOOKUP(Table24[[#This Row],[Date]],'Database New'!$A:$D,MATCH($A$1,'Database New'!$A$1:$D$1,),)</f>
        <v>1332</v>
      </c>
      <c r="C362" s="30">
        <f>(Table24[[#This Row],[Started]]-B361)/B361</f>
        <v>-6.6573230553608975E-2</v>
      </c>
    </row>
    <row r="363" spans="1:3" x14ac:dyDescent="0.2">
      <c r="A363" s="9">
        <v>32752</v>
      </c>
      <c r="B363" s="10">
        <f>VLOOKUP(Table24[[#This Row],[Date]],'Database New'!$A:$D,MATCH($A$1,'Database New'!$A$1:$D$1,),)</f>
        <v>1279</v>
      </c>
      <c r="C363" s="30">
        <f>(Table24[[#This Row],[Started]]-B362)/B362</f>
        <v>-3.9789789789789788E-2</v>
      </c>
    </row>
    <row r="364" spans="1:3" x14ac:dyDescent="0.2">
      <c r="A364" s="9">
        <v>32782</v>
      </c>
      <c r="B364" s="10">
        <f>VLOOKUP(Table24[[#This Row],[Date]],'Database New'!$A:$D,MATCH($A$1,'Database New'!$A$1:$D$1,),)</f>
        <v>1410</v>
      </c>
      <c r="C364" s="30">
        <f>(Table24[[#This Row],[Started]]-B363)/B363</f>
        <v>0.10242376856919469</v>
      </c>
    </row>
    <row r="365" spans="1:3" x14ac:dyDescent="0.2">
      <c r="A365" s="9">
        <v>32813</v>
      </c>
      <c r="B365" s="10">
        <f>VLOOKUP(Table24[[#This Row],[Date]],'Database New'!$A:$D,MATCH($A$1,'Database New'!$A$1:$D$1,),)</f>
        <v>1351</v>
      </c>
      <c r="C365" s="30">
        <f>(Table24[[#This Row],[Started]]-B364)/B364</f>
        <v>-4.1843971631205672E-2</v>
      </c>
    </row>
    <row r="366" spans="1:3" x14ac:dyDescent="0.2">
      <c r="A366" s="9">
        <v>32843</v>
      </c>
      <c r="B366" s="10">
        <f>VLOOKUP(Table24[[#This Row],[Date]],'Database New'!$A:$D,MATCH($A$1,'Database New'!$A$1:$D$1,),)</f>
        <v>1251</v>
      </c>
      <c r="C366" s="30">
        <f>(Table24[[#This Row],[Started]]-B365)/B365</f>
        <v>-7.4019245003700967E-2</v>
      </c>
    </row>
    <row r="367" spans="1:3" x14ac:dyDescent="0.2">
      <c r="A367" s="9">
        <v>32874</v>
      </c>
      <c r="B367" s="10">
        <f>VLOOKUP(Table24[[#This Row],[Date]],'Database New'!$A:$D,MATCH($A$1,'Database New'!$A$1:$D$1,),)</f>
        <v>1551</v>
      </c>
      <c r="C367" s="30">
        <f>(Table24[[#This Row],[Started]]-B366)/B366</f>
        <v>0.23980815347721823</v>
      </c>
    </row>
    <row r="368" spans="1:3" x14ac:dyDescent="0.2">
      <c r="A368" s="9">
        <v>32905</v>
      </c>
      <c r="B368" s="10">
        <f>VLOOKUP(Table24[[#This Row],[Date]],'Database New'!$A:$D,MATCH($A$1,'Database New'!$A$1:$D$1,),)</f>
        <v>1437</v>
      </c>
      <c r="C368" s="30">
        <f>(Table24[[#This Row],[Started]]-B367)/B367</f>
        <v>-7.3500967117988397E-2</v>
      </c>
    </row>
    <row r="369" spans="1:3" x14ac:dyDescent="0.2">
      <c r="A369" s="9">
        <v>32933</v>
      </c>
      <c r="B369" s="10">
        <f>VLOOKUP(Table24[[#This Row],[Date]],'Database New'!$A:$D,MATCH($A$1,'Database New'!$A$1:$D$1,),)</f>
        <v>1289</v>
      </c>
      <c r="C369" s="30">
        <f>(Table24[[#This Row],[Started]]-B368)/B368</f>
        <v>-0.10299234516353514</v>
      </c>
    </row>
    <row r="370" spans="1:3" x14ac:dyDescent="0.2">
      <c r="A370" s="9">
        <v>32964</v>
      </c>
      <c r="B370" s="10">
        <f>VLOOKUP(Table24[[#This Row],[Date]],'Database New'!$A:$D,MATCH($A$1,'Database New'!$A$1:$D$1,),)</f>
        <v>1248</v>
      </c>
      <c r="C370" s="30">
        <f>(Table24[[#This Row],[Started]]-B369)/B369</f>
        <v>-3.1807602792862683E-2</v>
      </c>
    </row>
    <row r="371" spans="1:3" x14ac:dyDescent="0.2">
      <c r="A371" s="9">
        <v>32994</v>
      </c>
      <c r="B371" s="10">
        <f>VLOOKUP(Table24[[#This Row],[Date]],'Database New'!$A:$D,MATCH($A$1,'Database New'!$A$1:$D$1,),)</f>
        <v>1212</v>
      </c>
      <c r="C371" s="30">
        <f>(Table24[[#This Row],[Started]]-B370)/B370</f>
        <v>-2.8846153846153848E-2</v>
      </c>
    </row>
    <row r="372" spans="1:3" x14ac:dyDescent="0.2">
      <c r="A372" s="9">
        <v>33025</v>
      </c>
      <c r="B372" s="10">
        <f>VLOOKUP(Table24[[#This Row],[Date]],'Database New'!$A:$D,MATCH($A$1,'Database New'!$A$1:$D$1,),)</f>
        <v>1177</v>
      </c>
      <c r="C372" s="30">
        <f>(Table24[[#This Row],[Started]]-B371)/B371</f>
        <v>-2.8877887788778877E-2</v>
      </c>
    </row>
    <row r="373" spans="1:3" x14ac:dyDescent="0.2">
      <c r="A373" s="9">
        <v>33055</v>
      </c>
      <c r="B373" s="10">
        <f>VLOOKUP(Table24[[#This Row],[Date]],'Database New'!$A:$D,MATCH($A$1,'Database New'!$A$1:$D$1,),)</f>
        <v>1171</v>
      </c>
      <c r="C373" s="30">
        <f>(Table24[[#This Row],[Started]]-B372)/B372</f>
        <v>-5.0977060322854716E-3</v>
      </c>
    </row>
    <row r="374" spans="1:3" x14ac:dyDescent="0.2">
      <c r="A374" s="9">
        <v>33086</v>
      </c>
      <c r="B374" s="10">
        <f>VLOOKUP(Table24[[#This Row],[Date]],'Database New'!$A:$D,MATCH($A$1,'Database New'!$A$1:$D$1,),)</f>
        <v>1115</v>
      </c>
      <c r="C374" s="30">
        <f>(Table24[[#This Row],[Started]]-B373)/B373</f>
        <v>-4.7822374039282661E-2</v>
      </c>
    </row>
    <row r="375" spans="1:3" x14ac:dyDescent="0.2">
      <c r="A375" s="9">
        <v>33117</v>
      </c>
      <c r="B375" s="10">
        <f>VLOOKUP(Table24[[#This Row],[Date]],'Database New'!$A:$D,MATCH($A$1,'Database New'!$A$1:$D$1,),)</f>
        <v>1110</v>
      </c>
      <c r="C375" s="30">
        <f>(Table24[[#This Row],[Started]]-B374)/B374</f>
        <v>-4.4843049327354259E-3</v>
      </c>
    </row>
    <row r="376" spans="1:3" x14ac:dyDescent="0.2">
      <c r="A376" s="9">
        <v>33147</v>
      </c>
      <c r="B376" s="10">
        <f>VLOOKUP(Table24[[#This Row],[Date]],'Database New'!$A:$D,MATCH($A$1,'Database New'!$A$1:$D$1,),)</f>
        <v>1014</v>
      </c>
      <c r="C376" s="30">
        <f>(Table24[[#This Row],[Started]]-B375)/B375</f>
        <v>-8.6486486486486491E-2</v>
      </c>
    </row>
    <row r="377" spans="1:3" x14ac:dyDescent="0.2">
      <c r="A377" s="9">
        <v>33178</v>
      </c>
      <c r="B377" s="10">
        <f>VLOOKUP(Table24[[#This Row],[Date]],'Database New'!$A:$D,MATCH($A$1,'Database New'!$A$1:$D$1,),)</f>
        <v>1145</v>
      </c>
      <c r="C377" s="30">
        <f>(Table24[[#This Row],[Started]]-B376)/B376</f>
        <v>0.1291913214990138</v>
      </c>
    </row>
    <row r="378" spans="1:3" x14ac:dyDescent="0.2">
      <c r="A378" s="9">
        <v>33208</v>
      </c>
      <c r="B378" s="10">
        <f>VLOOKUP(Table24[[#This Row],[Date]],'Database New'!$A:$D,MATCH($A$1,'Database New'!$A$1:$D$1,),)</f>
        <v>969</v>
      </c>
      <c r="C378" s="30">
        <f>(Table24[[#This Row],[Started]]-B377)/B377</f>
        <v>-0.15371179039301311</v>
      </c>
    </row>
    <row r="379" spans="1:3" x14ac:dyDescent="0.2">
      <c r="A379" s="9">
        <v>33239</v>
      </c>
      <c r="B379" s="10">
        <f>VLOOKUP(Table24[[#This Row],[Date]],'Database New'!$A:$D,MATCH($A$1,'Database New'!$A$1:$D$1,),)</f>
        <v>798</v>
      </c>
      <c r="C379" s="30">
        <f>(Table24[[#This Row],[Started]]-B378)/B378</f>
        <v>-0.17647058823529413</v>
      </c>
    </row>
    <row r="380" spans="1:3" x14ac:dyDescent="0.2">
      <c r="A380" s="9">
        <v>33270</v>
      </c>
      <c r="B380" s="10">
        <f>VLOOKUP(Table24[[#This Row],[Date]],'Database New'!$A:$D,MATCH($A$1,'Database New'!$A$1:$D$1,),)</f>
        <v>965</v>
      </c>
      <c r="C380" s="30">
        <f>(Table24[[#This Row],[Started]]-B379)/B379</f>
        <v>0.20927318295739347</v>
      </c>
    </row>
    <row r="381" spans="1:3" x14ac:dyDescent="0.2">
      <c r="A381" s="9">
        <v>33298</v>
      </c>
      <c r="B381" s="10">
        <f>VLOOKUP(Table24[[#This Row],[Date]],'Database New'!$A:$D,MATCH($A$1,'Database New'!$A$1:$D$1,),)</f>
        <v>921</v>
      </c>
      <c r="C381" s="30">
        <f>(Table24[[#This Row],[Started]]-B380)/B380</f>
        <v>-4.5595854922279792E-2</v>
      </c>
    </row>
    <row r="382" spans="1:3" x14ac:dyDescent="0.2">
      <c r="A382" s="9">
        <v>33329</v>
      </c>
      <c r="B382" s="10">
        <f>VLOOKUP(Table24[[#This Row],[Date]],'Database New'!$A:$D,MATCH($A$1,'Database New'!$A$1:$D$1,),)</f>
        <v>1001</v>
      </c>
      <c r="C382" s="30">
        <f>(Table24[[#This Row],[Started]]-B381)/B381</f>
        <v>8.6862106406080344E-2</v>
      </c>
    </row>
    <row r="383" spans="1:3" x14ac:dyDescent="0.2">
      <c r="A383" s="9">
        <v>33359</v>
      </c>
      <c r="B383" s="10">
        <f>VLOOKUP(Table24[[#This Row],[Date]],'Database New'!$A:$D,MATCH($A$1,'Database New'!$A$1:$D$1,),)</f>
        <v>996</v>
      </c>
      <c r="C383" s="30">
        <f>(Table24[[#This Row],[Started]]-B382)/B382</f>
        <v>-4.995004995004995E-3</v>
      </c>
    </row>
    <row r="384" spans="1:3" x14ac:dyDescent="0.2">
      <c r="A384" s="9">
        <v>33390</v>
      </c>
      <c r="B384" s="10">
        <f>VLOOKUP(Table24[[#This Row],[Date]],'Database New'!$A:$D,MATCH($A$1,'Database New'!$A$1:$D$1,),)</f>
        <v>1036</v>
      </c>
      <c r="C384" s="30">
        <f>(Table24[[#This Row],[Started]]-B383)/B383</f>
        <v>4.0160642570281124E-2</v>
      </c>
    </row>
    <row r="385" spans="1:3" x14ac:dyDescent="0.2">
      <c r="A385" s="9">
        <v>33420</v>
      </c>
      <c r="B385" s="10">
        <f>VLOOKUP(Table24[[#This Row],[Date]],'Database New'!$A:$D,MATCH($A$1,'Database New'!$A$1:$D$1,),)</f>
        <v>1063</v>
      </c>
      <c r="C385" s="30">
        <f>(Table24[[#This Row],[Started]]-B384)/B384</f>
        <v>2.6061776061776062E-2</v>
      </c>
    </row>
    <row r="386" spans="1:3" x14ac:dyDescent="0.2">
      <c r="A386" s="9">
        <v>33451</v>
      </c>
      <c r="B386" s="10">
        <f>VLOOKUP(Table24[[#This Row],[Date]],'Database New'!$A:$D,MATCH($A$1,'Database New'!$A$1:$D$1,),)</f>
        <v>1049</v>
      </c>
      <c r="C386" s="30">
        <f>(Table24[[#This Row],[Started]]-B385)/B385</f>
        <v>-1.317027281279398E-2</v>
      </c>
    </row>
    <row r="387" spans="1:3" x14ac:dyDescent="0.2">
      <c r="A387" s="9">
        <v>33482</v>
      </c>
      <c r="B387" s="10">
        <f>VLOOKUP(Table24[[#This Row],[Date]],'Database New'!$A:$D,MATCH($A$1,'Database New'!$A$1:$D$1,),)</f>
        <v>1015</v>
      </c>
      <c r="C387" s="30">
        <f>(Table24[[#This Row],[Started]]-B386)/B386</f>
        <v>-3.2411820781696854E-2</v>
      </c>
    </row>
    <row r="388" spans="1:3" x14ac:dyDescent="0.2">
      <c r="A388" s="9">
        <v>33512</v>
      </c>
      <c r="B388" s="10">
        <f>VLOOKUP(Table24[[#This Row],[Date]],'Database New'!$A:$D,MATCH($A$1,'Database New'!$A$1:$D$1,),)</f>
        <v>1079</v>
      </c>
      <c r="C388" s="30">
        <f>(Table24[[#This Row],[Started]]-B387)/B387</f>
        <v>6.3054187192118222E-2</v>
      </c>
    </row>
    <row r="389" spans="1:3" x14ac:dyDescent="0.2">
      <c r="A389" s="9">
        <v>33543</v>
      </c>
      <c r="B389" s="10">
        <f>VLOOKUP(Table24[[#This Row],[Date]],'Database New'!$A:$D,MATCH($A$1,'Database New'!$A$1:$D$1,),)</f>
        <v>1103</v>
      </c>
      <c r="C389" s="30">
        <f>(Table24[[#This Row],[Started]]-B388)/B388</f>
        <v>2.2242817423540315E-2</v>
      </c>
    </row>
    <row r="390" spans="1:3" x14ac:dyDescent="0.2">
      <c r="A390" s="9">
        <v>33573</v>
      </c>
      <c r="B390" s="10">
        <f>VLOOKUP(Table24[[#This Row],[Date]],'Database New'!$A:$D,MATCH($A$1,'Database New'!$A$1:$D$1,),)</f>
        <v>1079</v>
      </c>
      <c r="C390" s="30">
        <f>(Table24[[#This Row],[Started]]-B389)/B389</f>
        <v>-2.1758839528558477E-2</v>
      </c>
    </row>
    <row r="391" spans="1:3" x14ac:dyDescent="0.2">
      <c r="A391" s="9">
        <v>33604</v>
      </c>
      <c r="B391" s="10">
        <f>VLOOKUP(Table24[[#This Row],[Date]],'Database New'!$A:$D,MATCH($A$1,'Database New'!$A$1:$D$1,),)</f>
        <v>1176</v>
      </c>
      <c r="C391" s="30">
        <f>(Table24[[#This Row],[Started]]-B390)/B390</f>
        <v>8.989805375347544E-2</v>
      </c>
    </row>
    <row r="392" spans="1:3" x14ac:dyDescent="0.2">
      <c r="A392" s="9">
        <v>33635</v>
      </c>
      <c r="B392" s="10">
        <f>VLOOKUP(Table24[[#This Row],[Date]],'Database New'!$A:$D,MATCH($A$1,'Database New'!$A$1:$D$1,),)</f>
        <v>1250</v>
      </c>
      <c r="C392" s="30">
        <f>(Table24[[#This Row],[Started]]-B391)/B391</f>
        <v>6.2925170068027211E-2</v>
      </c>
    </row>
    <row r="393" spans="1:3" x14ac:dyDescent="0.2">
      <c r="A393" s="9">
        <v>33664</v>
      </c>
      <c r="B393" s="10">
        <f>VLOOKUP(Table24[[#This Row],[Date]],'Database New'!$A:$D,MATCH($A$1,'Database New'!$A$1:$D$1,),)</f>
        <v>1297</v>
      </c>
      <c r="C393" s="30">
        <f>(Table24[[#This Row],[Started]]-B392)/B392</f>
        <v>3.7600000000000001E-2</v>
      </c>
    </row>
    <row r="394" spans="1:3" x14ac:dyDescent="0.2">
      <c r="A394" s="9">
        <v>33695</v>
      </c>
      <c r="B394" s="10">
        <f>VLOOKUP(Table24[[#This Row],[Date]],'Database New'!$A:$D,MATCH($A$1,'Database New'!$A$1:$D$1,),)</f>
        <v>1099</v>
      </c>
      <c r="C394" s="30">
        <f>(Table24[[#This Row],[Started]]-B393)/B393</f>
        <v>-0.15265998457979954</v>
      </c>
    </row>
    <row r="395" spans="1:3" x14ac:dyDescent="0.2">
      <c r="A395" s="9">
        <v>33725</v>
      </c>
      <c r="B395" s="10">
        <f>VLOOKUP(Table24[[#This Row],[Date]],'Database New'!$A:$D,MATCH($A$1,'Database New'!$A$1:$D$1,),)</f>
        <v>1214</v>
      </c>
      <c r="C395" s="30">
        <f>(Table24[[#This Row],[Started]]-B394)/B394</f>
        <v>0.10464058234758872</v>
      </c>
    </row>
    <row r="396" spans="1:3" x14ac:dyDescent="0.2">
      <c r="A396" s="9">
        <v>33756</v>
      </c>
      <c r="B396" s="10">
        <f>VLOOKUP(Table24[[#This Row],[Date]],'Database New'!$A:$D,MATCH($A$1,'Database New'!$A$1:$D$1,),)</f>
        <v>1145</v>
      </c>
      <c r="C396" s="30">
        <f>(Table24[[#This Row],[Started]]-B395)/B395</f>
        <v>-5.6836902800658978E-2</v>
      </c>
    </row>
    <row r="397" spans="1:3" x14ac:dyDescent="0.2">
      <c r="A397" s="9">
        <v>33786</v>
      </c>
      <c r="B397" s="10">
        <f>VLOOKUP(Table24[[#This Row],[Date]],'Database New'!$A:$D,MATCH($A$1,'Database New'!$A$1:$D$1,),)</f>
        <v>1139</v>
      </c>
      <c r="C397" s="30">
        <f>(Table24[[#This Row],[Started]]-B396)/B396</f>
        <v>-5.2401746724890829E-3</v>
      </c>
    </row>
    <row r="398" spans="1:3" x14ac:dyDescent="0.2">
      <c r="A398" s="9">
        <v>33817</v>
      </c>
      <c r="B398" s="10">
        <f>VLOOKUP(Table24[[#This Row],[Date]],'Database New'!$A:$D,MATCH($A$1,'Database New'!$A$1:$D$1,),)</f>
        <v>1226</v>
      </c>
      <c r="C398" s="30">
        <f>(Table24[[#This Row],[Started]]-B397)/B397</f>
        <v>7.6382791922739252E-2</v>
      </c>
    </row>
    <row r="399" spans="1:3" x14ac:dyDescent="0.2">
      <c r="A399" s="9">
        <v>33848</v>
      </c>
      <c r="B399" s="10">
        <f>VLOOKUP(Table24[[#This Row],[Date]],'Database New'!$A:$D,MATCH($A$1,'Database New'!$A$1:$D$1,),)</f>
        <v>1186</v>
      </c>
      <c r="C399" s="30">
        <f>(Table24[[#This Row],[Started]]-B398)/B398</f>
        <v>-3.2626427406199018E-2</v>
      </c>
    </row>
    <row r="400" spans="1:3" x14ac:dyDescent="0.2">
      <c r="A400" s="9">
        <v>33878</v>
      </c>
      <c r="B400" s="10">
        <f>VLOOKUP(Table24[[#This Row],[Date]],'Database New'!$A:$D,MATCH($A$1,'Database New'!$A$1:$D$1,),)</f>
        <v>1244</v>
      </c>
      <c r="C400" s="30">
        <f>(Table24[[#This Row],[Started]]-B399)/B399</f>
        <v>4.8903878583473864E-2</v>
      </c>
    </row>
    <row r="401" spans="1:3" x14ac:dyDescent="0.2">
      <c r="A401" s="9">
        <v>33909</v>
      </c>
      <c r="B401" s="10">
        <f>VLOOKUP(Table24[[#This Row],[Date]],'Database New'!$A:$D,MATCH($A$1,'Database New'!$A$1:$D$1,),)</f>
        <v>1214</v>
      </c>
      <c r="C401" s="30">
        <f>(Table24[[#This Row],[Started]]-B400)/B400</f>
        <v>-2.4115755627009645E-2</v>
      </c>
    </row>
    <row r="402" spans="1:3" x14ac:dyDescent="0.2">
      <c r="A402" s="9">
        <v>33939</v>
      </c>
      <c r="B402" s="10">
        <f>VLOOKUP(Table24[[#This Row],[Date]],'Database New'!$A:$D,MATCH($A$1,'Database New'!$A$1:$D$1,),)</f>
        <v>1227</v>
      </c>
      <c r="C402" s="30">
        <f>(Table24[[#This Row],[Started]]-B401)/B401</f>
        <v>1.070840197693575E-2</v>
      </c>
    </row>
    <row r="403" spans="1:3" x14ac:dyDescent="0.2">
      <c r="A403" s="9">
        <v>33970</v>
      </c>
      <c r="B403" s="10">
        <f>VLOOKUP(Table24[[#This Row],[Date]],'Database New'!$A:$D,MATCH($A$1,'Database New'!$A$1:$D$1,),)</f>
        <v>1210</v>
      </c>
      <c r="C403" s="30">
        <f>(Table24[[#This Row],[Started]]-B402)/B402</f>
        <v>-1.3854930725346373E-2</v>
      </c>
    </row>
    <row r="404" spans="1:3" x14ac:dyDescent="0.2">
      <c r="A404" s="9">
        <v>34001</v>
      </c>
      <c r="B404" s="10">
        <f>VLOOKUP(Table24[[#This Row],[Date]],'Database New'!$A:$D,MATCH($A$1,'Database New'!$A$1:$D$1,),)</f>
        <v>1210</v>
      </c>
      <c r="C404" s="30">
        <f>(Table24[[#This Row],[Started]]-B403)/B403</f>
        <v>0</v>
      </c>
    </row>
    <row r="405" spans="1:3" x14ac:dyDescent="0.2">
      <c r="A405" s="9">
        <v>34029</v>
      </c>
      <c r="B405" s="10">
        <f>VLOOKUP(Table24[[#This Row],[Date]],'Database New'!$A:$D,MATCH($A$1,'Database New'!$A$1:$D$1,),)</f>
        <v>1083</v>
      </c>
      <c r="C405" s="30">
        <f>(Table24[[#This Row],[Started]]-B404)/B404</f>
        <v>-0.10495867768595041</v>
      </c>
    </row>
    <row r="406" spans="1:3" x14ac:dyDescent="0.2">
      <c r="A406" s="9">
        <v>34060</v>
      </c>
      <c r="B406" s="10">
        <f>VLOOKUP(Table24[[#This Row],[Date]],'Database New'!$A:$D,MATCH($A$1,'Database New'!$A$1:$D$1,),)</f>
        <v>1258</v>
      </c>
      <c r="C406" s="30">
        <f>(Table24[[#This Row],[Started]]-B405)/B405</f>
        <v>0.16158818097876271</v>
      </c>
    </row>
    <row r="407" spans="1:3" x14ac:dyDescent="0.2">
      <c r="A407" s="9">
        <v>34090</v>
      </c>
      <c r="B407" s="10">
        <f>VLOOKUP(Table24[[#This Row],[Date]],'Database New'!$A:$D,MATCH($A$1,'Database New'!$A$1:$D$1,),)</f>
        <v>1260</v>
      </c>
      <c r="C407" s="30">
        <f>(Table24[[#This Row],[Started]]-B406)/B406</f>
        <v>1.589825119236884E-3</v>
      </c>
    </row>
    <row r="408" spans="1:3" x14ac:dyDescent="0.2">
      <c r="A408" s="9">
        <v>34121</v>
      </c>
      <c r="B408" s="10">
        <f>VLOOKUP(Table24[[#This Row],[Date]],'Database New'!$A:$D,MATCH($A$1,'Database New'!$A$1:$D$1,),)</f>
        <v>1280</v>
      </c>
      <c r="C408" s="30">
        <f>(Table24[[#This Row],[Started]]-B407)/B407</f>
        <v>1.5873015873015872E-2</v>
      </c>
    </row>
    <row r="409" spans="1:3" x14ac:dyDescent="0.2">
      <c r="A409" s="9">
        <v>34151</v>
      </c>
      <c r="B409" s="10">
        <f>VLOOKUP(Table24[[#This Row],[Date]],'Database New'!$A:$D,MATCH($A$1,'Database New'!$A$1:$D$1,),)</f>
        <v>1254</v>
      </c>
      <c r="C409" s="30">
        <f>(Table24[[#This Row],[Started]]-B408)/B408</f>
        <v>-2.0312500000000001E-2</v>
      </c>
    </row>
    <row r="410" spans="1:3" x14ac:dyDescent="0.2">
      <c r="A410" s="9">
        <v>34182</v>
      </c>
      <c r="B410" s="10">
        <f>VLOOKUP(Table24[[#This Row],[Date]],'Database New'!$A:$D,MATCH($A$1,'Database New'!$A$1:$D$1,),)</f>
        <v>1300</v>
      </c>
      <c r="C410" s="30">
        <f>(Table24[[#This Row],[Started]]-B409)/B409</f>
        <v>3.6682615629984053E-2</v>
      </c>
    </row>
    <row r="411" spans="1:3" x14ac:dyDescent="0.2">
      <c r="A411" s="9">
        <v>34213</v>
      </c>
      <c r="B411" s="10">
        <f>VLOOKUP(Table24[[#This Row],[Date]],'Database New'!$A:$D,MATCH($A$1,'Database New'!$A$1:$D$1,),)</f>
        <v>1343</v>
      </c>
      <c r="C411" s="30">
        <f>(Table24[[#This Row],[Started]]-B410)/B410</f>
        <v>3.307692307692308E-2</v>
      </c>
    </row>
    <row r="412" spans="1:3" x14ac:dyDescent="0.2">
      <c r="A412" s="9">
        <v>34243</v>
      </c>
      <c r="B412" s="10">
        <f>VLOOKUP(Table24[[#This Row],[Date]],'Database New'!$A:$D,MATCH($A$1,'Database New'!$A$1:$D$1,),)</f>
        <v>1392</v>
      </c>
      <c r="C412" s="30">
        <f>(Table24[[#This Row],[Started]]-B411)/B411</f>
        <v>3.6485480268056592E-2</v>
      </c>
    </row>
    <row r="413" spans="1:3" x14ac:dyDescent="0.2">
      <c r="A413" s="9">
        <v>34274</v>
      </c>
      <c r="B413" s="10">
        <f>VLOOKUP(Table24[[#This Row],[Date]],'Database New'!$A:$D,MATCH($A$1,'Database New'!$A$1:$D$1,),)</f>
        <v>1376</v>
      </c>
      <c r="C413" s="30">
        <f>(Table24[[#This Row],[Started]]-B412)/B412</f>
        <v>-1.1494252873563218E-2</v>
      </c>
    </row>
    <row r="414" spans="1:3" x14ac:dyDescent="0.2">
      <c r="A414" s="9">
        <v>34304</v>
      </c>
      <c r="B414" s="10">
        <f>VLOOKUP(Table24[[#This Row],[Date]],'Database New'!$A:$D,MATCH($A$1,'Database New'!$A$1:$D$1,),)</f>
        <v>1533</v>
      </c>
      <c r="C414" s="30">
        <f>(Table24[[#This Row],[Started]]-B413)/B413</f>
        <v>0.11409883720930232</v>
      </c>
    </row>
    <row r="415" spans="1:3" x14ac:dyDescent="0.2">
      <c r="A415" s="9">
        <v>34335</v>
      </c>
      <c r="B415" s="10">
        <f>VLOOKUP(Table24[[#This Row],[Date]],'Database New'!$A:$D,MATCH($A$1,'Database New'!$A$1:$D$1,),)</f>
        <v>1272</v>
      </c>
      <c r="C415" s="30">
        <f>(Table24[[#This Row],[Started]]-B414)/B414</f>
        <v>-0.17025440313111545</v>
      </c>
    </row>
    <row r="416" spans="1:3" x14ac:dyDescent="0.2">
      <c r="A416" s="9">
        <v>34366</v>
      </c>
      <c r="B416" s="10">
        <f>VLOOKUP(Table24[[#This Row],[Date]],'Database New'!$A:$D,MATCH($A$1,'Database New'!$A$1:$D$1,),)</f>
        <v>1337</v>
      </c>
      <c r="C416" s="30">
        <f>(Table24[[#This Row],[Started]]-B415)/B415</f>
        <v>5.1100628930817613E-2</v>
      </c>
    </row>
    <row r="417" spans="1:3" x14ac:dyDescent="0.2">
      <c r="A417" s="9">
        <v>34394</v>
      </c>
      <c r="B417" s="10">
        <f>VLOOKUP(Table24[[#This Row],[Date]],'Database New'!$A:$D,MATCH($A$1,'Database New'!$A$1:$D$1,),)</f>
        <v>1564</v>
      </c>
      <c r="C417" s="30">
        <f>(Table24[[#This Row],[Started]]-B416)/B416</f>
        <v>0.16978309648466716</v>
      </c>
    </row>
    <row r="418" spans="1:3" x14ac:dyDescent="0.2">
      <c r="A418" s="9">
        <v>34425</v>
      </c>
      <c r="B418" s="10">
        <f>VLOOKUP(Table24[[#This Row],[Date]],'Database New'!$A:$D,MATCH($A$1,'Database New'!$A$1:$D$1,),)</f>
        <v>1465</v>
      </c>
      <c r="C418" s="30">
        <f>(Table24[[#This Row],[Started]]-B417)/B417</f>
        <v>-6.3299232736572897E-2</v>
      </c>
    </row>
    <row r="419" spans="1:3" x14ac:dyDescent="0.2">
      <c r="A419" s="9">
        <v>34455</v>
      </c>
      <c r="B419" s="10">
        <f>VLOOKUP(Table24[[#This Row],[Date]],'Database New'!$A:$D,MATCH($A$1,'Database New'!$A$1:$D$1,),)</f>
        <v>1526</v>
      </c>
      <c r="C419" s="30">
        <f>(Table24[[#This Row],[Started]]-B418)/B418</f>
        <v>4.1638225255972695E-2</v>
      </c>
    </row>
    <row r="420" spans="1:3" x14ac:dyDescent="0.2">
      <c r="A420" s="9">
        <v>34486</v>
      </c>
      <c r="B420" s="10">
        <f>VLOOKUP(Table24[[#This Row],[Date]],'Database New'!$A:$D,MATCH($A$1,'Database New'!$A$1:$D$1,),)</f>
        <v>1409</v>
      </c>
      <c r="C420" s="30">
        <f>(Table24[[#This Row],[Started]]-B419)/B419</f>
        <v>-7.6671035386631711E-2</v>
      </c>
    </row>
    <row r="421" spans="1:3" x14ac:dyDescent="0.2">
      <c r="A421" s="9">
        <v>34516</v>
      </c>
      <c r="B421" s="10">
        <f>VLOOKUP(Table24[[#This Row],[Date]],'Database New'!$A:$D,MATCH($A$1,'Database New'!$A$1:$D$1,),)</f>
        <v>1439</v>
      </c>
      <c r="C421" s="30">
        <f>(Table24[[#This Row],[Started]]-B420)/B420</f>
        <v>2.1291696238466998E-2</v>
      </c>
    </row>
    <row r="422" spans="1:3" x14ac:dyDescent="0.2">
      <c r="A422" s="9">
        <v>34547</v>
      </c>
      <c r="B422" s="10">
        <f>VLOOKUP(Table24[[#This Row],[Date]],'Database New'!$A:$D,MATCH($A$1,'Database New'!$A$1:$D$1,),)</f>
        <v>1450</v>
      </c>
      <c r="C422" s="30">
        <f>(Table24[[#This Row],[Started]]-B421)/B421</f>
        <v>7.6441973592772756E-3</v>
      </c>
    </row>
    <row r="423" spans="1:3" x14ac:dyDescent="0.2">
      <c r="A423" s="9">
        <v>34578</v>
      </c>
      <c r="B423" s="10">
        <f>VLOOKUP(Table24[[#This Row],[Date]],'Database New'!$A:$D,MATCH($A$1,'Database New'!$A$1:$D$1,),)</f>
        <v>1474</v>
      </c>
      <c r="C423" s="30">
        <f>(Table24[[#This Row],[Started]]-B422)/B422</f>
        <v>1.6551724137931035E-2</v>
      </c>
    </row>
    <row r="424" spans="1:3" x14ac:dyDescent="0.2">
      <c r="A424" s="9">
        <v>34608</v>
      </c>
      <c r="B424" s="10">
        <f>VLOOKUP(Table24[[#This Row],[Date]],'Database New'!$A:$D,MATCH($A$1,'Database New'!$A$1:$D$1,),)</f>
        <v>1450</v>
      </c>
      <c r="C424" s="30">
        <f>(Table24[[#This Row],[Started]]-B423)/B423</f>
        <v>-1.6282225237449117E-2</v>
      </c>
    </row>
    <row r="425" spans="1:3" x14ac:dyDescent="0.2">
      <c r="A425" s="9">
        <v>34639</v>
      </c>
      <c r="B425" s="10">
        <f>VLOOKUP(Table24[[#This Row],[Date]],'Database New'!$A:$D,MATCH($A$1,'Database New'!$A$1:$D$1,),)</f>
        <v>1511</v>
      </c>
      <c r="C425" s="30">
        <f>(Table24[[#This Row],[Started]]-B424)/B424</f>
        <v>4.2068965517241382E-2</v>
      </c>
    </row>
    <row r="426" spans="1:3" x14ac:dyDescent="0.2">
      <c r="A426" s="9">
        <v>34669</v>
      </c>
      <c r="B426" s="10">
        <f>VLOOKUP(Table24[[#This Row],[Date]],'Database New'!$A:$D,MATCH($A$1,'Database New'!$A$1:$D$1,),)</f>
        <v>1455</v>
      </c>
      <c r="C426" s="30">
        <f>(Table24[[#This Row],[Started]]-B425)/B425</f>
        <v>-3.7061548643282594E-2</v>
      </c>
    </row>
    <row r="427" spans="1:3" x14ac:dyDescent="0.2">
      <c r="A427" s="9">
        <v>34700</v>
      </c>
      <c r="B427" s="10">
        <f>VLOOKUP(Table24[[#This Row],[Date]],'Database New'!$A:$D,MATCH($A$1,'Database New'!$A$1:$D$1,),)</f>
        <v>1407</v>
      </c>
      <c r="C427" s="30">
        <f>(Table24[[#This Row],[Started]]-B426)/B426</f>
        <v>-3.2989690721649485E-2</v>
      </c>
    </row>
    <row r="428" spans="1:3" x14ac:dyDescent="0.2">
      <c r="A428" s="9">
        <v>34731</v>
      </c>
      <c r="B428" s="10">
        <f>VLOOKUP(Table24[[#This Row],[Date]],'Database New'!$A:$D,MATCH($A$1,'Database New'!$A$1:$D$1,),)</f>
        <v>1316</v>
      </c>
      <c r="C428" s="30">
        <f>(Table24[[#This Row],[Started]]-B427)/B427</f>
        <v>-6.4676616915422883E-2</v>
      </c>
    </row>
    <row r="429" spans="1:3" x14ac:dyDescent="0.2">
      <c r="A429" s="9">
        <v>34759</v>
      </c>
      <c r="B429" s="10">
        <f>VLOOKUP(Table24[[#This Row],[Date]],'Database New'!$A:$D,MATCH($A$1,'Database New'!$A$1:$D$1,),)</f>
        <v>1249</v>
      </c>
      <c r="C429" s="30">
        <f>(Table24[[#This Row],[Started]]-B428)/B428</f>
        <v>-5.0911854103343465E-2</v>
      </c>
    </row>
    <row r="430" spans="1:3" x14ac:dyDescent="0.2">
      <c r="A430" s="9">
        <v>34790</v>
      </c>
      <c r="B430" s="10">
        <f>VLOOKUP(Table24[[#This Row],[Date]],'Database New'!$A:$D,MATCH($A$1,'Database New'!$A$1:$D$1,),)</f>
        <v>1267</v>
      </c>
      <c r="C430" s="30">
        <f>(Table24[[#This Row],[Started]]-B429)/B429</f>
        <v>1.4411529223378704E-2</v>
      </c>
    </row>
    <row r="431" spans="1:3" x14ac:dyDescent="0.2">
      <c r="A431" s="9">
        <v>34820</v>
      </c>
      <c r="B431" s="10">
        <f>VLOOKUP(Table24[[#This Row],[Date]],'Database New'!$A:$D,MATCH($A$1,'Database New'!$A$1:$D$1,),)</f>
        <v>1314</v>
      </c>
      <c r="C431" s="30">
        <f>(Table24[[#This Row],[Started]]-B430)/B430</f>
        <v>3.7095501183898975E-2</v>
      </c>
    </row>
    <row r="432" spans="1:3" x14ac:dyDescent="0.2">
      <c r="A432" s="9">
        <v>34851</v>
      </c>
      <c r="B432" s="10">
        <f>VLOOKUP(Table24[[#This Row],[Date]],'Database New'!$A:$D,MATCH($A$1,'Database New'!$A$1:$D$1,),)</f>
        <v>1281</v>
      </c>
      <c r="C432" s="30">
        <f>(Table24[[#This Row],[Started]]-B431)/B431</f>
        <v>-2.5114155251141551E-2</v>
      </c>
    </row>
    <row r="433" spans="1:3" x14ac:dyDescent="0.2">
      <c r="A433" s="9">
        <v>34881</v>
      </c>
      <c r="B433" s="10">
        <f>VLOOKUP(Table24[[#This Row],[Date]],'Database New'!$A:$D,MATCH($A$1,'Database New'!$A$1:$D$1,),)</f>
        <v>1461</v>
      </c>
      <c r="C433" s="30">
        <f>(Table24[[#This Row],[Started]]-B432)/B432</f>
        <v>0.14051522248243559</v>
      </c>
    </row>
    <row r="434" spans="1:3" x14ac:dyDescent="0.2">
      <c r="A434" s="9">
        <v>34912</v>
      </c>
      <c r="B434" s="10">
        <f>VLOOKUP(Table24[[#This Row],[Date]],'Database New'!$A:$D,MATCH($A$1,'Database New'!$A$1:$D$1,),)</f>
        <v>1416</v>
      </c>
      <c r="C434" s="30">
        <f>(Table24[[#This Row],[Started]]-B433)/B433</f>
        <v>-3.0800821355236138E-2</v>
      </c>
    </row>
    <row r="435" spans="1:3" x14ac:dyDescent="0.2">
      <c r="A435" s="9">
        <v>34943</v>
      </c>
      <c r="B435" s="10">
        <f>VLOOKUP(Table24[[#This Row],[Date]],'Database New'!$A:$D,MATCH($A$1,'Database New'!$A$1:$D$1,),)</f>
        <v>1369</v>
      </c>
      <c r="C435" s="30">
        <f>(Table24[[#This Row],[Started]]-B434)/B434</f>
        <v>-3.3192090395480225E-2</v>
      </c>
    </row>
    <row r="436" spans="1:3" x14ac:dyDescent="0.2">
      <c r="A436" s="9">
        <v>34973</v>
      </c>
      <c r="B436" s="10">
        <f>VLOOKUP(Table24[[#This Row],[Date]],'Database New'!$A:$D,MATCH($A$1,'Database New'!$A$1:$D$1,),)</f>
        <v>1369</v>
      </c>
      <c r="C436" s="30">
        <f>(Table24[[#This Row],[Started]]-B435)/B435</f>
        <v>0</v>
      </c>
    </row>
    <row r="437" spans="1:3" x14ac:dyDescent="0.2">
      <c r="A437" s="9">
        <v>35004</v>
      </c>
      <c r="B437" s="10">
        <f>VLOOKUP(Table24[[#This Row],[Date]],'Database New'!$A:$D,MATCH($A$1,'Database New'!$A$1:$D$1,),)</f>
        <v>1452</v>
      </c>
      <c r="C437" s="30">
        <f>(Table24[[#This Row],[Started]]-B436)/B436</f>
        <v>6.0628195763330901E-2</v>
      </c>
    </row>
    <row r="438" spans="1:3" x14ac:dyDescent="0.2">
      <c r="A438" s="9">
        <v>35034</v>
      </c>
      <c r="B438" s="10">
        <f>VLOOKUP(Table24[[#This Row],[Date]],'Database New'!$A:$D,MATCH($A$1,'Database New'!$A$1:$D$1,),)</f>
        <v>1431</v>
      </c>
      <c r="C438" s="30">
        <f>(Table24[[#This Row],[Started]]-B437)/B437</f>
        <v>-1.4462809917355372E-2</v>
      </c>
    </row>
    <row r="439" spans="1:3" x14ac:dyDescent="0.2">
      <c r="A439" s="9">
        <v>35065</v>
      </c>
      <c r="B439" s="10">
        <f>VLOOKUP(Table24[[#This Row],[Date]],'Database New'!$A:$D,MATCH($A$1,'Database New'!$A$1:$D$1,),)</f>
        <v>1467</v>
      </c>
      <c r="C439" s="30">
        <f>(Table24[[#This Row],[Started]]-B438)/B438</f>
        <v>2.5157232704402517E-2</v>
      </c>
    </row>
    <row r="440" spans="1:3" x14ac:dyDescent="0.2">
      <c r="A440" s="9">
        <v>35096</v>
      </c>
      <c r="B440" s="10">
        <f>VLOOKUP(Table24[[#This Row],[Date]],'Database New'!$A:$D,MATCH($A$1,'Database New'!$A$1:$D$1,),)</f>
        <v>1491</v>
      </c>
      <c r="C440" s="30">
        <f>(Table24[[#This Row],[Started]]-B439)/B439</f>
        <v>1.6359918200408999E-2</v>
      </c>
    </row>
    <row r="441" spans="1:3" x14ac:dyDescent="0.2">
      <c r="A441" s="9">
        <v>35125</v>
      </c>
      <c r="B441" s="10">
        <f>VLOOKUP(Table24[[#This Row],[Date]],'Database New'!$A:$D,MATCH($A$1,'Database New'!$A$1:$D$1,),)</f>
        <v>1424</v>
      </c>
      <c r="C441" s="30">
        <f>(Table24[[#This Row],[Started]]-B440)/B440</f>
        <v>-4.493628437290409E-2</v>
      </c>
    </row>
    <row r="442" spans="1:3" x14ac:dyDescent="0.2">
      <c r="A442" s="9">
        <v>35156</v>
      </c>
      <c r="B442" s="10">
        <f>VLOOKUP(Table24[[#This Row],[Date]],'Database New'!$A:$D,MATCH($A$1,'Database New'!$A$1:$D$1,),)</f>
        <v>1516</v>
      </c>
      <c r="C442" s="30">
        <f>(Table24[[#This Row],[Started]]-B441)/B441</f>
        <v>6.4606741573033713E-2</v>
      </c>
    </row>
    <row r="443" spans="1:3" x14ac:dyDescent="0.2">
      <c r="A443" s="9">
        <v>35186</v>
      </c>
      <c r="B443" s="10">
        <f>VLOOKUP(Table24[[#This Row],[Date]],'Database New'!$A:$D,MATCH($A$1,'Database New'!$A$1:$D$1,),)</f>
        <v>1504</v>
      </c>
      <c r="C443" s="30">
        <f>(Table24[[#This Row],[Started]]-B442)/B442</f>
        <v>-7.9155672823219003E-3</v>
      </c>
    </row>
    <row r="444" spans="1:3" x14ac:dyDescent="0.2">
      <c r="A444" s="9">
        <v>35217</v>
      </c>
      <c r="B444" s="10">
        <f>VLOOKUP(Table24[[#This Row],[Date]],'Database New'!$A:$D,MATCH($A$1,'Database New'!$A$1:$D$1,),)</f>
        <v>1467</v>
      </c>
      <c r="C444" s="30">
        <f>(Table24[[#This Row],[Started]]-B443)/B443</f>
        <v>-2.4601063829787235E-2</v>
      </c>
    </row>
    <row r="445" spans="1:3" x14ac:dyDescent="0.2">
      <c r="A445" s="9">
        <v>35247</v>
      </c>
      <c r="B445" s="10">
        <f>VLOOKUP(Table24[[#This Row],[Date]],'Database New'!$A:$D,MATCH($A$1,'Database New'!$A$1:$D$1,),)</f>
        <v>1472</v>
      </c>
      <c r="C445" s="30">
        <f>(Table24[[#This Row],[Started]]-B444)/B444</f>
        <v>3.4083162917518746E-3</v>
      </c>
    </row>
    <row r="446" spans="1:3" x14ac:dyDescent="0.2">
      <c r="A446" s="9">
        <v>35278</v>
      </c>
      <c r="B446" s="10">
        <f>VLOOKUP(Table24[[#This Row],[Date]],'Database New'!$A:$D,MATCH($A$1,'Database New'!$A$1:$D$1,),)</f>
        <v>1557</v>
      </c>
      <c r="C446" s="30">
        <f>(Table24[[#This Row],[Started]]-B445)/B445</f>
        <v>5.7744565217391304E-2</v>
      </c>
    </row>
    <row r="447" spans="1:3" x14ac:dyDescent="0.2">
      <c r="A447" s="9">
        <v>35309</v>
      </c>
      <c r="B447" s="10">
        <f>VLOOKUP(Table24[[#This Row],[Date]],'Database New'!$A:$D,MATCH($A$1,'Database New'!$A$1:$D$1,),)</f>
        <v>1475</v>
      </c>
      <c r="C447" s="30">
        <f>(Table24[[#This Row],[Started]]-B446)/B446</f>
        <v>-5.266538214515093E-2</v>
      </c>
    </row>
    <row r="448" spans="1:3" x14ac:dyDescent="0.2">
      <c r="A448" s="9">
        <v>35339</v>
      </c>
      <c r="B448" s="10">
        <f>VLOOKUP(Table24[[#This Row],[Date]],'Database New'!$A:$D,MATCH($A$1,'Database New'!$A$1:$D$1,),)</f>
        <v>1392</v>
      </c>
      <c r="C448" s="30">
        <f>(Table24[[#This Row],[Started]]-B447)/B447</f>
        <v>-5.6271186440677967E-2</v>
      </c>
    </row>
    <row r="449" spans="1:3" x14ac:dyDescent="0.2">
      <c r="A449" s="9">
        <v>35370</v>
      </c>
      <c r="B449" s="10">
        <f>VLOOKUP(Table24[[#This Row],[Date]],'Database New'!$A:$D,MATCH($A$1,'Database New'!$A$1:$D$1,),)</f>
        <v>1489</v>
      </c>
      <c r="C449" s="30">
        <f>(Table24[[#This Row],[Started]]-B448)/B448</f>
        <v>6.9683908045977017E-2</v>
      </c>
    </row>
    <row r="450" spans="1:3" x14ac:dyDescent="0.2">
      <c r="A450" s="9">
        <v>35400</v>
      </c>
      <c r="B450" s="10">
        <f>VLOOKUP(Table24[[#This Row],[Date]],'Database New'!$A:$D,MATCH($A$1,'Database New'!$A$1:$D$1,),)</f>
        <v>1370</v>
      </c>
      <c r="C450" s="30">
        <f>(Table24[[#This Row],[Started]]-B449)/B449</f>
        <v>-7.9919408999328409E-2</v>
      </c>
    </row>
    <row r="451" spans="1:3" x14ac:dyDescent="0.2">
      <c r="A451" s="9">
        <v>35431</v>
      </c>
      <c r="B451" s="10">
        <f>VLOOKUP(Table24[[#This Row],[Date]],'Database New'!$A:$D,MATCH($A$1,'Database New'!$A$1:$D$1,),)</f>
        <v>1355</v>
      </c>
      <c r="C451" s="30">
        <f>(Table24[[#This Row],[Started]]-B450)/B450</f>
        <v>-1.0948905109489052E-2</v>
      </c>
    </row>
    <row r="452" spans="1:3" x14ac:dyDescent="0.2">
      <c r="A452" s="9">
        <v>35462</v>
      </c>
      <c r="B452" s="10">
        <f>VLOOKUP(Table24[[#This Row],[Date]],'Database New'!$A:$D,MATCH($A$1,'Database New'!$A$1:$D$1,),)</f>
        <v>1486</v>
      </c>
      <c r="C452" s="30">
        <f>(Table24[[#This Row],[Started]]-B451)/B451</f>
        <v>9.6678966789667892E-2</v>
      </c>
    </row>
    <row r="453" spans="1:3" x14ac:dyDescent="0.2">
      <c r="A453" s="9">
        <v>35490</v>
      </c>
      <c r="B453" s="10">
        <f>VLOOKUP(Table24[[#This Row],[Date]],'Database New'!$A:$D,MATCH($A$1,'Database New'!$A$1:$D$1,),)</f>
        <v>1457</v>
      </c>
      <c r="C453" s="30">
        <f>(Table24[[#This Row],[Started]]-B452)/B452</f>
        <v>-1.9515477792732168E-2</v>
      </c>
    </row>
    <row r="454" spans="1:3" x14ac:dyDescent="0.2">
      <c r="A454" s="9">
        <v>35521</v>
      </c>
      <c r="B454" s="10">
        <f>VLOOKUP(Table24[[#This Row],[Date]],'Database New'!$A:$D,MATCH($A$1,'Database New'!$A$1:$D$1,),)</f>
        <v>1492</v>
      </c>
      <c r="C454" s="30">
        <f>(Table24[[#This Row],[Started]]-B453)/B453</f>
        <v>2.4021962937542895E-2</v>
      </c>
    </row>
    <row r="455" spans="1:3" x14ac:dyDescent="0.2">
      <c r="A455" s="9">
        <v>35551</v>
      </c>
      <c r="B455" s="10">
        <f>VLOOKUP(Table24[[#This Row],[Date]],'Database New'!$A:$D,MATCH($A$1,'Database New'!$A$1:$D$1,),)</f>
        <v>1442</v>
      </c>
      <c r="C455" s="30">
        <f>(Table24[[#This Row],[Started]]-B454)/B454</f>
        <v>-3.351206434316354E-2</v>
      </c>
    </row>
    <row r="456" spans="1:3" x14ac:dyDescent="0.2">
      <c r="A456" s="9">
        <v>35582</v>
      </c>
      <c r="B456" s="10">
        <f>VLOOKUP(Table24[[#This Row],[Date]],'Database New'!$A:$D,MATCH($A$1,'Database New'!$A$1:$D$1,),)</f>
        <v>1494</v>
      </c>
      <c r="C456" s="30">
        <f>(Table24[[#This Row],[Started]]-B455)/B455</f>
        <v>3.6061026352288486E-2</v>
      </c>
    </row>
    <row r="457" spans="1:3" x14ac:dyDescent="0.2">
      <c r="A457" s="9">
        <v>35612</v>
      </c>
      <c r="B457" s="10">
        <f>VLOOKUP(Table24[[#This Row],[Date]],'Database New'!$A:$D,MATCH($A$1,'Database New'!$A$1:$D$1,),)</f>
        <v>1437</v>
      </c>
      <c r="C457" s="30">
        <f>(Table24[[#This Row],[Started]]-B456)/B456</f>
        <v>-3.8152610441767071E-2</v>
      </c>
    </row>
    <row r="458" spans="1:3" x14ac:dyDescent="0.2">
      <c r="A458" s="9">
        <v>35643</v>
      </c>
      <c r="B458" s="10">
        <f>VLOOKUP(Table24[[#This Row],[Date]],'Database New'!$A:$D,MATCH($A$1,'Database New'!$A$1:$D$1,),)</f>
        <v>1390</v>
      </c>
      <c r="C458" s="30">
        <f>(Table24[[#This Row],[Started]]-B457)/B457</f>
        <v>-3.2707028531663185E-2</v>
      </c>
    </row>
    <row r="459" spans="1:3" x14ac:dyDescent="0.2">
      <c r="A459" s="9">
        <v>35674</v>
      </c>
      <c r="B459" s="10">
        <f>VLOOKUP(Table24[[#This Row],[Date]],'Database New'!$A:$D,MATCH($A$1,'Database New'!$A$1:$D$1,),)</f>
        <v>1546</v>
      </c>
      <c r="C459" s="30">
        <f>(Table24[[#This Row],[Started]]-B458)/B458</f>
        <v>0.11223021582733812</v>
      </c>
    </row>
    <row r="460" spans="1:3" x14ac:dyDescent="0.2">
      <c r="A460" s="9">
        <v>35704</v>
      </c>
      <c r="B460" s="10">
        <f>VLOOKUP(Table24[[#This Row],[Date]],'Database New'!$A:$D,MATCH($A$1,'Database New'!$A$1:$D$1,),)</f>
        <v>1520</v>
      </c>
      <c r="C460" s="30">
        <f>(Table24[[#This Row],[Started]]-B459)/B459</f>
        <v>-1.6817593790426907E-2</v>
      </c>
    </row>
    <row r="461" spans="1:3" x14ac:dyDescent="0.2">
      <c r="A461" s="9">
        <v>35735</v>
      </c>
      <c r="B461" s="10">
        <f>VLOOKUP(Table24[[#This Row],[Date]],'Database New'!$A:$D,MATCH($A$1,'Database New'!$A$1:$D$1,),)</f>
        <v>1510</v>
      </c>
      <c r="C461" s="30">
        <f>(Table24[[#This Row],[Started]]-B460)/B460</f>
        <v>-6.5789473684210523E-3</v>
      </c>
    </row>
    <row r="462" spans="1:3" x14ac:dyDescent="0.2">
      <c r="A462" s="9">
        <v>35765</v>
      </c>
      <c r="B462" s="10">
        <f>VLOOKUP(Table24[[#This Row],[Date]],'Database New'!$A:$D,MATCH($A$1,'Database New'!$A$1:$D$1,),)</f>
        <v>1566</v>
      </c>
      <c r="C462" s="30">
        <f>(Table24[[#This Row],[Started]]-B461)/B461</f>
        <v>3.7086092715231792E-2</v>
      </c>
    </row>
    <row r="463" spans="1:3" x14ac:dyDescent="0.2">
      <c r="A463" s="9">
        <v>35796</v>
      </c>
      <c r="B463" s="10">
        <f>VLOOKUP(Table24[[#This Row],[Date]],'Database New'!$A:$D,MATCH($A$1,'Database New'!$A$1:$D$1,),)</f>
        <v>1525</v>
      </c>
      <c r="C463" s="30">
        <f>(Table24[[#This Row],[Started]]-B462)/B462</f>
        <v>-2.6181353767560665E-2</v>
      </c>
    </row>
    <row r="464" spans="1:3" x14ac:dyDescent="0.2">
      <c r="A464" s="9">
        <v>35827</v>
      </c>
      <c r="B464" s="10">
        <f>VLOOKUP(Table24[[#This Row],[Date]],'Database New'!$A:$D,MATCH($A$1,'Database New'!$A$1:$D$1,),)</f>
        <v>1584</v>
      </c>
      <c r="C464" s="30">
        <f>(Table24[[#This Row],[Started]]-B463)/B463</f>
        <v>3.8688524590163934E-2</v>
      </c>
    </row>
    <row r="465" spans="1:3" x14ac:dyDescent="0.2">
      <c r="A465" s="9">
        <v>35855</v>
      </c>
      <c r="B465" s="10">
        <f>VLOOKUP(Table24[[#This Row],[Date]],'Database New'!$A:$D,MATCH($A$1,'Database New'!$A$1:$D$1,),)</f>
        <v>1567</v>
      </c>
      <c r="C465" s="30">
        <f>(Table24[[#This Row],[Started]]-B464)/B464</f>
        <v>-1.0732323232323232E-2</v>
      </c>
    </row>
    <row r="466" spans="1:3" x14ac:dyDescent="0.2">
      <c r="A466" s="9">
        <v>35886</v>
      </c>
      <c r="B466" s="10">
        <f>VLOOKUP(Table24[[#This Row],[Date]],'Database New'!$A:$D,MATCH($A$1,'Database New'!$A$1:$D$1,),)</f>
        <v>1540</v>
      </c>
      <c r="C466" s="30">
        <f>(Table24[[#This Row],[Started]]-B465)/B465</f>
        <v>-1.7230376515634971E-2</v>
      </c>
    </row>
    <row r="467" spans="1:3" x14ac:dyDescent="0.2">
      <c r="A467" s="9">
        <v>35916</v>
      </c>
      <c r="B467" s="10">
        <f>VLOOKUP(Table24[[#This Row],[Date]],'Database New'!$A:$D,MATCH($A$1,'Database New'!$A$1:$D$1,),)</f>
        <v>1536</v>
      </c>
      <c r="C467" s="30">
        <f>(Table24[[#This Row],[Started]]-B466)/B466</f>
        <v>-2.5974025974025974E-3</v>
      </c>
    </row>
    <row r="468" spans="1:3" x14ac:dyDescent="0.2">
      <c r="A468" s="9">
        <v>35947</v>
      </c>
      <c r="B468" s="10">
        <f>VLOOKUP(Table24[[#This Row],[Date]],'Database New'!$A:$D,MATCH($A$1,'Database New'!$A$1:$D$1,),)</f>
        <v>1641</v>
      </c>
      <c r="C468" s="30">
        <f>(Table24[[#This Row],[Started]]-B467)/B467</f>
        <v>6.8359375E-2</v>
      </c>
    </row>
    <row r="469" spans="1:3" x14ac:dyDescent="0.2">
      <c r="A469" s="9">
        <v>35977</v>
      </c>
      <c r="B469" s="10">
        <f>VLOOKUP(Table24[[#This Row],[Date]],'Database New'!$A:$D,MATCH($A$1,'Database New'!$A$1:$D$1,),)</f>
        <v>1698</v>
      </c>
      <c r="C469" s="30">
        <f>(Table24[[#This Row],[Started]]-B468)/B468</f>
        <v>3.4734917733089579E-2</v>
      </c>
    </row>
    <row r="470" spans="1:3" x14ac:dyDescent="0.2">
      <c r="A470" s="9">
        <v>36008</v>
      </c>
      <c r="B470" s="10">
        <f>VLOOKUP(Table24[[#This Row],[Date]],'Database New'!$A:$D,MATCH($A$1,'Database New'!$A$1:$D$1,),)</f>
        <v>1614</v>
      </c>
      <c r="C470" s="30">
        <f>(Table24[[#This Row],[Started]]-B469)/B469</f>
        <v>-4.9469964664310952E-2</v>
      </c>
    </row>
    <row r="471" spans="1:3" x14ac:dyDescent="0.2">
      <c r="A471" s="9">
        <v>36039</v>
      </c>
      <c r="B471" s="10">
        <f>VLOOKUP(Table24[[#This Row],[Date]],'Database New'!$A:$D,MATCH($A$1,'Database New'!$A$1:$D$1,),)</f>
        <v>1582</v>
      </c>
      <c r="C471" s="30">
        <f>(Table24[[#This Row],[Started]]-B470)/B470</f>
        <v>-1.9826517967781909E-2</v>
      </c>
    </row>
    <row r="472" spans="1:3" x14ac:dyDescent="0.2">
      <c r="A472" s="9">
        <v>36069</v>
      </c>
      <c r="B472" s="10">
        <f>VLOOKUP(Table24[[#This Row],[Date]],'Database New'!$A:$D,MATCH($A$1,'Database New'!$A$1:$D$1,),)</f>
        <v>1715</v>
      </c>
      <c r="C472" s="30">
        <f>(Table24[[#This Row],[Started]]-B471)/B471</f>
        <v>8.4070796460176997E-2</v>
      </c>
    </row>
    <row r="473" spans="1:3" x14ac:dyDescent="0.2">
      <c r="A473" s="9">
        <v>36100</v>
      </c>
      <c r="B473" s="10">
        <f>VLOOKUP(Table24[[#This Row],[Date]],'Database New'!$A:$D,MATCH($A$1,'Database New'!$A$1:$D$1,),)</f>
        <v>1660</v>
      </c>
      <c r="C473" s="30">
        <f>(Table24[[#This Row],[Started]]-B472)/B472</f>
        <v>-3.2069970845481049E-2</v>
      </c>
    </row>
    <row r="474" spans="1:3" x14ac:dyDescent="0.2">
      <c r="A474" s="9">
        <v>36130</v>
      </c>
      <c r="B474" s="10">
        <f>VLOOKUP(Table24[[#This Row],[Date]],'Database New'!$A:$D,MATCH($A$1,'Database New'!$A$1:$D$1,),)</f>
        <v>1792</v>
      </c>
      <c r="C474" s="30">
        <f>(Table24[[#This Row],[Started]]-B473)/B473</f>
        <v>7.9518072289156624E-2</v>
      </c>
    </row>
    <row r="475" spans="1:3" x14ac:dyDescent="0.2">
      <c r="A475" s="9">
        <v>36161</v>
      </c>
      <c r="B475" s="10">
        <f>VLOOKUP(Table24[[#This Row],[Date]],'Database New'!$A:$D,MATCH($A$1,'Database New'!$A$1:$D$1,),)</f>
        <v>1748</v>
      </c>
      <c r="C475" s="30">
        <f>(Table24[[#This Row],[Started]]-B474)/B474</f>
        <v>-2.4553571428571428E-2</v>
      </c>
    </row>
    <row r="476" spans="1:3" x14ac:dyDescent="0.2">
      <c r="A476" s="9">
        <v>36192</v>
      </c>
      <c r="B476" s="10">
        <f>VLOOKUP(Table24[[#This Row],[Date]],'Database New'!$A:$D,MATCH($A$1,'Database New'!$A$1:$D$1,),)</f>
        <v>1670</v>
      </c>
      <c r="C476" s="30">
        <f>(Table24[[#This Row],[Started]]-B475)/B475</f>
        <v>-4.462242562929062E-2</v>
      </c>
    </row>
    <row r="477" spans="1:3" x14ac:dyDescent="0.2">
      <c r="A477" s="9">
        <v>36220</v>
      </c>
      <c r="B477" s="10">
        <f>VLOOKUP(Table24[[#This Row],[Date]],'Database New'!$A:$D,MATCH($A$1,'Database New'!$A$1:$D$1,),)</f>
        <v>1710</v>
      </c>
      <c r="C477" s="30">
        <f>(Table24[[#This Row],[Started]]-B476)/B476</f>
        <v>2.3952095808383235E-2</v>
      </c>
    </row>
    <row r="478" spans="1:3" x14ac:dyDescent="0.2">
      <c r="A478" s="9">
        <v>36251</v>
      </c>
      <c r="B478" s="10">
        <f>VLOOKUP(Table24[[#This Row],[Date]],'Database New'!$A:$D,MATCH($A$1,'Database New'!$A$1:$D$1,),)</f>
        <v>1553</v>
      </c>
      <c r="C478" s="30">
        <f>(Table24[[#This Row],[Started]]-B477)/B477</f>
        <v>-9.1812865497076027E-2</v>
      </c>
    </row>
    <row r="479" spans="1:3" x14ac:dyDescent="0.2">
      <c r="A479" s="9">
        <v>36281</v>
      </c>
      <c r="B479" s="10">
        <f>VLOOKUP(Table24[[#This Row],[Date]],'Database New'!$A:$D,MATCH($A$1,'Database New'!$A$1:$D$1,),)</f>
        <v>1611</v>
      </c>
      <c r="C479" s="30">
        <f>(Table24[[#This Row],[Started]]-B478)/B478</f>
        <v>3.7347070186735352E-2</v>
      </c>
    </row>
    <row r="480" spans="1:3" x14ac:dyDescent="0.2">
      <c r="A480" s="9">
        <v>36312</v>
      </c>
      <c r="B480" s="10">
        <f>VLOOKUP(Table24[[#This Row],[Date]],'Database New'!$A:$D,MATCH($A$1,'Database New'!$A$1:$D$1,),)</f>
        <v>1559</v>
      </c>
      <c r="C480" s="30">
        <f>(Table24[[#This Row],[Started]]-B479)/B479</f>
        <v>-3.2278088144009932E-2</v>
      </c>
    </row>
    <row r="481" spans="1:3" x14ac:dyDescent="0.2">
      <c r="A481" s="9">
        <v>36342</v>
      </c>
      <c r="B481" s="10">
        <f>VLOOKUP(Table24[[#This Row],[Date]],'Database New'!$A:$D,MATCH($A$1,'Database New'!$A$1:$D$1,),)</f>
        <v>1669</v>
      </c>
      <c r="C481" s="30">
        <f>(Table24[[#This Row],[Started]]-B480)/B480</f>
        <v>7.0558050032071842E-2</v>
      </c>
    </row>
    <row r="482" spans="1:3" x14ac:dyDescent="0.2">
      <c r="A482" s="9">
        <v>36373</v>
      </c>
      <c r="B482" s="10">
        <f>VLOOKUP(Table24[[#This Row],[Date]],'Database New'!$A:$D,MATCH($A$1,'Database New'!$A$1:$D$1,),)</f>
        <v>1648</v>
      </c>
      <c r="C482" s="30">
        <f>(Table24[[#This Row],[Started]]-B481)/B481</f>
        <v>-1.2582384661473937E-2</v>
      </c>
    </row>
    <row r="483" spans="1:3" x14ac:dyDescent="0.2">
      <c r="A483" s="9">
        <v>36404</v>
      </c>
      <c r="B483" s="10">
        <f>VLOOKUP(Table24[[#This Row],[Date]],'Database New'!$A:$D,MATCH($A$1,'Database New'!$A$1:$D$1,),)</f>
        <v>1635</v>
      </c>
      <c r="C483" s="30">
        <f>(Table24[[#This Row],[Started]]-B482)/B482</f>
        <v>-7.8883495145631068E-3</v>
      </c>
    </row>
    <row r="484" spans="1:3" x14ac:dyDescent="0.2">
      <c r="A484" s="9">
        <v>36434</v>
      </c>
      <c r="B484" s="10">
        <f>VLOOKUP(Table24[[#This Row],[Date]],'Database New'!$A:$D,MATCH($A$1,'Database New'!$A$1:$D$1,),)</f>
        <v>1608</v>
      </c>
      <c r="C484" s="30">
        <f>(Table24[[#This Row],[Started]]-B483)/B483</f>
        <v>-1.6513761467889909E-2</v>
      </c>
    </row>
    <row r="485" spans="1:3" x14ac:dyDescent="0.2">
      <c r="A485" s="9">
        <v>36465</v>
      </c>
      <c r="B485" s="10">
        <f>VLOOKUP(Table24[[#This Row],[Date]],'Database New'!$A:$D,MATCH($A$1,'Database New'!$A$1:$D$1,),)</f>
        <v>1648</v>
      </c>
      <c r="C485" s="30">
        <f>(Table24[[#This Row],[Started]]-B484)/B484</f>
        <v>2.4875621890547265E-2</v>
      </c>
    </row>
    <row r="486" spans="1:3" x14ac:dyDescent="0.2">
      <c r="A486" s="9">
        <v>36495</v>
      </c>
      <c r="B486" s="10">
        <f>VLOOKUP(Table24[[#This Row],[Date]],'Database New'!$A:$D,MATCH($A$1,'Database New'!$A$1:$D$1,),)</f>
        <v>1708</v>
      </c>
      <c r="C486" s="30">
        <f>(Table24[[#This Row],[Started]]-B485)/B485</f>
        <v>3.640776699029126E-2</v>
      </c>
    </row>
    <row r="487" spans="1:3" x14ac:dyDescent="0.2">
      <c r="A487" s="9">
        <v>36526</v>
      </c>
      <c r="B487" s="10">
        <f>VLOOKUP(Table24[[#This Row],[Date]],'Database New'!$A:$D,MATCH($A$1,'Database New'!$A$1:$D$1,),)</f>
        <v>1636</v>
      </c>
      <c r="C487" s="30">
        <f>(Table24[[#This Row],[Started]]-B486)/B486</f>
        <v>-4.2154566744730677E-2</v>
      </c>
    </row>
    <row r="488" spans="1:3" x14ac:dyDescent="0.2">
      <c r="A488" s="9">
        <v>36557</v>
      </c>
      <c r="B488" s="10">
        <f>VLOOKUP(Table24[[#This Row],[Date]],'Database New'!$A:$D,MATCH($A$1,'Database New'!$A$1:$D$1,),)</f>
        <v>1737</v>
      </c>
      <c r="C488" s="30">
        <f>(Table24[[#This Row],[Started]]-B487)/B487</f>
        <v>6.1735941320293398E-2</v>
      </c>
    </row>
    <row r="489" spans="1:3" x14ac:dyDescent="0.2">
      <c r="A489" s="9">
        <v>36586</v>
      </c>
      <c r="B489" s="10">
        <f>VLOOKUP(Table24[[#This Row],[Date]],'Database New'!$A:$D,MATCH($A$1,'Database New'!$A$1:$D$1,),)</f>
        <v>1604</v>
      </c>
      <c r="C489" s="30">
        <f>(Table24[[#This Row],[Started]]-B488)/B488</f>
        <v>-7.6568796776050663E-2</v>
      </c>
    </row>
    <row r="490" spans="1:3" x14ac:dyDescent="0.2">
      <c r="A490" s="9">
        <v>36617</v>
      </c>
      <c r="B490" s="10">
        <f>VLOOKUP(Table24[[#This Row],[Date]],'Database New'!$A:$D,MATCH($A$1,'Database New'!$A$1:$D$1,),)</f>
        <v>1626</v>
      </c>
      <c r="C490" s="30">
        <f>(Table24[[#This Row],[Started]]-B489)/B489</f>
        <v>1.3715710723192019E-2</v>
      </c>
    </row>
    <row r="491" spans="1:3" x14ac:dyDescent="0.2">
      <c r="A491" s="9">
        <v>36647</v>
      </c>
      <c r="B491" s="10">
        <f>VLOOKUP(Table24[[#This Row],[Date]],'Database New'!$A:$D,MATCH($A$1,'Database New'!$A$1:$D$1,),)</f>
        <v>1575</v>
      </c>
      <c r="C491" s="30">
        <f>(Table24[[#This Row],[Started]]-B490)/B490</f>
        <v>-3.136531365313653E-2</v>
      </c>
    </row>
    <row r="492" spans="1:3" x14ac:dyDescent="0.2">
      <c r="A492" s="9">
        <v>36678</v>
      </c>
      <c r="B492" s="10">
        <f>VLOOKUP(Table24[[#This Row],[Date]],'Database New'!$A:$D,MATCH($A$1,'Database New'!$A$1:$D$1,),)</f>
        <v>1559</v>
      </c>
      <c r="C492" s="30">
        <f>(Table24[[#This Row],[Started]]-B491)/B491</f>
        <v>-1.0158730158730159E-2</v>
      </c>
    </row>
    <row r="493" spans="1:3" x14ac:dyDescent="0.2">
      <c r="A493" s="9">
        <v>36708</v>
      </c>
      <c r="B493" s="10">
        <f>VLOOKUP(Table24[[#This Row],[Date]],'Database New'!$A:$D,MATCH($A$1,'Database New'!$A$1:$D$1,),)</f>
        <v>1463</v>
      </c>
      <c r="C493" s="30">
        <f>(Table24[[#This Row],[Started]]-B492)/B492</f>
        <v>-6.1577934573444515E-2</v>
      </c>
    </row>
    <row r="494" spans="1:3" x14ac:dyDescent="0.2">
      <c r="A494" s="9">
        <v>36739</v>
      </c>
      <c r="B494" s="10">
        <f>VLOOKUP(Table24[[#This Row],[Date]],'Database New'!$A:$D,MATCH($A$1,'Database New'!$A$1:$D$1,),)</f>
        <v>1541</v>
      </c>
      <c r="C494" s="30">
        <f>(Table24[[#This Row],[Started]]-B493)/B493</f>
        <v>5.3315105946684892E-2</v>
      </c>
    </row>
    <row r="495" spans="1:3" x14ac:dyDescent="0.2">
      <c r="A495" s="9">
        <v>36770</v>
      </c>
      <c r="B495" s="10">
        <f>VLOOKUP(Table24[[#This Row],[Date]],'Database New'!$A:$D,MATCH($A$1,'Database New'!$A$1:$D$1,),)</f>
        <v>1507</v>
      </c>
      <c r="C495" s="30">
        <f>(Table24[[#This Row],[Started]]-B494)/B494</f>
        <v>-2.2063595068137574E-2</v>
      </c>
    </row>
    <row r="496" spans="1:3" x14ac:dyDescent="0.2">
      <c r="A496" s="9">
        <v>36800</v>
      </c>
      <c r="B496" s="10">
        <f>VLOOKUP(Table24[[#This Row],[Date]],'Database New'!$A:$D,MATCH($A$1,'Database New'!$A$1:$D$1,),)</f>
        <v>1549</v>
      </c>
      <c r="C496" s="30">
        <f>(Table24[[#This Row],[Started]]-B495)/B495</f>
        <v>2.7869940278699403E-2</v>
      </c>
    </row>
    <row r="497" spans="1:3" x14ac:dyDescent="0.2">
      <c r="A497" s="9">
        <v>36831</v>
      </c>
      <c r="B497" s="10">
        <f>VLOOKUP(Table24[[#This Row],[Date]],'Database New'!$A:$D,MATCH($A$1,'Database New'!$A$1:$D$1,),)</f>
        <v>1551</v>
      </c>
      <c r="C497" s="30">
        <f>(Table24[[#This Row],[Started]]-B496)/B496</f>
        <v>1.2911555842479018E-3</v>
      </c>
    </row>
    <row r="498" spans="1:3" x14ac:dyDescent="0.2">
      <c r="A498" s="9">
        <v>36861</v>
      </c>
      <c r="B498" s="10">
        <f>VLOOKUP(Table24[[#This Row],[Date]],'Database New'!$A:$D,MATCH($A$1,'Database New'!$A$1:$D$1,),)</f>
        <v>1532</v>
      </c>
      <c r="C498" s="30">
        <f>(Table24[[#This Row],[Started]]-B497)/B497</f>
        <v>-1.2250161186331399E-2</v>
      </c>
    </row>
    <row r="499" spans="1:3" x14ac:dyDescent="0.2">
      <c r="A499" s="9">
        <v>36892</v>
      </c>
      <c r="B499" s="10">
        <f>VLOOKUP(Table24[[#This Row],[Date]],'Database New'!$A:$D,MATCH($A$1,'Database New'!$A$1:$D$1,),)</f>
        <v>1600</v>
      </c>
      <c r="C499" s="30">
        <f>(Table24[[#This Row],[Started]]-B498)/B498</f>
        <v>4.4386422976501305E-2</v>
      </c>
    </row>
    <row r="500" spans="1:3" x14ac:dyDescent="0.2">
      <c r="A500" s="9">
        <v>36923</v>
      </c>
      <c r="B500" s="10">
        <f>VLOOKUP(Table24[[#This Row],[Date]],'Database New'!$A:$D,MATCH($A$1,'Database New'!$A$1:$D$1,),)</f>
        <v>1625</v>
      </c>
      <c r="C500" s="30">
        <f>(Table24[[#This Row],[Started]]-B499)/B499</f>
        <v>1.5625E-2</v>
      </c>
    </row>
    <row r="501" spans="1:3" x14ac:dyDescent="0.2">
      <c r="A501" s="9">
        <v>36951</v>
      </c>
      <c r="B501" s="10">
        <f>VLOOKUP(Table24[[#This Row],[Date]],'Database New'!$A:$D,MATCH($A$1,'Database New'!$A$1:$D$1,),)</f>
        <v>1590</v>
      </c>
      <c r="C501" s="30">
        <f>(Table24[[#This Row],[Started]]-B500)/B500</f>
        <v>-2.1538461538461538E-2</v>
      </c>
    </row>
    <row r="502" spans="1:3" x14ac:dyDescent="0.2">
      <c r="A502" s="9">
        <v>36982</v>
      </c>
      <c r="B502" s="10">
        <f>VLOOKUP(Table24[[#This Row],[Date]],'Database New'!$A:$D,MATCH($A$1,'Database New'!$A$1:$D$1,),)</f>
        <v>1649</v>
      </c>
      <c r="C502" s="30">
        <f>(Table24[[#This Row],[Started]]-B501)/B501</f>
        <v>3.7106918238993709E-2</v>
      </c>
    </row>
    <row r="503" spans="1:3" x14ac:dyDescent="0.2">
      <c r="A503" s="9">
        <v>37012</v>
      </c>
      <c r="B503" s="10">
        <f>VLOOKUP(Table24[[#This Row],[Date]],'Database New'!$A:$D,MATCH($A$1,'Database New'!$A$1:$D$1,),)</f>
        <v>1605</v>
      </c>
      <c r="C503" s="30">
        <f>(Table24[[#This Row],[Started]]-B502)/B502</f>
        <v>-2.6682838083687082E-2</v>
      </c>
    </row>
    <row r="504" spans="1:3" x14ac:dyDescent="0.2">
      <c r="A504" s="9">
        <v>37043</v>
      </c>
      <c r="B504" s="10">
        <f>VLOOKUP(Table24[[#This Row],[Date]],'Database New'!$A:$D,MATCH($A$1,'Database New'!$A$1:$D$1,),)</f>
        <v>1636</v>
      </c>
      <c r="C504" s="30">
        <f>(Table24[[#This Row],[Started]]-B503)/B503</f>
        <v>1.9314641744548288E-2</v>
      </c>
    </row>
    <row r="505" spans="1:3" x14ac:dyDescent="0.2">
      <c r="A505" s="9">
        <v>37073</v>
      </c>
      <c r="B505" s="10">
        <f>VLOOKUP(Table24[[#This Row],[Date]],'Database New'!$A:$D,MATCH($A$1,'Database New'!$A$1:$D$1,),)</f>
        <v>1670</v>
      </c>
      <c r="C505" s="30">
        <f>(Table24[[#This Row],[Started]]-B504)/B504</f>
        <v>2.0782396088019559E-2</v>
      </c>
    </row>
    <row r="506" spans="1:3" x14ac:dyDescent="0.2">
      <c r="A506" s="9">
        <v>37104</v>
      </c>
      <c r="B506" s="10">
        <f>VLOOKUP(Table24[[#This Row],[Date]],'Database New'!$A:$D,MATCH($A$1,'Database New'!$A$1:$D$1,),)</f>
        <v>1567</v>
      </c>
      <c r="C506" s="30">
        <f>(Table24[[#This Row],[Started]]-B505)/B505</f>
        <v>-6.1676646706586825E-2</v>
      </c>
    </row>
    <row r="507" spans="1:3" x14ac:dyDescent="0.2">
      <c r="A507" s="9">
        <v>37135</v>
      </c>
      <c r="B507" s="10">
        <f>VLOOKUP(Table24[[#This Row],[Date]],'Database New'!$A:$D,MATCH($A$1,'Database New'!$A$1:$D$1,),)</f>
        <v>1562</v>
      </c>
      <c r="C507" s="30">
        <f>(Table24[[#This Row],[Started]]-B506)/B506</f>
        <v>-3.1908104658583281E-3</v>
      </c>
    </row>
    <row r="508" spans="1:3" x14ac:dyDescent="0.2">
      <c r="A508" s="9">
        <v>37165</v>
      </c>
      <c r="B508" s="10">
        <f>VLOOKUP(Table24[[#This Row],[Date]],'Database New'!$A:$D,MATCH($A$1,'Database New'!$A$1:$D$1,),)</f>
        <v>1540</v>
      </c>
      <c r="C508" s="30">
        <f>(Table24[[#This Row],[Started]]-B507)/B507</f>
        <v>-1.4084507042253521E-2</v>
      </c>
    </row>
    <row r="509" spans="1:3" x14ac:dyDescent="0.2">
      <c r="A509" s="9">
        <v>37196</v>
      </c>
      <c r="B509" s="10">
        <f>VLOOKUP(Table24[[#This Row],[Date]],'Database New'!$A:$D,MATCH($A$1,'Database New'!$A$1:$D$1,),)</f>
        <v>1602</v>
      </c>
      <c r="C509" s="30">
        <f>(Table24[[#This Row],[Started]]-B508)/B508</f>
        <v>4.0259740259740259E-2</v>
      </c>
    </row>
    <row r="510" spans="1:3" x14ac:dyDescent="0.2">
      <c r="A510" s="9">
        <v>37226</v>
      </c>
      <c r="B510" s="10">
        <f>VLOOKUP(Table24[[#This Row],[Date]],'Database New'!$A:$D,MATCH($A$1,'Database New'!$A$1:$D$1,),)</f>
        <v>1568</v>
      </c>
      <c r="C510" s="30">
        <f>(Table24[[#This Row],[Started]]-B509)/B509</f>
        <v>-2.1223470661672909E-2</v>
      </c>
    </row>
    <row r="511" spans="1:3" x14ac:dyDescent="0.2">
      <c r="A511" s="9">
        <v>37257</v>
      </c>
      <c r="B511" s="10">
        <f>VLOOKUP(Table24[[#This Row],[Date]],'Database New'!$A:$D,MATCH($A$1,'Database New'!$A$1:$D$1,),)</f>
        <v>1698</v>
      </c>
      <c r="C511" s="30">
        <f>(Table24[[#This Row],[Started]]-B510)/B510</f>
        <v>8.2908163265306117E-2</v>
      </c>
    </row>
    <row r="512" spans="1:3" x14ac:dyDescent="0.2">
      <c r="A512" s="9">
        <v>37288</v>
      </c>
      <c r="B512" s="10">
        <f>VLOOKUP(Table24[[#This Row],[Date]],'Database New'!$A:$D,MATCH($A$1,'Database New'!$A$1:$D$1,),)</f>
        <v>1829</v>
      </c>
      <c r="C512" s="30">
        <f>(Table24[[#This Row],[Started]]-B511)/B511</f>
        <v>7.7149587750294457E-2</v>
      </c>
    </row>
    <row r="513" spans="1:3" x14ac:dyDescent="0.2">
      <c r="A513" s="9">
        <v>37316</v>
      </c>
      <c r="B513" s="10">
        <f>VLOOKUP(Table24[[#This Row],[Date]],'Database New'!$A:$D,MATCH($A$1,'Database New'!$A$1:$D$1,),)</f>
        <v>1642</v>
      </c>
      <c r="C513" s="30">
        <f>(Table24[[#This Row],[Started]]-B512)/B512</f>
        <v>-0.10224166211044286</v>
      </c>
    </row>
    <row r="514" spans="1:3" x14ac:dyDescent="0.2">
      <c r="A514" s="9">
        <v>37347</v>
      </c>
      <c r="B514" s="10">
        <f>VLOOKUP(Table24[[#This Row],[Date]],'Database New'!$A:$D,MATCH($A$1,'Database New'!$A$1:$D$1,),)</f>
        <v>1592</v>
      </c>
      <c r="C514" s="30">
        <f>(Table24[[#This Row],[Started]]-B513)/B513</f>
        <v>-3.0450669914738125E-2</v>
      </c>
    </row>
    <row r="515" spans="1:3" x14ac:dyDescent="0.2">
      <c r="A515" s="9">
        <v>37377</v>
      </c>
      <c r="B515" s="10">
        <f>VLOOKUP(Table24[[#This Row],[Date]],'Database New'!$A:$D,MATCH($A$1,'Database New'!$A$1:$D$1,),)</f>
        <v>1764</v>
      </c>
      <c r="C515" s="30">
        <f>(Table24[[#This Row],[Started]]-B514)/B514</f>
        <v>0.10804020100502512</v>
      </c>
    </row>
    <row r="516" spans="1:3" x14ac:dyDescent="0.2">
      <c r="A516" s="9">
        <v>37408</v>
      </c>
      <c r="B516" s="10">
        <f>VLOOKUP(Table24[[#This Row],[Date]],'Database New'!$A:$D,MATCH($A$1,'Database New'!$A$1:$D$1,),)</f>
        <v>1717</v>
      </c>
      <c r="C516" s="30">
        <f>(Table24[[#This Row],[Started]]-B515)/B515</f>
        <v>-2.6643990929705215E-2</v>
      </c>
    </row>
    <row r="517" spans="1:3" x14ac:dyDescent="0.2">
      <c r="A517" s="9">
        <v>37438</v>
      </c>
      <c r="B517" s="10">
        <f>VLOOKUP(Table24[[#This Row],[Date]],'Database New'!$A:$D,MATCH($A$1,'Database New'!$A$1:$D$1,),)</f>
        <v>1655</v>
      </c>
      <c r="C517" s="30">
        <f>(Table24[[#This Row],[Started]]-B516)/B516</f>
        <v>-3.6109493302271402E-2</v>
      </c>
    </row>
    <row r="518" spans="1:3" x14ac:dyDescent="0.2">
      <c r="A518" s="9">
        <v>37469</v>
      </c>
      <c r="B518" s="10">
        <f>VLOOKUP(Table24[[#This Row],[Date]],'Database New'!$A:$D,MATCH($A$1,'Database New'!$A$1:$D$1,),)</f>
        <v>1633</v>
      </c>
      <c r="C518" s="30">
        <f>(Table24[[#This Row],[Started]]-B517)/B517</f>
        <v>-1.3293051359516616E-2</v>
      </c>
    </row>
    <row r="519" spans="1:3" x14ac:dyDescent="0.2">
      <c r="A519" s="9">
        <v>37500</v>
      </c>
      <c r="B519" s="10">
        <f>VLOOKUP(Table24[[#This Row],[Date]],'Database New'!$A:$D,MATCH($A$1,'Database New'!$A$1:$D$1,),)</f>
        <v>1804</v>
      </c>
      <c r="C519" s="30">
        <f>(Table24[[#This Row],[Started]]-B518)/B518</f>
        <v>0.10471524800979792</v>
      </c>
    </row>
    <row r="520" spans="1:3" x14ac:dyDescent="0.2">
      <c r="A520" s="9">
        <v>37530</v>
      </c>
      <c r="B520" s="10">
        <f>VLOOKUP(Table24[[#This Row],[Date]],'Database New'!$A:$D,MATCH($A$1,'Database New'!$A$1:$D$1,),)</f>
        <v>1648</v>
      </c>
      <c r="C520" s="30">
        <f>(Table24[[#This Row],[Started]]-B519)/B519</f>
        <v>-8.6474501108647447E-2</v>
      </c>
    </row>
    <row r="521" spans="1:3" x14ac:dyDescent="0.2">
      <c r="A521" s="9">
        <v>37561</v>
      </c>
      <c r="B521" s="10">
        <f>VLOOKUP(Table24[[#This Row],[Date]],'Database New'!$A:$D,MATCH($A$1,'Database New'!$A$1:$D$1,),)</f>
        <v>1753</v>
      </c>
      <c r="C521" s="30">
        <f>(Table24[[#This Row],[Started]]-B520)/B520</f>
        <v>6.3713592233009708E-2</v>
      </c>
    </row>
    <row r="522" spans="1:3" x14ac:dyDescent="0.2">
      <c r="A522" s="9">
        <v>37591</v>
      </c>
      <c r="B522" s="10">
        <f>VLOOKUP(Table24[[#This Row],[Date]],'Database New'!$A:$D,MATCH($A$1,'Database New'!$A$1:$D$1,),)</f>
        <v>1788</v>
      </c>
      <c r="C522" s="30">
        <f>(Table24[[#This Row],[Started]]-B521)/B521</f>
        <v>1.9965772960638905E-2</v>
      </c>
    </row>
    <row r="523" spans="1:3" x14ac:dyDescent="0.2">
      <c r="A523" s="9">
        <v>37622</v>
      </c>
      <c r="B523" s="10">
        <f>VLOOKUP(Table24[[#This Row],[Date]],'Database New'!$A:$D,MATCH($A$1,'Database New'!$A$1:$D$1,),)</f>
        <v>1853</v>
      </c>
      <c r="C523" s="30">
        <f>(Table24[[#This Row],[Started]]-B522)/B522</f>
        <v>3.6353467561521254E-2</v>
      </c>
    </row>
    <row r="524" spans="1:3" x14ac:dyDescent="0.2">
      <c r="A524" s="9">
        <v>37653</v>
      </c>
      <c r="B524" s="10">
        <f>VLOOKUP(Table24[[#This Row],[Date]],'Database New'!$A:$D,MATCH($A$1,'Database New'!$A$1:$D$1,),)</f>
        <v>1629</v>
      </c>
      <c r="C524" s="30">
        <f>(Table24[[#This Row],[Started]]-B523)/B523</f>
        <v>-0.12088505126821371</v>
      </c>
    </row>
    <row r="525" spans="1:3" x14ac:dyDescent="0.2">
      <c r="A525" s="9">
        <v>37681</v>
      </c>
      <c r="B525" s="10">
        <f>VLOOKUP(Table24[[#This Row],[Date]],'Database New'!$A:$D,MATCH($A$1,'Database New'!$A$1:$D$1,),)</f>
        <v>1726</v>
      </c>
      <c r="C525" s="30">
        <f>(Table24[[#This Row],[Started]]-B524)/B524</f>
        <v>5.9545733578882751E-2</v>
      </c>
    </row>
    <row r="526" spans="1:3" x14ac:dyDescent="0.2">
      <c r="A526" s="9">
        <v>37712</v>
      </c>
      <c r="B526" s="10">
        <f>VLOOKUP(Table24[[#This Row],[Date]],'Database New'!$A:$D,MATCH($A$1,'Database New'!$A$1:$D$1,),)</f>
        <v>1643</v>
      </c>
      <c r="C526" s="30">
        <f>(Table24[[#This Row],[Started]]-B525)/B525</f>
        <v>-4.8088064889918888E-2</v>
      </c>
    </row>
    <row r="527" spans="1:3" x14ac:dyDescent="0.2">
      <c r="A527" s="9">
        <v>37742</v>
      </c>
      <c r="B527" s="10">
        <f>VLOOKUP(Table24[[#This Row],[Date]],'Database New'!$A:$D,MATCH($A$1,'Database New'!$A$1:$D$1,),)</f>
        <v>1751</v>
      </c>
      <c r="C527" s="30">
        <f>(Table24[[#This Row],[Started]]-B526)/B526</f>
        <v>6.5733414485696889E-2</v>
      </c>
    </row>
    <row r="528" spans="1:3" x14ac:dyDescent="0.2">
      <c r="A528" s="9">
        <v>37773</v>
      </c>
      <c r="B528" s="10">
        <f>VLOOKUP(Table24[[#This Row],[Date]],'Database New'!$A:$D,MATCH($A$1,'Database New'!$A$1:$D$1,),)</f>
        <v>1867</v>
      </c>
      <c r="C528" s="30">
        <f>(Table24[[#This Row],[Started]]-B527)/B527</f>
        <v>6.6247858366647636E-2</v>
      </c>
    </row>
    <row r="529" spans="1:3" x14ac:dyDescent="0.2">
      <c r="A529" s="9">
        <v>37803</v>
      </c>
      <c r="B529" s="10">
        <f>VLOOKUP(Table24[[#This Row],[Date]],'Database New'!$A:$D,MATCH($A$1,'Database New'!$A$1:$D$1,),)</f>
        <v>1897</v>
      </c>
      <c r="C529" s="30">
        <f>(Table24[[#This Row],[Started]]-B528)/B528</f>
        <v>1.6068559185859668E-2</v>
      </c>
    </row>
    <row r="530" spans="1:3" x14ac:dyDescent="0.2">
      <c r="A530" s="9">
        <v>37834</v>
      </c>
      <c r="B530" s="10">
        <f>VLOOKUP(Table24[[#This Row],[Date]],'Database New'!$A:$D,MATCH($A$1,'Database New'!$A$1:$D$1,),)</f>
        <v>1833</v>
      </c>
      <c r="C530" s="30">
        <f>(Table24[[#This Row],[Started]]-B529)/B529</f>
        <v>-3.3737480231945179E-2</v>
      </c>
    </row>
    <row r="531" spans="1:3" x14ac:dyDescent="0.2">
      <c r="A531" s="9">
        <v>37865</v>
      </c>
      <c r="B531" s="10">
        <f>VLOOKUP(Table24[[#This Row],[Date]],'Database New'!$A:$D,MATCH($A$1,'Database New'!$A$1:$D$1,),)</f>
        <v>1939</v>
      </c>
      <c r="C531" s="30">
        <f>(Table24[[#This Row],[Started]]-B530)/B530</f>
        <v>5.782869612656847E-2</v>
      </c>
    </row>
    <row r="532" spans="1:3" x14ac:dyDescent="0.2">
      <c r="A532" s="9">
        <v>37895</v>
      </c>
      <c r="B532" s="10">
        <f>VLOOKUP(Table24[[#This Row],[Date]],'Database New'!$A:$D,MATCH($A$1,'Database New'!$A$1:$D$1,),)</f>
        <v>1967</v>
      </c>
      <c r="C532" s="30">
        <f>(Table24[[#This Row],[Started]]-B531)/B531</f>
        <v>1.444043321299639E-2</v>
      </c>
    </row>
    <row r="533" spans="1:3" x14ac:dyDescent="0.2">
      <c r="A533" s="9">
        <v>37926</v>
      </c>
      <c r="B533" s="10">
        <f>VLOOKUP(Table24[[#This Row],[Date]],'Database New'!$A:$D,MATCH($A$1,'Database New'!$A$1:$D$1,),)</f>
        <v>2083</v>
      </c>
      <c r="C533" s="30">
        <f>(Table24[[#This Row],[Started]]-B532)/B532</f>
        <v>5.8973055414336555E-2</v>
      </c>
    </row>
    <row r="534" spans="1:3" x14ac:dyDescent="0.2">
      <c r="A534" s="9">
        <v>37956</v>
      </c>
      <c r="B534" s="10">
        <f>VLOOKUP(Table24[[#This Row],[Date]],'Database New'!$A:$D,MATCH($A$1,'Database New'!$A$1:$D$1,),)</f>
        <v>2057</v>
      </c>
      <c r="C534" s="30">
        <f>(Table24[[#This Row],[Started]]-B533)/B533</f>
        <v>-1.2481997119539127E-2</v>
      </c>
    </row>
    <row r="535" spans="1:3" x14ac:dyDescent="0.2">
      <c r="A535" s="9">
        <v>37987</v>
      </c>
      <c r="B535" s="10">
        <f>VLOOKUP(Table24[[#This Row],[Date]],'Database New'!$A:$D,MATCH($A$1,'Database New'!$A$1:$D$1,),)</f>
        <v>1911</v>
      </c>
      <c r="C535" s="30">
        <f>(Table24[[#This Row],[Started]]-B534)/B534</f>
        <v>-7.0977151191054938E-2</v>
      </c>
    </row>
    <row r="536" spans="1:3" x14ac:dyDescent="0.2">
      <c r="A536" s="9">
        <v>38018</v>
      </c>
      <c r="B536" s="10">
        <f>VLOOKUP(Table24[[#This Row],[Date]],'Database New'!$A:$D,MATCH($A$1,'Database New'!$A$1:$D$1,),)</f>
        <v>1846</v>
      </c>
      <c r="C536" s="30">
        <f>(Table24[[#This Row],[Started]]-B535)/B535</f>
        <v>-3.4013605442176874E-2</v>
      </c>
    </row>
    <row r="537" spans="1:3" x14ac:dyDescent="0.2">
      <c r="A537" s="9">
        <v>38047</v>
      </c>
      <c r="B537" s="10">
        <f>VLOOKUP(Table24[[#This Row],[Date]],'Database New'!$A:$D,MATCH($A$1,'Database New'!$A$1:$D$1,),)</f>
        <v>1998</v>
      </c>
      <c r="C537" s="30">
        <f>(Table24[[#This Row],[Started]]-B536)/B536</f>
        <v>8.2340195016251352E-2</v>
      </c>
    </row>
    <row r="538" spans="1:3" x14ac:dyDescent="0.2">
      <c r="A538" s="9">
        <v>38078</v>
      </c>
      <c r="B538" s="10">
        <f>VLOOKUP(Table24[[#This Row],[Date]],'Database New'!$A:$D,MATCH($A$1,'Database New'!$A$1:$D$1,),)</f>
        <v>2003</v>
      </c>
      <c r="C538" s="30">
        <f>(Table24[[#This Row],[Started]]-B537)/B537</f>
        <v>2.5025025025025025E-3</v>
      </c>
    </row>
    <row r="539" spans="1:3" x14ac:dyDescent="0.2">
      <c r="A539" s="9">
        <v>38108</v>
      </c>
      <c r="B539" s="10">
        <f>VLOOKUP(Table24[[#This Row],[Date]],'Database New'!$A:$D,MATCH($A$1,'Database New'!$A$1:$D$1,),)</f>
        <v>1981</v>
      </c>
      <c r="C539" s="30">
        <f>(Table24[[#This Row],[Started]]-B538)/B538</f>
        <v>-1.0983524712930605E-2</v>
      </c>
    </row>
    <row r="540" spans="1:3" x14ac:dyDescent="0.2">
      <c r="A540" s="9">
        <v>38139</v>
      </c>
      <c r="B540" s="10">
        <f>VLOOKUP(Table24[[#This Row],[Date]],'Database New'!$A:$D,MATCH($A$1,'Database New'!$A$1:$D$1,),)</f>
        <v>1828</v>
      </c>
      <c r="C540" s="30">
        <f>(Table24[[#This Row],[Started]]-B539)/B539</f>
        <v>-7.7233720343260981E-2</v>
      </c>
    </row>
    <row r="541" spans="1:3" x14ac:dyDescent="0.2">
      <c r="A541" s="9">
        <v>38169</v>
      </c>
      <c r="B541" s="10">
        <f>VLOOKUP(Table24[[#This Row],[Date]],'Database New'!$A:$D,MATCH($A$1,'Database New'!$A$1:$D$1,),)</f>
        <v>2002</v>
      </c>
      <c r="C541" s="30">
        <f>(Table24[[#This Row],[Started]]-B540)/B540</f>
        <v>9.5185995623632391E-2</v>
      </c>
    </row>
    <row r="542" spans="1:3" x14ac:dyDescent="0.2">
      <c r="A542" s="9">
        <v>38200</v>
      </c>
      <c r="B542" s="10">
        <f>VLOOKUP(Table24[[#This Row],[Date]],'Database New'!$A:$D,MATCH($A$1,'Database New'!$A$1:$D$1,),)</f>
        <v>2024</v>
      </c>
      <c r="C542" s="30">
        <f>(Table24[[#This Row],[Started]]-B541)/B541</f>
        <v>1.098901098901099E-2</v>
      </c>
    </row>
    <row r="543" spans="1:3" x14ac:dyDescent="0.2">
      <c r="A543" s="9">
        <v>38231</v>
      </c>
      <c r="B543" s="10">
        <f>VLOOKUP(Table24[[#This Row],[Date]],'Database New'!$A:$D,MATCH($A$1,'Database New'!$A$1:$D$1,),)</f>
        <v>1905</v>
      </c>
      <c r="C543" s="30">
        <f>(Table24[[#This Row],[Started]]-B542)/B542</f>
        <v>-5.8794466403162056E-2</v>
      </c>
    </row>
    <row r="544" spans="1:3" x14ac:dyDescent="0.2">
      <c r="A544" s="9">
        <v>38261</v>
      </c>
      <c r="B544" s="10">
        <f>VLOOKUP(Table24[[#This Row],[Date]],'Database New'!$A:$D,MATCH($A$1,'Database New'!$A$1:$D$1,),)</f>
        <v>2072</v>
      </c>
      <c r="C544" s="30">
        <f>(Table24[[#This Row],[Started]]-B543)/B543</f>
        <v>8.7664041994750655E-2</v>
      </c>
    </row>
    <row r="545" spans="1:3" x14ac:dyDescent="0.2">
      <c r="A545" s="9">
        <v>38292</v>
      </c>
      <c r="B545" s="10">
        <f>VLOOKUP(Table24[[#This Row],[Date]],'Database New'!$A:$D,MATCH($A$1,'Database New'!$A$1:$D$1,),)</f>
        <v>1782</v>
      </c>
      <c r="C545" s="30">
        <f>(Table24[[#This Row],[Started]]-B544)/B544</f>
        <v>-0.13996138996138996</v>
      </c>
    </row>
    <row r="546" spans="1:3" x14ac:dyDescent="0.2">
      <c r="A546" s="9">
        <v>38322</v>
      </c>
      <c r="B546" s="10">
        <f>VLOOKUP(Table24[[#This Row],[Date]],'Database New'!$A:$D,MATCH($A$1,'Database New'!$A$1:$D$1,),)</f>
        <v>2042</v>
      </c>
      <c r="C546" s="30">
        <f>(Table24[[#This Row],[Started]]-B545)/B545</f>
        <v>0.14590347923681257</v>
      </c>
    </row>
    <row r="547" spans="1:3" x14ac:dyDescent="0.2">
      <c r="A547" s="9">
        <v>38353</v>
      </c>
      <c r="B547" s="10">
        <f>VLOOKUP(Table24[[#This Row],[Date]],'Database New'!$A:$D,MATCH($A$1,'Database New'!$A$1:$D$1,),)</f>
        <v>2144</v>
      </c>
      <c r="C547" s="30">
        <f>(Table24[[#This Row],[Started]]-B546)/B546</f>
        <v>4.9951028403525957E-2</v>
      </c>
    </row>
    <row r="548" spans="1:3" x14ac:dyDescent="0.2">
      <c r="A548" s="9">
        <v>38384</v>
      </c>
      <c r="B548" s="10">
        <f>VLOOKUP(Table24[[#This Row],[Date]],'Database New'!$A:$D,MATCH($A$1,'Database New'!$A$1:$D$1,),)</f>
        <v>2207</v>
      </c>
      <c r="C548" s="30">
        <f>(Table24[[#This Row],[Started]]-B547)/B547</f>
        <v>2.9384328358208957E-2</v>
      </c>
    </row>
    <row r="549" spans="1:3" x14ac:dyDescent="0.2">
      <c r="A549" s="9">
        <v>38412</v>
      </c>
      <c r="B549" s="10">
        <f>VLOOKUP(Table24[[#This Row],[Date]],'Database New'!$A:$D,MATCH($A$1,'Database New'!$A$1:$D$1,),)</f>
        <v>1864</v>
      </c>
      <c r="C549" s="30">
        <f>(Table24[[#This Row],[Started]]-B548)/B548</f>
        <v>-0.1554145899410965</v>
      </c>
    </row>
    <row r="550" spans="1:3" x14ac:dyDescent="0.2">
      <c r="A550" s="9">
        <v>38443</v>
      </c>
      <c r="B550" s="10">
        <f>VLOOKUP(Table24[[#This Row],[Date]],'Database New'!$A:$D,MATCH($A$1,'Database New'!$A$1:$D$1,),)</f>
        <v>2061</v>
      </c>
      <c r="C550" s="30">
        <f>(Table24[[#This Row],[Started]]-B549)/B549</f>
        <v>0.10568669527896996</v>
      </c>
    </row>
    <row r="551" spans="1:3" x14ac:dyDescent="0.2">
      <c r="A551" s="9">
        <v>38473</v>
      </c>
      <c r="B551" s="10">
        <f>VLOOKUP(Table24[[#This Row],[Date]],'Database New'!$A:$D,MATCH($A$1,'Database New'!$A$1:$D$1,),)</f>
        <v>2025</v>
      </c>
      <c r="C551" s="30">
        <f>(Table24[[#This Row],[Started]]-B550)/B550</f>
        <v>-1.7467248908296942E-2</v>
      </c>
    </row>
    <row r="552" spans="1:3" x14ac:dyDescent="0.2">
      <c r="A552" s="9">
        <v>38504</v>
      </c>
      <c r="B552" s="10">
        <f>VLOOKUP(Table24[[#This Row],[Date]],'Database New'!$A:$D,MATCH($A$1,'Database New'!$A$1:$D$1,),)</f>
        <v>2068</v>
      </c>
      <c r="C552" s="30">
        <f>(Table24[[#This Row],[Started]]-B551)/B551</f>
        <v>2.1234567901234569E-2</v>
      </c>
    </row>
    <row r="553" spans="1:3" x14ac:dyDescent="0.2">
      <c r="A553" s="9">
        <v>38534</v>
      </c>
      <c r="B553" s="10">
        <f>VLOOKUP(Table24[[#This Row],[Date]],'Database New'!$A:$D,MATCH($A$1,'Database New'!$A$1:$D$1,),)</f>
        <v>2054</v>
      </c>
      <c r="C553" s="30">
        <f>(Table24[[#This Row],[Started]]-B552)/B552</f>
        <v>-6.7698259187620891E-3</v>
      </c>
    </row>
    <row r="554" spans="1:3" x14ac:dyDescent="0.2">
      <c r="A554" s="9">
        <v>38565</v>
      </c>
      <c r="B554" s="10">
        <f>VLOOKUP(Table24[[#This Row],[Date]],'Database New'!$A:$D,MATCH($A$1,'Database New'!$A$1:$D$1,),)</f>
        <v>2095</v>
      </c>
      <c r="C554" s="30">
        <f>(Table24[[#This Row],[Started]]-B553)/B553</f>
        <v>1.9961051606621226E-2</v>
      </c>
    </row>
    <row r="555" spans="1:3" x14ac:dyDescent="0.2">
      <c r="A555" s="9">
        <v>38596</v>
      </c>
      <c r="B555" s="10">
        <f>VLOOKUP(Table24[[#This Row],[Date]],'Database New'!$A:$D,MATCH($A$1,'Database New'!$A$1:$D$1,),)</f>
        <v>2151</v>
      </c>
      <c r="C555" s="30">
        <f>(Table24[[#This Row],[Started]]-B554)/B554</f>
        <v>2.6730310262529831E-2</v>
      </c>
    </row>
    <row r="556" spans="1:3" x14ac:dyDescent="0.2">
      <c r="A556" s="9">
        <v>38626</v>
      </c>
      <c r="B556" s="10">
        <f>VLOOKUP(Table24[[#This Row],[Date]],'Database New'!$A:$D,MATCH($A$1,'Database New'!$A$1:$D$1,),)</f>
        <v>2065</v>
      </c>
      <c r="C556" s="30">
        <f>(Table24[[#This Row],[Started]]-B555)/B555</f>
        <v>-3.9981403998140402E-2</v>
      </c>
    </row>
    <row r="557" spans="1:3" x14ac:dyDescent="0.2">
      <c r="A557" s="9">
        <v>38657</v>
      </c>
      <c r="B557" s="10">
        <f>VLOOKUP(Table24[[#This Row],[Date]],'Database New'!$A:$D,MATCH($A$1,'Database New'!$A$1:$D$1,),)</f>
        <v>2147</v>
      </c>
      <c r="C557" s="30">
        <f>(Table24[[#This Row],[Started]]-B556)/B556</f>
        <v>3.9709443099273607E-2</v>
      </c>
    </row>
    <row r="558" spans="1:3" x14ac:dyDescent="0.2">
      <c r="A558" s="9">
        <v>38687</v>
      </c>
      <c r="B558" s="10">
        <f>VLOOKUP(Table24[[#This Row],[Date]],'Database New'!$A:$D,MATCH($A$1,'Database New'!$A$1:$D$1,),)</f>
        <v>1994</v>
      </c>
      <c r="C558" s="30">
        <f>(Table24[[#This Row],[Started]]-B557)/B557</f>
        <v>-7.1262226362366093E-2</v>
      </c>
    </row>
    <row r="559" spans="1:3" x14ac:dyDescent="0.2">
      <c r="A559" s="9">
        <v>38718</v>
      </c>
      <c r="B559" s="10">
        <f>VLOOKUP(Table24[[#This Row],[Date]],'Database New'!$A:$D,MATCH($A$1,'Database New'!$A$1:$D$1,),)</f>
        <v>2273</v>
      </c>
      <c r="C559" s="30">
        <f>(Table24[[#This Row],[Started]]-B558)/B558</f>
        <v>0.13991975927783351</v>
      </c>
    </row>
    <row r="560" spans="1:3" x14ac:dyDescent="0.2">
      <c r="A560" s="9">
        <v>38749</v>
      </c>
      <c r="B560" s="10">
        <f>VLOOKUP(Table24[[#This Row],[Date]],'Database New'!$A:$D,MATCH($A$1,'Database New'!$A$1:$D$1,),)</f>
        <v>2119</v>
      </c>
      <c r="C560" s="30">
        <f>(Table24[[#This Row],[Started]]-B559)/B559</f>
        <v>-6.775186977562693E-2</v>
      </c>
    </row>
    <row r="561" spans="1:3" x14ac:dyDescent="0.2">
      <c r="A561" s="9">
        <v>38777</v>
      </c>
      <c r="B561" s="10">
        <f>VLOOKUP(Table24[[#This Row],[Date]],'Database New'!$A:$D,MATCH($A$1,'Database New'!$A$1:$D$1,),)</f>
        <v>1969</v>
      </c>
      <c r="C561" s="30">
        <f>(Table24[[#This Row],[Started]]-B560)/B560</f>
        <v>-7.0788107597923547E-2</v>
      </c>
    </row>
    <row r="562" spans="1:3" x14ac:dyDescent="0.2">
      <c r="A562" s="9">
        <v>38808</v>
      </c>
      <c r="B562" s="10">
        <f>VLOOKUP(Table24[[#This Row],[Date]],'Database New'!$A:$D,MATCH($A$1,'Database New'!$A$1:$D$1,),)</f>
        <v>1821</v>
      </c>
      <c r="C562" s="30">
        <f>(Table24[[#This Row],[Started]]-B561)/B561</f>
        <v>-7.516505840528187E-2</v>
      </c>
    </row>
    <row r="563" spans="1:3" x14ac:dyDescent="0.2">
      <c r="A563" s="9">
        <v>38838</v>
      </c>
      <c r="B563" s="10">
        <f>VLOOKUP(Table24[[#This Row],[Date]],'Database New'!$A:$D,MATCH($A$1,'Database New'!$A$1:$D$1,),)</f>
        <v>1942</v>
      </c>
      <c r="C563" s="30">
        <f>(Table24[[#This Row],[Started]]-B562)/B562</f>
        <v>6.6447007138934658E-2</v>
      </c>
    </row>
    <row r="564" spans="1:3" x14ac:dyDescent="0.2">
      <c r="A564" s="9">
        <v>38869</v>
      </c>
      <c r="B564" s="10">
        <f>VLOOKUP(Table24[[#This Row],[Date]],'Database New'!$A:$D,MATCH($A$1,'Database New'!$A$1:$D$1,),)</f>
        <v>1802</v>
      </c>
      <c r="C564" s="30">
        <f>(Table24[[#This Row],[Started]]-B563)/B563</f>
        <v>-7.209062821833162E-2</v>
      </c>
    </row>
    <row r="565" spans="1:3" x14ac:dyDescent="0.2">
      <c r="A565" s="9">
        <v>38899</v>
      </c>
      <c r="B565" s="10">
        <f>VLOOKUP(Table24[[#This Row],[Date]],'Database New'!$A:$D,MATCH($A$1,'Database New'!$A$1:$D$1,),)</f>
        <v>1737</v>
      </c>
      <c r="C565" s="30">
        <f>(Table24[[#This Row],[Started]]-B564)/B564</f>
        <v>-3.607103218645949E-2</v>
      </c>
    </row>
    <row r="566" spans="1:3" x14ac:dyDescent="0.2">
      <c r="A566" s="9">
        <v>38930</v>
      </c>
      <c r="B566" s="10">
        <f>VLOOKUP(Table24[[#This Row],[Date]],'Database New'!$A:$D,MATCH($A$1,'Database New'!$A$1:$D$1,),)</f>
        <v>1650</v>
      </c>
      <c r="C566" s="30">
        <f>(Table24[[#This Row],[Started]]-B565)/B565</f>
        <v>-5.0086355785837651E-2</v>
      </c>
    </row>
    <row r="567" spans="1:3" x14ac:dyDescent="0.2">
      <c r="A567" s="9">
        <v>38961</v>
      </c>
      <c r="B567" s="10">
        <f>VLOOKUP(Table24[[#This Row],[Date]],'Database New'!$A:$D,MATCH($A$1,'Database New'!$A$1:$D$1,),)</f>
        <v>1720</v>
      </c>
      <c r="C567" s="30">
        <f>(Table24[[#This Row],[Started]]-B566)/B566</f>
        <v>4.2424242424242427E-2</v>
      </c>
    </row>
    <row r="568" spans="1:3" x14ac:dyDescent="0.2">
      <c r="A568" s="9">
        <v>38991</v>
      </c>
      <c r="B568" s="10">
        <f>VLOOKUP(Table24[[#This Row],[Date]],'Database New'!$A:$D,MATCH($A$1,'Database New'!$A$1:$D$1,),)</f>
        <v>1491</v>
      </c>
      <c r="C568" s="30">
        <f>(Table24[[#This Row],[Started]]-B567)/B567</f>
        <v>-0.13313953488372093</v>
      </c>
    </row>
    <row r="569" spans="1:3" x14ac:dyDescent="0.2">
      <c r="A569" s="9">
        <v>39022</v>
      </c>
      <c r="B569" s="10">
        <f>VLOOKUP(Table24[[#This Row],[Date]],'Database New'!$A:$D,MATCH($A$1,'Database New'!$A$1:$D$1,),)</f>
        <v>1570</v>
      </c>
      <c r="C569" s="30">
        <f>(Table24[[#This Row],[Started]]-B568)/B568</f>
        <v>5.2984574111334677E-2</v>
      </c>
    </row>
    <row r="570" spans="1:3" x14ac:dyDescent="0.2">
      <c r="A570" s="9">
        <v>39052</v>
      </c>
      <c r="B570" s="10">
        <f>VLOOKUP(Table24[[#This Row],[Date]],'Database New'!$A:$D,MATCH($A$1,'Database New'!$A$1:$D$1,),)</f>
        <v>1649</v>
      </c>
      <c r="C570" s="30">
        <f>(Table24[[#This Row],[Started]]-B569)/B569</f>
        <v>5.0318471337579621E-2</v>
      </c>
    </row>
    <row r="571" spans="1:3" x14ac:dyDescent="0.2">
      <c r="A571" s="9">
        <v>39083</v>
      </c>
      <c r="B571" s="10">
        <f>VLOOKUP(Table24[[#This Row],[Date]],'Database New'!$A:$D,MATCH($A$1,'Database New'!$A$1:$D$1,),)</f>
        <v>1409</v>
      </c>
      <c r="C571" s="30">
        <f>(Table24[[#This Row],[Started]]-B570)/B570</f>
        <v>-0.14554275318374774</v>
      </c>
    </row>
    <row r="572" spans="1:3" x14ac:dyDescent="0.2">
      <c r="A572" s="9">
        <v>39114</v>
      </c>
      <c r="B572" s="10">
        <f>VLOOKUP(Table24[[#This Row],[Date]],'Database New'!$A:$D,MATCH($A$1,'Database New'!$A$1:$D$1,),)</f>
        <v>1480</v>
      </c>
      <c r="C572" s="30">
        <f>(Table24[[#This Row],[Started]]-B571)/B571</f>
        <v>5.0390347764371894E-2</v>
      </c>
    </row>
    <row r="573" spans="1:3" x14ac:dyDescent="0.2">
      <c r="A573" s="9">
        <v>39142</v>
      </c>
      <c r="B573" s="10">
        <f>VLOOKUP(Table24[[#This Row],[Date]],'Database New'!$A:$D,MATCH($A$1,'Database New'!$A$1:$D$1,),)</f>
        <v>1495</v>
      </c>
      <c r="C573" s="30">
        <f>(Table24[[#This Row],[Started]]-B572)/B572</f>
        <v>1.0135135135135136E-2</v>
      </c>
    </row>
    <row r="574" spans="1:3" x14ac:dyDescent="0.2">
      <c r="A574" s="9">
        <v>39173</v>
      </c>
      <c r="B574" s="10">
        <f>VLOOKUP(Table24[[#This Row],[Date]],'Database New'!$A:$D,MATCH($A$1,'Database New'!$A$1:$D$1,),)</f>
        <v>1490</v>
      </c>
      <c r="C574" s="30">
        <f>(Table24[[#This Row],[Started]]-B573)/B573</f>
        <v>-3.3444816053511705E-3</v>
      </c>
    </row>
    <row r="575" spans="1:3" x14ac:dyDescent="0.2">
      <c r="A575" s="9">
        <v>39203</v>
      </c>
      <c r="B575" s="10">
        <f>VLOOKUP(Table24[[#This Row],[Date]],'Database New'!$A:$D,MATCH($A$1,'Database New'!$A$1:$D$1,),)</f>
        <v>1415</v>
      </c>
      <c r="C575" s="30">
        <f>(Table24[[#This Row],[Started]]-B574)/B574</f>
        <v>-5.0335570469798654E-2</v>
      </c>
    </row>
    <row r="576" spans="1:3" x14ac:dyDescent="0.2">
      <c r="A576" s="9">
        <v>39234</v>
      </c>
      <c r="B576" s="10">
        <f>VLOOKUP(Table24[[#This Row],[Date]],'Database New'!$A:$D,MATCH($A$1,'Database New'!$A$1:$D$1,),)</f>
        <v>1448</v>
      </c>
      <c r="C576" s="30">
        <f>(Table24[[#This Row],[Started]]-B575)/B575</f>
        <v>2.3321554770318022E-2</v>
      </c>
    </row>
    <row r="577" spans="1:3" x14ac:dyDescent="0.2">
      <c r="A577" s="9">
        <v>39264</v>
      </c>
      <c r="B577" s="10">
        <f>VLOOKUP(Table24[[#This Row],[Date]],'Database New'!$A:$D,MATCH($A$1,'Database New'!$A$1:$D$1,),)</f>
        <v>1354</v>
      </c>
      <c r="C577" s="30">
        <f>(Table24[[#This Row],[Started]]-B576)/B576</f>
        <v>-6.4917127071823205E-2</v>
      </c>
    </row>
    <row r="578" spans="1:3" x14ac:dyDescent="0.2">
      <c r="A578" s="9">
        <v>39295</v>
      </c>
      <c r="B578" s="10">
        <f>VLOOKUP(Table24[[#This Row],[Date]],'Database New'!$A:$D,MATCH($A$1,'Database New'!$A$1:$D$1,),)</f>
        <v>1330</v>
      </c>
      <c r="C578" s="30">
        <f>(Table24[[#This Row],[Started]]-B577)/B577</f>
        <v>-1.7725258493353029E-2</v>
      </c>
    </row>
    <row r="579" spans="1:3" x14ac:dyDescent="0.2">
      <c r="A579" s="9">
        <v>39326</v>
      </c>
      <c r="B579" s="10">
        <f>VLOOKUP(Table24[[#This Row],[Date]],'Database New'!$A:$D,MATCH($A$1,'Database New'!$A$1:$D$1,),)</f>
        <v>1183</v>
      </c>
      <c r="C579" s="30">
        <f>(Table24[[#This Row],[Started]]-B578)/B578</f>
        <v>-0.11052631578947368</v>
      </c>
    </row>
    <row r="580" spans="1:3" x14ac:dyDescent="0.2">
      <c r="A580" s="9">
        <v>39356</v>
      </c>
      <c r="B580" s="10">
        <f>VLOOKUP(Table24[[#This Row],[Date]],'Database New'!$A:$D,MATCH($A$1,'Database New'!$A$1:$D$1,),)</f>
        <v>1264</v>
      </c>
      <c r="C580" s="30">
        <f>(Table24[[#This Row],[Started]]-B579)/B579</f>
        <v>6.8469991546914619E-2</v>
      </c>
    </row>
    <row r="581" spans="1:3" x14ac:dyDescent="0.2">
      <c r="A581" s="9">
        <v>39387</v>
      </c>
      <c r="B581" s="10">
        <f>VLOOKUP(Table24[[#This Row],[Date]],'Database New'!$A:$D,MATCH($A$1,'Database New'!$A$1:$D$1,),)</f>
        <v>1197</v>
      </c>
      <c r="C581" s="30">
        <f>(Table24[[#This Row],[Started]]-B580)/B580</f>
        <v>-5.3006329113924049E-2</v>
      </c>
    </row>
    <row r="582" spans="1:3" x14ac:dyDescent="0.2">
      <c r="A582" s="9">
        <v>39417</v>
      </c>
      <c r="B582" s="10">
        <f>VLOOKUP(Table24[[#This Row],[Date]],'Database New'!$A:$D,MATCH($A$1,'Database New'!$A$1:$D$1,),)</f>
        <v>1037</v>
      </c>
      <c r="C582" s="30">
        <f>(Table24[[#This Row],[Started]]-B581)/B581</f>
        <v>-0.13366750208855471</v>
      </c>
    </row>
    <row r="583" spans="1:3" x14ac:dyDescent="0.2">
      <c r="A583" s="9">
        <v>39448</v>
      </c>
      <c r="B583" s="10">
        <f>VLOOKUP(Table24[[#This Row],[Date]],'Database New'!$A:$D,MATCH($A$1,'Database New'!$A$1:$D$1,),)</f>
        <v>1084</v>
      </c>
      <c r="C583" s="30">
        <f>(Table24[[#This Row],[Started]]-B582)/B582</f>
        <v>4.5323047251687558E-2</v>
      </c>
    </row>
    <row r="584" spans="1:3" x14ac:dyDescent="0.2">
      <c r="A584" s="9">
        <v>39479</v>
      </c>
      <c r="B584" s="10">
        <f>VLOOKUP(Table24[[#This Row],[Date]],'Database New'!$A:$D,MATCH($A$1,'Database New'!$A$1:$D$1,),)</f>
        <v>1103</v>
      </c>
      <c r="C584" s="30">
        <f>(Table24[[#This Row],[Started]]-B583)/B583</f>
        <v>1.7527675276752766E-2</v>
      </c>
    </row>
    <row r="585" spans="1:3" x14ac:dyDescent="0.2">
      <c r="A585" s="9">
        <v>39508</v>
      </c>
      <c r="B585" s="10">
        <f>VLOOKUP(Table24[[#This Row],[Date]],'Database New'!$A:$D,MATCH($A$1,'Database New'!$A$1:$D$1,),)</f>
        <v>1005</v>
      </c>
      <c r="C585" s="30">
        <f>(Table24[[#This Row],[Started]]-B584)/B584</f>
        <v>-8.8848594741613787E-2</v>
      </c>
    </row>
    <row r="586" spans="1:3" x14ac:dyDescent="0.2">
      <c r="A586" s="9">
        <v>39539</v>
      </c>
      <c r="B586" s="10">
        <f>VLOOKUP(Table24[[#This Row],[Date]],'Database New'!$A:$D,MATCH($A$1,'Database New'!$A$1:$D$1,),)</f>
        <v>1013</v>
      </c>
      <c r="C586" s="30">
        <f>(Table24[[#This Row],[Started]]-B585)/B585</f>
        <v>7.9601990049751239E-3</v>
      </c>
    </row>
    <row r="587" spans="1:3" x14ac:dyDescent="0.2">
      <c r="A587" s="9">
        <v>39569</v>
      </c>
      <c r="B587" s="10">
        <f>VLOOKUP(Table24[[#This Row],[Date]],'Database New'!$A:$D,MATCH($A$1,'Database New'!$A$1:$D$1,),)</f>
        <v>973</v>
      </c>
      <c r="C587" s="30">
        <f>(Table24[[#This Row],[Started]]-B586)/B586</f>
        <v>-3.9486673247778874E-2</v>
      </c>
    </row>
    <row r="588" spans="1:3" x14ac:dyDescent="0.2">
      <c r="A588" s="9">
        <v>39600</v>
      </c>
      <c r="B588" s="10">
        <f>VLOOKUP(Table24[[#This Row],[Date]],'Database New'!$A:$D,MATCH($A$1,'Database New'!$A$1:$D$1,),)</f>
        <v>1046</v>
      </c>
      <c r="C588" s="30">
        <f>(Table24[[#This Row],[Started]]-B587)/B587</f>
        <v>7.5025693730729703E-2</v>
      </c>
    </row>
    <row r="589" spans="1:3" x14ac:dyDescent="0.2">
      <c r="A589" s="9">
        <v>39630</v>
      </c>
      <c r="B589" s="10">
        <f>VLOOKUP(Table24[[#This Row],[Date]],'Database New'!$A:$D,MATCH($A$1,'Database New'!$A$1:$D$1,),)</f>
        <v>923</v>
      </c>
      <c r="C589" s="30">
        <f>(Table24[[#This Row],[Started]]-B588)/B588</f>
        <v>-0.11759082217973231</v>
      </c>
    </row>
    <row r="590" spans="1:3" x14ac:dyDescent="0.2">
      <c r="A590" s="9">
        <v>39661</v>
      </c>
      <c r="B590" s="10">
        <f>VLOOKUP(Table24[[#This Row],[Date]],'Database New'!$A:$D,MATCH($A$1,'Database New'!$A$1:$D$1,),)</f>
        <v>844</v>
      </c>
      <c r="C590" s="30">
        <f>(Table24[[#This Row],[Started]]-B589)/B589</f>
        <v>-8.5590465872156019E-2</v>
      </c>
    </row>
    <row r="591" spans="1:3" x14ac:dyDescent="0.2">
      <c r="A591" s="9">
        <v>39692</v>
      </c>
      <c r="B591" s="10">
        <f>VLOOKUP(Table24[[#This Row],[Date]],'Database New'!$A:$D,MATCH($A$1,'Database New'!$A$1:$D$1,),)</f>
        <v>820</v>
      </c>
      <c r="C591" s="30">
        <f>(Table24[[#This Row],[Started]]-B590)/B590</f>
        <v>-2.843601895734597E-2</v>
      </c>
    </row>
    <row r="592" spans="1:3" x14ac:dyDescent="0.2">
      <c r="A592" s="9">
        <v>39722</v>
      </c>
      <c r="B592" s="10">
        <f>VLOOKUP(Table24[[#This Row],[Date]],'Database New'!$A:$D,MATCH($A$1,'Database New'!$A$1:$D$1,),)</f>
        <v>777</v>
      </c>
      <c r="C592" s="30">
        <f>(Table24[[#This Row],[Started]]-B591)/B591</f>
        <v>-5.24390243902439E-2</v>
      </c>
    </row>
    <row r="593" spans="1:3" x14ac:dyDescent="0.2">
      <c r="A593" s="9">
        <v>39753</v>
      </c>
      <c r="B593" s="10">
        <f>VLOOKUP(Table24[[#This Row],[Date]],'Database New'!$A:$D,MATCH($A$1,'Database New'!$A$1:$D$1,),)</f>
        <v>652</v>
      </c>
      <c r="C593" s="30">
        <f>(Table24[[#This Row],[Started]]-B592)/B592</f>
        <v>-0.16087516087516088</v>
      </c>
    </row>
    <row r="594" spans="1:3" x14ac:dyDescent="0.2">
      <c r="A594" s="9">
        <v>39783</v>
      </c>
      <c r="B594" s="10">
        <f>VLOOKUP(Table24[[#This Row],[Date]],'Database New'!$A:$D,MATCH($A$1,'Database New'!$A$1:$D$1,),)</f>
        <v>560</v>
      </c>
      <c r="C594" s="30">
        <f>(Table24[[#This Row],[Started]]-B593)/B593</f>
        <v>-0.1411042944785276</v>
      </c>
    </row>
    <row r="595" spans="1:3" x14ac:dyDescent="0.2">
      <c r="A595" s="9">
        <v>39814</v>
      </c>
      <c r="B595" s="10">
        <f>VLOOKUP(Table24[[#This Row],[Date]],'Database New'!$A:$D,MATCH($A$1,'Database New'!$A$1:$D$1,),)</f>
        <v>490</v>
      </c>
      <c r="C595" s="30">
        <f>(Table24[[#This Row],[Started]]-B594)/B594</f>
        <v>-0.125</v>
      </c>
    </row>
    <row r="596" spans="1:3" x14ac:dyDescent="0.2">
      <c r="A596" s="9">
        <v>39845</v>
      </c>
      <c r="B596" s="10">
        <f>VLOOKUP(Table24[[#This Row],[Date]],'Database New'!$A:$D,MATCH($A$1,'Database New'!$A$1:$D$1,),)</f>
        <v>582</v>
      </c>
      <c r="C596" s="30">
        <f>(Table24[[#This Row],[Started]]-B595)/B595</f>
        <v>0.18775510204081633</v>
      </c>
    </row>
    <row r="597" spans="1:3" x14ac:dyDescent="0.2">
      <c r="A597" s="9">
        <v>39873</v>
      </c>
      <c r="B597" s="10">
        <f>VLOOKUP(Table24[[#This Row],[Date]],'Database New'!$A:$D,MATCH($A$1,'Database New'!$A$1:$D$1,),)</f>
        <v>505</v>
      </c>
      <c r="C597" s="30">
        <f>(Table24[[#This Row],[Started]]-B596)/B596</f>
        <v>-0.13230240549828179</v>
      </c>
    </row>
    <row r="598" spans="1:3" x14ac:dyDescent="0.2">
      <c r="A598" s="9">
        <v>39904</v>
      </c>
      <c r="B598" s="10">
        <f>VLOOKUP(Table24[[#This Row],[Date]],'Database New'!$A:$D,MATCH($A$1,'Database New'!$A$1:$D$1,),)</f>
        <v>478</v>
      </c>
      <c r="C598" s="30">
        <f>(Table24[[#This Row],[Started]]-B597)/B597</f>
        <v>-5.3465346534653464E-2</v>
      </c>
    </row>
    <row r="599" spans="1:3" x14ac:dyDescent="0.2">
      <c r="A599" s="9">
        <v>39934</v>
      </c>
      <c r="B599" s="10">
        <f>VLOOKUP(Table24[[#This Row],[Date]],'Database New'!$A:$D,MATCH($A$1,'Database New'!$A$1:$D$1,),)</f>
        <v>540</v>
      </c>
      <c r="C599" s="30">
        <f>(Table24[[#This Row],[Started]]-B598)/B598</f>
        <v>0.1297071129707113</v>
      </c>
    </row>
    <row r="600" spans="1:3" x14ac:dyDescent="0.2">
      <c r="A600" s="9">
        <v>39965</v>
      </c>
      <c r="B600" s="10">
        <f>VLOOKUP(Table24[[#This Row],[Date]],'Database New'!$A:$D,MATCH($A$1,'Database New'!$A$1:$D$1,),)</f>
        <v>585</v>
      </c>
      <c r="C600" s="30">
        <f>(Table24[[#This Row],[Started]]-B599)/B599</f>
        <v>8.3333333333333329E-2</v>
      </c>
    </row>
    <row r="601" spans="1:3" x14ac:dyDescent="0.2">
      <c r="A601" s="9">
        <v>39995</v>
      </c>
      <c r="B601" s="10">
        <f>VLOOKUP(Table24[[#This Row],[Date]],'Database New'!$A:$D,MATCH($A$1,'Database New'!$A$1:$D$1,),)</f>
        <v>594</v>
      </c>
      <c r="C601" s="30">
        <f>(Table24[[#This Row],[Started]]-B600)/B600</f>
        <v>1.5384615384615385E-2</v>
      </c>
    </row>
    <row r="602" spans="1:3" x14ac:dyDescent="0.2">
      <c r="A602" s="9">
        <v>40026</v>
      </c>
      <c r="B602" s="10">
        <f>VLOOKUP(Table24[[#This Row],[Date]],'Database New'!$A:$D,MATCH($A$1,'Database New'!$A$1:$D$1,),)</f>
        <v>586</v>
      </c>
      <c r="C602" s="30">
        <f>(Table24[[#This Row],[Started]]-B601)/B601</f>
        <v>-1.3468013468013467E-2</v>
      </c>
    </row>
    <row r="603" spans="1:3" x14ac:dyDescent="0.2">
      <c r="A603" s="9">
        <v>40057</v>
      </c>
      <c r="B603" s="10">
        <f>VLOOKUP(Table24[[#This Row],[Date]],'Database New'!$A:$D,MATCH($A$1,'Database New'!$A$1:$D$1,),)</f>
        <v>585</v>
      </c>
      <c r="C603" s="30">
        <f>(Table24[[#This Row],[Started]]-B602)/B602</f>
        <v>-1.7064846416382253E-3</v>
      </c>
    </row>
    <row r="604" spans="1:3" x14ac:dyDescent="0.2">
      <c r="A604" s="9">
        <v>40087</v>
      </c>
      <c r="B604" s="10">
        <f>VLOOKUP(Table24[[#This Row],[Date]],'Database New'!$A:$D,MATCH($A$1,'Database New'!$A$1:$D$1,),)</f>
        <v>534</v>
      </c>
      <c r="C604" s="30">
        <f>(Table24[[#This Row],[Started]]-B603)/B603</f>
        <v>-8.7179487179487175E-2</v>
      </c>
    </row>
    <row r="605" spans="1:3" x14ac:dyDescent="0.2">
      <c r="A605" s="9">
        <v>40118</v>
      </c>
      <c r="B605" s="10">
        <f>VLOOKUP(Table24[[#This Row],[Date]],'Database New'!$A:$D,MATCH($A$1,'Database New'!$A$1:$D$1,),)</f>
        <v>588</v>
      </c>
      <c r="C605" s="30">
        <f>(Table24[[#This Row],[Started]]-B604)/B604</f>
        <v>0.10112359550561797</v>
      </c>
    </row>
    <row r="606" spans="1:3" x14ac:dyDescent="0.2">
      <c r="A606" s="9">
        <v>40148</v>
      </c>
      <c r="B606" s="10">
        <f>VLOOKUP(Table24[[#This Row],[Date]],'Database New'!$A:$D,MATCH($A$1,'Database New'!$A$1:$D$1,),)</f>
        <v>581</v>
      </c>
      <c r="C606" s="30">
        <f>(Table24[[#This Row],[Started]]-B605)/B605</f>
        <v>-1.1904761904761904E-2</v>
      </c>
    </row>
    <row r="607" spans="1:3" x14ac:dyDescent="0.2">
      <c r="A607" s="9">
        <v>40179</v>
      </c>
      <c r="B607" s="10">
        <f>VLOOKUP(Table24[[#This Row],[Date]],'Database New'!$A:$D,MATCH($A$1,'Database New'!$A$1:$D$1,),)</f>
        <v>614</v>
      </c>
      <c r="C607" s="30">
        <f>(Table24[[#This Row],[Started]]-B606)/B606</f>
        <v>5.6798623063683308E-2</v>
      </c>
    </row>
    <row r="608" spans="1:3" x14ac:dyDescent="0.2">
      <c r="A608" s="9">
        <v>40210</v>
      </c>
      <c r="B608" s="10">
        <f>VLOOKUP(Table24[[#This Row],[Date]],'Database New'!$A:$D,MATCH($A$1,'Database New'!$A$1:$D$1,),)</f>
        <v>604</v>
      </c>
      <c r="C608" s="30">
        <f>(Table24[[#This Row],[Started]]-B607)/B607</f>
        <v>-1.6286644951140065E-2</v>
      </c>
    </row>
    <row r="609" spans="1:3" x14ac:dyDescent="0.2">
      <c r="A609" s="9">
        <v>40238</v>
      </c>
      <c r="B609" s="10">
        <f>VLOOKUP(Table24[[#This Row],[Date]],'Database New'!$A:$D,MATCH($A$1,'Database New'!$A$1:$D$1,),)</f>
        <v>636</v>
      </c>
      <c r="C609" s="30">
        <f>(Table24[[#This Row],[Started]]-B608)/B608</f>
        <v>5.2980132450331126E-2</v>
      </c>
    </row>
    <row r="610" spans="1:3" x14ac:dyDescent="0.2">
      <c r="A610" s="9">
        <v>40269</v>
      </c>
      <c r="B610" s="10">
        <f>VLOOKUP(Table24[[#This Row],[Date]],'Database New'!$A:$D,MATCH($A$1,'Database New'!$A$1:$D$1,),)</f>
        <v>687</v>
      </c>
      <c r="C610" s="30">
        <f>(Table24[[#This Row],[Started]]-B609)/B609</f>
        <v>8.0188679245283015E-2</v>
      </c>
    </row>
    <row r="611" spans="1:3" x14ac:dyDescent="0.2">
      <c r="A611" s="9">
        <v>40299</v>
      </c>
      <c r="B611" s="10">
        <f>VLOOKUP(Table24[[#This Row],[Date]],'Database New'!$A:$D,MATCH($A$1,'Database New'!$A$1:$D$1,),)</f>
        <v>583</v>
      </c>
      <c r="C611" s="30">
        <f>(Table24[[#This Row],[Started]]-B610)/B610</f>
        <v>-0.15138282387190685</v>
      </c>
    </row>
    <row r="612" spans="1:3" x14ac:dyDescent="0.2">
      <c r="A612" s="9">
        <v>40330</v>
      </c>
      <c r="B612" s="10">
        <f>VLOOKUP(Table24[[#This Row],[Date]],'Database New'!$A:$D,MATCH($A$1,'Database New'!$A$1:$D$1,),)</f>
        <v>536</v>
      </c>
      <c r="C612" s="30">
        <f>(Table24[[#This Row],[Started]]-B611)/B611</f>
        <v>-8.0617495711835338E-2</v>
      </c>
    </row>
    <row r="613" spans="1:3" x14ac:dyDescent="0.2">
      <c r="A613" s="9">
        <v>40360</v>
      </c>
      <c r="B613" s="10">
        <f>VLOOKUP(Table24[[#This Row],[Date]],'Database New'!$A:$D,MATCH($A$1,'Database New'!$A$1:$D$1,),)</f>
        <v>546</v>
      </c>
      <c r="C613" s="30">
        <f>(Table24[[#This Row],[Started]]-B612)/B612</f>
        <v>1.8656716417910446E-2</v>
      </c>
    </row>
    <row r="614" spans="1:3" x14ac:dyDescent="0.2">
      <c r="A614" s="9">
        <v>40391</v>
      </c>
      <c r="B614" s="10">
        <f>VLOOKUP(Table24[[#This Row],[Date]],'Database New'!$A:$D,MATCH($A$1,'Database New'!$A$1:$D$1,),)</f>
        <v>599</v>
      </c>
      <c r="C614" s="30">
        <f>(Table24[[#This Row],[Started]]-B613)/B613</f>
        <v>9.7069597069597072E-2</v>
      </c>
    </row>
    <row r="615" spans="1:3" x14ac:dyDescent="0.2">
      <c r="A615" s="9">
        <v>40422</v>
      </c>
      <c r="B615" s="10">
        <f>VLOOKUP(Table24[[#This Row],[Date]],'Database New'!$A:$D,MATCH($A$1,'Database New'!$A$1:$D$1,),)</f>
        <v>594</v>
      </c>
      <c r="C615" s="30">
        <f>(Table24[[#This Row],[Started]]-B614)/B614</f>
        <v>-8.3472454090150246E-3</v>
      </c>
    </row>
    <row r="616" spans="1:3" x14ac:dyDescent="0.2">
      <c r="A616" s="9">
        <v>40452</v>
      </c>
      <c r="B616" s="10">
        <f>VLOOKUP(Table24[[#This Row],[Date]],'Database New'!$A:$D,MATCH($A$1,'Database New'!$A$1:$D$1,),)</f>
        <v>543</v>
      </c>
      <c r="C616" s="30">
        <f>(Table24[[#This Row],[Started]]-B615)/B615</f>
        <v>-8.5858585858585856E-2</v>
      </c>
    </row>
    <row r="617" spans="1:3" x14ac:dyDescent="0.2">
      <c r="A617" s="9">
        <v>40483</v>
      </c>
      <c r="B617" s="10">
        <f>VLOOKUP(Table24[[#This Row],[Date]],'Database New'!$A:$D,MATCH($A$1,'Database New'!$A$1:$D$1,),)</f>
        <v>545</v>
      </c>
      <c r="C617" s="30">
        <f>(Table24[[#This Row],[Started]]-B616)/B616</f>
        <v>3.6832412523020259E-3</v>
      </c>
    </row>
    <row r="618" spans="1:3" x14ac:dyDescent="0.2">
      <c r="A618" s="9">
        <v>40513</v>
      </c>
      <c r="B618" s="10">
        <f>VLOOKUP(Table24[[#This Row],[Date]],'Database New'!$A:$D,MATCH($A$1,'Database New'!$A$1:$D$1,),)</f>
        <v>539</v>
      </c>
      <c r="C618" s="30">
        <f>(Table24[[#This Row],[Started]]-B617)/B617</f>
        <v>-1.1009174311926606E-2</v>
      </c>
    </row>
    <row r="619" spans="1:3" x14ac:dyDescent="0.2">
      <c r="A619" s="9">
        <v>40544</v>
      </c>
      <c r="B619" s="10">
        <f>VLOOKUP(Table24[[#This Row],[Date]],'Database New'!$A:$D,MATCH($A$1,'Database New'!$A$1:$D$1,),)</f>
        <v>630</v>
      </c>
      <c r="C619" s="30">
        <f>(Table24[[#This Row],[Started]]-B618)/B618</f>
        <v>0.16883116883116883</v>
      </c>
    </row>
    <row r="620" spans="1:3" x14ac:dyDescent="0.2">
      <c r="A620" s="9">
        <v>40575</v>
      </c>
      <c r="B620" s="10">
        <f>VLOOKUP(Table24[[#This Row],[Date]],'Database New'!$A:$D,MATCH($A$1,'Database New'!$A$1:$D$1,),)</f>
        <v>517</v>
      </c>
      <c r="C620" s="30">
        <f>(Table24[[#This Row],[Started]]-B619)/B619</f>
        <v>-0.17936507936507937</v>
      </c>
    </row>
    <row r="621" spans="1:3" x14ac:dyDescent="0.2">
      <c r="A621" s="9">
        <v>40603</v>
      </c>
      <c r="B621" s="10">
        <f>VLOOKUP(Table24[[#This Row],[Date]],'Database New'!$A:$D,MATCH($A$1,'Database New'!$A$1:$D$1,),)</f>
        <v>600</v>
      </c>
      <c r="C621" s="30">
        <f>(Table24[[#This Row],[Started]]-B620)/B620</f>
        <v>0.16054158607350097</v>
      </c>
    </row>
    <row r="622" spans="1:3" x14ac:dyDescent="0.2">
      <c r="A622" s="9">
        <v>40634</v>
      </c>
      <c r="B622" s="10">
        <f>VLOOKUP(Table24[[#This Row],[Date]],'Database New'!$A:$D,MATCH($A$1,'Database New'!$A$1:$D$1,),)</f>
        <v>554</v>
      </c>
      <c r="C622" s="30">
        <f>(Table24[[#This Row],[Started]]-B621)/B621</f>
        <v>-7.6666666666666661E-2</v>
      </c>
    </row>
    <row r="623" spans="1:3" x14ac:dyDescent="0.2">
      <c r="A623" s="9">
        <v>40664</v>
      </c>
      <c r="B623" s="10">
        <f>VLOOKUP(Table24[[#This Row],[Date]],'Database New'!$A:$D,MATCH($A$1,'Database New'!$A$1:$D$1,),)</f>
        <v>561</v>
      </c>
      <c r="C623" s="30">
        <f>(Table24[[#This Row],[Started]]-B622)/B622</f>
        <v>1.263537906137184E-2</v>
      </c>
    </row>
    <row r="624" spans="1:3" x14ac:dyDescent="0.2">
      <c r="A624" s="9">
        <v>40695</v>
      </c>
      <c r="B624" s="10">
        <f>VLOOKUP(Table24[[#This Row],[Date]],'Database New'!$A:$D,MATCH($A$1,'Database New'!$A$1:$D$1,),)</f>
        <v>608</v>
      </c>
      <c r="C624" s="30">
        <f>(Table24[[#This Row],[Started]]-B623)/B623</f>
        <v>8.3778966131907315E-2</v>
      </c>
    </row>
    <row r="625" spans="1:3" x14ac:dyDescent="0.2">
      <c r="A625" s="9">
        <v>40725</v>
      </c>
      <c r="B625" s="10">
        <f>VLOOKUP(Table24[[#This Row],[Date]],'Database New'!$A:$D,MATCH($A$1,'Database New'!$A$1:$D$1,),)</f>
        <v>623</v>
      </c>
      <c r="C625" s="30">
        <f>(Table24[[#This Row],[Started]]-B624)/B624</f>
        <v>2.4671052631578948E-2</v>
      </c>
    </row>
    <row r="626" spans="1:3" x14ac:dyDescent="0.2">
      <c r="A626" s="9">
        <v>40756</v>
      </c>
      <c r="B626" s="10">
        <f>VLOOKUP(Table24[[#This Row],[Date]],'Database New'!$A:$D,MATCH($A$1,'Database New'!$A$1:$D$1,),)</f>
        <v>585</v>
      </c>
      <c r="C626" s="30">
        <f>(Table24[[#This Row],[Started]]-B625)/B625</f>
        <v>-6.0995184590690206E-2</v>
      </c>
    </row>
    <row r="627" spans="1:3" x14ac:dyDescent="0.2">
      <c r="A627" s="9">
        <v>40787</v>
      </c>
      <c r="B627" s="10">
        <f>VLOOKUP(Table24[[#This Row],[Date]],'Database New'!$A:$D,MATCH($A$1,'Database New'!$A$1:$D$1,),)</f>
        <v>650</v>
      </c>
      <c r="C627" s="30">
        <f>(Table24[[#This Row],[Started]]-B626)/B626</f>
        <v>0.1111111111111111</v>
      </c>
    </row>
    <row r="628" spans="1:3" x14ac:dyDescent="0.2">
      <c r="A628" s="9">
        <v>40817</v>
      </c>
      <c r="B628" s="10">
        <f>VLOOKUP(Table24[[#This Row],[Date]],'Database New'!$A:$D,MATCH($A$1,'Database New'!$A$1:$D$1,),)</f>
        <v>610</v>
      </c>
      <c r="C628" s="30">
        <f>(Table24[[#This Row],[Started]]-B627)/B627</f>
        <v>-6.1538461538461542E-2</v>
      </c>
    </row>
    <row r="629" spans="1:3" x14ac:dyDescent="0.2">
      <c r="A629" s="9">
        <v>40848</v>
      </c>
      <c r="B629" s="10">
        <f>VLOOKUP(Table24[[#This Row],[Date]],'Database New'!$A:$D,MATCH($A$1,'Database New'!$A$1:$D$1,),)</f>
        <v>711</v>
      </c>
      <c r="C629" s="30">
        <f>(Table24[[#This Row],[Started]]-B628)/B628</f>
        <v>0.16557377049180327</v>
      </c>
    </row>
    <row r="630" spans="1:3" x14ac:dyDescent="0.2">
      <c r="A630" s="9">
        <v>40878</v>
      </c>
      <c r="B630" s="10">
        <f>VLOOKUP(Table24[[#This Row],[Date]],'Database New'!$A:$D,MATCH($A$1,'Database New'!$A$1:$D$1,),)</f>
        <v>694</v>
      </c>
      <c r="C630" s="30">
        <f>(Table24[[#This Row],[Started]]-B629)/B629</f>
        <v>-2.3909985935302389E-2</v>
      </c>
    </row>
    <row r="631" spans="1:3" x14ac:dyDescent="0.2">
      <c r="A631" s="9">
        <v>40909</v>
      </c>
      <c r="B631" s="10">
        <f>VLOOKUP(Table24[[#This Row],[Date]],'Database New'!$A:$D,MATCH($A$1,'Database New'!$A$1:$D$1,),)</f>
        <v>723</v>
      </c>
      <c r="C631" s="30">
        <f>(Table24[[#This Row],[Started]]-B630)/B630</f>
        <v>4.1786743515850142E-2</v>
      </c>
    </row>
    <row r="632" spans="1:3" x14ac:dyDescent="0.2">
      <c r="A632" s="9">
        <v>40940</v>
      </c>
      <c r="B632" s="10">
        <f>VLOOKUP(Table24[[#This Row],[Date]],'Database New'!$A:$D,MATCH($A$1,'Database New'!$A$1:$D$1,),)</f>
        <v>704</v>
      </c>
      <c r="C632" s="30">
        <f>(Table24[[#This Row],[Started]]-B631)/B631</f>
        <v>-2.6279391424619641E-2</v>
      </c>
    </row>
    <row r="633" spans="1:3" x14ac:dyDescent="0.2">
      <c r="A633" s="9">
        <v>40969</v>
      </c>
      <c r="B633" s="10">
        <f>VLOOKUP(Table24[[#This Row],[Date]],'Database New'!$A:$D,MATCH($A$1,'Database New'!$A$1:$D$1,),)</f>
        <v>695</v>
      </c>
      <c r="C633" s="30">
        <f>(Table24[[#This Row],[Started]]-B632)/B632</f>
        <v>-1.278409090909091E-2</v>
      </c>
    </row>
    <row r="634" spans="1:3" x14ac:dyDescent="0.2">
      <c r="A634" s="9">
        <v>41000</v>
      </c>
      <c r="B634" s="10">
        <f>VLOOKUP(Table24[[#This Row],[Date]],'Database New'!$A:$D,MATCH($A$1,'Database New'!$A$1:$D$1,),)</f>
        <v>753</v>
      </c>
      <c r="C634" s="30">
        <f>(Table24[[#This Row],[Started]]-B633)/B633</f>
        <v>8.3453237410071948E-2</v>
      </c>
    </row>
    <row r="635" spans="1:3" x14ac:dyDescent="0.2">
      <c r="A635" s="9">
        <v>41030</v>
      </c>
      <c r="B635" s="10">
        <f>VLOOKUP(Table24[[#This Row],[Date]],'Database New'!$A:$D,MATCH($A$1,'Database New'!$A$1:$D$1,),)</f>
        <v>708</v>
      </c>
      <c r="C635" s="30">
        <f>(Table24[[#This Row],[Started]]-B634)/B634</f>
        <v>-5.9760956175298807E-2</v>
      </c>
    </row>
    <row r="636" spans="1:3" x14ac:dyDescent="0.2">
      <c r="A636" s="9">
        <v>41061</v>
      </c>
      <c r="B636" s="10">
        <f>VLOOKUP(Table24[[#This Row],[Date]],'Database New'!$A:$D,MATCH($A$1,'Database New'!$A$1:$D$1,),)</f>
        <v>757</v>
      </c>
      <c r="C636" s="30">
        <f>(Table24[[#This Row],[Started]]-B635)/B635</f>
        <v>6.9209039548022599E-2</v>
      </c>
    </row>
    <row r="637" spans="1:3" x14ac:dyDescent="0.2">
      <c r="A637" s="9">
        <v>41091</v>
      </c>
      <c r="B637" s="10">
        <f>VLOOKUP(Table24[[#This Row],[Date]],'Database New'!$A:$D,MATCH($A$1,'Database New'!$A$1:$D$1,),)</f>
        <v>740</v>
      </c>
      <c r="C637" s="30">
        <f>(Table24[[#This Row],[Started]]-B636)/B636</f>
        <v>-2.2457067371202115E-2</v>
      </c>
    </row>
    <row r="638" spans="1:3" x14ac:dyDescent="0.2">
      <c r="A638" s="9">
        <v>41122</v>
      </c>
      <c r="B638" s="10">
        <f>VLOOKUP(Table24[[#This Row],[Date]],'Database New'!$A:$D,MATCH($A$1,'Database New'!$A$1:$D$1,),)</f>
        <v>754</v>
      </c>
      <c r="C638" s="30">
        <f>(Table24[[#This Row],[Started]]-B637)/B637</f>
        <v>1.891891891891892E-2</v>
      </c>
    </row>
    <row r="639" spans="1:3" x14ac:dyDescent="0.2">
      <c r="A639" s="9">
        <v>41153</v>
      </c>
      <c r="B639" s="10">
        <f>VLOOKUP(Table24[[#This Row],[Date]],'Database New'!$A:$D,MATCH($A$1,'Database New'!$A$1:$D$1,),)</f>
        <v>847</v>
      </c>
      <c r="C639" s="30">
        <f>(Table24[[#This Row],[Started]]-B638)/B638</f>
        <v>0.123342175066313</v>
      </c>
    </row>
    <row r="640" spans="1:3" x14ac:dyDescent="0.2">
      <c r="A640" s="9">
        <v>41183</v>
      </c>
      <c r="B640" s="10">
        <f>VLOOKUP(Table24[[#This Row],[Date]],'Database New'!$A:$D,MATCH($A$1,'Database New'!$A$1:$D$1,),)</f>
        <v>915</v>
      </c>
      <c r="C640" s="30">
        <f>(Table24[[#This Row],[Started]]-B639)/B639</f>
        <v>8.0283353010625738E-2</v>
      </c>
    </row>
    <row r="641" spans="1:3" x14ac:dyDescent="0.2">
      <c r="A641" s="9">
        <v>41214</v>
      </c>
      <c r="B641" s="10">
        <f>VLOOKUP(Table24[[#This Row],[Date]],'Database New'!$A:$D,MATCH($A$1,'Database New'!$A$1:$D$1,),)</f>
        <v>833</v>
      </c>
      <c r="C641" s="30">
        <f>(Table24[[#This Row],[Started]]-B640)/B640</f>
        <v>-8.9617486338797819E-2</v>
      </c>
    </row>
    <row r="642" spans="1:3" x14ac:dyDescent="0.2">
      <c r="A642" s="9">
        <v>41244</v>
      </c>
      <c r="B642" s="10">
        <f>VLOOKUP(Table24[[#This Row],[Date]],'Database New'!$A:$D,MATCH($A$1,'Database New'!$A$1:$D$1,),)</f>
        <v>976</v>
      </c>
      <c r="C642" s="30">
        <f>(Table24[[#This Row],[Started]]-B641)/B641</f>
        <v>0.17166866746698681</v>
      </c>
    </row>
    <row r="643" spans="1:3" x14ac:dyDescent="0.2">
      <c r="A643" s="9">
        <v>41275</v>
      </c>
      <c r="B643" s="10">
        <f>VLOOKUP(Table24[[#This Row],[Date]],'Database New'!$A:$D,MATCH($A$1,'Database New'!$A$1:$D$1,),)</f>
        <v>888</v>
      </c>
      <c r="C643" s="30">
        <f>(Table24[[#This Row],[Started]]-B642)/B642</f>
        <v>-9.0163934426229511E-2</v>
      </c>
    </row>
    <row r="644" spans="1:3" x14ac:dyDescent="0.2">
      <c r="A644" s="9">
        <v>41306</v>
      </c>
      <c r="B644" s="10">
        <f>VLOOKUP(Table24[[#This Row],[Date]],'Database New'!$A:$D,MATCH($A$1,'Database New'!$A$1:$D$1,),)</f>
        <v>962</v>
      </c>
      <c r="C644" s="30">
        <f>(Table24[[#This Row],[Started]]-B643)/B643</f>
        <v>8.3333333333333329E-2</v>
      </c>
    </row>
    <row r="645" spans="1:3" x14ac:dyDescent="0.2">
      <c r="A645" s="9">
        <v>41334</v>
      </c>
      <c r="B645" s="10">
        <f>VLOOKUP(Table24[[#This Row],[Date]],'Database New'!$A:$D,MATCH($A$1,'Database New'!$A$1:$D$1,),)</f>
        <v>1010</v>
      </c>
      <c r="C645" s="30">
        <f>(Table24[[#This Row],[Started]]-B644)/B644</f>
        <v>4.9896049896049899E-2</v>
      </c>
    </row>
    <row r="646" spans="1:3" x14ac:dyDescent="0.2">
      <c r="A646" s="9">
        <v>41365</v>
      </c>
      <c r="B646" s="10">
        <f>VLOOKUP(Table24[[#This Row],[Date]],'Database New'!$A:$D,MATCH($A$1,'Database New'!$A$1:$D$1,),)</f>
        <v>835</v>
      </c>
      <c r="C646" s="30">
        <f>(Table24[[#This Row],[Started]]-B645)/B645</f>
        <v>-0.17326732673267325</v>
      </c>
    </row>
    <row r="647" spans="1:3" x14ac:dyDescent="0.2">
      <c r="A647" s="9">
        <v>41395</v>
      </c>
      <c r="B647" s="10">
        <f>VLOOKUP(Table24[[#This Row],[Date]],'Database New'!$A:$D,MATCH($A$1,'Database New'!$A$1:$D$1,),)</f>
        <v>930</v>
      </c>
      <c r="C647" s="30">
        <f>(Table24[[#This Row],[Started]]-B646)/B646</f>
        <v>0.11377245508982035</v>
      </c>
    </row>
    <row r="648" spans="1:3" x14ac:dyDescent="0.2">
      <c r="A648" s="9">
        <v>41426</v>
      </c>
      <c r="B648" s="10">
        <f>VLOOKUP(Table24[[#This Row],[Date]],'Database New'!$A:$D,MATCH($A$1,'Database New'!$A$1:$D$1,),)</f>
        <v>839</v>
      </c>
      <c r="C648" s="30">
        <f>(Table24[[#This Row],[Started]]-B647)/B647</f>
        <v>-9.7849462365591403E-2</v>
      </c>
    </row>
    <row r="649" spans="1:3" x14ac:dyDescent="0.2">
      <c r="A649" s="9">
        <v>41456</v>
      </c>
      <c r="B649" s="10">
        <f>VLOOKUP(Table24[[#This Row],[Date]],'Database New'!$A:$D,MATCH($A$1,'Database New'!$A$1:$D$1,),)</f>
        <v>880</v>
      </c>
      <c r="C649" s="30">
        <f>(Table24[[#This Row],[Started]]-B648)/B648</f>
        <v>4.8867699642431463E-2</v>
      </c>
    </row>
    <row r="650" spans="1:3" x14ac:dyDescent="0.2">
      <c r="A650" s="9">
        <v>41487</v>
      </c>
      <c r="B650" s="10">
        <f>VLOOKUP(Table24[[#This Row],[Date]],'Database New'!$A:$D,MATCH($A$1,'Database New'!$A$1:$D$1,),)</f>
        <v>917</v>
      </c>
      <c r="C650" s="30">
        <f>(Table24[[#This Row],[Started]]-B649)/B649</f>
        <v>4.2045454545454546E-2</v>
      </c>
    </row>
    <row r="651" spans="1:3" x14ac:dyDescent="0.2">
      <c r="A651" s="9">
        <v>41518</v>
      </c>
      <c r="B651" s="10">
        <f>VLOOKUP(Table24[[#This Row],[Date]],'Database New'!$A:$D,MATCH($A$1,'Database New'!$A$1:$D$1,),)</f>
        <v>850</v>
      </c>
      <c r="C651" s="30">
        <f>(Table24[[#This Row],[Started]]-B650)/B650</f>
        <v>-7.3064340239912762E-2</v>
      </c>
    </row>
    <row r="652" spans="1:3" x14ac:dyDescent="0.2">
      <c r="A652" s="9">
        <v>41548</v>
      </c>
      <c r="B652" s="10">
        <f>VLOOKUP(Table24[[#This Row],[Date]],'Database New'!$A:$D,MATCH($A$1,'Database New'!$A$1:$D$1,),)</f>
        <v>925</v>
      </c>
      <c r="C652" s="30">
        <f>(Table24[[#This Row],[Started]]-B651)/B651</f>
        <v>8.8235294117647065E-2</v>
      </c>
    </row>
    <row r="653" spans="1:3" x14ac:dyDescent="0.2">
      <c r="A653" s="9">
        <v>41579</v>
      </c>
      <c r="B653" s="10">
        <f>VLOOKUP(Table24[[#This Row],[Date]],'Database New'!$A:$D,MATCH($A$1,'Database New'!$A$1:$D$1,),)</f>
        <v>1100</v>
      </c>
      <c r="C653" s="30">
        <f>(Table24[[#This Row],[Started]]-B652)/B652</f>
        <v>0.1891891891891892</v>
      </c>
    </row>
    <row r="654" spans="1:3" x14ac:dyDescent="0.2">
      <c r="A654" s="9">
        <v>41609</v>
      </c>
      <c r="B654" s="10">
        <f>VLOOKUP(Table24[[#This Row],[Date]],'Database New'!$A:$D,MATCH($A$1,'Database New'!$A$1:$D$1,),)</f>
        <v>1002</v>
      </c>
      <c r="C654" s="30">
        <f>(Table24[[#This Row],[Started]]-B653)/B653</f>
        <v>-8.9090909090909096E-2</v>
      </c>
    </row>
    <row r="655" spans="1:3" x14ac:dyDescent="0.2">
      <c r="A655" s="9">
        <v>41640</v>
      </c>
      <c r="B655" s="10">
        <f>VLOOKUP(Table24[[#This Row],[Date]],'Database New'!$A:$D,MATCH($A$1,'Database New'!$A$1:$D$1,),)</f>
        <v>888</v>
      </c>
      <c r="C655" s="30">
        <f>(Table24[[#This Row],[Started]]-B654)/B654</f>
        <v>-0.11377245508982035</v>
      </c>
    </row>
    <row r="656" spans="1:3" x14ac:dyDescent="0.2">
      <c r="A656" s="9">
        <v>41671</v>
      </c>
      <c r="B656" s="10">
        <f>VLOOKUP(Table24[[#This Row],[Date]],'Database New'!$A:$D,MATCH($A$1,'Database New'!$A$1:$D$1,),)</f>
        <v>944</v>
      </c>
      <c r="C656" s="30">
        <f>(Table24[[#This Row],[Started]]-B655)/B655</f>
        <v>6.3063063063063057E-2</v>
      </c>
    </row>
    <row r="657" spans="1:3" x14ac:dyDescent="0.2">
      <c r="A657" s="9">
        <v>41699</v>
      </c>
      <c r="B657" s="10">
        <f>VLOOKUP(Table24[[#This Row],[Date]],'Database New'!$A:$D,MATCH($A$1,'Database New'!$A$1:$D$1,),)</f>
        <v>970</v>
      </c>
      <c r="C657" s="30">
        <f>(Table24[[#This Row],[Started]]-B656)/B656</f>
        <v>2.7542372881355932E-2</v>
      </c>
    </row>
    <row r="658" spans="1:3" x14ac:dyDescent="0.2">
      <c r="A658" s="9">
        <v>41730</v>
      </c>
      <c r="B658" s="10">
        <f>VLOOKUP(Table24[[#This Row],[Date]],'Database New'!$A:$D,MATCH($A$1,'Database New'!$A$1:$D$1,),)</f>
        <v>1043</v>
      </c>
      <c r="C658" s="30">
        <f>(Table24[[#This Row],[Started]]-B657)/B657</f>
        <v>7.5257731958762883E-2</v>
      </c>
    </row>
    <row r="659" spans="1:3" x14ac:dyDescent="0.2">
      <c r="A659" s="9">
        <v>41760</v>
      </c>
      <c r="B659" s="10">
        <f>VLOOKUP(Table24[[#This Row],[Date]],'Database New'!$A:$D,MATCH($A$1,'Database New'!$A$1:$D$1,),)</f>
        <v>1007</v>
      </c>
      <c r="C659" s="30">
        <f>(Table24[[#This Row],[Started]]-B658)/B658</f>
        <v>-3.451581975071908E-2</v>
      </c>
    </row>
    <row r="660" spans="1:3" x14ac:dyDescent="0.2">
      <c r="A660" s="9">
        <v>41791</v>
      </c>
      <c r="B660" s="10">
        <f>VLOOKUP(Table24[[#This Row],[Date]],'Database New'!$A:$D,MATCH($A$1,'Database New'!$A$1:$D$1,),)</f>
        <v>911</v>
      </c>
      <c r="C660" s="30">
        <f>(Table24[[#This Row],[Started]]-B659)/B659</f>
        <v>-9.5332671300893748E-2</v>
      </c>
    </row>
    <row r="661" spans="1:3" x14ac:dyDescent="0.2">
      <c r="A661" s="9">
        <v>41821</v>
      </c>
      <c r="B661" s="10">
        <f>VLOOKUP(Table24[[#This Row],[Date]],'Database New'!$A:$D,MATCH($A$1,'Database New'!$A$1:$D$1,),)</f>
        <v>1085</v>
      </c>
      <c r="C661" s="30">
        <f>(Table24[[#This Row],[Started]]-B660)/B660</f>
        <v>0.19099890230515917</v>
      </c>
    </row>
    <row r="662" spans="1:3" x14ac:dyDescent="0.2">
      <c r="A662" s="9">
        <v>41852</v>
      </c>
      <c r="B662" s="10">
        <f>VLOOKUP(Table24[[#This Row],[Date]],'Database New'!$A:$D,MATCH($A$1,'Database New'!$A$1:$D$1,),)</f>
        <v>984</v>
      </c>
      <c r="C662" s="30">
        <f>(Table24[[#This Row],[Started]]-B661)/B661</f>
        <v>-9.308755760368663E-2</v>
      </c>
    </row>
    <row r="663" spans="1:3" x14ac:dyDescent="0.2">
      <c r="A663" s="9">
        <v>41883</v>
      </c>
      <c r="B663" s="10">
        <f>VLOOKUP(Table24[[#This Row],[Date]],'Database New'!$A:$D,MATCH($A$1,'Database New'!$A$1:$D$1,),)</f>
        <v>1023</v>
      </c>
      <c r="C663" s="30">
        <f>(Table24[[#This Row],[Started]]-B662)/B662</f>
        <v>3.9634146341463415E-2</v>
      </c>
    </row>
    <row r="664" spans="1:3" x14ac:dyDescent="0.2">
      <c r="A664" s="9">
        <v>41913</v>
      </c>
      <c r="B664" s="10">
        <f>VLOOKUP(Table24[[#This Row],[Date]],'Database New'!$A:$D,MATCH($A$1,'Database New'!$A$1:$D$1,),)</f>
        <v>1074</v>
      </c>
      <c r="C664" s="30">
        <f>(Table24[[#This Row],[Started]]-B663)/B663</f>
        <v>4.9853372434017593E-2</v>
      </c>
    </row>
    <row r="665" spans="1:3" x14ac:dyDescent="0.2">
      <c r="A665" s="9">
        <v>41944</v>
      </c>
      <c r="B665" s="10">
        <f>VLOOKUP(Table24[[#This Row],[Date]],'Database New'!$A:$D,MATCH($A$1,'Database New'!$A$1:$D$1,),)</f>
        <v>1001</v>
      </c>
      <c r="C665" s="30">
        <f>(Table24[[#This Row],[Started]]-B664)/B664</f>
        <v>-6.7970204841713219E-2</v>
      </c>
    </row>
    <row r="666" spans="1:3" x14ac:dyDescent="0.2">
      <c r="A666" s="9">
        <v>41974</v>
      </c>
      <c r="B666" s="10">
        <f>VLOOKUP(Table24[[#This Row],[Date]],'Database New'!$A:$D,MATCH($A$1,'Database New'!$A$1:$D$1,),)</f>
        <v>1073</v>
      </c>
      <c r="C666" s="30">
        <f>(Table24[[#This Row],[Started]]-B665)/B665</f>
        <v>7.1928071928071935E-2</v>
      </c>
    </row>
    <row r="667" spans="1:3" x14ac:dyDescent="0.2">
      <c r="A667" s="9">
        <v>42005</v>
      </c>
      <c r="B667" s="10">
        <f>VLOOKUP(Table24[[#This Row],[Date]],'Database New'!$A:$D,MATCH($A$1,'Database New'!$A$1:$D$1,),)</f>
        <v>1085</v>
      </c>
      <c r="C667" s="30">
        <f>(Table24[[#This Row],[Started]]-B666)/B666</f>
        <v>1.1183597390493943E-2</v>
      </c>
    </row>
    <row r="668" spans="1:3" x14ac:dyDescent="0.2">
      <c r="A668" s="9">
        <v>42036</v>
      </c>
      <c r="B668" s="10">
        <f>VLOOKUP(Table24[[#This Row],[Date]],'Database New'!$A:$D,MATCH($A$1,'Database New'!$A$1:$D$1,),)</f>
        <v>886</v>
      </c>
      <c r="C668" s="30">
        <f>(Table24[[#This Row],[Started]]-B667)/B667</f>
        <v>-0.18341013824884791</v>
      </c>
    </row>
    <row r="669" spans="1:3" x14ac:dyDescent="0.2">
      <c r="A669" s="9">
        <v>42064</v>
      </c>
      <c r="B669" s="10">
        <f>VLOOKUP(Table24[[#This Row],[Date]],'Database New'!$A:$D,MATCH($A$1,'Database New'!$A$1:$D$1,),)</f>
        <v>960</v>
      </c>
      <c r="C669" s="30">
        <f>(Table24[[#This Row],[Started]]-B668)/B668</f>
        <v>8.35214446952596E-2</v>
      </c>
    </row>
    <row r="670" spans="1:3" x14ac:dyDescent="0.2">
      <c r="A670" s="9">
        <v>42095</v>
      </c>
      <c r="B670" s="10">
        <f>VLOOKUP(Table24[[#This Row],[Date]],'Database New'!$A:$D,MATCH($A$1,'Database New'!$A$1:$D$1,),)</f>
        <v>1190</v>
      </c>
      <c r="C670" s="30">
        <f>(Table24[[#This Row],[Started]]-B669)/B669</f>
        <v>0.23958333333333334</v>
      </c>
    </row>
    <row r="671" spans="1:3" x14ac:dyDescent="0.2">
      <c r="A671" s="9">
        <v>42125</v>
      </c>
      <c r="B671" s="10">
        <f>VLOOKUP(Table24[[#This Row],[Date]],'Database New'!$A:$D,MATCH($A$1,'Database New'!$A$1:$D$1,),)</f>
        <v>1079</v>
      </c>
      <c r="C671" s="30">
        <f>(Table24[[#This Row],[Started]]-B670)/B670</f>
        <v>-9.327731092436975E-2</v>
      </c>
    </row>
    <row r="672" spans="1:3" x14ac:dyDescent="0.2">
      <c r="A672" s="9">
        <v>42156</v>
      </c>
      <c r="B672" s="10">
        <f>VLOOKUP(Table24[[#This Row],[Date]],'Database New'!$A:$D,MATCH($A$1,'Database New'!$A$1:$D$1,),)</f>
        <v>1205</v>
      </c>
      <c r="C672" s="30">
        <f>(Table24[[#This Row],[Started]]-B671)/B671</f>
        <v>0.11677479147358666</v>
      </c>
    </row>
    <row r="673" spans="1:3" x14ac:dyDescent="0.2">
      <c r="A673" s="9">
        <v>42186</v>
      </c>
      <c r="B673" s="10">
        <f>VLOOKUP(Table24[[#This Row],[Date]],'Database New'!$A:$D,MATCH($A$1,'Database New'!$A$1:$D$1,),)</f>
        <v>1146</v>
      </c>
      <c r="C673" s="30">
        <f>(Table24[[#This Row],[Started]]-B672)/B672</f>
        <v>-4.8962655601659751E-2</v>
      </c>
    </row>
    <row r="674" spans="1:3" x14ac:dyDescent="0.2">
      <c r="A674" s="9">
        <v>42217</v>
      </c>
      <c r="B674" s="10">
        <f>VLOOKUP(Table24[[#This Row],[Date]],'Database New'!$A:$D,MATCH($A$1,'Database New'!$A$1:$D$1,),)</f>
        <v>1130</v>
      </c>
      <c r="C674" s="30">
        <f>(Table24[[#This Row],[Started]]-B673)/B673</f>
        <v>-1.3961605584642234E-2</v>
      </c>
    </row>
    <row r="675" spans="1:3" x14ac:dyDescent="0.2">
      <c r="A675" s="9">
        <v>42248</v>
      </c>
      <c r="B675" s="10">
        <f>VLOOKUP(Table24[[#This Row],[Date]],'Database New'!$A:$D,MATCH($A$1,'Database New'!$A$1:$D$1,),)</f>
        <v>1224</v>
      </c>
      <c r="C675" s="30">
        <f>(Table24[[#This Row],[Started]]-B674)/B674</f>
        <v>8.3185840707964601E-2</v>
      </c>
    </row>
    <row r="676" spans="1:3" x14ac:dyDescent="0.2">
      <c r="A676" s="9">
        <v>42278</v>
      </c>
      <c r="B676" s="10">
        <f>VLOOKUP(Table24[[#This Row],[Date]],'Database New'!$A:$D,MATCH($A$1,'Database New'!$A$1:$D$1,),)</f>
        <v>1058</v>
      </c>
      <c r="C676" s="30">
        <f>(Table24[[#This Row],[Started]]-B675)/B675</f>
        <v>-0.13562091503267973</v>
      </c>
    </row>
    <row r="677" spans="1:3" x14ac:dyDescent="0.2">
      <c r="A677" s="9">
        <v>42309</v>
      </c>
      <c r="B677" s="10">
        <f>VLOOKUP(Table24[[#This Row],[Date]],'Database New'!$A:$D,MATCH($A$1,'Database New'!$A$1:$D$1,),)</f>
        <v>1172</v>
      </c>
      <c r="C677" s="30">
        <f>(Table24[[#This Row],[Started]]-B676)/B676</f>
        <v>0.10775047258979206</v>
      </c>
    </row>
    <row r="678" spans="1:3" x14ac:dyDescent="0.2">
      <c r="A678" s="9">
        <v>42339</v>
      </c>
      <c r="B678" s="10">
        <f>VLOOKUP(Table24[[#This Row],[Date]],'Database New'!$A:$D,MATCH($A$1,'Database New'!$A$1:$D$1,),)</f>
        <v>1146</v>
      </c>
      <c r="C678" s="30">
        <f>(Table24[[#This Row],[Started]]-B677)/B677</f>
        <v>-2.2184300341296929E-2</v>
      </c>
    </row>
    <row r="679" spans="1:3" x14ac:dyDescent="0.2">
      <c r="A679" s="9">
        <v>42370</v>
      </c>
      <c r="B679" s="10">
        <f>VLOOKUP(Table24[[#This Row],[Date]],'Database New'!$A:$D,MATCH($A$1,'Database New'!$A$1:$D$1,),)</f>
        <v>1092</v>
      </c>
      <c r="C679" s="30">
        <f>(Table24[[#This Row],[Started]]-B678)/B678</f>
        <v>-4.712041884816754E-2</v>
      </c>
    </row>
    <row r="680" spans="1:3" x14ac:dyDescent="0.2">
      <c r="A680" s="9">
        <v>42401</v>
      </c>
      <c r="B680" s="10">
        <f>VLOOKUP(Table24[[#This Row],[Date]],'Database New'!$A:$D,MATCH($A$1,'Database New'!$A$1:$D$1,),)</f>
        <v>1225</v>
      </c>
      <c r="C680" s="30">
        <f>(Table24[[#This Row],[Started]]-B679)/B679</f>
        <v>0.12179487179487179</v>
      </c>
    </row>
    <row r="681" spans="1:3" x14ac:dyDescent="0.2">
      <c r="A681" s="9">
        <v>42430</v>
      </c>
      <c r="B681" s="10">
        <f>VLOOKUP(Table24[[#This Row],[Date]],'Database New'!$A:$D,MATCH($A$1,'Database New'!$A$1:$D$1,),)</f>
        <v>1111</v>
      </c>
      <c r="C681" s="30">
        <f>(Table24[[#This Row],[Started]]-B680)/B680</f>
        <v>-9.3061224489795924E-2</v>
      </c>
    </row>
    <row r="682" spans="1:3" x14ac:dyDescent="0.2">
      <c r="A682" s="9">
        <v>42461</v>
      </c>
      <c r="B682" s="10">
        <f>VLOOKUP(Table24[[#This Row],[Date]],'Database New'!$A:$D,MATCH($A$1,'Database New'!$A$1:$D$1,),)</f>
        <v>1163</v>
      </c>
      <c r="C682" s="30">
        <f>(Table24[[#This Row],[Started]]-B681)/B681</f>
        <v>4.6804680468046804E-2</v>
      </c>
    </row>
    <row r="683" spans="1:3" x14ac:dyDescent="0.2">
      <c r="A683" s="9">
        <v>42491</v>
      </c>
      <c r="B683" s="10">
        <f>VLOOKUP(Table24[[#This Row],[Date]],'Database New'!$A:$D,MATCH($A$1,'Database New'!$A$1:$D$1,),)</f>
        <v>1148</v>
      </c>
      <c r="C683" s="30">
        <f>(Table24[[#This Row],[Started]]-B682)/B682</f>
        <v>-1.2897678417884782E-2</v>
      </c>
    </row>
    <row r="684" spans="1:3" x14ac:dyDescent="0.2">
      <c r="A684" s="9">
        <v>42522</v>
      </c>
      <c r="B684" s="10">
        <f>VLOOKUP(Table24[[#This Row],[Date]],'Database New'!$A:$D,MATCH($A$1,'Database New'!$A$1:$D$1,),)</f>
        <v>1203</v>
      </c>
      <c r="C684" s="30">
        <f>(Table24[[#This Row],[Started]]-B683)/B683</f>
        <v>4.7909407665505228E-2</v>
      </c>
    </row>
    <row r="685" spans="1:3" x14ac:dyDescent="0.2">
      <c r="A685" s="9">
        <v>42552</v>
      </c>
      <c r="B685" s="10">
        <f>VLOOKUP(Table24[[#This Row],[Date]],'Database New'!$A:$D,MATCH($A$1,'Database New'!$A$1:$D$1,),)</f>
        <v>1239</v>
      </c>
      <c r="C685" s="30">
        <f>(Table24[[#This Row],[Started]]-B684)/B684</f>
        <v>2.9925187032418952E-2</v>
      </c>
    </row>
    <row r="686" spans="1:3" x14ac:dyDescent="0.2">
      <c r="A686" s="9">
        <v>42583</v>
      </c>
      <c r="B686" s="10">
        <f>VLOOKUP(Table24[[#This Row],[Date]],'Database New'!$A:$D,MATCH($A$1,'Database New'!$A$1:$D$1,),)</f>
        <v>1171</v>
      </c>
      <c r="C686" s="30">
        <f>(Table24[[#This Row],[Started]]-B685)/B685</f>
        <v>-5.4882970137207422E-2</v>
      </c>
    </row>
    <row r="687" spans="1:3" x14ac:dyDescent="0.2">
      <c r="A687" s="9">
        <v>42614</v>
      </c>
      <c r="B687" s="10">
        <f>VLOOKUP(Table24[[#This Row],[Date]],'Database New'!$A:$D,MATCH($A$1,'Database New'!$A$1:$D$1,),)</f>
        <v>1068</v>
      </c>
      <c r="C687" s="30">
        <f>(Table24[[#This Row],[Started]]-B686)/B686</f>
        <v>-8.7959009393680621E-2</v>
      </c>
    </row>
    <row r="688" spans="1:3" x14ac:dyDescent="0.2">
      <c r="A688" s="9">
        <v>42644</v>
      </c>
      <c r="B688" s="10">
        <f>VLOOKUP(Table24[[#This Row],[Date]],'Database New'!$A:$D,MATCH($A$1,'Database New'!$A$1:$D$1,),)</f>
        <v>1313</v>
      </c>
      <c r="C688" s="30">
        <f>(Table24[[#This Row],[Started]]-B687)/B687</f>
        <v>0.22940074906367042</v>
      </c>
    </row>
    <row r="689" spans="1:3" x14ac:dyDescent="0.2">
      <c r="A689" s="9">
        <v>42675</v>
      </c>
      <c r="B689" s="10">
        <f>VLOOKUP(Table24[[#This Row],[Date]],'Database New'!$A:$D,MATCH($A$1,'Database New'!$A$1:$D$1,),)</f>
        <v>1140</v>
      </c>
      <c r="C689" s="30">
        <f>(Table24[[#This Row],[Started]]-B688)/B688</f>
        <v>-0.13175932977913177</v>
      </c>
    </row>
    <row r="690" spans="1:3" x14ac:dyDescent="0.2">
      <c r="A690" s="9">
        <v>42705</v>
      </c>
      <c r="B690" s="10">
        <f>VLOOKUP(Table24[[#This Row],[Date]],'Database New'!$A:$D,MATCH($A$1,'Database New'!$A$1:$D$1,),)</f>
        <v>1252</v>
      </c>
      <c r="C690" s="30">
        <f>(Table24[[#This Row],[Started]]-B689)/B689</f>
        <v>9.8245614035087719E-2</v>
      </c>
    </row>
    <row r="691" spans="1:3" x14ac:dyDescent="0.2">
      <c r="A691" s="9">
        <v>42736</v>
      </c>
      <c r="B691" s="10">
        <f>VLOOKUP(Table24[[#This Row],[Date]],'Database New'!$A:$D,MATCH($A$1,'Database New'!$A$1:$D$1,),)</f>
        <v>1193</v>
      </c>
      <c r="C691" s="30">
        <f>(Table24[[#This Row],[Started]]-B690)/B690</f>
        <v>-4.7124600638977637E-2</v>
      </c>
    </row>
    <row r="692" spans="1:3" x14ac:dyDescent="0.2">
      <c r="A692" s="9">
        <v>42767</v>
      </c>
      <c r="B692" s="10">
        <f>VLOOKUP(Table24[[#This Row],[Date]],'Database New'!$A:$D,MATCH($A$1,'Database New'!$A$1:$D$1,),)</f>
        <v>1281</v>
      </c>
      <c r="C692" s="30">
        <f>(Table24[[#This Row],[Started]]-B691)/B691</f>
        <v>7.376362112321877E-2</v>
      </c>
    </row>
    <row r="693" spans="1:3" x14ac:dyDescent="0.2">
      <c r="A693" s="9">
        <v>42795</v>
      </c>
      <c r="B693" s="10">
        <f>VLOOKUP(Table24[[#This Row],[Date]],'Database New'!$A:$D,MATCH($A$1,'Database New'!$A$1:$D$1,),)</f>
        <v>1190</v>
      </c>
      <c r="C693" s="30">
        <f>(Table24[[#This Row],[Started]]-B692)/B692</f>
        <v>-7.1038251366120214E-2</v>
      </c>
    </row>
    <row r="694" spans="1:3" x14ac:dyDescent="0.2">
      <c r="A694" s="9">
        <v>42826</v>
      </c>
      <c r="B694" s="10">
        <f>VLOOKUP(Table24[[#This Row],[Date]],'Database New'!$A:$D,MATCH($A$1,'Database New'!$A$1:$D$1,),)</f>
        <v>1145</v>
      </c>
      <c r="C694" s="30">
        <f>(Table24[[#This Row],[Started]]-B693)/B693</f>
        <v>-3.7815126050420166E-2</v>
      </c>
    </row>
    <row r="695" spans="1:3" x14ac:dyDescent="0.2">
      <c r="A695" s="9">
        <v>42856</v>
      </c>
      <c r="B695" s="10">
        <f>VLOOKUP(Table24[[#This Row],[Date]],'Database New'!$A:$D,MATCH($A$1,'Database New'!$A$1:$D$1,),)</f>
        <v>1160</v>
      </c>
      <c r="C695" s="30">
        <f>(Table24[[#This Row],[Started]]-B694)/B694</f>
        <v>1.3100436681222707E-2</v>
      </c>
    </row>
    <row r="696" spans="1:3" x14ac:dyDescent="0.2">
      <c r="A696" s="9">
        <v>42887</v>
      </c>
      <c r="B696" s="10">
        <f>VLOOKUP(Table24[[#This Row],[Date]],'Database New'!$A:$D,MATCH($A$1,'Database New'!$A$1:$D$1,),)</f>
        <v>1247</v>
      </c>
      <c r="C696" s="30">
        <f>(Table24[[#This Row],[Started]]-B695)/B695</f>
        <v>7.4999999999999997E-2</v>
      </c>
    </row>
    <row r="697" spans="1:3" x14ac:dyDescent="0.2">
      <c r="A697" s="9">
        <v>42917</v>
      </c>
      <c r="B697" s="10">
        <f>VLOOKUP(Table24[[#This Row],[Date]],'Database New'!$A:$D,MATCH($A$1,'Database New'!$A$1:$D$1,),)</f>
        <v>1202</v>
      </c>
      <c r="C697" s="30">
        <f>(Table24[[#This Row],[Started]]-B696)/B696</f>
        <v>-3.6086607858861267E-2</v>
      </c>
    </row>
    <row r="698" spans="1:3" x14ac:dyDescent="0.2">
      <c r="A698" s="9">
        <v>42948</v>
      </c>
      <c r="B698" s="10">
        <f>VLOOKUP(Table24[[#This Row],[Date]],'Database New'!$A:$D,MATCH($A$1,'Database New'!$A$1:$D$1,),)</f>
        <v>1159</v>
      </c>
      <c r="C698" s="30">
        <f>(Table24[[#This Row],[Started]]-B697)/B697</f>
        <v>-3.5773710482529121E-2</v>
      </c>
    </row>
    <row r="699" spans="1:3" x14ac:dyDescent="0.2">
      <c r="A699" s="9">
        <v>42979</v>
      </c>
      <c r="B699" s="10">
        <f>VLOOKUP(Table24[[#This Row],[Date]],'Database New'!$A:$D,MATCH($A$1,'Database New'!$A$1:$D$1,),)</f>
        <v>1175</v>
      </c>
      <c r="C699" s="30">
        <f>(Table24[[#This Row],[Started]]-B698)/B698</f>
        <v>1.3805004314063849E-2</v>
      </c>
    </row>
    <row r="700" spans="1:3" x14ac:dyDescent="0.2">
      <c r="A700" s="9">
        <v>43009</v>
      </c>
      <c r="B700" s="10">
        <f>VLOOKUP(Table24[[#This Row],[Date]],'Database New'!$A:$D,MATCH($A$1,'Database New'!$A$1:$D$1,),)</f>
        <v>1248</v>
      </c>
      <c r="C700" s="30">
        <f>(Table24[[#This Row],[Started]]-B699)/B699</f>
        <v>6.2127659574468086E-2</v>
      </c>
    </row>
    <row r="701" spans="1:3" x14ac:dyDescent="0.2">
      <c r="A701" s="9">
        <v>43040</v>
      </c>
      <c r="B701" s="10">
        <f>VLOOKUP(Table24[[#This Row],[Date]],'Database New'!$A:$D,MATCH($A$1,'Database New'!$A$1:$D$1,),)</f>
        <v>1278</v>
      </c>
      <c r="C701" s="30">
        <f>(Table24[[#This Row],[Started]]-B700)/B700</f>
        <v>2.403846153846154E-2</v>
      </c>
    </row>
    <row r="702" spans="1:3" x14ac:dyDescent="0.2">
      <c r="A702" s="9">
        <v>43070</v>
      </c>
      <c r="B702" s="10">
        <f>VLOOKUP(Table24[[#This Row],[Date]],'Database New'!$A:$D,MATCH($A$1,'Database New'!$A$1:$D$1,),)</f>
        <v>1182</v>
      </c>
      <c r="C702" s="30">
        <f>(Table24[[#This Row],[Started]]-B701)/B701</f>
        <v>-7.5117370892018781E-2</v>
      </c>
    </row>
    <row r="703" spans="1:3" x14ac:dyDescent="0.2">
      <c r="A703" s="9">
        <v>43101</v>
      </c>
      <c r="B703" s="10">
        <f>VLOOKUP(Table24[[#This Row],[Date]],'Database New'!$A:$D,MATCH($A$1,'Database New'!$A$1:$D$1,),)</f>
        <v>1309</v>
      </c>
      <c r="C703" s="30">
        <f>(Table24[[#This Row],[Started]]-B702)/B702</f>
        <v>0.10744500846023688</v>
      </c>
    </row>
    <row r="704" spans="1:3" x14ac:dyDescent="0.2">
      <c r="A704" s="9">
        <v>43132</v>
      </c>
      <c r="B704" s="10">
        <f>VLOOKUP(Table24[[#This Row],[Date]],'Database New'!$A:$D,MATCH($A$1,'Database New'!$A$1:$D$1,),)</f>
        <v>1289</v>
      </c>
      <c r="C704" s="30">
        <f>(Table24[[#This Row],[Started]]-B703)/B703</f>
        <v>-1.5278838808250574E-2</v>
      </c>
    </row>
    <row r="705" spans="1:3" x14ac:dyDescent="0.2">
      <c r="A705" s="9">
        <v>43160</v>
      </c>
      <c r="B705" s="10">
        <f>VLOOKUP(Table24[[#This Row],[Date]],'Database New'!$A:$D,MATCH($A$1,'Database New'!$A$1:$D$1,),)</f>
        <v>1327</v>
      </c>
      <c r="C705" s="30">
        <f>(Table24[[#This Row],[Started]]-B704)/B704</f>
        <v>2.9480217222653218E-2</v>
      </c>
    </row>
    <row r="706" spans="1:3" x14ac:dyDescent="0.2">
      <c r="A706" s="9">
        <v>43191</v>
      </c>
      <c r="B706" s="10">
        <f>VLOOKUP(Table24[[#This Row],[Date]],'Database New'!$A:$D,MATCH($A$1,'Database New'!$A$1:$D$1,),)</f>
        <v>1285</v>
      </c>
      <c r="C706" s="30">
        <f>(Table24[[#This Row],[Started]]-B705)/B705</f>
        <v>-3.1650339110776186E-2</v>
      </c>
    </row>
    <row r="707" spans="1:3" x14ac:dyDescent="0.2">
      <c r="A707" s="9">
        <v>43221</v>
      </c>
      <c r="B707" s="10">
        <f>VLOOKUP(Table24[[#This Row],[Date]],'Database New'!$A:$D,MATCH($A$1,'Database New'!$A$1:$D$1,),)</f>
        <v>1354</v>
      </c>
      <c r="C707" s="30">
        <f>(Table24[[#This Row],[Started]]-B706)/B706</f>
        <v>5.3696498054474705E-2</v>
      </c>
    </row>
    <row r="708" spans="1:3" x14ac:dyDescent="0.2">
      <c r="A708" s="9">
        <v>43252</v>
      </c>
      <c r="B708" s="10">
        <f>VLOOKUP(Table24[[#This Row],[Date]],'Database New'!$A:$D,MATCH($A$1,'Database New'!$A$1:$D$1,),)</f>
        <v>1199</v>
      </c>
      <c r="C708" s="30">
        <f>(Table24[[#This Row],[Started]]-B707)/B707</f>
        <v>-0.11447562776957164</v>
      </c>
    </row>
    <row r="709" spans="1:3" x14ac:dyDescent="0.2">
      <c r="A709" s="9">
        <v>43282</v>
      </c>
      <c r="B709" s="10">
        <f>VLOOKUP(Table24[[#This Row],[Date]],'Database New'!$A:$D,MATCH($A$1,'Database New'!$A$1:$D$1,),)</f>
        <v>1193</v>
      </c>
      <c r="C709" s="30">
        <f>(Table24[[#This Row],[Started]]-B708)/B708</f>
        <v>-5.0041701417848205E-3</v>
      </c>
    </row>
    <row r="710" spans="1:3" x14ac:dyDescent="0.2">
      <c r="A710" s="9">
        <v>43313</v>
      </c>
      <c r="B710" s="10">
        <f>VLOOKUP(Table24[[#This Row],[Date]],'Database New'!$A:$D,MATCH($A$1,'Database New'!$A$1:$D$1,),)</f>
        <v>1288</v>
      </c>
      <c r="C710" s="30">
        <f>(Table24[[#This Row],[Started]]-B709)/B709</f>
        <v>7.9631181894383909E-2</v>
      </c>
    </row>
    <row r="711" spans="1:3" x14ac:dyDescent="0.2">
      <c r="A711" s="9">
        <v>43344</v>
      </c>
      <c r="B711" s="10">
        <f>VLOOKUP(Table24[[#This Row],[Date]],'Database New'!$A:$D,MATCH($A$1,'Database New'!$A$1:$D$1,),)</f>
        <v>1238</v>
      </c>
      <c r="C711" s="30">
        <f>(Table24[[#This Row],[Started]]-B710)/B710</f>
        <v>-3.8819875776397512E-2</v>
      </c>
    </row>
    <row r="712" spans="1:3" x14ac:dyDescent="0.2">
      <c r="A712" s="9">
        <v>43374</v>
      </c>
      <c r="B712" s="10">
        <f>VLOOKUP(Table24[[#This Row],[Date]],'Database New'!$A:$D,MATCH($A$1,'Database New'!$A$1:$D$1,),)</f>
        <v>1208</v>
      </c>
      <c r="C712" s="30">
        <f>(Table24[[#This Row],[Started]]-B711)/B711</f>
        <v>-2.4232633279483037E-2</v>
      </c>
    </row>
    <row r="713" spans="1:3" x14ac:dyDescent="0.2">
      <c r="A713" s="9">
        <v>43405</v>
      </c>
      <c r="B713" s="10">
        <f>VLOOKUP(Table24[[#This Row],[Date]],'Database New'!$A:$D,MATCH($A$1,'Database New'!$A$1:$D$1,),)</f>
        <v>1183</v>
      </c>
      <c r="C713" s="30">
        <f>(Table24[[#This Row],[Started]]-B712)/B712</f>
        <v>-2.0695364238410598E-2</v>
      </c>
    </row>
    <row r="714" spans="1:3" x14ac:dyDescent="0.2">
      <c r="A714" s="9">
        <v>43435</v>
      </c>
      <c r="B714" s="10">
        <f>VLOOKUP(Table24[[#This Row],[Date]],'Database New'!$A:$D,MATCH($A$1,'Database New'!$A$1:$D$1,),)</f>
        <v>1095</v>
      </c>
      <c r="C714" s="30">
        <f>(Table24[[#This Row],[Started]]-B713)/B713</f>
        <v>-7.4387151310228231E-2</v>
      </c>
    </row>
    <row r="715" spans="1:3" x14ac:dyDescent="0.2">
      <c r="A715" s="9">
        <v>43466</v>
      </c>
      <c r="B715" s="10">
        <f>VLOOKUP(Table24[[#This Row],[Date]],'Database New'!$A:$D,MATCH($A$1,'Database New'!$A$1:$D$1,),)</f>
        <v>1244</v>
      </c>
      <c r="C715" s="30">
        <f>(Table24[[#This Row],[Started]]-B714)/B714</f>
        <v>0.13607305936073058</v>
      </c>
    </row>
    <row r="716" spans="1:3" x14ac:dyDescent="0.2">
      <c r="A716" s="9">
        <v>43497</v>
      </c>
      <c r="B716" s="10">
        <f>VLOOKUP(Table24[[#This Row],[Date]],'Database New'!$A:$D,MATCH($A$1,'Database New'!$A$1:$D$1,),)</f>
        <v>1142</v>
      </c>
      <c r="C716" s="30">
        <f>(Table24[[#This Row],[Started]]-B715)/B715</f>
        <v>-8.1993569131832797E-2</v>
      </c>
    </row>
    <row r="717" spans="1:3" x14ac:dyDescent="0.2">
      <c r="A717" s="9">
        <v>43525</v>
      </c>
      <c r="B717" s="10">
        <f>VLOOKUP(Table24[[#This Row],[Date]],'Database New'!$A:$D,MATCH($A$1,'Database New'!$A$1:$D$1,),)</f>
        <v>1203</v>
      </c>
      <c r="C717" s="30">
        <f>(Table24[[#This Row],[Started]]-B716)/B716</f>
        <v>5.3415061295971976E-2</v>
      </c>
    </row>
    <row r="718" spans="1:3" x14ac:dyDescent="0.2">
      <c r="A718" s="9">
        <v>43556</v>
      </c>
      <c r="B718" s="10">
        <f>VLOOKUP(Table24[[#This Row],[Date]],'Database New'!$A:$D,MATCH($A$1,'Database New'!$A$1:$D$1,),)</f>
        <v>1282</v>
      </c>
      <c r="C718" s="30">
        <f>(Table24[[#This Row],[Started]]-B717)/B717</f>
        <v>6.5669160432252696E-2</v>
      </c>
    </row>
    <row r="719" spans="1:3" x14ac:dyDescent="0.2">
      <c r="A719" s="9">
        <v>43586</v>
      </c>
      <c r="B719" s="10">
        <f>VLOOKUP(Table24[[#This Row],[Date]],'Database New'!$A:$D,MATCH($A$1,'Database New'!$A$1:$D$1,),)</f>
        <v>1303</v>
      </c>
      <c r="C719" s="30">
        <f>(Table24[[#This Row],[Started]]-B718)/B718</f>
        <v>1.6380655226209049E-2</v>
      </c>
    </row>
    <row r="720" spans="1:3" x14ac:dyDescent="0.2">
      <c r="A720" s="9">
        <v>43617</v>
      </c>
      <c r="B720" s="10">
        <f>VLOOKUP(Table24[[#This Row],[Date]],'Database New'!$A:$D,MATCH($A$1,'Database New'!$A$1:$D$1,),)</f>
        <v>1237</v>
      </c>
      <c r="C720" s="30">
        <f>(Table24[[#This Row],[Started]]-B719)/B719</f>
        <v>-5.0652340752110517E-2</v>
      </c>
    </row>
    <row r="721" spans="1:3" x14ac:dyDescent="0.2">
      <c r="A721" s="9">
        <v>43647</v>
      </c>
      <c r="B721" s="10">
        <f>VLOOKUP(Table24[[#This Row],[Date]],'Database New'!$A:$D,MATCH($A$1,'Database New'!$A$1:$D$1,),)</f>
        <v>1224</v>
      </c>
      <c r="C721" s="30">
        <f>(Table24[[#This Row],[Started]]-B720)/B720</f>
        <v>-1.0509296685529508E-2</v>
      </c>
    </row>
    <row r="722" spans="1:3" x14ac:dyDescent="0.2">
      <c r="A722" s="9">
        <v>43678</v>
      </c>
      <c r="B722" s="10">
        <f>VLOOKUP(Table24[[#This Row],[Date]],'Database New'!$A:$D,MATCH($A$1,'Database New'!$A$1:$D$1,),)</f>
        <v>1371</v>
      </c>
      <c r="C722" s="30">
        <f>(Table24[[#This Row],[Started]]-B721)/B721</f>
        <v>0.12009803921568628</v>
      </c>
    </row>
    <row r="723" spans="1:3" x14ac:dyDescent="0.2">
      <c r="A723" s="9">
        <v>43709</v>
      </c>
      <c r="B723" s="10">
        <f>VLOOKUP(Table24[[#This Row],[Date]],'Database New'!$A:$D,MATCH($A$1,'Database New'!$A$1:$D$1,),)</f>
        <v>1285</v>
      </c>
      <c r="C723" s="30">
        <f>(Table24[[#This Row],[Started]]-B722)/B722</f>
        <v>-6.2727935813274988E-2</v>
      </c>
    </row>
    <row r="724" spans="1:3" x14ac:dyDescent="0.2">
      <c r="A724" s="9">
        <v>43739</v>
      </c>
      <c r="B724" s="10">
        <f>VLOOKUP(Table24[[#This Row],[Date]],'Database New'!$A:$D,MATCH($A$1,'Database New'!$A$1:$D$1,),)</f>
        <v>1318</v>
      </c>
      <c r="C724" s="30">
        <f>(Table24[[#This Row],[Started]]-B723)/B723</f>
        <v>2.5680933852140077E-2</v>
      </c>
    </row>
    <row r="725" spans="1:3" x14ac:dyDescent="0.2">
      <c r="A725" s="9">
        <v>43770</v>
      </c>
      <c r="B725" s="10">
        <f>VLOOKUP(Table24[[#This Row],[Date]],'Database New'!$A:$D,MATCH($A$1,'Database New'!$A$1:$D$1,),)</f>
        <v>1350</v>
      </c>
      <c r="C725" s="30">
        <f>(Table24[[#This Row],[Started]]-B724)/B724</f>
        <v>2.4279210925644917E-2</v>
      </c>
    </row>
    <row r="726" spans="1:3" x14ac:dyDescent="0.2">
      <c r="A726" s="9">
        <v>43800</v>
      </c>
      <c r="B726" s="10">
        <f>VLOOKUP(Table24[[#This Row],[Date]],'Database New'!$A:$D,MATCH($A$1,'Database New'!$A$1:$D$1,),)</f>
        <v>1547</v>
      </c>
      <c r="C726" s="30">
        <f>(Table24[[#This Row],[Started]]-B725)/B725</f>
        <v>0.14592592592592593</v>
      </c>
    </row>
    <row r="727" spans="1:3" x14ac:dyDescent="0.2">
      <c r="A727" s="9">
        <v>43831</v>
      </c>
      <c r="B727" s="10">
        <f>VLOOKUP(Table24[[#This Row],[Date]],'Database New'!$A:$D,MATCH($A$1,'Database New'!$A$1:$D$1,),)</f>
        <v>1589</v>
      </c>
      <c r="C727" s="30">
        <f>(Table24[[#This Row],[Started]]-B726)/B726</f>
        <v>2.7149321266968326E-2</v>
      </c>
    </row>
    <row r="728" spans="1:3" x14ac:dyDescent="0.2">
      <c r="A728" s="9">
        <v>43862</v>
      </c>
      <c r="B728" s="10">
        <f>VLOOKUP(Table24[[#This Row],[Date]],'Database New'!$A:$D,MATCH($A$1,'Database New'!$A$1:$D$1,),)</f>
        <v>1589</v>
      </c>
      <c r="C728" s="30">
        <f>(Table24[[#This Row],[Started]]-B727)/B727</f>
        <v>0</v>
      </c>
    </row>
    <row r="729" spans="1:3" x14ac:dyDescent="0.2">
      <c r="A729" s="9">
        <v>43891</v>
      </c>
      <c r="B729" s="10">
        <f>VLOOKUP(Table24[[#This Row],[Date]],'Database New'!$A:$D,MATCH($A$1,'Database New'!$A$1:$D$1,),)</f>
        <v>1277</v>
      </c>
      <c r="C729" s="30">
        <f>(Table24[[#This Row],[Started]]-B728)/B728</f>
        <v>-0.19634990560100693</v>
      </c>
    </row>
    <row r="730" spans="1:3" x14ac:dyDescent="0.2">
      <c r="A730" s="9">
        <v>43922</v>
      </c>
      <c r="B730" s="10">
        <f>VLOOKUP(Table24[[#This Row],[Date]],'Database New'!$A:$D,MATCH($A$1,'Database New'!$A$1:$D$1,),)</f>
        <v>938</v>
      </c>
      <c r="C730" s="30">
        <f>(Table24[[#This Row],[Started]]-B729)/B729</f>
        <v>-0.26546593578700078</v>
      </c>
    </row>
    <row r="731" spans="1:3" x14ac:dyDescent="0.2">
      <c r="A731" s="9">
        <v>43952</v>
      </c>
      <c r="B731" s="10">
        <f>VLOOKUP(Table24[[#This Row],[Date]],'Database New'!$A:$D,MATCH($A$1,'Database New'!$A$1:$D$1,),)</f>
        <v>1046</v>
      </c>
      <c r="C731" s="30">
        <f>(Table24[[#This Row],[Started]]-B730)/B730</f>
        <v>0.11513859275053305</v>
      </c>
    </row>
    <row r="732" spans="1:3" x14ac:dyDescent="0.2">
      <c r="A732" s="9">
        <v>43983</v>
      </c>
      <c r="B732" s="10">
        <f>VLOOKUP(Table24[[#This Row],[Date]],'Database New'!$A:$D,MATCH($A$1,'Database New'!$A$1:$D$1,),)</f>
        <v>1273</v>
      </c>
      <c r="C732" s="30">
        <f>(Table24[[#This Row],[Started]]-B731)/B731</f>
        <v>0.2170172084130019</v>
      </c>
    </row>
    <row r="733" spans="1:3" x14ac:dyDescent="0.2">
      <c r="A733" s="9">
        <v>44013</v>
      </c>
      <c r="B733" s="10">
        <f>VLOOKUP(Table24[[#This Row],[Date]],'Database New'!$A:$D,MATCH($A$1,'Database New'!$A$1:$D$1,),)</f>
        <v>1497</v>
      </c>
      <c r="C733" s="30">
        <f>(Table24[[#This Row],[Started]]-B732)/B732</f>
        <v>0.17596229379418696</v>
      </c>
    </row>
    <row r="734" spans="1:3" x14ac:dyDescent="0.2">
      <c r="A734" s="9">
        <v>44044</v>
      </c>
      <c r="B734" s="10">
        <f>VLOOKUP(Table24[[#This Row],[Date]],'Database New'!$A:$D,MATCH($A$1,'Database New'!$A$1:$D$1,),)</f>
        <v>1376</v>
      </c>
      <c r="C734" s="30">
        <f>(Table24[[#This Row],[Started]]-B733)/B733</f>
        <v>-8.082832331329326E-2</v>
      </c>
    </row>
    <row r="735" spans="1:3" x14ac:dyDescent="0.2">
      <c r="A735" s="9">
        <v>44075</v>
      </c>
      <c r="B735" s="10">
        <f>VLOOKUP(Table24[[#This Row],[Date]],'Database New'!$A:$D,MATCH($A$1,'Database New'!$A$1:$D$1,),)</f>
        <v>1448</v>
      </c>
      <c r="C735" s="30">
        <f>(Table24[[#This Row],[Started]]-B734)/B734</f>
        <v>5.232558139534884E-2</v>
      </c>
    </row>
    <row r="736" spans="1:3" x14ac:dyDescent="0.2">
      <c r="A736" s="9">
        <v>44105</v>
      </c>
      <c r="B736" s="10">
        <f>VLOOKUP(Table24[[#This Row],[Date]],'Database New'!$A:$D,MATCH($A$1,'Database New'!$A$1:$D$1,),)</f>
        <v>1514</v>
      </c>
      <c r="C736" s="30">
        <f>(Table24[[#This Row],[Started]]-B735)/B735</f>
        <v>4.5580110497237571E-2</v>
      </c>
    </row>
    <row r="737" spans="1:3" x14ac:dyDescent="0.2">
      <c r="A737" s="9">
        <v>44136</v>
      </c>
      <c r="B737" s="10">
        <f>VLOOKUP(Table24[[#This Row],[Date]],'Database New'!$A:$D,MATCH($A$1,'Database New'!$A$1:$D$1,),)</f>
        <v>1551</v>
      </c>
      <c r="C737" s="30">
        <f>(Table24[[#This Row],[Started]]-B736)/B736</f>
        <v>2.4438573315719948E-2</v>
      </c>
    </row>
    <row r="738" spans="1:3" x14ac:dyDescent="0.2">
      <c r="A738" s="9">
        <v>44166</v>
      </c>
      <c r="B738" s="10">
        <f>VLOOKUP(Table24[[#This Row],[Date]],'Database New'!$A:$D,MATCH($A$1,'Database New'!$A$1:$D$1,),)</f>
        <v>1661</v>
      </c>
      <c r="C738" s="30">
        <f>(Table24[[#This Row],[Started]]-B737)/B737</f>
        <v>7.0921985815602842E-2</v>
      </c>
    </row>
    <row r="739" spans="1:3" x14ac:dyDescent="0.2">
      <c r="A739" s="9">
        <v>44197</v>
      </c>
      <c r="B739" s="10">
        <f>VLOOKUP(Table24[[#This Row],[Date]],'Database New'!$A:$D,MATCH($A$1,'Database New'!$A$1:$D$1,),)</f>
        <v>1625</v>
      </c>
      <c r="C739" s="30">
        <f>(Table24[[#This Row],[Started]]-B738)/B738</f>
        <v>-2.1673690547862733E-2</v>
      </c>
    </row>
    <row r="740" spans="1:3" x14ac:dyDescent="0.2">
      <c r="A740" s="9">
        <v>44228</v>
      </c>
      <c r="B740" s="10">
        <f>VLOOKUP(Table24[[#This Row],[Date]],'Database New'!$A:$D,MATCH($A$1,'Database New'!$A$1:$D$1,),)</f>
        <v>1447</v>
      </c>
      <c r="C740" s="30">
        <f>(Table24[[#This Row],[Started]]-B739)/B739</f>
        <v>-0.10953846153846154</v>
      </c>
    </row>
    <row r="741" spans="1:3" x14ac:dyDescent="0.2">
      <c r="A741" s="9">
        <v>44256</v>
      </c>
      <c r="B741" s="10">
        <f>VLOOKUP(Table24[[#This Row],[Date]],'Database New'!$A:$D,MATCH($A$1,'Database New'!$A$1:$D$1,),)</f>
        <v>1725</v>
      </c>
      <c r="C741" s="30">
        <f>(Table24[[#This Row],[Started]]-B740)/B740</f>
        <v>0.19212163096060816</v>
      </c>
    </row>
    <row r="742" spans="1:3" x14ac:dyDescent="0.2">
      <c r="A742" s="9">
        <v>44287</v>
      </c>
      <c r="B742" s="10">
        <f>VLOOKUP(Table24[[#This Row],[Date]],'Database New'!$A:$D,MATCH($A$1,'Database New'!$A$1:$D$1,),)</f>
        <v>1514</v>
      </c>
      <c r="C742" s="30">
        <f>(Table24[[#This Row],[Started]]-B741)/B741</f>
        <v>-0.12231884057971014</v>
      </c>
    </row>
    <row r="743" spans="1:3" x14ac:dyDescent="0.2">
      <c r="A743" s="9">
        <v>44317</v>
      </c>
      <c r="B743" s="10">
        <f>VLOOKUP(Table24[[#This Row],[Date]],'Database New'!$A:$D,MATCH($A$1,'Database New'!$A$1:$D$1,),)</f>
        <v>1594</v>
      </c>
      <c r="C743" s="30">
        <f>(Table24[[#This Row],[Started]]-B742)/B742</f>
        <v>5.2840158520475564E-2</v>
      </c>
    </row>
    <row r="744" spans="1:3" x14ac:dyDescent="0.2">
      <c r="A744" s="9">
        <v>44348</v>
      </c>
      <c r="B744" s="10">
        <f>VLOOKUP(Table24[[#This Row],[Date]],'Database New'!$A:$D,MATCH($A$1,'Database New'!$A$1:$D$1,),)</f>
        <v>1657</v>
      </c>
      <c r="C744" s="30">
        <f>(Table24[[#This Row],[Started]]-B743)/B743</f>
        <v>3.9523212045169384E-2</v>
      </c>
    </row>
    <row r="745" spans="1:3" x14ac:dyDescent="0.2">
      <c r="A745" s="9">
        <v>44378</v>
      </c>
      <c r="B745" s="10">
        <f>VLOOKUP(Table24[[#This Row],[Date]],'Database New'!$A:$D,MATCH($A$1,'Database New'!$A$1:$D$1,),)</f>
        <v>1562</v>
      </c>
      <c r="C745" s="30">
        <f>(Table24[[#This Row],[Started]]-B744)/B744</f>
        <v>-5.7332528666264336E-2</v>
      </c>
    </row>
    <row r="746" spans="1:3" x14ac:dyDescent="0.2">
      <c r="A746" s="9">
        <v>44409</v>
      </c>
      <c r="B746" s="10">
        <f>VLOOKUP(Table24[[#This Row],[Date]],'Database New'!$A:$D,MATCH($A$1,'Database New'!$A$1:$D$1,),)</f>
        <v>1573</v>
      </c>
      <c r="C746" s="30">
        <f>(Table24[[#This Row],[Started]]-B745)/B745</f>
        <v>7.0422535211267607E-3</v>
      </c>
    </row>
    <row r="747" spans="1:3" x14ac:dyDescent="0.2">
      <c r="A747" s="9">
        <v>44440</v>
      </c>
      <c r="B747" s="10">
        <f>VLOOKUP(Table24[[#This Row],[Date]],'Database New'!$A:$D,MATCH($A$1,'Database New'!$A$1:$D$1,),)</f>
        <v>1550</v>
      </c>
      <c r="C747" s="30">
        <f>(Table24[[#This Row],[Started]]-B746)/B746</f>
        <v>-1.4621741894469168E-2</v>
      </c>
    </row>
    <row r="748" spans="1:3" x14ac:dyDescent="0.2">
      <c r="A748" s="9">
        <v>44470</v>
      </c>
      <c r="B748" s="10">
        <f>VLOOKUP(Table24[[#This Row],[Date]],'Database New'!$A:$D,MATCH($A$1,'Database New'!$A$1:$D$1,),)</f>
        <v>1552</v>
      </c>
      <c r="C748" s="30">
        <f>(Table24[[#This Row],[Started]]-B747)/B747</f>
        <v>1.2903225806451613E-3</v>
      </c>
    </row>
    <row r="749" spans="1:3" x14ac:dyDescent="0.2">
      <c r="A749" s="9">
        <v>44501</v>
      </c>
      <c r="B749" s="10">
        <f>VLOOKUP(Table24[[#This Row],[Date]],'Database New'!$A:$D,MATCH($A$1,'Database New'!$A$1:$D$1,),)</f>
        <v>1678</v>
      </c>
      <c r="C749" s="30">
        <f>(Table24[[#This Row],[Started]]-B748)/B748</f>
        <v>8.1185567010309281E-2</v>
      </c>
    </row>
    <row r="750" spans="1:3" x14ac:dyDescent="0.2">
      <c r="A750" s="9">
        <v>44531</v>
      </c>
      <c r="B750" s="10">
        <f>VLOOKUP(Table24[[#This Row],[Date]],'Database New'!$A:$D,MATCH($A$1,'Database New'!$A$1:$D$1,),)</f>
        <v>1702</v>
      </c>
      <c r="C750" s="30">
        <f>(Table24[[#This Row],[Started]]-B749)/B749</f>
        <v>1.4302741358760428E-2</v>
      </c>
    </row>
  </sheetData>
  <conditionalFormatting sqref="C721 C723 C725 C727 C729 C731 C733 C735 C737 C739 C741 C743 C745 C747:C748 C75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679:C720 C722 C724 C726 C728 C730 C732 C734 C736 C738 C740 C742 C744 C746 C749">
    <cfRule type="colorScale" priority="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679:B75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C654"/>
  <sheetViews>
    <sheetView zoomScale="160" zoomScaleNormal="160" workbookViewId="0">
      <pane ySplit="6" topLeftCell="A620" activePane="bottomLeft" state="frozen"/>
      <selection pane="bottomLeft" activeCell="O648" sqref="O648"/>
    </sheetView>
  </sheetViews>
  <sheetFormatPr baseColWidth="10" defaultColWidth="9.1640625" defaultRowHeight="15" x14ac:dyDescent="0.2"/>
  <cols>
    <col min="1" max="1" width="14.1640625" style="11" customWidth="1"/>
    <col min="2" max="2" width="27.6640625" style="11" customWidth="1"/>
    <col min="3" max="3" width="17.83203125" style="46" customWidth="1"/>
    <col min="4" max="4" width="9.1640625" style="46" customWidth="1"/>
    <col min="5" max="16384" width="9.1640625" style="46"/>
  </cols>
  <sheetData>
    <row r="1" spans="1:3" ht="19" customHeight="1" x14ac:dyDescent="0.25">
      <c r="A1" s="12" t="s">
        <v>29</v>
      </c>
    </row>
    <row r="2" spans="1:3" x14ac:dyDescent="0.2">
      <c r="A2" s="46" t="s">
        <v>25</v>
      </c>
    </row>
    <row r="5" spans="1:3" ht="16" customHeight="1" thickBot="1" x14ac:dyDescent="0.25"/>
    <row r="6" spans="1:3" ht="39.75" customHeight="1" x14ac:dyDescent="0.2">
      <c r="A6" s="6" t="s">
        <v>32</v>
      </c>
      <c r="B6" s="7" t="s">
        <v>27</v>
      </c>
      <c r="C6" s="8" t="s">
        <v>34</v>
      </c>
    </row>
    <row r="7" spans="1:3" x14ac:dyDescent="0.2">
      <c r="A7" s="9">
        <v>24838</v>
      </c>
      <c r="B7" s="10">
        <f>VLOOKUP(Table245[[#This Row],[Date]],'Database New'!$A:$D,MATCH($A$1,'Database New'!$A$1:$D$1,),)</f>
        <v>1257</v>
      </c>
      <c r="C7" s="30"/>
    </row>
    <row r="8" spans="1:3" x14ac:dyDescent="0.2">
      <c r="A8" s="9">
        <v>24869</v>
      </c>
      <c r="B8" s="10">
        <f>VLOOKUP(Table245[[#This Row],[Date]],'Database New'!$A:$D,MATCH($A$1,'Database New'!$A$1:$D$1,),)</f>
        <v>1174</v>
      </c>
      <c r="C8" s="30">
        <f>(Table245[[#This Row],[Completed]]-B7)/B7</f>
        <v>-6.6030230708035001E-2</v>
      </c>
    </row>
    <row r="9" spans="1:3" x14ac:dyDescent="0.2">
      <c r="A9" s="9">
        <v>24898</v>
      </c>
      <c r="B9" s="10">
        <f>VLOOKUP(Table245[[#This Row],[Date]],'Database New'!$A:$D,MATCH($A$1,'Database New'!$A$1:$D$1,),)</f>
        <v>1323</v>
      </c>
      <c r="C9" s="30">
        <f>(Table245[[#This Row],[Completed]]-B8)/B8</f>
        <v>0.12691652470187392</v>
      </c>
    </row>
    <row r="10" spans="1:3" x14ac:dyDescent="0.2">
      <c r="A10" s="9">
        <v>24929</v>
      </c>
      <c r="B10" s="10">
        <f>VLOOKUP(Table245[[#This Row],[Date]],'Database New'!$A:$D,MATCH($A$1,'Database New'!$A$1:$D$1,),)</f>
        <v>1328</v>
      </c>
      <c r="C10" s="30">
        <f>(Table245[[#This Row],[Completed]]-B9)/B9</f>
        <v>3.779289493575208E-3</v>
      </c>
    </row>
    <row r="11" spans="1:3" x14ac:dyDescent="0.2">
      <c r="A11" s="9">
        <v>24959</v>
      </c>
      <c r="B11" s="10">
        <f>VLOOKUP(Table245[[#This Row],[Date]],'Database New'!$A:$D,MATCH($A$1,'Database New'!$A$1:$D$1,),)</f>
        <v>1367</v>
      </c>
      <c r="C11" s="30">
        <f>(Table245[[#This Row],[Completed]]-B10)/B10</f>
        <v>2.9367469879518073E-2</v>
      </c>
    </row>
    <row r="12" spans="1:3" x14ac:dyDescent="0.2">
      <c r="A12" s="9">
        <v>24990</v>
      </c>
      <c r="B12" s="10">
        <f>VLOOKUP(Table245[[#This Row],[Date]],'Database New'!$A:$D,MATCH($A$1,'Database New'!$A$1:$D$1,),)</f>
        <v>1184</v>
      </c>
      <c r="C12" s="30">
        <f>(Table245[[#This Row],[Completed]]-B11)/B11</f>
        <v>-0.13386978785662035</v>
      </c>
    </row>
    <row r="13" spans="1:3" x14ac:dyDescent="0.2">
      <c r="A13" s="9">
        <v>25020</v>
      </c>
      <c r="B13" s="10">
        <f>VLOOKUP(Table245[[#This Row],[Date]],'Database New'!$A:$D,MATCH($A$1,'Database New'!$A$1:$D$1,),)</f>
        <v>1370</v>
      </c>
      <c r="C13" s="30">
        <f>(Table245[[#This Row],[Completed]]-B12)/B12</f>
        <v>0.1570945945945946</v>
      </c>
    </row>
    <row r="14" spans="1:3" x14ac:dyDescent="0.2">
      <c r="A14" s="9">
        <v>25051</v>
      </c>
      <c r="B14" s="10">
        <f>VLOOKUP(Table245[[#This Row],[Date]],'Database New'!$A:$D,MATCH($A$1,'Database New'!$A$1:$D$1,),)</f>
        <v>1279</v>
      </c>
      <c r="C14" s="30">
        <f>(Table245[[#This Row],[Completed]]-B13)/B13</f>
        <v>-6.6423357664233573E-2</v>
      </c>
    </row>
    <row r="15" spans="1:3" x14ac:dyDescent="0.2">
      <c r="A15" s="9">
        <v>25082</v>
      </c>
      <c r="B15" s="10">
        <f>VLOOKUP(Table245[[#This Row],[Date]],'Database New'!$A:$D,MATCH($A$1,'Database New'!$A$1:$D$1,),)</f>
        <v>1397</v>
      </c>
      <c r="C15" s="30">
        <f>(Table245[[#This Row],[Completed]]-B14)/B14</f>
        <v>9.2259577795152467E-2</v>
      </c>
    </row>
    <row r="16" spans="1:3" x14ac:dyDescent="0.2">
      <c r="A16" s="9">
        <v>25112</v>
      </c>
      <c r="B16" s="10">
        <f>VLOOKUP(Table245[[#This Row],[Date]],'Database New'!$A:$D,MATCH($A$1,'Database New'!$A$1:$D$1,),)</f>
        <v>1348</v>
      </c>
      <c r="C16" s="30">
        <f>(Table245[[#This Row],[Completed]]-B15)/B15</f>
        <v>-3.5075161059413031E-2</v>
      </c>
    </row>
    <row r="17" spans="1:3" x14ac:dyDescent="0.2">
      <c r="A17" s="9">
        <v>25143</v>
      </c>
      <c r="B17" s="10">
        <f>VLOOKUP(Table245[[#This Row],[Date]],'Database New'!$A:$D,MATCH($A$1,'Database New'!$A$1:$D$1,),)</f>
        <v>1367</v>
      </c>
      <c r="C17" s="30">
        <f>(Table245[[#This Row],[Completed]]-B16)/B16</f>
        <v>1.4094955489614243E-2</v>
      </c>
    </row>
    <row r="18" spans="1:3" x14ac:dyDescent="0.2">
      <c r="A18" s="9">
        <v>25173</v>
      </c>
      <c r="B18" s="10">
        <f>VLOOKUP(Table245[[#This Row],[Date]],'Database New'!$A:$D,MATCH($A$1,'Database New'!$A$1:$D$1,),)</f>
        <v>1390</v>
      </c>
      <c r="C18" s="30">
        <f>(Table245[[#This Row],[Completed]]-B17)/B17</f>
        <v>1.6825164594001463E-2</v>
      </c>
    </row>
    <row r="19" spans="1:3" x14ac:dyDescent="0.2">
      <c r="A19" s="9">
        <v>25204</v>
      </c>
      <c r="B19" s="10">
        <f>VLOOKUP(Table245[[#This Row],[Date]],'Database New'!$A:$D,MATCH($A$1,'Database New'!$A$1:$D$1,),)</f>
        <v>1257</v>
      </c>
      <c r="C19" s="30">
        <f>(Table245[[#This Row],[Completed]]-B18)/B18</f>
        <v>-9.5683453237410065E-2</v>
      </c>
    </row>
    <row r="20" spans="1:3" x14ac:dyDescent="0.2">
      <c r="A20" s="9">
        <v>25235</v>
      </c>
      <c r="B20" s="10">
        <f>VLOOKUP(Table245[[#This Row],[Date]],'Database New'!$A:$D,MATCH($A$1,'Database New'!$A$1:$D$1,),)</f>
        <v>1414</v>
      </c>
      <c r="C20" s="30">
        <f>(Table245[[#This Row],[Completed]]-B19)/B19</f>
        <v>0.1249005568814638</v>
      </c>
    </row>
    <row r="21" spans="1:3" x14ac:dyDescent="0.2">
      <c r="A21" s="9">
        <v>25263</v>
      </c>
      <c r="B21" s="10">
        <f>VLOOKUP(Table245[[#This Row],[Date]],'Database New'!$A:$D,MATCH($A$1,'Database New'!$A$1:$D$1,),)</f>
        <v>1558</v>
      </c>
      <c r="C21" s="30">
        <f>(Table245[[#This Row],[Completed]]-B20)/B20</f>
        <v>0.10183875530410184</v>
      </c>
    </row>
    <row r="22" spans="1:3" x14ac:dyDescent="0.2">
      <c r="A22" s="9">
        <v>25294</v>
      </c>
      <c r="B22" s="10">
        <f>VLOOKUP(Table245[[#This Row],[Date]],'Database New'!$A:$D,MATCH($A$1,'Database New'!$A$1:$D$1,),)</f>
        <v>1318</v>
      </c>
      <c r="C22" s="30">
        <f>(Table245[[#This Row],[Completed]]-B21)/B21</f>
        <v>-0.1540436456996149</v>
      </c>
    </row>
    <row r="23" spans="1:3" x14ac:dyDescent="0.2">
      <c r="A23" s="9">
        <v>25324</v>
      </c>
      <c r="B23" s="10">
        <f>VLOOKUP(Table245[[#This Row],[Date]],'Database New'!$A:$D,MATCH($A$1,'Database New'!$A$1:$D$1,),)</f>
        <v>1430</v>
      </c>
      <c r="C23" s="30">
        <f>(Table245[[#This Row],[Completed]]-B22)/B22</f>
        <v>8.4977238239757211E-2</v>
      </c>
    </row>
    <row r="24" spans="1:3" x14ac:dyDescent="0.2">
      <c r="A24" s="9">
        <v>25355</v>
      </c>
      <c r="B24" s="10">
        <f>VLOOKUP(Table245[[#This Row],[Date]],'Database New'!$A:$D,MATCH($A$1,'Database New'!$A$1:$D$1,),)</f>
        <v>1455</v>
      </c>
      <c r="C24" s="30">
        <f>(Table245[[#This Row],[Completed]]-B23)/B23</f>
        <v>1.7482517482517484E-2</v>
      </c>
    </row>
    <row r="25" spans="1:3" x14ac:dyDescent="0.2">
      <c r="A25" s="9">
        <v>25385</v>
      </c>
      <c r="B25" s="10">
        <f>VLOOKUP(Table245[[#This Row],[Date]],'Database New'!$A:$D,MATCH($A$1,'Database New'!$A$1:$D$1,),)</f>
        <v>1432</v>
      </c>
      <c r="C25" s="30">
        <f>(Table245[[#This Row],[Completed]]-B24)/B24</f>
        <v>-1.5807560137457044E-2</v>
      </c>
    </row>
    <row r="26" spans="1:3" x14ac:dyDescent="0.2">
      <c r="A26" s="9">
        <v>25416</v>
      </c>
      <c r="B26" s="10">
        <f>VLOOKUP(Table245[[#This Row],[Date]],'Database New'!$A:$D,MATCH($A$1,'Database New'!$A$1:$D$1,),)</f>
        <v>1393</v>
      </c>
      <c r="C26" s="30">
        <f>(Table245[[#This Row],[Completed]]-B25)/B25</f>
        <v>-2.7234636871508379E-2</v>
      </c>
    </row>
    <row r="27" spans="1:3" x14ac:dyDescent="0.2">
      <c r="A27" s="9">
        <v>25447</v>
      </c>
      <c r="B27" s="10">
        <f>VLOOKUP(Table245[[#This Row],[Date]],'Database New'!$A:$D,MATCH($A$1,'Database New'!$A$1:$D$1,),)</f>
        <v>1367</v>
      </c>
      <c r="C27" s="30">
        <f>(Table245[[#This Row],[Completed]]-B26)/B26</f>
        <v>-1.8664752333094042E-2</v>
      </c>
    </row>
    <row r="28" spans="1:3" x14ac:dyDescent="0.2">
      <c r="A28" s="9">
        <v>25477</v>
      </c>
      <c r="B28" s="10">
        <f>VLOOKUP(Table245[[#This Row],[Date]],'Database New'!$A:$D,MATCH($A$1,'Database New'!$A$1:$D$1,),)</f>
        <v>1406</v>
      </c>
      <c r="C28" s="30">
        <f>(Table245[[#This Row],[Completed]]-B27)/B27</f>
        <v>2.8529626920263351E-2</v>
      </c>
    </row>
    <row r="29" spans="1:3" x14ac:dyDescent="0.2">
      <c r="A29" s="9">
        <v>25508</v>
      </c>
      <c r="B29" s="10">
        <f>VLOOKUP(Table245[[#This Row],[Date]],'Database New'!$A:$D,MATCH($A$1,'Database New'!$A$1:$D$1,),)</f>
        <v>1404</v>
      </c>
      <c r="C29" s="30">
        <f>(Table245[[#This Row],[Completed]]-B28)/B28</f>
        <v>-1.4224751066856331E-3</v>
      </c>
    </row>
    <row r="30" spans="1:3" x14ac:dyDescent="0.2">
      <c r="A30" s="9">
        <v>25538</v>
      </c>
      <c r="B30" s="10">
        <f>VLOOKUP(Table245[[#This Row],[Date]],'Database New'!$A:$D,MATCH($A$1,'Database New'!$A$1:$D$1,),)</f>
        <v>1402</v>
      </c>
      <c r="C30" s="30">
        <f>(Table245[[#This Row],[Completed]]-B29)/B29</f>
        <v>-1.4245014245014246E-3</v>
      </c>
    </row>
    <row r="31" spans="1:3" x14ac:dyDescent="0.2">
      <c r="A31" s="9">
        <v>25569</v>
      </c>
      <c r="B31" s="10">
        <f>VLOOKUP(Table245[[#This Row],[Date]],'Database New'!$A:$D,MATCH($A$1,'Database New'!$A$1:$D$1,),)</f>
        <v>1434</v>
      </c>
      <c r="C31" s="30">
        <f>(Table245[[#This Row],[Completed]]-B30)/B30</f>
        <v>2.2824536376604851E-2</v>
      </c>
    </row>
    <row r="32" spans="1:3" x14ac:dyDescent="0.2">
      <c r="A32" s="9">
        <v>25600</v>
      </c>
      <c r="B32" s="10">
        <f>VLOOKUP(Table245[[#This Row],[Date]],'Database New'!$A:$D,MATCH($A$1,'Database New'!$A$1:$D$1,),)</f>
        <v>1430</v>
      </c>
      <c r="C32" s="30">
        <f>(Table245[[#This Row],[Completed]]-B31)/B31</f>
        <v>-2.7894002789400278E-3</v>
      </c>
    </row>
    <row r="33" spans="1:3" x14ac:dyDescent="0.2">
      <c r="A33" s="9">
        <v>25628</v>
      </c>
      <c r="B33" s="10">
        <f>VLOOKUP(Table245[[#This Row],[Date]],'Database New'!$A:$D,MATCH($A$1,'Database New'!$A$1:$D$1,),)</f>
        <v>1317</v>
      </c>
      <c r="C33" s="30">
        <f>(Table245[[#This Row],[Completed]]-B32)/B32</f>
        <v>-7.9020979020979015E-2</v>
      </c>
    </row>
    <row r="34" spans="1:3" x14ac:dyDescent="0.2">
      <c r="A34" s="9">
        <v>25659</v>
      </c>
      <c r="B34" s="10">
        <f>VLOOKUP(Table245[[#This Row],[Date]],'Database New'!$A:$D,MATCH($A$1,'Database New'!$A$1:$D$1,),)</f>
        <v>1354</v>
      </c>
      <c r="C34" s="30">
        <f>(Table245[[#This Row],[Completed]]-B33)/B33</f>
        <v>2.8094153378891418E-2</v>
      </c>
    </row>
    <row r="35" spans="1:3" x14ac:dyDescent="0.2">
      <c r="A35" s="9">
        <v>25689</v>
      </c>
      <c r="B35" s="10">
        <f>VLOOKUP(Table245[[#This Row],[Date]],'Database New'!$A:$D,MATCH($A$1,'Database New'!$A$1:$D$1,),)</f>
        <v>1334</v>
      </c>
      <c r="C35" s="30">
        <f>(Table245[[#This Row],[Completed]]-B34)/B34</f>
        <v>-1.4771048744460856E-2</v>
      </c>
    </row>
    <row r="36" spans="1:3" x14ac:dyDescent="0.2">
      <c r="A36" s="9">
        <v>25720</v>
      </c>
      <c r="B36" s="10">
        <f>VLOOKUP(Table245[[#This Row],[Date]],'Database New'!$A:$D,MATCH($A$1,'Database New'!$A$1:$D$1,),)</f>
        <v>1431</v>
      </c>
      <c r="C36" s="30">
        <f>(Table245[[#This Row],[Completed]]-B35)/B35</f>
        <v>7.2713643178410794E-2</v>
      </c>
    </row>
    <row r="37" spans="1:3" x14ac:dyDescent="0.2">
      <c r="A37" s="9">
        <v>25750</v>
      </c>
      <c r="B37" s="10">
        <f>VLOOKUP(Table245[[#This Row],[Date]],'Database New'!$A:$D,MATCH($A$1,'Database New'!$A$1:$D$1,),)</f>
        <v>1384</v>
      </c>
      <c r="C37" s="30">
        <f>(Table245[[#This Row],[Completed]]-B36)/B36</f>
        <v>-3.2844164919636619E-2</v>
      </c>
    </row>
    <row r="38" spans="1:3" x14ac:dyDescent="0.2">
      <c r="A38" s="9">
        <v>25781</v>
      </c>
      <c r="B38" s="10">
        <f>VLOOKUP(Table245[[#This Row],[Date]],'Database New'!$A:$D,MATCH($A$1,'Database New'!$A$1:$D$1,),)</f>
        <v>1609</v>
      </c>
      <c r="C38" s="30">
        <f>(Table245[[#This Row],[Completed]]-B37)/B37</f>
        <v>0.16257225433526012</v>
      </c>
    </row>
    <row r="39" spans="1:3" x14ac:dyDescent="0.2">
      <c r="A39" s="9">
        <v>25812</v>
      </c>
      <c r="B39" s="10">
        <f>VLOOKUP(Table245[[#This Row],[Date]],'Database New'!$A:$D,MATCH($A$1,'Database New'!$A$1:$D$1,),)</f>
        <v>1383</v>
      </c>
      <c r="C39" s="30">
        <f>(Table245[[#This Row],[Completed]]-B38)/B38</f>
        <v>-0.14045991298943444</v>
      </c>
    </row>
    <row r="40" spans="1:3" x14ac:dyDescent="0.2">
      <c r="A40" s="9">
        <v>25842</v>
      </c>
      <c r="B40" s="10">
        <f>VLOOKUP(Table245[[#This Row],[Date]],'Database New'!$A:$D,MATCH($A$1,'Database New'!$A$1:$D$1,),)</f>
        <v>1437</v>
      </c>
      <c r="C40" s="30">
        <f>(Table245[[#This Row],[Completed]]-B39)/B39</f>
        <v>3.9045553145336226E-2</v>
      </c>
    </row>
    <row r="41" spans="1:3" x14ac:dyDescent="0.2">
      <c r="A41" s="9">
        <v>25873</v>
      </c>
      <c r="B41" s="10">
        <f>VLOOKUP(Table245[[#This Row],[Date]],'Database New'!$A:$D,MATCH($A$1,'Database New'!$A$1:$D$1,),)</f>
        <v>1457</v>
      </c>
      <c r="C41" s="30">
        <f>(Table245[[#This Row],[Completed]]-B40)/B40</f>
        <v>1.3917884481558803E-2</v>
      </c>
    </row>
    <row r="42" spans="1:3" x14ac:dyDescent="0.2">
      <c r="A42" s="9">
        <v>25903</v>
      </c>
      <c r="B42" s="10">
        <f>VLOOKUP(Table245[[#This Row],[Date]],'Database New'!$A:$D,MATCH($A$1,'Database New'!$A$1:$D$1,),)</f>
        <v>1437</v>
      </c>
      <c r="C42" s="30">
        <f>(Table245[[#This Row],[Completed]]-B41)/B41</f>
        <v>-1.3726835964310227E-2</v>
      </c>
    </row>
    <row r="43" spans="1:3" x14ac:dyDescent="0.2">
      <c r="A43" s="9">
        <v>25934</v>
      </c>
      <c r="B43" s="10">
        <f>VLOOKUP(Table245[[#This Row],[Date]],'Database New'!$A:$D,MATCH($A$1,'Database New'!$A$1:$D$1,),)</f>
        <v>1471</v>
      </c>
      <c r="C43" s="30">
        <f>(Table245[[#This Row],[Completed]]-B42)/B42</f>
        <v>2.3660403618649965E-2</v>
      </c>
    </row>
    <row r="44" spans="1:3" x14ac:dyDescent="0.2">
      <c r="A44" s="9">
        <v>25965</v>
      </c>
      <c r="B44" s="10">
        <f>VLOOKUP(Table245[[#This Row],[Date]],'Database New'!$A:$D,MATCH($A$1,'Database New'!$A$1:$D$1,),)</f>
        <v>1448</v>
      </c>
      <c r="C44" s="30">
        <f>(Table245[[#This Row],[Completed]]-B43)/B43</f>
        <v>-1.5635622025832768E-2</v>
      </c>
    </row>
    <row r="45" spans="1:3" x14ac:dyDescent="0.2">
      <c r="A45" s="9">
        <v>25993</v>
      </c>
      <c r="B45" s="10">
        <f>VLOOKUP(Table245[[#This Row],[Date]],'Database New'!$A:$D,MATCH($A$1,'Database New'!$A$1:$D$1,),)</f>
        <v>1489</v>
      </c>
      <c r="C45" s="30">
        <f>(Table245[[#This Row],[Completed]]-B44)/B44</f>
        <v>2.8314917127071824E-2</v>
      </c>
    </row>
    <row r="46" spans="1:3" x14ac:dyDescent="0.2">
      <c r="A46" s="9">
        <v>26024</v>
      </c>
      <c r="B46" s="10">
        <f>VLOOKUP(Table245[[#This Row],[Date]],'Database New'!$A:$D,MATCH($A$1,'Database New'!$A$1:$D$1,),)</f>
        <v>1709</v>
      </c>
      <c r="C46" s="30">
        <f>(Table245[[#This Row],[Completed]]-B45)/B45</f>
        <v>0.14775016789791806</v>
      </c>
    </row>
    <row r="47" spans="1:3" x14ac:dyDescent="0.2">
      <c r="A47" s="9">
        <v>26054</v>
      </c>
      <c r="B47" s="10">
        <f>VLOOKUP(Table245[[#This Row],[Date]],'Database New'!$A:$D,MATCH($A$1,'Database New'!$A$1:$D$1,),)</f>
        <v>1637</v>
      </c>
      <c r="C47" s="30">
        <f>(Table245[[#This Row],[Completed]]-B46)/B46</f>
        <v>-4.2129900526623756E-2</v>
      </c>
    </row>
    <row r="48" spans="1:3" x14ac:dyDescent="0.2">
      <c r="A48" s="9">
        <v>26085</v>
      </c>
      <c r="B48" s="10">
        <f>VLOOKUP(Table245[[#This Row],[Date]],'Database New'!$A:$D,MATCH($A$1,'Database New'!$A$1:$D$1,),)</f>
        <v>1637</v>
      </c>
      <c r="C48" s="30">
        <f>(Table245[[#This Row],[Completed]]-B47)/B47</f>
        <v>0</v>
      </c>
    </row>
    <row r="49" spans="1:3" x14ac:dyDescent="0.2">
      <c r="A49" s="9">
        <v>26115</v>
      </c>
      <c r="B49" s="10">
        <f>VLOOKUP(Table245[[#This Row],[Date]],'Database New'!$A:$D,MATCH($A$1,'Database New'!$A$1:$D$1,),)</f>
        <v>1699</v>
      </c>
      <c r="C49" s="30">
        <f>(Table245[[#This Row],[Completed]]-B48)/B48</f>
        <v>3.7874160048869884E-2</v>
      </c>
    </row>
    <row r="50" spans="1:3" x14ac:dyDescent="0.2">
      <c r="A50" s="9">
        <v>26146</v>
      </c>
      <c r="B50" s="10">
        <f>VLOOKUP(Table245[[#This Row],[Date]],'Database New'!$A:$D,MATCH($A$1,'Database New'!$A$1:$D$1,),)</f>
        <v>1896</v>
      </c>
      <c r="C50" s="30">
        <f>(Table245[[#This Row],[Completed]]-B49)/B49</f>
        <v>0.11595055915244261</v>
      </c>
    </row>
    <row r="51" spans="1:3" x14ac:dyDescent="0.2">
      <c r="A51" s="9">
        <v>26177</v>
      </c>
      <c r="B51" s="10">
        <f>VLOOKUP(Table245[[#This Row],[Date]],'Database New'!$A:$D,MATCH($A$1,'Database New'!$A$1:$D$1,),)</f>
        <v>1804</v>
      </c>
      <c r="C51" s="30">
        <f>(Table245[[#This Row],[Completed]]-B50)/B50</f>
        <v>-4.852320675105485E-2</v>
      </c>
    </row>
    <row r="52" spans="1:3" x14ac:dyDescent="0.2">
      <c r="A52" s="9">
        <v>26207</v>
      </c>
      <c r="B52" s="10">
        <f>VLOOKUP(Table245[[#This Row],[Date]],'Database New'!$A:$D,MATCH($A$1,'Database New'!$A$1:$D$1,),)</f>
        <v>1815</v>
      </c>
      <c r="C52" s="30">
        <f>(Table245[[#This Row],[Completed]]-B51)/B51</f>
        <v>6.0975609756097563E-3</v>
      </c>
    </row>
    <row r="53" spans="1:3" x14ac:dyDescent="0.2">
      <c r="A53" s="9">
        <v>26238</v>
      </c>
      <c r="B53" s="10">
        <f>VLOOKUP(Table245[[#This Row],[Date]],'Database New'!$A:$D,MATCH($A$1,'Database New'!$A$1:$D$1,),)</f>
        <v>1844</v>
      </c>
      <c r="C53" s="30">
        <f>(Table245[[#This Row],[Completed]]-B52)/B52</f>
        <v>1.5977961432506887E-2</v>
      </c>
    </row>
    <row r="54" spans="1:3" x14ac:dyDescent="0.2">
      <c r="A54" s="9">
        <v>26268</v>
      </c>
      <c r="B54" s="10">
        <f>VLOOKUP(Table245[[#This Row],[Date]],'Database New'!$A:$D,MATCH($A$1,'Database New'!$A$1:$D$1,),)</f>
        <v>1895</v>
      </c>
      <c r="C54" s="30">
        <f>(Table245[[#This Row],[Completed]]-B53)/B53</f>
        <v>2.7657266811279828E-2</v>
      </c>
    </row>
    <row r="55" spans="1:3" x14ac:dyDescent="0.2">
      <c r="A55" s="9">
        <v>26299</v>
      </c>
      <c r="B55" s="10">
        <f>VLOOKUP(Table245[[#This Row],[Date]],'Database New'!$A:$D,MATCH($A$1,'Database New'!$A$1:$D$1,),)</f>
        <v>1942</v>
      </c>
      <c r="C55" s="30">
        <f>(Table245[[#This Row],[Completed]]-B54)/B54</f>
        <v>2.4802110817941952E-2</v>
      </c>
    </row>
    <row r="56" spans="1:3" x14ac:dyDescent="0.2">
      <c r="A56" s="9">
        <v>26330</v>
      </c>
      <c r="B56" s="10">
        <f>VLOOKUP(Table245[[#This Row],[Date]],'Database New'!$A:$D,MATCH($A$1,'Database New'!$A$1:$D$1,),)</f>
        <v>2061</v>
      </c>
      <c r="C56" s="30">
        <f>(Table245[[#This Row],[Completed]]-B55)/B55</f>
        <v>6.1277033985581875E-2</v>
      </c>
    </row>
    <row r="57" spans="1:3" x14ac:dyDescent="0.2">
      <c r="A57" s="9">
        <v>26359</v>
      </c>
      <c r="B57" s="10">
        <f>VLOOKUP(Table245[[#This Row],[Date]],'Database New'!$A:$D,MATCH($A$1,'Database New'!$A$1:$D$1,),)</f>
        <v>1981</v>
      </c>
      <c r="C57" s="30">
        <f>(Table245[[#This Row],[Completed]]-B56)/B56</f>
        <v>-3.8816108685104316E-2</v>
      </c>
    </row>
    <row r="58" spans="1:3" x14ac:dyDescent="0.2">
      <c r="A58" s="9">
        <v>26390</v>
      </c>
      <c r="B58" s="10">
        <f>VLOOKUP(Table245[[#This Row],[Date]],'Database New'!$A:$D,MATCH($A$1,'Database New'!$A$1:$D$1,),)</f>
        <v>1970</v>
      </c>
      <c r="C58" s="30">
        <f>(Table245[[#This Row],[Completed]]-B57)/B57</f>
        <v>-5.552751135790005E-3</v>
      </c>
    </row>
    <row r="59" spans="1:3" x14ac:dyDescent="0.2">
      <c r="A59" s="9">
        <v>26420</v>
      </c>
      <c r="B59" s="10">
        <f>VLOOKUP(Table245[[#This Row],[Date]],'Database New'!$A:$D,MATCH($A$1,'Database New'!$A$1:$D$1,),)</f>
        <v>1896</v>
      </c>
      <c r="C59" s="30">
        <f>(Table245[[#This Row],[Completed]]-B58)/B58</f>
        <v>-3.7563451776649749E-2</v>
      </c>
    </row>
    <row r="60" spans="1:3" x14ac:dyDescent="0.2">
      <c r="A60" s="9">
        <v>26451</v>
      </c>
      <c r="B60" s="10">
        <f>VLOOKUP(Table245[[#This Row],[Date]],'Database New'!$A:$D,MATCH($A$1,'Database New'!$A$1:$D$1,),)</f>
        <v>1936</v>
      </c>
      <c r="C60" s="30">
        <f>(Table245[[#This Row],[Completed]]-B59)/B59</f>
        <v>2.1097046413502109E-2</v>
      </c>
    </row>
    <row r="61" spans="1:3" x14ac:dyDescent="0.2">
      <c r="A61" s="9">
        <v>26481</v>
      </c>
      <c r="B61" s="10">
        <f>VLOOKUP(Table245[[#This Row],[Date]],'Database New'!$A:$D,MATCH($A$1,'Database New'!$A$1:$D$1,),)</f>
        <v>1930</v>
      </c>
      <c r="C61" s="30">
        <f>(Table245[[#This Row],[Completed]]-B60)/B60</f>
        <v>-3.0991735537190084E-3</v>
      </c>
    </row>
    <row r="62" spans="1:3" x14ac:dyDescent="0.2">
      <c r="A62" s="9">
        <v>26512</v>
      </c>
      <c r="B62" s="10">
        <f>VLOOKUP(Table245[[#This Row],[Date]],'Database New'!$A:$D,MATCH($A$1,'Database New'!$A$1:$D$1,),)</f>
        <v>2102</v>
      </c>
      <c r="C62" s="30">
        <f>(Table245[[#This Row],[Completed]]-B61)/B61</f>
        <v>8.9119170984455959E-2</v>
      </c>
    </row>
    <row r="63" spans="1:3" x14ac:dyDescent="0.2">
      <c r="A63" s="9">
        <v>26543</v>
      </c>
      <c r="B63" s="10">
        <f>VLOOKUP(Table245[[#This Row],[Date]],'Database New'!$A:$D,MATCH($A$1,'Database New'!$A$1:$D$1,),)</f>
        <v>2053</v>
      </c>
      <c r="C63" s="30">
        <f>(Table245[[#This Row],[Completed]]-B62)/B62</f>
        <v>-2.3311132254995242E-2</v>
      </c>
    </row>
    <row r="64" spans="1:3" x14ac:dyDescent="0.2">
      <c r="A64" s="9">
        <v>26573</v>
      </c>
      <c r="B64" s="10">
        <f>VLOOKUP(Table245[[#This Row],[Date]],'Database New'!$A:$D,MATCH($A$1,'Database New'!$A$1:$D$1,),)</f>
        <v>1995</v>
      </c>
      <c r="C64" s="30">
        <f>(Table245[[#This Row],[Completed]]-B63)/B63</f>
        <v>-2.8251339503166099E-2</v>
      </c>
    </row>
    <row r="65" spans="1:3" x14ac:dyDescent="0.2">
      <c r="A65" s="9">
        <v>26604</v>
      </c>
      <c r="B65" s="10">
        <f>VLOOKUP(Table245[[#This Row],[Date]],'Database New'!$A:$D,MATCH($A$1,'Database New'!$A$1:$D$1,),)</f>
        <v>1985</v>
      </c>
      <c r="C65" s="30">
        <f>(Table245[[#This Row],[Completed]]-B64)/B64</f>
        <v>-5.0125313283208017E-3</v>
      </c>
    </row>
    <row r="66" spans="1:3" x14ac:dyDescent="0.2">
      <c r="A66" s="9">
        <v>26634</v>
      </c>
      <c r="B66" s="10">
        <f>VLOOKUP(Table245[[#This Row],[Date]],'Database New'!$A:$D,MATCH($A$1,'Database New'!$A$1:$D$1,),)</f>
        <v>2121</v>
      </c>
      <c r="C66" s="30">
        <f>(Table245[[#This Row],[Completed]]-B65)/B65</f>
        <v>6.8513853904282121E-2</v>
      </c>
    </row>
    <row r="67" spans="1:3" x14ac:dyDescent="0.2">
      <c r="A67" s="9">
        <v>26665</v>
      </c>
      <c r="B67" s="10">
        <f>VLOOKUP(Table245[[#This Row],[Date]],'Database New'!$A:$D,MATCH($A$1,'Database New'!$A$1:$D$1,),)</f>
        <v>2162</v>
      </c>
      <c r="C67" s="30">
        <f>(Table245[[#This Row],[Completed]]-B66)/B66</f>
        <v>1.933050447901933E-2</v>
      </c>
    </row>
    <row r="68" spans="1:3" x14ac:dyDescent="0.2">
      <c r="A68" s="9">
        <v>26696</v>
      </c>
      <c r="B68" s="10">
        <f>VLOOKUP(Table245[[#This Row],[Date]],'Database New'!$A:$D,MATCH($A$1,'Database New'!$A$1:$D$1,),)</f>
        <v>2124</v>
      </c>
      <c r="C68" s="30">
        <f>(Table245[[#This Row],[Completed]]-B67)/B67</f>
        <v>-1.757631822386679E-2</v>
      </c>
    </row>
    <row r="69" spans="1:3" x14ac:dyDescent="0.2">
      <c r="A69" s="9">
        <v>26724</v>
      </c>
      <c r="B69" s="10">
        <f>VLOOKUP(Table245[[#This Row],[Date]],'Database New'!$A:$D,MATCH($A$1,'Database New'!$A$1:$D$1,),)</f>
        <v>2196</v>
      </c>
      <c r="C69" s="30">
        <f>(Table245[[#This Row],[Completed]]-B68)/B68</f>
        <v>3.3898305084745763E-2</v>
      </c>
    </row>
    <row r="70" spans="1:3" x14ac:dyDescent="0.2">
      <c r="A70" s="9">
        <v>26755</v>
      </c>
      <c r="B70" s="10">
        <f>VLOOKUP(Table245[[#This Row],[Date]],'Database New'!$A:$D,MATCH($A$1,'Database New'!$A$1:$D$1,),)</f>
        <v>2195</v>
      </c>
      <c r="C70" s="30">
        <f>(Table245[[#This Row],[Completed]]-B69)/B69</f>
        <v>-4.5537340619307832E-4</v>
      </c>
    </row>
    <row r="71" spans="1:3" x14ac:dyDescent="0.2">
      <c r="A71" s="9">
        <v>26785</v>
      </c>
      <c r="B71" s="10">
        <f>VLOOKUP(Table245[[#This Row],[Date]],'Database New'!$A:$D,MATCH($A$1,'Database New'!$A$1:$D$1,),)</f>
        <v>2299</v>
      </c>
      <c r="C71" s="30">
        <f>(Table245[[#This Row],[Completed]]-B70)/B70</f>
        <v>4.738041002277904E-2</v>
      </c>
    </row>
    <row r="72" spans="1:3" x14ac:dyDescent="0.2">
      <c r="A72" s="9">
        <v>26816</v>
      </c>
      <c r="B72" s="10">
        <f>VLOOKUP(Table245[[#This Row],[Date]],'Database New'!$A:$D,MATCH($A$1,'Database New'!$A$1:$D$1,),)</f>
        <v>2258</v>
      </c>
      <c r="C72" s="30">
        <f>(Table245[[#This Row],[Completed]]-B71)/B71</f>
        <v>-1.7833840800347979E-2</v>
      </c>
    </row>
    <row r="73" spans="1:3" x14ac:dyDescent="0.2">
      <c r="A73" s="9">
        <v>26846</v>
      </c>
      <c r="B73" s="10">
        <f>VLOOKUP(Table245[[#This Row],[Date]],'Database New'!$A:$D,MATCH($A$1,'Database New'!$A$1:$D$1,),)</f>
        <v>2066</v>
      </c>
      <c r="C73" s="30">
        <f>(Table245[[#This Row],[Completed]]-B72)/B72</f>
        <v>-8.5031000885739588E-2</v>
      </c>
    </row>
    <row r="74" spans="1:3" x14ac:dyDescent="0.2">
      <c r="A74" s="9">
        <v>26877</v>
      </c>
      <c r="B74" s="10">
        <f>VLOOKUP(Table245[[#This Row],[Date]],'Database New'!$A:$D,MATCH($A$1,'Database New'!$A$1:$D$1,),)</f>
        <v>2056</v>
      </c>
      <c r="C74" s="30">
        <f>(Table245[[#This Row],[Completed]]-B73)/B73</f>
        <v>-4.8402710551790898E-3</v>
      </c>
    </row>
    <row r="75" spans="1:3" x14ac:dyDescent="0.2">
      <c r="A75" s="9">
        <v>26908</v>
      </c>
      <c r="B75" s="10">
        <f>VLOOKUP(Table245[[#This Row],[Date]],'Database New'!$A:$D,MATCH($A$1,'Database New'!$A$1:$D$1,),)</f>
        <v>2061</v>
      </c>
      <c r="C75" s="30">
        <f>(Table245[[#This Row],[Completed]]-B74)/B74</f>
        <v>2.4319066147859923E-3</v>
      </c>
    </row>
    <row r="76" spans="1:3" x14ac:dyDescent="0.2">
      <c r="A76" s="9">
        <v>26938</v>
      </c>
      <c r="B76" s="10">
        <f>VLOOKUP(Table245[[#This Row],[Date]],'Database New'!$A:$D,MATCH($A$1,'Database New'!$A$1:$D$1,),)</f>
        <v>2052</v>
      </c>
      <c r="C76" s="30">
        <f>(Table245[[#This Row],[Completed]]-B75)/B75</f>
        <v>-4.3668122270742356E-3</v>
      </c>
    </row>
    <row r="77" spans="1:3" x14ac:dyDescent="0.2">
      <c r="A77" s="9">
        <v>26969</v>
      </c>
      <c r="B77" s="10">
        <f>VLOOKUP(Table245[[#This Row],[Date]],'Database New'!$A:$D,MATCH($A$1,'Database New'!$A$1:$D$1,),)</f>
        <v>1925</v>
      </c>
      <c r="C77" s="30">
        <f>(Table245[[#This Row],[Completed]]-B76)/B76</f>
        <v>-6.1890838206627677E-2</v>
      </c>
    </row>
    <row r="78" spans="1:3" x14ac:dyDescent="0.2">
      <c r="A78" s="9">
        <v>26999</v>
      </c>
      <c r="B78" s="10">
        <f>VLOOKUP(Table245[[#This Row],[Date]],'Database New'!$A:$D,MATCH($A$1,'Database New'!$A$1:$D$1,),)</f>
        <v>1869</v>
      </c>
      <c r="C78" s="30">
        <f>(Table245[[#This Row],[Completed]]-B77)/B77</f>
        <v>-2.9090909090909091E-2</v>
      </c>
    </row>
    <row r="79" spans="1:3" x14ac:dyDescent="0.2">
      <c r="A79" s="9">
        <v>27030</v>
      </c>
      <c r="B79" s="10">
        <f>VLOOKUP(Table245[[#This Row],[Date]],'Database New'!$A:$D,MATCH($A$1,'Database New'!$A$1:$D$1,),)</f>
        <v>1932</v>
      </c>
      <c r="C79" s="30">
        <f>(Table245[[#This Row],[Completed]]-B78)/B78</f>
        <v>3.3707865168539325E-2</v>
      </c>
    </row>
    <row r="80" spans="1:3" x14ac:dyDescent="0.2">
      <c r="A80" s="9">
        <v>27061</v>
      </c>
      <c r="B80" s="10">
        <f>VLOOKUP(Table245[[#This Row],[Date]],'Database New'!$A:$D,MATCH($A$1,'Database New'!$A$1:$D$1,),)</f>
        <v>1938</v>
      </c>
      <c r="C80" s="30">
        <f>(Table245[[#This Row],[Completed]]-B79)/B79</f>
        <v>3.105590062111801E-3</v>
      </c>
    </row>
    <row r="81" spans="1:3" x14ac:dyDescent="0.2">
      <c r="A81" s="9">
        <v>27089</v>
      </c>
      <c r="B81" s="10">
        <f>VLOOKUP(Table245[[#This Row],[Date]],'Database New'!$A:$D,MATCH($A$1,'Database New'!$A$1:$D$1,),)</f>
        <v>1806</v>
      </c>
      <c r="C81" s="30">
        <f>(Table245[[#This Row],[Completed]]-B80)/B80</f>
        <v>-6.8111455108359129E-2</v>
      </c>
    </row>
    <row r="82" spans="1:3" x14ac:dyDescent="0.2">
      <c r="A82" s="9">
        <v>27120</v>
      </c>
      <c r="B82" s="10">
        <f>VLOOKUP(Table245[[#This Row],[Date]],'Database New'!$A:$D,MATCH($A$1,'Database New'!$A$1:$D$1,),)</f>
        <v>1830</v>
      </c>
      <c r="C82" s="30">
        <f>(Table245[[#This Row],[Completed]]-B81)/B81</f>
        <v>1.3289036544850499E-2</v>
      </c>
    </row>
    <row r="83" spans="1:3" x14ac:dyDescent="0.2">
      <c r="A83" s="9">
        <v>27150</v>
      </c>
      <c r="B83" s="10">
        <f>VLOOKUP(Table245[[#This Row],[Date]],'Database New'!$A:$D,MATCH($A$1,'Database New'!$A$1:$D$1,),)</f>
        <v>1715</v>
      </c>
      <c r="C83" s="30">
        <f>(Table245[[#This Row],[Completed]]-B82)/B82</f>
        <v>-6.2841530054644809E-2</v>
      </c>
    </row>
    <row r="84" spans="1:3" x14ac:dyDescent="0.2">
      <c r="A84" s="9">
        <v>27181</v>
      </c>
      <c r="B84" s="10">
        <f>VLOOKUP(Table245[[#This Row],[Date]],'Database New'!$A:$D,MATCH($A$1,'Database New'!$A$1:$D$1,),)</f>
        <v>1897</v>
      </c>
      <c r="C84" s="30">
        <f>(Table245[[#This Row],[Completed]]-B83)/B83</f>
        <v>0.10612244897959183</v>
      </c>
    </row>
    <row r="85" spans="1:3" x14ac:dyDescent="0.2">
      <c r="A85" s="9">
        <v>27211</v>
      </c>
      <c r="B85" s="10">
        <f>VLOOKUP(Table245[[#This Row],[Date]],'Database New'!$A:$D,MATCH($A$1,'Database New'!$A$1:$D$1,),)</f>
        <v>1695</v>
      </c>
      <c r="C85" s="30">
        <f>(Table245[[#This Row],[Completed]]-B84)/B84</f>
        <v>-0.10648392198207696</v>
      </c>
    </row>
    <row r="86" spans="1:3" x14ac:dyDescent="0.2">
      <c r="A86" s="9">
        <v>27242</v>
      </c>
      <c r="B86" s="10">
        <f>VLOOKUP(Table245[[#This Row],[Date]],'Database New'!$A:$D,MATCH($A$1,'Database New'!$A$1:$D$1,),)</f>
        <v>1634</v>
      </c>
      <c r="C86" s="30">
        <f>(Table245[[#This Row],[Completed]]-B85)/B85</f>
        <v>-3.5988200589970501E-2</v>
      </c>
    </row>
    <row r="87" spans="1:3" x14ac:dyDescent="0.2">
      <c r="A87" s="9">
        <v>27273</v>
      </c>
      <c r="B87" s="10">
        <f>VLOOKUP(Table245[[#This Row],[Date]],'Database New'!$A:$D,MATCH($A$1,'Database New'!$A$1:$D$1,),)</f>
        <v>1651</v>
      </c>
      <c r="C87" s="30">
        <f>(Table245[[#This Row],[Completed]]-B86)/B86</f>
        <v>1.0403916768665851E-2</v>
      </c>
    </row>
    <row r="88" spans="1:3" x14ac:dyDescent="0.2">
      <c r="A88" s="9">
        <v>27303</v>
      </c>
      <c r="B88" s="10">
        <f>VLOOKUP(Table245[[#This Row],[Date]],'Database New'!$A:$D,MATCH($A$1,'Database New'!$A$1:$D$1,),)</f>
        <v>1630</v>
      </c>
      <c r="C88" s="30">
        <f>(Table245[[#This Row],[Completed]]-B87)/B87</f>
        <v>-1.2719563900666263E-2</v>
      </c>
    </row>
    <row r="89" spans="1:3" x14ac:dyDescent="0.2">
      <c r="A89" s="9">
        <v>27334</v>
      </c>
      <c r="B89" s="10">
        <f>VLOOKUP(Table245[[#This Row],[Date]],'Database New'!$A:$D,MATCH($A$1,'Database New'!$A$1:$D$1,),)</f>
        <v>1590</v>
      </c>
      <c r="C89" s="30">
        <f>(Table245[[#This Row],[Completed]]-B88)/B88</f>
        <v>-2.4539877300613498E-2</v>
      </c>
    </row>
    <row r="90" spans="1:3" x14ac:dyDescent="0.2">
      <c r="A90" s="9">
        <v>27364</v>
      </c>
      <c r="B90" s="10">
        <f>VLOOKUP(Table245[[#This Row],[Date]],'Database New'!$A:$D,MATCH($A$1,'Database New'!$A$1:$D$1,),)</f>
        <v>1540</v>
      </c>
      <c r="C90" s="30">
        <f>(Table245[[#This Row],[Completed]]-B89)/B89</f>
        <v>-3.1446540880503145E-2</v>
      </c>
    </row>
    <row r="91" spans="1:3" x14ac:dyDescent="0.2">
      <c r="A91" s="9">
        <v>27395</v>
      </c>
      <c r="B91" s="10">
        <f>VLOOKUP(Table245[[#This Row],[Date]],'Database New'!$A:$D,MATCH($A$1,'Database New'!$A$1:$D$1,),)</f>
        <v>1588</v>
      </c>
      <c r="C91" s="30">
        <f>(Table245[[#This Row],[Completed]]-B90)/B90</f>
        <v>3.1168831168831169E-2</v>
      </c>
    </row>
    <row r="92" spans="1:3" x14ac:dyDescent="0.2">
      <c r="A92" s="9">
        <v>27426</v>
      </c>
      <c r="B92" s="10">
        <f>VLOOKUP(Table245[[#This Row],[Date]],'Database New'!$A:$D,MATCH($A$1,'Database New'!$A$1:$D$1,),)</f>
        <v>1346</v>
      </c>
      <c r="C92" s="30">
        <f>(Table245[[#This Row],[Completed]]-B91)/B91</f>
        <v>-0.15239294710327456</v>
      </c>
    </row>
    <row r="93" spans="1:3" x14ac:dyDescent="0.2">
      <c r="A93" s="9">
        <v>27454</v>
      </c>
      <c r="B93" s="10">
        <f>VLOOKUP(Table245[[#This Row],[Date]],'Database New'!$A:$D,MATCH($A$1,'Database New'!$A$1:$D$1,),)</f>
        <v>1293</v>
      </c>
      <c r="C93" s="30">
        <f>(Table245[[#This Row],[Completed]]-B92)/B92</f>
        <v>-3.9375928677563149E-2</v>
      </c>
    </row>
    <row r="94" spans="1:3" x14ac:dyDescent="0.2">
      <c r="A94" s="9">
        <v>27485</v>
      </c>
      <c r="B94" s="10">
        <f>VLOOKUP(Table245[[#This Row],[Date]],'Database New'!$A:$D,MATCH($A$1,'Database New'!$A$1:$D$1,),)</f>
        <v>1278</v>
      </c>
      <c r="C94" s="30">
        <f>(Table245[[#This Row],[Completed]]-B93)/B93</f>
        <v>-1.1600928074245939E-2</v>
      </c>
    </row>
    <row r="95" spans="1:3" x14ac:dyDescent="0.2">
      <c r="A95" s="9">
        <v>27515</v>
      </c>
      <c r="B95" s="10">
        <f>VLOOKUP(Table245[[#This Row],[Date]],'Database New'!$A:$D,MATCH($A$1,'Database New'!$A$1:$D$1,),)</f>
        <v>1349</v>
      </c>
      <c r="C95" s="30">
        <f>(Table245[[#This Row],[Completed]]-B94)/B94</f>
        <v>5.5555555555555552E-2</v>
      </c>
    </row>
    <row r="96" spans="1:3" x14ac:dyDescent="0.2">
      <c r="A96" s="9">
        <v>27546</v>
      </c>
      <c r="B96" s="10">
        <f>VLOOKUP(Table245[[#This Row],[Date]],'Database New'!$A:$D,MATCH($A$1,'Database New'!$A$1:$D$1,),)</f>
        <v>1234</v>
      </c>
      <c r="C96" s="30">
        <f>(Table245[[#This Row],[Completed]]-B95)/B95</f>
        <v>-8.5248332097850266E-2</v>
      </c>
    </row>
    <row r="97" spans="1:3" x14ac:dyDescent="0.2">
      <c r="A97" s="9">
        <v>27576</v>
      </c>
      <c r="B97" s="10">
        <f>VLOOKUP(Table245[[#This Row],[Date]],'Database New'!$A:$D,MATCH($A$1,'Database New'!$A$1:$D$1,),)</f>
        <v>1276</v>
      </c>
      <c r="C97" s="30">
        <f>(Table245[[#This Row],[Completed]]-B96)/B96</f>
        <v>3.4035656401944892E-2</v>
      </c>
    </row>
    <row r="98" spans="1:3" x14ac:dyDescent="0.2">
      <c r="A98" s="9">
        <v>27607</v>
      </c>
      <c r="B98" s="10">
        <f>VLOOKUP(Table245[[#This Row],[Date]],'Database New'!$A:$D,MATCH($A$1,'Database New'!$A$1:$D$1,),)</f>
        <v>1290</v>
      </c>
      <c r="C98" s="30">
        <f>(Table245[[#This Row],[Completed]]-B97)/B97</f>
        <v>1.0971786833855799E-2</v>
      </c>
    </row>
    <row r="99" spans="1:3" x14ac:dyDescent="0.2">
      <c r="A99" s="9">
        <v>27638</v>
      </c>
      <c r="B99" s="10">
        <f>VLOOKUP(Table245[[#This Row],[Date]],'Database New'!$A:$D,MATCH($A$1,'Database New'!$A$1:$D$1,),)</f>
        <v>1333</v>
      </c>
      <c r="C99" s="30">
        <f>(Table245[[#This Row],[Completed]]-B98)/B98</f>
        <v>3.3333333333333333E-2</v>
      </c>
    </row>
    <row r="100" spans="1:3" x14ac:dyDescent="0.2">
      <c r="A100" s="9">
        <v>27668</v>
      </c>
      <c r="B100" s="10">
        <f>VLOOKUP(Table245[[#This Row],[Date]],'Database New'!$A:$D,MATCH($A$1,'Database New'!$A$1:$D$1,),)</f>
        <v>1134</v>
      </c>
      <c r="C100" s="30">
        <f>(Table245[[#This Row],[Completed]]-B99)/B99</f>
        <v>-0.14928732183045762</v>
      </c>
    </row>
    <row r="101" spans="1:3" x14ac:dyDescent="0.2">
      <c r="A101" s="9">
        <v>27699</v>
      </c>
      <c r="B101" s="10">
        <f>VLOOKUP(Table245[[#This Row],[Date]],'Database New'!$A:$D,MATCH($A$1,'Database New'!$A$1:$D$1,),)</f>
        <v>1383</v>
      </c>
      <c r="C101" s="30">
        <f>(Table245[[#This Row],[Completed]]-B100)/B100</f>
        <v>0.21957671957671956</v>
      </c>
    </row>
    <row r="102" spans="1:3" x14ac:dyDescent="0.2">
      <c r="A102" s="9">
        <v>27729</v>
      </c>
      <c r="B102" s="10">
        <f>VLOOKUP(Table245[[#This Row],[Date]],'Database New'!$A:$D,MATCH($A$1,'Database New'!$A$1:$D$1,),)</f>
        <v>1306</v>
      </c>
      <c r="C102" s="30">
        <f>(Table245[[#This Row],[Completed]]-B101)/B101</f>
        <v>-5.5676066522053508E-2</v>
      </c>
    </row>
    <row r="103" spans="1:3" x14ac:dyDescent="0.2">
      <c r="A103" s="9">
        <v>27760</v>
      </c>
      <c r="B103" s="10">
        <f>VLOOKUP(Table245[[#This Row],[Date]],'Database New'!$A:$D,MATCH($A$1,'Database New'!$A$1:$D$1,),)</f>
        <v>1258</v>
      </c>
      <c r="C103" s="30">
        <f>(Table245[[#This Row],[Completed]]-B102)/B102</f>
        <v>-3.6753445635528334E-2</v>
      </c>
    </row>
    <row r="104" spans="1:3" x14ac:dyDescent="0.2">
      <c r="A104" s="9">
        <v>27791</v>
      </c>
      <c r="B104" s="10">
        <f>VLOOKUP(Table245[[#This Row],[Date]],'Database New'!$A:$D,MATCH($A$1,'Database New'!$A$1:$D$1,),)</f>
        <v>1311</v>
      </c>
      <c r="C104" s="30">
        <f>(Table245[[#This Row],[Completed]]-B103)/B103</f>
        <v>4.2130365659777423E-2</v>
      </c>
    </row>
    <row r="105" spans="1:3" x14ac:dyDescent="0.2">
      <c r="A105" s="9">
        <v>27820</v>
      </c>
      <c r="B105" s="10">
        <f>VLOOKUP(Table245[[#This Row],[Date]],'Database New'!$A:$D,MATCH($A$1,'Database New'!$A$1:$D$1,),)</f>
        <v>1347</v>
      </c>
      <c r="C105" s="30">
        <f>(Table245[[#This Row],[Completed]]-B104)/B104</f>
        <v>2.7459954233409609E-2</v>
      </c>
    </row>
    <row r="106" spans="1:3" x14ac:dyDescent="0.2">
      <c r="A106" s="9">
        <v>27851</v>
      </c>
      <c r="B106" s="10">
        <f>VLOOKUP(Table245[[#This Row],[Date]],'Database New'!$A:$D,MATCH($A$1,'Database New'!$A$1:$D$1,),)</f>
        <v>1332</v>
      </c>
      <c r="C106" s="30">
        <f>(Table245[[#This Row],[Completed]]-B105)/B105</f>
        <v>-1.1135857461024499E-2</v>
      </c>
    </row>
    <row r="107" spans="1:3" x14ac:dyDescent="0.2">
      <c r="A107" s="9">
        <v>27881</v>
      </c>
      <c r="B107" s="10">
        <f>VLOOKUP(Table245[[#This Row],[Date]],'Database New'!$A:$D,MATCH($A$1,'Database New'!$A$1:$D$1,),)</f>
        <v>1440</v>
      </c>
      <c r="C107" s="30">
        <f>(Table245[[#This Row],[Completed]]-B106)/B106</f>
        <v>8.1081081081081086E-2</v>
      </c>
    </row>
    <row r="108" spans="1:3" x14ac:dyDescent="0.2">
      <c r="A108" s="9">
        <v>27912</v>
      </c>
      <c r="B108" s="10">
        <f>VLOOKUP(Table245[[#This Row],[Date]],'Database New'!$A:$D,MATCH($A$1,'Database New'!$A$1:$D$1,),)</f>
        <v>1390</v>
      </c>
      <c r="C108" s="30">
        <f>(Table245[[#This Row],[Completed]]-B107)/B107</f>
        <v>-3.4722222222222224E-2</v>
      </c>
    </row>
    <row r="109" spans="1:3" x14ac:dyDescent="0.2">
      <c r="A109" s="9">
        <v>27942</v>
      </c>
      <c r="B109" s="10">
        <f>VLOOKUP(Table245[[#This Row],[Date]],'Database New'!$A:$D,MATCH($A$1,'Database New'!$A$1:$D$1,),)</f>
        <v>1322</v>
      </c>
      <c r="C109" s="30">
        <f>(Table245[[#This Row],[Completed]]-B108)/B108</f>
        <v>-4.8920863309352518E-2</v>
      </c>
    </row>
    <row r="110" spans="1:3" x14ac:dyDescent="0.2">
      <c r="A110" s="9">
        <v>27973</v>
      </c>
      <c r="B110" s="10">
        <f>VLOOKUP(Table245[[#This Row],[Date]],'Database New'!$A:$D,MATCH($A$1,'Database New'!$A$1:$D$1,),)</f>
        <v>1374</v>
      </c>
      <c r="C110" s="30">
        <f>(Table245[[#This Row],[Completed]]-B109)/B109</f>
        <v>3.9334341906202726E-2</v>
      </c>
    </row>
    <row r="111" spans="1:3" x14ac:dyDescent="0.2">
      <c r="A111" s="9">
        <v>28004</v>
      </c>
      <c r="B111" s="10">
        <f>VLOOKUP(Table245[[#This Row],[Date]],'Database New'!$A:$D,MATCH($A$1,'Database New'!$A$1:$D$1,),)</f>
        <v>1371</v>
      </c>
      <c r="C111" s="30">
        <f>(Table245[[#This Row],[Completed]]-B110)/B110</f>
        <v>-2.1834061135371178E-3</v>
      </c>
    </row>
    <row r="112" spans="1:3" x14ac:dyDescent="0.2">
      <c r="A112" s="9">
        <v>28034</v>
      </c>
      <c r="B112" s="10">
        <f>VLOOKUP(Table245[[#This Row],[Date]],'Database New'!$A:$D,MATCH($A$1,'Database New'!$A$1:$D$1,),)</f>
        <v>1388</v>
      </c>
      <c r="C112" s="30">
        <f>(Table245[[#This Row],[Completed]]-B111)/B111</f>
        <v>1.2399708242159009E-2</v>
      </c>
    </row>
    <row r="113" spans="1:3" x14ac:dyDescent="0.2">
      <c r="A113" s="9">
        <v>28065</v>
      </c>
      <c r="B113" s="10">
        <f>VLOOKUP(Table245[[#This Row],[Date]],'Database New'!$A:$D,MATCH($A$1,'Database New'!$A$1:$D$1,),)</f>
        <v>1428</v>
      </c>
      <c r="C113" s="30">
        <f>(Table245[[#This Row],[Completed]]-B112)/B112</f>
        <v>2.8818443804034581E-2</v>
      </c>
    </row>
    <row r="114" spans="1:3" x14ac:dyDescent="0.2">
      <c r="A114" s="9">
        <v>28095</v>
      </c>
      <c r="B114" s="10">
        <f>VLOOKUP(Table245[[#This Row],[Date]],'Database New'!$A:$D,MATCH($A$1,'Database New'!$A$1:$D$1,),)</f>
        <v>1457</v>
      </c>
      <c r="C114" s="30">
        <f>(Table245[[#This Row],[Completed]]-B113)/B113</f>
        <v>2.0308123249299721E-2</v>
      </c>
    </row>
    <row r="115" spans="1:3" x14ac:dyDescent="0.2">
      <c r="A115" s="9">
        <v>28126</v>
      </c>
      <c r="B115" s="10">
        <f>VLOOKUP(Table245[[#This Row],[Date]],'Database New'!$A:$D,MATCH($A$1,'Database New'!$A$1:$D$1,),)</f>
        <v>1457</v>
      </c>
      <c r="C115" s="30">
        <f>(Table245[[#This Row],[Completed]]-B114)/B114</f>
        <v>0</v>
      </c>
    </row>
    <row r="116" spans="1:3" x14ac:dyDescent="0.2">
      <c r="A116" s="9">
        <v>28157</v>
      </c>
      <c r="B116" s="10">
        <f>VLOOKUP(Table245[[#This Row],[Date]],'Database New'!$A:$D,MATCH($A$1,'Database New'!$A$1:$D$1,),)</f>
        <v>1655</v>
      </c>
      <c r="C116" s="30">
        <f>(Table245[[#This Row],[Completed]]-B115)/B115</f>
        <v>0.13589567604667124</v>
      </c>
    </row>
    <row r="117" spans="1:3" x14ac:dyDescent="0.2">
      <c r="A117" s="9">
        <v>28185</v>
      </c>
      <c r="B117" s="10">
        <f>VLOOKUP(Table245[[#This Row],[Date]],'Database New'!$A:$D,MATCH($A$1,'Database New'!$A$1:$D$1,),)</f>
        <v>1619</v>
      </c>
      <c r="C117" s="30">
        <f>(Table245[[#This Row],[Completed]]-B116)/B116</f>
        <v>-2.175226586102719E-2</v>
      </c>
    </row>
    <row r="118" spans="1:3" x14ac:dyDescent="0.2">
      <c r="A118" s="9">
        <v>28216</v>
      </c>
      <c r="B118" s="10">
        <f>VLOOKUP(Table245[[#This Row],[Date]],'Database New'!$A:$D,MATCH($A$1,'Database New'!$A$1:$D$1,),)</f>
        <v>1548</v>
      </c>
      <c r="C118" s="30">
        <f>(Table245[[#This Row],[Completed]]-B117)/B117</f>
        <v>-4.3854231006794316E-2</v>
      </c>
    </row>
    <row r="119" spans="1:3" x14ac:dyDescent="0.2">
      <c r="A119" s="9">
        <v>28246</v>
      </c>
      <c r="B119" s="10">
        <f>VLOOKUP(Table245[[#This Row],[Date]],'Database New'!$A:$D,MATCH($A$1,'Database New'!$A$1:$D$1,),)</f>
        <v>1555</v>
      </c>
      <c r="C119" s="30">
        <f>(Table245[[#This Row],[Completed]]-B118)/B118</f>
        <v>4.5219638242894053E-3</v>
      </c>
    </row>
    <row r="120" spans="1:3" x14ac:dyDescent="0.2">
      <c r="A120" s="9">
        <v>28277</v>
      </c>
      <c r="B120" s="10">
        <f>VLOOKUP(Table245[[#This Row],[Date]],'Database New'!$A:$D,MATCH($A$1,'Database New'!$A$1:$D$1,),)</f>
        <v>1636</v>
      </c>
      <c r="C120" s="30">
        <f>(Table245[[#This Row],[Completed]]-B119)/B119</f>
        <v>5.2090032154340833E-2</v>
      </c>
    </row>
    <row r="121" spans="1:3" x14ac:dyDescent="0.2">
      <c r="A121" s="9">
        <v>28307</v>
      </c>
      <c r="B121" s="10">
        <f>VLOOKUP(Table245[[#This Row],[Date]],'Database New'!$A:$D,MATCH($A$1,'Database New'!$A$1:$D$1,),)</f>
        <v>1687</v>
      </c>
      <c r="C121" s="30">
        <f>(Table245[[#This Row],[Completed]]-B120)/B120</f>
        <v>3.1173594132029341E-2</v>
      </c>
    </row>
    <row r="122" spans="1:3" x14ac:dyDescent="0.2">
      <c r="A122" s="9">
        <v>28338</v>
      </c>
      <c r="B122" s="10">
        <f>VLOOKUP(Table245[[#This Row],[Date]],'Database New'!$A:$D,MATCH($A$1,'Database New'!$A$1:$D$1,),)</f>
        <v>1673</v>
      </c>
      <c r="C122" s="30">
        <f>(Table245[[#This Row],[Completed]]-B121)/B121</f>
        <v>-8.2987551867219917E-3</v>
      </c>
    </row>
    <row r="123" spans="1:3" x14ac:dyDescent="0.2">
      <c r="A123" s="9">
        <v>28369</v>
      </c>
      <c r="B123" s="10">
        <f>VLOOKUP(Table245[[#This Row],[Date]],'Database New'!$A:$D,MATCH($A$1,'Database New'!$A$1:$D$1,),)</f>
        <v>1865</v>
      </c>
      <c r="C123" s="30">
        <f>(Table245[[#This Row],[Completed]]-B122)/B122</f>
        <v>0.11476389719067544</v>
      </c>
    </row>
    <row r="124" spans="1:3" x14ac:dyDescent="0.2">
      <c r="A124" s="9">
        <v>28399</v>
      </c>
      <c r="B124" s="10">
        <f>VLOOKUP(Table245[[#This Row],[Date]],'Database New'!$A:$D,MATCH($A$1,'Database New'!$A$1:$D$1,),)</f>
        <v>1675</v>
      </c>
      <c r="C124" s="30">
        <f>(Table245[[#This Row],[Completed]]-B123)/B123</f>
        <v>-0.10187667560321716</v>
      </c>
    </row>
    <row r="125" spans="1:3" x14ac:dyDescent="0.2">
      <c r="A125" s="9">
        <v>28430</v>
      </c>
      <c r="B125" s="10">
        <f>VLOOKUP(Table245[[#This Row],[Date]],'Database New'!$A:$D,MATCH($A$1,'Database New'!$A$1:$D$1,),)</f>
        <v>1770</v>
      </c>
      <c r="C125" s="30">
        <f>(Table245[[#This Row],[Completed]]-B124)/B124</f>
        <v>5.6716417910447764E-2</v>
      </c>
    </row>
    <row r="126" spans="1:3" x14ac:dyDescent="0.2">
      <c r="A126" s="9">
        <v>28460</v>
      </c>
      <c r="B126" s="10">
        <f>VLOOKUP(Table245[[#This Row],[Date]],'Database New'!$A:$D,MATCH($A$1,'Database New'!$A$1:$D$1,),)</f>
        <v>1634</v>
      </c>
      <c r="C126" s="30">
        <f>(Table245[[#This Row],[Completed]]-B125)/B125</f>
        <v>-7.6836158192090401E-2</v>
      </c>
    </row>
    <row r="127" spans="1:3" x14ac:dyDescent="0.2">
      <c r="A127" s="9">
        <v>28491</v>
      </c>
      <c r="B127" s="10">
        <f>VLOOKUP(Table245[[#This Row],[Date]],'Database New'!$A:$D,MATCH($A$1,'Database New'!$A$1:$D$1,),)</f>
        <v>1777</v>
      </c>
      <c r="C127" s="30">
        <f>(Table245[[#This Row],[Completed]]-B126)/B126</f>
        <v>8.7515299877600983E-2</v>
      </c>
    </row>
    <row r="128" spans="1:3" x14ac:dyDescent="0.2">
      <c r="A128" s="9">
        <v>28522</v>
      </c>
      <c r="B128" s="10">
        <f>VLOOKUP(Table245[[#This Row],[Date]],'Database New'!$A:$D,MATCH($A$1,'Database New'!$A$1:$D$1,),)</f>
        <v>1719</v>
      </c>
      <c r="C128" s="30">
        <f>(Table245[[#This Row],[Completed]]-B127)/B127</f>
        <v>-3.2639279684862126E-2</v>
      </c>
    </row>
    <row r="129" spans="1:3" x14ac:dyDescent="0.2">
      <c r="A129" s="9">
        <v>28550</v>
      </c>
      <c r="B129" s="10">
        <f>VLOOKUP(Table245[[#This Row],[Date]],'Database New'!$A:$D,MATCH($A$1,'Database New'!$A$1:$D$1,),)</f>
        <v>1785</v>
      </c>
      <c r="C129" s="30">
        <f>(Table245[[#This Row],[Completed]]-B128)/B128</f>
        <v>3.8394415357766144E-2</v>
      </c>
    </row>
    <row r="130" spans="1:3" x14ac:dyDescent="0.2">
      <c r="A130" s="9">
        <v>28581</v>
      </c>
      <c r="B130" s="10">
        <f>VLOOKUP(Table245[[#This Row],[Date]],'Database New'!$A:$D,MATCH($A$1,'Database New'!$A$1:$D$1,),)</f>
        <v>1843</v>
      </c>
      <c r="C130" s="30">
        <f>(Table245[[#This Row],[Completed]]-B129)/B129</f>
        <v>3.2492997198879554E-2</v>
      </c>
    </row>
    <row r="131" spans="1:3" x14ac:dyDescent="0.2">
      <c r="A131" s="13">
        <v>28611</v>
      </c>
      <c r="B131" s="10">
        <f>VLOOKUP(Table245[[#This Row],[Date]],'Database New'!$A:$D,MATCH($A$1,'Database New'!$A$1:$D$1,),)</f>
        <v>1850</v>
      </c>
      <c r="C131" s="30">
        <f>(Table245[[#This Row],[Completed]]-B130)/B130</f>
        <v>3.7981551817688553E-3</v>
      </c>
    </row>
    <row r="132" spans="1:3" x14ac:dyDescent="0.2">
      <c r="A132" s="13">
        <v>28642</v>
      </c>
      <c r="B132" s="10">
        <f>VLOOKUP(Table245[[#This Row],[Date]],'Database New'!$A:$D,MATCH($A$1,'Database New'!$A$1:$D$1,),)</f>
        <v>1905</v>
      </c>
      <c r="C132" s="30">
        <f>(Table245[[#This Row],[Completed]]-B131)/B131</f>
        <v>2.9729729729729731E-2</v>
      </c>
    </row>
    <row r="133" spans="1:3" x14ac:dyDescent="0.2">
      <c r="A133" s="13">
        <v>28672</v>
      </c>
      <c r="B133" s="10">
        <f>VLOOKUP(Table245[[#This Row],[Date]],'Database New'!$A:$D,MATCH($A$1,'Database New'!$A$1:$D$1,),)</f>
        <v>1957</v>
      </c>
      <c r="C133" s="30">
        <f>(Table245[[#This Row],[Completed]]-B132)/B132</f>
        <v>2.7296587926509186E-2</v>
      </c>
    </row>
    <row r="134" spans="1:3" x14ac:dyDescent="0.2">
      <c r="A134" s="13">
        <v>28703</v>
      </c>
      <c r="B134" s="10">
        <f>VLOOKUP(Table245[[#This Row],[Date]],'Database New'!$A:$D,MATCH($A$1,'Database New'!$A$1:$D$1,),)</f>
        <v>1976</v>
      </c>
      <c r="C134" s="30">
        <f>(Table245[[#This Row],[Completed]]-B133)/B133</f>
        <v>9.7087378640776691E-3</v>
      </c>
    </row>
    <row r="135" spans="1:3" x14ac:dyDescent="0.2">
      <c r="A135" s="13">
        <v>28734</v>
      </c>
      <c r="B135" s="10">
        <f>VLOOKUP(Table245[[#This Row],[Date]],'Database New'!$A:$D,MATCH($A$1,'Database New'!$A$1:$D$1,),)</f>
        <v>1944</v>
      </c>
      <c r="C135" s="30">
        <f>(Table245[[#This Row],[Completed]]-B134)/B134</f>
        <v>-1.6194331983805668E-2</v>
      </c>
    </row>
    <row r="136" spans="1:3" x14ac:dyDescent="0.2">
      <c r="A136" s="13">
        <v>28764</v>
      </c>
      <c r="B136" s="10">
        <f>VLOOKUP(Table245[[#This Row],[Date]],'Database New'!$A:$D,MATCH($A$1,'Database New'!$A$1:$D$1,),)</f>
        <v>1885</v>
      </c>
      <c r="C136" s="30">
        <f>(Table245[[#This Row],[Completed]]-B135)/B135</f>
        <v>-3.0349794238683128E-2</v>
      </c>
    </row>
    <row r="137" spans="1:3" x14ac:dyDescent="0.2">
      <c r="A137" s="13">
        <v>28795</v>
      </c>
      <c r="B137" s="10">
        <f>VLOOKUP(Table245[[#This Row],[Date]],'Database New'!$A:$D,MATCH($A$1,'Database New'!$A$1:$D$1,),)</f>
        <v>1877</v>
      </c>
      <c r="C137" s="30">
        <f>(Table245[[#This Row],[Completed]]-B136)/B136</f>
        <v>-4.2440318302387264E-3</v>
      </c>
    </row>
    <row r="138" spans="1:3" x14ac:dyDescent="0.2">
      <c r="A138" s="13">
        <v>28825</v>
      </c>
      <c r="B138" s="10">
        <f>VLOOKUP(Table245[[#This Row],[Date]],'Database New'!$A:$D,MATCH($A$1,'Database New'!$A$1:$D$1,),)</f>
        <v>1844</v>
      </c>
      <c r="C138" s="30">
        <f>(Table245[[#This Row],[Completed]]-B137)/B137</f>
        <v>-1.7581246670218435E-2</v>
      </c>
    </row>
    <row r="139" spans="1:3" x14ac:dyDescent="0.2">
      <c r="A139" s="13">
        <v>28856</v>
      </c>
      <c r="B139" s="10">
        <f>VLOOKUP(Table245[[#This Row],[Date]],'Database New'!$A:$D,MATCH($A$1,'Database New'!$A$1:$D$1,),)</f>
        <v>1850</v>
      </c>
      <c r="C139" s="30">
        <f>(Table245[[#This Row],[Completed]]-B138)/B138</f>
        <v>3.2537960954446853E-3</v>
      </c>
    </row>
    <row r="140" spans="1:3" x14ac:dyDescent="0.2">
      <c r="A140" s="13">
        <v>28887</v>
      </c>
      <c r="B140" s="10">
        <f>VLOOKUP(Table245[[#This Row],[Date]],'Database New'!$A:$D,MATCH($A$1,'Database New'!$A$1:$D$1,),)</f>
        <v>1845</v>
      </c>
      <c r="C140" s="30">
        <f>(Table245[[#This Row],[Completed]]-B139)/B139</f>
        <v>-2.7027027027027029E-3</v>
      </c>
    </row>
    <row r="141" spans="1:3" x14ac:dyDescent="0.2">
      <c r="A141" s="13">
        <v>28915</v>
      </c>
      <c r="B141" s="10">
        <f>VLOOKUP(Table245[[#This Row],[Date]],'Database New'!$A:$D,MATCH($A$1,'Database New'!$A$1:$D$1,),)</f>
        <v>1946</v>
      </c>
      <c r="C141" s="30">
        <f>(Table245[[#This Row],[Completed]]-B140)/B140</f>
        <v>5.4742547425474256E-2</v>
      </c>
    </row>
    <row r="142" spans="1:3" x14ac:dyDescent="0.2">
      <c r="A142" s="13">
        <v>28946</v>
      </c>
      <c r="B142" s="10">
        <f>VLOOKUP(Table245[[#This Row],[Date]],'Database New'!$A:$D,MATCH($A$1,'Database New'!$A$1:$D$1,),)</f>
        <v>1866</v>
      </c>
      <c r="C142" s="30">
        <f>(Table245[[#This Row],[Completed]]-B141)/B141</f>
        <v>-4.1109969167523124E-2</v>
      </c>
    </row>
    <row r="143" spans="1:3" x14ac:dyDescent="0.2">
      <c r="A143" s="13">
        <v>28976</v>
      </c>
      <c r="B143" s="10">
        <f>VLOOKUP(Table245[[#This Row],[Date]],'Database New'!$A:$D,MATCH($A$1,'Database New'!$A$1:$D$1,),)</f>
        <v>2007</v>
      </c>
      <c r="C143" s="30">
        <f>(Table245[[#This Row],[Completed]]-B142)/B142</f>
        <v>7.5562700964630219E-2</v>
      </c>
    </row>
    <row r="144" spans="1:3" x14ac:dyDescent="0.2">
      <c r="A144" s="13">
        <v>29007</v>
      </c>
      <c r="B144" s="10">
        <f>VLOOKUP(Table245[[#This Row],[Date]],'Database New'!$A:$D,MATCH($A$1,'Database New'!$A$1:$D$1,),)</f>
        <v>1853</v>
      </c>
      <c r="C144" s="30">
        <f>(Table245[[#This Row],[Completed]]-B143)/B143</f>
        <v>-7.6731439960139508E-2</v>
      </c>
    </row>
    <row r="145" spans="1:3" x14ac:dyDescent="0.2">
      <c r="A145" s="13">
        <v>29037</v>
      </c>
      <c r="B145" s="10">
        <f>VLOOKUP(Table245[[#This Row],[Date]],'Database New'!$A:$D,MATCH($A$1,'Database New'!$A$1:$D$1,),)</f>
        <v>1759</v>
      </c>
      <c r="C145" s="30">
        <f>(Table245[[#This Row],[Completed]]-B144)/B144</f>
        <v>-5.0728548300053966E-2</v>
      </c>
    </row>
    <row r="146" spans="1:3" x14ac:dyDescent="0.2">
      <c r="A146" s="13">
        <v>29068</v>
      </c>
      <c r="B146" s="10">
        <f>VLOOKUP(Table245[[#This Row],[Date]],'Database New'!$A:$D,MATCH($A$1,'Database New'!$A$1:$D$1,),)</f>
        <v>1779</v>
      </c>
      <c r="C146" s="30">
        <f>(Table245[[#This Row],[Completed]]-B145)/B145</f>
        <v>1.137009664582149E-2</v>
      </c>
    </row>
    <row r="147" spans="1:3" x14ac:dyDescent="0.2">
      <c r="A147" s="9">
        <v>29099</v>
      </c>
      <c r="B147" s="10">
        <f>VLOOKUP(Table245[[#This Row],[Date]],'Database New'!$A:$D,MATCH($A$1,'Database New'!$A$1:$D$1,),)</f>
        <v>1983</v>
      </c>
      <c r="C147" s="30">
        <f>(Table245[[#This Row],[Completed]]-B146)/B146</f>
        <v>0.11467116357504216</v>
      </c>
    </row>
    <row r="148" spans="1:3" x14ac:dyDescent="0.2">
      <c r="A148" s="9">
        <v>29129</v>
      </c>
      <c r="B148" s="10">
        <f>VLOOKUP(Table245[[#This Row],[Date]],'Database New'!$A:$D,MATCH($A$1,'Database New'!$A$1:$D$1,),)</f>
        <v>1832</v>
      </c>
      <c r="C148" s="30">
        <f>(Table245[[#This Row],[Completed]]-B147)/B147</f>
        <v>-7.6147251638930907E-2</v>
      </c>
    </row>
    <row r="149" spans="1:3" x14ac:dyDescent="0.2">
      <c r="A149" s="9">
        <v>29160</v>
      </c>
      <c r="B149" s="10">
        <f>VLOOKUP(Table245[[#This Row],[Date]],'Database New'!$A:$D,MATCH($A$1,'Database New'!$A$1:$D$1,),)</f>
        <v>1892</v>
      </c>
      <c r="C149" s="30">
        <f>(Table245[[#This Row],[Completed]]-B148)/B148</f>
        <v>3.2751091703056769E-2</v>
      </c>
    </row>
    <row r="150" spans="1:3" x14ac:dyDescent="0.2">
      <c r="A150" s="9">
        <v>29190</v>
      </c>
      <c r="B150" s="10">
        <f>VLOOKUP(Table245[[#This Row],[Date]],'Database New'!$A:$D,MATCH($A$1,'Database New'!$A$1:$D$1,),)</f>
        <v>1863</v>
      </c>
      <c r="C150" s="30">
        <f>(Table245[[#This Row],[Completed]]-B149)/B149</f>
        <v>-1.53276955602537E-2</v>
      </c>
    </row>
    <row r="151" spans="1:3" x14ac:dyDescent="0.2">
      <c r="A151" s="9">
        <v>29221</v>
      </c>
      <c r="B151" s="10">
        <f>VLOOKUP(Table245[[#This Row],[Date]],'Database New'!$A:$D,MATCH($A$1,'Database New'!$A$1:$D$1,),)</f>
        <v>1794</v>
      </c>
      <c r="C151" s="30">
        <f>(Table245[[#This Row],[Completed]]-B150)/B150</f>
        <v>-3.7037037037037035E-2</v>
      </c>
    </row>
    <row r="152" spans="1:3" x14ac:dyDescent="0.2">
      <c r="A152" s="9">
        <v>29252</v>
      </c>
      <c r="B152" s="10">
        <f>VLOOKUP(Table245[[#This Row],[Date]],'Database New'!$A:$D,MATCH($A$1,'Database New'!$A$1:$D$1,),)</f>
        <v>1803</v>
      </c>
      <c r="C152" s="30">
        <f>(Table245[[#This Row],[Completed]]-B151)/B151</f>
        <v>5.016722408026756E-3</v>
      </c>
    </row>
    <row r="153" spans="1:3" x14ac:dyDescent="0.2">
      <c r="A153" s="9">
        <v>29281</v>
      </c>
      <c r="B153" s="10">
        <f>VLOOKUP(Table245[[#This Row],[Date]],'Database New'!$A:$D,MATCH($A$1,'Database New'!$A$1:$D$1,),)</f>
        <v>1701</v>
      </c>
      <c r="C153" s="30">
        <f>(Table245[[#This Row],[Completed]]-B152)/B152</f>
        <v>-5.6572379367720464E-2</v>
      </c>
    </row>
    <row r="154" spans="1:3" x14ac:dyDescent="0.2">
      <c r="A154" s="9">
        <v>29312</v>
      </c>
      <c r="B154" s="10">
        <f>VLOOKUP(Table245[[#This Row],[Date]],'Database New'!$A:$D,MATCH($A$1,'Database New'!$A$1:$D$1,),)</f>
        <v>1751</v>
      </c>
      <c r="C154" s="30">
        <f>(Table245[[#This Row],[Completed]]-B153)/B153</f>
        <v>2.9394473838918283E-2</v>
      </c>
    </row>
    <row r="155" spans="1:3" x14ac:dyDescent="0.2">
      <c r="A155" s="9">
        <v>29342</v>
      </c>
      <c r="B155" s="10">
        <f>VLOOKUP(Table245[[#This Row],[Date]],'Database New'!$A:$D,MATCH($A$1,'Database New'!$A$1:$D$1,),)</f>
        <v>1532</v>
      </c>
      <c r="C155" s="30">
        <f>(Table245[[#This Row],[Completed]]-B154)/B154</f>
        <v>-0.12507138777841234</v>
      </c>
    </row>
    <row r="156" spans="1:3" x14ac:dyDescent="0.2">
      <c r="A156" s="9">
        <v>29373</v>
      </c>
      <c r="B156" s="10">
        <f>VLOOKUP(Table245[[#This Row],[Date]],'Database New'!$A:$D,MATCH($A$1,'Database New'!$A$1:$D$1,),)</f>
        <v>1480</v>
      </c>
      <c r="C156" s="30">
        <f>(Table245[[#This Row],[Completed]]-B155)/B155</f>
        <v>-3.3942558746736295E-2</v>
      </c>
    </row>
    <row r="157" spans="1:3" x14ac:dyDescent="0.2">
      <c r="A157" s="9">
        <v>29403</v>
      </c>
      <c r="B157" s="10">
        <f>VLOOKUP(Table245[[#This Row],[Date]],'Database New'!$A:$D,MATCH($A$1,'Database New'!$A$1:$D$1,),)</f>
        <v>1472</v>
      </c>
      <c r="C157" s="30">
        <f>(Table245[[#This Row],[Completed]]-B156)/B156</f>
        <v>-5.4054054054054057E-3</v>
      </c>
    </row>
    <row r="158" spans="1:3" x14ac:dyDescent="0.2">
      <c r="A158" s="9">
        <v>29434</v>
      </c>
      <c r="B158" s="10">
        <f>VLOOKUP(Table245[[#This Row],[Date]],'Database New'!$A:$D,MATCH($A$1,'Database New'!$A$1:$D$1,),)</f>
        <v>1440</v>
      </c>
      <c r="C158" s="30">
        <f>(Table245[[#This Row],[Completed]]-B157)/B157</f>
        <v>-2.1739130434782608E-2</v>
      </c>
    </row>
    <row r="159" spans="1:3" x14ac:dyDescent="0.2">
      <c r="A159" s="9">
        <v>29465</v>
      </c>
      <c r="B159" s="10">
        <f>VLOOKUP(Table245[[#This Row],[Date]],'Database New'!$A:$D,MATCH($A$1,'Database New'!$A$1:$D$1,),)</f>
        <v>1267</v>
      </c>
      <c r="C159" s="30">
        <f>(Table245[[#This Row],[Completed]]-B158)/B158</f>
        <v>-0.12013888888888889</v>
      </c>
    </row>
    <row r="160" spans="1:3" x14ac:dyDescent="0.2">
      <c r="A160" s="9">
        <v>29495</v>
      </c>
      <c r="B160" s="10">
        <f>VLOOKUP(Table245[[#This Row],[Date]],'Database New'!$A:$D,MATCH($A$1,'Database New'!$A$1:$D$1,),)</f>
        <v>1272</v>
      </c>
      <c r="C160" s="30">
        <f>(Table245[[#This Row],[Completed]]-B159)/B159</f>
        <v>3.9463299131807421E-3</v>
      </c>
    </row>
    <row r="161" spans="1:3" x14ac:dyDescent="0.2">
      <c r="A161" s="9">
        <v>29526</v>
      </c>
      <c r="B161" s="10">
        <f>VLOOKUP(Table245[[#This Row],[Date]],'Database New'!$A:$D,MATCH($A$1,'Database New'!$A$1:$D$1,),)</f>
        <v>1313</v>
      </c>
      <c r="C161" s="30">
        <f>(Table245[[#This Row],[Completed]]-B160)/B160</f>
        <v>3.2232704402515723E-2</v>
      </c>
    </row>
    <row r="162" spans="1:3" x14ac:dyDescent="0.2">
      <c r="A162" s="9">
        <v>29556</v>
      </c>
      <c r="B162" s="10">
        <f>VLOOKUP(Table245[[#This Row],[Date]],'Database New'!$A:$D,MATCH($A$1,'Database New'!$A$1:$D$1,),)</f>
        <v>1378</v>
      </c>
      <c r="C162" s="30">
        <f>(Table245[[#This Row],[Completed]]-B161)/B161</f>
        <v>4.9504950495049507E-2</v>
      </c>
    </row>
    <row r="163" spans="1:3" x14ac:dyDescent="0.2">
      <c r="A163" s="9">
        <v>29587</v>
      </c>
      <c r="B163" s="10">
        <f>VLOOKUP(Table245[[#This Row],[Date]],'Database New'!$A:$D,MATCH($A$1,'Database New'!$A$1:$D$1,),)</f>
        <v>1270</v>
      </c>
      <c r="C163" s="30">
        <f>(Table245[[#This Row],[Completed]]-B162)/B162</f>
        <v>-7.8374455732946297E-2</v>
      </c>
    </row>
    <row r="164" spans="1:3" x14ac:dyDescent="0.2">
      <c r="A164" s="9">
        <v>29618</v>
      </c>
      <c r="B164" s="10">
        <f>VLOOKUP(Table245[[#This Row],[Date]],'Database New'!$A:$D,MATCH($A$1,'Database New'!$A$1:$D$1,),)</f>
        <v>1395</v>
      </c>
      <c r="C164" s="30">
        <f>(Table245[[#This Row],[Completed]]-B163)/B163</f>
        <v>9.8425196850393706E-2</v>
      </c>
    </row>
    <row r="165" spans="1:3" x14ac:dyDescent="0.2">
      <c r="A165" s="9">
        <v>29646</v>
      </c>
      <c r="B165" s="10">
        <f>VLOOKUP(Table245[[#This Row],[Date]],'Database New'!$A:$D,MATCH($A$1,'Database New'!$A$1:$D$1,),)</f>
        <v>1377</v>
      </c>
      <c r="C165" s="30">
        <f>(Table245[[#This Row],[Completed]]-B164)/B164</f>
        <v>-1.2903225806451613E-2</v>
      </c>
    </row>
    <row r="166" spans="1:3" x14ac:dyDescent="0.2">
      <c r="A166" s="9">
        <v>29677</v>
      </c>
      <c r="B166" s="10">
        <f>VLOOKUP(Table245[[#This Row],[Date]],'Database New'!$A:$D,MATCH($A$1,'Database New'!$A$1:$D$1,),)</f>
        <v>1469</v>
      </c>
      <c r="C166" s="30">
        <f>(Table245[[#This Row],[Completed]]-B165)/B165</f>
        <v>6.6811909949164847E-2</v>
      </c>
    </row>
    <row r="167" spans="1:3" x14ac:dyDescent="0.2">
      <c r="A167" s="9">
        <v>29707</v>
      </c>
      <c r="B167" s="10">
        <f>VLOOKUP(Table245[[#This Row],[Date]],'Database New'!$A:$D,MATCH($A$1,'Database New'!$A$1:$D$1,),)</f>
        <v>1246</v>
      </c>
      <c r="C167" s="30">
        <f>(Table245[[#This Row],[Completed]]-B166)/B166</f>
        <v>-0.15180394826412524</v>
      </c>
    </row>
    <row r="168" spans="1:3" x14ac:dyDescent="0.2">
      <c r="A168" s="9">
        <v>29738</v>
      </c>
      <c r="B168" s="10">
        <f>VLOOKUP(Table245[[#This Row],[Date]],'Database New'!$A:$D,MATCH($A$1,'Database New'!$A$1:$D$1,),)</f>
        <v>1350</v>
      </c>
      <c r="C168" s="30">
        <f>(Table245[[#This Row],[Completed]]-B167)/B167</f>
        <v>8.3467094703049763E-2</v>
      </c>
    </row>
    <row r="169" spans="1:3" x14ac:dyDescent="0.2">
      <c r="A169" s="9">
        <v>29768</v>
      </c>
      <c r="B169" s="10">
        <f>VLOOKUP(Table245[[#This Row],[Date]],'Database New'!$A:$D,MATCH($A$1,'Database New'!$A$1:$D$1,),)</f>
        <v>1337</v>
      </c>
      <c r="C169" s="30">
        <f>(Table245[[#This Row],[Completed]]-B168)/B168</f>
        <v>-9.6296296296296303E-3</v>
      </c>
    </row>
    <row r="170" spans="1:3" x14ac:dyDescent="0.2">
      <c r="A170" s="9">
        <v>29799</v>
      </c>
      <c r="B170" s="10">
        <f>VLOOKUP(Table245[[#This Row],[Date]],'Database New'!$A:$D,MATCH($A$1,'Database New'!$A$1:$D$1,),)</f>
        <v>1222</v>
      </c>
      <c r="C170" s="30">
        <f>(Table245[[#This Row],[Completed]]-B169)/B169</f>
        <v>-8.6013462976813768E-2</v>
      </c>
    </row>
    <row r="171" spans="1:3" x14ac:dyDescent="0.2">
      <c r="A171" s="9">
        <v>29830</v>
      </c>
      <c r="B171" s="10">
        <f>VLOOKUP(Table245[[#This Row],[Date]],'Database New'!$A:$D,MATCH($A$1,'Database New'!$A$1:$D$1,),)</f>
        <v>1221</v>
      </c>
      <c r="C171" s="30">
        <f>(Table245[[#This Row],[Completed]]-B170)/B170</f>
        <v>-8.1833060556464816E-4</v>
      </c>
    </row>
    <row r="172" spans="1:3" x14ac:dyDescent="0.2">
      <c r="A172" s="9">
        <v>29860</v>
      </c>
      <c r="B172" s="10">
        <f>VLOOKUP(Table245[[#This Row],[Date]],'Database New'!$A:$D,MATCH($A$1,'Database New'!$A$1:$D$1,),)</f>
        <v>1206</v>
      </c>
      <c r="C172" s="30">
        <f>(Table245[[#This Row],[Completed]]-B171)/B171</f>
        <v>-1.2285012285012284E-2</v>
      </c>
    </row>
    <row r="173" spans="1:3" x14ac:dyDescent="0.2">
      <c r="A173" s="9">
        <v>29891</v>
      </c>
      <c r="B173" s="10">
        <f>VLOOKUP(Table245[[#This Row],[Date]],'Database New'!$A:$D,MATCH($A$1,'Database New'!$A$1:$D$1,),)</f>
        <v>1074</v>
      </c>
      <c r="C173" s="30">
        <f>(Table245[[#This Row],[Completed]]-B172)/B172</f>
        <v>-0.10945273631840796</v>
      </c>
    </row>
    <row r="174" spans="1:3" x14ac:dyDescent="0.2">
      <c r="A174" s="9">
        <v>29921</v>
      </c>
      <c r="B174" s="10">
        <f>VLOOKUP(Table245[[#This Row],[Date]],'Database New'!$A:$D,MATCH($A$1,'Database New'!$A$1:$D$1,),)</f>
        <v>1129</v>
      </c>
      <c r="C174" s="30">
        <f>(Table245[[#This Row],[Completed]]-B173)/B173</f>
        <v>5.1210428305400374E-2</v>
      </c>
    </row>
    <row r="175" spans="1:3" x14ac:dyDescent="0.2">
      <c r="A175" s="9">
        <v>29952</v>
      </c>
      <c r="B175" s="10">
        <f>VLOOKUP(Table245[[#This Row],[Date]],'Database New'!$A:$D,MATCH($A$1,'Database New'!$A$1:$D$1,),)</f>
        <v>1052</v>
      </c>
      <c r="C175" s="30">
        <f>(Table245[[#This Row],[Completed]]-B174)/B174</f>
        <v>-6.8201948627103631E-2</v>
      </c>
    </row>
    <row r="176" spans="1:3" x14ac:dyDescent="0.2">
      <c r="A176" s="9">
        <v>29983</v>
      </c>
      <c r="B176" s="10">
        <f>VLOOKUP(Table245[[#This Row],[Date]],'Database New'!$A:$D,MATCH($A$1,'Database New'!$A$1:$D$1,),)</f>
        <v>935</v>
      </c>
      <c r="C176" s="30">
        <f>(Table245[[#This Row],[Completed]]-B175)/B175</f>
        <v>-0.11121673003802281</v>
      </c>
    </row>
    <row r="177" spans="1:3" x14ac:dyDescent="0.2">
      <c r="A177" s="9">
        <v>30011</v>
      </c>
      <c r="B177" s="10">
        <f>VLOOKUP(Table245[[#This Row],[Date]],'Database New'!$A:$D,MATCH($A$1,'Database New'!$A$1:$D$1,),)</f>
        <v>965</v>
      </c>
      <c r="C177" s="30">
        <f>(Table245[[#This Row],[Completed]]-B176)/B176</f>
        <v>3.2085561497326207E-2</v>
      </c>
    </row>
    <row r="178" spans="1:3" x14ac:dyDescent="0.2">
      <c r="A178" s="9">
        <v>30042</v>
      </c>
      <c r="B178" s="10">
        <f>VLOOKUP(Table245[[#This Row],[Date]],'Database New'!$A:$D,MATCH($A$1,'Database New'!$A$1:$D$1,),)</f>
        <v>979</v>
      </c>
      <c r="C178" s="30">
        <f>(Table245[[#This Row],[Completed]]-B177)/B177</f>
        <v>1.4507772020725389E-2</v>
      </c>
    </row>
    <row r="179" spans="1:3" x14ac:dyDescent="0.2">
      <c r="A179" s="9">
        <v>30072</v>
      </c>
      <c r="B179" s="10">
        <f>VLOOKUP(Table245[[#This Row],[Date]],'Database New'!$A:$D,MATCH($A$1,'Database New'!$A$1:$D$1,),)</f>
        <v>1060</v>
      </c>
      <c r="C179" s="30">
        <f>(Table245[[#This Row],[Completed]]-B178)/B178</f>
        <v>8.2737487231869258E-2</v>
      </c>
    </row>
    <row r="180" spans="1:3" x14ac:dyDescent="0.2">
      <c r="A180" s="9">
        <v>30103</v>
      </c>
      <c r="B180" s="10">
        <f>VLOOKUP(Table245[[#This Row],[Date]],'Database New'!$A:$D,MATCH($A$1,'Database New'!$A$1:$D$1,),)</f>
        <v>930</v>
      </c>
      <c r="C180" s="30">
        <f>(Table245[[#This Row],[Completed]]-B179)/B179</f>
        <v>-0.12264150943396226</v>
      </c>
    </row>
    <row r="181" spans="1:3" x14ac:dyDescent="0.2">
      <c r="A181" s="9">
        <v>30133</v>
      </c>
      <c r="B181" s="10">
        <f>VLOOKUP(Table245[[#This Row],[Date]],'Database New'!$A:$D,MATCH($A$1,'Database New'!$A$1:$D$1,),)</f>
        <v>1006</v>
      </c>
      <c r="C181" s="30">
        <f>(Table245[[#This Row],[Completed]]-B180)/B180</f>
        <v>8.1720430107526887E-2</v>
      </c>
    </row>
    <row r="182" spans="1:3" x14ac:dyDescent="0.2">
      <c r="A182" s="9">
        <v>30164</v>
      </c>
      <c r="B182" s="10">
        <f>VLOOKUP(Table245[[#This Row],[Date]],'Database New'!$A:$D,MATCH($A$1,'Database New'!$A$1:$D$1,),)</f>
        <v>985</v>
      </c>
      <c r="C182" s="30">
        <f>(Table245[[#This Row],[Completed]]-B181)/B181</f>
        <v>-2.0874751491053677E-2</v>
      </c>
    </row>
    <row r="183" spans="1:3" x14ac:dyDescent="0.2">
      <c r="A183" s="9">
        <v>30195</v>
      </c>
      <c r="B183" s="10">
        <f>VLOOKUP(Table245[[#This Row],[Date]],'Database New'!$A:$D,MATCH($A$1,'Database New'!$A$1:$D$1,),)</f>
        <v>947</v>
      </c>
      <c r="C183" s="30">
        <f>(Table245[[#This Row],[Completed]]-B182)/B182</f>
        <v>-3.8578680203045689E-2</v>
      </c>
    </row>
    <row r="184" spans="1:3" x14ac:dyDescent="0.2">
      <c r="A184" s="9">
        <v>30225</v>
      </c>
      <c r="B184" s="10">
        <f>VLOOKUP(Table245[[#This Row],[Date]],'Database New'!$A:$D,MATCH($A$1,'Database New'!$A$1:$D$1,),)</f>
        <v>1059</v>
      </c>
      <c r="C184" s="30">
        <f>(Table245[[#This Row],[Completed]]-B183)/B183</f>
        <v>0.11826821541710665</v>
      </c>
    </row>
    <row r="185" spans="1:3" x14ac:dyDescent="0.2">
      <c r="A185" s="9">
        <v>30256</v>
      </c>
      <c r="B185" s="10">
        <f>VLOOKUP(Table245[[#This Row],[Date]],'Database New'!$A:$D,MATCH($A$1,'Database New'!$A$1:$D$1,),)</f>
        <v>1079</v>
      </c>
      <c r="C185" s="30">
        <f>(Table245[[#This Row],[Completed]]-B184)/B184</f>
        <v>1.8885741265344664E-2</v>
      </c>
    </row>
    <row r="186" spans="1:3" x14ac:dyDescent="0.2">
      <c r="A186" s="9">
        <v>30286</v>
      </c>
      <c r="B186" s="10">
        <f>VLOOKUP(Table245[[#This Row],[Date]],'Database New'!$A:$D,MATCH($A$1,'Database New'!$A$1:$D$1,),)</f>
        <v>1047</v>
      </c>
      <c r="C186" s="30">
        <f>(Table245[[#This Row],[Completed]]-B185)/B185</f>
        <v>-2.9657089898053754E-2</v>
      </c>
    </row>
    <row r="187" spans="1:3" x14ac:dyDescent="0.2">
      <c r="A187" s="9">
        <v>30317</v>
      </c>
      <c r="B187" s="10">
        <f>VLOOKUP(Table245[[#This Row],[Date]],'Database New'!$A:$D,MATCH($A$1,'Database New'!$A$1:$D$1,),)</f>
        <v>1187</v>
      </c>
      <c r="C187" s="30">
        <f>(Table245[[#This Row],[Completed]]-B186)/B186</f>
        <v>0.13371537726838587</v>
      </c>
    </row>
    <row r="188" spans="1:3" x14ac:dyDescent="0.2">
      <c r="A188" s="9">
        <v>30348</v>
      </c>
      <c r="B188" s="10">
        <f>VLOOKUP(Table245[[#This Row],[Date]],'Database New'!$A:$D,MATCH($A$1,'Database New'!$A$1:$D$1,),)</f>
        <v>1135</v>
      </c>
      <c r="C188" s="30">
        <f>(Table245[[#This Row],[Completed]]-B187)/B187</f>
        <v>-4.3807919123841618E-2</v>
      </c>
    </row>
    <row r="189" spans="1:3" x14ac:dyDescent="0.2">
      <c r="A189" s="9">
        <v>30376</v>
      </c>
      <c r="B189" s="10">
        <f>VLOOKUP(Table245[[#This Row],[Date]],'Database New'!$A:$D,MATCH($A$1,'Database New'!$A$1:$D$1,),)</f>
        <v>1168</v>
      </c>
      <c r="C189" s="30">
        <f>(Table245[[#This Row],[Completed]]-B188)/B188</f>
        <v>2.9074889867841409E-2</v>
      </c>
    </row>
    <row r="190" spans="1:3" x14ac:dyDescent="0.2">
      <c r="A190" s="9">
        <v>30407</v>
      </c>
      <c r="B190" s="10">
        <f>VLOOKUP(Table245[[#This Row],[Date]],'Database New'!$A:$D,MATCH($A$1,'Database New'!$A$1:$D$1,),)</f>
        <v>1197</v>
      </c>
      <c r="C190" s="30">
        <f>(Table245[[#This Row],[Completed]]-B189)/B189</f>
        <v>2.482876712328767E-2</v>
      </c>
    </row>
    <row r="191" spans="1:3" x14ac:dyDescent="0.2">
      <c r="A191" s="9">
        <v>30437</v>
      </c>
      <c r="B191" s="10">
        <f>VLOOKUP(Table245[[#This Row],[Date]],'Database New'!$A:$D,MATCH($A$1,'Database New'!$A$1:$D$1,),)</f>
        <v>1300</v>
      </c>
      <c r="C191" s="30">
        <f>(Table245[[#This Row],[Completed]]-B190)/B190</f>
        <v>8.6048454469507096E-2</v>
      </c>
    </row>
    <row r="192" spans="1:3" x14ac:dyDescent="0.2">
      <c r="A192" s="9">
        <v>30468</v>
      </c>
      <c r="B192" s="10">
        <f>VLOOKUP(Table245[[#This Row],[Date]],'Database New'!$A:$D,MATCH($A$1,'Database New'!$A$1:$D$1,),)</f>
        <v>1344</v>
      </c>
      <c r="C192" s="30">
        <f>(Table245[[#This Row],[Completed]]-B191)/B191</f>
        <v>3.3846153846153845E-2</v>
      </c>
    </row>
    <row r="193" spans="1:3" x14ac:dyDescent="0.2">
      <c r="A193" s="9">
        <v>30498</v>
      </c>
      <c r="B193" s="10">
        <f>VLOOKUP(Table245[[#This Row],[Date]],'Database New'!$A:$D,MATCH($A$1,'Database New'!$A$1:$D$1,),)</f>
        <v>1410</v>
      </c>
      <c r="C193" s="30">
        <f>(Table245[[#This Row],[Completed]]-B192)/B192</f>
        <v>4.9107142857142856E-2</v>
      </c>
    </row>
    <row r="194" spans="1:3" x14ac:dyDescent="0.2">
      <c r="A194" s="9">
        <v>30529</v>
      </c>
      <c r="B194" s="10">
        <f>VLOOKUP(Table245[[#This Row],[Date]],'Database New'!$A:$D,MATCH($A$1,'Database New'!$A$1:$D$1,),)</f>
        <v>1711</v>
      </c>
      <c r="C194" s="30">
        <f>(Table245[[#This Row],[Completed]]-B193)/B193</f>
        <v>0.21347517730496454</v>
      </c>
    </row>
    <row r="195" spans="1:3" x14ac:dyDescent="0.2">
      <c r="A195" s="9">
        <v>30560</v>
      </c>
      <c r="B195" s="10">
        <f>VLOOKUP(Table245[[#This Row],[Date]],'Database New'!$A:$D,MATCH($A$1,'Database New'!$A$1:$D$1,),)</f>
        <v>1493</v>
      </c>
      <c r="C195" s="30">
        <f>(Table245[[#This Row],[Completed]]-B194)/B194</f>
        <v>-0.12741087083576855</v>
      </c>
    </row>
    <row r="196" spans="1:3" x14ac:dyDescent="0.2">
      <c r="A196" s="9">
        <v>30590</v>
      </c>
      <c r="B196" s="10">
        <f>VLOOKUP(Table245[[#This Row],[Date]],'Database New'!$A:$D,MATCH($A$1,'Database New'!$A$1:$D$1,),)</f>
        <v>1586</v>
      </c>
      <c r="C196" s="30">
        <f>(Table245[[#This Row],[Completed]]-B195)/B195</f>
        <v>6.22906898861353E-2</v>
      </c>
    </row>
    <row r="197" spans="1:3" x14ac:dyDescent="0.2">
      <c r="A197" s="9">
        <v>30621</v>
      </c>
      <c r="B197" s="10">
        <f>VLOOKUP(Table245[[#This Row],[Date]],'Database New'!$A:$D,MATCH($A$1,'Database New'!$A$1:$D$1,),)</f>
        <v>1462</v>
      </c>
      <c r="C197" s="30">
        <f>(Table245[[#This Row],[Completed]]-B196)/B196</f>
        <v>-7.8184110970996215E-2</v>
      </c>
    </row>
    <row r="198" spans="1:3" x14ac:dyDescent="0.2">
      <c r="A198" s="9">
        <v>30651</v>
      </c>
      <c r="B198" s="10">
        <f>VLOOKUP(Table245[[#This Row],[Date]],'Database New'!$A:$D,MATCH($A$1,'Database New'!$A$1:$D$1,),)</f>
        <v>1509</v>
      </c>
      <c r="C198" s="30">
        <f>(Table245[[#This Row],[Completed]]-B197)/B197</f>
        <v>3.2147742818057455E-2</v>
      </c>
    </row>
    <row r="199" spans="1:3" x14ac:dyDescent="0.2">
      <c r="A199" s="9">
        <v>30682</v>
      </c>
      <c r="B199" s="10">
        <f>VLOOKUP(Table245[[#This Row],[Date]],'Database New'!$A:$D,MATCH($A$1,'Database New'!$A$1:$D$1,),)</f>
        <v>1595</v>
      </c>
      <c r="C199" s="30">
        <f>(Table245[[#This Row],[Completed]]-B198)/B198</f>
        <v>5.6991385023194167E-2</v>
      </c>
    </row>
    <row r="200" spans="1:3" x14ac:dyDescent="0.2">
      <c r="A200" s="9">
        <v>30713</v>
      </c>
      <c r="B200" s="10">
        <f>VLOOKUP(Table245[[#This Row],[Date]],'Database New'!$A:$D,MATCH($A$1,'Database New'!$A$1:$D$1,),)</f>
        <v>1562</v>
      </c>
      <c r="C200" s="30">
        <f>(Table245[[#This Row],[Completed]]-B199)/B199</f>
        <v>-2.0689655172413793E-2</v>
      </c>
    </row>
    <row r="201" spans="1:3" x14ac:dyDescent="0.2">
      <c r="A201" s="9">
        <v>30742</v>
      </c>
      <c r="B201" s="10">
        <f>VLOOKUP(Table245[[#This Row],[Date]],'Database New'!$A:$D,MATCH($A$1,'Database New'!$A$1:$D$1,),)</f>
        <v>1600</v>
      </c>
      <c r="C201" s="30">
        <f>(Table245[[#This Row],[Completed]]-B200)/B200</f>
        <v>2.4327784891165175E-2</v>
      </c>
    </row>
    <row r="202" spans="1:3" x14ac:dyDescent="0.2">
      <c r="A202" s="9">
        <v>30773</v>
      </c>
      <c r="B202" s="10">
        <f>VLOOKUP(Table245[[#This Row],[Date]],'Database New'!$A:$D,MATCH($A$1,'Database New'!$A$1:$D$1,),)</f>
        <v>1683</v>
      </c>
      <c r="C202" s="30">
        <f>(Table245[[#This Row],[Completed]]-B201)/B201</f>
        <v>5.1874999999999998E-2</v>
      </c>
    </row>
    <row r="203" spans="1:3" x14ac:dyDescent="0.2">
      <c r="A203" s="9">
        <v>30803</v>
      </c>
      <c r="B203" s="10">
        <f>VLOOKUP(Table245[[#This Row],[Date]],'Database New'!$A:$D,MATCH($A$1,'Database New'!$A$1:$D$1,),)</f>
        <v>1732</v>
      </c>
      <c r="C203" s="30">
        <f>(Table245[[#This Row],[Completed]]-B202)/B202</f>
        <v>2.9114676173499703E-2</v>
      </c>
    </row>
    <row r="204" spans="1:3" x14ac:dyDescent="0.2">
      <c r="A204" s="9">
        <v>30834</v>
      </c>
      <c r="B204" s="10">
        <f>VLOOKUP(Table245[[#This Row],[Date]],'Database New'!$A:$D,MATCH($A$1,'Database New'!$A$1:$D$1,),)</f>
        <v>1714</v>
      </c>
      <c r="C204" s="30">
        <f>(Table245[[#This Row],[Completed]]-B203)/B203</f>
        <v>-1.0392609699769052E-2</v>
      </c>
    </row>
    <row r="205" spans="1:3" x14ac:dyDescent="0.2">
      <c r="A205" s="9">
        <v>30864</v>
      </c>
      <c r="B205" s="10">
        <f>VLOOKUP(Table245[[#This Row],[Date]],'Database New'!$A:$D,MATCH($A$1,'Database New'!$A$1:$D$1,),)</f>
        <v>1692</v>
      </c>
      <c r="C205" s="30">
        <f>(Table245[[#This Row],[Completed]]-B204)/B204</f>
        <v>-1.2835472578763127E-2</v>
      </c>
    </row>
    <row r="206" spans="1:3" x14ac:dyDescent="0.2">
      <c r="A206" s="9">
        <v>30895</v>
      </c>
      <c r="B206" s="10">
        <f>VLOOKUP(Table245[[#This Row],[Date]],'Database New'!$A:$D,MATCH($A$1,'Database New'!$A$1:$D$1,),)</f>
        <v>1685</v>
      </c>
      <c r="C206" s="30">
        <f>(Table245[[#This Row],[Completed]]-B205)/B205</f>
        <v>-4.1371158392434987E-3</v>
      </c>
    </row>
    <row r="207" spans="1:3" x14ac:dyDescent="0.2">
      <c r="A207" s="9">
        <v>30926</v>
      </c>
      <c r="B207" s="10">
        <f>VLOOKUP(Table245[[#This Row],[Date]],'Database New'!$A:$D,MATCH($A$1,'Database New'!$A$1:$D$1,),)</f>
        <v>1642</v>
      </c>
      <c r="C207" s="30">
        <f>(Table245[[#This Row],[Completed]]-B206)/B206</f>
        <v>-2.5519287833827894E-2</v>
      </c>
    </row>
    <row r="208" spans="1:3" x14ac:dyDescent="0.2">
      <c r="A208" s="9">
        <v>30956</v>
      </c>
      <c r="B208" s="10">
        <f>VLOOKUP(Table245[[#This Row],[Date]],'Database New'!$A:$D,MATCH($A$1,'Database New'!$A$1:$D$1,),)</f>
        <v>1633</v>
      </c>
      <c r="C208" s="30">
        <f>(Table245[[#This Row],[Completed]]-B207)/B207</f>
        <v>-5.4811205846528625E-3</v>
      </c>
    </row>
    <row r="209" spans="1:3" x14ac:dyDescent="0.2">
      <c r="A209" s="9">
        <v>30987</v>
      </c>
      <c r="B209" s="10">
        <f>VLOOKUP(Table245[[#This Row],[Date]],'Database New'!$A:$D,MATCH($A$1,'Database New'!$A$1:$D$1,),)</f>
        <v>1611</v>
      </c>
      <c r="C209" s="30">
        <f>(Table245[[#This Row],[Completed]]-B208)/B208</f>
        <v>-1.3472137170851195E-2</v>
      </c>
    </row>
    <row r="210" spans="1:3" x14ac:dyDescent="0.2">
      <c r="A210" s="9">
        <v>31017</v>
      </c>
      <c r="B210" s="10">
        <f>VLOOKUP(Table245[[#This Row],[Date]],'Database New'!$A:$D,MATCH($A$1,'Database New'!$A$1:$D$1,),)</f>
        <v>1629</v>
      </c>
      <c r="C210" s="30">
        <f>(Table245[[#This Row],[Completed]]-B209)/B209</f>
        <v>1.11731843575419E-2</v>
      </c>
    </row>
    <row r="211" spans="1:3" x14ac:dyDescent="0.2">
      <c r="A211" s="9">
        <v>31048</v>
      </c>
      <c r="B211" s="10">
        <f>VLOOKUP(Table245[[#This Row],[Date]],'Database New'!$A:$D,MATCH($A$1,'Database New'!$A$1:$D$1,),)</f>
        <v>1646</v>
      </c>
      <c r="C211" s="30">
        <f>(Table245[[#This Row],[Completed]]-B210)/B210</f>
        <v>1.0435850214855739E-2</v>
      </c>
    </row>
    <row r="212" spans="1:3" x14ac:dyDescent="0.2">
      <c r="A212" s="9">
        <v>31079</v>
      </c>
      <c r="B212" s="10">
        <f>VLOOKUP(Table245[[#This Row],[Date]],'Database New'!$A:$D,MATCH($A$1,'Database New'!$A$1:$D$1,),)</f>
        <v>1772</v>
      </c>
      <c r="C212" s="30">
        <f>(Table245[[#This Row],[Completed]]-B211)/B211</f>
        <v>7.6549210206561358E-2</v>
      </c>
    </row>
    <row r="213" spans="1:3" x14ac:dyDescent="0.2">
      <c r="A213" s="9">
        <v>31107</v>
      </c>
      <c r="B213" s="10">
        <f>VLOOKUP(Table245[[#This Row],[Date]],'Database New'!$A:$D,MATCH($A$1,'Database New'!$A$1:$D$1,),)</f>
        <v>1715</v>
      </c>
      <c r="C213" s="30">
        <f>(Table245[[#This Row],[Completed]]-B212)/B212</f>
        <v>-3.2167042889390519E-2</v>
      </c>
    </row>
    <row r="214" spans="1:3" x14ac:dyDescent="0.2">
      <c r="A214" s="9">
        <v>31138</v>
      </c>
      <c r="B214" s="10">
        <f>VLOOKUP(Table245[[#This Row],[Date]],'Database New'!$A:$D,MATCH($A$1,'Database New'!$A$1:$D$1,),)</f>
        <v>1630</v>
      </c>
      <c r="C214" s="30">
        <f>(Table245[[#This Row],[Completed]]-B213)/B213</f>
        <v>-4.9562682215743441E-2</v>
      </c>
    </row>
    <row r="215" spans="1:3" x14ac:dyDescent="0.2">
      <c r="A215" s="9">
        <v>31168</v>
      </c>
      <c r="B215" s="10">
        <f>VLOOKUP(Table245[[#This Row],[Date]],'Database New'!$A:$D,MATCH($A$1,'Database New'!$A$1:$D$1,),)</f>
        <v>1665</v>
      </c>
      <c r="C215" s="30">
        <f>(Table245[[#This Row],[Completed]]-B214)/B214</f>
        <v>2.1472392638036811E-2</v>
      </c>
    </row>
    <row r="216" spans="1:3" x14ac:dyDescent="0.2">
      <c r="A216" s="9">
        <v>31199</v>
      </c>
      <c r="B216" s="10">
        <f>VLOOKUP(Table245[[#This Row],[Date]],'Database New'!$A:$D,MATCH($A$1,'Database New'!$A$1:$D$1,),)</f>
        <v>1791</v>
      </c>
      <c r="C216" s="30">
        <f>(Table245[[#This Row],[Completed]]-B215)/B215</f>
        <v>7.567567567567568E-2</v>
      </c>
    </row>
    <row r="217" spans="1:3" x14ac:dyDescent="0.2">
      <c r="A217" s="9">
        <v>31229</v>
      </c>
      <c r="B217" s="10">
        <f>VLOOKUP(Table245[[#This Row],[Date]],'Database New'!$A:$D,MATCH($A$1,'Database New'!$A$1:$D$1,),)</f>
        <v>1693</v>
      </c>
      <c r="C217" s="30">
        <f>(Table245[[#This Row],[Completed]]-B216)/B216</f>
        <v>-5.4718034617532108E-2</v>
      </c>
    </row>
    <row r="218" spans="1:3" x14ac:dyDescent="0.2">
      <c r="A218" s="9">
        <v>31260</v>
      </c>
      <c r="B218" s="10">
        <f>VLOOKUP(Table245[[#This Row],[Date]],'Database New'!$A:$D,MATCH($A$1,'Database New'!$A$1:$D$1,),)</f>
        <v>1685</v>
      </c>
      <c r="C218" s="30">
        <f>(Table245[[#This Row],[Completed]]-B217)/B217</f>
        <v>-4.7253396337861783E-3</v>
      </c>
    </row>
    <row r="219" spans="1:3" x14ac:dyDescent="0.2">
      <c r="A219" s="9">
        <v>31291</v>
      </c>
      <c r="B219" s="10">
        <f>VLOOKUP(Table245[[#This Row],[Date]],'Database New'!$A:$D,MATCH($A$1,'Database New'!$A$1:$D$1,),)</f>
        <v>1806</v>
      </c>
      <c r="C219" s="30">
        <f>(Table245[[#This Row],[Completed]]-B218)/B218</f>
        <v>7.1810089020771517E-2</v>
      </c>
    </row>
    <row r="220" spans="1:3" x14ac:dyDescent="0.2">
      <c r="A220" s="9">
        <v>31321</v>
      </c>
      <c r="B220" s="10">
        <f>VLOOKUP(Table245[[#This Row],[Date]],'Database New'!$A:$D,MATCH($A$1,'Database New'!$A$1:$D$1,),)</f>
        <v>1565</v>
      </c>
      <c r="C220" s="30">
        <f>(Table245[[#This Row],[Completed]]-B219)/B219</f>
        <v>-0.13344407530454042</v>
      </c>
    </row>
    <row r="221" spans="1:3" x14ac:dyDescent="0.2">
      <c r="A221" s="9">
        <v>31352</v>
      </c>
      <c r="B221" s="10">
        <f>VLOOKUP(Table245[[#This Row],[Date]],'Database New'!$A:$D,MATCH($A$1,'Database New'!$A$1:$D$1,),)</f>
        <v>1749</v>
      </c>
      <c r="C221" s="30">
        <f>(Table245[[#This Row],[Completed]]-B220)/B220</f>
        <v>0.11757188498402556</v>
      </c>
    </row>
    <row r="222" spans="1:3" x14ac:dyDescent="0.2">
      <c r="A222" s="9">
        <v>31382</v>
      </c>
      <c r="B222" s="10">
        <f>VLOOKUP(Table245[[#This Row],[Date]],'Database New'!$A:$D,MATCH($A$1,'Database New'!$A$1:$D$1,),)</f>
        <v>1732</v>
      </c>
      <c r="C222" s="30">
        <f>(Table245[[#This Row],[Completed]]-B221)/B221</f>
        <v>-9.7198399085191532E-3</v>
      </c>
    </row>
    <row r="223" spans="1:3" x14ac:dyDescent="0.2">
      <c r="A223" s="9">
        <v>31413</v>
      </c>
      <c r="B223" s="10">
        <f>VLOOKUP(Table245[[#This Row],[Date]],'Database New'!$A:$D,MATCH($A$1,'Database New'!$A$1:$D$1,),)</f>
        <v>1723</v>
      </c>
      <c r="C223" s="30">
        <f>(Table245[[#This Row],[Completed]]-B222)/B222</f>
        <v>-5.1963048498845262E-3</v>
      </c>
    </row>
    <row r="224" spans="1:3" x14ac:dyDescent="0.2">
      <c r="A224" s="9">
        <v>31444</v>
      </c>
      <c r="B224" s="10">
        <f>VLOOKUP(Table245[[#This Row],[Date]],'Database New'!$A:$D,MATCH($A$1,'Database New'!$A$1:$D$1,),)</f>
        <v>1753</v>
      </c>
      <c r="C224" s="30">
        <f>(Table245[[#This Row],[Completed]]-B223)/B223</f>
        <v>1.7411491584445733E-2</v>
      </c>
    </row>
    <row r="225" spans="1:3" x14ac:dyDescent="0.2">
      <c r="A225" s="9">
        <v>31472</v>
      </c>
      <c r="B225" s="10">
        <f>VLOOKUP(Table245[[#This Row],[Date]],'Database New'!$A:$D,MATCH($A$1,'Database New'!$A$1:$D$1,),)</f>
        <v>1756</v>
      </c>
      <c r="C225" s="30">
        <f>(Table245[[#This Row],[Completed]]-B224)/B224</f>
        <v>1.7113519680547634E-3</v>
      </c>
    </row>
    <row r="226" spans="1:3" x14ac:dyDescent="0.2">
      <c r="A226" s="9">
        <v>31503</v>
      </c>
      <c r="B226" s="10">
        <f>VLOOKUP(Table245[[#This Row],[Date]],'Database New'!$A:$D,MATCH($A$1,'Database New'!$A$1:$D$1,),)</f>
        <v>1685</v>
      </c>
      <c r="C226" s="30">
        <f>(Table245[[#This Row],[Completed]]-B225)/B225</f>
        <v>-4.0432801822323464E-2</v>
      </c>
    </row>
    <row r="227" spans="1:3" x14ac:dyDescent="0.2">
      <c r="A227" s="9">
        <v>31533</v>
      </c>
      <c r="B227" s="10">
        <f>VLOOKUP(Table245[[#This Row],[Date]],'Database New'!$A:$D,MATCH($A$1,'Database New'!$A$1:$D$1,),)</f>
        <v>1833</v>
      </c>
      <c r="C227" s="30">
        <f>(Table245[[#This Row],[Completed]]-B226)/B226</f>
        <v>8.7833827893175079E-2</v>
      </c>
    </row>
    <row r="228" spans="1:3" x14ac:dyDescent="0.2">
      <c r="A228" s="9">
        <v>31564</v>
      </c>
      <c r="B228" s="10">
        <f>VLOOKUP(Table245[[#This Row],[Date]],'Database New'!$A:$D,MATCH($A$1,'Database New'!$A$1:$D$1,),)</f>
        <v>1672</v>
      </c>
      <c r="C228" s="30">
        <f>(Table245[[#This Row],[Completed]]-B227)/B227</f>
        <v>-8.7834151663938903E-2</v>
      </c>
    </row>
    <row r="229" spans="1:3" x14ac:dyDescent="0.2">
      <c r="A229" s="9">
        <v>31594</v>
      </c>
      <c r="B229" s="10">
        <f>VLOOKUP(Table245[[#This Row],[Date]],'Database New'!$A:$D,MATCH($A$1,'Database New'!$A$1:$D$1,),)</f>
        <v>1722</v>
      </c>
      <c r="C229" s="30">
        <f>(Table245[[#This Row],[Completed]]-B228)/B228</f>
        <v>2.9904306220095694E-2</v>
      </c>
    </row>
    <row r="230" spans="1:3" x14ac:dyDescent="0.2">
      <c r="A230" s="9">
        <v>31625</v>
      </c>
      <c r="B230" s="10">
        <f>VLOOKUP(Table245[[#This Row],[Date]],'Database New'!$A:$D,MATCH($A$1,'Database New'!$A$1:$D$1,),)</f>
        <v>1763</v>
      </c>
      <c r="C230" s="30">
        <f>(Table245[[#This Row],[Completed]]-B229)/B229</f>
        <v>2.3809523809523808E-2</v>
      </c>
    </row>
    <row r="231" spans="1:3" x14ac:dyDescent="0.2">
      <c r="A231" s="9">
        <v>31656</v>
      </c>
      <c r="B231" s="10">
        <f>VLOOKUP(Table245[[#This Row],[Date]],'Database New'!$A:$D,MATCH($A$1,'Database New'!$A$1:$D$1,),)</f>
        <v>1732</v>
      </c>
      <c r="C231" s="30">
        <f>(Table245[[#This Row],[Completed]]-B230)/B230</f>
        <v>-1.7583664208735111E-2</v>
      </c>
    </row>
    <row r="232" spans="1:3" x14ac:dyDescent="0.2">
      <c r="A232" s="9">
        <v>31686</v>
      </c>
      <c r="B232" s="10">
        <f>VLOOKUP(Table245[[#This Row],[Date]],'Database New'!$A:$D,MATCH($A$1,'Database New'!$A$1:$D$1,),)</f>
        <v>1782</v>
      </c>
      <c r="C232" s="30">
        <f>(Table245[[#This Row],[Completed]]-B231)/B231</f>
        <v>2.8868360277136258E-2</v>
      </c>
    </row>
    <row r="233" spans="1:3" x14ac:dyDescent="0.2">
      <c r="A233" s="9">
        <v>31717</v>
      </c>
      <c r="B233" s="10">
        <f>VLOOKUP(Table245[[#This Row],[Date]],'Database New'!$A:$D,MATCH($A$1,'Database New'!$A$1:$D$1,),)</f>
        <v>1793</v>
      </c>
      <c r="C233" s="30">
        <f>(Table245[[#This Row],[Completed]]-B232)/B232</f>
        <v>6.1728395061728392E-3</v>
      </c>
    </row>
    <row r="234" spans="1:3" x14ac:dyDescent="0.2">
      <c r="A234" s="9">
        <v>31747</v>
      </c>
      <c r="B234" s="10">
        <f>VLOOKUP(Table245[[#This Row],[Date]],'Database New'!$A:$D,MATCH($A$1,'Database New'!$A$1:$D$1,),)</f>
        <v>1840</v>
      </c>
      <c r="C234" s="30">
        <f>(Table245[[#This Row],[Completed]]-B233)/B233</f>
        <v>2.6213050752928055E-2</v>
      </c>
    </row>
    <row r="235" spans="1:3" x14ac:dyDescent="0.2">
      <c r="A235" s="9">
        <v>31778</v>
      </c>
      <c r="B235" s="10">
        <f>VLOOKUP(Table245[[#This Row],[Date]],'Database New'!$A:$D,MATCH($A$1,'Database New'!$A$1:$D$1,),)</f>
        <v>1862</v>
      </c>
      <c r="C235" s="30">
        <f>(Table245[[#This Row],[Completed]]-B234)/B234</f>
        <v>1.1956521739130435E-2</v>
      </c>
    </row>
    <row r="236" spans="1:3" x14ac:dyDescent="0.2">
      <c r="A236" s="9">
        <v>31809</v>
      </c>
      <c r="B236" s="10">
        <f>VLOOKUP(Table245[[#This Row],[Date]],'Database New'!$A:$D,MATCH($A$1,'Database New'!$A$1:$D$1,),)</f>
        <v>1771</v>
      </c>
      <c r="C236" s="30">
        <f>(Table245[[#This Row],[Completed]]-B235)/B235</f>
        <v>-4.8872180451127817E-2</v>
      </c>
    </row>
    <row r="237" spans="1:3" x14ac:dyDescent="0.2">
      <c r="A237" s="9">
        <v>31837</v>
      </c>
      <c r="B237" s="10">
        <f>VLOOKUP(Table245[[#This Row],[Date]],'Database New'!$A:$D,MATCH($A$1,'Database New'!$A$1:$D$1,),)</f>
        <v>1694</v>
      </c>
      <c r="C237" s="30">
        <f>(Table245[[#This Row],[Completed]]-B236)/B236</f>
        <v>-4.3478260869565216E-2</v>
      </c>
    </row>
    <row r="238" spans="1:3" x14ac:dyDescent="0.2">
      <c r="A238" s="9">
        <v>31868</v>
      </c>
      <c r="B238" s="10">
        <f>VLOOKUP(Table245[[#This Row],[Date]],'Database New'!$A:$D,MATCH($A$1,'Database New'!$A$1:$D$1,),)</f>
        <v>1735</v>
      </c>
      <c r="C238" s="30">
        <f>(Table245[[#This Row],[Completed]]-B237)/B237</f>
        <v>2.4203069657615112E-2</v>
      </c>
    </row>
    <row r="239" spans="1:3" x14ac:dyDescent="0.2">
      <c r="A239" s="9">
        <v>31898</v>
      </c>
      <c r="B239" s="10">
        <f>VLOOKUP(Table245[[#This Row],[Date]],'Database New'!$A:$D,MATCH($A$1,'Database New'!$A$1:$D$1,),)</f>
        <v>1713</v>
      </c>
      <c r="C239" s="30">
        <f>(Table245[[#This Row],[Completed]]-B238)/B238</f>
        <v>-1.2680115273775217E-2</v>
      </c>
    </row>
    <row r="240" spans="1:3" x14ac:dyDescent="0.2">
      <c r="A240" s="9">
        <v>31929</v>
      </c>
      <c r="B240" s="10">
        <f>VLOOKUP(Table245[[#This Row],[Date]],'Database New'!$A:$D,MATCH($A$1,'Database New'!$A$1:$D$1,),)</f>
        <v>1635</v>
      </c>
      <c r="C240" s="30">
        <f>(Table245[[#This Row],[Completed]]-B239)/B239</f>
        <v>-4.553415061295972E-2</v>
      </c>
    </row>
    <row r="241" spans="1:3" x14ac:dyDescent="0.2">
      <c r="A241" s="9">
        <v>31959</v>
      </c>
      <c r="B241" s="10">
        <f>VLOOKUP(Table245[[#This Row],[Date]],'Database New'!$A:$D,MATCH($A$1,'Database New'!$A$1:$D$1,),)</f>
        <v>1685</v>
      </c>
      <c r="C241" s="30">
        <f>(Table245[[#This Row],[Completed]]-B240)/B240</f>
        <v>3.0581039755351681E-2</v>
      </c>
    </row>
    <row r="242" spans="1:3" x14ac:dyDescent="0.2">
      <c r="A242" s="9">
        <v>31990</v>
      </c>
      <c r="B242" s="10">
        <f>VLOOKUP(Table245[[#This Row],[Date]],'Database New'!$A:$D,MATCH($A$1,'Database New'!$A$1:$D$1,),)</f>
        <v>1624</v>
      </c>
      <c r="C242" s="30">
        <f>(Table245[[#This Row],[Completed]]-B241)/B241</f>
        <v>-3.6201780415430269E-2</v>
      </c>
    </row>
    <row r="243" spans="1:3" x14ac:dyDescent="0.2">
      <c r="A243" s="9">
        <v>32021</v>
      </c>
      <c r="B243" s="10">
        <f>VLOOKUP(Table245[[#This Row],[Date]],'Database New'!$A:$D,MATCH($A$1,'Database New'!$A$1:$D$1,),)</f>
        <v>1587</v>
      </c>
      <c r="C243" s="30">
        <f>(Table245[[#This Row],[Completed]]-B242)/B242</f>
        <v>-2.2783251231527094E-2</v>
      </c>
    </row>
    <row r="244" spans="1:3" x14ac:dyDescent="0.2">
      <c r="A244" s="9">
        <v>32051</v>
      </c>
      <c r="B244" s="10">
        <f>VLOOKUP(Table245[[#This Row],[Date]],'Database New'!$A:$D,MATCH($A$1,'Database New'!$A$1:$D$1,),)</f>
        <v>1577</v>
      </c>
      <c r="C244" s="30">
        <f>(Table245[[#This Row],[Completed]]-B243)/B243</f>
        <v>-6.3011972274732196E-3</v>
      </c>
    </row>
    <row r="245" spans="1:3" x14ac:dyDescent="0.2">
      <c r="A245" s="9">
        <v>32082</v>
      </c>
      <c r="B245" s="10">
        <f>VLOOKUP(Table245[[#This Row],[Date]],'Database New'!$A:$D,MATCH($A$1,'Database New'!$A$1:$D$1,),)</f>
        <v>1578</v>
      </c>
      <c r="C245" s="30">
        <f>(Table245[[#This Row],[Completed]]-B244)/B244</f>
        <v>6.3411540900443881E-4</v>
      </c>
    </row>
    <row r="246" spans="1:3" x14ac:dyDescent="0.2">
      <c r="A246" s="9">
        <v>32112</v>
      </c>
      <c r="B246" s="10">
        <f>VLOOKUP(Table245[[#This Row],[Date]],'Database New'!$A:$D,MATCH($A$1,'Database New'!$A$1:$D$1,),)</f>
        <v>1632</v>
      </c>
      <c r="C246" s="30">
        <f>(Table245[[#This Row],[Completed]]-B245)/B245</f>
        <v>3.4220532319391636E-2</v>
      </c>
    </row>
    <row r="247" spans="1:3" x14ac:dyDescent="0.2">
      <c r="A247" s="9">
        <v>32143</v>
      </c>
      <c r="B247" s="10">
        <f>VLOOKUP(Table245[[#This Row],[Date]],'Database New'!$A:$D,MATCH($A$1,'Database New'!$A$1:$D$1,),)</f>
        <v>1554</v>
      </c>
      <c r="C247" s="30">
        <f>(Table245[[#This Row],[Completed]]-B246)/B246</f>
        <v>-4.779411764705882E-2</v>
      </c>
    </row>
    <row r="248" spans="1:3" x14ac:dyDescent="0.2">
      <c r="A248" s="9">
        <v>32174</v>
      </c>
      <c r="B248" s="10">
        <f>VLOOKUP(Table245[[#This Row],[Date]],'Database New'!$A:$D,MATCH($A$1,'Database New'!$A$1:$D$1,),)</f>
        <v>1450</v>
      </c>
      <c r="C248" s="30">
        <f>(Table245[[#This Row],[Completed]]-B247)/B247</f>
        <v>-6.6924066924066924E-2</v>
      </c>
    </row>
    <row r="249" spans="1:3" x14ac:dyDescent="0.2">
      <c r="A249" s="9">
        <v>32203</v>
      </c>
      <c r="B249" s="10">
        <f>VLOOKUP(Table245[[#This Row],[Date]],'Database New'!$A:$D,MATCH($A$1,'Database New'!$A$1:$D$1,),)</f>
        <v>1600</v>
      </c>
      <c r="C249" s="30">
        <f>(Table245[[#This Row],[Completed]]-B248)/B248</f>
        <v>0.10344827586206896</v>
      </c>
    </row>
    <row r="250" spans="1:3" x14ac:dyDescent="0.2">
      <c r="A250" s="9">
        <v>32234</v>
      </c>
      <c r="B250" s="10">
        <f>VLOOKUP(Table245[[#This Row],[Date]],'Database New'!$A:$D,MATCH($A$1,'Database New'!$A$1:$D$1,),)</f>
        <v>1615</v>
      </c>
      <c r="C250" s="30">
        <f>(Table245[[#This Row],[Completed]]-B249)/B249</f>
        <v>9.3749999999999997E-3</v>
      </c>
    </row>
    <row r="251" spans="1:3" x14ac:dyDescent="0.2">
      <c r="A251" s="9">
        <v>32264</v>
      </c>
      <c r="B251" s="10">
        <f>VLOOKUP(Table245[[#This Row],[Date]],'Database New'!$A:$D,MATCH($A$1,'Database New'!$A$1:$D$1,),)</f>
        <v>1483</v>
      </c>
      <c r="C251" s="30">
        <f>(Table245[[#This Row],[Completed]]-B250)/B250</f>
        <v>-8.1733746130030954E-2</v>
      </c>
    </row>
    <row r="252" spans="1:3" x14ac:dyDescent="0.2">
      <c r="A252" s="9">
        <v>32295</v>
      </c>
      <c r="B252" s="10">
        <f>VLOOKUP(Table245[[#This Row],[Date]],'Database New'!$A:$D,MATCH($A$1,'Database New'!$A$1:$D$1,),)</f>
        <v>1512</v>
      </c>
      <c r="C252" s="30">
        <f>(Table245[[#This Row],[Completed]]-B251)/B251</f>
        <v>1.9554956169925825E-2</v>
      </c>
    </row>
    <row r="253" spans="1:3" x14ac:dyDescent="0.2">
      <c r="A253" s="9">
        <v>32325</v>
      </c>
      <c r="B253" s="10">
        <f>VLOOKUP(Table245[[#This Row],[Date]],'Database New'!$A:$D,MATCH($A$1,'Database New'!$A$1:$D$1,),)</f>
        <v>1527</v>
      </c>
      <c r="C253" s="30">
        <f>(Table245[[#This Row],[Completed]]-B252)/B252</f>
        <v>9.9206349206349201E-3</v>
      </c>
    </row>
    <row r="254" spans="1:3" x14ac:dyDescent="0.2">
      <c r="A254" s="9">
        <v>32356</v>
      </c>
      <c r="B254" s="10">
        <f>VLOOKUP(Table245[[#This Row],[Date]],'Database New'!$A:$D,MATCH($A$1,'Database New'!$A$1:$D$1,),)</f>
        <v>1551</v>
      </c>
      <c r="C254" s="30">
        <f>(Table245[[#This Row],[Completed]]-B253)/B253</f>
        <v>1.5717092337917484E-2</v>
      </c>
    </row>
    <row r="255" spans="1:3" x14ac:dyDescent="0.2">
      <c r="A255" s="9">
        <v>32387</v>
      </c>
      <c r="B255" s="10">
        <f>VLOOKUP(Table245[[#This Row],[Date]],'Database New'!$A:$D,MATCH($A$1,'Database New'!$A$1:$D$1,),)</f>
        <v>1531</v>
      </c>
      <c r="C255" s="30">
        <f>(Table245[[#This Row],[Completed]]-B254)/B254</f>
        <v>-1.2894906511927788E-2</v>
      </c>
    </row>
    <row r="256" spans="1:3" x14ac:dyDescent="0.2">
      <c r="A256" s="9">
        <v>32417</v>
      </c>
      <c r="B256" s="10">
        <f>VLOOKUP(Table245[[#This Row],[Date]],'Database New'!$A:$D,MATCH($A$1,'Database New'!$A$1:$D$1,),)</f>
        <v>1529</v>
      </c>
      <c r="C256" s="30">
        <f>(Table245[[#This Row],[Completed]]-B255)/B255</f>
        <v>-1.3063357282821686E-3</v>
      </c>
    </row>
    <row r="257" spans="1:3" x14ac:dyDescent="0.2">
      <c r="A257" s="9">
        <v>32448</v>
      </c>
      <c r="B257" s="10">
        <f>VLOOKUP(Table245[[#This Row],[Date]],'Database New'!$A:$D,MATCH($A$1,'Database New'!$A$1:$D$1,),)</f>
        <v>1407</v>
      </c>
      <c r="C257" s="30">
        <f>(Table245[[#This Row],[Completed]]-B256)/B256</f>
        <v>-7.9790712884238058E-2</v>
      </c>
    </row>
    <row r="258" spans="1:3" x14ac:dyDescent="0.2">
      <c r="A258" s="9">
        <v>32478</v>
      </c>
      <c r="B258" s="10">
        <f>VLOOKUP(Table245[[#This Row],[Date]],'Database New'!$A:$D,MATCH($A$1,'Database New'!$A$1:$D$1,),)</f>
        <v>1547</v>
      </c>
      <c r="C258" s="30">
        <f>(Table245[[#This Row],[Completed]]-B257)/B257</f>
        <v>9.950248756218906E-2</v>
      </c>
    </row>
    <row r="259" spans="1:3" x14ac:dyDescent="0.2">
      <c r="A259" s="9">
        <v>32509</v>
      </c>
      <c r="B259" s="10">
        <f>VLOOKUP(Table245[[#This Row],[Date]],'Database New'!$A:$D,MATCH($A$1,'Database New'!$A$1:$D$1,),)</f>
        <v>1561</v>
      </c>
      <c r="C259" s="30">
        <f>(Table245[[#This Row],[Completed]]-B258)/B258</f>
        <v>9.0497737556561094E-3</v>
      </c>
    </row>
    <row r="260" spans="1:3" x14ac:dyDescent="0.2">
      <c r="A260" s="9">
        <v>32540</v>
      </c>
      <c r="B260" s="10">
        <f>VLOOKUP(Table245[[#This Row],[Date]],'Database New'!$A:$D,MATCH($A$1,'Database New'!$A$1:$D$1,),)</f>
        <v>1597</v>
      </c>
      <c r="C260" s="30">
        <f>(Table245[[#This Row],[Completed]]-B259)/B259</f>
        <v>2.3062139654067906E-2</v>
      </c>
    </row>
    <row r="261" spans="1:3" x14ac:dyDescent="0.2">
      <c r="A261" s="9">
        <v>32568</v>
      </c>
      <c r="B261" s="10">
        <f>VLOOKUP(Table245[[#This Row],[Date]],'Database New'!$A:$D,MATCH($A$1,'Database New'!$A$1:$D$1,),)</f>
        <v>1442</v>
      </c>
      <c r="C261" s="30">
        <f>(Table245[[#This Row],[Completed]]-B260)/B260</f>
        <v>-9.7056981840951781E-2</v>
      </c>
    </row>
    <row r="262" spans="1:3" x14ac:dyDescent="0.2">
      <c r="A262" s="9">
        <v>32599</v>
      </c>
      <c r="B262" s="10">
        <f>VLOOKUP(Table245[[#This Row],[Date]],'Database New'!$A:$D,MATCH($A$1,'Database New'!$A$1:$D$1,),)</f>
        <v>1542</v>
      </c>
      <c r="C262" s="30">
        <f>(Table245[[#This Row],[Completed]]-B261)/B261</f>
        <v>6.9348127600554782E-2</v>
      </c>
    </row>
    <row r="263" spans="1:3" x14ac:dyDescent="0.2">
      <c r="A263" s="9">
        <v>32629</v>
      </c>
      <c r="B263" s="10">
        <f>VLOOKUP(Table245[[#This Row],[Date]],'Database New'!$A:$D,MATCH($A$1,'Database New'!$A$1:$D$1,),)</f>
        <v>1449</v>
      </c>
      <c r="C263" s="30">
        <f>(Table245[[#This Row],[Completed]]-B262)/B262</f>
        <v>-6.0311284046692608E-2</v>
      </c>
    </row>
    <row r="264" spans="1:3" x14ac:dyDescent="0.2">
      <c r="A264" s="9">
        <v>32660</v>
      </c>
      <c r="B264" s="10">
        <f>VLOOKUP(Table245[[#This Row],[Date]],'Database New'!$A:$D,MATCH($A$1,'Database New'!$A$1:$D$1,),)</f>
        <v>1346</v>
      </c>
      <c r="C264" s="30">
        <f>(Table245[[#This Row],[Completed]]-B263)/B263</f>
        <v>-7.108350586611456E-2</v>
      </c>
    </row>
    <row r="265" spans="1:3" x14ac:dyDescent="0.2">
      <c r="A265" s="9">
        <v>32690</v>
      </c>
      <c r="B265" s="10">
        <f>VLOOKUP(Table245[[#This Row],[Date]],'Database New'!$A:$D,MATCH($A$1,'Database New'!$A$1:$D$1,),)</f>
        <v>1386</v>
      </c>
      <c r="C265" s="30">
        <f>(Table245[[#This Row],[Completed]]-B264)/B264</f>
        <v>2.9717682020802376E-2</v>
      </c>
    </row>
    <row r="266" spans="1:3" x14ac:dyDescent="0.2">
      <c r="A266" s="9">
        <v>32721</v>
      </c>
      <c r="B266" s="10">
        <f>VLOOKUP(Table245[[#This Row],[Date]],'Database New'!$A:$D,MATCH($A$1,'Database New'!$A$1:$D$1,),)</f>
        <v>1429</v>
      </c>
      <c r="C266" s="30">
        <f>(Table245[[#This Row],[Completed]]-B265)/B265</f>
        <v>3.1024531024531024E-2</v>
      </c>
    </row>
    <row r="267" spans="1:3" x14ac:dyDescent="0.2">
      <c r="A267" s="9">
        <v>32752</v>
      </c>
      <c r="B267" s="10">
        <f>VLOOKUP(Table245[[#This Row],[Date]],'Database New'!$A:$D,MATCH($A$1,'Database New'!$A$1:$D$1,),)</f>
        <v>1338</v>
      </c>
      <c r="C267" s="30">
        <f>(Table245[[#This Row],[Completed]]-B266)/B266</f>
        <v>-6.3680895731280621E-2</v>
      </c>
    </row>
    <row r="268" spans="1:3" x14ac:dyDescent="0.2">
      <c r="A268" s="9">
        <v>32782</v>
      </c>
      <c r="B268" s="10">
        <f>VLOOKUP(Table245[[#This Row],[Date]],'Database New'!$A:$D,MATCH($A$1,'Database New'!$A$1:$D$1,),)</f>
        <v>1333</v>
      </c>
      <c r="C268" s="30">
        <f>(Table245[[#This Row],[Completed]]-B267)/B267</f>
        <v>-3.7369207772795215E-3</v>
      </c>
    </row>
    <row r="269" spans="1:3" x14ac:dyDescent="0.2">
      <c r="A269" s="9">
        <v>32813</v>
      </c>
      <c r="B269" s="10">
        <f>VLOOKUP(Table245[[#This Row],[Date]],'Database New'!$A:$D,MATCH($A$1,'Database New'!$A$1:$D$1,),)</f>
        <v>1475</v>
      </c>
      <c r="C269" s="30">
        <f>(Table245[[#This Row],[Completed]]-B268)/B268</f>
        <v>0.10652663165791448</v>
      </c>
    </row>
    <row r="270" spans="1:3" x14ac:dyDescent="0.2">
      <c r="A270" s="9">
        <v>32843</v>
      </c>
      <c r="B270" s="10">
        <f>VLOOKUP(Table245[[#This Row],[Date]],'Database New'!$A:$D,MATCH($A$1,'Database New'!$A$1:$D$1,),)</f>
        <v>1304</v>
      </c>
      <c r="C270" s="30">
        <f>(Table245[[#This Row],[Completed]]-B269)/B269</f>
        <v>-0.11593220338983051</v>
      </c>
    </row>
    <row r="271" spans="1:3" x14ac:dyDescent="0.2">
      <c r="A271" s="9">
        <v>32874</v>
      </c>
      <c r="B271" s="10">
        <f>VLOOKUP(Table245[[#This Row],[Date]],'Database New'!$A:$D,MATCH($A$1,'Database New'!$A$1:$D$1,),)</f>
        <v>1508</v>
      </c>
      <c r="C271" s="30">
        <f>(Table245[[#This Row],[Completed]]-B270)/B270</f>
        <v>0.15644171779141106</v>
      </c>
    </row>
    <row r="272" spans="1:3" x14ac:dyDescent="0.2">
      <c r="A272" s="9">
        <v>32905</v>
      </c>
      <c r="B272" s="10">
        <f>VLOOKUP(Table245[[#This Row],[Date]],'Database New'!$A:$D,MATCH($A$1,'Database New'!$A$1:$D$1,),)</f>
        <v>1352</v>
      </c>
      <c r="C272" s="30">
        <f>(Table245[[#This Row],[Completed]]-B271)/B271</f>
        <v>-0.10344827586206896</v>
      </c>
    </row>
    <row r="273" spans="1:3" x14ac:dyDescent="0.2">
      <c r="A273" s="9">
        <v>32933</v>
      </c>
      <c r="B273" s="10">
        <f>VLOOKUP(Table245[[#This Row],[Date]],'Database New'!$A:$D,MATCH($A$1,'Database New'!$A$1:$D$1,),)</f>
        <v>1345</v>
      </c>
      <c r="C273" s="30">
        <f>(Table245[[#This Row],[Completed]]-B272)/B272</f>
        <v>-5.1775147928994087E-3</v>
      </c>
    </row>
    <row r="274" spans="1:3" x14ac:dyDescent="0.2">
      <c r="A274" s="9">
        <v>32964</v>
      </c>
      <c r="B274" s="10">
        <f>VLOOKUP(Table245[[#This Row],[Date]],'Database New'!$A:$D,MATCH($A$1,'Database New'!$A$1:$D$1,),)</f>
        <v>1332</v>
      </c>
      <c r="C274" s="30">
        <f>(Table245[[#This Row],[Completed]]-B273)/B273</f>
        <v>-9.6654275092936809E-3</v>
      </c>
    </row>
    <row r="275" spans="1:3" x14ac:dyDescent="0.2">
      <c r="A275" s="9">
        <v>32994</v>
      </c>
      <c r="B275" s="10">
        <f>VLOOKUP(Table245[[#This Row],[Date]],'Database New'!$A:$D,MATCH($A$1,'Database New'!$A$1:$D$1,),)</f>
        <v>1351</v>
      </c>
      <c r="C275" s="30">
        <f>(Table245[[#This Row],[Completed]]-B274)/B274</f>
        <v>1.4264264264264264E-2</v>
      </c>
    </row>
    <row r="276" spans="1:3" x14ac:dyDescent="0.2">
      <c r="A276" s="9">
        <v>33025</v>
      </c>
      <c r="B276" s="10">
        <f>VLOOKUP(Table245[[#This Row],[Date]],'Database New'!$A:$D,MATCH($A$1,'Database New'!$A$1:$D$1,),)</f>
        <v>1263</v>
      </c>
      <c r="C276" s="30">
        <f>(Table245[[#This Row],[Completed]]-B275)/B275</f>
        <v>-6.513693560325684E-2</v>
      </c>
    </row>
    <row r="277" spans="1:3" x14ac:dyDescent="0.2">
      <c r="A277" s="9">
        <v>33055</v>
      </c>
      <c r="B277" s="10">
        <f>VLOOKUP(Table245[[#This Row],[Date]],'Database New'!$A:$D,MATCH($A$1,'Database New'!$A$1:$D$1,),)</f>
        <v>1295</v>
      </c>
      <c r="C277" s="30">
        <f>(Table245[[#This Row],[Completed]]-B276)/B276</f>
        <v>2.5336500395882817E-2</v>
      </c>
    </row>
    <row r="278" spans="1:3" x14ac:dyDescent="0.2">
      <c r="A278" s="9">
        <v>33086</v>
      </c>
      <c r="B278" s="10">
        <f>VLOOKUP(Table245[[#This Row],[Date]],'Database New'!$A:$D,MATCH($A$1,'Database New'!$A$1:$D$1,),)</f>
        <v>1307</v>
      </c>
      <c r="C278" s="30">
        <f>(Table245[[#This Row],[Completed]]-B277)/B277</f>
        <v>9.2664092664092659E-3</v>
      </c>
    </row>
    <row r="279" spans="1:3" x14ac:dyDescent="0.2">
      <c r="A279" s="9">
        <v>33117</v>
      </c>
      <c r="B279" s="10">
        <f>VLOOKUP(Table245[[#This Row],[Date]],'Database New'!$A:$D,MATCH($A$1,'Database New'!$A$1:$D$1,),)</f>
        <v>1312</v>
      </c>
      <c r="C279" s="30">
        <f>(Table245[[#This Row],[Completed]]-B278)/B278</f>
        <v>3.8255547054322878E-3</v>
      </c>
    </row>
    <row r="280" spans="1:3" x14ac:dyDescent="0.2">
      <c r="A280" s="9">
        <v>33147</v>
      </c>
      <c r="B280" s="10">
        <f>VLOOKUP(Table245[[#This Row],[Date]],'Database New'!$A:$D,MATCH($A$1,'Database New'!$A$1:$D$1,),)</f>
        <v>1282</v>
      </c>
      <c r="C280" s="30">
        <f>(Table245[[#This Row],[Completed]]-B279)/B279</f>
        <v>-2.2865853658536585E-2</v>
      </c>
    </row>
    <row r="281" spans="1:3" x14ac:dyDescent="0.2">
      <c r="A281" s="9">
        <v>33178</v>
      </c>
      <c r="B281" s="10">
        <f>VLOOKUP(Table245[[#This Row],[Date]],'Database New'!$A:$D,MATCH($A$1,'Database New'!$A$1:$D$1,),)</f>
        <v>1248</v>
      </c>
      <c r="C281" s="30">
        <f>(Table245[[#This Row],[Completed]]-B280)/B280</f>
        <v>-2.6521060842433698E-2</v>
      </c>
    </row>
    <row r="282" spans="1:3" x14ac:dyDescent="0.2">
      <c r="A282" s="9">
        <v>33208</v>
      </c>
      <c r="B282" s="10">
        <f>VLOOKUP(Table245[[#This Row],[Date]],'Database New'!$A:$D,MATCH($A$1,'Database New'!$A$1:$D$1,),)</f>
        <v>1173</v>
      </c>
      <c r="C282" s="30">
        <f>(Table245[[#This Row],[Completed]]-B281)/B281</f>
        <v>-6.0096153846153848E-2</v>
      </c>
    </row>
    <row r="283" spans="1:3" x14ac:dyDescent="0.2">
      <c r="A283" s="9">
        <v>33239</v>
      </c>
      <c r="B283" s="10">
        <f>VLOOKUP(Table245[[#This Row],[Date]],'Database New'!$A:$D,MATCH($A$1,'Database New'!$A$1:$D$1,),)</f>
        <v>1149</v>
      </c>
      <c r="C283" s="30">
        <f>(Table245[[#This Row],[Completed]]-B282)/B282</f>
        <v>-2.0460358056265986E-2</v>
      </c>
    </row>
    <row r="284" spans="1:3" x14ac:dyDescent="0.2">
      <c r="A284" s="9">
        <v>33270</v>
      </c>
      <c r="B284" s="10">
        <f>VLOOKUP(Table245[[#This Row],[Date]],'Database New'!$A:$D,MATCH($A$1,'Database New'!$A$1:$D$1,),)</f>
        <v>1090</v>
      </c>
      <c r="C284" s="30">
        <f>(Table245[[#This Row],[Completed]]-B283)/B283</f>
        <v>-5.1348999129677983E-2</v>
      </c>
    </row>
    <row r="285" spans="1:3" x14ac:dyDescent="0.2">
      <c r="A285" s="9">
        <v>33298</v>
      </c>
      <c r="B285" s="10">
        <f>VLOOKUP(Table245[[#This Row],[Date]],'Database New'!$A:$D,MATCH($A$1,'Database New'!$A$1:$D$1,),)</f>
        <v>1176</v>
      </c>
      <c r="C285" s="30">
        <f>(Table245[[#This Row],[Completed]]-B284)/B284</f>
        <v>7.8899082568807344E-2</v>
      </c>
    </row>
    <row r="286" spans="1:3" x14ac:dyDescent="0.2">
      <c r="A286" s="9">
        <v>33329</v>
      </c>
      <c r="B286" s="10">
        <f>VLOOKUP(Table245[[#This Row],[Date]],'Database New'!$A:$D,MATCH($A$1,'Database New'!$A$1:$D$1,),)</f>
        <v>1093</v>
      </c>
      <c r="C286" s="30">
        <f>(Table245[[#This Row],[Completed]]-B285)/B285</f>
        <v>-7.0578231292517002E-2</v>
      </c>
    </row>
    <row r="287" spans="1:3" x14ac:dyDescent="0.2">
      <c r="A287" s="9">
        <v>33359</v>
      </c>
      <c r="B287" s="10">
        <f>VLOOKUP(Table245[[#This Row],[Date]],'Database New'!$A:$D,MATCH($A$1,'Database New'!$A$1:$D$1,),)</f>
        <v>1070</v>
      </c>
      <c r="C287" s="30">
        <f>(Table245[[#This Row],[Completed]]-B286)/B286</f>
        <v>-2.1043000914913082E-2</v>
      </c>
    </row>
    <row r="288" spans="1:3" x14ac:dyDescent="0.2">
      <c r="A288" s="9">
        <v>33390</v>
      </c>
      <c r="B288" s="10">
        <f>VLOOKUP(Table245[[#This Row],[Date]],'Database New'!$A:$D,MATCH($A$1,'Database New'!$A$1:$D$1,),)</f>
        <v>1093</v>
      </c>
      <c r="C288" s="30">
        <f>(Table245[[#This Row],[Completed]]-B287)/B287</f>
        <v>2.1495327102803739E-2</v>
      </c>
    </row>
    <row r="289" spans="1:3" x14ac:dyDescent="0.2">
      <c r="A289" s="9">
        <v>33420</v>
      </c>
      <c r="B289" s="10">
        <f>VLOOKUP(Table245[[#This Row],[Date]],'Database New'!$A:$D,MATCH($A$1,'Database New'!$A$1:$D$1,),)</f>
        <v>1076</v>
      </c>
      <c r="C289" s="30">
        <f>(Table245[[#This Row],[Completed]]-B288)/B288</f>
        <v>-1.555352241537054E-2</v>
      </c>
    </row>
    <row r="290" spans="1:3" x14ac:dyDescent="0.2">
      <c r="A290" s="9">
        <v>33451</v>
      </c>
      <c r="B290" s="10">
        <f>VLOOKUP(Table245[[#This Row],[Date]],'Database New'!$A:$D,MATCH($A$1,'Database New'!$A$1:$D$1,),)</f>
        <v>1050</v>
      </c>
      <c r="C290" s="30">
        <f>(Table245[[#This Row],[Completed]]-B289)/B289</f>
        <v>-2.4163568773234202E-2</v>
      </c>
    </row>
    <row r="291" spans="1:3" x14ac:dyDescent="0.2">
      <c r="A291" s="9">
        <v>33482</v>
      </c>
      <c r="B291" s="10">
        <f>VLOOKUP(Table245[[#This Row],[Date]],'Database New'!$A:$D,MATCH($A$1,'Database New'!$A$1:$D$1,),)</f>
        <v>1216</v>
      </c>
      <c r="C291" s="30">
        <f>(Table245[[#This Row],[Completed]]-B290)/B290</f>
        <v>0.15809523809523809</v>
      </c>
    </row>
    <row r="292" spans="1:3" x14ac:dyDescent="0.2">
      <c r="A292" s="9">
        <v>33512</v>
      </c>
      <c r="B292" s="10">
        <f>VLOOKUP(Table245[[#This Row],[Date]],'Database New'!$A:$D,MATCH($A$1,'Database New'!$A$1:$D$1,),)</f>
        <v>1076</v>
      </c>
      <c r="C292" s="30">
        <f>(Table245[[#This Row],[Completed]]-B291)/B291</f>
        <v>-0.11513157894736842</v>
      </c>
    </row>
    <row r="293" spans="1:3" x14ac:dyDescent="0.2">
      <c r="A293" s="9">
        <v>33543</v>
      </c>
      <c r="B293" s="10">
        <f>VLOOKUP(Table245[[#This Row],[Date]],'Database New'!$A:$D,MATCH($A$1,'Database New'!$A$1:$D$1,),)</f>
        <v>1013</v>
      </c>
      <c r="C293" s="30">
        <f>(Table245[[#This Row],[Completed]]-B292)/B292</f>
        <v>-5.8550185873605949E-2</v>
      </c>
    </row>
    <row r="294" spans="1:3" x14ac:dyDescent="0.2">
      <c r="A294" s="9">
        <v>33573</v>
      </c>
      <c r="B294" s="10">
        <f>VLOOKUP(Table245[[#This Row],[Date]],'Database New'!$A:$D,MATCH($A$1,'Database New'!$A$1:$D$1,),)</f>
        <v>1002</v>
      </c>
      <c r="C294" s="30">
        <f>(Table245[[#This Row],[Completed]]-B293)/B293</f>
        <v>-1.085883514313919E-2</v>
      </c>
    </row>
    <row r="295" spans="1:3" x14ac:dyDescent="0.2">
      <c r="A295" s="9">
        <v>33604</v>
      </c>
      <c r="B295" s="10">
        <f>VLOOKUP(Table245[[#This Row],[Date]],'Database New'!$A:$D,MATCH($A$1,'Database New'!$A$1:$D$1,),)</f>
        <v>1061</v>
      </c>
      <c r="C295" s="30">
        <f>(Table245[[#This Row],[Completed]]-B294)/B294</f>
        <v>5.8882235528942117E-2</v>
      </c>
    </row>
    <row r="296" spans="1:3" x14ac:dyDescent="0.2">
      <c r="A296" s="9">
        <v>33635</v>
      </c>
      <c r="B296" s="10">
        <f>VLOOKUP(Table245[[#This Row],[Date]],'Database New'!$A:$D,MATCH($A$1,'Database New'!$A$1:$D$1,),)</f>
        <v>1098</v>
      </c>
      <c r="C296" s="30">
        <f>(Table245[[#This Row],[Completed]]-B295)/B295</f>
        <v>3.4872761545711596E-2</v>
      </c>
    </row>
    <row r="297" spans="1:3" x14ac:dyDescent="0.2">
      <c r="A297" s="9">
        <v>33664</v>
      </c>
      <c r="B297" s="10">
        <f>VLOOKUP(Table245[[#This Row],[Date]],'Database New'!$A:$D,MATCH($A$1,'Database New'!$A$1:$D$1,),)</f>
        <v>1128</v>
      </c>
      <c r="C297" s="30">
        <f>(Table245[[#This Row],[Completed]]-B296)/B296</f>
        <v>2.7322404371584699E-2</v>
      </c>
    </row>
    <row r="298" spans="1:3" x14ac:dyDescent="0.2">
      <c r="A298" s="9">
        <v>33695</v>
      </c>
      <c r="B298" s="10">
        <f>VLOOKUP(Table245[[#This Row],[Date]],'Database New'!$A:$D,MATCH($A$1,'Database New'!$A$1:$D$1,),)</f>
        <v>1083</v>
      </c>
      <c r="C298" s="30">
        <f>(Table245[[#This Row],[Completed]]-B297)/B297</f>
        <v>-3.9893617021276598E-2</v>
      </c>
    </row>
    <row r="299" spans="1:3" x14ac:dyDescent="0.2">
      <c r="A299" s="9">
        <v>33725</v>
      </c>
      <c r="B299" s="10">
        <f>VLOOKUP(Table245[[#This Row],[Date]],'Database New'!$A:$D,MATCH($A$1,'Database New'!$A$1:$D$1,),)</f>
        <v>1187</v>
      </c>
      <c r="C299" s="30">
        <f>(Table245[[#This Row],[Completed]]-B298)/B298</f>
        <v>9.6029547553093259E-2</v>
      </c>
    </row>
    <row r="300" spans="1:3" x14ac:dyDescent="0.2">
      <c r="A300" s="9">
        <v>33756</v>
      </c>
      <c r="B300" s="10">
        <f>VLOOKUP(Table245[[#This Row],[Date]],'Database New'!$A:$D,MATCH($A$1,'Database New'!$A$1:$D$1,),)</f>
        <v>1189</v>
      </c>
      <c r="C300" s="30">
        <f>(Table245[[#This Row],[Completed]]-B299)/B299</f>
        <v>1.6849199663016006E-3</v>
      </c>
    </row>
    <row r="301" spans="1:3" x14ac:dyDescent="0.2">
      <c r="A301" s="9">
        <v>33786</v>
      </c>
      <c r="B301" s="10">
        <f>VLOOKUP(Table245[[#This Row],[Date]],'Database New'!$A:$D,MATCH($A$1,'Database New'!$A$1:$D$1,),)</f>
        <v>1251</v>
      </c>
      <c r="C301" s="30">
        <f>(Table245[[#This Row],[Completed]]-B300)/B300</f>
        <v>5.2144659377628258E-2</v>
      </c>
    </row>
    <row r="302" spans="1:3" x14ac:dyDescent="0.2">
      <c r="A302" s="9">
        <v>33817</v>
      </c>
      <c r="B302" s="10">
        <f>VLOOKUP(Table245[[#This Row],[Date]],'Database New'!$A:$D,MATCH($A$1,'Database New'!$A$1:$D$1,),)</f>
        <v>1140</v>
      </c>
      <c r="C302" s="30">
        <f>(Table245[[#This Row],[Completed]]-B301)/B301</f>
        <v>-8.8729016786570747E-2</v>
      </c>
    </row>
    <row r="303" spans="1:3" x14ac:dyDescent="0.2">
      <c r="A303" s="9">
        <v>33848</v>
      </c>
      <c r="B303" s="10">
        <f>VLOOKUP(Table245[[#This Row],[Date]],'Database New'!$A:$D,MATCH($A$1,'Database New'!$A$1:$D$1,),)</f>
        <v>1123</v>
      </c>
      <c r="C303" s="30">
        <f>(Table245[[#This Row],[Completed]]-B302)/B302</f>
        <v>-1.4912280701754385E-2</v>
      </c>
    </row>
    <row r="304" spans="1:3" x14ac:dyDescent="0.2">
      <c r="A304" s="9">
        <v>33878</v>
      </c>
      <c r="B304" s="10">
        <f>VLOOKUP(Table245[[#This Row],[Date]],'Database New'!$A:$D,MATCH($A$1,'Database New'!$A$1:$D$1,),)</f>
        <v>1139</v>
      </c>
      <c r="C304" s="30">
        <f>(Table245[[#This Row],[Completed]]-B303)/B303</f>
        <v>1.4247551202137132E-2</v>
      </c>
    </row>
    <row r="305" spans="1:3" x14ac:dyDescent="0.2">
      <c r="A305" s="9">
        <v>33909</v>
      </c>
      <c r="B305" s="10">
        <f>VLOOKUP(Table245[[#This Row],[Date]],'Database New'!$A:$D,MATCH($A$1,'Database New'!$A$1:$D$1,),)</f>
        <v>1224</v>
      </c>
      <c r="C305" s="30">
        <f>(Table245[[#This Row],[Completed]]-B304)/B304</f>
        <v>7.4626865671641784E-2</v>
      </c>
    </row>
    <row r="306" spans="1:3" x14ac:dyDescent="0.2">
      <c r="A306" s="9">
        <v>33939</v>
      </c>
      <c r="B306" s="10">
        <f>VLOOKUP(Table245[[#This Row],[Date]],'Database New'!$A:$D,MATCH($A$1,'Database New'!$A$1:$D$1,),)</f>
        <v>1199</v>
      </c>
      <c r="C306" s="30">
        <f>(Table245[[#This Row],[Completed]]-B305)/B305</f>
        <v>-2.042483660130719E-2</v>
      </c>
    </row>
    <row r="307" spans="1:3" x14ac:dyDescent="0.2">
      <c r="A307" s="9">
        <v>33970</v>
      </c>
      <c r="B307" s="10">
        <f>VLOOKUP(Table245[[#This Row],[Date]],'Database New'!$A:$D,MATCH($A$1,'Database New'!$A$1:$D$1,),)</f>
        <v>1135</v>
      </c>
      <c r="C307" s="30">
        <f>(Table245[[#This Row],[Completed]]-B306)/B306</f>
        <v>-5.3377814845704752E-2</v>
      </c>
    </row>
    <row r="308" spans="1:3" x14ac:dyDescent="0.2">
      <c r="A308" s="9">
        <v>34001</v>
      </c>
      <c r="B308" s="10">
        <f>VLOOKUP(Table245[[#This Row],[Date]],'Database New'!$A:$D,MATCH($A$1,'Database New'!$A$1:$D$1,),)</f>
        <v>1236</v>
      </c>
      <c r="C308" s="30">
        <f>(Table245[[#This Row],[Completed]]-B307)/B307</f>
        <v>8.8986784140969166E-2</v>
      </c>
    </row>
    <row r="309" spans="1:3" x14ac:dyDescent="0.2">
      <c r="A309" s="9">
        <v>34029</v>
      </c>
      <c r="B309" s="10">
        <f>VLOOKUP(Table245[[#This Row],[Date]],'Database New'!$A:$D,MATCH($A$1,'Database New'!$A$1:$D$1,),)</f>
        <v>1105</v>
      </c>
      <c r="C309" s="30">
        <f>(Table245[[#This Row],[Completed]]-B308)/B308</f>
        <v>-0.10598705501618123</v>
      </c>
    </row>
    <row r="310" spans="1:3" x14ac:dyDescent="0.2">
      <c r="A310" s="9">
        <v>34060</v>
      </c>
      <c r="B310" s="10">
        <f>VLOOKUP(Table245[[#This Row],[Date]],'Database New'!$A:$D,MATCH($A$1,'Database New'!$A$1:$D$1,),)</f>
        <v>1216</v>
      </c>
      <c r="C310" s="30">
        <f>(Table245[[#This Row],[Completed]]-B309)/B309</f>
        <v>0.10045248868778281</v>
      </c>
    </row>
    <row r="311" spans="1:3" x14ac:dyDescent="0.2">
      <c r="A311" s="9">
        <v>34090</v>
      </c>
      <c r="B311" s="10">
        <f>VLOOKUP(Table245[[#This Row],[Date]],'Database New'!$A:$D,MATCH($A$1,'Database New'!$A$1:$D$1,),)</f>
        <v>1111</v>
      </c>
      <c r="C311" s="30">
        <f>(Table245[[#This Row],[Completed]]-B310)/B310</f>
        <v>-8.6348684210526314E-2</v>
      </c>
    </row>
    <row r="312" spans="1:3" x14ac:dyDescent="0.2">
      <c r="A312" s="9">
        <v>34121</v>
      </c>
      <c r="B312" s="10">
        <f>VLOOKUP(Table245[[#This Row],[Date]],'Database New'!$A:$D,MATCH($A$1,'Database New'!$A$1:$D$1,),)</f>
        <v>1193</v>
      </c>
      <c r="C312" s="30">
        <f>(Table245[[#This Row],[Completed]]-B311)/B311</f>
        <v>7.3807380738073802E-2</v>
      </c>
    </row>
    <row r="313" spans="1:3" x14ac:dyDescent="0.2">
      <c r="A313" s="9">
        <v>34151</v>
      </c>
      <c r="B313" s="10">
        <f>VLOOKUP(Table245[[#This Row],[Date]],'Database New'!$A:$D,MATCH($A$1,'Database New'!$A$1:$D$1,),)</f>
        <v>1090</v>
      </c>
      <c r="C313" s="30">
        <f>(Table245[[#This Row],[Completed]]-B312)/B312</f>
        <v>-8.6336965632858337E-2</v>
      </c>
    </row>
    <row r="314" spans="1:3" x14ac:dyDescent="0.2">
      <c r="A314" s="9">
        <v>34182</v>
      </c>
      <c r="B314" s="10">
        <f>VLOOKUP(Table245[[#This Row],[Date]],'Database New'!$A:$D,MATCH($A$1,'Database New'!$A$1:$D$1,),)</f>
        <v>1264</v>
      </c>
      <c r="C314" s="30">
        <f>(Table245[[#This Row],[Completed]]-B313)/B313</f>
        <v>0.15963302752293579</v>
      </c>
    </row>
    <row r="315" spans="1:3" x14ac:dyDescent="0.2">
      <c r="A315" s="9">
        <v>34213</v>
      </c>
      <c r="B315" s="10">
        <f>VLOOKUP(Table245[[#This Row],[Date]],'Database New'!$A:$D,MATCH($A$1,'Database New'!$A$1:$D$1,),)</f>
        <v>1172</v>
      </c>
      <c r="C315" s="30">
        <f>(Table245[[#This Row],[Completed]]-B314)/B314</f>
        <v>-7.2784810126582278E-2</v>
      </c>
    </row>
    <row r="316" spans="1:3" x14ac:dyDescent="0.2">
      <c r="A316" s="9">
        <v>34243</v>
      </c>
      <c r="B316" s="10">
        <f>VLOOKUP(Table245[[#This Row],[Date]],'Database New'!$A:$D,MATCH($A$1,'Database New'!$A$1:$D$1,),)</f>
        <v>1246</v>
      </c>
      <c r="C316" s="30">
        <f>(Table245[[#This Row],[Completed]]-B315)/B315</f>
        <v>6.313993174061433E-2</v>
      </c>
    </row>
    <row r="317" spans="1:3" x14ac:dyDescent="0.2">
      <c r="A317" s="9">
        <v>34274</v>
      </c>
      <c r="B317" s="10">
        <f>VLOOKUP(Table245[[#This Row],[Date]],'Database New'!$A:$D,MATCH($A$1,'Database New'!$A$1:$D$1,),)</f>
        <v>1235</v>
      </c>
      <c r="C317" s="30">
        <f>(Table245[[#This Row],[Completed]]-B316)/B316</f>
        <v>-8.8282504012841094E-3</v>
      </c>
    </row>
    <row r="318" spans="1:3" x14ac:dyDescent="0.2">
      <c r="A318" s="9">
        <v>34304</v>
      </c>
      <c r="B318" s="10">
        <f>VLOOKUP(Table245[[#This Row],[Date]],'Database New'!$A:$D,MATCH($A$1,'Database New'!$A$1:$D$1,),)</f>
        <v>1289</v>
      </c>
      <c r="C318" s="30">
        <f>(Table245[[#This Row],[Completed]]-B317)/B317</f>
        <v>4.3724696356275301E-2</v>
      </c>
    </row>
    <row r="319" spans="1:3" x14ac:dyDescent="0.2">
      <c r="A319" s="9">
        <v>34335</v>
      </c>
      <c r="B319" s="10">
        <f>VLOOKUP(Table245[[#This Row],[Date]],'Database New'!$A:$D,MATCH($A$1,'Database New'!$A$1:$D$1,),)</f>
        <v>1228</v>
      </c>
      <c r="C319" s="30">
        <f>(Table245[[#This Row],[Completed]]-B318)/B318</f>
        <v>-4.7323506594259115E-2</v>
      </c>
    </row>
    <row r="320" spans="1:3" x14ac:dyDescent="0.2">
      <c r="A320" s="9">
        <v>34366</v>
      </c>
      <c r="B320" s="10">
        <f>VLOOKUP(Table245[[#This Row],[Date]],'Database New'!$A:$D,MATCH($A$1,'Database New'!$A$1:$D$1,),)</f>
        <v>1353</v>
      </c>
      <c r="C320" s="30">
        <f>(Table245[[#This Row],[Completed]]-B319)/B319</f>
        <v>0.10179153094462541</v>
      </c>
    </row>
    <row r="321" spans="1:3" x14ac:dyDescent="0.2">
      <c r="A321" s="9">
        <v>34394</v>
      </c>
      <c r="B321" s="10">
        <f>VLOOKUP(Table245[[#This Row],[Date]],'Database New'!$A:$D,MATCH($A$1,'Database New'!$A$1:$D$1,),)</f>
        <v>1257</v>
      </c>
      <c r="C321" s="30">
        <f>(Table245[[#This Row],[Completed]]-B320)/B320</f>
        <v>-7.0953436807095344E-2</v>
      </c>
    </row>
    <row r="322" spans="1:3" x14ac:dyDescent="0.2">
      <c r="A322" s="9">
        <v>34425</v>
      </c>
      <c r="B322" s="10">
        <f>VLOOKUP(Table245[[#This Row],[Date]],'Database New'!$A:$D,MATCH($A$1,'Database New'!$A$1:$D$1,),)</f>
        <v>1374</v>
      </c>
      <c r="C322" s="30">
        <f>(Table245[[#This Row],[Completed]]-B321)/B321</f>
        <v>9.3078758949880672E-2</v>
      </c>
    </row>
    <row r="323" spans="1:3" x14ac:dyDescent="0.2">
      <c r="A323" s="9">
        <v>34455</v>
      </c>
      <c r="B323" s="10">
        <f>VLOOKUP(Table245[[#This Row],[Date]],'Database New'!$A:$D,MATCH($A$1,'Database New'!$A$1:$D$1,),)</f>
        <v>1430</v>
      </c>
      <c r="C323" s="30">
        <f>(Table245[[#This Row],[Completed]]-B322)/B322</f>
        <v>4.0756914119359534E-2</v>
      </c>
    </row>
    <row r="324" spans="1:3" x14ac:dyDescent="0.2">
      <c r="A324" s="9">
        <v>34486</v>
      </c>
      <c r="B324" s="10">
        <f>VLOOKUP(Table245[[#This Row],[Date]],'Database New'!$A:$D,MATCH($A$1,'Database New'!$A$1:$D$1,),)</f>
        <v>1336</v>
      </c>
      <c r="C324" s="30">
        <f>(Table245[[#This Row],[Completed]]-B323)/B323</f>
        <v>-6.5734265734265732E-2</v>
      </c>
    </row>
    <row r="325" spans="1:3" x14ac:dyDescent="0.2">
      <c r="A325" s="9">
        <v>34516</v>
      </c>
      <c r="B325" s="10">
        <f>VLOOKUP(Table245[[#This Row],[Date]],'Database New'!$A:$D,MATCH($A$1,'Database New'!$A$1:$D$1,),)</f>
        <v>1281</v>
      </c>
      <c r="C325" s="30">
        <f>(Table245[[#This Row],[Completed]]-B324)/B324</f>
        <v>-4.1167664670658681E-2</v>
      </c>
    </row>
    <row r="326" spans="1:3" x14ac:dyDescent="0.2">
      <c r="A326" s="9">
        <v>34547</v>
      </c>
      <c r="B326" s="10">
        <f>VLOOKUP(Table245[[#This Row],[Date]],'Database New'!$A:$D,MATCH($A$1,'Database New'!$A$1:$D$1,),)</f>
        <v>1348</v>
      </c>
      <c r="C326" s="30">
        <f>(Table245[[#This Row],[Completed]]-B325)/B325</f>
        <v>5.2302888368462142E-2</v>
      </c>
    </row>
    <row r="327" spans="1:3" x14ac:dyDescent="0.2">
      <c r="A327" s="9">
        <v>34578</v>
      </c>
      <c r="B327" s="10">
        <f>VLOOKUP(Table245[[#This Row],[Date]],'Database New'!$A:$D,MATCH($A$1,'Database New'!$A$1:$D$1,),)</f>
        <v>1414</v>
      </c>
      <c r="C327" s="30">
        <f>(Table245[[#This Row],[Completed]]-B326)/B326</f>
        <v>4.8961424332344211E-2</v>
      </c>
    </row>
    <row r="328" spans="1:3" x14ac:dyDescent="0.2">
      <c r="A328" s="9">
        <v>34608</v>
      </c>
      <c r="B328" s="10">
        <f>VLOOKUP(Table245[[#This Row],[Date]],'Database New'!$A:$D,MATCH($A$1,'Database New'!$A$1:$D$1,),)</f>
        <v>1378</v>
      </c>
      <c r="C328" s="30">
        <f>(Table245[[#This Row],[Completed]]-B327)/B327</f>
        <v>-2.5459688826025461E-2</v>
      </c>
    </row>
    <row r="329" spans="1:3" x14ac:dyDescent="0.2">
      <c r="A329" s="9">
        <v>34639</v>
      </c>
      <c r="B329" s="10">
        <f>VLOOKUP(Table245[[#This Row],[Date]],'Database New'!$A:$D,MATCH($A$1,'Database New'!$A$1:$D$1,),)</f>
        <v>1365</v>
      </c>
      <c r="C329" s="30">
        <f>(Table245[[#This Row],[Completed]]-B328)/B328</f>
        <v>-9.433962264150943E-3</v>
      </c>
    </row>
    <row r="330" spans="1:3" x14ac:dyDescent="0.2">
      <c r="A330" s="9">
        <v>34669</v>
      </c>
      <c r="B330" s="10">
        <f>VLOOKUP(Table245[[#This Row],[Date]],'Database New'!$A:$D,MATCH($A$1,'Database New'!$A$1:$D$1,),)</f>
        <v>1386</v>
      </c>
      <c r="C330" s="30">
        <f>(Table245[[#This Row],[Completed]]-B329)/B329</f>
        <v>1.5384615384615385E-2</v>
      </c>
    </row>
    <row r="331" spans="1:3" x14ac:dyDescent="0.2">
      <c r="A331" s="9">
        <v>34700</v>
      </c>
      <c r="B331" s="10">
        <f>VLOOKUP(Table245[[#This Row],[Date]],'Database New'!$A:$D,MATCH($A$1,'Database New'!$A$1:$D$1,),)</f>
        <v>1423</v>
      </c>
      <c r="C331" s="30">
        <f>(Table245[[#This Row],[Completed]]-B330)/B330</f>
        <v>2.6695526695526696E-2</v>
      </c>
    </row>
    <row r="332" spans="1:3" x14ac:dyDescent="0.2">
      <c r="A332" s="9">
        <v>34731</v>
      </c>
      <c r="B332" s="10">
        <f>VLOOKUP(Table245[[#This Row],[Date]],'Database New'!$A:$D,MATCH($A$1,'Database New'!$A$1:$D$1,),)</f>
        <v>1294</v>
      </c>
      <c r="C332" s="30">
        <f>(Table245[[#This Row],[Completed]]-B331)/B331</f>
        <v>-9.0653548840477868E-2</v>
      </c>
    </row>
    <row r="333" spans="1:3" x14ac:dyDescent="0.2">
      <c r="A333" s="9">
        <v>34759</v>
      </c>
      <c r="B333" s="10">
        <f>VLOOKUP(Table245[[#This Row],[Date]],'Database New'!$A:$D,MATCH($A$1,'Database New'!$A$1:$D$1,),)</f>
        <v>1413</v>
      </c>
      <c r="C333" s="30">
        <f>(Table245[[#This Row],[Completed]]-B332)/B332</f>
        <v>9.1962905718701707E-2</v>
      </c>
    </row>
    <row r="334" spans="1:3" x14ac:dyDescent="0.2">
      <c r="A334" s="9">
        <v>34790</v>
      </c>
      <c r="B334" s="10">
        <f>VLOOKUP(Table245[[#This Row],[Date]],'Database New'!$A:$D,MATCH($A$1,'Database New'!$A$1:$D$1,),)</f>
        <v>1342</v>
      </c>
      <c r="C334" s="30">
        <f>(Table245[[#This Row],[Completed]]-B333)/B333</f>
        <v>-5.024769992922859E-2</v>
      </c>
    </row>
    <row r="335" spans="1:3" x14ac:dyDescent="0.2">
      <c r="A335" s="9">
        <v>34820</v>
      </c>
      <c r="B335" s="10">
        <f>VLOOKUP(Table245[[#This Row],[Date]],'Database New'!$A:$D,MATCH($A$1,'Database New'!$A$1:$D$1,),)</f>
        <v>1326</v>
      </c>
      <c r="C335" s="30">
        <f>(Table245[[#This Row],[Completed]]-B334)/B334</f>
        <v>-1.1922503725782414E-2</v>
      </c>
    </row>
    <row r="336" spans="1:3" x14ac:dyDescent="0.2">
      <c r="A336" s="9">
        <v>34851</v>
      </c>
      <c r="B336" s="10">
        <f>VLOOKUP(Table245[[#This Row],[Date]],'Database New'!$A:$D,MATCH($A$1,'Database New'!$A$1:$D$1,),)</f>
        <v>1242</v>
      </c>
      <c r="C336" s="30">
        <f>(Table245[[#This Row],[Completed]]-B335)/B335</f>
        <v>-6.3348416289592757E-2</v>
      </c>
    </row>
    <row r="337" spans="1:3" x14ac:dyDescent="0.2">
      <c r="A337" s="9">
        <v>34881</v>
      </c>
      <c r="B337" s="10">
        <f>VLOOKUP(Table245[[#This Row],[Date]],'Database New'!$A:$D,MATCH($A$1,'Database New'!$A$1:$D$1,),)</f>
        <v>1352</v>
      </c>
      <c r="C337" s="30">
        <f>(Table245[[#This Row],[Completed]]-B336)/B336</f>
        <v>8.8566827697262485E-2</v>
      </c>
    </row>
    <row r="338" spans="1:3" x14ac:dyDescent="0.2">
      <c r="A338" s="9">
        <v>34912</v>
      </c>
      <c r="B338" s="10">
        <f>VLOOKUP(Table245[[#This Row],[Date]],'Database New'!$A:$D,MATCH($A$1,'Database New'!$A$1:$D$1,),)</f>
        <v>1265</v>
      </c>
      <c r="C338" s="30">
        <f>(Table245[[#This Row],[Completed]]-B337)/B337</f>
        <v>-6.4349112426035499E-2</v>
      </c>
    </row>
    <row r="339" spans="1:3" x14ac:dyDescent="0.2">
      <c r="A339" s="9">
        <v>34943</v>
      </c>
      <c r="B339" s="10">
        <f>VLOOKUP(Table245[[#This Row],[Date]],'Database New'!$A:$D,MATCH($A$1,'Database New'!$A$1:$D$1,),)</f>
        <v>1279</v>
      </c>
      <c r="C339" s="30">
        <f>(Table245[[#This Row],[Completed]]-B338)/B338</f>
        <v>1.1067193675889328E-2</v>
      </c>
    </row>
    <row r="340" spans="1:3" x14ac:dyDescent="0.2">
      <c r="A340" s="9">
        <v>34973</v>
      </c>
      <c r="B340" s="10">
        <f>VLOOKUP(Table245[[#This Row],[Date]],'Database New'!$A:$D,MATCH($A$1,'Database New'!$A$1:$D$1,),)</f>
        <v>1335</v>
      </c>
      <c r="C340" s="30">
        <f>(Table245[[#This Row],[Completed]]-B339)/B339</f>
        <v>4.3784206411258797E-2</v>
      </c>
    </row>
    <row r="341" spans="1:3" x14ac:dyDescent="0.2">
      <c r="A341" s="9">
        <v>35004</v>
      </c>
      <c r="B341" s="10">
        <f>VLOOKUP(Table245[[#This Row],[Date]],'Database New'!$A:$D,MATCH($A$1,'Database New'!$A$1:$D$1,),)</f>
        <v>1360</v>
      </c>
      <c r="C341" s="30">
        <f>(Table245[[#This Row],[Completed]]-B340)/B340</f>
        <v>1.8726591760299626E-2</v>
      </c>
    </row>
    <row r="342" spans="1:3" x14ac:dyDescent="0.2">
      <c r="A342" s="9">
        <v>35034</v>
      </c>
      <c r="B342" s="10">
        <f>VLOOKUP(Table245[[#This Row],[Date]],'Database New'!$A:$D,MATCH($A$1,'Database New'!$A$1:$D$1,),)</f>
        <v>1200</v>
      </c>
      <c r="C342" s="30">
        <f>(Table245[[#This Row],[Completed]]-B341)/B341</f>
        <v>-0.11764705882352941</v>
      </c>
    </row>
    <row r="343" spans="1:3" x14ac:dyDescent="0.2">
      <c r="A343" s="9">
        <v>35065</v>
      </c>
      <c r="B343" s="10">
        <f>VLOOKUP(Table245[[#This Row],[Date]],'Database New'!$A:$D,MATCH($A$1,'Database New'!$A$1:$D$1,),)</f>
        <v>1402</v>
      </c>
      <c r="C343" s="30">
        <f>(Table245[[#This Row],[Completed]]-B342)/B342</f>
        <v>0.16833333333333333</v>
      </c>
    </row>
    <row r="344" spans="1:3" x14ac:dyDescent="0.2">
      <c r="A344" s="9">
        <v>35096</v>
      </c>
      <c r="B344" s="10">
        <f>VLOOKUP(Table245[[#This Row],[Date]],'Database New'!$A:$D,MATCH($A$1,'Database New'!$A$1:$D$1,),)</f>
        <v>1317</v>
      </c>
      <c r="C344" s="30">
        <f>(Table245[[#This Row],[Completed]]-B343)/B343</f>
        <v>-6.062767475035663E-2</v>
      </c>
    </row>
    <row r="345" spans="1:3" x14ac:dyDescent="0.2">
      <c r="A345" s="9">
        <v>35125</v>
      </c>
      <c r="B345" s="10">
        <f>VLOOKUP(Table245[[#This Row],[Date]],'Database New'!$A:$D,MATCH($A$1,'Database New'!$A$1:$D$1,),)</f>
        <v>1369</v>
      </c>
      <c r="C345" s="30">
        <f>(Table245[[#This Row],[Completed]]-B344)/B344</f>
        <v>3.9483675018982534E-2</v>
      </c>
    </row>
    <row r="346" spans="1:3" x14ac:dyDescent="0.2">
      <c r="A346" s="9">
        <v>35156</v>
      </c>
      <c r="B346" s="10">
        <f>VLOOKUP(Table245[[#This Row],[Date]],'Database New'!$A:$D,MATCH($A$1,'Database New'!$A$1:$D$1,),)</f>
        <v>1327</v>
      </c>
      <c r="C346" s="30">
        <f>(Table245[[#This Row],[Completed]]-B345)/B345</f>
        <v>-3.0679327976625273E-2</v>
      </c>
    </row>
    <row r="347" spans="1:3" x14ac:dyDescent="0.2">
      <c r="A347" s="9">
        <v>35186</v>
      </c>
      <c r="B347" s="10">
        <f>VLOOKUP(Table245[[#This Row],[Date]],'Database New'!$A:$D,MATCH($A$1,'Database New'!$A$1:$D$1,),)</f>
        <v>1423</v>
      </c>
      <c r="C347" s="30">
        <f>(Table245[[#This Row],[Completed]]-B346)/B346</f>
        <v>7.2343632253202714E-2</v>
      </c>
    </row>
    <row r="348" spans="1:3" x14ac:dyDescent="0.2">
      <c r="A348" s="9">
        <v>35217</v>
      </c>
      <c r="B348" s="10">
        <f>VLOOKUP(Table245[[#This Row],[Date]],'Database New'!$A:$D,MATCH($A$1,'Database New'!$A$1:$D$1,),)</f>
        <v>1437</v>
      </c>
      <c r="C348" s="30">
        <f>(Table245[[#This Row],[Completed]]-B347)/B347</f>
        <v>9.8383696416022483E-3</v>
      </c>
    </row>
    <row r="349" spans="1:3" x14ac:dyDescent="0.2">
      <c r="A349" s="9">
        <v>35247</v>
      </c>
      <c r="B349" s="10">
        <f>VLOOKUP(Table245[[#This Row],[Date]],'Database New'!$A:$D,MATCH($A$1,'Database New'!$A$1:$D$1,),)</f>
        <v>1453</v>
      </c>
      <c r="C349" s="30">
        <f>(Table245[[#This Row],[Completed]]-B348)/B348</f>
        <v>1.1134307585247043E-2</v>
      </c>
    </row>
    <row r="350" spans="1:3" x14ac:dyDescent="0.2">
      <c r="A350" s="9">
        <v>35278</v>
      </c>
      <c r="B350" s="10">
        <f>VLOOKUP(Table245[[#This Row],[Date]],'Database New'!$A:$D,MATCH($A$1,'Database New'!$A$1:$D$1,),)</f>
        <v>1468</v>
      </c>
      <c r="C350" s="30">
        <f>(Table245[[#This Row],[Completed]]-B349)/B349</f>
        <v>1.0323468685478321E-2</v>
      </c>
    </row>
    <row r="351" spans="1:3" x14ac:dyDescent="0.2">
      <c r="A351" s="9">
        <v>35309</v>
      </c>
      <c r="B351" s="10">
        <f>VLOOKUP(Table245[[#This Row],[Date]],'Database New'!$A:$D,MATCH($A$1,'Database New'!$A$1:$D$1,),)</f>
        <v>1379</v>
      </c>
      <c r="C351" s="30">
        <f>(Table245[[#This Row],[Completed]]-B350)/B350</f>
        <v>-6.0626702997275204E-2</v>
      </c>
    </row>
    <row r="352" spans="1:3" x14ac:dyDescent="0.2">
      <c r="A352" s="9">
        <v>35339</v>
      </c>
      <c r="B352" s="10">
        <f>VLOOKUP(Table245[[#This Row],[Date]],'Database New'!$A:$D,MATCH($A$1,'Database New'!$A$1:$D$1,),)</f>
        <v>1392</v>
      </c>
      <c r="C352" s="30">
        <f>(Table245[[#This Row],[Completed]]-B351)/B351</f>
        <v>9.4271211022480053E-3</v>
      </c>
    </row>
    <row r="353" spans="1:3" x14ac:dyDescent="0.2">
      <c r="A353" s="9">
        <v>35370</v>
      </c>
      <c r="B353" s="10">
        <f>VLOOKUP(Table245[[#This Row],[Date]],'Database New'!$A:$D,MATCH($A$1,'Database New'!$A$1:$D$1,),)</f>
        <v>1413</v>
      </c>
      <c r="C353" s="30">
        <f>(Table245[[#This Row],[Completed]]-B352)/B352</f>
        <v>1.5086206896551725E-2</v>
      </c>
    </row>
    <row r="354" spans="1:3" x14ac:dyDescent="0.2">
      <c r="A354" s="9">
        <v>35400</v>
      </c>
      <c r="B354" s="10">
        <f>VLOOKUP(Table245[[#This Row],[Date]],'Database New'!$A:$D,MATCH($A$1,'Database New'!$A$1:$D$1,),)</f>
        <v>1487</v>
      </c>
      <c r="C354" s="30">
        <f>(Table245[[#This Row],[Completed]]-B353)/B353</f>
        <v>5.2370842179759375E-2</v>
      </c>
    </row>
    <row r="355" spans="1:3" x14ac:dyDescent="0.2">
      <c r="A355" s="9">
        <v>35431</v>
      </c>
      <c r="B355" s="10">
        <f>VLOOKUP(Table245[[#This Row],[Date]],'Database New'!$A:$D,MATCH($A$1,'Database New'!$A$1:$D$1,),)</f>
        <v>1377</v>
      </c>
      <c r="C355" s="30">
        <f>(Table245[[#This Row],[Completed]]-B354)/B354</f>
        <v>-7.3974445191661062E-2</v>
      </c>
    </row>
    <row r="356" spans="1:3" x14ac:dyDescent="0.2">
      <c r="A356" s="9">
        <v>35462</v>
      </c>
      <c r="B356" s="10">
        <f>VLOOKUP(Table245[[#This Row],[Date]],'Database New'!$A:$D,MATCH($A$1,'Database New'!$A$1:$D$1,),)</f>
        <v>1545</v>
      </c>
      <c r="C356" s="30">
        <f>(Table245[[#This Row],[Completed]]-B355)/B355</f>
        <v>0.12200435729847495</v>
      </c>
    </row>
    <row r="357" spans="1:3" x14ac:dyDescent="0.2">
      <c r="A357" s="9">
        <v>35490</v>
      </c>
      <c r="B357" s="10">
        <f>VLOOKUP(Table245[[#This Row],[Date]],'Database New'!$A:$D,MATCH($A$1,'Database New'!$A$1:$D$1,),)</f>
        <v>1445</v>
      </c>
      <c r="C357" s="30">
        <f>(Table245[[#This Row],[Completed]]-B356)/B356</f>
        <v>-6.4724919093851127E-2</v>
      </c>
    </row>
    <row r="358" spans="1:3" x14ac:dyDescent="0.2">
      <c r="A358" s="9">
        <v>35521</v>
      </c>
      <c r="B358" s="10">
        <f>VLOOKUP(Table245[[#This Row],[Date]],'Database New'!$A:$D,MATCH($A$1,'Database New'!$A$1:$D$1,),)</f>
        <v>1438</v>
      </c>
      <c r="C358" s="30">
        <f>(Table245[[#This Row],[Completed]]-B357)/B357</f>
        <v>-4.844290657439446E-3</v>
      </c>
    </row>
    <row r="359" spans="1:3" x14ac:dyDescent="0.2">
      <c r="A359" s="9">
        <v>35551</v>
      </c>
      <c r="B359" s="10">
        <f>VLOOKUP(Table245[[#This Row],[Date]],'Database New'!$A:$D,MATCH($A$1,'Database New'!$A$1:$D$1,),)</f>
        <v>1400</v>
      </c>
      <c r="C359" s="30">
        <f>(Table245[[#This Row],[Completed]]-B358)/B358</f>
        <v>-2.6425591098748261E-2</v>
      </c>
    </row>
    <row r="360" spans="1:3" x14ac:dyDescent="0.2">
      <c r="A360" s="9">
        <v>35582</v>
      </c>
      <c r="B360" s="10">
        <f>VLOOKUP(Table245[[#This Row],[Date]],'Database New'!$A:$D,MATCH($A$1,'Database New'!$A$1:$D$1,),)</f>
        <v>1315</v>
      </c>
      <c r="C360" s="30">
        <f>(Table245[[#This Row],[Completed]]-B359)/B359</f>
        <v>-6.0714285714285714E-2</v>
      </c>
    </row>
    <row r="361" spans="1:3" x14ac:dyDescent="0.2">
      <c r="A361" s="9">
        <v>35612</v>
      </c>
      <c r="B361" s="10">
        <f>VLOOKUP(Table245[[#This Row],[Date]],'Database New'!$A:$D,MATCH($A$1,'Database New'!$A$1:$D$1,),)</f>
        <v>1313</v>
      </c>
      <c r="C361" s="30">
        <f>(Table245[[#This Row],[Completed]]-B360)/B360</f>
        <v>-1.520912547528517E-3</v>
      </c>
    </row>
    <row r="362" spans="1:3" x14ac:dyDescent="0.2">
      <c r="A362" s="9">
        <v>35643</v>
      </c>
      <c r="B362" s="10">
        <f>VLOOKUP(Table245[[#This Row],[Date]],'Database New'!$A:$D,MATCH($A$1,'Database New'!$A$1:$D$1,),)</f>
        <v>1332</v>
      </c>
      <c r="C362" s="30">
        <f>(Table245[[#This Row],[Completed]]-B361)/B361</f>
        <v>1.4470677837014471E-2</v>
      </c>
    </row>
    <row r="363" spans="1:3" x14ac:dyDescent="0.2">
      <c r="A363" s="9">
        <v>35674</v>
      </c>
      <c r="B363" s="10">
        <f>VLOOKUP(Table245[[#This Row],[Date]],'Database New'!$A:$D,MATCH($A$1,'Database New'!$A$1:$D$1,),)</f>
        <v>1442</v>
      </c>
      <c r="C363" s="30">
        <f>(Table245[[#This Row],[Completed]]-B362)/B362</f>
        <v>8.2582582582582581E-2</v>
      </c>
    </row>
    <row r="364" spans="1:3" x14ac:dyDescent="0.2">
      <c r="A364" s="9">
        <v>35704</v>
      </c>
      <c r="B364" s="10">
        <f>VLOOKUP(Table245[[#This Row],[Date]],'Database New'!$A:$D,MATCH($A$1,'Database New'!$A$1:$D$1,),)</f>
        <v>1396</v>
      </c>
      <c r="C364" s="30">
        <f>(Table245[[#This Row],[Completed]]-B363)/B363</f>
        <v>-3.1900138696255201E-2</v>
      </c>
    </row>
    <row r="365" spans="1:3" x14ac:dyDescent="0.2">
      <c r="A365" s="9">
        <v>35735</v>
      </c>
      <c r="B365" s="10">
        <f>VLOOKUP(Table245[[#This Row],[Date]],'Database New'!$A:$D,MATCH($A$1,'Database New'!$A$1:$D$1,),)</f>
        <v>1420</v>
      </c>
      <c r="C365" s="30">
        <f>(Table245[[#This Row],[Completed]]-B364)/B364</f>
        <v>1.7191977077363897E-2</v>
      </c>
    </row>
    <row r="366" spans="1:3" x14ac:dyDescent="0.2">
      <c r="A366" s="9">
        <v>35765</v>
      </c>
      <c r="B366" s="10">
        <f>VLOOKUP(Table245[[#This Row],[Date]],'Database New'!$A:$D,MATCH($A$1,'Database New'!$A$1:$D$1,),)</f>
        <v>1428</v>
      </c>
      <c r="C366" s="30">
        <f>(Table245[[#This Row],[Completed]]-B365)/B365</f>
        <v>5.6338028169014088E-3</v>
      </c>
    </row>
    <row r="367" spans="1:3" x14ac:dyDescent="0.2">
      <c r="A367" s="9">
        <v>35796</v>
      </c>
      <c r="B367" s="10">
        <f>VLOOKUP(Table245[[#This Row],[Date]],'Database New'!$A:$D,MATCH($A$1,'Database New'!$A$1:$D$1,),)</f>
        <v>1316</v>
      </c>
      <c r="C367" s="30">
        <f>(Table245[[#This Row],[Completed]]-B366)/B366</f>
        <v>-7.8431372549019607E-2</v>
      </c>
    </row>
    <row r="368" spans="1:3" x14ac:dyDescent="0.2">
      <c r="A368" s="9">
        <v>35827</v>
      </c>
      <c r="B368" s="10">
        <f>VLOOKUP(Table245[[#This Row],[Date]],'Database New'!$A:$D,MATCH($A$1,'Database New'!$A$1:$D$1,),)</f>
        <v>1441</v>
      </c>
      <c r="C368" s="30">
        <f>(Table245[[#This Row],[Completed]]-B367)/B367</f>
        <v>9.4984802431610948E-2</v>
      </c>
    </row>
    <row r="369" spans="1:3" x14ac:dyDescent="0.2">
      <c r="A369" s="9">
        <v>35855</v>
      </c>
      <c r="B369" s="10">
        <f>VLOOKUP(Table245[[#This Row],[Date]],'Database New'!$A:$D,MATCH($A$1,'Database New'!$A$1:$D$1,),)</f>
        <v>1477</v>
      </c>
      <c r="C369" s="30">
        <f>(Table245[[#This Row],[Completed]]-B368)/B368</f>
        <v>2.4982650936849409E-2</v>
      </c>
    </row>
    <row r="370" spans="1:3" x14ac:dyDescent="0.2">
      <c r="A370" s="9">
        <v>35886</v>
      </c>
      <c r="B370" s="10">
        <f>VLOOKUP(Table245[[#This Row],[Date]],'Database New'!$A:$D,MATCH($A$1,'Database New'!$A$1:$D$1,),)</f>
        <v>1498</v>
      </c>
      <c r="C370" s="30">
        <f>(Table245[[#This Row],[Completed]]-B369)/B369</f>
        <v>1.4218009478672985E-2</v>
      </c>
    </row>
    <row r="371" spans="1:3" x14ac:dyDescent="0.2">
      <c r="A371" s="9">
        <v>35916</v>
      </c>
      <c r="B371" s="10">
        <f>VLOOKUP(Table245[[#This Row],[Date]],'Database New'!$A:$D,MATCH($A$1,'Database New'!$A$1:$D$1,),)</f>
        <v>1465</v>
      </c>
      <c r="C371" s="30">
        <f>(Table245[[#This Row],[Completed]]-B370)/B370</f>
        <v>-2.2029372496662217E-2</v>
      </c>
    </row>
    <row r="372" spans="1:3" x14ac:dyDescent="0.2">
      <c r="A372" s="9">
        <v>35947</v>
      </c>
      <c r="B372" s="10">
        <f>VLOOKUP(Table245[[#This Row],[Date]],'Database New'!$A:$D,MATCH($A$1,'Database New'!$A$1:$D$1,),)</f>
        <v>1467</v>
      </c>
      <c r="C372" s="30">
        <f>(Table245[[#This Row],[Completed]]-B371)/B371</f>
        <v>1.3651877133105802E-3</v>
      </c>
    </row>
    <row r="373" spans="1:3" x14ac:dyDescent="0.2">
      <c r="A373" s="9">
        <v>35977</v>
      </c>
      <c r="B373" s="10">
        <f>VLOOKUP(Table245[[#This Row],[Date]],'Database New'!$A:$D,MATCH($A$1,'Database New'!$A$1:$D$1,),)</f>
        <v>1552</v>
      </c>
      <c r="C373" s="30">
        <f>(Table245[[#This Row],[Completed]]-B372)/B372</f>
        <v>5.7941376959781868E-2</v>
      </c>
    </row>
    <row r="374" spans="1:3" x14ac:dyDescent="0.2">
      <c r="A374" s="9">
        <v>36008</v>
      </c>
      <c r="B374" s="10">
        <f>VLOOKUP(Table245[[#This Row],[Date]],'Database New'!$A:$D,MATCH($A$1,'Database New'!$A$1:$D$1,),)</f>
        <v>1521</v>
      </c>
      <c r="C374" s="30">
        <f>(Table245[[#This Row],[Completed]]-B373)/B373</f>
        <v>-1.997422680412371E-2</v>
      </c>
    </row>
    <row r="375" spans="1:3" x14ac:dyDescent="0.2">
      <c r="A375" s="9">
        <v>36039</v>
      </c>
      <c r="B375" s="10">
        <f>VLOOKUP(Table245[[#This Row],[Date]],'Database New'!$A:$D,MATCH($A$1,'Database New'!$A$1:$D$1,),)</f>
        <v>1452</v>
      </c>
      <c r="C375" s="30">
        <f>(Table245[[#This Row],[Completed]]-B374)/B374</f>
        <v>-4.5364891518737675E-2</v>
      </c>
    </row>
    <row r="376" spans="1:3" x14ac:dyDescent="0.2">
      <c r="A376" s="9">
        <v>36069</v>
      </c>
      <c r="B376" s="10">
        <f>VLOOKUP(Table245[[#This Row],[Date]],'Database New'!$A:$D,MATCH($A$1,'Database New'!$A$1:$D$1,),)</f>
        <v>1452</v>
      </c>
      <c r="C376" s="30">
        <f>(Table245[[#This Row],[Completed]]-B375)/B375</f>
        <v>0</v>
      </c>
    </row>
    <row r="377" spans="1:3" x14ac:dyDescent="0.2">
      <c r="A377" s="9">
        <v>36100</v>
      </c>
      <c r="B377" s="10">
        <f>VLOOKUP(Table245[[#This Row],[Date]],'Database New'!$A:$D,MATCH($A$1,'Database New'!$A$1:$D$1,),)</f>
        <v>1604</v>
      </c>
      <c r="C377" s="30">
        <f>(Table245[[#This Row],[Completed]]-B376)/B376</f>
        <v>0.1046831955922865</v>
      </c>
    </row>
    <row r="378" spans="1:3" x14ac:dyDescent="0.2">
      <c r="A378" s="9">
        <v>36130</v>
      </c>
      <c r="B378" s="10">
        <f>VLOOKUP(Table245[[#This Row],[Date]],'Database New'!$A:$D,MATCH($A$1,'Database New'!$A$1:$D$1,),)</f>
        <v>1433</v>
      </c>
      <c r="C378" s="30">
        <f>(Table245[[#This Row],[Completed]]-B377)/B377</f>
        <v>-0.10660847880299251</v>
      </c>
    </row>
    <row r="379" spans="1:3" x14ac:dyDescent="0.2">
      <c r="A379" s="9">
        <v>36161</v>
      </c>
      <c r="B379" s="10">
        <f>VLOOKUP(Table245[[#This Row],[Date]],'Database New'!$A:$D,MATCH($A$1,'Database New'!$A$1:$D$1,),)</f>
        <v>1599</v>
      </c>
      <c r="C379" s="30">
        <f>(Table245[[#This Row],[Completed]]-B378)/B378</f>
        <v>0.11584089323098395</v>
      </c>
    </row>
    <row r="380" spans="1:3" x14ac:dyDescent="0.2">
      <c r="A380" s="9">
        <v>36192</v>
      </c>
      <c r="B380" s="10">
        <f>VLOOKUP(Table245[[#This Row],[Date]],'Database New'!$A:$D,MATCH($A$1,'Database New'!$A$1:$D$1,),)</f>
        <v>1459</v>
      </c>
      <c r="C380" s="30">
        <f>(Table245[[#This Row],[Completed]]-B379)/B379</f>
        <v>-8.7554721701063168E-2</v>
      </c>
    </row>
    <row r="381" spans="1:3" x14ac:dyDescent="0.2">
      <c r="A381" s="9">
        <v>36220</v>
      </c>
      <c r="B381" s="10">
        <f>VLOOKUP(Table245[[#This Row],[Date]],'Database New'!$A:$D,MATCH($A$1,'Database New'!$A$1:$D$1,),)</f>
        <v>1673</v>
      </c>
      <c r="C381" s="30">
        <f>(Table245[[#This Row],[Completed]]-B380)/B380</f>
        <v>0.14667580534612748</v>
      </c>
    </row>
    <row r="382" spans="1:3" x14ac:dyDescent="0.2">
      <c r="A382" s="9">
        <v>36251</v>
      </c>
      <c r="B382" s="10">
        <f>VLOOKUP(Table245[[#This Row],[Date]],'Database New'!$A:$D,MATCH($A$1,'Database New'!$A$1:$D$1,),)</f>
        <v>1580</v>
      </c>
      <c r="C382" s="30">
        <f>(Table245[[#This Row],[Completed]]-B381)/B381</f>
        <v>-5.5588762701733414E-2</v>
      </c>
    </row>
    <row r="383" spans="1:3" x14ac:dyDescent="0.2">
      <c r="A383" s="9">
        <v>36281</v>
      </c>
      <c r="B383" s="10">
        <f>VLOOKUP(Table245[[#This Row],[Date]],'Database New'!$A:$D,MATCH($A$1,'Database New'!$A$1:$D$1,),)</f>
        <v>1623</v>
      </c>
      <c r="C383" s="30">
        <f>(Table245[[#This Row],[Completed]]-B382)/B382</f>
        <v>2.7215189873417721E-2</v>
      </c>
    </row>
    <row r="384" spans="1:3" x14ac:dyDescent="0.2">
      <c r="A384" s="9">
        <v>36312</v>
      </c>
      <c r="B384" s="10">
        <f>VLOOKUP(Table245[[#This Row],[Date]],'Database New'!$A:$D,MATCH($A$1,'Database New'!$A$1:$D$1,),)</f>
        <v>1648</v>
      </c>
      <c r="C384" s="30">
        <f>(Table245[[#This Row],[Completed]]-B383)/B383</f>
        <v>1.5403573629081947E-2</v>
      </c>
    </row>
    <row r="385" spans="1:3" x14ac:dyDescent="0.2">
      <c r="A385" s="9">
        <v>36342</v>
      </c>
      <c r="B385" s="10">
        <f>VLOOKUP(Table245[[#This Row],[Date]],'Database New'!$A:$D,MATCH($A$1,'Database New'!$A$1:$D$1,),)</f>
        <v>1597</v>
      </c>
      <c r="C385" s="30">
        <f>(Table245[[#This Row],[Completed]]-B384)/B384</f>
        <v>-3.0946601941747573E-2</v>
      </c>
    </row>
    <row r="386" spans="1:3" x14ac:dyDescent="0.2">
      <c r="A386" s="9">
        <v>36373</v>
      </c>
      <c r="B386" s="10">
        <f>VLOOKUP(Table245[[#This Row],[Date]],'Database New'!$A:$D,MATCH($A$1,'Database New'!$A$1:$D$1,),)</f>
        <v>1563</v>
      </c>
      <c r="C386" s="30">
        <f>(Table245[[#This Row],[Completed]]-B385)/B385</f>
        <v>-2.1289918597370068E-2</v>
      </c>
    </row>
    <row r="387" spans="1:3" x14ac:dyDescent="0.2">
      <c r="A387" s="9">
        <v>36404</v>
      </c>
      <c r="B387" s="10">
        <f>VLOOKUP(Table245[[#This Row],[Date]],'Database New'!$A:$D,MATCH($A$1,'Database New'!$A$1:$D$1,),)</f>
        <v>1643</v>
      </c>
      <c r="C387" s="30">
        <f>(Table245[[#This Row],[Completed]]-B386)/B386</f>
        <v>5.1183621241202813E-2</v>
      </c>
    </row>
    <row r="388" spans="1:3" x14ac:dyDescent="0.2">
      <c r="A388" s="9">
        <v>36434</v>
      </c>
      <c r="B388" s="10">
        <f>VLOOKUP(Table245[[#This Row],[Date]],'Database New'!$A:$D,MATCH($A$1,'Database New'!$A$1:$D$1,),)</f>
        <v>1593</v>
      </c>
      <c r="C388" s="30">
        <f>(Table245[[#This Row],[Completed]]-B387)/B387</f>
        <v>-3.0432136335970784E-2</v>
      </c>
    </row>
    <row r="389" spans="1:3" x14ac:dyDescent="0.2">
      <c r="A389" s="9">
        <v>36465</v>
      </c>
      <c r="B389" s="10">
        <f>VLOOKUP(Table245[[#This Row],[Date]],'Database New'!$A:$D,MATCH($A$1,'Database New'!$A$1:$D$1,),)</f>
        <v>1596</v>
      </c>
      <c r="C389" s="30">
        <f>(Table245[[#This Row],[Completed]]-B388)/B388</f>
        <v>1.8832391713747645E-3</v>
      </c>
    </row>
    <row r="390" spans="1:3" x14ac:dyDescent="0.2">
      <c r="A390" s="9">
        <v>36495</v>
      </c>
      <c r="B390" s="10">
        <f>VLOOKUP(Table245[[#This Row],[Date]],'Database New'!$A:$D,MATCH($A$1,'Database New'!$A$1:$D$1,),)</f>
        <v>1659</v>
      </c>
      <c r="C390" s="30">
        <f>(Table245[[#This Row],[Completed]]-B389)/B389</f>
        <v>3.9473684210526314E-2</v>
      </c>
    </row>
    <row r="391" spans="1:3" x14ac:dyDescent="0.2">
      <c r="A391" s="9">
        <v>36526</v>
      </c>
      <c r="B391" s="10">
        <f>VLOOKUP(Table245[[#This Row],[Date]],'Database New'!$A:$D,MATCH($A$1,'Database New'!$A$1:$D$1,),)</f>
        <v>1574</v>
      </c>
      <c r="C391" s="30">
        <f>(Table245[[#This Row],[Completed]]-B390)/B390</f>
        <v>-5.1235684147076549E-2</v>
      </c>
    </row>
    <row r="392" spans="1:3" x14ac:dyDescent="0.2">
      <c r="A392" s="9">
        <v>36557</v>
      </c>
      <c r="B392" s="10">
        <f>VLOOKUP(Table245[[#This Row],[Date]],'Database New'!$A:$D,MATCH($A$1,'Database New'!$A$1:$D$1,),)</f>
        <v>1677</v>
      </c>
      <c r="C392" s="30">
        <f>(Table245[[#This Row],[Completed]]-B391)/B391</f>
        <v>6.5438373570520972E-2</v>
      </c>
    </row>
    <row r="393" spans="1:3" x14ac:dyDescent="0.2">
      <c r="A393" s="9">
        <v>36586</v>
      </c>
      <c r="B393" s="10">
        <f>VLOOKUP(Table245[[#This Row],[Date]],'Database New'!$A:$D,MATCH($A$1,'Database New'!$A$1:$D$1,),)</f>
        <v>1704</v>
      </c>
      <c r="C393" s="30">
        <f>(Table245[[#This Row],[Completed]]-B392)/B392</f>
        <v>1.6100178890876567E-2</v>
      </c>
    </row>
    <row r="394" spans="1:3" x14ac:dyDescent="0.2">
      <c r="A394" s="9">
        <v>36617</v>
      </c>
      <c r="B394" s="10">
        <f>VLOOKUP(Table245[[#This Row],[Date]],'Database New'!$A:$D,MATCH($A$1,'Database New'!$A$1:$D$1,),)</f>
        <v>1610</v>
      </c>
      <c r="C394" s="30">
        <f>(Table245[[#This Row],[Completed]]-B393)/B393</f>
        <v>-5.5164319248826289E-2</v>
      </c>
    </row>
    <row r="395" spans="1:3" x14ac:dyDescent="0.2">
      <c r="A395" s="9">
        <v>36647</v>
      </c>
      <c r="B395" s="10">
        <f>VLOOKUP(Table245[[#This Row],[Date]],'Database New'!$A:$D,MATCH($A$1,'Database New'!$A$1:$D$1,),)</f>
        <v>1682</v>
      </c>
      <c r="C395" s="30">
        <f>(Table245[[#This Row],[Completed]]-B394)/B394</f>
        <v>4.472049689440994E-2</v>
      </c>
    </row>
    <row r="396" spans="1:3" x14ac:dyDescent="0.2">
      <c r="A396" s="9">
        <v>36678</v>
      </c>
      <c r="B396" s="10">
        <f>VLOOKUP(Table245[[#This Row],[Date]],'Database New'!$A:$D,MATCH($A$1,'Database New'!$A$1:$D$1,),)</f>
        <v>1530</v>
      </c>
      <c r="C396" s="30">
        <f>(Table245[[#This Row],[Completed]]-B395)/B395</f>
        <v>-9.0368608799048747E-2</v>
      </c>
    </row>
    <row r="397" spans="1:3" x14ac:dyDescent="0.2">
      <c r="A397" s="9">
        <v>36708</v>
      </c>
      <c r="B397" s="10">
        <f>VLOOKUP(Table245[[#This Row],[Date]],'Database New'!$A:$D,MATCH($A$1,'Database New'!$A$1:$D$1,),)</f>
        <v>1495</v>
      </c>
      <c r="C397" s="30">
        <f>(Table245[[#This Row],[Completed]]-B396)/B396</f>
        <v>-2.2875816993464051E-2</v>
      </c>
    </row>
    <row r="398" spans="1:3" x14ac:dyDescent="0.2">
      <c r="A398" s="9">
        <v>36739</v>
      </c>
      <c r="B398" s="10">
        <f>VLOOKUP(Table245[[#This Row],[Date]],'Database New'!$A:$D,MATCH($A$1,'Database New'!$A$1:$D$1,),)</f>
        <v>1573</v>
      </c>
      <c r="C398" s="30">
        <f>(Table245[[#This Row],[Completed]]-B397)/B397</f>
        <v>5.2173913043478258E-2</v>
      </c>
    </row>
    <row r="399" spans="1:3" x14ac:dyDescent="0.2">
      <c r="A399" s="9">
        <v>36770</v>
      </c>
      <c r="B399" s="10">
        <f>VLOOKUP(Table245[[#This Row],[Date]],'Database New'!$A:$D,MATCH($A$1,'Database New'!$A$1:$D$1,),)</f>
        <v>1528</v>
      </c>
      <c r="C399" s="30">
        <f>(Table245[[#This Row],[Completed]]-B398)/B398</f>
        <v>-2.8607755880483154E-2</v>
      </c>
    </row>
    <row r="400" spans="1:3" x14ac:dyDescent="0.2">
      <c r="A400" s="9">
        <v>36800</v>
      </c>
      <c r="B400" s="10">
        <f>VLOOKUP(Table245[[#This Row],[Date]],'Database New'!$A:$D,MATCH($A$1,'Database New'!$A$1:$D$1,),)</f>
        <v>1513</v>
      </c>
      <c r="C400" s="30">
        <f>(Table245[[#This Row],[Completed]]-B399)/B399</f>
        <v>-9.8167539267015706E-3</v>
      </c>
    </row>
    <row r="401" spans="1:3" x14ac:dyDescent="0.2">
      <c r="A401" s="9">
        <v>36831</v>
      </c>
      <c r="B401" s="10">
        <f>VLOOKUP(Table245[[#This Row],[Date]],'Database New'!$A:$D,MATCH($A$1,'Database New'!$A$1:$D$1,),)</f>
        <v>1539</v>
      </c>
      <c r="C401" s="30">
        <f>(Table245[[#This Row],[Completed]]-B400)/B400</f>
        <v>1.7184401850627893E-2</v>
      </c>
    </row>
    <row r="402" spans="1:3" x14ac:dyDescent="0.2">
      <c r="A402" s="9">
        <v>36861</v>
      </c>
      <c r="B402" s="10">
        <f>VLOOKUP(Table245[[#This Row],[Date]],'Database New'!$A:$D,MATCH($A$1,'Database New'!$A$1:$D$1,),)</f>
        <v>1521</v>
      </c>
      <c r="C402" s="30">
        <f>(Table245[[#This Row],[Completed]]-B401)/B401</f>
        <v>-1.1695906432748537E-2</v>
      </c>
    </row>
    <row r="403" spans="1:3" x14ac:dyDescent="0.2">
      <c r="A403" s="9">
        <v>36892</v>
      </c>
      <c r="B403" s="10">
        <f>VLOOKUP(Table245[[#This Row],[Date]],'Database New'!$A:$D,MATCH($A$1,'Database New'!$A$1:$D$1,),)</f>
        <v>1456</v>
      </c>
      <c r="C403" s="30">
        <f>(Table245[[#This Row],[Completed]]-B402)/B402</f>
        <v>-4.2735042735042736E-2</v>
      </c>
    </row>
    <row r="404" spans="1:3" x14ac:dyDescent="0.2">
      <c r="A404" s="9">
        <v>36923</v>
      </c>
      <c r="B404" s="10">
        <f>VLOOKUP(Table245[[#This Row],[Date]],'Database New'!$A:$D,MATCH($A$1,'Database New'!$A$1:$D$1,),)</f>
        <v>1536</v>
      </c>
      <c r="C404" s="30">
        <f>(Table245[[#This Row],[Completed]]-B403)/B403</f>
        <v>5.4945054945054944E-2</v>
      </c>
    </row>
    <row r="405" spans="1:3" x14ac:dyDescent="0.2">
      <c r="A405" s="9">
        <v>36951</v>
      </c>
      <c r="B405" s="10">
        <f>VLOOKUP(Table245[[#This Row],[Date]],'Database New'!$A:$D,MATCH($A$1,'Database New'!$A$1:$D$1,),)</f>
        <v>1470</v>
      </c>
      <c r="C405" s="30">
        <f>(Table245[[#This Row],[Completed]]-B404)/B404</f>
        <v>-4.296875E-2</v>
      </c>
    </row>
    <row r="406" spans="1:3" x14ac:dyDescent="0.2">
      <c r="A406" s="9">
        <v>36982</v>
      </c>
      <c r="B406" s="10">
        <f>VLOOKUP(Table245[[#This Row],[Date]],'Database New'!$A:$D,MATCH($A$1,'Database New'!$A$1:$D$1,),)</f>
        <v>1574</v>
      </c>
      <c r="C406" s="30">
        <f>(Table245[[#This Row],[Completed]]-B405)/B405</f>
        <v>7.0748299319727898E-2</v>
      </c>
    </row>
    <row r="407" spans="1:3" x14ac:dyDescent="0.2">
      <c r="A407" s="9">
        <v>37012</v>
      </c>
      <c r="B407" s="10">
        <f>VLOOKUP(Table245[[#This Row],[Date]],'Database New'!$A:$D,MATCH($A$1,'Database New'!$A$1:$D$1,),)</f>
        <v>1497</v>
      </c>
      <c r="C407" s="30">
        <f>(Table245[[#This Row],[Completed]]-B406)/B406</f>
        <v>-4.8919949174078783E-2</v>
      </c>
    </row>
    <row r="408" spans="1:3" x14ac:dyDescent="0.2">
      <c r="A408" s="9">
        <v>37043</v>
      </c>
      <c r="B408" s="10">
        <f>VLOOKUP(Table245[[#This Row],[Date]],'Database New'!$A:$D,MATCH($A$1,'Database New'!$A$1:$D$1,),)</f>
        <v>1654</v>
      </c>
      <c r="C408" s="30">
        <f>(Table245[[#This Row],[Completed]]-B407)/B407</f>
        <v>0.10487641950567803</v>
      </c>
    </row>
    <row r="409" spans="1:3" x14ac:dyDescent="0.2">
      <c r="A409" s="9">
        <v>37073</v>
      </c>
      <c r="B409" s="10">
        <f>VLOOKUP(Table245[[#This Row],[Date]],'Database New'!$A:$D,MATCH($A$1,'Database New'!$A$1:$D$1,),)</f>
        <v>1582</v>
      </c>
      <c r="C409" s="30">
        <f>(Table245[[#This Row],[Completed]]-B408)/B408</f>
        <v>-4.3530834340991538E-2</v>
      </c>
    </row>
    <row r="410" spans="1:3" x14ac:dyDescent="0.2">
      <c r="A410" s="9">
        <v>37104</v>
      </c>
      <c r="B410" s="10">
        <f>VLOOKUP(Table245[[#This Row],[Date]],'Database New'!$A:$D,MATCH($A$1,'Database New'!$A$1:$D$1,),)</f>
        <v>1615</v>
      </c>
      <c r="C410" s="30">
        <f>(Table245[[#This Row],[Completed]]-B409)/B409</f>
        <v>2.0859671302149177E-2</v>
      </c>
    </row>
    <row r="411" spans="1:3" x14ac:dyDescent="0.2">
      <c r="A411" s="9">
        <v>37135</v>
      </c>
      <c r="B411" s="10">
        <f>VLOOKUP(Table245[[#This Row],[Date]],'Database New'!$A:$D,MATCH($A$1,'Database New'!$A$1:$D$1,),)</f>
        <v>1551</v>
      </c>
      <c r="C411" s="30">
        <f>(Table245[[#This Row],[Completed]]-B410)/B410</f>
        <v>-3.9628482972136225E-2</v>
      </c>
    </row>
    <row r="412" spans="1:3" x14ac:dyDescent="0.2">
      <c r="A412" s="9">
        <v>37165</v>
      </c>
      <c r="B412" s="10">
        <f>VLOOKUP(Table245[[#This Row],[Date]],'Database New'!$A:$D,MATCH($A$1,'Database New'!$A$1:$D$1,),)</f>
        <v>1599</v>
      </c>
      <c r="C412" s="30">
        <f>(Table245[[#This Row],[Completed]]-B411)/B411</f>
        <v>3.0947775628626693E-2</v>
      </c>
    </row>
    <row r="413" spans="1:3" x14ac:dyDescent="0.2">
      <c r="A413" s="9">
        <v>37196</v>
      </c>
      <c r="B413" s="10">
        <f>VLOOKUP(Table245[[#This Row],[Date]],'Database New'!$A:$D,MATCH($A$1,'Database New'!$A$1:$D$1,),)</f>
        <v>1555</v>
      </c>
      <c r="C413" s="30">
        <f>(Table245[[#This Row],[Completed]]-B412)/B412</f>
        <v>-2.7517198248905566E-2</v>
      </c>
    </row>
    <row r="414" spans="1:3" x14ac:dyDescent="0.2">
      <c r="A414" s="9">
        <v>37226</v>
      </c>
      <c r="B414" s="10">
        <f>VLOOKUP(Table245[[#This Row],[Date]],'Database New'!$A:$D,MATCH($A$1,'Database New'!$A$1:$D$1,),)</f>
        <v>1693</v>
      </c>
      <c r="C414" s="30">
        <f>(Table245[[#This Row],[Completed]]-B413)/B413</f>
        <v>8.8745980707395491E-2</v>
      </c>
    </row>
    <row r="415" spans="1:3" x14ac:dyDescent="0.2">
      <c r="A415" s="9">
        <v>37257</v>
      </c>
      <c r="B415" s="10">
        <f>VLOOKUP(Table245[[#This Row],[Date]],'Database New'!$A:$D,MATCH($A$1,'Database New'!$A$1:$D$1,),)</f>
        <v>1632</v>
      </c>
      <c r="C415" s="30">
        <f>(Table245[[#This Row],[Completed]]-B414)/B414</f>
        <v>-3.6030714707619607E-2</v>
      </c>
    </row>
    <row r="416" spans="1:3" x14ac:dyDescent="0.2">
      <c r="A416" s="9">
        <v>37288</v>
      </c>
      <c r="B416" s="10">
        <f>VLOOKUP(Table245[[#This Row],[Date]],'Database New'!$A:$D,MATCH($A$1,'Database New'!$A$1:$D$1,),)</f>
        <v>1671</v>
      </c>
      <c r="C416" s="30">
        <f>(Table245[[#This Row],[Completed]]-B415)/B415</f>
        <v>2.389705882352941E-2</v>
      </c>
    </row>
    <row r="417" spans="1:3" x14ac:dyDescent="0.2">
      <c r="A417" s="9">
        <v>37316</v>
      </c>
      <c r="B417" s="10">
        <f>VLOOKUP(Table245[[#This Row],[Date]],'Database New'!$A:$D,MATCH($A$1,'Database New'!$A$1:$D$1,),)</f>
        <v>1559</v>
      </c>
      <c r="C417" s="30">
        <f>(Table245[[#This Row],[Completed]]-B416)/B416</f>
        <v>-6.7025733093955708E-2</v>
      </c>
    </row>
    <row r="418" spans="1:3" x14ac:dyDescent="0.2">
      <c r="A418" s="9">
        <v>37347</v>
      </c>
      <c r="B418" s="10">
        <f>VLOOKUP(Table245[[#This Row],[Date]],'Database New'!$A:$D,MATCH($A$1,'Database New'!$A$1:$D$1,),)</f>
        <v>1625</v>
      </c>
      <c r="C418" s="30">
        <f>(Table245[[#This Row],[Completed]]-B417)/B417</f>
        <v>4.2334830019243104E-2</v>
      </c>
    </row>
    <row r="419" spans="1:3" x14ac:dyDescent="0.2">
      <c r="A419" s="9">
        <v>37377</v>
      </c>
      <c r="B419" s="10">
        <f>VLOOKUP(Table245[[#This Row],[Date]],'Database New'!$A:$D,MATCH($A$1,'Database New'!$A$1:$D$1,),)</f>
        <v>1705</v>
      </c>
      <c r="C419" s="30">
        <f>(Table245[[#This Row],[Completed]]-B418)/B418</f>
        <v>4.9230769230769231E-2</v>
      </c>
    </row>
    <row r="420" spans="1:3" x14ac:dyDescent="0.2">
      <c r="A420" s="9">
        <v>37408</v>
      </c>
      <c r="B420" s="10">
        <f>VLOOKUP(Table245[[#This Row],[Date]],'Database New'!$A:$D,MATCH($A$1,'Database New'!$A$1:$D$1,),)</f>
        <v>1589</v>
      </c>
      <c r="C420" s="30">
        <f>(Table245[[#This Row],[Completed]]-B419)/B419</f>
        <v>-6.8035190615835781E-2</v>
      </c>
    </row>
    <row r="421" spans="1:3" x14ac:dyDescent="0.2">
      <c r="A421" s="9">
        <v>37438</v>
      </c>
      <c r="B421" s="10">
        <f>VLOOKUP(Table245[[#This Row],[Date]],'Database New'!$A:$D,MATCH($A$1,'Database New'!$A$1:$D$1,),)</f>
        <v>1615</v>
      </c>
      <c r="C421" s="30">
        <f>(Table245[[#This Row],[Completed]]-B420)/B420</f>
        <v>1.6362492133417242E-2</v>
      </c>
    </row>
    <row r="422" spans="1:3" x14ac:dyDescent="0.2">
      <c r="A422" s="9">
        <v>37469</v>
      </c>
      <c r="B422" s="10">
        <f>VLOOKUP(Table245[[#This Row],[Date]],'Database New'!$A:$D,MATCH($A$1,'Database New'!$A$1:$D$1,),)</f>
        <v>1722</v>
      </c>
      <c r="C422" s="30">
        <f>(Table245[[#This Row],[Completed]]-B421)/B421</f>
        <v>6.6253869969040244E-2</v>
      </c>
    </row>
    <row r="423" spans="1:3" x14ac:dyDescent="0.2">
      <c r="A423" s="9">
        <v>37500</v>
      </c>
      <c r="B423" s="10">
        <f>VLOOKUP(Table245[[#This Row],[Date]],'Database New'!$A:$D,MATCH($A$1,'Database New'!$A$1:$D$1,),)</f>
        <v>1641</v>
      </c>
      <c r="C423" s="30">
        <f>(Table245[[#This Row],[Completed]]-B422)/B422</f>
        <v>-4.7038327526132406E-2</v>
      </c>
    </row>
    <row r="424" spans="1:3" x14ac:dyDescent="0.2">
      <c r="A424" s="9">
        <v>37530</v>
      </c>
      <c r="B424" s="10">
        <f>VLOOKUP(Table245[[#This Row],[Date]],'Database New'!$A:$D,MATCH($A$1,'Database New'!$A$1:$D$1,),)</f>
        <v>1601</v>
      </c>
      <c r="C424" s="30">
        <f>(Table245[[#This Row],[Completed]]-B423)/B423</f>
        <v>-2.4375380865326021E-2</v>
      </c>
    </row>
    <row r="425" spans="1:3" x14ac:dyDescent="0.2">
      <c r="A425" s="9">
        <v>37561</v>
      </c>
      <c r="B425" s="10">
        <f>VLOOKUP(Table245[[#This Row],[Date]],'Database New'!$A:$D,MATCH($A$1,'Database New'!$A$1:$D$1,),)</f>
        <v>1718</v>
      </c>
      <c r="C425" s="30">
        <f>(Table245[[#This Row],[Completed]]-B424)/B424</f>
        <v>7.3079325421611496E-2</v>
      </c>
    </row>
    <row r="426" spans="1:3" x14ac:dyDescent="0.2">
      <c r="A426" s="9">
        <v>37591</v>
      </c>
      <c r="B426" s="10">
        <f>VLOOKUP(Table245[[#This Row],[Date]],'Database New'!$A:$D,MATCH($A$1,'Database New'!$A$1:$D$1,),)</f>
        <v>1671</v>
      </c>
      <c r="C426" s="30">
        <f>(Table245[[#This Row],[Completed]]-B425)/B425</f>
        <v>-2.7357392316647265E-2</v>
      </c>
    </row>
    <row r="427" spans="1:3" x14ac:dyDescent="0.2">
      <c r="A427" s="9">
        <v>37622</v>
      </c>
      <c r="B427" s="10">
        <f>VLOOKUP(Table245[[#This Row],[Date]],'Database New'!$A:$D,MATCH($A$1,'Database New'!$A$1:$D$1,),)</f>
        <v>1654</v>
      </c>
      <c r="C427" s="30">
        <f>(Table245[[#This Row],[Completed]]-B426)/B426</f>
        <v>-1.0173548773189706E-2</v>
      </c>
    </row>
    <row r="428" spans="1:3" x14ac:dyDescent="0.2">
      <c r="A428" s="9">
        <v>37653</v>
      </c>
      <c r="B428" s="10">
        <f>VLOOKUP(Table245[[#This Row],[Date]],'Database New'!$A:$D,MATCH($A$1,'Database New'!$A$1:$D$1,),)</f>
        <v>1688</v>
      </c>
      <c r="C428" s="30">
        <f>(Table245[[#This Row],[Completed]]-B427)/B427</f>
        <v>2.0556227327690448E-2</v>
      </c>
    </row>
    <row r="429" spans="1:3" x14ac:dyDescent="0.2">
      <c r="A429" s="9">
        <v>37681</v>
      </c>
      <c r="B429" s="10">
        <f>VLOOKUP(Table245[[#This Row],[Date]],'Database New'!$A:$D,MATCH($A$1,'Database New'!$A$1:$D$1,),)</f>
        <v>1638</v>
      </c>
      <c r="C429" s="30">
        <f>(Table245[[#This Row],[Completed]]-B428)/B428</f>
        <v>-2.9620853080568721E-2</v>
      </c>
    </row>
    <row r="430" spans="1:3" x14ac:dyDescent="0.2">
      <c r="A430" s="9">
        <v>37712</v>
      </c>
      <c r="B430" s="10">
        <f>VLOOKUP(Table245[[#This Row],[Date]],'Database New'!$A:$D,MATCH($A$1,'Database New'!$A$1:$D$1,),)</f>
        <v>1662</v>
      </c>
      <c r="C430" s="30">
        <f>(Table245[[#This Row],[Completed]]-B429)/B429</f>
        <v>1.4652014652014652E-2</v>
      </c>
    </row>
    <row r="431" spans="1:3" x14ac:dyDescent="0.2">
      <c r="A431" s="9">
        <v>37742</v>
      </c>
      <c r="B431" s="10">
        <f>VLOOKUP(Table245[[#This Row],[Date]],'Database New'!$A:$D,MATCH($A$1,'Database New'!$A$1:$D$1,),)</f>
        <v>1733</v>
      </c>
      <c r="C431" s="30">
        <f>(Table245[[#This Row],[Completed]]-B430)/B430</f>
        <v>4.2719614921780988E-2</v>
      </c>
    </row>
    <row r="432" spans="1:3" x14ac:dyDescent="0.2">
      <c r="A432" s="9">
        <v>37773</v>
      </c>
      <c r="B432" s="10">
        <f>VLOOKUP(Table245[[#This Row],[Date]],'Database New'!$A:$D,MATCH($A$1,'Database New'!$A$1:$D$1,),)</f>
        <v>1641</v>
      </c>
      <c r="C432" s="30">
        <f>(Table245[[#This Row],[Completed]]-B431)/B431</f>
        <v>-5.3087132140796307E-2</v>
      </c>
    </row>
    <row r="433" spans="1:3" x14ac:dyDescent="0.2">
      <c r="A433" s="9">
        <v>37803</v>
      </c>
      <c r="B433" s="10">
        <f>VLOOKUP(Table245[[#This Row],[Date]],'Database New'!$A:$D,MATCH($A$1,'Database New'!$A$1:$D$1,),)</f>
        <v>1680</v>
      </c>
      <c r="C433" s="30">
        <f>(Table245[[#This Row],[Completed]]-B432)/B432</f>
        <v>2.376599634369287E-2</v>
      </c>
    </row>
    <row r="434" spans="1:3" x14ac:dyDescent="0.2">
      <c r="A434" s="9">
        <v>37834</v>
      </c>
      <c r="B434" s="10">
        <f>VLOOKUP(Table245[[#This Row],[Date]],'Database New'!$A:$D,MATCH($A$1,'Database New'!$A$1:$D$1,),)</f>
        <v>1570</v>
      </c>
      <c r="C434" s="30">
        <f>(Table245[[#This Row],[Completed]]-B433)/B433</f>
        <v>-6.5476190476190479E-2</v>
      </c>
    </row>
    <row r="435" spans="1:3" x14ac:dyDescent="0.2">
      <c r="A435" s="9">
        <v>37865</v>
      </c>
      <c r="B435" s="10">
        <f>VLOOKUP(Table245[[#This Row],[Date]],'Database New'!$A:$D,MATCH($A$1,'Database New'!$A$1:$D$1,),)</f>
        <v>1719</v>
      </c>
      <c r="C435" s="30">
        <f>(Table245[[#This Row],[Completed]]-B434)/B434</f>
        <v>9.4904458598726121E-2</v>
      </c>
    </row>
    <row r="436" spans="1:3" x14ac:dyDescent="0.2">
      <c r="A436" s="9">
        <v>37895</v>
      </c>
      <c r="B436" s="10">
        <f>VLOOKUP(Table245[[#This Row],[Date]],'Database New'!$A:$D,MATCH($A$1,'Database New'!$A$1:$D$1,),)</f>
        <v>1728</v>
      </c>
      <c r="C436" s="30">
        <f>(Table245[[#This Row],[Completed]]-B435)/B435</f>
        <v>5.235602094240838E-3</v>
      </c>
    </row>
    <row r="437" spans="1:3" x14ac:dyDescent="0.2">
      <c r="A437" s="9">
        <v>37926</v>
      </c>
      <c r="B437" s="10">
        <f>VLOOKUP(Table245[[#This Row],[Date]],'Database New'!$A:$D,MATCH($A$1,'Database New'!$A$1:$D$1,),)</f>
        <v>1692</v>
      </c>
      <c r="C437" s="30">
        <f>(Table245[[#This Row],[Completed]]-B436)/B436</f>
        <v>-2.0833333333333332E-2</v>
      </c>
    </row>
    <row r="438" spans="1:3" x14ac:dyDescent="0.2">
      <c r="A438" s="9">
        <v>37956</v>
      </c>
      <c r="B438" s="10">
        <f>VLOOKUP(Table245[[#This Row],[Date]],'Database New'!$A:$D,MATCH($A$1,'Database New'!$A$1:$D$1,),)</f>
        <v>1716</v>
      </c>
      <c r="C438" s="30">
        <f>(Table245[[#This Row],[Completed]]-B437)/B437</f>
        <v>1.4184397163120567E-2</v>
      </c>
    </row>
    <row r="439" spans="1:3" x14ac:dyDescent="0.2">
      <c r="A439" s="9">
        <v>37987</v>
      </c>
      <c r="B439" s="10">
        <f>VLOOKUP(Table245[[#This Row],[Date]],'Database New'!$A:$D,MATCH($A$1,'Database New'!$A$1:$D$1,),)</f>
        <v>1709</v>
      </c>
      <c r="C439" s="30">
        <f>(Table245[[#This Row],[Completed]]-B438)/B438</f>
        <v>-4.079254079254079E-3</v>
      </c>
    </row>
    <row r="440" spans="1:3" x14ac:dyDescent="0.2">
      <c r="A440" s="9">
        <v>38018</v>
      </c>
      <c r="B440" s="10">
        <f>VLOOKUP(Table245[[#This Row],[Date]],'Database New'!$A:$D,MATCH($A$1,'Database New'!$A$1:$D$1,),)</f>
        <v>1718</v>
      </c>
      <c r="C440" s="30">
        <f>(Table245[[#This Row],[Completed]]-B439)/B439</f>
        <v>5.2662375658279695E-3</v>
      </c>
    </row>
    <row r="441" spans="1:3" x14ac:dyDescent="0.2">
      <c r="A441" s="9">
        <v>38047</v>
      </c>
      <c r="B441" s="10">
        <f>VLOOKUP(Table245[[#This Row],[Date]],'Database New'!$A:$D,MATCH($A$1,'Database New'!$A$1:$D$1,),)</f>
        <v>1794</v>
      </c>
      <c r="C441" s="30">
        <f>(Table245[[#This Row],[Completed]]-B440)/B440</f>
        <v>4.4237485448195578E-2</v>
      </c>
    </row>
    <row r="442" spans="1:3" x14ac:dyDescent="0.2">
      <c r="A442" s="9">
        <v>38078</v>
      </c>
      <c r="B442" s="10">
        <f>VLOOKUP(Table245[[#This Row],[Date]],'Database New'!$A:$D,MATCH($A$1,'Database New'!$A$1:$D$1,),)</f>
        <v>1938</v>
      </c>
      <c r="C442" s="30">
        <f>(Table245[[#This Row],[Completed]]-B441)/B441</f>
        <v>8.0267558528428096E-2</v>
      </c>
    </row>
    <row r="443" spans="1:3" x14ac:dyDescent="0.2">
      <c r="A443" s="9">
        <v>38108</v>
      </c>
      <c r="B443" s="10">
        <f>VLOOKUP(Table245[[#This Row],[Date]],'Database New'!$A:$D,MATCH($A$1,'Database New'!$A$1:$D$1,),)</f>
        <v>1893</v>
      </c>
      <c r="C443" s="30">
        <f>(Table245[[#This Row],[Completed]]-B442)/B442</f>
        <v>-2.3219814241486069E-2</v>
      </c>
    </row>
    <row r="444" spans="1:3" x14ac:dyDescent="0.2">
      <c r="A444" s="9">
        <v>38139</v>
      </c>
      <c r="B444" s="10">
        <f>VLOOKUP(Table245[[#This Row],[Date]],'Database New'!$A:$D,MATCH($A$1,'Database New'!$A$1:$D$1,),)</f>
        <v>1857</v>
      </c>
      <c r="C444" s="30">
        <f>(Table245[[#This Row],[Completed]]-B443)/B443</f>
        <v>-1.9017432646592711E-2</v>
      </c>
    </row>
    <row r="445" spans="1:3" x14ac:dyDescent="0.2">
      <c r="A445" s="9">
        <v>38169</v>
      </c>
      <c r="B445" s="10">
        <f>VLOOKUP(Table245[[#This Row],[Date]],'Database New'!$A:$D,MATCH($A$1,'Database New'!$A$1:$D$1,),)</f>
        <v>1881</v>
      </c>
      <c r="C445" s="30">
        <f>(Table245[[#This Row],[Completed]]-B444)/B444</f>
        <v>1.2924071082390954E-2</v>
      </c>
    </row>
    <row r="446" spans="1:3" x14ac:dyDescent="0.2">
      <c r="A446" s="9">
        <v>38200</v>
      </c>
      <c r="B446" s="10">
        <f>VLOOKUP(Table245[[#This Row],[Date]],'Database New'!$A:$D,MATCH($A$1,'Database New'!$A$1:$D$1,),)</f>
        <v>1911</v>
      </c>
      <c r="C446" s="30">
        <f>(Table245[[#This Row],[Completed]]-B445)/B445</f>
        <v>1.5948963317384369E-2</v>
      </c>
    </row>
    <row r="447" spans="1:3" x14ac:dyDescent="0.2">
      <c r="A447" s="9">
        <v>38231</v>
      </c>
      <c r="B447" s="10">
        <f>VLOOKUP(Table245[[#This Row],[Date]],'Database New'!$A:$D,MATCH($A$1,'Database New'!$A$1:$D$1,),)</f>
        <v>1796</v>
      </c>
      <c r="C447" s="30">
        <f>(Table245[[#This Row],[Completed]]-B446)/B446</f>
        <v>-6.0177917320774467E-2</v>
      </c>
    </row>
    <row r="448" spans="1:3" x14ac:dyDescent="0.2">
      <c r="A448" s="9">
        <v>38261</v>
      </c>
      <c r="B448" s="10">
        <f>VLOOKUP(Table245[[#This Row],[Date]],'Database New'!$A:$D,MATCH($A$1,'Database New'!$A$1:$D$1,),)</f>
        <v>1839</v>
      </c>
      <c r="C448" s="30">
        <f>(Table245[[#This Row],[Completed]]-B447)/B447</f>
        <v>2.3942093541202674E-2</v>
      </c>
    </row>
    <row r="449" spans="1:3" x14ac:dyDescent="0.2">
      <c r="A449" s="9">
        <v>38292</v>
      </c>
      <c r="B449" s="10">
        <f>VLOOKUP(Table245[[#This Row],[Date]],'Database New'!$A:$D,MATCH($A$1,'Database New'!$A$1:$D$1,),)</f>
        <v>1758</v>
      </c>
      <c r="C449" s="30">
        <f>(Table245[[#This Row],[Completed]]-B448)/B448</f>
        <v>-4.4045676998368678E-2</v>
      </c>
    </row>
    <row r="450" spans="1:3" x14ac:dyDescent="0.2">
      <c r="A450" s="9">
        <v>38322</v>
      </c>
      <c r="B450" s="10">
        <f>VLOOKUP(Table245[[#This Row],[Date]],'Database New'!$A:$D,MATCH($A$1,'Database New'!$A$1:$D$1,),)</f>
        <v>1921</v>
      </c>
      <c r="C450" s="30">
        <f>(Table245[[#This Row],[Completed]]-B449)/B449</f>
        <v>9.2718998862343568E-2</v>
      </c>
    </row>
    <row r="451" spans="1:3" x14ac:dyDescent="0.2">
      <c r="A451" s="9">
        <v>38353</v>
      </c>
      <c r="B451" s="10">
        <f>VLOOKUP(Table245[[#This Row],[Date]],'Database New'!$A:$D,MATCH($A$1,'Database New'!$A$1:$D$1,),)</f>
        <v>1892</v>
      </c>
      <c r="C451" s="30">
        <f>(Table245[[#This Row],[Completed]]-B450)/B450</f>
        <v>-1.5096304008328995E-2</v>
      </c>
    </row>
    <row r="452" spans="1:3" x14ac:dyDescent="0.2">
      <c r="A452" s="9">
        <v>38384</v>
      </c>
      <c r="B452" s="10">
        <f>VLOOKUP(Table245[[#This Row],[Date]],'Database New'!$A:$D,MATCH($A$1,'Database New'!$A$1:$D$1,),)</f>
        <v>1908</v>
      </c>
      <c r="C452" s="30">
        <f>(Table245[[#This Row],[Completed]]-B451)/B451</f>
        <v>8.4566596194503175E-3</v>
      </c>
    </row>
    <row r="453" spans="1:3" x14ac:dyDescent="0.2">
      <c r="A453" s="9">
        <v>38412</v>
      </c>
      <c r="B453" s="10">
        <f>VLOOKUP(Table245[[#This Row],[Date]],'Database New'!$A:$D,MATCH($A$1,'Database New'!$A$1:$D$1,),)</f>
        <v>1787</v>
      </c>
      <c r="C453" s="30">
        <f>(Table245[[#This Row],[Completed]]-B452)/B452</f>
        <v>-6.3417190775681337E-2</v>
      </c>
    </row>
    <row r="454" spans="1:3" x14ac:dyDescent="0.2">
      <c r="A454" s="9">
        <v>38443</v>
      </c>
      <c r="B454" s="10">
        <f>VLOOKUP(Table245[[#This Row],[Date]],'Database New'!$A:$D,MATCH($A$1,'Database New'!$A$1:$D$1,),)</f>
        <v>1927</v>
      </c>
      <c r="C454" s="30">
        <f>(Table245[[#This Row],[Completed]]-B453)/B453</f>
        <v>7.8343592613318414E-2</v>
      </c>
    </row>
    <row r="455" spans="1:3" x14ac:dyDescent="0.2">
      <c r="A455" s="9">
        <v>38473</v>
      </c>
      <c r="B455" s="10">
        <f>VLOOKUP(Table245[[#This Row],[Date]],'Database New'!$A:$D,MATCH($A$1,'Database New'!$A$1:$D$1,),)</f>
        <v>2103</v>
      </c>
      <c r="C455" s="30">
        <f>(Table245[[#This Row],[Completed]]-B454)/B454</f>
        <v>9.1333679294239745E-2</v>
      </c>
    </row>
    <row r="456" spans="1:3" x14ac:dyDescent="0.2">
      <c r="A456" s="9">
        <v>38504</v>
      </c>
      <c r="B456" s="10">
        <f>VLOOKUP(Table245[[#This Row],[Date]],'Database New'!$A:$D,MATCH($A$1,'Database New'!$A$1:$D$1,),)</f>
        <v>1965</v>
      </c>
      <c r="C456" s="30">
        <f>(Table245[[#This Row],[Completed]]-B455)/B455</f>
        <v>-6.5620542082738945E-2</v>
      </c>
    </row>
    <row r="457" spans="1:3" x14ac:dyDescent="0.2">
      <c r="A457" s="9">
        <v>38534</v>
      </c>
      <c r="B457" s="10">
        <f>VLOOKUP(Table245[[#This Row],[Date]],'Database New'!$A:$D,MATCH($A$1,'Database New'!$A$1:$D$1,),)</f>
        <v>1886</v>
      </c>
      <c r="C457" s="30">
        <f>(Table245[[#This Row],[Completed]]-B456)/B456</f>
        <v>-4.020356234096692E-2</v>
      </c>
    </row>
    <row r="458" spans="1:3" x14ac:dyDescent="0.2">
      <c r="A458" s="9">
        <v>38565</v>
      </c>
      <c r="B458" s="10">
        <f>VLOOKUP(Table245[[#This Row],[Date]],'Database New'!$A:$D,MATCH($A$1,'Database New'!$A$1:$D$1,),)</f>
        <v>1952</v>
      </c>
      <c r="C458" s="30">
        <f>(Table245[[#This Row],[Completed]]-B457)/B457</f>
        <v>3.4994697773064687E-2</v>
      </c>
    </row>
    <row r="459" spans="1:3" x14ac:dyDescent="0.2">
      <c r="A459" s="9">
        <v>38596</v>
      </c>
      <c r="B459" s="10">
        <f>VLOOKUP(Table245[[#This Row],[Date]],'Database New'!$A:$D,MATCH($A$1,'Database New'!$A$1:$D$1,),)</f>
        <v>1922</v>
      </c>
      <c r="C459" s="30">
        <f>(Table245[[#This Row],[Completed]]-B458)/B458</f>
        <v>-1.5368852459016393E-2</v>
      </c>
    </row>
    <row r="460" spans="1:3" x14ac:dyDescent="0.2">
      <c r="A460" s="9">
        <v>38626</v>
      </c>
      <c r="B460" s="10">
        <f>VLOOKUP(Table245[[#This Row],[Date]],'Database New'!$A:$D,MATCH($A$1,'Database New'!$A$1:$D$1,),)</f>
        <v>1962</v>
      </c>
      <c r="C460" s="30">
        <f>(Table245[[#This Row],[Completed]]-B459)/B459</f>
        <v>2.081165452653486E-2</v>
      </c>
    </row>
    <row r="461" spans="1:3" x14ac:dyDescent="0.2">
      <c r="A461" s="9">
        <v>38657</v>
      </c>
      <c r="B461" s="10">
        <f>VLOOKUP(Table245[[#This Row],[Date]],'Database New'!$A:$D,MATCH($A$1,'Database New'!$A$1:$D$1,),)</f>
        <v>1907</v>
      </c>
      <c r="C461" s="30">
        <f>(Table245[[#This Row],[Completed]]-B460)/B460</f>
        <v>-2.8032619775739041E-2</v>
      </c>
    </row>
    <row r="462" spans="1:3" x14ac:dyDescent="0.2">
      <c r="A462" s="9">
        <v>38687</v>
      </c>
      <c r="B462" s="10">
        <f>VLOOKUP(Table245[[#This Row],[Date]],'Database New'!$A:$D,MATCH($A$1,'Database New'!$A$1:$D$1,),)</f>
        <v>1941</v>
      </c>
      <c r="C462" s="30">
        <f>(Table245[[#This Row],[Completed]]-B461)/B461</f>
        <v>1.7829050865233349E-2</v>
      </c>
    </row>
    <row r="463" spans="1:3" x14ac:dyDescent="0.2">
      <c r="A463" s="9">
        <v>38718</v>
      </c>
      <c r="B463" s="10">
        <f>VLOOKUP(Table245[[#This Row],[Date]],'Database New'!$A:$D,MATCH($A$1,'Database New'!$A$1:$D$1,),)</f>
        <v>2036</v>
      </c>
      <c r="C463" s="30">
        <f>(Table245[[#This Row],[Completed]]-B462)/B462</f>
        <v>4.8943843379701188E-2</v>
      </c>
    </row>
    <row r="464" spans="1:3" x14ac:dyDescent="0.2">
      <c r="A464" s="9">
        <v>38749</v>
      </c>
      <c r="B464" s="10">
        <f>VLOOKUP(Table245[[#This Row],[Date]],'Database New'!$A:$D,MATCH($A$1,'Database New'!$A$1:$D$1,),)</f>
        <v>2048</v>
      </c>
      <c r="C464" s="30">
        <f>(Table245[[#This Row],[Completed]]-B463)/B463</f>
        <v>5.893909626719057E-3</v>
      </c>
    </row>
    <row r="465" spans="1:3" x14ac:dyDescent="0.2">
      <c r="A465" s="9">
        <v>38777</v>
      </c>
      <c r="B465" s="10">
        <f>VLOOKUP(Table245[[#This Row],[Date]],'Database New'!$A:$D,MATCH($A$1,'Database New'!$A$1:$D$1,),)</f>
        <v>2245</v>
      </c>
      <c r="C465" s="30">
        <f>(Table245[[#This Row],[Completed]]-B464)/B464</f>
        <v>9.619140625E-2</v>
      </c>
    </row>
    <row r="466" spans="1:3" x14ac:dyDescent="0.2">
      <c r="A466" s="9">
        <v>38808</v>
      </c>
      <c r="B466" s="10">
        <f>VLOOKUP(Table245[[#This Row],[Date]],'Database New'!$A:$D,MATCH($A$1,'Database New'!$A$1:$D$1,),)</f>
        <v>2071</v>
      </c>
      <c r="C466" s="30">
        <f>(Table245[[#This Row],[Completed]]-B465)/B465</f>
        <v>-7.7505567928730507E-2</v>
      </c>
    </row>
    <row r="467" spans="1:3" x14ac:dyDescent="0.2">
      <c r="A467" s="9">
        <v>38838</v>
      </c>
      <c r="B467" s="10">
        <f>VLOOKUP(Table245[[#This Row],[Date]],'Database New'!$A:$D,MATCH($A$1,'Database New'!$A$1:$D$1,),)</f>
        <v>1897</v>
      </c>
      <c r="C467" s="30">
        <f>(Table245[[#This Row],[Completed]]-B466)/B466</f>
        <v>-8.4017382906808311E-2</v>
      </c>
    </row>
    <row r="468" spans="1:3" x14ac:dyDescent="0.2">
      <c r="A468" s="9">
        <v>38869</v>
      </c>
      <c r="B468" s="10">
        <f>VLOOKUP(Table245[[#This Row],[Date]],'Database New'!$A:$D,MATCH($A$1,'Database New'!$A$1:$D$1,),)</f>
        <v>2050</v>
      </c>
      <c r="C468" s="30">
        <f>(Table245[[#This Row],[Completed]]-B467)/B467</f>
        <v>8.0653663679493934E-2</v>
      </c>
    </row>
    <row r="469" spans="1:3" x14ac:dyDescent="0.2">
      <c r="A469" s="9">
        <v>38899</v>
      </c>
      <c r="B469" s="10">
        <f>VLOOKUP(Table245[[#This Row],[Date]],'Database New'!$A:$D,MATCH($A$1,'Database New'!$A$1:$D$1,),)</f>
        <v>1934</v>
      </c>
      <c r="C469" s="30">
        <f>(Table245[[#This Row],[Completed]]-B468)/B468</f>
        <v>-5.6585365853658538E-2</v>
      </c>
    </row>
    <row r="470" spans="1:3" x14ac:dyDescent="0.2">
      <c r="A470" s="9">
        <v>38930</v>
      </c>
      <c r="B470" s="10">
        <f>VLOOKUP(Table245[[#This Row],[Date]],'Database New'!$A:$D,MATCH($A$1,'Database New'!$A$1:$D$1,),)</f>
        <v>1877</v>
      </c>
      <c r="C470" s="30">
        <f>(Table245[[#This Row],[Completed]]-B469)/B469</f>
        <v>-2.9472595656670115E-2</v>
      </c>
    </row>
    <row r="471" spans="1:3" x14ac:dyDescent="0.2">
      <c r="A471" s="9">
        <v>38961</v>
      </c>
      <c r="B471" s="10">
        <f>VLOOKUP(Table245[[#This Row],[Date]],'Database New'!$A:$D,MATCH($A$1,'Database New'!$A$1:$D$1,),)</f>
        <v>2011</v>
      </c>
      <c r="C471" s="30">
        <f>(Table245[[#This Row],[Completed]]-B470)/B470</f>
        <v>7.1390516782099095E-2</v>
      </c>
    </row>
    <row r="472" spans="1:3" x14ac:dyDescent="0.2">
      <c r="A472" s="9">
        <v>38991</v>
      </c>
      <c r="B472" s="10">
        <f>VLOOKUP(Table245[[#This Row],[Date]],'Database New'!$A:$D,MATCH($A$1,'Database New'!$A$1:$D$1,),)</f>
        <v>1918</v>
      </c>
      <c r="C472" s="30">
        <f>(Table245[[#This Row],[Completed]]-B471)/B471</f>
        <v>-4.6245648930880158E-2</v>
      </c>
    </row>
    <row r="473" spans="1:3" x14ac:dyDescent="0.2">
      <c r="A473" s="9">
        <v>39022</v>
      </c>
      <c r="B473" s="10">
        <f>VLOOKUP(Table245[[#This Row],[Date]],'Database New'!$A:$D,MATCH($A$1,'Database New'!$A$1:$D$1,),)</f>
        <v>1893</v>
      </c>
      <c r="C473" s="30">
        <f>(Table245[[#This Row],[Completed]]-B472)/B472</f>
        <v>-1.3034410844629822E-2</v>
      </c>
    </row>
    <row r="474" spans="1:3" x14ac:dyDescent="0.2">
      <c r="A474" s="9">
        <v>39052</v>
      </c>
      <c r="B474" s="10">
        <f>VLOOKUP(Table245[[#This Row],[Date]],'Database New'!$A:$D,MATCH($A$1,'Database New'!$A$1:$D$1,),)</f>
        <v>1888</v>
      </c>
      <c r="C474" s="30">
        <f>(Table245[[#This Row],[Completed]]-B473)/B473</f>
        <v>-2.6413100898045432E-3</v>
      </c>
    </row>
    <row r="475" spans="1:3" x14ac:dyDescent="0.2">
      <c r="A475" s="9">
        <v>39083</v>
      </c>
      <c r="B475" s="10">
        <f>VLOOKUP(Table245[[#This Row],[Date]],'Database New'!$A:$D,MATCH($A$1,'Database New'!$A$1:$D$1,),)</f>
        <v>1822</v>
      </c>
      <c r="C475" s="30">
        <f>(Table245[[#This Row],[Completed]]-B474)/B474</f>
        <v>-3.4957627118644065E-2</v>
      </c>
    </row>
    <row r="476" spans="1:3" x14ac:dyDescent="0.2">
      <c r="A476" s="9">
        <v>39114</v>
      </c>
      <c r="B476" s="10">
        <f>VLOOKUP(Table245[[#This Row],[Date]],'Database New'!$A:$D,MATCH($A$1,'Database New'!$A$1:$D$1,),)</f>
        <v>1640</v>
      </c>
      <c r="C476" s="30">
        <f>(Table245[[#This Row],[Completed]]-B475)/B475</f>
        <v>-9.989023051591657E-2</v>
      </c>
    </row>
    <row r="477" spans="1:3" x14ac:dyDescent="0.2">
      <c r="A477" s="9">
        <v>39142</v>
      </c>
      <c r="B477" s="10">
        <f>VLOOKUP(Table245[[#This Row],[Date]],'Database New'!$A:$D,MATCH($A$1,'Database New'!$A$1:$D$1,),)</f>
        <v>1623</v>
      </c>
      <c r="C477" s="30">
        <f>(Table245[[#This Row],[Completed]]-B476)/B476</f>
        <v>-1.0365853658536586E-2</v>
      </c>
    </row>
    <row r="478" spans="1:3" x14ac:dyDescent="0.2">
      <c r="A478" s="9">
        <v>39173</v>
      </c>
      <c r="B478" s="10">
        <f>VLOOKUP(Table245[[#This Row],[Date]],'Database New'!$A:$D,MATCH($A$1,'Database New'!$A$1:$D$1,),)</f>
        <v>1539</v>
      </c>
      <c r="C478" s="30">
        <f>(Table245[[#This Row],[Completed]]-B477)/B477</f>
        <v>-5.1756007393715345E-2</v>
      </c>
    </row>
    <row r="479" spans="1:3" x14ac:dyDescent="0.2">
      <c r="A479" s="9">
        <v>39203</v>
      </c>
      <c r="B479" s="10">
        <f>VLOOKUP(Table245[[#This Row],[Date]],'Database New'!$A:$D,MATCH($A$1,'Database New'!$A$1:$D$1,),)</f>
        <v>1536</v>
      </c>
      <c r="C479" s="30">
        <f>(Table245[[#This Row],[Completed]]-B478)/B478</f>
        <v>-1.9493177387914229E-3</v>
      </c>
    </row>
    <row r="480" spans="1:3" x14ac:dyDescent="0.2">
      <c r="A480" s="9">
        <v>39234</v>
      </c>
      <c r="B480" s="10">
        <f>VLOOKUP(Table245[[#This Row],[Date]],'Database New'!$A:$D,MATCH($A$1,'Database New'!$A$1:$D$1,),)</f>
        <v>1481</v>
      </c>
      <c r="C480" s="30">
        <f>(Table245[[#This Row],[Completed]]-B479)/B479</f>
        <v>-3.5807291666666664E-2</v>
      </c>
    </row>
    <row r="481" spans="1:3" x14ac:dyDescent="0.2">
      <c r="A481" s="9">
        <v>39264</v>
      </c>
      <c r="B481" s="10">
        <f>VLOOKUP(Table245[[#This Row],[Date]],'Database New'!$A:$D,MATCH($A$1,'Database New'!$A$1:$D$1,),)</f>
        <v>1534</v>
      </c>
      <c r="C481" s="30">
        <f>(Table245[[#This Row],[Completed]]-B480)/B480</f>
        <v>3.5786630654962862E-2</v>
      </c>
    </row>
    <row r="482" spans="1:3" x14ac:dyDescent="0.2">
      <c r="A482" s="9">
        <v>39295</v>
      </c>
      <c r="B482" s="10">
        <f>VLOOKUP(Table245[[#This Row],[Date]],'Database New'!$A:$D,MATCH($A$1,'Database New'!$A$1:$D$1,),)</f>
        <v>1512</v>
      </c>
      <c r="C482" s="30">
        <f>(Table245[[#This Row],[Completed]]-B481)/B481</f>
        <v>-1.4341590612777053E-2</v>
      </c>
    </row>
    <row r="483" spans="1:3" x14ac:dyDescent="0.2">
      <c r="A483" s="9">
        <v>39326</v>
      </c>
      <c r="B483" s="10">
        <f>VLOOKUP(Table245[[#This Row],[Date]],'Database New'!$A:$D,MATCH($A$1,'Database New'!$A$1:$D$1,),)</f>
        <v>1356</v>
      </c>
      <c r="C483" s="30">
        <f>(Table245[[#This Row],[Completed]]-B482)/B482</f>
        <v>-0.10317460317460317</v>
      </c>
    </row>
    <row r="484" spans="1:3" x14ac:dyDescent="0.2">
      <c r="A484" s="9">
        <v>39356</v>
      </c>
      <c r="B484" s="10">
        <f>VLOOKUP(Table245[[#This Row],[Date]],'Database New'!$A:$D,MATCH($A$1,'Database New'!$A$1:$D$1,),)</f>
        <v>1405</v>
      </c>
      <c r="C484" s="30">
        <f>(Table245[[#This Row],[Completed]]-B483)/B483</f>
        <v>3.6135693215339236E-2</v>
      </c>
    </row>
    <row r="485" spans="1:3" x14ac:dyDescent="0.2">
      <c r="A485" s="9">
        <v>39387</v>
      </c>
      <c r="B485" s="10">
        <f>VLOOKUP(Table245[[#This Row],[Date]],'Database New'!$A:$D,MATCH($A$1,'Database New'!$A$1:$D$1,),)</f>
        <v>1390</v>
      </c>
      <c r="C485" s="30">
        <f>(Table245[[#This Row],[Completed]]-B484)/B484</f>
        <v>-1.0676156583629894E-2</v>
      </c>
    </row>
    <row r="486" spans="1:3" x14ac:dyDescent="0.2">
      <c r="A486" s="9">
        <v>39417</v>
      </c>
      <c r="B486" s="10">
        <f>VLOOKUP(Table245[[#This Row],[Date]],'Database New'!$A:$D,MATCH($A$1,'Database New'!$A$1:$D$1,),)</f>
        <v>1328</v>
      </c>
      <c r="C486" s="30">
        <f>(Table245[[#This Row],[Completed]]-B485)/B485</f>
        <v>-4.4604316546762592E-2</v>
      </c>
    </row>
    <row r="487" spans="1:3" x14ac:dyDescent="0.2">
      <c r="A487" s="9">
        <v>39448</v>
      </c>
      <c r="B487" s="10">
        <f>VLOOKUP(Table245[[#This Row],[Date]],'Database New'!$A:$D,MATCH($A$1,'Database New'!$A$1:$D$1,),)</f>
        <v>1331</v>
      </c>
      <c r="C487" s="30">
        <f>(Table245[[#This Row],[Completed]]-B486)/B486</f>
        <v>2.2590361445783132E-3</v>
      </c>
    </row>
    <row r="488" spans="1:3" x14ac:dyDescent="0.2">
      <c r="A488" s="9">
        <v>39479</v>
      </c>
      <c r="B488" s="10">
        <f>VLOOKUP(Table245[[#This Row],[Date]],'Database New'!$A:$D,MATCH($A$1,'Database New'!$A$1:$D$1,),)</f>
        <v>1274</v>
      </c>
      <c r="C488" s="30">
        <f>(Table245[[#This Row],[Completed]]-B487)/B487</f>
        <v>-4.2824943651389932E-2</v>
      </c>
    </row>
    <row r="489" spans="1:3" x14ac:dyDescent="0.2">
      <c r="A489" s="9">
        <v>39508</v>
      </c>
      <c r="B489" s="10">
        <f>VLOOKUP(Table245[[#This Row],[Date]],'Database New'!$A:$D,MATCH($A$1,'Database New'!$A$1:$D$1,),)</f>
        <v>1195</v>
      </c>
      <c r="C489" s="30">
        <f>(Table245[[#This Row],[Completed]]-B488)/B488</f>
        <v>-6.2009419152276292E-2</v>
      </c>
    </row>
    <row r="490" spans="1:3" x14ac:dyDescent="0.2">
      <c r="A490" s="9">
        <v>39539</v>
      </c>
      <c r="B490" s="10">
        <f>VLOOKUP(Table245[[#This Row],[Date]],'Database New'!$A:$D,MATCH($A$1,'Database New'!$A$1:$D$1,),)</f>
        <v>1022</v>
      </c>
      <c r="C490" s="30">
        <f>(Table245[[#This Row],[Completed]]-B489)/B489</f>
        <v>-0.14476987447698744</v>
      </c>
    </row>
    <row r="491" spans="1:3" x14ac:dyDescent="0.2">
      <c r="A491" s="9">
        <v>39569</v>
      </c>
      <c r="B491" s="10">
        <f>VLOOKUP(Table245[[#This Row],[Date]],'Database New'!$A:$D,MATCH($A$1,'Database New'!$A$1:$D$1,),)</f>
        <v>1142</v>
      </c>
      <c r="C491" s="30">
        <f>(Table245[[#This Row],[Completed]]-B490)/B490</f>
        <v>0.11741682974559686</v>
      </c>
    </row>
    <row r="492" spans="1:3" x14ac:dyDescent="0.2">
      <c r="A492" s="9">
        <v>39600</v>
      </c>
      <c r="B492" s="10">
        <f>VLOOKUP(Table245[[#This Row],[Date]],'Database New'!$A:$D,MATCH($A$1,'Database New'!$A$1:$D$1,),)</f>
        <v>1142</v>
      </c>
      <c r="C492" s="30">
        <f>(Table245[[#This Row],[Completed]]-B491)/B491</f>
        <v>0</v>
      </c>
    </row>
    <row r="493" spans="1:3" x14ac:dyDescent="0.2">
      <c r="A493" s="9">
        <v>39630</v>
      </c>
      <c r="B493" s="10">
        <f>VLOOKUP(Table245[[#This Row],[Date]],'Database New'!$A:$D,MATCH($A$1,'Database New'!$A$1:$D$1,),)</f>
        <v>1087</v>
      </c>
      <c r="C493" s="30">
        <f>(Table245[[#This Row],[Completed]]-B492)/B492</f>
        <v>-4.816112084063047E-2</v>
      </c>
    </row>
    <row r="494" spans="1:3" x14ac:dyDescent="0.2">
      <c r="A494" s="9">
        <v>39661</v>
      </c>
      <c r="B494" s="10">
        <f>VLOOKUP(Table245[[#This Row],[Date]],'Database New'!$A:$D,MATCH($A$1,'Database New'!$A$1:$D$1,),)</f>
        <v>1017</v>
      </c>
      <c r="C494" s="30">
        <f>(Table245[[#This Row],[Completed]]-B493)/B493</f>
        <v>-6.439742410303588E-2</v>
      </c>
    </row>
    <row r="495" spans="1:3" x14ac:dyDescent="0.2">
      <c r="A495" s="9">
        <v>39692</v>
      </c>
      <c r="B495" s="10">
        <f>VLOOKUP(Table245[[#This Row],[Date]],'Database New'!$A:$D,MATCH($A$1,'Database New'!$A$1:$D$1,),)</f>
        <v>1160</v>
      </c>
      <c r="C495" s="30">
        <f>(Table245[[#This Row],[Completed]]-B494)/B494</f>
        <v>0.14060963618485742</v>
      </c>
    </row>
    <row r="496" spans="1:3" x14ac:dyDescent="0.2">
      <c r="A496" s="9">
        <v>39722</v>
      </c>
      <c r="B496" s="10">
        <f>VLOOKUP(Table245[[#This Row],[Date]],'Database New'!$A:$D,MATCH($A$1,'Database New'!$A$1:$D$1,),)</f>
        <v>1055</v>
      </c>
      <c r="C496" s="30">
        <f>(Table245[[#This Row],[Completed]]-B495)/B495</f>
        <v>-9.0517241379310345E-2</v>
      </c>
    </row>
    <row r="497" spans="1:3" x14ac:dyDescent="0.2">
      <c r="A497" s="9">
        <v>39753</v>
      </c>
      <c r="B497" s="10">
        <f>VLOOKUP(Table245[[#This Row],[Date]],'Database New'!$A:$D,MATCH($A$1,'Database New'!$A$1:$D$1,),)</f>
        <v>1076</v>
      </c>
      <c r="C497" s="30">
        <f>(Table245[[#This Row],[Completed]]-B496)/B496</f>
        <v>1.9905213270142181E-2</v>
      </c>
    </row>
    <row r="498" spans="1:3" x14ac:dyDescent="0.2">
      <c r="A498" s="9">
        <v>39783</v>
      </c>
      <c r="B498" s="10">
        <f>VLOOKUP(Table245[[#This Row],[Date]],'Database New'!$A:$D,MATCH($A$1,'Database New'!$A$1:$D$1,),)</f>
        <v>1021</v>
      </c>
      <c r="C498" s="30">
        <f>(Table245[[#This Row],[Completed]]-B497)/B497</f>
        <v>-5.111524163568773E-2</v>
      </c>
    </row>
    <row r="499" spans="1:3" x14ac:dyDescent="0.2">
      <c r="A499" s="9">
        <v>39814</v>
      </c>
      <c r="B499" s="10">
        <f>VLOOKUP(Table245[[#This Row],[Date]],'Database New'!$A:$D,MATCH($A$1,'Database New'!$A$1:$D$1,),)</f>
        <v>777</v>
      </c>
      <c r="C499" s="30">
        <f>(Table245[[#This Row],[Completed]]-B498)/B498</f>
        <v>-0.23898139079333985</v>
      </c>
    </row>
    <row r="500" spans="1:3" x14ac:dyDescent="0.2">
      <c r="A500" s="9">
        <v>39845</v>
      </c>
      <c r="B500" s="10">
        <f>VLOOKUP(Table245[[#This Row],[Date]],'Database New'!$A:$D,MATCH($A$1,'Database New'!$A$1:$D$1,),)</f>
        <v>819</v>
      </c>
      <c r="C500" s="30">
        <f>(Table245[[#This Row],[Completed]]-B499)/B499</f>
        <v>5.4054054054054057E-2</v>
      </c>
    </row>
    <row r="501" spans="1:3" x14ac:dyDescent="0.2">
      <c r="A501" s="9">
        <v>39873</v>
      </c>
      <c r="B501" s="10">
        <f>VLOOKUP(Table245[[#This Row],[Date]],'Database New'!$A:$D,MATCH($A$1,'Database New'!$A$1:$D$1,),)</f>
        <v>839</v>
      </c>
      <c r="C501" s="30">
        <f>(Table245[[#This Row],[Completed]]-B500)/B500</f>
        <v>2.442002442002442E-2</v>
      </c>
    </row>
    <row r="502" spans="1:3" x14ac:dyDescent="0.2">
      <c r="A502" s="9">
        <v>39904</v>
      </c>
      <c r="B502" s="10">
        <f>VLOOKUP(Table245[[#This Row],[Date]],'Database New'!$A:$D,MATCH($A$1,'Database New'!$A$1:$D$1,),)</f>
        <v>846</v>
      </c>
      <c r="C502" s="30">
        <f>(Table245[[#This Row],[Completed]]-B501)/B501</f>
        <v>8.3432657926102508E-3</v>
      </c>
    </row>
    <row r="503" spans="1:3" x14ac:dyDescent="0.2">
      <c r="A503" s="9">
        <v>39934</v>
      </c>
      <c r="B503" s="10">
        <f>VLOOKUP(Table245[[#This Row],[Date]],'Database New'!$A:$D,MATCH($A$1,'Database New'!$A$1:$D$1,),)</f>
        <v>818</v>
      </c>
      <c r="C503" s="30">
        <f>(Table245[[#This Row],[Completed]]-B502)/B502</f>
        <v>-3.309692671394799E-2</v>
      </c>
    </row>
    <row r="504" spans="1:3" x14ac:dyDescent="0.2">
      <c r="A504" s="9">
        <v>39965</v>
      </c>
      <c r="B504" s="10">
        <f>VLOOKUP(Table245[[#This Row],[Date]],'Database New'!$A:$D,MATCH($A$1,'Database New'!$A$1:$D$1,),)</f>
        <v>797</v>
      </c>
      <c r="C504" s="30">
        <f>(Table245[[#This Row],[Completed]]-B503)/B503</f>
        <v>-2.567237163814181E-2</v>
      </c>
    </row>
    <row r="505" spans="1:3" x14ac:dyDescent="0.2">
      <c r="A505" s="9">
        <v>39995</v>
      </c>
      <c r="B505" s="10">
        <f>VLOOKUP(Table245[[#This Row],[Date]],'Database New'!$A:$D,MATCH($A$1,'Database New'!$A$1:$D$1,),)</f>
        <v>797</v>
      </c>
      <c r="C505" s="30">
        <f>(Table245[[#This Row],[Completed]]-B504)/B504</f>
        <v>0</v>
      </c>
    </row>
    <row r="506" spans="1:3" x14ac:dyDescent="0.2">
      <c r="A506" s="9">
        <v>40026</v>
      </c>
      <c r="B506" s="10">
        <f>VLOOKUP(Table245[[#This Row],[Date]],'Database New'!$A:$D,MATCH($A$1,'Database New'!$A$1:$D$1,),)</f>
        <v>792</v>
      </c>
      <c r="C506" s="30">
        <f>(Table245[[#This Row],[Completed]]-B505)/B505</f>
        <v>-6.2735257214554582E-3</v>
      </c>
    </row>
    <row r="507" spans="1:3" x14ac:dyDescent="0.2">
      <c r="A507" s="9">
        <v>40057</v>
      </c>
      <c r="B507" s="10">
        <f>VLOOKUP(Table245[[#This Row],[Date]],'Database New'!$A:$D,MATCH($A$1,'Database New'!$A$1:$D$1,),)</f>
        <v>721</v>
      </c>
      <c r="C507" s="30">
        <f>(Table245[[#This Row],[Completed]]-B506)/B506</f>
        <v>-8.9646464646464641E-2</v>
      </c>
    </row>
    <row r="508" spans="1:3" x14ac:dyDescent="0.2">
      <c r="A508" s="9">
        <v>40087</v>
      </c>
      <c r="B508" s="10">
        <f>VLOOKUP(Table245[[#This Row],[Date]],'Database New'!$A:$D,MATCH($A$1,'Database New'!$A$1:$D$1,),)</f>
        <v>746</v>
      </c>
      <c r="C508" s="30">
        <f>(Table245[[#This Row],[Completed]]-B507)/B507</f>
        <v>3.4674063800277391E-2</v>
      </c>
    </row>
    <row r="509" spans="1:3" x14ac:dyDescent="0.2">
      <c r="A509" s="9">
        <v>40118</v>
      </c>
      <c r="B509" s="10">
        <f>VLOOKUP(Table245[[#This Row],[Date]],'Database New'!$A:$D,MATCH($A$1,'Database New'!$A$1:$D$1,),)</f>
        <v>844</v>
      </c>
      <c r="C509" s="30">
        <f>(Table245[[#This Row],[Completed]]-B508)/B508</f>
        <v>0.13136729222520108</v>
      </c>
    </row>
    <row r="510" spans="1:3" x14ac:dyDescent="0.2">
      <c r="A510" s="9">
        <v>40148</v>
      </c>
      <c r="B510" s="10">
        <f>VLOOKUP(Table245[[#This Row],[Date]],'Database New'!$A:$D,MATCH($A$1,'Database New'!$A$1:$D$1,),)</f>
        <v>750</v>
      </c>
      <c r="C510" s="30">
        <f>(Table245[[#This Row],[Completed]]-B509)/B509</f>
        <v>-0.11137440758293839</v>
      </c>
    </row>
    <row r="511" spans="1:3" x14ac:dyDescent="0.2">
      <c r="A511" s="9">
        <v>40179</v>
      </c>
      <c r="B511" s="10">
        <f>VLOOKUP(Table245[[#This Row],[Date]],'Database New'!$A:$D,MATCH($A$1,'Database New'!$A$1:$D$1,),)</f>
        <v>689</v>
      </c>
      <c r="C511" s="30">
        <f>(Table245[[#This Row],[Completed]]-B510)/B510</f>
        <v>-8.1333333333333327E-2</v>
      </c>
    </row>
    <row r="512" spans="1:3" x14ac:dyDescent="0.2">
      <c r="A512" s="9">
        <v>40210</v>
      </c>
      <c r="B512" s="10">
        <f>VLOOKUP(Table245[[#This Row],[Date]],'Database New'!$A:$D,MATCH($A$1,'Database New'!$A$1:$D$1,),)</f>
        <v>670</v>
      </c>
      <c r="C512" s="30">
        <f>(Table245[[#This Row],[Completed]]-B511)/B511</f>
        <v>-2.7576197387518143E-2</v>
      </c>
    </row>
    <row r="513" spans="1:3" x14ac:dyDescent="0.2">
      <c r="A513" s="9">
        <v>40238</v>
      </c>
      <c r="B513" s="10">
        <f>VLOOKUP(Table245[[#This Row],[Date]],'Database New'!$A:$D,MATCH($A$1,'Database New'!$A$1:$D$1,),)</f>
        <v>635</v>
      </c>
      <c r="C513" s="30">
        <f>(Table245[[#This Row],[Completed]]-B512)/B512</f>
        <v>-5.2238805970149252E-2</v>
      </c>
    </row>
    <row r="514" spans="1:3" x14ac:dyDescent="0.2">
      <c r="A514" s="9">
        <v>40269</v>
      </c>
      <c r="B514" s="10">
        <f>VLOOKUP(Table245[[#This Row],[Date]],'Database New'!$A:$D,MATCH($A$1,'Database New'!$A$1:$D$1,),)</f>
        <v>737</v>
      </c>
      <c r="C514" s="30">
        <f>(Table245[[#This Row],[Completed]]-B513)/B513</f>
        <v>0.16062992125984252</v>
      </c>
    </row>
    <row r="515" spans="1:3" x14ac:dyDescent="0.2">
      <c r="A515" s="9">
        <v>40299</v>
      </c>
      <c r="B515" s="10">
        <f>VLOOKUP(Table245[[#This Row],[Date]],'Database New'!$A:$D,MATCH($A$1,'Database New'!$A$1:$D$1,),)</f>
        <v>702</v>
      </c>
      <c r="C515" s="30">
        <f>(Table245[[#This Row],[Completed]]-B514)/B514</f>
        <v>-4.7489823609226593E-2</v>
      </c>
    </row>
    <row r="516" spans="1:3" x14ac:dyDescent="0.2">
      <c r="A516" s="9">
        <v>40330</v>
      </c>
      <c r="B516" s="10">
        <f>VLOOKUP(Table245[[#This Row],[Date]],'Database New'!$A:$D,MATCH($A$1,'Database New'!$A$1:$D$1,),)</f>
        <v>894</v>
      </c>
      <c r="C516" s="30">
        <f>(Table245[[#This Row],[Completed]]-B515)/B515</f>
        <v>0.27350427350427353</v>
      </c>
    </row>
    <row r="517" spans="1:3" x14ac:dyDescent="0.2">
      <c r="A517" s="9">
        <v>40360</v>
      </c>
      <c r="B517" s="10">
        <f>VLOOKUP(Table245[[#This Row],[Date]],'Database New'!$A:$D,MATCH($A$1,'Database New'!$A$1:$D$1,),)</f>
        <v>572</v>
      </c>
      <c r="C517" s="30">
        <f>(Table245[[#This Row],[Completed]]-B516)/B516</f>
        <v>-0.36017897091722595</v>
      </c>
    </row>
    <row r="518" spans="1:3" x14ac:dyDescent="0.2">
      <c r="A518" s="9">
        <v>40391</v>
      </c>
      <c r="B518" s="10">
        <f>VLOOKUP(Table245[[#This Row],[Date]],'Database New'!$A:$D,MATCH($A$1,'Database New'!$A$1:$D$1,),)</f>
        <v>592</v>
      </c>
      <c r="C518" s="30">
        <f>(Table245[[#This Row],[Completed]]-B517)/B517</f>
        <v>3.4965034965034968E-2</v>
      </c>
    </row>
    <row r="519" spans="1:3" x14ac:dyDescent="0.2">
      <c r="A519" s="9">
        <v>40422</v>
      </c>
      <c r="B519" s="10">
        <f>VLOOKUP(Table245[[#This Row],[Date]],'Database New'!$A:$D,MATCH($A$1,'Database New'!$A$1:$D$1,),)</f>
        <v>632</v>
      </c>
      <c r="C519" s="30">
        <f>(Table245[[#This Row],[Completed]]-B518)/B518</f>
        <v>6.7567567567567571E-2</v>
      </c>
    </row>
    <row r="520" spans="1:3" x14ac:dyDescent="0.2">
      <c r="A520" s="9">
        <v>40452</v>
      </c>
      <c r="B520" s="10">
        <f>VLOOKUP(Table245[[#This Row],[Date]],'Database New'!$A:$D,MATCH($A$1,'Database New'!$A$1:$D$1,),)</f>
        <v>605</v>
      </c>
      <c r="C520" s="30">
        <f>(Table245[[#This Row],[Completed]]-B519)/B519</f>
        <v>-4.2721518987341771E-2</v>
      </c>
    </row>
    <row r="521" spans="1:3" x14ac:dyDescent="0.2">
      <c r="A521" s="9">
        <v>40483</v>
      </c>
      <c r="B521" s="10">
        <f>VLOOKUP(Table245[[#This Row],[Date]],'Database New'!$A:$D,MATCH($A$1,'Database New'!$A$1:$D$1,),)</f>
        <v>552</v>
      </c>
      <c r="C521" s="30">
        <f>(Table245[[#This Row],[Completed]]-B520)/B520</f>
        <v>-8.7603305785123972E-2</v>
      </c>
    </row>
    <row r="522" spans="1:3" x14ac:dyDescent="0.2">
      <c r="A522" s="9">
        <v>40513</v>
      </c>
      <c r="B522" s="10">
        <f>VLOOKUP(Table245[[#This Row],[Date]],'Database New'!$A:$D,MATCH($A$1,'Database New'!$A$1:$D$1,),)</f>
        <v>565</v>
      </c>
      <c r="C522" s="30">
        <f>(Table245[[#This Row],[Completed]]-B521)/B521</f>
        <v>2.355072463768116E-2</v>
      </c>
    </row>
    <row r="523" spans="1:3" x14ac:dyDescent="0.2">
      <c r="A523" s="9">
        <v>40544</v>
      </c>
      <c r="B523" s="10">
        <f>VLOOKUP(Table245[[#This Row],[Date]],'Database New'!$A:$D,MATCH($A$1,'Database New'!$A$1:$D$1,),)</f>
        <v>520</v>
      </c>
      <c r="C523" s="30">
        <f>(Table245[[#This Row],[Completed]]-B522)/B522</f>
        <v>-7.9646017699115043E-2</v>
      </c>
    </row>
    <row r="524" spans="1:3" x14ac:dyDescent="0.2">
      <c r="A524" s="9">
        <v>40575</v>
      </c>
      <c r="B524" s="10">
        <f>VLOOKUP(Table245[[#This Row],[Date]],'Database New'!$A:$D,MATCH($A$1,'Database New'!$A$1:$D$1,),)</f>
        <v>615</v>
      </c>
      <c r="C524" s="30">
        <f>(Table245[[#This Row],[Completed]]-B523)/B523</f>
        <v>0.18269230769230768</v>
      </c>
    </row>
    <row r="525" spans="1:3" x14ac:dyDescent="0.2">
      <c r="A525" s="9">
        <v>40603</v>
      </c>
      <c r="B525" s="10">
        <f>VLOOKUP(Table245[[#This Row],[Date]],'Database New'!$A:$D,MATCH($A$1,'Database New'!$A$1:$D$1,),)</f>
        <v>591</v>
      </c>
      <c r="C525" s="30">
        <f>(Table245[[#This Row],[Completed]]-B524)/B524</f>
        <v>-3.9024390243902439E-2</v>
      </c>
    </row>
    <row r="526" spans="1:3" x14ac:dyDescent="0.2">
      <c r="A526" s="9">
        <v>40634</v>
      </c>
      <c r="B526" s="10">
        <f>VLOOKUP(Table245[[#This Row],[Date]],'Database New'!$A:$D,MATCH($A$1,'Database New'!$A$1:$D$1,),)</f>
        <v>549</v>
      </c>
      <c r="C526" s="30">
        <f>(Table245[[#This Row],[Completed]]-B525)/B525</f>
        <v>-7.1065989847715741E-2</v>
      </c>
    </row>
    <row r="527" spans="1:3" x14ac:dyDescent="0.2">
      <c r="A527" s="9">
        <v>40664</v>
      </c>
      <c r="B527" s="10">
        <f>VLOOKUP(Table245[[#This Row],[Date]],'Database New'!$A:$D,MATCH($A$1,'Database New'!$A$1:$D$1,),)</f>
        <v>549</v>
      </c>
      <c r="C527" s="30">
        <f>(Table245[[#This Row],[Completed]]-B526)/B526</f>
        <v>0</v>
      </c>
    </row>
    <row r="528" spans="1:3" x14ac:dyDescent="0.2">
      <c r="A528" s="9">
        <v>40695</v>
      </c>
      <c r="B528" s="10">
        <f>VLOOKUP(Table245[[#This Row],[Date]],'Database New'!$A:$D,MATCH($A$1,'Database New'!$A$1:$D$1,),)</f>
        <v>579</v>
      </c>
      <c r="C528" s="30">
        <f>(Table245[[#This Row],[Completed]]-B527)/B527</f>
        <v>5.4644808743169397E-2</v>
      </c>
    </row>
    <row r="529" spans="1:3" x14ac:dyDescent="0.2">
      <c r="A529" s="9">
        <v>40725</v>
      </c>
      <c r="B529" s="10">
        <f>VLOOKUP(Table245[[#This Row],[Date]],'Database New'!$A:$D,MATCH($A$1,'Database New'!$A$1:$D$1,),)</f>
        <v>634</v>
      </c>
      <c r="C529" s="30">
        <f>(Table245[[#This Row],[Completed]]-B528)/B528</f>
        <v>9.499136442141623E-2</v>
      </c>
    </row>
    <row r="530" spans="1:3" x14ac:dyDescent="0.2">
      <c r="A530" s="9">
        <v>40756</v>
      </c>
      <c r="B530" s="10">
        <f>VLOOKUP(Table245[[#This Row],[Date]],'Database New'!$A:$D,MATCH($A$1,'Database New'!$A$1:$D$1,),)</f>
        <v>614</v>
      </c>
      <c r="C530" s="30">
        <f>(Table245[[#This Row],[Completed]]-B529)/B529</f>
        <v>-3.1545741324921134E-2</v>
      </c>
    </row>
    <row r="531" spans="1:3" x14ac:dyDescent="0.2">
      <c r="A531" s="9">
        <v>40787</v>
      </c>
      <c r="B531" s="10">
        <f>VLOOKUP(Table245[[#This Row],[Date]],'Database New'!$A:$D,MATCH($A$1,'Database New'!$A$1:$D$1,),)</f>
        <v>603</v>
      </c>
      <c r="C531" s="30">
        <f>(Table245[[#This Row],[Completed]]-B530)/B530</f>
        <v>-1.7915309446254073E-2</v>
      </c>
    </row>
    <row r="532" spans="1:3" x14ac:dyDescent="0.2">
      <c r="A532" s="9">
        <v>40817</v>
      </c>
      <c r="B532" s="10">
        <f>VLOOKUP(Table245[[#This Row],[Date]],'Database New'!$A:$D,MATCH($A$1,'Database New'!$A$1:$D$1,),)</f>
        <v>566</v>
      </c>
      <c r="C532" s="30">
        <f>(Table245[[#This Row],[Completed]]-B531)/B531</f>
        <v>-6.1359867330016582E-2</v>
      </c>
    </row>
    <row r="533" spans="1:3" x14ac:dyDescent="0.2">
      <c r="A533" s="9">
        <v>40848</v>
      </c>
      <c r="B533" s="10">
        <f>VLOOKUP(Table245[[#This Row],[Date]],'Database New'!$A:$D,MATCH($A$1,'Database New'!$A$1:$D$1,),)</f>
        <v>585</v>
      </c>
      <c r="C533" s="30">
        <f>(Table245[[#This Row],[Completed]]-B532)/B532</f>
        <v>3.3568904593639579E-2</v>
      </c>
    </row>
    <row r="534" spans="1:3" x14ac:dyDescent="0.2">
      <c r="A534" s="9">
        <v>40878</v>
      </c>
      <c r="B534" s="10">
        <f>VLOOKUP(Table245[[#This Row],[Date]],'Database New'!$A:$D,MATCH($A$1,'Database New'!$A$1:$D$1,),)</f>
        <v>610</v>
      </c>
      <c r="C534" s="30">
        <f>(Table245[[#This Row],[Completed]]-B533)/B533</f>
        <v>4.2735042735042736E-2</v>
      </c>
    </row>
    <row r="535" spans="1:3" x14ac:dyDescent="0.2">
      <c r="A535" s="9">
        <v>40909</v>
      </c>
      <c r="B535" s="10">
        <f>VLOOKUP(Table245[[#This Row],[Date]],'Database New'!$A:$D,MATCH($A$1,'Database New'!$A$1:$D$1,),)</f>
        <v>545</v>
      </c>
      <c r="C535" s="30">
        <f>(Table245[[#This Row],[Completed]]-B534)/B534</f>
        <v>-0.10655737704918032</v>
      </c>
    </row>
    <row r="536" spans="1:3" x14ac:dyDescent="0.2">
      <c r="A536" s="9">
        <v>40940</v>
      </c>
      <c r="B536" s="10">
        <f>VLOOKUP(Table245[[#This Row],[Date]],'Database New'!$A:$D,MATCH($A$1,'Database New'!$A$1:$D$1,),)</f>
        <v>561</v>
      </c>
      <c r="C536" s="30">
        <f>(Table245[[#This Row],[Completed]]-B535)/B535</f>
        <v>2.9357798165137616E-2</v>
      </c>
    </row>
    <row r="537" spans="1:3" x14ac:dyDescent="0.2">
      <c r="A537" s="9">
        <v>40969</v>
      </c>
      <c r="B537" s="10">
        <f>VLOOKUP(Table245[[#This Row],[Date]],'Database New'!$A:$D,MATCH($A$1,'Database New'!$A$1:$D$1,),)</f>
        <v>582</v>
      </c>
      <c r="C537" s="30">
        <f>(Table245[[#This Row],[Completed]]-B536)/B536</f>
        <v>3.7433155080213901E-2</v>
      </c>
    </row>
    <row r="538" spans="1:3" x14ac:dyDescent="0.2">
      <c r="A538" s="9">
        <v>41000</v>
      </c>
      <c r="B538" s="10">
        <f>VLOOKUP(Table245[[#This Row],[Date]],'Database New'!$A:$D,MATCH($A$1,'Database New'!$A$1:$D$1,),)</f>
        <v>671</v>
      </c>
      <c r="C538" s="30">
        <f>(Table245[[#This Row],[Completed]]-B537)/B537</f>
        <v>0.15292096219931273</v>
      </c>
    </row>
    <row r="539" spans="1:3" x14ac:dyDescent="0.2">
      <c r="A539" s="9">
        <v>41030</v>
      </c>
      <c r="B539" s="10">
        <f>VLOOKUP(Table245[[#This Row],[Date]],'Database New'!$A:$D,MATCH($A$1,'Database New'!$A$1:$D$1,),)</f>
        <v>626</v>
      </c>
      <c r="C539" s="30">
        <f>(Table245[[#This Row],[Completed]]-B538)/B538</f>
        <v>-6.7064083457526083E-2</v>
      </c>
    </row>
    <row r="540" spans="1:3" x14ac:dyDescent="0.2">
      <c r="A540" s="9">
        <v>41061</v>
      </c>
      <c r="B540" s="10">
        <f>VLOOKUP(Table245[[#This Row],[Date]],'Database New'!$A:$D,MATCH($A$1,'Database New'!$A$1:$D$1,),)</f>
        <v>625</v>
      </c>
      <c r="C540" s="30">
        <f>(Table245[[#This Row],[Completed]]-B539)/B539</f>
        <v>-1.5974440894568689E-3</v>
      </c>
    </row>
    <row r="541" spans="1:3" x14ac:dyDescent="0.2">
      <c r="A541" s="9">
        <v>41091</v>
      </c>
      <c r="B541" s="10">
        <f>VLOOKUP(Table245[[#This Row],[Date]],'Database New'!$A:$D,MATCH($A$1,'Database New'!$A$1:$D$1,),)</f>
        <v>676</v>
      </c>
      <c r="C541" s="30">
        <f>(Table245[[#This Row],[Completed]]-B540)/B540</f>
        <v>8.1600000000000006E-2</v>
      </c>
    </row>
    <row r="542" spans="1:3" x14ac:dyDescent="0.2">
      <c r="A542" s="9">
        <v>41122</v>
      </c>
      <c r="B542" s="10">
        <f>VLOOKUP(Table245[[#This Row],[Date]],'Database New'!$A:$D,MATCH($A$1,'Database New'!$A$1:$D$1,),)</f>
        <v>684</v>
      </c>
      <c r="C542" s="30">
        <f>(Table245[[#This Row],[Completed]]-B541)/B541</f>
        <v>1.1834319526627219E-2</v>
      </c>
    </row>
    <row r="543" spans="1:3" x14ac:dyDescent="0.2">
      <c r="A543" s="9">
        <v>41153</v>
      </c>
      <c r="B543" s="10">
        <f>VLOOKUP(Table245[[#This Row],[Date]],'Database New'!$A:$D,MATCH($A$1,'Database New'!$A$1:$D$1,),)</f>
        <v>652</v>
      </c>
      <c r="C543" s="30">
        <f>(Table245[[#This Row],[Completed]]-B542)/B542</f>
        <v>-4.6783625730994149E-2</v>
      </c>
    </row>
    <row r="544" spans="1:3" x14ac:dyDescent="0.2">
      <c r="A544" s="9">
        <v>41183</v>
      </c>
      <c r="B544" s="10">
        <f>VLOOKUP(Table245[[#This Row],[Date]],'Database New'!$A:$D,MATCH($A$1,'Database New'!$A$1:$D$1,),)</f>
        <v>730</v>
      </c>
      <c r="C544" s="30">
        <f>(Table245[[#This Row],[Completed]]-B543)/B543</f>
        <v>0.1196319018404908</v>
      </c>
    </row>
    <row r="545" spans="1:3" x14ac:dyDescent="0.2">
      <c r="A545" s="9">
        <v>41214</v>
      </c>
      <c r="B545" s="10">
        <f>VLOOKUP(Table245[[#This Row],[Date]],'Database New'!$A:$D,MATCH($A$1,'Database New'!$A$1:$D$1,),)</f>
        <v>668</v>
      </c>
      <c r="C545" s="30">
        <f>(Table245[[#This Row],[Completed]]-B544)/B544</f>
        <v>-8.4931506849315067E-2</v>
      </c>
    </row>
    <row r="546" spans="1:3" x14ac:dyDescent="0.2">
      <c r="A546" s="9">
        <v>41244</v>
      </c>
      <c r="B546" s="10">
        <f>VLOOKUP(Table245[[#This Row],[Date]],'Database New'!$A:$D,MATCH($A$1,'Database New'!$A$1:$D$1,),)</f>
        <v>677</v>
      </c>
      <c r="C546" s="30">
        <f>(Table245[[#This Row],[Completed]]-B545)/B545</f>
        <v>1.3473053892215569E-2</v>
      </c>
    </row>
    <row r="547" spans="1:3" x14ac:dyDescent="0.2">
      <c r="A547" s="9">
        <v>41275</v>
      </c>
      <c r="B547" s="10">
        <f>VLOOKUP(Table245[[#This Row],[Date]],'Database New'!$A:$D,MATCH($A$1,'Database New'!$A$1:$D$1,),)</f>
        <v>714</v>
      </c>
      <c r="C547" s="30">
        <f>(Table245[[#This Row],[Completed]]-B546)/B546</f>
        <v>5.4652880354505169E-2</v>
      </c>
    </row>
    <row r="548" spans="1:3" x14ac:dyDescent="0.2">
      <c r="A548" s="9">
        <v>41306</v>
      </c>
      <c r="B548" s="10">
        <f>VLOOKUP(Table245[[#This Row],[Date]],'Database New'!$A:$D,MATCH($A$1,'Database New'!$A$1:$D$1,),)</f>
        <v>729</v>
      </c>
      <c r="C548" s="30">
        <f>(Table245[[#This Row],[Completed]]-B547)/B547</f>
        <v>2.100840336134454E-2</v>
      </c>
    </row>
    <row r="549" spans="1:3" x14ac:dyDescent="0.2">
      <c r="A549" s="9">
        <v>41334</v>
      </c>
      <c r="B549" s="10">
        <f>VLOOKUP(Table245[[#This Row],[Date]],'Database New'!$A:$D,MATCH($A$1,'Database New'!$A$1:$D$1,),)</f>
        <v>816</v>
      </c>
      <c r="C549" s="30">
        <f>(Table245[[#This Row],[Completed]]-B548)/B548</f>
        <v>0.11934156378600823</v>
      </c>
    </row>
    <row r="550" spans="1:3" x14ac:dyDescent="0.2">
      <c r="A550" s="9">
        <v>41365</v>
      </c>
      <c r="B550" s="10">
        <f>VLOOKUP(Table245[[#This Row],[Date]],'Database New'!$A:$D,MATCH($A$1,'Database New'!$A$1:$D$1,),)</f>
        <v>712</v>
      </c>
      <c r="C550" s="30">
        <f>(Table245[[#This Row],[Completed]]-B549)/B549</f>
        <v>-0.12745098039215685</v>
      </c>
    </row>
    <row r="551" spans="1:3" x14ac:dyDescent="0.2">
      <c r="A551" s="9">
        <v>41395</v>
      </c>
      <c r="B551" s="10">
        <f>VLOOKUP(Table245[[#This Row],[Date]],'Database New'!$A:$D,MATCH($A$1,'Database New'!$A$1:$D$1,),)</f>
        <v>708</v>
      </c>
      <c r="C551" s="30">
        <f>(Table245[[#This Row],[Completed]]-B550)/B550</f>
        <v>-5.6179775280898875E-3</v>
      </c>
    </row>
    <row r="552" spans="1:3" x14ac:dyDescent="0.2">
      <c r="A552" s="9">
        <v>41426</v>
      </c>
      <c r="B552" s="10">
        <f>VLOOKUP(Table245[[#This Row],[Date]],'Database New'!$A:$D,MATCH($A$1,'Database New'!$A$1:$D$1,),)</f>
        <v>736</v>
      </c>
      <c r="C552" s="30">
        <f>(Table245[[#This Row],[Completed]]-B551)/B551</f>
        <v>3.954802259887006E-2</v>
      </c>
    </row>
    <row r="553" spans="1:3" x14ac:dyDescent="0.2">
      <c r="A553" s="9">
        <v>41456</v>
      </c>
      <c r="B553" s="10">
        <f>VLOOKUP(Table245[[#This Row],[Date]],'Database New'!$A:$D,MATCH($A$1,'Database New'!$A$1:$D$1,),)</f>
        <v>784</v>
      </c>
      <c r="C553" s="30">
        <f>(Table245[[#This Row],[Completed]]-B552)/B552</f>
        <v>6.5217391304347824E-2</v>
      </c>
    </row>
    <row r="554" spans="1:3" x14ac:dyDescent="0.2">
      <c r="A554" s="9">
        <v>41487</v>
      </c>
      <c r="B554" s="10">
        <f>VLOOKUP(Table245[[#This Row],[Date]],'Database New'!$A:$D,MATCH($A$1,'Database New'!$A$1:$D$1,),)</f>
        <v>765</v>
      </c>
      <c r="C554" s="30">
        <f>(Table245[[#This Row],[Completed]]-B553)/B553</f>
        <v>-2.423469387755102E-2</v>
      </c>
    </row>
    <row r="555" spans="1:3" x14ac:dyDescent="0.2">
      <c r="A555" s="9">
        <v>41518</v>
      </c>
      <c r="B555" s="10">
        <f>VLOOKUP(Table245[[#This Row],[Date]],'Database New'!$A:$D,MATCH($A$1,'Database New'!$A$1:$D$1,),)</f>
        <v>776</v>
      </c>
      <c r="C555" s="30">
        <f>(Table245[[#This Row],[Completed]]-B554)/B554</f>
        <v>1.4379084967320261E-2</v>
      </c>
    </row>
    <row r="556" spans="1:3" x14ac:dyDescent="0.2">
      <c r="A556" s="9">
        <v>41548</v>
      </c>
      <c r="B556" s="10">
        <f>VLOOKUP(Table245[[#This Row],[Date]],'Database New'!$A:$D,MATCH($A$1,'Database New'!$A$1:$D$1,),)</f>
        <v>801</v>
      </c>
      <c r="C556" s="30">
        <f>(Table245[[#This Row],[Completed]]-B555)/B555</f>
        <v>3.2216494845360821E-2</v>
      </c>
    </row>
    <row r="557" spans="1:3" x14ac:dyDescent="0.2">
      <c r="A557" s="9">
        <v>41579</v>
      </c>
      <c r="B557" s="10">
        <f>VLOOKUP(Table245[[#This Row],[Date]],'Database New'!$A:$D,MATCH($A$1,'Database New'!$A$1:$D$1,),)</f>
        <v>839</v>
      </c>
      <c r="C557" s="30">
        <f>(Table245[[#This Row],[Completed]]-B556)/B556</f>
        <v>4.7440699126092382E-2</v>
      </c>
    </row>
    <row r="558" spans="1:3" x14ac:dyDescent="0.2">
      <c r="A558" s="9">
        <v>41609</v>
      </c>
      <c r="B558" s="10">
        <f>VLOOKUP(Table245[[#This Row],[Date]],'Database New'!$A:$D,MATCH($A$1,'Database New'!$A$1:$D$1,),)</f>
        <v>778</v>
      </c>
      <c r="C558" s="30">
        <f>(Table245[[#This Row],[Completed]]-B557)/B557</f>
        <v>-7.270560190703218E-2</v>
      </c>
    </row>
    <row r="559" spans="1:3" x14ac:dyDescent="0.2">
      <c r="A559" s="9">
        <v>41640</v>
      </c>
      <c r="B559" s="10">
        <f>VLOOKUP(Table245[[#This Row],[Date]],'Database New'!$A:$D,MATCH($A$1,'Database New'!$A$1:$D$1,),)</f>
        <v>838</v>
      </c>
      <c r="C559" s="30">
        <f>(Table245[[#This Row],[Completed]]-B558)/B558</f>
        <v>7.7120822622107968E-2</v>
      </c>
    </row>
    <row r="560" spans="1:3" x14ac:dyDescent="0.2">
      <c r="A560" s="9">
        <v>41671</v>
      </c>
      <c r="B560" s="10">
        <f>VLOOKUP(Table245[[#This Row],[Date]],'Database New'!$A:$D,MATCH($A$1,'Database New'!$A$1:$D$1,),)</f>
        <v>876</v>
      </c>
      <c r="C560" s="30">
        <f>(Table245[[#This Row],[Completed]]-B559)/B559</f>
        <v>4.5346062052505964E-2</v>
      </c>
    </row>
    <row r="561" spans="1:3" x14ac:dyDescent="0.2">
      <c r="A561" s="9">
        <v>41699</v>
      </c>
      <c r="B561" s="10">
        <f>VLOOKUP(Table245[[#This Row],[Date]],'Database New'!$A:$D,MATCH($A$1,'Database New'!$A$1:$D$1,),)</f>
        <v>893</v>
      </c>
      <c r="C561" s="30">
        <f>(Table245[[#This Row],[Completed]]-B560)/B560</f>
        <v>1.9406392694063926E-2</v>
      </c>
    </row>
    <row r="562" spans="1:3" x14ac:dyDescent="0.2">
      <c r="A562" s="9">
        <v>41730</v>
      </c>
      <c r="B562" s="10">
        <f>VLOOKUP(Table245[[#This Row],[Date]],'Database New'!$A:$D,MATCH($A$1,'Database New'!$A$1:$D$1,),)</f>
        <v>834</v>
      </c>
      <c r="C562" s="30">
        <f>(Table245[[#This Row],[Completed]]-B561)/B561</f>
        <v>-6.6069428891377374E-2</v>
      </c>
    </row>
    <row r="563" spans="1:3" x14ac:dyDescent="0.2">
      <c r="A563" s="9">
        <v>41760</v>
      </c>
      <c r="B563" s="10">
        <f>VLOOKUP(Table245[[#This Row],[Date]],'Database New'!$A:$D,MATCH($A$1,'Database New'!$A$1:$D$1,),)</f>
        <v>891</v>
      </c>
      <c r="C563" s="30">
        <f>(Table245[[#This Row],[Completed]]-B562)/B562</f>
        <v>6.83453237410072E-2</v>
      </c>
    </row>
    <row r="564" spans="1:3" x14ac:dyDescent="0.2">
      <c r="A564" s="9">
        <v>41791</v>
      </c>
      <c r="B564" s="10">
        <f>VLOOKUP(Table245[[#This Row],[Date]],'Database New'!$A:$D,MATCH($A$1,'Database New'!$A$1:$D$1,),)</f>
        <v>800</v>
      </c>
      <c r="C564" s="30">
        <f>(Table245[[#This Row],[Completed]]-B563)/B563</f>
        <v>-0.10213243546576879</v>
      </c>
    </row>
    <row r="565" spans="1:3" x14ac:dyDescent="0.2">
      <c r="A565" s="9">
        <v>41821</v>
      </c>
      <c r="B565" s="10">
        <f>VLOOKUP(Table245[[#This Row],[Date]],'Database New'!$A:$D,MATCH($A$1,'Database New'!$A$1:$D$1,),)</f>
        <v>839</v>
      </c>
      <c r="C565" s="30">
        <f>(Table245[[#This Row],[Completed]]-B564)/B564</f>
        <v>4.8750000000000002E-2</v>
      </c>
    </row>
    <row r="566" spans="1:3" x14ac:dyDescent="0.2">
      <c r="A566" s="9">
        <v>41852</v>
      </c>
      <c r="B566" s="10">
        <f>VLOOKUP(Table245[[#This Row],[Date]],'Database New'!$A:$D,MATCH($A$1,'Database New'!$A$1:$D$1,),)</f>
        <v>908</v>
      </c>
      <c r="C566" s="30">
        <f>(Table245[[#This Row],[Completed]]-B565)/B565</f>
        <v>8.2240762812872473E-2</v>
      </c>
    </row>
    <row r="567" spans="1:3" x14ac:dyDescent="0.2">
      <c r="A567" s="9">
        <v>41883</v>
      </c>
      <c r="B567" s="10">
        <f>VLOOKUP(Table245[[#This Row],[Date]],'Database New'!$A:$D,MATCH($A$1,'Database New'!$A$1:$D$1,),)</f>
        <v>975</v>
      </c>
      <c r="C567" s="30">
        <f>(Table245[[#This Row],[Completed]]-B566)/B566</f>
        <v>7.3788546255506612E-2</v>
      </c>
    </row>
    <row r="568" spans="1:3" x14ac:dyDescent="0.2">
      <c r="A568" s="9">
        <v>41913</v>
      </c>
      <c r="B568" s="10">
        <f>VLOOKUP(Table245[[#This Row],[Date]],'Database New'!$A:$D,MATCH($A$1,'Database New'!$A$1:$D$1,),)</f>
        <v>920</v>
      </c>
      <c r="C568" s="30">
        <f>(Table245[[#This Row],[Completed]]-B567)/B567</f>
        <v>-5.6410256410256411E-2</v>
      </c>
    </row>
    <row r="569" spans="1:3" x14ac:dyDescent="0.2">
      <c r="A569" s="9">
        <v>41944</v>
      </c>
      <c r="B569" s="10">
        <f>VLOOKUP(Table245[[#This Row],[Date]],'Database New'!$A:$D,MATCH($A$1,'Database New'!$A$1:$D$1,),)</f>
        <v>863</v>
      </c>
      <c r="C569" s="30">
        <f>(Table245[[#This Row],[Completed]]-B568)/B568</f>
        <v>-6.1956521739130438E-2</v>
      </c>
    </row>
    <row r="570" spans="1:3" x14ac:dyDescent="0.2">
      <c r="A570" s="9">
        <v>41974</v>
      </c>
      <c r="B570" s="10">
        <f>VLOOKUP(Table245[[#This Row],[Date]],'Database New'!$A:$D,MATCH($A$1,'Database New'!$A$1:$D$1,),)</f>
        <v>955</v>
      </c>
      <c r="C570" s="30">
        <f>(Table245[[#This Row],[Completed]]-B569)/B569</f>
        <v>0.10660486674391657</v>
      </c>
    </row>
    <row r="571" spans="1:3" x14ac:dyDescent="0.2">
      <c r="A571" s="9">
        <v>42005</v>
      </c>
      <c r="B571" s="10">
        <f>VLOOKUP(Table245[[#This Row],[Date]],'Database New'!$A:$D,MATCH($A$1,'Database New'!$A$1:$D$1,),)</f>
        <v>954</v>
      </c>
      <c r="C571" s="30">
        <f>(Table245[[#This Row],[Completed]]-B570)/B570</f>
        <v>-1.0471204188481676E-3</v>
      </c>
    </row>
    <row r="572" spans="1:3" x14ac:dyDescent="0.2">
      <c r="A572" s="9">
        <v>42036</v>
      </c>
      <c r="B572" s="10">
        <f>VLOOKUP(Table245[[#This Row],[Date]],'Database New'!$A:$D,MATCH($A$1,'Database New'!$A$1:$D$1,),)</f>
        <v>863</v>
      </c>
      <c r="C572" s="30">
        <f>(Table245[[#This Row],[Completed]]-B571)/B571</f>
        <v>-9.5387840670859536E-2</v>
      </c>
    </row>
    <row r="573" spans="1:3" x14ac:dyDescent="0.2">
      <c r="A573" s="9">
        <v>42064</v>
      </c>
      <c r="B573" s="10">
        <f>VLOOKUP(Table245[[#This Row],[Date]],'Database New'!$A:$D,MATCH($A$1,'Database New'!$A$1:$D$1,),)</f>
        <v>781</v>
      </c>
      <c r="C573" s="30">
        <f>(Table245[[#This Row],[Completed]]-B572)/B572</f>
        <v>-9.5017381228273468E-2</v>
      </c>
    </row>
    <row r="574" spans="1:3" x14ac:dyDescent="0.2">
      <c r="A574" s="9">
        <v>42095</v>
      </c>
      <c r="B574" s="10">
        <f>VLOOKUP(Table245[[#This Row],[Date]],'Database New'!$A:$D,MATCH($A$1,'Database New'!$A$1:$D$1,),)</f>
        <v>1001</v>
      </c>
      <c r="C574" s="30">
        <f>(Table245[[#This Row],[Completed]]-B573)/B573</f>
        <v>0.28169014084507044</v>
      </c>
    </row>
    <row r="575" spans="1:3" x14ac:dyDescent="0.2">
      <c r="A575" s="9">
        <v>42125</v>
      </c>
      <c r="B575" s="10">
        <f>VLOOKUP(Table245[[#This Row],[Date]],'Database New'!$A:$D,MATCH($A$1,'Database New'!$A$1:$D$1,),)</f>
        <v>1012</v>
      </c>
      <c r="C575" s="30">
        <f>(Table245[[#This Row],[Completed]]-B574)/B574</f>
        <v>1.098901098901099E-2</v>
      </c>
    </row>
    <row r="576" spans="1:3" x14ac:dyDescent="0.2">
      <c r="A576" s="9">
        <v>42156</v>
      </c>
      <c r="B576" s="10">
        <f>VLOOKUP(Table245[[#This Row],[Date]],'Database New'!$A:$D,MATCH($A$1,'Database New'!$A$1:$D$1,),)</f>
        <v>962</v>
      </c>
      <c r="C576" s="30">
        <f>(Table245[[#This Row],[Completed]]-B575)/B575</f>
        <v>-4.9407114624505928E-2</v>
      </c>
    </row>
    <row r="577" spans="1:3" x14ac:dyDescent="0.2">
      <c r="A577" s="9">
        <v>42186</v>
      </c>
      <c r="B577" s="10">
        <f>VLOOKUP(Table245[[#This Row],[Date]],'Database New'!$A:$D,MATCH($A$1,'Database New'!$A$1:$D$1,),)</f>
        <v>988</v>
      </c>
      <c r="C577" s="30">
        <f>(Table245[[#This Row],[Completed]]-B576)/B576</f>
        <v>2.7027027027027029E-2</v>
      </c>
    </row>
    <row r="578" spans="1:3" x14ac:dyDescent="0.2">
      <c r="A578" s="9">
        <v>42217</v>
      </c>
      <c r="B578" s="10">
        <f>VLOOKUP(Table245[[#This Row],[Date]],'Database New'!$A:$D,MATCH($A$1,'Database New'!$A$1:$D$1,),)</f>
        <v>974</v>
      </c>
      <c r="C578" s="30">
        <f>(Table245[[#This Row],[Completed]]-B577)/B577</f>
        <v>-1.417004048582996E-2</v>
      </c>
    </row>
    <row r="579" spans="1:3" x14ac:dyDescent="0.2">
      <c r="A579" s="9">
        <v>42248</v>
      </c>
      <c r="B579" s="10">
        <f>VLOOKUP(Table245[[#This Row],[Date]],'Database New'!$A:$D,MATCH($A$1,'Database New'!$A$1:$D$1,),)</f>
        <v>1040</v>
      </c>
      <c r="C579" s="30">
        <f>(Table245[[#This Row],[Completed]]-B578)/B578</f>
        <v>6.7761806981519512E-2</v>
      </c>
    </row>
    <row r="580" spans="1:3" x14ac:dyDescent="0.2">
      <c r="A580" s="9">
        <v>42278</v>
      </c>
      <c r="B580" s="10">
        <f>VLOOKUP(Table245[[#This Row],[Date]],'Database New'!$A:$D,MATCH($A$1,'Database New'!$A$1:$D$1,),)</f>
        <v>985</v>
      </c>
      <c r="C580" s="30">
        <f>(Table245[[#This Row],[Completed]]-B579)/B579</f>
        <v>-5.2884615384615384E-2</v>
      </c>
    </row>
    <row r="581" spans="1:3" x14ac:dyDescent="0.2">
      <c r="A581" s="9">
        <v>42309</v>
      </c>
      <c r="B581" s="10">
        <f>VLOOKUP(Table245[[#This Row],[Date]],'Database New'!$A:$D,MATCH($A$1,'Database New'!$A$1:$D$1,),)</f>
        <v>1000</v>
      </c>
      <c r="C581" s="30">
        <f>(Table245[[#This Row],[Completed]]-B580)/B580</f>
        <v>1.5228426395939087E-2</v>
      </c>
    </row>
    <row r="582" spans="1:3" x14ac:dyDescent="0.2">
      <c r="A582" s="9">
        <v>42339</v>
      </c>
      <c r="B582" s="10">
        <f>VLOOKUP(Table245[[#This Row],[Date]],'Database New'!$A:$D,MATCH($A$1,'Database New'!$A$1:$D$1,),)</f>
        <v>1023</v>
      </c>
      <c r="C582" s="30">
        <f>(Table245[[#This Row],[Completed]]-B581)/B581</f>
        <v>2.3E-2</v>
      </c>
    </row>
    <row r="583" spans="1:3" x14ac:dyDescent="0.2">
      <c r="A583" s="9">
        <v>42370</v>
      </c>
      <c r="B583" s="10">
        <f>VLOOKUP(Table245[[#This Row],[Date]],'Database New'!$A:$D,MATCH($A$1,'Database New'!$A$1:$D$1,),)</f>
        <v>1056</v>
      </c>
      <c r="C583" s="30">
        <f>(Table245[[#This Row],[Completed]]-B582)/B582</f>
        <v>3.2258064516129031E-2</v>
      </c>
    </row>
    <row r="584" spans="1:3" x14ac:dyDescent="0.2">
      <c r="A584" s="9">
        <v>42401</v>
      </c>
      <c r="B584" s="10">
        <f>VLOOKUP(Table245[[#This Row],[Date]],'Database New'!$A:$D,MATCH($A$1,'Database New'!$A$1:$D$1,),)</f>
        <v>1037</v>
      </c>
      <c r="C584" s="30">
        <f>(Table245[[#This Row],[Completed]]-B583)/B583</f>
        <v>-1.7992424242424244E-2</v>
      </c>
    </row>
    <row r="585" spans="1:3" x14ac:dyDescent="0.2">
      <c r="A585" s="9">
        <v>42430</v>
      </c>
      <c r="B585" s="10">
        <f>VLOOKUP(Table245[[#This Row],[Date]],'Database New'!$A:$D,MATCH($A$1,'Database New'!$A$1:$D$1,),)</f>
        <v>1003</v>
      </c>
      <c r="C585" s="30">
        <f>(Table245[[#This Row],[Completed]]-B584)/B584</f>
        <v>-3.2786885245901641E-2</v>
      </c>
    </row>
    <row r="586" spans="1:3" x14ac:dyDescent="0.2">
      <c r="A586" s="9">
        <v>42461</v>
      </c>
      <c r="B586" s="10">
        <f>VLOOKUP(Table245[[#This Row],[Date]],'Database New'!$A:$D,MATCH($A$1,'Database New'!$A$1:$D$1,),)</f>
        <v>945</v>
      </c>
      <c r="C586" s="30">
        <f>(Table245[[#This Row],[Completed]]-B585)/B585</f>
        <v>-5.782652043868395E-2</v>
      </c>
    </row>
    <row r="587" spans="1:3" x14ac:dyDescent="0.2">
      <c r="A587" s="9">
        <v>42491</v>
      </c>
      <c r="B587" s="10">
        <f>VLOOKUP(Table245[[#This Row],[Date]],'Database New'!$A:$D,MATCH($A$1,'Database New'!$A$1:$D$1,),)</f>
        <v>1000</v>
      </c>
      <c r="C587" s="30">
        <f>(Table245[[#This Row],[Completed]]-B586)/B586</f>
        <v>5.8201058201058198E-2</v>
      </c>
    </row>
    <row r="588" spans="1:3" x14ac:dyDescent="0.2">
      <c r="A588" s="9">
        <v>42522</v>
      </c>
      <c r="B588" s="10">
        <f>VLOOKUP(Table245[[#This Row],[Date]],'Database New'!$A:$D,MATCH($A$1,'Database New'!$A$1:$D$1,),)</f>
        <v>1109</v>
      </c>
      <c r="C588" s="30">
        <f>(Table245[[#This Row],[Completed]]-B587)/B587</f>
        <v>0.109</v>
      </c>
    </row>
    <row r="589" spans="1:3" x14ac:dyDescent="0.2">
      <c r="A589" s="9">
        <v>42552</v>
      </c>
      <c r="B589" s="10">
        <f>VLOOKUP(Table245[[#This Row],[Date]],'Database New'!$A:$D,MATCH($A$1,'Database New'!$A$1:$D$1,),)</f>
        <v>1072</v>
      </c>
      <c r="C589" s="30">
        <f>(Table245[[#This Row],[Completed]]-B588)/B588</f>
        <v>-3.3363390441839495E-2</v>
      </c>
    </row>
    <row r="590" spans="1:3" x14ac:dyDescent="0.2">
      <c r="A590" s="9">
        <v>42583</v>
      </c>
      <c r="B590" s="10">
        <f>VLOOKUP(Table245[[#This Row],[Date]],'Database New'!$A:$D,MATCH($A$1,'Database New'!$A$1:$D$1,),)</f>
        <v>1054</v>
      </c>
      <c r="C590" s="30">
        <f>(Table245[[#This Row],[Completed]]-B589)/B589</f>
        <v>-1.6791044776119403E-2</v>
      </c>
    </row>
    <row r="591" spans="1:3" x14ac:dyDescent="0.2">
      <c r="A591" s="9">
        <v>42614</v>
      </c>
      <c r="B591" s="10">
        <f>VLOOKUP(Table245[[#This Row],[Date]],'Database New'!$A:$D,MATCH($A$1,'Database New'!$A$1:$D$1,),)</f>
        <v>1035</v>
      </c>
      <c r="C591" s="30">
        <f>(Table245[[#This Row],[Completed]]-B590)/B590</f>
        <v>-1.8026565464895637E-2</v>
      </c>
    </row>
    <row r="592" spans="1:3" x14ac:dyDescent="0.2">
      <c r="A592" s="9">
        <v>42644</v>
      </c>
      <c r="B592" s="10">
        <f>VLOOKUP(Table245[[#This Row],[Date]],'Database New'!$A:$D,MATCH($A$1,'Database New'!$A$1:$D$1,),)</f>
        <v>1070</v>
      </c>
      <c r="C592" s="30">
        <f>(Table245[[#This Row],[Completed]]-B591)/B591</f>
        <v>3.3816425120772944E-2</v>
      </c>
    </row>
    <row r="593" spans="1:3" x14ac:dyDescent="0.2">
      <c r="A593" s="9">
        <v>42675</v>
      </c>
      <c r="B593" s="10">
        <f>VLOOKUP(Table245[[#This Row],[Date]],'Database New'!$A:$D,MATCH($A$1,'Database New'!$A$1:$D$1,),)</f>
        <v>1244</v>
      </c>
      <c r="C593" s="30">
        <f>(Table245[[#This Row],[Completed]]-B592)/B592</f>
        <v>0.16261682242990655</v>
      </c>
    </row>
    <row r="594" spans="1:3" x14ac:dyDescent="0.2">
      <c r="A594" s="9">
        <v>42705</v>
      </c>
      <c r="B594" s="10">
        <f>VLOOKUP(Table245[[#This Row],[Date]],'Database New'!$A:$D,MATCH($A$1,'Database New'!$A$1:$D$1,),)</f>
        <v>1101</v>
      </c>
      <c r="C594" s="30">
        <f>(Table245[[#This Row],[Completed]]-B593)/B593</f>
        <v>-0.11495176848874598</v>
      </c>
    </row>
    <row r="595" spans="1:3" x14ac:dyDescent="0.2">
      <c r="A595" s="9">
        <v>42736</v>
      </c>
      <c r="B595" s="10">
        <f>VLOOKUP(Table245[[#This Row],[Date]],'Database New'!$A:$D,MATCH($A$1,'Database New'!$A$1:$D$1,),)</f>
        <v>1073</v>
      </c>
      <c r="C595" s="30">
        <f>(Table245[[#This Row],[Completed]]-B594)/B594</f>
        <v>-2.5431425976385105E-2</v>
      </c>
    </row>
    <row r="596" spans="1:3" x14ac:dyDescent="0.2">
      <c r="A596" s="9">
        <v>42767</v>
      </c>
      <c r="B596" s="10">
        <f>VLOOKUP(Table245[[#This Row],[Date]],'Database New'!$A:$D,MATCH($A$1,'Database New'!$A$1:$D$1,),)</f>
        <v>1152</v>
      </c>
      <c r="C596" s="30">
        <f>(Table245[[#This Row],[Completed]]-B595)/B595</f>
        <v>7.3625349487418459E-2</v>
      </c>
    </row>
    <row r="597" spans="1:3" x14ac:dyDescent="0.2">
      <c r="A597" s="9">
        <v>42795</v>
      </c>
      <c r="B597" s="10">
        <f>VLOOKUP(Table245[[#This Row],[Date]],'Database New'!$A:$D,MATCH($A$1,'Database New'!$A$1:$D$1,),)</f>
        <v>1162</v>
      </c>
      <c r="C597" s="30">
        <f>(Table245[[#This Row],[Completed]]-B596)/B596</f>
        <v>8.6805555555555559E-3</v>
      </c>
    </row>
    <row r="598" spans="1:3" x14ac:dyDescent="0.2">
      <c r="A598" s="9">
        <v>42826</v>
      </c>
      <c r="B598" s="10">
        <f>VLOOKUP(Table245[[#This Row],[Date]],'Database New'!$A:$D,MATCH($A$1,'Database New'!$A$1:$D$1,),)</f>
        <v>1066</v>
      </c>
      <c r="C598" s="30">
        <f>(Table245[[#This Row],[Completed]]-B597)/B597</f>
        <v>-8.2616179001721177E-2</v>
      </c>
    </row>
    <row r="599" spans="1:3" x14ac:dyDescent="0.2">
      <c r="A599" s="9">
        <v>42856</v>
      </c>
      <c r="B599" s="10">
        <f>VLOOKUP(Table245[[#This Row],[Date]],'Database New'!$A:$D,MATCH($A$1,'Database New'!$A$1:$D$1,),)</f>
        <v>1170</v>
      </c>
      <c r="C599" s="30">
        <f>(Table245[[#This Row],[Completed]]-B598)/B598</f>
        <v>9.7560975609756101E-2</v>
      </c>
    </row>
    <row r="600" spans="1:3" x14ac:dyDescent="0.2">
      <c r="A600" s="9">
        <v>42887</v>
      </c>
      <c r="B600" s="10">
        <f>VLOOKUP(Table245[[#This Row],[Date]],'Database New'!$A:$D,MATCH($A$1,'Database New'!$A$1:$D$1,),)</f>
        <v>1238</v>
      </c>
      <c r="C600" s="30">
        <f>(Table245[[#This Row],[Completed]]-B599)/B599</f>
        <v>5.8119658119658121E-2</v>
      </c>
    </row>
    <row r="601" spans="1:3" x14ac:dyDescent="0.2">
      <c r="A601" s="9">
        <v>42917</v>
      </c>
      <c r="B601" s="10">
        <f>VLOOKUP(Table245[[#This Row],[Date]],'Database New'!$A:$D,MATCH($A$1,'Database New'!$A$1:$D$1,),)</f>
        <v>1174</v>
      </c>
      <c r="C601" s="30">
        <f>(Table245[[#This Row],[Completed]]-B600)/B600</f>
        <v>-5.1696284329563816E-2</v>
      </c>
    </row>
    <row r="602" spans="1:3" x14ac:dyDescent="0.2">
      <c r="A602" s="9">
        <v>42948</v>
      </c>
      <c r="B602" s="10">
        <f>VLOOKUP(Table245[[#This Row],[Date]],'Database New'!$A:$D,MATCH($A$1,'Database New'!$A$1:$D$1,),)</f>
        <v>1100</v>
      </c>
      <c r="C602" s="30">
        <f>(Table245[[#This Row],[Completed]]-B601)/B601</f>
        <v>-6.3032367972742753E-2</v>
      </c>
    </row>
    <row r="603" spans="1:3" x14ac:dyDescent="0.2">
      <c r="A603" s="9">
        <v>42979</v>
      </c>
      <c r="B603" s="10">
        <f>VLOOKUP(Table245[[#This Row],[Date]],'Database New'!$A:$D,MATCH($A$1,'Database New'!$A$1:$D$1,),)</f>
        <v>1108</v>
      </c>
      <c r="C603" s="30">
        <f>(Table245[[#This Row],[Completed]]-B602)/B602</f>
        <v>7.2727272727272727E-3</v>
      </c>
    </row>
    <row r="604" spans="1:3" x14ac:dyDescent="0.2">
      <c r="A604" s="9">
        <v>43009</v>
      </c>
      <c r="B604" s="10">
        <f>VLOOKUP(Table245[[#This Row],[Date]],'Database New'!$A:$D,MATCH($A$1,'Database New'!$A$1:$D$1,),)</f>
        <v>1191</v>
      </c>
      <c r="C604" s="30">
        <f>(Table245[[#This Row],[Completed]]-B603)/B603</f>
        <v>7.4909747292418769E-2</v>
      </c>
    </row>
    <row r="605" spans="1:3" x14ac:dyDescent="0.2">
      <c r="A605" s="9">
        <v>43040</v>
      </c>
      <c r="B605" s="10">
        <f>VLOOKUP(Table245[[#This Row],[Date]],'Database New'!$A:$D,MATCH($A$1,'Database New'!$A$1:$D$1,),)</f>
        <v>1180</v>
      </c>
      <c r="C605" s="30">
        <f>(Table245[[#This Row],[Completed]]-B604)/B604</f>
        <v>-9.2359361880772466E-3</v>
      </c>
    </row>
    <row r="606" spans="1:3" x14ac:dyDescent="0.2">
      <c r="A606" s="9">
        <v>43070</v>
      </c>
      <c r="B606" s="10">
        <f>VLOOKUP(Table245[[#This Row],[Date]],'Database New'!$A:$D,MATCH($A$1,'Database New'!$A$1:$D$1,),)</f>
        <v>1203</v>
      </c>
      <c r="C606" s="30">
        <f>(Table245[[#This Row],[Completed]]-B605)/B605</f>
        <v>1.9491525423728815E-2</v>
      </c>
    </row>
    <row r="607" spans="1:3" x14ac:dyDescent="0.2">
      <c r="A607" s="9">
        <v>43101</v>
      </c>
      <c r="B607" s="10">
        <f>VLOOKUP(Table245[[#This Row],[Date]],'Database New'!$A:$D,MATCH($A$1,'Database New'!$A$1:$D$1,),)</f>
        <v>1204</v>
      </c>
      <c r="C607" s="30">
        <f>(Table245[[#This Row],[Completed]]-B606)/B606</f>
        <v>8.3125519534497092E-4</v>
      </c>
    </row>
    <row r="608" spans="1:3" x14ac:dyDescent="0.2">
      <c r="A608" s="9">
        <v>43132</v>
      </c>
      <c r="B608" s="10">
        <f>VLOOKUP(Table245[[#This Row],[Date]],'Database New'!$A:$D,MATCH($A$1,'Database New'!$A$1:$D$1,),)</f>
        <v>1290</v>
      </c>
      <c r="C608" s="30">
        <f>(Table245[[#This Row],[Completed]]-B607)/B607</f>
        <v>7.1428571428571425E-2</v>
      </c>
    </row>
    <row r="609" spans="1:3" x14ac:dyDescent="0.2">
      <c r="A609" s="9">
        <v>43160</v>
      </c>
      <c r="B609" s="10">
        <f>VLOOKUP(Table245[[#This Row],[Date]],'Database New'!$A:$D,MATCH($A$1,'Database New'!$A$1:$D$1,),)</f>
        <v>1189</v>
      </c>
      <c r="C609" s="30">
        <f>(Table245[[#This Row],[Completed]]-B608)/B608</f>
        <v>-7.8294573643410859E-2</v>
      </c>
    </row>
    <row r="610" spans="1:3" x14ac:dyDescent="0.2">
      <c r="A610" s="9">
        <v>43191</v>
      </c>
      <c r="B610" s="10">
        <f>VLOOKUP(Table245[[#This Row],[Date]],'Database New'!$A:$D,MATCH($A$1,'Database New'!$A$1:$D$1,),)</f>
        <v>1213</v>
      </c>
      <c r="C610" s="30">
        <f>(Table245[[#This Row],[Completed]]-B609)/B609</f>
        <v>2.0185029436501262E-2</v>
      </c>
    </row>
    <row r="611" spans="1:3" x14ac:dyDescent="0.2">
      <c r="A611" s="9">
        <v>43221</v>
      </c>
      <c r="B611" s="10">
        <f>VLOOKUP(Table245[[#This Row],[Date]],'Database New'!$A:$D,MATCH($A$1,'Database New'!$A$1:$D$1,),)</f>
        <v>1263</v>
      </c>
      <c r="C611" s="30">
        <f>(Table245[[#This Row],[Completed]]-B610)/B610</f>
        <v>4.1220115416323165E-2</v>
      </c>
    </row>
    <row r="612" spans="1:3" x14ac:dyDescent="0.2">
      <c r="A612" s="9">
        <v>43252</v>
      </c>
      <c r="B612" s="10">
        <f>VLOOKUP(Table245[[#This Row],[Date]],'Database New'!$A:$D,MATCH($A$1,'Database New'!$A$1:$D$1,),)</f>
        <v>1216</v>
      </c>
      <c r="C612" s="30">
        <f>(Table245[[#This Row],[Completed]]-B611)/B611</f>
        <v>-3.7212984956452887E-2</v>
      </c>
    </row>
    <row r="613" spans="1:3" x14ac:dyDescent="0.2">
      <c r="A613" s="9">
        <v>43282</v>
      </c>
      <c r="B613" s="10">
        <f>VLOOKUP(Table245[[#This Row],[Date]],'Database New'!$A:$D,MATCH($A$1,'Database New'!$A$1:$D$1,),)</f>
        <v>1169</v>
      </c>
      <c r="C613" s="30">
        <f>(Table245[[#This Row],[Completed]]-B612)/B612</f>
        <v>-3.8651315789473686E-2</v>
      </c>
    </row>
    <row r="614" spans="1:3" x14ac:dyDescent="0.2">
      <c r="A614" s="9">
        <v>43313</v>
      </c>
      <c r="B614" s="10">
        <f>VLOOKUP(Table245[[#This Row],[Date]],'Database New'!$A:$D,MATCH($A$1,'Database New'!$A$1:$D$1,),)</f>
        <v>1246</v>
      </c>
      <c r="C614" s="30">
        <f>(Table245[[#This Row],[Completed]]-B613)/B613</f>
        <v>6.5868263473053898E-2</v>
      </c>
    </row>
    <row r="615" spans="1:3" x14ac:dyDescent="0.2">
      <c r="A615" s="9">
        <v>43344</v>
      </c>
      <c r="B615" s="10">
        <f>VLOOKUP(Table245[[#This Row],[Date]],'Database New'!$A:$D,MATCH($A$1,'Database New'!$A$1:$D$1,),)</f>
        <v>1174</v>
      </c>
      <c r="C615" s="30">
        <f>(Table245[[#This Row],[Completed]]-B614)/B614</f>
        <v>-5.7784911717495988E-2</v>
      </c>
    </row>
    <row r="616" spans="1:3" x14ac:dyDescent="0.2">
      <c r="A616" s="9">
        <v>43374</v>
      </c>
      <c r="B616" s="10">
        <f>VLOOKUP(Table245[[#This Row],[Date]],'Database New'!$A:$D,MATCH($A$1,'Database New'!$A$1:$D$1,),)</f>
        <v>1116</v>
      </c>
      <c r="C616" s="30">
        <f>(Table245[[#This Row],[Completed]]-B615)/B615</f>
        <v>-4.9403747870528106E-2</v>
      </c>
    </row>
    <row r="617" spans="1:3" x14ac:dyDescent="0.2">
      <c r="A617" s="9">
        <v>43405</v>
      </c>
      <c r="B617" s="10">
        <f>VLOOKUP(Table245[[#This Row],[Date]],'Database New'!$A:$D,MATCH($A$1,'Database New'!$A$1:$D$1,),)</f>
        <v>1142</v>
      </c>
      <c r="C617" s="30">
        <f>(Table245[[#This Row],[Completed]]-B616)/B616</f>
        <v>2.3297491039426525E-2</v>
      </c>
    </row>
    <row r="618" spans="1:3" x14ac:dyDescent="0.2">
      <c r="A618" s="9">
        <v>43435</v>
      </c>
      <c r="B618" s="10">
        <f>VLOOKUP(Table245[[#This Row],[Date]],'Database New'!$A:$D,MATCH($A$1,'Database New'!$A$1:$D$1,),)</f>
        <v>1052</v>
      </c>
      <c r="C618" s="30">
        <f>(Table245[[#This Row],[Completed]]-B617)/B617</f>
        <v>-7.8809106830122586E-2</v>
      </c>
    </row>
    <row r="619" spans="1:3" x14ac:dyDescent="0.2">
      <c r="A619" s="9">
        <v>43466</v>
      </c>
      <c r="B619" s="10">
        <f>VLOOKUP(Table245[[#This Row],[Date]],'Database New'!$A:$D,MATCH($A$1,'Database New'!$A$1:$D$1,),)</f>
        <v>1246</v>
      </c>
      <c r="C619" s="30">
        <f>(Table245[[#This Row],[Completed]]-B618)/B618</f>
        <v>0.18441064638783269</v>
      </c>
    </row>
    <row r="620" spans="1:3" x14ac:dyDescent="0.2">
      <c r="A620" s="9">
        <v>43497</v>
      </c>
      <c r="B620" s="10">
        <f>VLOOKUP(Table245[[#This Row],[Date]],'Database New'!$A:$D,MATCH($A$1,'Database New'!$A$1:$D$1,),)</f>
        <v>1337</v>
      </c>
      <c r="C620" s="30">
        <f>(Table245[[#This Row],[Completed]]-B619)/B619</f>
        <v>7.3033707865168537E-2</v>
      </c>
    </row>
    <row r="621" spans="1:3" x14ac:dyDescent="0.2">
      <c r="A621" s="9">
        <v>43525</v>
      </c>
      <c r="B621" s="10">
        <f>VLOOKUP(Table245[[#This Row],[Date]],'Database New'!$A:$D,MATCH($A$1,'Database New'!$A$1:$D$1,),)</f>
        <v>1316</v>
      </c>
      <c r="C621" s="30">
        <f>(Table245[[#This Row],[Completed]]-B620)/B620</f>
        <v>-1.5706806282722512E-2</v>
      </c>
    </row>
    <row r="622" spans="1:3" x14ac:dyDescent="0.2">
      <c r="A622" s="9">
        <v>43556</v>
      </c>
      <c r="B622" s="10">
        <f>VLOOKUP(Table245[[#This Row],[Date]],'Database New'!$A:$D,MATCH($A$1,'Database New'!$A$1:$D$1,),)</f>
        <v>1312</v>
      </c>
      <c r="C622" s="30">
        <f>(Table245[[#This Row],[Completed]]-B621)/B621</f>
        <v>-3.0395136778115501E-3</v>
      </c>
    </row>
    <row r="623" spans="1:3" x14ac:dyDescent="0.2">
      <c r="A623" s="9">
        <v>43586</v>
      </c>
      <c r="B623" s="10">
        <f>VLOOKUP(Table245[[#This Row],[Date]],'Database New'!$A:$D,MATCH($A$1,'Database New'!$A$1:$D$1,),)</f>
        <v>1235</v>
      </c>
      <c r="C623" s="30">
        <f>(Table245[[#This Row],[Completed]]-B622)/B622</f>
        <v>-5.8689024390243899E-2</v>
      </c>
    </row>
    <row r="624" spans="1:3" x14ac:dyDescent="0.2">
      <c r="A624" s="9">
        <v>43617</v>
      </c>
      <c r="B624" s="10">
        <f>VLOOKUP(Table245[[#This Row],[Date]],'Database New'!$A:$D,MATCH($A$1,'Database New'!$A$1:$D$1,),)</f>
        <v>1170</v>
      </c>
      <c r="C624" s="30">
        <f>(Table245[[#This Row],[Completed]]-B623)/B623</f>
        <v>-5.2631578947368418E-2</v>
      </c>
    </row>
    <row r="625" spans="1:3" x14ac:dyDescent="0.2">
      <c r="A625" s="9">
        <v>43647</v>
      </c>
      <c r="B625" s="10">
        <f>VLOOKUP(Table245[[#This Row],[Date]],'Database New'!$A:$D,MATCH($A$1,'Database New'!$A$1:$D$1,),)</f>
        <v>1242</v>
      </c>
      <c r="C625" s="30">
        <f>(Table245[[#This Row],[Completed]]-B624)/B624</f>
        <v>6.1538461538461542E-2</v>
      </c>
    </row>
    <row r="626" spans="1:3" x14ac:dyDescent="0.2">
      <c r="A626" s="9">
        <v>43678</v>
      </c>
      <c r="B626" s="10">
        <f>VLOOKUP(Table245[[#This Row],[Date]],'Database New'!$A:$D,MATCH($A$1,'Database New'!$A$1:$D$1,),)</f>
        <v>1272</v>
      </c>
      <c r="C626" s="30">
        <f>(Table245[[#This Row],[Completed]]-B625)/B625</f>
        <v>2.4154589371980676E-2</v>
      </c>
    </row>
    <row r="627" spans="1:3" x14ac:dyDescent="0.2">
      <c r="A627" s="9">
        <v>43709</v>
      </c>
      <c r="B627" s="10">
        <f>VLOOKUP(Table245[[#This Row],[Date]],'Database New'!$A:$D,MATCH($A$1,'Database New'!$A$1:$D$1,),)</f>
        <v>1136</v>
      </c>
      <c r="C627" s="30">
        <f>(Table245[[#This Row],[Completed]]-B626)/B626</f>
        <v>-0.1069182389937107</v>
      </c>
    </row>
    <row r="628" spans="1:3" x14ac:dyDescent="0.2">
      <c r="A628" s="9">
        <v>43739</v>
      </c>
      <c r="B628" s="10">
        <f>VLOOKUP(Table245[[#This Row],[Date]],'Database New'!$A:$D,MATCH($A$1,'Database New'!$A$1:$D$1,),)</f>
        <v>1279</v>
      </c>
      <c r="C628" s="30">
        <f>(Table245[[#This Row],[Completed]]-B627)/B627</f>
        <v>0.12588028169014084</v>
      </c>
    </row>
    <row r="629" spans="1:3" x14ac:dyDescent="0.2">
      <c r="A629" s="9">
        <v>43770</v>
      </c>
      <c r="B629" s="10">
        <f>VLOOKUP(Table245[[#This Row],[Date]],'Database New'!$A:$D,MATCH($A$1,'Database New'!$A$1:$D$1,),)</f>
        <v>1252</v>
      </c>
      <c r="C629" s="30">
        <f>(Table245[[#This Row],[Completed]]-B628)/B628</f>
        <v>-2.1110242376856918E-2</v>
      </c>
    </row>
    <row r="630" spans="1:3" x14ac:dyDescent="0.2">
      <c r="A630" s="9">
        <v>43800</v>
      </c>
      <c r="B630" s="10">
        <f>VLOOKUP(Table245[[#This Row],[Date]],'Database New'!$A:$D,MATCH($A$1,'Database New'!$A$1:$D$1,),)</f>
        <v>1308</v>
      </c>
      <c r="C630" s="30">
        <f>(Table245[[#This Row],[Completed]]-B629)/B629</f>
        <v>4.472843450479233E-2</v>
      </c>
    </row>
    <row r="631" spans="1:3" x14ac:dyDescent="0.2">
      <c r="A631" s="9">
        <v>43831</v>
      </c>
      <c r="B631" s="10">
        <f>VLOOKUP(Table245[[#This Row],[Date]],'Database New'!$A:$D,MATCH($A$1,'Database New'!$A$1:$D$1,),)</f>
        <v>1288</v>
      </c>
      <c r="C631" s="30">
        <f>(Table245[[#This Row],[Completed]]-B630)/B630</f>
        <v>-1.5290519877675841E-2</v>
      </c>
    </row>
    <row r="632" spans="1:3" x14ac:dyDescent="0.2">
      <c r="A632" s="9">
        <v>43862</v>
      </c>
      <c r="B632" s="10">
        <f>VLOOKUP(Table245[[#This Row],[Date]],'Database New'!$A:$D,MATCH($A$1,'Database New'!$A$1:$D$1,),)</f>
        <v>1294</v>
      </c>
      <c r="C632" s="30">
        <f>(Table245[[#This Row],[Completed]]-B631)/B631</f>
        <v>4.658385093167702E-3</v>
      </c>
    </row>
    <row r="633" spans="1:3" x14ac:dyDescent="0.2">
      <c r="A633" s="9">
        <v>43891</v>
      </c>
      <c r="B633" s="10">
        <f>VLOOKUP(Table245[[#This Row],[Date]],'Database New'!$A:$D,MATCH($A$1,'Database New'!$A$1:$D$1,),)</f>
        <v>1267</v>
      </c>
      <c r="C633" s="30">
        <f>(Table245[[#This Row],[Completed]]-B632)/B632</f>
        <v>-2.0865533230293665E-2</v>
      </c>
    </row>
    <row r="634" spans="1:3" x14ac:dyDescent="0.2">
      <c r="A634" s="9">
        <v>43922</v>
      </c>
      <c r="B634" s="10">
        <f>VLOOKUP(Table245[[#This Row],[Date]],'Database New'!$A:$D,MATCH($A$1,'Database New'!$A$1:$D$1,),)</f>
        <v>1191</v>
      </c>
      <c r="C634" s="30">
        <f>(Table245[[#This Row],[Completed]]-B633)/B633</f>
        <v>-5.9984214680347279E-2</v>
      </c>
    </row>
    <row r="635" spans="1:3" x14ac:dyDescent="0.2">
      <c r="A635" s="9">
        <v>43952</v>
      </c>
      <c r="B635" s="10">
        <f>VLOOKUP(Table245[[#This Row],[Date]],'Database New'!$A:$D,MATCH($A$1,'Database New'!$A$1:$D$1,),)</f>
        <v>1178</v>
      </c>
      <c r="C635" s="30">
        <f>(Table245[[#This Row],[Completed]]-B634)/B634</f>
        <v>-1.09151973131822E-2</v>
      </c>
    </row>
    <row r="636" spans="1:3" x14ac:dyDescent="0.2">
      <c r="A636" s="9">
        <v>43983</v>
      </c>
      <c r="B636" s="10">
        <f>VLOOKUP(Table245[[#This Row],[Date]],'Database New'!$A:$D,MATCH($A$1,'Database New'!$A$1:$D$1,),)</f>
        <v>1243</v>
      </c>
      <c r="C636" s="30">
        <f>(Table245[[#This Row],[Completed]]-B635)/B635</f>
        <v>5.5178268251273345E-2</v>
      </c>
    </row>
    <row r="637" spans="1:3" x14ac:dyDescent="0.2">
      <c r="A637" s="9">
        <v>44013</v>
      </c>
      <c r="B637" s="10">
        <f>VLOOKUP(Table245[[#This Row],[Date]],'Database New'!$A:$D,MATCH($A$1,'Database New'!$A$1:$D$1,),)</f>
        <v>1340</v>
      </c>
      <c r="C637" s="30">
        <f>(Table245[[#This Row],[Completed]]-B636)/B636</f>
        <v>7.803700724054706E-2</v>
      </c>
    </row>
    <row r="638" spans="1:3" x14ac:dyDescent="0.2">
      <c r="A638" s="9">
        <v>44044</v>
      </c>
      <c r="B638" s="10">
        <f>VLOOKUP(Table245[[#This Row],[Date]],'Database New'!$A:$D,MATCH($A$1,'Database New'!$A$1:$D$1,),)</f>
        <v>1216</v>
      </c>
      <c r="C638" s="30">
        <f>(Table245[[#This Row],[Completed]]-B637)/B637</f>
        <v>-9.2537313432835819E-2</v>
      </c>
    </row>
    <row r="639" spans="1:3" x14ac:dyDescent="0.2">
      <c r="A639" s="9">
        <v>44075</v>
      </c>
      <c r="B639" s="10">
        <f>VLOOKUP(Table245[[#This Row],[Date]],'Database New'!$A:$D,MATCH($A$1,'Database New'!$A$1:$D$1,),)</f>
        <v>1426</v>
      </c>
      <c r="C639" s="30">
        <f>(Table245[[#This Row],[Completed]]-B638)/B638</f>
        <v>0.17269736842105263</v>
      </c>
    </row>
    <row r="640" spans="1:3" x14ac:dyDescent="0.2">
      <c r="A640" s="9">
        <v>44105</v>
      </c>
      <c r="B640" s="10">
        <f>VLOOKUP(Table245[[#This Row],[Date]],'Database New'!$A:$D,MATCH($A$1,'Database New'!$A$1:$D$1,),)</f>
        <v>1356</v>
      </c>
      <c r="C640" s="30">
        <f>(Table245[[#This Row],[Completed]]-B639)/B639</f>
        <v>-4.9088359046283309E-2</v>
      </c>
    </row>
    <row r="641" spans="1:3" x14ac:dyDescent="0.2">
      <c r="A641" s="9">
        <v>44136</v>
      </c>
      <c r="B641" s="10">
        <f>VLOOKUP(Table245[[#This Row],[Date]],'Database New'!$A:$D,MATCH($A$1,'Database New'!$A$1:$D$1,),)</f>
        <v>1244</v>
      </c>
      <c r="C641" s="30">
        <f>(Table245[[#This Row],[Completed]]-B640)/B640</f>
        <v>-8.2595870206489674E-2</v>
      </c>
    </row>
    <row r="642" spans="1:3" x14ac:dyDescent="0.2">
      <c r="A642" s="9">
        <v>44166</v>
      </c>
      <c r="B642" s="10">
        <f>VLOOKUP(Table245[[#This Row],[Date]],'Database New'!$A:$D,MATCH($A$1,'Database New'!$A$1:$D$1,),)</f>
        <v>1386</v>
      </c>
      <c r="C642" s="30">
        <f>(Table245[[#This Row],[Completed]]-B641)/B641</f>
        <v>0.11414790996784566</v>
      </c>
    </row>
    <row r="643" spans="1:3" x14ac:dyDescent="0.2">
      <c r="A643" s="9">
        <v>44197</v>
      </c>
      <c r="B643" s="10">
        <f>VLOOKUP(Table245[[#This Row],[Date]],'Database New'!$A:$D,MATCH($A$1,'Database New'!$A$1:$D$1,),)</f>
        <v>1328</v>
      </c>
      <c r="C643" s="30">
        <f>(Table245[[#This Row],[Completed]]-B642)/B642</f>
        <v>-4.1847041847041848E-2</v>
      </c>
    </row>
    <row r="644" spans="1:3" x14ac:dyDescent="0.2">
      <c r="A644" s="9">
        <v>44228</v>
      </c>
      <c r="B644" s="10">
        <f>VLOOKUP(Table245[[#This Row],[Date]],'Database New'!$A:$D,MATCH($A$1,'Database New'!$A$1:$D$1,),)</f>
        <v>1347</v>
      </c>
      <c r="C644" s="30">
        <f>(Table245[[#This Row],[Completed]]-B643)/B643</f>
        <v>1.430722891566265E-2</v>
      </c>
    </row>
    <row r="645" spans="1:3" x14ac:dyDescent="0.2">
      <c r="A645" s="9">
        <v>44256</v>
      </c>
      <c r="B645" s="10">
        <f>VLOOKUP(Table245[[#This Row],[Date]],'Database New'!$A:$D,MATCH($A$1,'Database New'!$A$1:$D$1,),)</f>
        <v>1497</v>
      </c>
      <c r="C645" s="30">
        <f>(Table245[[#This Row],[Completed]]-B644)/B644</f>
        <v>0.111358574610245</v>
      </c>
    </row>
    <row r="646" spans="1:3" x14ac:dyDescent="0.2">
      <c r="A646" s="9">
        <v>44287</v>
      </c>
      <c r="B646" s="10">
        <f>VLOOKUP(Table245[[#This Row],[Date]],'Database New'!$A:$D,MATCH($A$1,'Database New'!$A$1:$D$1,),)</f>
        <v>1417</v>
      </c>
      <c r="C646" s="30">
        <f>(Table245[[#This Row],[Completed]]-B645)/B645</f>
        <v>-5.3440213760855046E-2</v>
      </c>
    </row>
    <row r="647" spans="1:3" x14ac:dyDescent="0.2">
      <c r="A647" s="9">
        <v>44317</v>
      </c>
      <c r="B647" s="10">
        <f>VLOOKUP(Table245[[#This Row],[Date]],'Database New'!$A:$D,MATCH($A$1,'Database New'!$A$1:$D$1,),)</f>
        <v>1350</v>
      </c>
      <c r="C647" s="30">
        <f>(Table245[[#This Row],[Completed]]-B646)/B646</f>
        <v>-4.728299223712068E-2</v>
      </c>
    </row>
    <row r="648" spans="1:3" x14ac:dyDescent="0.2">
      <c r="A648" s="9">
        <v>44348</v>
      </c>
      <c r="B648" s="10">
        <f>VLOOKUP(Table245[[#This Row],[Date]],'Database New'!$A:$D,MATCH($A$1,'Database New'!$A$1:$D$1,),)</f>
        <v>1312</v>
      </c>
      <c r="C648" s="30">
        <f>(Table245[[#This Row],[Completed]]-B647)/B647</f>
        <v>-2.8148148148148148E-2</v>
      </c>
    </row>
    <row r="649" spans="1:3" x14ac:dyDescent="0.2">
      <c r="A649" s="9">
        <v>44378</v>
      </c>
      <c r="B649" s="10">
        <f>VLOOKUP(Table245[[#This Row],[Date]],'Database New'!$A:$D,MATCH($A$1,'Database New'!$A$1:$D$1,),)</f>
        <v>1380</v>
      </c>
      <c r="C649" s="30">
        <f>(Table245[[#This Row],[Completed]]-B648)/B648</f>
        <v>5.1829268292682924E-2</v>
      </c>
    </row>
    <row r="650" spans="1:3" x14ac:dyDescent="0.2">
      <c r="A650" s="9">
        <v>44409</v>
      </c>
      <c r="B650" s="10">
        <f>VLOOKUP(Table245[[#This Row],[Date]],'Database New'!$A:$D,MATCH($A$1,'Database New'!$A$1:$D$1,),)</f>
        <v>1291</v>
      </c>
      <c r="C650" s="30">
        <f>(Table245[[#This Row],[Completed]]-B649)/B649</f>
        <v>-6.4492753623188404E-2</v>
      </c>
    </row>
    <row r="651" spans="1:3" x14ac:dyDescent="0.2">
      <c r="A651" s="9">
        <v>44440</v>
      </c>
      <c r="B651" s="10">
        <f>VLOOKUP(Table245[[#This Row],[Date]],'Database New'!$A:$D,MATCH($A$1,'Database New'!$A$1:$D$1,),)</f>
        <v>1235</v>
      </c>
      <c r="C651" s="30">
        <f>(Table245[[#This Row],[Completed]]-B650)/B650</f>
        <v>-4.3377226955848176E-2</v>
      </c>
    </row>
    <row r="652" spans="1:3" x14ac:dyDescent="0.2">
      <c r="A652" s="9">
        <v>44470</v>
      </c>
      <c r="B652" s="10">
        <f>VLOOKUP(Table245[[#This Row],[Date]],'Database New'!$A:$D,MATCH($A$1,'Database New'!$A$1:$D$1,),)</f>
        <v>1255</v>
      </c>
      <c r="C652" s="30">
        <f>(Table245[[#This Row],[Completed]]-B651)/B651</f>
        <v>1.6194331983805668E-2</v>
      </c>
    </row>
    <row r="653" spans="1:3" x14ac:dyDescent="0.2">
      <c r="A653" s="9">
        <v>44501</v>
      </c>
      <c r="B653" s="10">
        <f>VLOOKUP(Table245[[#This Row],[Date]],'Database New'!$A:$D,MATCH($A$1,'Database New'!$A$1:$D$1,),)</f>
        <v>1418</v>
      </c>
      <c r="C653" s="30">
        <f>(Table245[[#This Row],[Completed]]-B652)/B652</f>
        <v>0.12988047808764941</v>
      </c>
    </row>
    <row r="654" spans="1:3" x14ac:dyDescent="0.2">
      <c r="A654" s="9">
        <v>44531</v>
      </c>
      <c r="B654" s="10">
        <f>VLOOKUP(Table245[[#This Row],[Date]],'Database New'!$A:$D,MATCH($A$1,'Database New'!$A$1:$D$1,),)</f>
        <v>1295</v>
      </c>
      <c r="C654" s="30">
        <f>(Table245[[#This Row],[Completed]]-B653)/B653</f>
        <v>-8.6741889985895632E-2</v>
      </c>
    </row>
  </sheetData>
  <conditionalFormatting sqref="B583:B65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625 C627 C629 C631 C633 C635 C637 C639 C641 C643 C645 C647 C649 C651:C652 C654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583:C624 C626 C628 C630 C632 C634 C636 C638 C640 C642 C644 C646 C648 C650 C653">
    <cfRule type="colorScale" priority="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Note</vt:lpstr>
      <vt:lpstr>Database New</vt:lpstr>
      <vt:lpstr>Building Permits - Authorized</vt:lpstr>
      <vt:lpstr>Started</vt:lpstr>
      <vt:lpstr>Completed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2019-09-13T10:39:02Z</dcterms:created>
  <dcterms:modified xsi:type="dcterms:W3CDTF">2022-02-04T06:12:09Z</dcterms:modified>
</cp:coreProperties>
</file>