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B967AA01-0653-B642-BF4C-76FDA53BFA4F}" xr6:coauthVersionLast="47" xr6:coauthVersionMax="47" xr10:uidLastSave="{00000000-0000-0000-0000-000000000000}"/>
  <bookViews>
    <workbookView xWindow="-47340" yWindow="-640" windowWidth="47120" windowHeight="27200" xr2:uid="{00000000-000D-0000-FFFF-FFFF00000000}"/>
  </bookViews>
  <sheets>
    <sheet name="Note" sheetId="1" r:id="rId1"/>
    <sheet name="Database New" sheetId="3" r:id="rId2"/>
    <sheet name="Building Permits - Authorized" sheetId="4" r:id="rId3"/>
    <sheet name="Started" sheetId="5" r:id="rId4"/>
    <sheet name="Completed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2" i="6" l="1"/>
  <c r="B653" i="6"/>
  <c r="C653" i="6"/>
  <c r="B654" i="6"/>
  <c r="C654" i="6" s="1"/>
  <c r="B748" i="5"/>
  <c r="B749" i="5"/>
  <c r="C749" i="5"/>
  <c r="B750" i="5"/>
  <c r="C750" i="5"/>
  <c r="B748" i="4"/>
  <c r="B749" i="4"/>
  <c r="C749" i="4" s="1"/>
  <c r="B750" i="4"/>
  <c r="C750" i="4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C133" i="6" s="1"/>
  <c r="B134" i="6"/>
  <c r="B135" i="6"/>
  <c r="B136" i="6"/>
  <c r="B137" i="6"/>
  <c r="B138" i="6"/>
  <c r="B139" i="6"/>
  <c r="B140" i="6"/>
  <c r="B141" i="6"/>
  <c r="C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C166" i="6" s="1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C189" i="6" s="1"/>
  <c r="B190" i="6"/>
  <c r="B191" i="6"/>
  <c r="B192" i="6"/>
  <c r="B193" i="6"/>
  <c r="B194" i="6"/>
  <c r="B195" i="6"/>
  <c r="B196" i="6"/>
  <c r="B197" i="6"/>
  <c r="C198" i="6" s="1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C213" i="6" s="1"/>
  <c r="B214" i="6"/>
  <c r="B215" i="6"/>
  <c r="B216" i="6"/>
  <c r="B217" i="6"/>
  <c r="B218" i="6"/>
  <c r="B219" i="6"/>
  <c r="B220" i="6"/>
  <c r="B221" i="6"/>
  <c r="C222" i="6" s="1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C245" i="6" s="1"/>
  <c r="B246" i="6"/>
  <c r="B247" i="6"/>
  <c r="B248" i="6"/>
  <c r="B249" i="6"/>
  <c r="B250" i="6"/>
  <c r="B251" i="6"/>
  <c r="B252" i="6"/>
  <c r="B253" i="6"/>
  <c r="C253" i="6" s="1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C285" i="6" s="1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C301" i="6" s="1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C317" i="6" s="1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C366" i="6" s="1"/>
  <c r="B366" i="6"/>
  <c r="B367" i="6"/>
  <c r="B368" i="6"/>
  <c r="B369" i="6"/>
  <c r="B370" i="6"/>
  <c r="B371" i="6"/>
  <c r="B372" i="6"/>
  <c r="B373" i="6"/>
  <c r="C373" i="6" s="1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C389" i="6" s="1"/>
  <c r="B390" i="6"/>
  <c r="B391" i="6"/>
  <c r="C392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C405" i="6" s="1"/>
  <c r="B406" i="6"/>
  <c r="B407" i="6"/>
  <c r="B408" i="6"/>
  <c r="C408" i="6" s="1"/>
  <c r="B409" i="6"/>
  <c r="B410" i="6"/>
  <c r="B411" i="6"/>
  <c r="B412" i="6"/>
  <c r="C413" i="6" s="1"/>
  <c r="B413" i="6"/>
  <c r="B414" i="6"/>
  <c r="B415" i="6"/>
  <c r="B416" i="6"/>
  <c r="B417" i="6"/>
  <c r="B418" i="6"/>
  <c r="B419" i="6"/>
  <c r="B420" i="6"/>
  <c r="B421" i="6"/>
  <c r="B422" i="6"/>
  <c r="B423" i="6"/>
  <c r="B424" i="6"/>
  <c r="C425" i="6" s="1"/>
  <c r="B425" i="6"/>
  <c r="B426" i="6"/>
  <c r="B427" i="6"/>
  <c r="B428" i="6"/>
  <c r="C428" i="6" s="1"/>
  <c r="B429" i="6"/>
  <c r="B430" i="6"/>
  <c r="B431" i="6"/>
  <c r="B432" i="6"/>
  <c r="B433" i="6"/>
  <c r="B434" i="6"/>
  <c r="B435" i="6"/>
  <c r="B436" i="6"/>
  <c r="C436" i="6" s="1"/>
  <c r="B437" i="6"/>
  <c r="B438" i="6"/>
  <c r="B439" i="6"/>
  <c r="C439" i="6" s="1"/>
  <c r="B440" i="6"/>
  <c r="B441" i="6"/>
  <c r="B442" i="6"/>
  <c r="B443" i="6"/>
  <c r="B444" i="6"/>
  <c r="B445" i="6"/>
  <c r="B446" i="6"/>
  <c r="C446" i="6" s="1"/>
  <c r="B447" i="6"/>
  <c r="B448" i="6"/>
  <c r="B449" i="6"/>
  <c r="C450" i="6" s="1"/>
  <c r="B450" i="6"/>
  <c r="B451" i="6"/>
  <c r="B452" i="6"/>
  <c r="B453" i="6"/>
  <c r="B454" i="6"/>
  <c r="B455" i="6"/>
  <c r="B456" i="6"/>
  <c r="C456" i="6" s="1"/>
  <c r="B457" i="6"/>
  <c r="B458" i="6"/>
  <c r="B459" i="6"/>
  <c r="B460" i="6"/>
  <c r="B461" i="6"/>
  <c r="B462" i="6"/>
  <c r="B463" i="6"/>
  <c r="B464" i="6"/>
  <c r="B465" i="6"/>
  <c r="B466" i="6"/>
  <c r="B467" i="6"/>
  <c r="B468" i="6"/>
  <c r="C468" i="6" s="1"/>
  <c r="B469" i="6"/>
  <c r="B470" i="6"/>
  <c r="B471" i="6"/>
  <c r="B472" i="6"/>
  <c r="C473" i="6" s="1"/>
  <c r="B473" i="6"/>
  <c r="B474" i="6"/>
  <c r="B475" i="6"/>
  <c r="B476" i="6"/>
  <c r="B477" i="6"/>
  <c r="B478" i="6"/>
  <c r="B479" i="6"/>
  <c r="B480" i="6"/>
  <c r="C481" i="6" s="1"/>
  <c r="B481" i="6"/>
  <c r="C482" i="6" s="1"/>
  <c r="B482" i="6"/>
  <c r="B483" i="6"/>
  <c r="B484" i="6"/>
  <c r="C484" i="6" s="1"/>
  <c r="B485" i="6"/>
  <c r="C485" i="6" s="1"/>
  <c r="B486" i="6"/>
  <c r="B487" i="6"/>
  <c r="B488" i="6"/>
  <c r="C489" i="6" s="1"/>
  <c r="B489" i="6"/>
  <c r="B490" i="6"/>
  <c r="B491" i="6"/>
  <c r="B492" i="6"/>
  <c r="B493" i="6"/>
  <c r="B494" i="6"/>
  <c r="B495" i="6"/>
  <c r="C495" i="6" s="1"/>
  <c r="B496" i="6"/>
  <c r="C497" i="6" s="1"/>
  <c r="B497" i="6"/>
  <c r="B498" i="6"/>
  <c r="B499" i="6"/>
  <c r="B500" i="6"/>
  <c r="B501" i="6"/>
  <c r="B502" i="6"/>
  <c r="B503" i="6"/>
  <c r="B504" i="6"/>
  <c r="C504" i="6" s="1"/>
  <c r="B505" i="6"/>
  <c r="B506" i="6"/>
  <c r="B507" i="6"/>
  <c r="B508" i="6"/>
  <c r="B509" i="6"/>
  <c r="B510" i="6"/>
  <c r="B511" i="6"/>
  <c r="C511" i="6" s="1"/>
  <c r="B512" i="6"/>
  <c r="C512" i="6" s="1"/>
  <c r="B513" i="6"/>
  <c r="C514" i="6" s="1"/>
  <c r="B514" i="6"/>
  <c r="B515" i="6"/>
  <c r="B516" i="6"/>
  <c r="B517" i="6"/>
  <c r="B518" i="6"/>
  <c r="C518" i="6" s="1"/>
  <c r="B519" i="6"/>
  <c r="B520" i="6"/>
  <c r="C520" i="6" s="1"/>
  <c r="B521" i="6"/>
  <c r="B522" i="6"/>
  <c r="B523" i="6"/>
  <c r="B524" i="6"/>
  <c r="B525" i="6"/>
  <c r="B526" i="6"/>
  <c r="B527" i="6"/>
  <c r="B528" i="6"/>
  <c r="C529" i="6" s="1"/>
  <c r="B529" i="6"/>
  <c r="B530" i="6"/>
  <c r="B531" i="6"/>
  <c r="B532" i="6"/>
  <c r="B533" i="6"/>
  <c r="B534" i="6"/>
  <c r="B535" i="6"/>
  <c r="B536" i="6"/>
  <c r="C537" i="6" s="1"/>
  <c r="B537" i="6"/>
  <c r="B538" i="6"/>
  <c r="B539" i="6"/>
  <c r="B540" i="6"/>
  <c r="B541" i="6"/>
  <c r="B542" i="6"/>
  <c r="C542" i="6" s="1"/>
  <c r="B543" i="6"/>
  <c r="C543" i="6" s="1"/>
  <c r="B544" i="6"/>
  <c r="C545" i="6" s="1"/>
  <c r="B545" i="6"/>
  <c r="B546" i="6"/>
  <c r="B547" i="6"/>
  <c r="B548" i="6"/>
  <c r="C548" i="6" s="1"/>
  <c r="B549" i="6"/>
  <c r="B550" i="6"/>
  <c r="B551" i="6"/>
  <c r="B552" i="6"/>
  <c r="B553" i="6"/>
  <c r="B554" i="6"/>
  <c r="B555" i="6"/>
  <c r="B556" i="6"/>
  <c r="C556" i="6" s="1"/>
  <c r="B557" i="6"/>
  <c r="B558" i="6"/>
  <c r="B559" i="6"/>
  <c r="B560" i="6"/>
  <c r="C561" i="6" s="1"/>
  <c r="B561" i="6"/>
  <c r="B562" i="6"/>
  <c r="B563" i="6"/>
  <c r="B564" i="6"/>
  <c r="C564" i="6" s="1"/>
  <c r="B565" i="6"/>
  <c r="B566" i="6"/>
  <c r="C566" i="6" s="1"/>
  <c r="B567" i="6"/>
  <c r="B568" i="6"/>
  <c r="C568" i="6" s="1"/>
  <c r="B569" i="6"/>
  <c r="B570" i="6"/>
  <c r="B571" i="6"/>
  <c r="B572" i="6"/>
  <c r="B573" i="6"/>
  <c r="B574" i="6"/>
  <c r="B575" i="6"/>
  <c r="B576" i="6"/>
  <c r="B577" i="6"/>
  <c r="B578" i="6"/>
  <c r="B579" i="6"/>
  <c r="B580" i="6"/>
  <c r="C580" i="6" s="1"/>
  <c r="B581" i="6"/>
  <c r="B582" i="6"/>
  <c r="B583" i="6"/>
  <c r="B584" i="6"/>
  <c r="C585" i="6" s="1"/>
  <c r="B585" i="6"/>
  <c r="B586" i="6"/>
  <c r="B587" i="6"/>
  <c r="B588" i="6"/>
  <c r="C588" i="6" s="1"/>
  <c r="B589" i="6"/>
  <c r="B590" i="6"/>
  <c r="B591" i="6"/>
  <c r="B592" i="6"/>
  <c r="C593" i="6" s="1"/>
  <c r="B593" i="6"/>
  <c r="B594" i="6"/>
  <c r="B595" i="6"/>
  <c r="B596" i="6"/>
  <c r="B597" i="6"/>
  <c r="B598" i="6"/>
  <c r="B599" i="6"/>
  <c r="B600" i="6"/>
  <c r="C601" i="6" s="1"/>
  <c r="B601" i="6"/>
  <c r="B602" i="6"/>
  <c r="B603" i="6"/>
  <c r="B604" i="6"/>
  <c r="C604" i="6" s="1"/>
  <c r="B605" i="6"/>
  <c r="B606" i="6"/>
  <c r="B607" i="6"/>
  <c r="B608" i="6"/>
  <c r="C609" i="6" s="1"/>
  <c r="B609" i="6"/>
  <c r="B610" i="6"/>
  <c r="B611" i="6"/>
  <c r="B612" i="6"/>
  <c r="B613" i="6"/>
  <c r="B614" i="6"/>
  <c r="B615" i="6"/>
  <c r="B616" i="6"/>
  <c r="C617" i="6" s="1"/>
  <c r="B617" i="6"/>
  <c r="B618" i="6"/>
  <c r="B619" i="6"/>
  <c r="B620" i="6"/>
  <c r="C620" i="6" s="1"/>
  <c r="B621" i="6"/>
  <c r="B622" i="6"/>
  <c r="B623" i="6"/>
  <c r="C623" i="6" s="1"/>
  <c r="B624" i="6"/>
  <c r="C624" i="6" s="1"/>
  <c r="B625" i="6"/>
  <c r="B626" i="6"/>
  <c r="B627" i="6"/>
  <c r="B628" i="6"/>
  <c r="C628" i="6" s="1"/>
  <c r="B629" i="6"/>
  <c r="B630" i="6"/>
  <c r="B631" i="6"/>
  <c r="B632" i="6"/>
  <c r="C633" i="6" s="1"/>
  <c r="B633" i="6"/>
  <c r="B634" i="6"/>
  <c r="B635" i="6"/>
  <c r="B636" i="6"/>
  <c r="C636" i="6" s="1"/>
  <c r="B637" i="6"/>
  <c r="C637" i="6" s="1"/>
  <c r="B638" i="6"/>
  <c r="B639" i="6"/>
  <c r="R20" i="1" s="1"/>
  <c r="B640" i="6"/>
  <c r="C641" i="6" s="1"/>
  <c r="B641" i="6"/>
  <c r="C642" i="6" s="1"/>
  <c r="B642" i="6"/>
  <c r="B643" i="6"/>
  <c r="B644" i="6"/>
  <c r="B645" i="6"/>
  <c r="B646" i="6"/>
  <c r="B647" i="6"/>
  <c r="B648" i="6"/>
  <c r="C649" i="6" s="1"/>
  <c r="B649" i="6"/>
  <c r="B650" i="6"/>
  <c r="P20" i="1" s="1"/>
  <c r="B651" i="6"/>
  <c r="C652" i="6" s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C129" i="4" s="1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C169" i="4" s="1"/>
  <c r="B170" i="4"/>
  <c r="B171" i="4"/>
  <c r="B172" i="4"/>
  <c r="B173" i="4"/>
  <c r="B174" i="4"/>
  <c r="B175" i="4"/>
  <c r="B176" i="4"/>
  <c r="B177" i="4"/>
  <c r="C178" i="4" s="1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C226" i="4" s="1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C250" i="4" s="1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C273" i="4" s="1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C289" i="4" s="1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C305" i="4" s="1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C321" i="4" s="1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C337" i="4" s="1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C361" i="4" s="1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C385" i="4" s="1"/>
  <c r="B386" i="4"/>
  <c r="B387" i="4"/>
  <c r="B388" i="4"/>
  <c r="B389" i="4"/>
  <c r="B390" i="4"/>
  <c r="B391" i="4"/>
  <c r="B392" i="4"/>
  <c r="B393" i="4"/>
  <c r="C393" i="4" s="1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C417" i="4" s="1"/>
  <c r="B418" i="4"/>
  <c r="B419" i="4"/>
  <c r="B420" i="4"/>
  <c r="B421" i="4"/>
  <c r="B422" i="4"/>
  <c r="B423" i="4"/>
  <c r="B424" i="4"/>
  <c r="B425" i="4"/>
  <c r="C425" i="4" s="1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C449" i="4" s="1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C481" i="4" s="1"/>
  <c r="B482" i="4"/>
  <c r="B483" i="4"/>
  <c r="B484" i="4"/>
  <c r="B485" i="4"/>
  <c r="B486" i="4"/>
  <c r="B487" i="4"/>
  <c r="B488" i="4"/>
  <c r="C488" i="4" s="1"/>
  <c r="B489" i="4"/>
  <c r="B490" i="4"/>
  <c r="C490" i="4" s="1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C507" i="4" s="1"/>
  <c r="B508" i="4"/>
  <c r="B509" i="4"/>
  <c r="B510" i="4"/>
  <c r="B511" i="4"/>
  <c r="B512" i="4"/>
  <c r="B513" i="4"/>
  <c r="B514" i="4"/>
  <c r="B515" i="4"/>
  <c r="C515" i="4" s="1"/>
  <c r="B516" i="4"/>
  <c r="C516" i="4" s="1"/>
  <c r="B517" i="4"/>
  <c r="C518" i="4" s="1"/>
  <c r="B518" i="4"/>
  <c r="B519" i="4"/>
  <c r="B520" i="4"/>
  <c r="B521" i="4"/>
  <c r="C521" i="4" s="1"/>
  <c r="B522" i="4"/>
  <c r="B523" i="4"/>
  <c r="C524" i="4" s="1"/>
  <c r="B524" i="4"/>
  <c r="B525" i="4"/>
  <c r="B526" i="4"/>
  <c r="B527" i="4"/>
  <c r="C527" i="4" s="1"/>
  <c r="B528" i="4"/>
  <c r="B529" i="4"/>
  <c r="B530" i="4"/>
  <c r="C530" i="4" s="1"/>
  <c r="B531" i="4"/>
  <c r="B532" i="4"/>
  <c r="B533" i="4"/>
  <c r="B534" i="4"/>
  <c r="B535" i="4"/>
  <c r="B536" i="4"/>
  <c r="B537" i="4"/>
  <c r="B538" i="4"/>
  <c r="C538" i="4" s="1"/>
  <c r="B539" i="4"/>
  <c r="B540" i="4"/>
  <c r="B541" i="4"/>
  <c r="B542" i="4"/>
  <c r="B543" i="4"/>
  <c r="C543" i="4" s="1"/>
  <c r="B544" i="4"/>
  <c r="B545" i="4"/>
  <c r="C545" i="4" s="1"/>
  <c r="B546" i="4"/>
  <c r="C546" i="4" s="1"/>
  <c r="B547" i="4"/>
  <c r="C548" i="4" s="1"/>
  <c r="B548" i="4"/>
  <c r="B549" i="4"/>
  <c r="C550" i="4" s="1"/>
  <c r="B550" i="4"/>
  <c r="B551" i="4"/>
  <c r="B552" i="4"/>
  <c r="B553" i="4"/>
  <c r="B554" i="4"/>
  <c r="C554" i="4" s="1"/>
  <c r="B555" i="4"/>
  <c r="C556" i="4" s="1"/>
  <c r="B556" i="4"/>
  <c r="B557" i="4"/>
  <c r="C558" i="4" s="1"/>
  <c r="B558" i="4"/>
  <c r="B559" i="4"/>
  <c r="B560" i="4"/>
  <c r="B561" i="4"/>
  <c r="B562" i="4"/>
  <c r="C562" i="4" s="1"/>
  <c r="B563" i="4"/>
  <c r="B564" i="4"/>
  <c r="B565" i="4"/>
  <c r="C566" i="4" s="1"/>
  <c r="B566" i="4"/>
  <c r="B567" i="4"/>
  <c r="B568" i="4"/>
  <c r="B569" i="4"/>
  <c r="B570" i="4"/>
  <c r="B571" i="4"/>
  <c r="C571" i="4" s="1"/>
  <c r="B572" i="4"/>
  <c r="B573" i="4"/>
  <c r="B574" i="4"/>
  <c r="B575" i="4"/>
  <c r="B576" i="4"/>
  <c r="B577" i="4"/>
  <c r="B578" i="4"/>
  <c r="C578" i="4" s="1"/>
  <c r="B579" i="4"/>
  <c r="C580" i="4" s="1"/>
  <c r="B580" i="4"/>
  <c r="B581" i="4"/>
  <c r="C582" i="4" s="1"/>
  <c r="B582" i="4"/>
  <c r="B583" i="4"/>
  <c r="B584" i="4"/>
  <c r="B585" i="4"/>
  <c r="B586" i="4"/>
  <c r="C586" i="4" s="1"/>
  <c r="B587" i="4"/>
  <c r="B588" i="4"/>
  <c r="B589" i="4"/>
  <c r="B590" i="4"/>
  <c r="B591" i="4"/>
  <c r="B592" i="4"/>
  <c r="B593" i="4"/>
  <c r="C593" i="4" s="1"/>
  <c r="B594" i="4"/>
  <c r="B595" i="4"/>
  <c r="B596" i="4"/>
  <c r="B597" i="4"/>
  <c r="C598" i="4" s="1"/>
  <c r="B598" i="4"/>
  <c r="B599" i="4"/>
  <c r="B600" i="4"/>
  <c r="B601" i="4"/>
  <c r="C601" i="4" s="1"/>
  <c r="B602" i="4"/>
  <c r="B603" i="4"/>
  <c r="C603" i="4" s="1"/>
  <c r="B604" i="4"/>
  <c r="B605" i="4"/>
  <c r="B606" i="4"/>
  <c r="B607" i="4"/>
  <c r="B608" i="4"/>
  <c r="B609" i="4"/>
  <c r="C609" i="4" s="1"/>
  <c r="B610" i="4"/>
  <c r="C610" i="4" s="1"/>
  <c r="B611" i="4"/>
  <c r="B612" i="4"/>
  <c r="B613" i="4"/>
  <c r="C614" i="4" s="1"/>
  <c r="B614" i="4"/>
  <c r="B615" i="4"/>
  <c r="B616" i="4"/>
  <c r="B617" i="4"/>
  <c r="C617" i="4" s="1"/>
  <c r="B618" i="4"/>
  <c r="B619" i="4"/>
  <c r="C619" i="4" s="1"/>
  <c r="B620" i="4"/>
  <c r="B621" i="4"/>
  <c r="C622" i="4" s="1"/>
  <c r="B622" i="4"/>
  <c r="B623" i="4"/>
  <c r="B624" i="4"/>
  <c r="B625" i="4"/>
  <c r="B626" i="4"/>
  <c r="C626" i="4" s="1"/>
  <c r="B627" i="4"/>
  <c r="B628" i="4"/>
  <c r="B629" i="4"/>
  <c r="C629" i="4" s="1"/>
  <c r="B630" i="4"/>
  <c r="B631" i="4"/>
  <c r="B632" i="4"/>
  <c r="B633" i="4"/>
  <c r="C633" i="4" s="1"/>
  <c r="B634" i="4"/>
  <c r="B635" i="4"/>
  <c r="C635" i="4" s="1"/>
  <c r="B636" i="4"/>
  <c r="B637" i="4"/>
  <c r="C638" i="4" s="1"/>
  <c r="B638" i="4"/>
  <c r="B639" i="4"/>
  <c r="B640" i="4"/>
  <c r="B641" i="4"/>
  <c r="C641" i="4" s="1"/>
  <c r="B642" i="4"/>
  <c r="B643" i="4"/>
  <c r="C643" i="4" s="1"/>
  <c r="B644" i="4"/>
  <c r="B645" i="4"/>
  <c r="C645" i="4" s="1"/>
  <c r="B646" i="4"/>
  <c r="B647" i="4"/>
  <c r="C647" i="4" s="1"/>
  <c r="B648" i="4"/>
  <c r="B649" i="4"/>
  <c r="C649" i="4" s="1"/>
  <c r="B650" i="4"/>
  <c r="B651" i="4"/>
  <c r="C651" i="4" s="1"/>
  <c r="B652" i="4"/>
  <c r="B653" i="4"/>
  <c r="C653" i="4" s="1"/>
  <c r="B654" i="4"/>
  <c r="B655" i="4"/>
  <c r="B656" i="4"/>
  <c r="B657" i="4"/>
  <c r="C657" i="4" s="1"/>
  <c r="B658" i="4"/>
  <c r="C658" i="4" s="1"/>
  <c r="B659" i="4"/>
  <c r="C659" i="4" s="1"/>
  <c r="B660" i="4"/>
  <c r="B661" i="4"/>
  <c r="C661" i="4" s="1"/>
  <c r="B662" i="4"/>
  <c r="B663" i="4"/>
  <c r="C663" i="4" s="1"/>
  <c r="B664" i="4"/>
  <c r="B665" i="4"/>
  <c r="C665" i="4" s="1"/>
  <c r="B666" i="4"/>
  <c r="C666" i="4" s="1"/>
  <c r="B667" i="4"/>
  <c r="C667" i="4" s="1"/>
  <c r="B668" i="4"/>
  <c r="B669" i="4"/>
  <c r="C669" i="4" s="1"/>
  <c r="B670" i="4"/>
  <c r="B671" i="4"/>
  <c r="B672" i="4"/>
  <c r="B673" i="4"/>
  <c r="C673" i="4" s="1"/>
  <c r="B674" i="4"/>
  <c r="B675" i="4"/>
  <c r="C675" i="4" s="1"/>
  <c r="B676" i="4"/>
  <c r="B677" i="4"/>
  <c r="C677" i="4" s="1"/>
  <c r="B678" i="4"/>
  <c r="B679" i="4"/>
  <c r="C679" i="4" s="1"/>
  <c r="B680" i="4"/>
  <c r="B681" i="4"/>
  <c r="C681" i="4" s="1"/>
  <c r="B682" i="4"/>
  <c r="B683" i="4"/>
  <c r="C683" i="4" s="1"/>
  <c r="B684" i="4"/>
  <c r="B685" i="4"/>
  <c r="C686" i="4" s="1"/>
  <c r="B686" i="4"/>
  <c r="B687" i="4"/>
  <c r="B688" i="4"/>
  <c r="B689" i="4"/>
  <c r="B690" i="4"/>
  <c r="C690" i="4" s="1"/>
  <c r="B691" i="4"/>
  <c r="C691" i="4" s="1"/>
  <c r="B692" i="4"/>
  <c r="B693" i="4"/>
  <c r="C693" i="4" s="1"/>
  <c r="B694" i="4"/>
  <c r="B695" i="4"/>
  <c r="B696" i="4"/>
  <c r="B697" i="4"/>
  <c r="B698" i="4"/>
  <c r="C698" i="4" s="1"/>
  <c r="B699" i="4"/>
  <c r="C699" i="4" s="1"/>
  <c r="B700" i="4"/>
  <c r="B701" i="4"/>
  <c r="C701" i="4" s="1"/>
  <c r="B702" i="4"/>
  <c r="B703" i="4"/>
  <c r="B704" i="4"/>
  <c r="B705" i="4"/>
  <c r="C705" i="4" s="1"/>
  <c r="B706" i="4"/>
  <c r="B707" i="4"/>
  <c r="B708" i="4"/>
  <c r="B709" i="4"/>
  <c r="C710" i="4" s="1"/>
  <c r="B710" i="4"/>
  <c r="B711" i="4"/>
  <c r="B712" i="4"/>
  <c r="B713" i="4"/>
  <c r="C713" i="4" s="1"/>
  <c r="B714" i="4"/>
  <c r="C714" i="4" s="1"/>
  <c r="B715" i="4"/>
  <c r="B716" i="4"/>
  <c r="B717" i="4"/>
  <c r="C717" i="4" s="1"/>
  <c r="B718" i="4"/>
  <c r="B719" i="4"/>
  <c r="B720" i="4"/>
  <c r="B721" i="4"/>
  <c r="C721" i="4" s="1"/>
  <c r="B722" i="4"/>
  <c r="B723" i="4"/>
  <c r="C723" i="4" s="1"/>
  <c r="B724" i="4"/>
  <c r="B725" i="4"/>
  <c r="C725" i="4" s="1"/>
  <c r="B726" i="4"/>
  <c r="B727" i="4"/>
  <c r="B728" i="4"/>
  <c r="B729" i="4"/>
  <c r="C729" i="4" s="1"/>
  <c r="B730" i="4"/>
  <c r="B731" i="4"/>
  <c r="C731" i="4" s="1"/>
  <c r="B732" i="4"/>
  <c r="B733" i="4"/>
  <c r="C733" i="4" s="1"/>
  <c r="B734" i="4"/>
  <c r="B735" i="4"/>
  <c r="B736" i="4"/>
  <c r="B737" i="4"/>
  <c r="C737" i="4" s="1"/>
  <c r="B738" i="4"/>
  <c r="B739" i="4"/>
  <c r="B740" i="4"/>
  <c r="B741" i="4"/>
  <c r="C741" i="4" s="1"/>
  <c r="B742" i="4"/>
  <c r="B743" i="4"/>
  <c r="B744" i="4"/>
  <c r="B745" i="4"/>
  <c r="C745" i="4" s="1"/>
  <c r="B746" i="4"/>
  <c r="P18" i="1" s="1"/>
  <c r="B747" i="4"/>
  <c r="C747" i="4" s="1"/>
  <c r="B7" i="4"/>
  <c r="C8" i="4" s="1"/>
  <c r="C637" i="4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C433" i="5" s="1"/>
  <c r="B433" i="5"/>
  <c r="B434" i="5"/>
  <c r="C434" i="5" s="1"/>
  <c r="B435" i="5"/>
  <c r="B436" i="5"/>
  <c r="B437" i="5"/>
  <c r="B438" i="5"/>
  <c r="B439" i="5"/>
  <c r="B440" i="5"/>
  <c r="B441" i="5"/>
  <c r="B442" i="5"/>
  <c r="B443" i="5"/>
  <c r="B444" i="5"/>
  <c r="B445" i="5"/>
  <c r="B446" i="5"/>
  <c r="C447" i="5" s="1"/>
  <c r="B447" i="5"/>
  <c r="B448" i="5"/>
  <c r="B449" i="5"/>
  <c r="B450" i="5"/>
  <c r="B451" i="5"/>
  <c r="B452" i="5"/>
  <c r="B453" i="5"/>
  <c r="B454" i="5"/>
  <c r="C455" i="5" s="1"/>
  <c r="B455" i="5"/>
  <c r="B456" i="5"/>
  <c r="B457" i="5"/>
  <c r="B458" i="5"/>
  <c r="B459" i="5"/>
  <c r="B460" i="5"/>
  <c r="B461" i="5"/>
  <c r="B462" i="5"/>
  <c r="B463" i="5"/>
  <c r="B464" i="5"/>
  <c r="B465" i="5"/>
  <c r="B466" i="5"/>
  <c r="C466" i="5" s="1"/>
  <c r="B467" i="5"/>
  <c r="B468" i="5"/>
  <c r="B469" i="5"/>
  <c r="B470" i="5"/>
  <c r="C470" i="5" s="1"/>
  <c r="B471" i="5"/>
  <c r="B472" i="5"/>
  <c r="B473" i="5"/>
  <c r="B474" i="5"/>
  <c r="B475" i="5"/>
  <c r="B476" i="5"/>
  <c r="B477" i="5"/>
  <c r="B478" i="5"/>
  <c r="B479" i="5"/>
  <c r="B480" i="5"/>
  <c r="B481" i="5"/>
  <c r="C481" i="5" s="1"/>
  <c r="B482" i="5"/>
  <c r="B483" i="5"/>
  <c r="B484" i="5"/>
  <c r="B485" i="5"/>
  <c r="B486" i="5"/>
  <c r="C486" i="5" s="1"/>
  <c r="B487" i="5"/>
  <c r="B488" i="5"/>
  <c r="C488" i="5" s="1"/>
  <c r="B489" i="5"/>
  <c r="B490" i="5"/>
  <c r="B491" i="5"/>
  <c r="B492" i="5"/>
  <c r="B493" i="5"/>
  <c r="B494" i="5"/>
  <c r="B495" i="5"/>
  <c r="B496" i="5"/>
  <c r="C496" i="5" s="1"/>
  <c r="B497" i="5"/>
  <c r="C497" i="5" s="1"/>
  <c r="B498" i="5"/>
  <c r="C498" i="5" s="1"/>
  <c r="B499" i="5"/>
  <c r="B500" i="5"/>
  <c r="B501" i="5"/>
  <c r="B502" i="5"/>
  <c r="B503" i="5"/>
  <c r="B504" i="5"/>
  <c r="C504" i="5" s="1"/>
  <c r="B505" i="5"/>
  <c r="C505" i="5" s="1"/>
  <c r="B506" i="5"/>
  <c r="B507" i="5"/>
  <c r="B508" i="5"/>
  <c r="B509" i="5"/>
  <c r="B510" i="5"/>
  <c r="B511" i="5"/>
  <c r="B512" i="5"/>
  <c r="B513" i="5"/>
  <c r="B514" i="5"/>
  <c r="B515" i="5"/>
  <c r="C515" i="5" s="1"/>
  <c r="B516" i="5"/>
  <c r="B517" i="5"/>
  <c r="B518" i="5"/>
  <c r="B519" i="5"/>
  <c r="B520" i="5"/>
  <c r="B521" i="5"/>
  <c r="C521" i="5" s="1"/>
  <c r="B522" i="5"/>
  <c r="C522" i="5" s="1"/>
  <c r="B523" i="5"/>
  <c r="B524" i="5"/>
  <c r="B525" i="5"/>
  <c r="B526" i="5"/>
  <c r="B527" i="5"/>
  <c r="B528" i="5"/>
  <c r="B529" i="5"/>
  <c r="B530" i="5"/>
  <c r="C531" i="5" s="1"/>
  <c r="B531" i="5"/>
  <c r="B532" i="5"/>
  <c r="B533" i="5"/>
  <c r="B534" i="5"/>
  <c r="C534" i="5" s="1"/>
  <c r="B535" i="5"/>
  <c r="B536" i="5"/>
  <c r="B537" i="5"/>
  <c r="C537" i="5" s="1"/>
  <c r="B538" i="5"/>
  <c r="C538" i="5" s="1"/>
  <c r="B539" i="5"/>
  <c r="C540" i="5" s="1"/>
  <c r="B540" i="5"/>
  <c r="B541" i="5"/>
  <c r="B542" i="5"/>
  <c r="C542" i="5" s="1"/>
  <c r="B543" i="5"/>
  <c r="B544" i="5"/>
  <c r="C544" i="5" s="1"/>
  <c r="B545" i="5"/>
  <c r="C545" i="5" s="1"/>
  <c r="B546" i="5"/>
  <c r="B547" i="5"/>
  <c r="B548" i="5"/>
  <c r="B549" i="5"/>
  <c r="B550" i="5"/>
  <c r="B551" i="5"/>
  <c r="B552" i="5"/>
  <c r="C552" i="5" s="1"/>
  <c r="B553" i="5"/>
  <c r="C553" i="5" s="1"/>
  <c r="B554" i="5"/>
  <c r="B555" i="5"/>
  <c r="C555" i="5" s="1"/>
  <c r="B556" i="5"/>
  <c r="B557" i="5"/>
  <c r="B558" i="5"/>
  <c r="B559" i="5"/>
  <c r="B560" i="5"/>
  <c r="C560" i="5" s="1"/>
  <c r="B561" i="5"/>
  <c r="C561" i="5" s="1"/>
  <c r="B562" i="5"/>
  <c r="B563" i="5"/>
  <c r="C563" i="5" s="1"/>
  <c r="B564" i="5"/>
  <c r="B565" i="5"/>
  <c r="B566" i="5"/>
  <c r="B567" i="5"/>
  <c r="B568" i="5"/>
  <c r="C568" i="5" s="1"/>
  <c r="B569" i="5"/>
  <c r="B570" i="5"/>
  <c r="B571" i="5"/>
  <c r="C572" i="5" s="1"/>
  <c r="B572" i="5"/>
  <c r="B573" i="5"/>
  <c r="B574" i="5"/>
  <c r="B575" i="5"/>
  <c r="B576" i="5"/>
  <c r="C576" i="5" s="1"/>
  <c r="B577" i="5"/>
  <c r="C577" i="5" s="1"/>
  <c r="B578" i="5"/>
  <c r="B579" i="5"/>
  <c r="B580" i="5"/>
  <c r="B581" i="5"/>
  <c r="B582" i="5"/>
  <c r="B583" i="5"/>
  <c r="B584" i="5"/>
  <c r="B585" i="5"/>
  <c r="C585" i="5" s="1"/>
  <c r="B586" i="5"/>
  <c r="B587" i="5"/>
  <c r="B588" i="5"/>
  <c r="B589" i="5"/>
  <c r="B590" i="5"/>
  <c r="C590" i="5" s="1"/>
  <c r="B591" i="5"/>
  <c r="B592" i="5"/>
  <c r="B593" i="5"/>
  <c r="B594" i="5"/>
  <c r="B595" i="5"/>
  <c r="C595" i="5" s="1"/>
  <c r="B596" i="5"/>
  <c r="B597" i="5"/>
  <c r="B598" i="5"/>
  <c r="C598" i="5" s="1"/>
  <c r="B599" i="5"/>
  <c r="B600" i="5"/>
  <c r="B601" i="5"/>
  <c r="B602" i="5"/>
  <c r="B603" i="5"/>
  <c r="B604" i="5"/>
  <c r="B605" i="5"/>
  <c r="B606" i="5"/>
  <c r="C606" i="5" s="1"/>
  <c r="B607" i="5"/>
  <c r="B608" i="5"/>
  <c r="C608" i="5" s="1"/>
  <c r="B609" i="5"/>
  <c r="C609" i="5" s="1"/>
  <c r="B610" i="5"/>
  <c r="B611" i="5"/>
  <c r="B612" i="5"/>
  <c r="B613" i="5"/>
  <c r="B614" i="5"/>
  <c r="C614" i="5" s="1"/>
  <c r="B615" i="5"/>
  <c r="B616" i="5"/>
  <c r="C616" i="5" s="1"/>
  <c r="B617" i="5"/>
  <c r="B618" i="5"/>
  <c r="B619" i="5"/>
  <c r="B620" i="5"/>
  <c r="B621" i="5"/>
  <c r="B622" i="5"/>
  <c r="C622" i="5" s="1"/>
  <c r="B623" i="5"/>
  <c r="B624" i="5"/>
  <c r="B625" i="5"/>
  <c r="C625" i="5" s="1"/>
  <c r="B626" i="5"/>
  <c r="B627" i="5"/>
  <c r="B628" i="5"/>
  <c r="B629" i="5"/>
  <c r="B630" i="5"/>
  <c r="B631" i="5"/>
  <c r="B632" i="5"/>
  <c r="B633" i="5"/>
  <c r="B634" i="5"/>
  <c r="B635" i="5"/>
  <c r="C635" i="5" s="1"/>
  <c r="B636" i="5"/>
  <c r="B637" i="5"/>
  <c r="B638" i="5"/>
  <c r="B639" i="5"/>
  <c r="B640" i="5"/>
  <c r="C640" i="5" s="1"/>
  <c r="B641" i="5"/>
  <c r="B642" i="5"/>
  <c r="B643" i="5"/>
  <c r="C644" i="5" s="1"/>
  <c r="B644" i="5"/>
  <c r="B645" i="5"/>
  <c r="B646" i="5"/>
  <c r="B647" i="5"/>
  <c r="B648" i="5"/>
  <c r="B649" i="5"/>
  <c r="C649" i="5" s="1"/>
  <c r="B650" i="5"/>
  <c r="B651" i="5"/>
  <c r="B652" i="5"/>
  <c r="B653" i="5"/>
  <c r="B654" i="5"/>
  <c r="C654" i="5" s="1"/>
  <c r="B655" i="5"/>
  <c r="B656" i="5"/>
  <c r="C656" i="5" s="1"/>
  <c r="B657" i="5"/>
  <c r="B658" i="5"/>
  <c r="B659" i="5"/>
  <c r="B660" i="5"/>
  <c r="B661" i="5"/>
  <c r="B662" i="5"/>
  <c r="B663" i="5"/>
  <c r="B664" i="5"/>
  <c r="B665" i="5"/>
  <c r="B666" i="5"/>
  <c r="B667" i="5"/>
  <c r="C668" i="5" s="1"/>
  <c r="B668" i="5"/>
  <c r="B669" i="5"/>
  <c r="B670" i="5"/>
  <c r="C670" i="5" s="1"/>
  <c r="B671" i="5"/>
  <c r="B672" i="5"/>
  <c r="C672" i="5" s="1"/>
  <c r="B673" i="5"/>
  <c r="C673" i="5" s="1"/>
  <c r="B674" i="5"/>
  <c r="B675" i="5"/>
  <c r="B676" i="5"/>
  <c r="B677" i="5"/>
  <c r="B678" i="5"/>
  <c r="C678" i="5" s="1"/>
  <c r="B679" i="5"/>
  <c r="B680" i="5"/>
  <c r="B681" i="5"/>
  <c r="B682" i="5"/>
  <c r="B683" i="5"/>
  <c r="B684" i="5"/>
  <c r="B685" i="5"/>
  <c r="B686" i="5"/>
  <c r="C686" i="5" s="1"/>
  <c r="B687" i="5"/>
  <c r="B688" i="5"/>
  <c r="B689" i="5"/>
  <c r="C689" i="5" s="1"/>
  <c r="B690" i="5"/>
  <c r="C690" i="5" s="1"/>
  <c r="B691" i="5"/>
  <c r="B692" i="5"/>
  <c r="B693" i="5"/>
  <c r="B694" i="5"/>
  <c r="B695" i="5"/>
  <c r="B696" i="5"/>
  <c r="B697" i="5"/>
  <c r="C697" i="5" s="1"/>
  <c r="B698" i="5"/>
  <c r="B699" i="5"/>
  <c r="B700" i="5"/>
  <c r="B701" i="5"/>
  <c r="B702" i="5"/>
  <c r="B703" i="5"/>
  <c r="B704" i="5"/>
  <c r="C704" i="5" s="1"/>
  <c r="B705" i="5"/>
  <c r="C705" i="5" s="1"/>
  <c r="B706" i="5"/>
  <c r="B707" i="5"/>
  <c r="C707" i="5" s="1"/>
  <c r="B708" i="5"/>
  <c r="B709" i="5"/>
  <c r="B710" i="5"/>
  <c r="C710" i="5" s="1"/>
  <c r="B711" i="5"/>
  <c r="B712" i="5"/>
  <c r="B713" i="5"/>
  <c r="C713" i="5" s="1"/>
  <c r="B714" i="5"/>
  <c r="B715" i="5"/>
  <c r="B716" i="5"/>
  <c r="B717" i="5"/>
  <c r="B718" i="5"/>
  <c r="B719" i="5"/>
  <c r="B720" i="5"/>
  <c r="C720" i="5" s="1"/>
  <c r="B721" i="5"/>
  <c r="B722" i="5"/>
  <c r="B723" i="5"/>
  <c r="B724" i="5"/>
  <c r="B725" i="5"/>
  <c r="B726" i="5"/>
  <c r="C726" i="5" s="1"/>
  <c r="B727" i="5"/>
  <c r="B728" i="5"/>
  <c r="B729" i="5"/>
  <c r="B730" i="5"/>
  <c r="B731" i="5"/>
  <c r="C731" i="5" s="1"/>
  <c r="B732" i="5"/>
  <c r="B733" i="5"/>
  <c r="B734" i="5"/>
  <c r="C734" i="5" s="1"/>
  <c r="B735" i="5"/>
  <c r="R19" i="1" s="1"/>
  <c r="B736" i="5"/>
  <c r="C736" i="5" s="1"/>
  <c r="B737" i="5"/>
  <c r="C737" i="5" s="1"/>
  <c r="B738" i="5"/>
  <c r="B739" i="5"/>
  <c r="B740" i="5"/>
  <c r="B741" i="5"/>
  <c r="C741" i="5" s="1"/>
  <c r="B742" i="5"/>
  <c r="C742" i="5" s="1"/>
  <c r="B743" i="5"/>
  <c r="B744" i="5"/>
  <c r="B745" i="5"/>
  <c r="C745" i="5" s="1"/>
  <c r="B746" i="5"/>
  <c r="P19" i="1" s="1"/>
  <c r="B747" i="5"/>
  <c r="C748" i="5" s="1"/>
  <c r="B8" i="5"/>
  <c r="B9" i="5"/>
  <c r="B10" i="5"/>
  <c r="C10" i="5" s="1"/>
  <c r="B11" i="5"/>
  <c r="B12" i="5"/>
  <c r="C12" i="5" s="1"/>
  <c r="B13" i="5"/>
  <c r="C13" i="5" s="1"/>
  <c r="B14" i="5"/>
  <c r="C14" i="5" s="1"/>
  <c r="B7" i="5"/>
  <c r="C8" i="5" s="1"/>
  <c r="C511" i="4"/>
  <c r="C574" i="4"/>
  <c r="C588" i="4"/>
  <c r="C591" i="4"/>
  <c r="C597" i="4"/>
  <c r="C631" i="4"/>
  <c r="C14" i="4"/>
  <c r="C46" i="4"/>
  <c r="C86" i="4"/>
  <c r="C127" i="4"/>
  <c r="C143" i="4"/>
  <c r="C158" i="4"/>
  <c r="C166" i="4"/>
  <c r="C175" i="4"/>
  <c r="C198" i="4"/>
  <c r="C206" i="4"/>
  <c r="C214" i="4"/>
  <c r="C222" i="4"/>
  <c r="C230" i="4"/>
  <c r="C239" i="4"/>
  <c r="C263" i="4"/>
  <c r="C271" i="4"/>
  <c r="C287" i="4"/>
  <c r="C295" i="4"/>
  <c r="C302" i="4"/>
  <c r="C311" i="4"/>
  <c r="C334" i="4"/>
  <c r="C342" i="4"/>
  <c r="C351" i="4"/>
  <c r="C359" i="4"/>
  <c r="C367" i="4"/>
  <c r="C375" i="4"/>
  <c r="C383" i="4"/>
  <c r="C406" i="4"/>
  <c r="C415" i="4"/>
  <c r="C423" i="4"/>
  <c r="C431" i="4"/>
  <c r="C438" i="4"/>
  <c r="C447" i="4"/>
  <c r="C466" i="4"/>
  <c r="C470" i="4"/>
  <c r="C479" i="4"/>
  <c r="C486" i="4"/>
  <c r="C495" i="4"/>
  <c r="C502" i="4"/>
  <c r="C505" i="4"/>
  <c r="C612" i="4"/>
  <c r="C581" i="4"/>
  <c r="C22" i="4"/>
  <c r="C31" i="4"/>
  <c r="C38" i="4"/>
  <c r="C55" i="4"/>
  <c r="C62" i="4"/>
  <c r="C78" i="4"/>
  <c r="C95" i="4"/>
  <c r="C103" i="4"/>
  <c r="C118" i="4"/>
  <c r="C134" i="4"/>
  <c r="C183" i="4"/>
  <c r="C191" i="4"/>
  <c r="C207" i="4"/>
  <c r="C247" i="4"/>
  <c r="C255" i="4"/>
  <c r="C319" i="4"/>
  <c r="C327" i="4"/>
  <c r="C391" i="4"/>
  <c r="C399" i="4"/>
  <c r="C455" i="4"/>
  <c r="C462" i="4"/>
  <c r="C534" i="4"/>
  <c r="C594" i="4"/>
  <c r="C15" i="4"/>
  <c r="C110" i="4"/>
  <c r="C279" i="4"/>
  <c r="C387" i="4"/>
  <c r="C395" i="4"/>
  <c r="C451" i="4"/>
  <c r="C459" i="4"/>
  <c r="C498" i="4"/>
  <c r="C569" i="4"/>
  <c r="C577" i="4"/>
  <c r="C34" i="4"/>
  <c r="C42" i="4"/>
  <c r="C50" i="4"/>
  <c r="C59" i="4"/>
  <c r="C67" i="4"/>
  <c r="C75" i="4"/>
  <c r="C83" i="4"/>
  <c r="C99" i="4"/>
  <c r="C162" i="4"/>
  <c r="C171" i="4"/>
  <c r="C187" i="4"/>
  <c r="C195" i="4"/>
  <c r="C203" i="4"/>
  <c r="C211" i="4"/>
  <c r="C227" i="4"/>
  <c r="C235" i="4"/>
  <c r="C267" i="4"/>
  <c r="C275" i="4"/>
  <c r="C283" i="4"/>
  <c r="C291" i="4"/>
  <c r="C299" i="4"/>
  <c r="C307" i="4"/>
  <c r="C315" i="4"/>
  <c r="C323" i="4"/>
  <c r="C331" i="4"/>
  <c r="C339" i="4"/>
  <c r="C347" i="4"/>
  <c r="C355" i="4"/>
  <c r="C363" i="4"/>
  <c r="C371" i="4"/>
  <c r="C379" i="4"/>
  <c r="C403" i="4"/>
  <c r="C411" i="4"/>
  <c r="C419" i="4"/>
  <c r="C427" i="4"/>
  <c r="C435" i="4"/>
  <c r="C443" i="4"/>
  <c r="C475" i="4"/>
  <c r="C482" i="4"/>
  <c r="C491" i="4"/>
  <c r="C651" i="6"/>
  <c r="C650" i="6"/>
  <c r="C627" i="6"/>
  <c r="C619" i="6"/>
  <c r="C614" i="6"/>
  <c r="C605" i="6"/>
  <c r="C587" i="6"/>
  <c r="C582" i="6"/>
  <c r="C555" i="6"/>
  <c r="C532" i="6"/>
  <c r="C531" i="6"/>
  <c r="C523" i="6"/>
  <c r="C522" i="6"/>
  <c r="C508" i="6"/>
  <c r="C506" i="6"/>
  <c r="C507" i="6"/>
  <c r="C492" i="6"/>
  <c r="C491" i="6"/>
  <c r="C476" i="6"/>
  <c r="C466" i="6"/>
  <c r="C465" i="6"/>
  <c r="C459" i="6"/>
  <c r="C458" i="6"/>
  <c r="C444" i="6"/>
  <c r="C441" i="6"/>
  <c r="C435" i="6"/>
  <c r="C434" i="6"/>
  <c r="C430" i="6"/>
  <c r="C427" i="6"/>
  <c r="C418" i="6"/>
  <c r="C414" i="6"/>
  <c r="C415" i="6"/>
  <c r="C410" i="6"/>
  <c r="C409" i="6"/>
  <c r="C404" i="6"/>
  <c r="C403" i="6"/>
  <c r="C400" i="6"/>
  <c r="C399" i="6"/>
  <c r="C395" i="6"/>
  <c r="C394" i="6"/>
  <c r="C386" i="6"/>
  <c r="C384" i="6"/>
  <c r="C378" i="6"/>
  <c r="C379" i="6"/>
  <c r="C377" i="6"/>
  <c r="C376" i="6"/>
  <c r="C372" i="6"/>
  <c r="C369" i="6"/>
  <c r="C368" i="6"/>
  <c r="C367" i="6"/>
  <c r="C365" i="6"/>
  <c r="C364" i="6"/>
  <c r="C363" i="6"/>
  <c r="C358" i="6"/>
  <c r="C356" i="6"/>
  <c r="C354" i="6"/>
  <c r="C353" i="6"/>
  <c r="C349" i="6"/>
  <c r="C348" i="6"/>
  <c r="C346" i="6"/>
  <c r="C347" i="6"/>
  <c r="C345" i="6"/>
  <c r="C343" i="6"/>
  <c r="C340" i="6"/>
  <c r="C338" i="6"/>
  <c r="C337" i="6"/>
  <c r="C336" i="6"/>
  <c r="C331" i="6"/>
  <c r="C330" i="6"/>
  <c r="C328" i="6"/>
  <c r="C326" i="6"/>
  <c r="C322" i="6"/>
  <c r="C320" i="6"/>
  <c r="C318" i="6"/>
  <c r="C316" i="6"/>
  <c r="C313" i="6"/>
  <c r="C312" i="6"/>
  <c r="C310" i="6"/>
  <c r="C309" i="6"/>
  <c r="C308" i="6"/>
  <c r="C305" i="6"/>
  <c r="C299" i="6"/>
  <c r="C298" i="6"/>
  <c r="C297" i="6"/>
  <c r="C294" i="6"/>
  <c r="C293" i="6"/>
  <c r="C290" i="6"/>
  <c r="C289" i="6"/>
  <c r="C287" i="6"/>
  <c r="C284" i="6"/>
  <c r="C281" i="6"/>
  <c r="C280" i="6"/>
  <c r="C279" i="6"/>
  <c r="C276" i="6"/>
  <c r="C274" i="6"/>
  <c r="C275" i="6"/>
  <c r="C273" i="6"/>
  <c r="C271" i="6"/>
  <c r="C269" i="6"/>
  <c r="C267" i="6"/>
  <c r="C262" i="6"/>
  <c r="C261" i="6"/>
  <c r="C258" i="6"/>
  <c r="C257" i="6"/>
  <c r="C252" i="6"/>
  <c r="C250" i="6"/>
  <c r="C249" i="6"/>
  <c r="C248" i="6"/>
  <c r="C246" i="6"/>
  <c r="C247" i="6"/>
  <c r="C244" i="6"/>
  <c r="C243" i="6"/>
  <c r="C241" i="6"/>
  <c r="C239" i="6"/>
  <c r="C238" i="6"/>
  <c r="C237" i="6"/>
  <c r="C235" i="6"/>
  <c r="C233" i="6"/>
  <c r="C234" i="6"/>
  <c r="C230" i="6"/>
  <c r="C229" i="6"/>
  <c r="C226" i="6"/>
  <c r="C225" i="6"/>
  <c r="C223" i="6"/>
  <c r="C220" i="6"/>
  <c r="C218" i="6"/>
  <c r="C219" i="6"/>
  <c r="C217" i="6"/>
  <c r="C216" i="6"/>
  <c r="C215" i="6"/>
  <c r="C212" i="6"/>
  <c r="C211" i="6"/>
  <c r="C210" i="6"/>
  <c r="C209" i="6"/>
  <c r="C207" i="6"/>
  <c r="C205" i="6"/>
  <c r="C203" i="6"/>
  <c r="C202" i="6"/>
  <c r="C197" i="6"/>
  <c r="C194" i="6"/>
  <c r="C193" i="6"/>
  <c r="C191" i="6"/>
  <c r="C190" i="6"/>
  <c r="C188" i="6"/>
  <c r="C186" i="6"/>
  <c r="C187" i="6"/>
  <c r="C185" i="6"/>
  <c r="C184" i="6"/>
  <c r="C183" i="6"/>
  <c r="C181" i="6"/>
  <c r="C179" i="6"/>
  <c r="C180" i="6"/>
  <c r="C178" i="6"/>
  <c r="C176" i="6"/>
  <c r="C174" i="6"/>
  <c r="C173" i="6"/>
  <c r="C170" i="6"/>
  <c r="C169" i="6"/>
  <c r="C168" i="6"/>
  <c r="C164" i="6"/>
  <c r="C162" i="6"/>
  <c r="C161" i="6"/>
  <c r="C159" i="6"/>
  <c r="C158" i="6"/>
  <c r="C156" i="6"/>
  <c r="C154" i="6"/>
  <c r="C153" i="6"/>
  <c r="C150" i="6"/>
  <c r="C149" i="6"/>
  <c r="C148" i="6"/>
  <c r="C146" i="6"/>
  <c r="C147" i="6"/>
  <c r="C145" i="6"/>
  <c r="C144" i="6"/>
  <c r="C139" i="6"/>
  <c r="C140" i="6"/>
  <c r="C138" i="6"/>
  <c r="C137" i="6"/>
  <c r="C136" i="6"/>
  <c r="C135" i="6"/>
  <c r="C132" i="6"/>
  <c r="C130" i="6"/>
  <c r="C131" i="6"/>
  <c r="C129" i="6"/>
  <c r="C128" i="6"/>
  <c r="C125" i="6"/>
  <c r="C123" i="6"/>
  <c r="C124" i="6"/>
  <c r="C122" i="6"/>
  <c r="C121" i="6"/>
  <c r="C119" i="6"/>
  <c r="C120" i="6"/>
  <c r="C118" i="6"/>
  <c r="C117" i="6"/>
  <c r="C116" i="6"/>
  <c r="C114" i="6"/>
  <c r="C115" i="6"/>
  <c r="C113" i="6"/>
  <c r="C112" i="6"/>
  <c r="C109" i="6"/>
  <c r="C107" i="6"/>
  <c r="C108" i="6"/>
  <c r="C106" i="6"/>
  <c r="C105" i="6"/>
  <c r="C104" i="6"/>
  <c r="C103" i="6"/>
  <c r="C101" i="6"/>
  <c r="C100" i="6"/>
  <c r="C98" i="6"/>
  <c r="C99" i="6"/>
  <c r="C97" i="6"/>
  <c r="C96" i="6"/>
  <c r="C93" i="6"/>
  <c r="C91" i="6"/>
  <c r="C92" i="6"/>
  <c r="C90" i="6"/>
  <c r="C89" i="6"/>
  <c r="C87" i="6"/>
  <c r="C88" i="6"/>
  <c r="C86" i="6"/>
  <c r="C85" i="6"/>
  <c r="C84" i="6"/>
  <c r="C82" i="6"/>
  <c r="C83" i="6"/>
  <c r="C81" i="6"/>
  <c r="C80" i="6"/>
  <c r="C77" i="6"/>
  <c r="C75" i="6"/>
  <c r="C76" i="6"/>
  <c r="C74" i="6"/>
  <c r="C73" i="6"/>
  <c r="C72" i="6"/>
  <c r="C71" i="6"/>
  <c r="C69" i="6"/>
  <c r="C68" i="6"/>
  <c r="C66" i="6"/>
  <c r="C67" i="6"/>
  <c r="C65" i="6"/>
  <c r="C64" i="6"/>
  <c r="C61" i="6"/>
  <c r="C59" i="6"/>
  <c r="C60" i="6"/>
  <c r="C58" i="6"/>
  <c r="C57" i="6"/>
  <c r="C55" i="6"/>
  <c r="C56" i="6"/>
  <c r="C54" i="6"/>
  <c r="C53" i="6"/>
  <c r="C52" i="6"/>
  <c r="C50" i="6"/>
  <c r="C51" i="6"/>
  <c r="C49" i="6"/>
  <c r="C48" i="6"/>
  <c r="C45" i="6"/>
  <c r="C43" i="6"/>
  <c r="C44" i="6"/>
  <c r="C42" i="6"/>
  <c r="C41" i="6"/>
  <c r="C40" i="6"/>
  <c r="C39" i="6"/>
  <c r="C37" i="6"/>
  <c r="C36" i="6"/>
  <c r="C34" i="6"/>
  <c r="C35" i="6"/>
  <c r="C33" i="6"/>
  <c r="C32" i="6"/>
  <c r="C29" i="6"/>
  <c r="C27" i="6"/>
  <c r="C28" i="6"/>
  <c r="C26" i="6"/>
  <c r="C25" i="6"/>
  <c r="C23" i="6"/>
  <c r="C24" i="6"/>
  <c r="C22" i="6"/>
  <c r="C21" i="6"/>
  <c r="C20" i="6"/>
  <c r="C18" i="6"/>
  <c r="C19" i="6"/>
  <c r="C17" i="6"/>
  <c r="C16" i="6"/>
  <c r="C13" i="6"/>
  <c r="C11" i="6"/>
  <c r="C12" i="6"/>
  <c r="C10" i="6"/>
  <c r="C9" i="6"/>
  <c r="C8" i="6"/>
  <c r="C746" i="5"/>
  <c r="C702" i="5"/>
  <c r="C681" i="5"/>
  <c r="C677" i="5"/>
  <c r="C661" i="5"/>
  <c r="C631" i="5"/>
  <c r="C627" i="5"/>
  <c r="C613" i="5"/>
  <c r="C581" i="5"/>
  <c r="C580" i="5"/>
  <c r="C574" i="5"/>
  <c r="C571" i="5"/>
  <c r="C557" i="5"/>
  <c r="C550" i="5"/>
  <c r="C549" i="5"/>
  <c r="C547" i="5"/>
  <c r="C548" i="5"/>
  <c r="C541" i="5"/>
  <c r="C527" i="5"/>
  <c r="C524" i="5"/>
  <c r="C509" i="5"/>
  <c r="C508" i="5"/>
  <c r="C503" i="5"/>
  <c r="C501" i="5"/>
  <c r="C499" i="5"/>
  <c r="C494" i="5"/>
  <c r="C493" i="5"/>
  <c r="C491" i="5"/>
  <c r="C492" i="5"/>
  <c r="C490" i="5"/>
  <c r="C489" i="5"/>
  <c r="C484" i="5"/>
  <c r="C475" i="5"/>
  <c r="C476" i="5"/>
  <c r="C474" i="5"/>
  <c r="C473" i="5"/>
  <c r="C469" i="5"/>
  <c r="C467" i="5"/>
  <c r="C463" i="5"/>
  <c r="C462" i="5"/>
  <c r="C458" i="5"/>
  <c r="C457" i="5"/>
  <c r="C453" i="5"/>
  <c r="C452" i="5"/>
  <c r="C450" i="5"/>
  <c r="C451" i="5"/>
  <c r="C449" i="5"/>
  <c r="C448" i="5"/>
  <c r="C445" i="5"/>
  <c r="C443" i="5"/>
  <c r="C444" i="5"/>
  <c r="C442" i="5"/>
  <c r="C440" i="5"/>
  <c r="C439" i="5"/>
  <c r="C437" i="5"/>
  <c r="C432" i="5"/>
  <c r="C430" i="5"/>
  <c r="C426" i="5"/>
  <c r="C425" i="5"/>
  <c r="C423" i="5"/>
  <c r="C422" i="5"/>
  <c r="C418" i="5"/>
  <c r="C417" i="5"/>
  <c r="C414" i="5"/>
  <c r="C415" i="5"/>
  <c r="C413" i="5"/>
  <c r="C412" i="5"/>
  <c r="C410" i="5"/>
  <c r="C409" i="5"/>
  <c r="C406" i="5"/>
  <c r="C407" i="5"/>
  <c r="C403" i="5"/>
  <c r="C402" i="5"/>
  <c r="C401" i="5"/>
  <c r="C399" i="5"/>
  <c r="C398" i="5"/>
  <c r="C394" i="5"/>
  <c r="C393" i="5"/>
  <c r="C390" i="5"/>
  <c r="C391" i="5"/>
  <c r="C389" i="5"/>
  <c r="C388" i="5"/>
  <c r="C386" i="5"/>
  <c r="C387" i="5"/>
  <c r="C385" i="5"/>
  <c r="C384" i="5"/>
  <c r="C382" i="5"/>
  <c r="C383" i="5"/>
  <c r="C381" i="5"/>
  <c r="C380" i="5"/>
  <c r="C379" i="5"/>
  <c r="C378" i="5"/>
  <c r="C377" i="5"/>
  <c r="C374" i="5"/>
  <c r="C373" i="5"/>
  <c r="C371" i="5"/>
  <c r="C370" i="5"/>
  <c r="C369" i="5"/>
  <c r="C367" i="5"/>
  <c r="C365" i="5"/>
  <c r="C361" i="5"/>
  <c r="C362" i="5"/>
  <c r="C360" i="5"/>
  <c r="C358" i="5"/>
  <c r="C359" i="5"/>
  <c r="C357" i="5"/>
  <c r="C355" i="5"/>
  <c r="C354" i="5"/>
  <c r="C353" i="5"/>
  <c r="C352" i="5"/>
  <c r="C346" i="5"/>
  <c r="C345" i="5"/>
  <c r="C341" i="5"/>
  <c r="C339" i="5"/>
  <c r="C337" i="5"/>
  <c r="C338" i="5"/>
  <c r="C336" i="5"/>
  <c r="C335" i="5"/>
  <c r="C333" i="5"/>
  <c r="C331" i="5"/>
  <c r="C329" i="5"/>
  <c r="C330" i="5"/>
  <c r="C328" i="5"/>
  <c r="C326" i="5"/>
  <c r="C325" i="5"/>
  <c r="C323" i="5"/>
  <c r="C322" i="5"/>
  <c r="C321" i="5"/>
  <c r="C320" i="5"/>
  <c r="C317" i="5"/>
  <c r="C316" i="5"/>
  <c r="C314" i="5"/>
  <c r="C312" i="5"/>
  <c r="C311" i="5"/>
  <c r="C309" i="5"/>
  <c r="C310" i="5"/>
  <c r="C307" i="5"/>
  <c r="C305" i="5"/>
  <c r="C306" i="5"/>
  <c r="C303" i="5"/>
  <c r="C304" i="5"/>
  <c r="C302" i="5"/>
  <c r="C301" i="5"/>
  <c r="C299" i="5"/>
  <c r="C298" i="5"/>
  <c r="C297" i="5"/>
  <c r="C295" i="5"/>
  <c r="C296" i="5"/>
  <c r="C292" i="5"/>
  <c r="C289" i="5"/>
  <c r="C287" i="5"/>
  <c r="C285" i="5"/>
  <c r="C286" i="5"/>
  <c r="C283" i="5"/>
  <c r="C284" i="5"/>
  <c r="C282" i="5"/>
  <c r="C280" i="5"/>
  <c r="C278" i="5"/>
  <c r="C277" i="5"/>
  <c r="C274" i="5"/>
  <c r="C275" i="5"/>
  <c r="C271" i="5"/>
  <c r="C270" i="5"/>
  <c r="C267" i="5"/>
  <c r="C266" i="5"/>
  <c r="C258" i="5"/>
  <c r="C259" i="5"/>
  <c r="C255" i="5"/>
  <c r="C254" i="5"/>
  <c r="C251" i="5"/>
  <c r="C250" i="5"/>
  <c r="C242" i="5"/>
  <c r="C243" i="5"/>
  <c r="C239" i="5"/>
  <c r="C238" i="5"/>
  <c r="C235" i="5"/>
  <c r="C234" i="5"/>
  <c r="C226" i="5"/>
  <c r="C227" i="5"/>
  <c r="C223" i="5"/>
  <c r="C222" i="5"/>
  <c r="C219" i="5"/>
  <c r="C218" i="5"/>
  <c r="C210" i="5"/>
  <c r="C211" i="5"/>
  <c r="C207" i="5"/>
  <c r="C206" i="5"/>
  <c r="C203" i="5"/>
  <c r="C202" i="5"/>
  <c r="C195" i="5"/>
  <c r="C191" i="5"/>
  <c r="C190" i="5"/>
  <c r="C187" i="5"/>
  <c r="C186" i="5"/>
  <c r="C179" i="5"/>
  <c r="C177" i="5"/>
  <c r="C175" i="5"/>
  <c r="C174" i="5"/>
  <c r="C173" i="5"/>
  <c r="C171" i="5"/>
  <c r="C172" i="5"/>
  <c r="C170" i="5"/>
  <c r="C169" i="5"/>
  <c r="C168" i="5"/>
  <c r="C165" i="5"/>
  <c r="C164" i="5"/>
  <c r="C163" i="5"/>
  <c r="C161" i="5"/>
  <c r="C159" i="5"/>
  <c r="C158" i="5"/>
  <c r="C157" i="5"/>
  <c r="C155" i="5"/>
  <c r="C156" i="5"/>
  <c r="C154" i="5"/>
  <c r="C153" i="5"/>
  <c r="C152" i="5"/>
  <c r="C149" i="5"/>
  <c r="C148" i="5"/>
  <c r="C147" i="5"/>
  <c r="C145" i="5"/>
  <c r="C143" i="5"/>
  <c r="C142" i="5"/>
  <c r="C141" i="5"/>
  <c r="C139" i="5"/>
  <c r="C140" i="5"/>
  <c r="C138" i="5"/>
  <c r="C137" i="5"/>
  <c r="C136" i="5"/>
  <c r="C133" i="5"/>
  <c r="C132" i="5"/>
  <c r="C131" i="5"/>
  <c r="C129" i="5"/>
  <c r="C127" i="5"/>
  <c r="C126" i="5"/>
  <c r="C125" i="5"/>
  <c r="C123" i="5"/>
  <c r="C124" i="5"/>
  <c r="C122" i="5"/>
  <c r="C121" i="5"/>
  <c r="C120" i="5"/>
  <c r="C117" i="5"/>
  <c r="C116" i="5"/>
  <c r="C115" i="5"/>
  <c r="C113" i="5"/>
  <c r="C111" i="5"/>
  <c r="C110" i="5"/>
  <c r="C109" i="5"/>
  <c r="C107" i="5"/>
  <c r="C108" i="5"/>
  <c r="C106" i="5"/>
  <c r="C105" i="5"/>
  <c r="C104" i="5"/>
  <c r="C101" i="5"/>
  <c r="C100" i="5"/>
  <c r="C99" i="5"/>
  <c r="C97" i="5"/>
  <c r="C95" i="5"/>
  <c r="C94" i="5"/>
  <c r="C93" i="5"/>
  <c r="C91" i="5"/>
  <c r="C92" i="5"/>
  <c r="C90" i="5"/>
  <c r="C89" i="5"/>
  <c r="C88" i="5"/>
  <c r="C85" i="5"/>
  <c r="C84" i="5"/>
  <c r="C83" i="5"/>
  <c r="C81" i="5"/>
  <c r="C79" i="5"/>
  <c r="C78" i="5"/>
  <c r="C77" i="5"/>
  <c r="C75" i="5"/>
  <c r="C76" i="5"/>
  <c r="C74" i="5"/>
  <c r="C73" i="5"/>
  <c r="C72" i="5"/>
  <c r="C69" i="5"/>
  <c r="C68" i="5"/>
  <c r="C67" i="5"/>
  <c r="C65" i="5"/>
  <c r="C63" i="5"/>
  <c r="C62" i="5"/>
  <c r="C61" i="5"/>
  <c r="C59" i="5"/>
  <c r="C60" i="5"/>
  <c r="C58" i="5"/>
  <c r="C57" i="5"/>
  <c r="C56" i="5"/>
  <c r="C53" i="5"/>
  <c r="C52" i="5"/>
  <c r="C51" i="5"/>
  <c r="C49" i="5"/>
  <c r="C47" i="5"/>
  <c r="C46" i="5"/>
  <c r="C45" i="5"/>
  <c r="C43" i="5"/>
  <c r="C44" i="5"/>
  <c r="C42" i="5"/>
  <c r="C41" i="5"/>
  <c r="C40" i="5"/>
  <c r="C37" i="5"/>
  <c r="C36" i="5"/>
  <c r="C35" i="5"/>
  <c r="C33" i="5"/>
  <c r="C31" i="5"/>
  <c r="C30" i="5"/>
  <c r="C29" i="5"/>
  <c r="C27" i="5"/>
  <c r="C28" i="5"/>
  <c r="C26" i="5"/>
  <c r="C25" i="5"/>
  <c r="C24" i="5"/>
  <c r="C21" i="5"/>
  <c r="C20" i="5"/>
  <c r="C19" i="5"/>
  <c r="C17" i="5"/>
  <c r="C15" i="5"/>
  <c r="C9" i="5"/>
  <c r="C689" i="4"/>
  <c r="C600" i="4"/>
  <c r="C589" i="4"/>
  <c r="C584" i="4"/>
  <c r="C561" i="4"/>
  <c r="C537" i="4"/>
  <c r="C536" i="4"/>
  <c r="C533" i="4"/>
  <c r="C525" i="4"/>
  <c r="C522" i="4"/>
  <c r="C513" i="4"/>
  <c r="C504" i="4"/>
  <c r="C501" i="4"/>
  <c r="C497" i="4"/>
  <c r="C493" i="4"/>
  <c r="C484" i="4"/>
  <c r="C472" i="4"/>
  <c r="C469" i="4"/>
  <c r="C465" i="4"/>
  <c r="C461" i="4"/>
  <c r="C457" i="4"/>
  <c r="C453" i="4"/>
  <c r="C445" i="4"/>
  <c r="C442" i="4"/>
  <c r="C441" i="4"/>
  <c r="C437" i="4"/>
  <c r="C433" i="4"/>
  <c r="C429" i="4"/>
  <c r="C421" i="4"/>
  <c r="C413" i="4"/>
  <c r="C410" i="4"/>
  <c r="C409" i="4"/>
  <c r="C405" i="4"/>
  <c r="C401" i="4"/>
  <c r="C397" i="4"/>
  <c r="C389" i="4"/>
  <c r="C381" i="4"/>
  <c r="C378" i="4"/>
  <c r="C377" i="4"/>
  <c r="C373" i="4"/>
  <c r="C369" i="4"/>
  <c r="C365" i="4"/>
  <c r="C357" i="4"/>
  <c r="C353" i="4"/>
  <c r="C349" i="4"/>
  <c r="C346" i="4"/>
  <c r="C345" i="4"/>
  <c r="C341" i="4"/>
  <c r="C340" i="4"/>
  <c r="C336" i="4"/>
  <c r="C333" i="4"/>
  <c r="C332" i="4"/>
  <c r="C329" i="4"/>
  <c r="C328" i="4"/>
  <c r="C325" i="4"/>
  <c r="C324" i="4"/>
  <c r="C320" i="4"/>
  <c r="C317" i="4"/>
  <c r="C316" i="4"/>
  <c r="C313" i="4"/>
  <c r="C312" i="4"/>
  <c r="C309" i="4"/>
  <c r="C308" i="4"/>
  <c r="C304" i="4"/>
  <c r="C301" i="4"/>
  <c r="C300" i="4"/>
  <c r="C297" i="4"/>
  <c r="C296" i="4"/>
  <c r="C293" i="4"/>
  <c r="C292" i="4"/>
  <c r="C288" i="4"/>
  <c r="C285" i="4"/>
  <c r="C284" i="4"/>
  <c r="C281" i="4"/>
  <c r="C280" i="4"/>
  <c r="C277" i="4"/>
  <c r="C276" i="4"/>
  <c r="C272" i="4"/>
  <c r="C269" i="4"/>
  <c r="C268" i="4"/>
  <c r="C266" i="4"/>
  <c r="C265" i="4"/>
  <c r="C264" i="4"/>
  <c r="C261" i="4"/>
  <c r="C260" i="4"/>
  <c r="C258" i="4"/>
  <c r="C259" i="4"/>
  <c r="C257" i="4"/>
  <c r="C256" i="4"/>
  <c r="C253" i="4"/>
  <c r="C252" i="4"/>
  <c r="C251" i="4"/>
  <c r="C249" i="4"/>
  <c r="C248" i="4"/>
  <c r="C245" i="4"/>
  <c r="C244" i="4"/>
  <c r="C243" i="4"/>
  <c r="C241" i="4"/>
  <c r="C240" i="4"/>
  <c r="C237" i="4"/>
  <c r="C236" i="4"/>
  <c r="C234" i="4"/>
  <c r="C233" i="4"/>
  <c r="C232" i="4"/>
  <c r="C229" i="4"/>
  <c r="C228" i="4"/>
  <c r="C224" i="4"/>
  <c r="C221" i="4"/>
  <c r="C220" i="4"/>
  <c r="C219" i="4"/>
  <c r="C217" i="4"/>
  <c r="C216" i="4"/>
  <c r="C213" i="4"/>
  <c r="C212" i="4"/>
  <c r="C210" i="4"/>
  <c r="C209" i="4"/>
  <c r="C208" i="4"/>
  <c r="C205" i="4"/>
  <c r="C204" i="4"/>
  <c r="C201" i="4"/>
  <c r="C200" i="4"/>
  <c r="C197" i="4"/>
  <c r="C196" i="4"/>
  <c r="C193" i="4"/>
  <c r="C192" i="4"/>
  <c r="C189" i="4"/>
  <c r="C188" i="4"/>
  <c r="C185" i="4"/>
  <c r="C184" i="4"/>
  <c r="C181" i="4"/>
  <c r="C179" i="4"/>
  <c r="C180" i="4"/>
  <c r="C177" i="4"/>
  <c r="C176" i="4"/>
  <c r="C174" i="4"/>
  <c r="C173" i="4"/>
  <c r="C172" i="4"/>
  <c r="C168" i="4"/>
  <c r="C165" i="4"/>
  <c r="C163" i="4"/>
  <c r="C164" i="4"/>
  <c r="C161" i="4"/>
  <c r="C159" i="4"/>
  <c r="C160" i="4"/>
  <c r="C157" i="4"/>
  <c r="C156" i="4"/>
  <c r="C155" i="4"/>
  <c r="C153" i="4"/>
  <c r="C152" i="4"/>
  <c r="C150" i="4"/>
  <c r="C151" i="4"/>
  <c r="C149" i="4"/>
  <c r="C147" i="4"/>
  <c r="C148" i="4"/>
  <c r="C146" i="4"/>
  <c r="C145" i="4"/>
  <c r="C144" i="4"/>
  <c r="C142" i="4"/>
  <c r="C141" i="4"/>
  <c r="C140" i="4"/>
  <c r="C139" i="4"/>
  <c r="C137" i="4"/>
  <c r="C136" i="4"/>
  <c r="C133" i="4"/>
  <c r="C131" i="4"/>
  <c r="C132" i="4"/>
  <c r="C130" i="4"/>
  <c r="C128" i="4"/>
  <c r="C126" i="4"/>
  <c r="C125" i="4"/>
  <c r="C124" i="4"/>
  <c r="C123" i="4"/>
  <c r="C121" i="4"/>
  <c r="C120" i="4"/>
  <c r="C117" i="4"/>
  <c r="C115" i="4"/>
  <c r="C116" i="4"/>
  <c r="C114" i="4"/>
  <c r="C113" i="4"/>
  <c r="C111" i="4"/>
  <c r="C112" i="4"/>
  <c r="C109" i="4"/>
  <c r="C108" i="4"/>
  <c r="C107" i="4"/>
  <c r="C105" i="4"/>
  <c r="C104" i="4"/>
  <c r="C101" i="4"/>
  <c r="C100" i="4"/>
  <c r="C98" i="4"/>
  <c r="C97" i="4"/>
  <c r="C96" i="4"/>
  <c r="C93" i="4"/>
  <c r="C92" i="4"/>
  <c r="C91" i="4"/>
  <c r="C89" i="4"/>
  <c r="C88" i="4"/>
  <c r="C85" i="4"/>
  <c r="C84" i="4"/>
  <c r="C82" i="4"/>
  <c r="C81" i="4"/>
  <c r="C79" i="4"/>
  <c r="C80" i="4"/>
  <c r="C77" i="4"/>
  <c r="C76" i="4"/>
  <c r="C73" i="4"/>
  <c r="C72" i="4"/>
  <c r="C70" i="4"/>
  <c r="C71" i="4"/>
  <c r="C69" i="4"/>
  <c r="C68" i="4"/>
  <c r="C65" i="4"/>
  <c r="C63" i="4"/>
  <c r="C64" i="4"/>
  <c r="C61" i="4"/>
  <c r="C60" i="4"/>
  <c r="C57" i="4"/>
  <c r="C56" i="4"/>
  <c r="C53" i="4"/>
  <c r="C51" i="4"/>
  <c r="C52" i="4"/>
  <c r="C49" i="4"/>
  <c r="C47" i="4"/>
  <c r="C48" i="4"/>
  <c r="C45" i="4"/>
  <c r="C44" i="4"/>
  <c r="C41" i="4"/>
  <c r="C40" i="4"/>
  <c r="C37" i="4"/>
  <c r="C35" i="4"/>
  <c r="C36" i="4"/>
  <c r="C33" i="4"/>
  <c r="C32" i="4"/>
  <c r="C30" i="4"/>
  <c r="C29" i="4"/>
  <c r="C28" i="4"/>
  <c r="C27" i="4"/>
  <c r="C25" i="4"/>
  <c r="C24" i="4"/>
  <c r="C21" i="4"/>
  <c r="C19" i="4"/>
  <c r="C20" i="4"/>
  <c r="C18" i="4"/>
  <c r="C17" i="4"/>
  <c r="C16" i="4"/>
  <c r="C13" i="4"/>
  <c r="C12" i="4"/>
  <c r="C10" i="4"/>
  <c r="C9" i="4"/>
  <c r="O20" i="1"/>
  <c r="C521" i="6" l="1"/>
  <c r="C464" i="6"/>
  <c r="C448" i="6"/>
  <c r="C432" i="6"/>
  <c r="C416" i="6"/>
  <c r="C454" i="6"/>
  <c r="C573" i="6"/>
  <c r="C541" i="6"/>
  <c r="C525" i="6"/>
  <c r="C509" i="6"/>
  <c r="C501" i="6"/>
  <c r="C453" i="6"/>
  <c r="C421" i="6"/>
  <c r="C165" i="6"/>
  <c r="C214" i="6"/>
  <c r="C221" i="6"/>
  <c r="C286" i="6"/>
  <c r="C374" i="6"/>
  <c r="C390" i="6"/>
  <c r="C560" i="6"/>
  <c r="C505" i="6"/>
  <c r="C417" i="6"/>
  <c r="C645" i="6"/>
  <c r="C613" i="6"/>
  <c r="C597" i="6"/>
  <c r="C533" i="6"/>
  <c r="C618" i="6"/>
  <c r="C610" i="6"/>
  <c r="C586" i="6"/>
  <c r="C578" i="6"/>
  <c r="C554" i="6"/>
  <c r="C546" i="6"/>
  <c r="C463" i="6"/>
  <c r="C536" i="6"/>
  <c r="C607" i="6"/>
  <c r="C591" i="6"/>
  <c r="C575" i="6"/>
  <c r="C559" i="6"/>
  <c r="C471" i="6"/>
  <c r="C431" i="6"/>
  <c r="C496" i="6"/>
  <c r="C565" i="6"/>
  <c r="C592" i="6"/>
  <c r="C616" i="6"/>
  <c r="C646" i="6"/>
  <c r="C630" i="6"/>
  <c r="C622" i="6"/>
  <c r="C606" i="6"/>
  <c r="C598" i="6"/>
  <c r="C590" i="6"/>
  <c r="C557" i="6"/>
  <c r="C550" i="6"/>
  <c r="C534" i="6"/>
  <c r="C517" i="6"/>
  <c r="C502" i="6"/>
  <c r="C486" i="6"/>
  <c r="C477" i="6"/>
  <c r="C445" i="6"/>
  <c r="C422" i="6"/>
  <c r="C420" i="6"/>
  <c r="C452" i="6"/>
  <c r="C500" i="6"/>
  <c r="C528" i="6"/>
  <c r="C569" i="6"/>
  <c r="C600" i="6"/>
  <c r="C648" i="6"/>
  <c r="C632" i="6"/>
  <c r="C412" i="6"/>
  <c r="C488" i="6"/>
  <c r="C572" i="6"/>
  <c r="C595" i="6"/>
  <c r="C563" i="6"/>
  <c r="C470" i="6"/>
  <c r="C730" i="5"/>
  <c r="C666" i="5"/>
  <c r="C642" i="5"/>
  <c r="C618" i="5"/>
  <c r="C594" i="5"/>
  <c r="C570" i="5"/>
  <c r="C513" i="5"/>
  <c r="C539" i="5"/>
  <c r="C11" i="5"/>
  <c r="C719" i="5"/>
  <c r="C711" i="5"/>
  <c r="C695" i="5"/>
  <c r="C663" i="5"/>
  <c r="C615" i="5"/>
  <c r="C607" i="5"/>
  <c r="C583" i="5"/>
  <c r="C551" i="5"/>
  <c r="C535" i="5"/>
  <c r="C519" i="5"/>
  <c r="C682" i="5"/>
  <c r="C658" i="5"/>
  <c r="C634" i="5"/>
  <c r="C602" i="5"/>
  <c r="C529" i="5"/>
  <c r="O19" i="1"/>
  <c r="C516" i="5"/>
  <c r="C454" i="5"/>
  <c r="C671" i="5"/>
  <c r="C709" i="5"/>
  <c r="C514" i="5"/>
  <c r="C667" i="5"/>
  <c r="C506" i="5"/>
  <c r="C546" i="5"/>
  <c r="C554" i="5"/>
  <c r="C738" i="5"/>
  <c r="C714" i="5"/>
  <c r="C674" i="5"/>
  <c r="C650" i="5"/>
  <c r="C610" i="5"/>
  <c r="C586" i="5"/>
  <c r="C578" i="5"/>
  <c r="C562" i="5"/>
  <c r="C727" i="5"/>
  <c r="C591" i="5"/>
  <c r="C530" i="5"/>
  <c r="C601" i="5"/>
  <c r="C617" i="5"/>
  <c r="C641" i="5"/>
  <c r="C626" i="5"/>
  <c r="C599" i="5"/>
  <c r="C575" i="5"/>
  <c r="C733" i="5"/>
  <c r="C725" i="5"/>
  <c r="C708" i="5"/>
  <c r="C701" i="5"/>
  <c r="C693" i="5"/>
  <c r="C685" i="5"/>
  <c r="C676" i="5"/>
  <c r="C669" i="5"/>
  <c r="C645" i="5"/>
  <c r="C637" i="5"/>
  <c r="C629" i="5"/>
  <c r="C621" i="5"/>
  <c r="C612" i="5"/>
  <c r="C604" i="5"/>
  <c r="C589" i="5"/>
  <c r="C573" i="5"/>
  <c r="C565" i="5"/>
  <c r="C639" i="5"/>
  <c r="C723" i="5"/>
  <c r="C699" i="5"/>
  <c r="C683" i="5"/>
  <c r="C675" i="5"/>
  <c r="C659" i="5"/>
  <c r="C643" i="5"/>
  <c r="C611" i="5"/>
  <c r="C603" i="5"/>
  <c r="C726" i="4"/>
  <c r="C529" i="4"/>
  <c r="C225" i="4"/>
  <c r="C549" i="4"/>
  <c r="C565" i="4"/>
  <c r="C517" i="4"/>
  <c r="C553" i="4"/>
  <c r="C557" i="4"/>
  <c r="C547" i="4"/>
  <c r="C708" i="4"/>
  <c r="C579" i="4"/>
  <c r="C616" i="4"/>
  <c r="C608" i="4"/>
  <c r="C568" i="4"/>
  <c r="C552" i="4"/>
  <c r="C520" i="4"/>
  <c r="C734" i="4"/>
  <c r="C694" i="4"/>
  <c r="C748" i="4"/>
  <c r="Q20" i="1"/>
  <c r="C596" i="6"/>
  <c r="C644" i="6"/>
  <c r="C549" i="6"/>
  <c r="S20" i="1"/>
  <c r="C524" i="6"/>
  <c r="C621" i="6"/>
  <c r="C612" i="6"/>
  <c r="C685" i="4"/>
  <c r="C718" i="4"/>
  <c r="C621" i="4"/>
  <c r="C607" i="4"/>
  <c r="C670" i="4"/>
  <c r="C742" i="4"/>
  <c r="C702" i="4"/>
  <c r="C732" i="5"/>
  <c r="C700" i="5"/>
  <c r="C636" i="5"/>
  <c r="C638" i="5"/>
  <c r="S19" i="1"/>
  <c r="Q19" i="1"/>
  <c r="C691" i="5"/>
  <c r="C747" i="5"/>
  <c r="C694" i="5"/>
  <c r="C718" i="5"/>
  <c r="C740" i="5"/>
  <c r="C743" i="5"/>
  <c r="C722" i="5"/>
  <c r="C634" i="4"/>
  <c r="C199" i="4"/>
  <c r="C697" i="4"/>
  <c r="C722" i="4"/>
  <c r="C644" i="4"/>
  <c r="C613" i="4"/>
  <c r="C709" i="4"/>
  <c r="C39" i="4"/>
  <c r="C102" i="4"/>
  <c r="C390" i="4"/>
  <c r="C94" i="4"/>
  <c r="C135" i="4"/>
  <c r="C182" i="4"/>
  <c r="C422" i="4"/>
  <c r="C575" i="4"/>
  <c r="C439" i="4"/>
  <c r="C87" i="4"/>
  <c r="C743" i="4"/>
  <c r="C54" i="4"/>
  <c r="C407" i="4"/>
  <c r="C23" i="4"/>
  <c r="C167" i="4"/>
  <c r="C611" i="4"/>
  <c r="C654" i="4"/>
  <c r="C559" i="4"/>
  <c r="C215" i="4"/>
  <c r="C630" i="4"/>
  <c r="C707" i="4"/>
  <c r="C711" i="4"/>
  <c r="C223" i="4"/>
  <c r="C294" i="4"/>
  <c r="C303" i="4"/>
  <c r="C326" i="4"/>
  <c r="C335" i="4"/>
  <c r="C454" i="4"/>
  <c r="C503" i="4"/>
  <c r="C350" i="4"/>
  <c r="C366" i="4"/>
  <c r="C602" i="4"/>
  <c r="C286" i="4"/>
  <c r="C318" i="4"/>
  <c r="C382" i="4"/>
  <c r="C398" i="4"/>
  <c r="C478" i="4"/>
  <c r="C494" i="4"/>
  <c r="C510" i="4"/>
  <c r="C414" i="4"/>
  <c r="C430" i="4"/>
  <c r="C727" i="4"/>
  <c r="C606" i="4"/>
  <c r="C738" i="4"/>
  <c r="C542" i="4"/>
  <c r="C446" i="4"/>
  <c r="C119" i="4"/>
  <c r="C231" i="4"/>
  <c r="C238" i="4"/>
  <c r="C343" i="4"/>
  <c r="C358" i="4"/>
  <c r="C374" i="4"/>
  <c r="C463" i="4"/>
  <c r="C526" i="4"/>
  <c r="C625" i="4"/>
  <c r="C662" i="4"/>
  <c r="C695" i="4"/>
  <c r="C190" i="4"/>
  <c r="C278" i="4"/>
  <c r="C310" i="4"/>
  <c r="C585" i="4"/>
  <c r="C676" i="4"/>
  <c r="O18" i="1"/>
  <c r="Q18" i="1" s="1"/>
  <c r="C362" i="4"/>
  <c r="C394" i="4"/>
  <c r="C426" i="4"/>
  <c r="C458" i="4"/>
  <c r="C483" i="4"/>
  <c r="C506" i="4"/>
  <c r="C539" i="4"/>
  <c r="C627" i="4"/>
  <c r="C682" i="4"/>
  <c r="C706" i="4"/>
  <c r="C715" i="4"/>
  <c r="C739" i="4"/>
  <c r="C650" i="4"/>
  <c r="C674" i="4"/>
  <c r="C354" i="4"/>
  <c r="C386" i="4"/>
  <c r="C418" i="4"/>
  <c r="C450" i="4"/>
  <c r="C474" i="4"/>
  <c r="C618" i="4"/>
  <c r="C642" i="4"/>
  <c r="C730" i="4"/>
  <c r="C66" i="4"/>
  <c r="C194" i="4"/>
  <c r="C282" i="4"/>
  <c r="C290" i="4"/>
  <c r="C298" i="4"/>
  <c r="C306" i="4"/>
  <c r="C314" i="4"/>
  <c r="C322" i="4"/>
  <c r="C330" i="4"/>
  <c r="C338" i="4"/>
  <c r="C514" i="4"/>
  <c r="C590" i="4"/>
  <c r="C678" i="4"/>
  <c r="C746" i="4"/>
  <c r="C370" i="4"/>
  <c r="C402" i="4"/>
  <c r="C434" i="4"/>
  <c r="C570" i="4"/>
  <c r="C646" i="4"/>
  <c r="C270" i="4"/>
  <c r="C477" i="4"/>
  <c r="C476" i="4"/>
  <c r="C512" i="4"/>
  <c r="C535" i="4"/>
  <c r="C639" i="4"/>
  <c r="C640" i="4"/>
  <c r="C724" i="4"/>
  <c r="C103" i="5"/>
  <c r="C102" i="5"/>
  <c r="C588" i="5"/>
  <c r="C587" i="5"/>
  <c r="C31" i="6"/>
  <c r="C30" i="6"/>
  <c r="C639" i="6"/>
  <c r="C638" i="6"/>
  <c r="C278" i="6"/>
  <c r="C277" i="6"/>
  <c r="C541" i="4"/>
  <c r="C540" i="4"/>
  <c r="C241" i="5"/>
  <c r="C240" i="5"/>
  <c r="C620" i="5"/>
  <c r="C619" i="5"/>
  <c r="C26" i="4"/>
  <c r="C58" i="4"/>
  <c r="C154" i="4"/>
  <c r="C202" i="4"/>
  <c r="C218" i="4"/>
  <c r="C605" i="4"/>
  <c r="C604" i="4"/>
  <c r="C719" i="4"/>
  <c r="C720" i="4"/>
  <c r="C23" i="5"/>
  <c r="C22" i="5"/>
  <c r="C151" i="5"/>
  <c r="C150" i="5"/>
  <c r="C264" i="6"/>
  <c r="C263" i="6"/>
  <c r="C246" i="4"/>
  <c r="C471" i="4"/>
  <c r="C509" i="4"/>
  <c r="C508" i="4"/>
  <c r="C532" i="4"/>
  <c r="C531" i="4"/>
  <c r="C576" i="4"/>
  <c r="C599" i="4"/>
  <c r="C628" i="4"/>
  <c r="C671" i="4"/>
  <c r="C672" i="4"/>
  <c r="C71" i="5"/>
  <c r="C70" i="5"/>
  <c r="C199" i="5"/>
  <c r="C198" i="5"/>
  <c r="C231" i="5"/>
  <c r="C230" i="5"/>
  <c r="C263" i="5"/>
  <c r="C262" i="5"/>
  <c r="C318" i="5"/>
  <c r="C319" i="5"/>
  <c r="C559" i="5"/>
  <c r="C582" i="5"/>
  <c r="C706" i="5"/>
  <c r="C95" i="6"/>
  <c r="C94" i="6"/>
  <c r="C687" i="4"/>
  <c r="C688" i="4"/>
  <c r="C657" i="5"/>
  <c r="C209" i="5"/>
  <c r="C208" i="5"/>
  <c r="C74" i="4"/>
  <c r="C122" i="4"/>
  <c r="C138" i="4"/>
  <c r="C170" i="4"/>
  <c r="C186" i="4"/>
  <c r="C11" i="4"/>
  <c r="C43" i="4"/>
  <c r="C623" i="4"/>
  <c r="C624" i="4"/>
  <c r="C119" i="5"/>
  <c r="C118" i="5"/>
  <c r="C596" i="4"/>
  <c r="C595" i="4"/>
  <c r="C660" i="4"/>
  <c r="C193" i="5"/>
  <c r="C192" i="5"/>
  <c r="C274" i="4"/>
  <c r="C468" i="4"/>
  <c r="C467" i="4"/>
  <c r="C480" i="4"/>
  <c r="C500" i="4"/>
  <c r="C499" i="4"/>
  <c r="C544" i="4"/>
  <c r="C567" i="4"/>
  <c r="C655" i="4"/>
  <c r="C656" i="4"/>
  <c r="C740" i="4"/>
  <c r="C87" i="5"/>
  <c r="C86" i="5"/>
  <c r="C291" i="5"/>
  <c r="C290" i="5"/>
  <c r="C652" i="5"/>
  <c r="C651" i="5"/>
  <c r="C63" i="6"/>
  <c r="C62" i="6"/>
  <c r="C564" i="4"/>
  <c r="C563" i="4"/>
  <c r="C55" i="5"/>
  <c r="C54" i="5"/>
  <c r="C183" i="5"/>
  <c r="C182" i="5"/>
  <c r="C273" i="5"/>
  <c r="C272" i="5"/>
  <c r="C647" i="5"/>
  <c r="C646" i="5"/>
  <c r="C90" i="4"/>
  <c r="C106" i="4"/>
  <c r="C225" i="5"/>
  <c r="C224" i="5"/>
  <c r="C257" i="5"/>
  <c r="C256" i="5"/>
  <c r="C242" i="4"/>
  <c r="C254" i="4"/>
  <c r="C573" i="4"/>
  <c r="C572" i="4"/>
  <c r="C703" i="4"/>
  <c r="C704" i="4"/>
  <c r="C39" i="5"/>
  <c r="C38" i="5"/>
  <c r="C167" i="5"/>
  <c r="C166" i="5"/>
  <c r="C313" i="5"/>
  <c r="C262" i="4"/>
  <c r="C692" i="4"/>
  <c r="C735" i="4"/>
  <c r="R18" i="1"/>
  <c r="S18" i="1" s="1"/>
  <c r="C736" i="4"/>
  <c r="C135" i="5"/>
  <c r="C134" i="5"/>
  <c r="C215" i="5"/>
  <c r="C214" i="5"/>
  <c r="C247" i="5"/>
  <c r="C246" i="5"/>
  <c r="C348" i="5"/>
  <c r="C347" i="5"/>
  <c r="C511" i="5"/>
  <c r="C510" i="5"/>
  <c r="C633" i="5"/>
  <c r="C127" i="6"/>
  <c r="C126" i="6"/>
  <c r="C232" i="6"/>
  <c r="C231" i="6"/>
  <c r="C479" i="6"/>
  <c r="C478" i="6"/>
  <c r="C473" i="4"/>
  <c r="C315" i="5"/>
  <c r="C343" i="5"/>
  <c r="C342" i="5"/>
  <c r="C350" i="5"/>
  <c r="C349" i="5"/>
  <c r="C396" i="5"/>
  <c r="C395" i="5"/>
  <c r="C420" i="5"/>
  <c r="C419" i="5"/>
  <c r="C446" i="5"/>
  <c r="C518" i="5"/>
  <c r="C266" i="6"/>
  <c r="C265" i="6"/>
  <c r="C437" i="6"/>
  <c r="C438" i="6"/>
  <c r="C189" i="5"/>
  <c r="C188" i="5"/>
  <c r="C205" i="5"/>
  <c r="C204" i="5"/>
  <c r="C221" i="5"/>
  <c r="C220" i="5"/>
  <c r="C237" i="5"/>
  <c r="C236" i="5"/>
  <c r="C253" i="5"/>
  <c r="C252" i="5"/>
  <c r="C269" i="5"/>
  <c r="C268" i="5"/>
  <c r="C344" i="5"/>
  <c r="C397" i="5"/>
  <c r="C421" i="5"/>
  <c r="C465" i="5"/>
  <c r="C483" i="5"/>
  <c r="C482" i="5"/>
  <c r="C526" i="5"/>
  <c r="C567" i="5"/>
  <c r="C579" i="5"/>
  <c r="C665" i="5"/>
  <c r="C698" i="5"/>
  <c r="C38" i="6"/>
  <c r="C70" i="6"/>
  <c r="C102" i="6"/>
  <c r="C134" i="6"/>
  <c r="C182" i="6"/>
  <c r="C251" i="6"/>
  <c r="C18" i="5"/>
  <c r="C34" i="5"/>
  <c r="C66" i="5"/>
  <c r="C82" i="5"/>
  <c r="C98" i="5"/>
  <c r="C114" i="5"/>
  <c r="C130" i="5"/>
  <c r="C146" i="5"/>
  <c r="C162" i="5"/>
  <c r="C178" i="5"/>
  <c r="C194" i="5"/>
  <c r="C307" i="6"/>
  <c r="C306" i="6"/>
  <c r="C361" i="6"/>
  <c r="C360" i="6"/>
  <c r="C523" i="4"/>
  <c r="C555" i="4"/>
  <c r="C50" i="5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87" i="4"/>
  <c r="C496" i="4"/>
  <c r="C519" i="4"/>
  <c r="C528" i="4"/>
  <c r="C551" i="4"/>
  <c r="C560" i="4"/>
  <c r="C583" i="4"/>
  <c r="C592" i="4"/>
  <c r="C615" i="4"/>
  <c r="C620" i="4"/>
  <c r="C636" i="4"/>
  <c r="C652" i="4"/>
  <c r="C668" i="4"/>
  <c r="C684" i="4"/>
  <c r="C700" i="4"/>
  <c r="C716" i="4"/>
  <c r="C732" i="4"/>
  <c r="C185" i="5"/>
  <c r="C184" i="5"/>
  <c r="C201" i="5"/>
  <c r="C200" i="5"/>
  <c r="C217" i="5"/>
  <c r="C216" i="5"/>
  <c r="C233" i="5"/>
  <c r="C232" i="5"/>
  <c r="C249" i="5"/>
  <c r="C248" i="5"/>
  <c r="C265" i="5"/>
  <c r="C264" i="5"/>
  <c r="C294" i="5"/>
  <c r="C327" i="5"/>
  <c r="C351" i="5"/>
  <c r="C405" i="5"/>
  <c r="C429" i="5"/>
  <c r="C441" i="5"/>
  <c r="C472" i="5"/>
  <c r="C478" i="5"/>
  <c r="C477" i="5"/>
  <c r="C485" i="5"/>
  <c r="C495" i="5"/>
  <c r="C533" i="5"/>
  <c r="C593" i="5"/>
  <c r="C597" i="5"/>
  <c r="C680" i="5"/>
  <c r="C679" i="5"/>
  <c r="C15" i="6"/>
  <c r="C14" i="6"/>
  <c r="C47" i="6"/>
  <c r="C46" i="6"/>
  <c r="C79" i="6"/>
  <c r="C78" i="6"/>
  <c r="C111" i="6"/>
  <c r="C110" i="6"/>
  <c r="C143" i="6"/>
  <c r="C142" i="6"/>
  <c r="C587" i="4"/>
  <c r="C489" i="4"/>
  <c r="C492" i="4"/>
  <c r="C281" i="5"/>
  <c r="C435" i="5"/>
  <c r="C460" i="5"/>
  <c r="C459" i="5"/>
  <c r="C507" i="5"/>
  <c r="C171" i="6"/>
  <c r="C177" i="6"/>
  <c r="C485" i="4"/>
  <c r="C632" i="4"/>
  <c r="C648" i="4"/>
  <c r="C664" i="4"/>
  <c r="C680" i="4"/>
  <c r="C696" i="4"/>
  <c r="C712" i="4"/>
  <c r="C728" i="4"/>
  <c r="C744" i="4"/>
  <c r="C16" i="5"/>
  <c r="C32" i="5"/>
  <c r="C48" i="5"/>
  <c r="C64" i="5"/>
  <c r="C80" i="5"/>
  <c r="C96" i="5"/>
  <c r="C112" i="5"/>
  <c r="C128" i="5"/>
  <c r="C144" i="5"/>
  <c r="C160" i="5"/>
  <c r="C176" i="5"/>
  <c r="C181" i="5"/>
  <c r="C180" i="5"/>
  <c r="C197" i="5"/>
  <c r="C196" i="5"/>
  <c r="C213" i="5"/>
  <c r="C212" i="5"/>
  <c r="C229" i="5"/>
  <c r="C228" i="5"/>
  <c r="C245" i="5"/>
  <c r="C244" i="5"/>
  <c r="C261" i="5"/>
  <c r="C260" i="5"/>
  <c r="C364" i="5"/>
  <c r="C363" i="5"/>
  <c r="C376" i="5"/>
  <c r="C411" i="5"/>
  <c r="C431" i="5"/>
  <c r="C461" i="5"/>
  <c r="C480" i="5"/>
  <c r="C487" i="5"/>
  <c r="C569" i="5"/>
  <c r="C605" i="5"/>
  <c r="C688" i="5"/>
  <c r="C687" i="5"/>
  <c r="C315" i="6"/>
  <c r="C314" i="6"/>
  <c r="C300" i="5"/>
  <c r="C324" i="5"/>
  <c r="C334" i="5"/>
  <c r="C368" i="5"/>
  <c r="C392" i="5"/>
  <c r="C416" i="5"/>
  <c r="C456" i="5"/>
  <c r="C471" i="5"/>
  <c r="C502" i="5"/>
  <c r="C512" i="5"/>
  <c r="C517" i="5"/>
  <c r="C528" i="5"/>
  <c r="C543" i="5"/>
  <c r="C558" i="5"/>
  <c r="C584" i="5"/>
  <c r="C648" i="5"/>
  <c r="C653" i="5"/>
  <c r="C703" i="5"/>
  <c r="C152" i="6"/>
  <c r="C151" i="6"/>
  <c r="C201" i="6"/>
  <c r="C270" i="6"/>
  <c r="C282" i="6"/>
  <c r="C283" i="6"/>
  <c r="C296" i="6"/>
  <c r="C295" i="6"/>
  <c r="C335" i="6"/>
  <c r="C334" i="6"/>
  <c r="C407" i="6"/>
  <c r="C406" i="6"/>
  <c r="C461" i="6"/>
  <c r="C460" i="6"/>
  <c r="C494" i="6"/>
  <c r="C493" i="6"/>
  <c r="C303" i="6"/>
  <c r="C302" i="6"/>
  <c r="C342" i="6"/>
  <c r="C341" i="6"/>
  <c r="C401" i="6"/>
  <c r="C402" i="6"/>
  <c r="C527" i="6"/>
  <c r="C526" i="6"/>
  <c r="C408" i="5"/>
  <c r="C196" i="6"/>
  <c r="C195" i="6"/>
  <c r="C228" i="6"/>
  <c r="C227" i="6"/>
  <c r="C260" i="6"/>
  <c r="C259" i="6"/>
  <c r="C329" i="6"/>
  <c r="C381" i="6"/>
  <c r="C380" i="6"/>
  <c r="C475" i="6"/>
  <c r="C474" i="6"/>
  <c r="C288" i="5"/>
  <c r="C375" i="5"/>
  <c r="C428" i="5"/>
  <c r="C438" i="5"/>
  <c r="C464" i="5"/>
  <c r="C479" i="5"/>
  <c r="C520" i="5"/>
  <c r="C523" i="5"/>
  <c r="C566" i="5"/>
  <c r="C592" i="5"/>
  <c r="C624" i="5"/>
  <c r="C655" i="5"/>
  <c r="C662" i="5"/>
  <c r="C716" i="5"/>
  <c r="C715" i="5"/>
  <c r="C721" i="5"/>
  <c r="C167" i="6"/>
  <c r="C292" i="6"/>
  <c r="C291" i="6"/>
  <c r="C397" i="6"/>
  <c r="C396" i="6"/>
  <c r="C462" i="6"/>
  <c r="C279" i="5"/>
  <c r="C293" i="5"/>
  <c r="C332" i="5"/>
  <c r="C356" i="5"/>
  <c r="C366" i="5"/>
  <c r="C400" i="5"/>
  <c r="C424" i="5"/>
  <c r="C427" i="5"/>
  <c r="C525" i="5"/>
  <c r="C536" i="5"/>
  <c r="C556" i="5"/>
  <c r="C623" i="5"/>
  <c r="C630" i="5"/>
  <c r="C684" i="5"/>
  <c r="C717" i="5"/>
  <c r="C729" i="5"/>
  <c r="C735" i="5"/>
  <c r="C739" i="5"/>
  <c r="C155" i="6"/>
  <c r="C242" i="6"/>
  <c r="C255" i="6"/>
  <c r="C254" i="6"/>
  <c r="C325" i="6"/>
  <c r="C324" i="6"/>
  <c r="C352" i="6"/>
  <c r="C371" i="6"/>
  <c r="C370" i="6"/>
  <c r="C383" i="6"/>
  <c r="C382" i="6"/>
  <c r="C516" i="6"/>
  <c r="C712" i="5"/>
  <c r="C744" i="5"/>
  <c r="C157" i="6"/>
  <c r="C192" i="6"/>
  <c r="C224" i="6"/>
  <c r="C311" i="6"/>
  <c r="C388" i="6"/>
  <c r="C424" i="6"/>
  <c r="C443" i="6"/>
  <c r="C442" i="6"/>
  <c r="C480" i="6"/>
  <c r="C553" i="6"/>
  <c r="C626" i="6"/>
  <c r="C625" i="6"/>
  <c r="C635" i="6"/>
  <c r="C634" i="6"/>
  <c r="C499" i="6"/>
  <c r="C498" i="6"/>
  <c r="C594" i="6"/>
  <c r="C600" i="5"/>
  <c r="C632" i="5"/>
  <c r="C664" i="5"/>
  <c r="C696" i="5"/>
  <c r="C728" i="5"/>
  <c r="C160" i="6"/>
  <c r="C163" i="6"/>
  <c r="C200" i="6"/>
  <c r="C357" i="6"/>
  <c r="C398" i="6"/>
  <c r="C457" i="6"/>
  <c r="C510" i="6"/>
  <c r="C577" i="6"/>
  <c r="C576" i="6"/>
  <c r="C589" i="6"/>
  <c r="C276" i="5"/>
  <c r="C308" i="5"/>
  <c r="C340" i="5"/>
  <c r="C372" i="5"/>
  <c r="C404" i="5"/>
  <c r="C436" i="5"/>
  <c r="C468" i="5"/>
  <c r="C500" i="5"/>
  <c r="C532" i="5"/>
  <c r="C564" i="5"/>
  <c r="C596" i="5"/>
  <c r="C628" i="5"/>
  <c r="C660" i="5"/>
  <c r="C692" i="5"/>
  <c r="C724" i="5"/>
  <c r="C175" i="6"/>
  <c r="C199" i="6"/>
  <c r="C206" i="6"/>
  <c r="C333" i="6"/>
  <c r="C332" i="6"/>
  <c r="C351" i="6"/>
  <c r="C350" i="6"/>
  <c r="C393" i="6"/>
  <c r="C429" i="6"/>
  <c r="C433" i="6"/>
  <c r="C469" i="6"/>
  <c r="C530" i="6"/>
  <c r="C584" i="6"/>
  <c r="C256" i="6"/>
  <c r="C288" i="6"/>
  <c r="C321" i="6"/>
  <c r="C362" i="6"/>
  <c r="C449" i="6"/>
  <c r="C490" i="6"/>
  <c r="C571" i="6"/>
  <c r="C570" i="6"/>
  <c r="C440" i="6"/>
  <c r="C208" i="6"/>
  <c r="C240" i="6"/>
  <c r="C272" i="6"/>
  <c r="C304" i="6"/>
  <c r="C385" i="6"/>
  <c r="C426" i="6"/>
  <c r="C513" i="6"/>
  <c r="C539" i="6"/>
  <c r="C538" i="6"/>
  <c r="C544" i="6"/>
  <c r="C603" i="6"/>
  <c r="C602" i="6"/>
  <c r="C629" i="6"/>
  <c r="C172" i="6"/>
  <c r="C204" i="6"/>
  <c r="C236" i="6"/>
  <c r="C268" i="6"/>
  <c r="C300" i="6"/>
  <c r="C319" i="6"/>
  <c r="C339" i="6"/>
  <c r="C344" i="6"/>
  <c r="C375" i="6"/>
  <c r="C411" i="6"/>
  <c r="C447" i="6"/>
  <c r="C467" i="6"/>
  <c r="C472" i="6"/>
  <c r="C503" i="6"/>
  <c r="C540" i="6"/>
  <c r="C552" i="6"/>
  <c r="C558" i="6"/>
  <c r="C562" i="6"/>
  <c r="C574" i="6"/>
  <c r="C581" i="6"/>
  <c r="C535" i="6"/>
  <c r="C567" i="6"/>
  <c r="C599" i="6"/>
  <c r="C631" i="6"/>
  <c r="C608" i="6"/>
  <c r="C640" i="6"/>
  <c r="C327" i="6"/>
  <c r="C359" i="6"/>
  <c r="C391" i="6"/>
  <c r="C423" i="6"/>
  <c r="C455" i="6"/>
  <c r="C487" i="6"/>
  <c r="C519" i="6"/>
  <c r="C551" i="6"/>
  <c r="C583" i="6"/>
  <c r="C615" i="6"/>
  <c r="C647" i="6"/>
  <c r="C323" i="6"/>
  <c r="C355" i="6"/>
  <c r="C387" i="6"/>
  <c r="C419" i="6"/>
  <c r="C451" i="6"/>
  <c r="C483" i="6"/>
  <c r="C515" i="6"/>
  <c r="C547" i="6"/>
  <c r="C579" i="6"/>
  <c r="C611" i="6"/>
  <c r="C643" i="6"/>
</calcChain>
</file>

<file path=xl/sharedStrings.xml><?xml version="1.0" encoding="utf-8"?>
<sst xmlns="http://schemas.openxmlformats.org/spreadsheetml/2006/main" count="51" uniqueCount="35">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</sst>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6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2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0" fillId="2" borderId="0" xfId="0" applyFill="1"/>
    <xf numFmtId="0" fontId="4" fillId="2" borderId="0" xfId="2" applyFill="1"/>
    <xf numFmtId="166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Authorized'!$B$7:$B$758</c:f>
              <c:numCache>
                <c:formatCode>General</c:formatCode>
                <c:ptCount val="752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7-7F4C-83C8-16FA9D867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2B2-9845-BFF5-8DFEC1CE8B16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B2-9845-BFF5-8DFEC1CE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B-9C4D-A979-45CC200C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7DB-D848-9FE7-33F74F8BA3FC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B-D848-9FE7-33F74F8B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5-FB4F-BD9E-46AE7026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5-5D4C-9F9F-7041D399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5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F-3046-808C-8E0CEA8AF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D-8844-B9AE-EAA60EE81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0" totalsRowShown="0" headerRowDxfId="19" dataDxfId="17" headerRowBorderDxfId="18">
  <autoFilter ref="A6:C75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3">
      <calculatedColumnFormula>VLOOKUP(Table2[[#This Row],[Date]],'Database New'!$A:$D,MATCH($A$1,'Database New'!$A$1:$D$1,),)</calculatedColumnFormula>
    </tableColumn>
    <tableColumn id="3" xr3:uid="{00000000-0010-0000-0000-000003000000}" name="% mom" dataDxfId="15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0" totalsRowShown="0" headerRowDxfId="14" dataDxfId="12" headerRowBorderDxfId="13">
  <autoFilter ref="A6:C75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1"/>
    <tableColumn id="2" xr3:uid="{00000000-0010-0000-0100-000002000000}" name="Started" dataDxfId="4">
      <calculatedColumnFormula>VLOOKUP(Table24[[#This Row],[Date]],'Database New'!$A:$D,MATCH($A$1,'Database New'!$A$1:$D$1,),)</calculatedColumnFormula>
    </tableColumn>
    <tableColumn id="3" xr3:uid="{00000000-0010-0000-0100-000003000000}" name="% mom" dataDxfId="10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4" totalsRowShown="0" headerRowDxfId="9" dataDxfId="7" headerRowBorderDxfId="8">
  <autoFilter ref="A6:C65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6"/>
    <tableColumn id="2" xr3:uid="{00000000-0010-0000-0200-000002000000}" name="Completed" dataDxfId="2">
      <calculatedColumnFormula>VLOOKUP(Table245[[#This Row],[Date]],'Database New'!$A:$D,MATCH($A$1,'Database New'!$A$1:$D$1,),)</calculatedColumnFormula>
    </tableColumn>
    <tableColumn id="3" xr3:uid="{00000000-0010-0000-0200-000003000000}" name="% mom" dataDxfId="5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5"/>
  <sheetViews>
    <sheetView tabSelected="1" zoomScale="150" zoomScaleNormal="150" workbookViewId="0">
      <selection activeCell="K25" sqref="K25"/>
    </sheetView>
  </sheetViews>
  <sheetFormatPr baseColWidth="10" defaultColWidth="9.1640625" defaultRowHeight="15" x14ac:dyDescent="0.2"/>
  <cols>
    <col min="1" max="1" width="9.1640625" style="46" customWidth="1"/>
    <col min="2" max="10" width="12.83203125" style="46" customWidth="1"/>
    <col min="11" max="13" width="3.5" style="46" customWidth="1"/>
    <col min="14" max="14" width="21.33203125" style="46" customWidth="1"/>
    <col min="15" max="16" width="10.6640625" style="46" bestFit="1" customWidth="1"/>
    <col min="17" max="17" width="9.1640625" style="46" customWidth="1"/>
    <col min="18" max="16384" width="9.1640625" style="46"/>
  </cols>
  <sheetData>
    <row r="1" spans="2:19" x14ac:dyDescent="0.2">
      <c r="B1" s="49"/>
      <c r="C1" s="50"/>
      <c r="D1" s="50"/>
      <c r="E1" s="50"/>
      <c r="F1" s="50"/>
      <c r="G1" s="50"/>
      <c r="H1" s="50"/>
      <c r="I1" s="50"/>
      <c r="J1" s="50"/>
    </row>
    <row r="2" spans="2:19" ht="16" customHeight="1" thickBot="1" x14ac:dyDescent="0.25">
      <c r="B2" s="51"/>
      <c r="C2" s="51"/>
      <c r="D2" s="51"/>
      <c r="E2" s="51"/>
      <c r="F2" s="51"/>
      <c r="G2" s="51"/>
      <c r="H2" s="51"/>
      <c r="I2" s="51"/>
      <c r="J2" s="51"/>
    </row>
    <row r="3" spans="2:19" ht="16" customHeight="1" thickBot="1" x14ac:dyDescent="0.25">
      <c r="B3" s="52" t="s">
        <v>0</v>
      </c>
      <c r="C3" s="53"/>
      <c r="D3" s="53"/>
      <c r="E3" s="53"/>
      <c r="F3" s="53"/>
      <c r="G3" s="53"/>
      <c r="H3" s="53"/>
      <c r="I3" s="53"/>
      <c r="J3" s="54"/>
    </row>
    <row r="5" spans="2:19" x14ac:dyDescent="0.2">
      <c r="B5" s="55" t="s">
        <v>1</v>
      </c>
      <c r="C5" s="56"/>
      <c r="D5" s="56"/>
      <c r="E5" s="56"/>
      <c r="F5" s="56"/>
      <c r="G5" s="56"/>
      <c r="H5" s="56"/>
      <c r="I5" s="56"/>
      <c r="J5" s="57"/>
    </row>
    <row r="7" spans="2:19" ht="78" customHeight="1" x14ac:dyDescent="0.2">
      <c r="B7" s="58" t="s">
        <v>2</v>
      </c>
      <c r="C7" s="50"/>
      <c r="D7" s="50"/>
      <c r="E7" s="50"/>
      <c r="F7" s="50"/>
      <c r="G7" s="50"/>
      <c r="H7" s="50"/>
      <c r="I7" s="50"/>
      <c r="J7" s="50"/>
      <c r="P7" s="1"/>
    </row>
    <row r="8" spans="2:19" ht="21.75" customHeight="1" x14ac:dyDescent="0.2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2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2">
      <c r="B10" s="59" t="s">
        <v>10</v>
      </c>
      <c r="C10" s="50"/>
      <c r="D10" s="50"/>
      <c r="E10" s="50"/>
      <c r="F10" s="50"/>
      <c r="G10" s="50"/>
      <c r="H10" s="50"/>
      <c r="I10" s="50"/>
      <c r="J10" s="50"/>
    </row>
    <row r="11" spans="2:19" x14ac:dyDescent="0.2">
      <c r="B11" s="2"/>
      <c r="C11" s="2"/>
      <c r="D11" s="2"/>
      <c r="E11" s="2"/>
    </row>
    <row r="12" spans="2:19" x14ac:dyDescent="0.2">
      <c r="B12" s="55" t="s">
        <v>11</v>
      </c>
      <c r="C12" s="56"/>
      <c r="D12" s="56"/>
      <c r="E12" s="56"/>
      <c r="F12" s="56"/>
      <c r="G12" s="56"/>
      <c r="H12" s="56"/>
      <c r="I12" s="56"/>
      <c r="J12" s="57"/>
      <c r="N12" s="55" t="s">
        <v>12</v>
      </c>
      <c r="O12" s="56"/>
      <c r="P12" s="56"/>
      <c r="Q12" s="56"/>
      <c r="R12" s="56"/>
      <c r="S12" s="57"/>
    </row>
    <row r="14" spans="2:19" x14ac:dyDescent="0.2">
      <c r="B14" s="55" t="s">
        <v>13</v>
      </c>
      <c r="C14" s="56"/>
      <c r="D14" s="56"/>
      <c r="E14" s="56"/>
      <c r="F14" s="57"/>
      <c r="G14" s="55" t="s">
        <v>14</v>
      </c>
      <c r="H14" s="56"/>
      <c r="I14" s="56"/>
      <c r="J14" s="57"/>
    </row>
    <row r="15" spans="2:19" ht="19.5" customHeight="1" thickBot="1" x14ac:dyDescent="0.25"/>
    <row r="16" spans="2:19" ht="19.5" customHeight="1" x14ac:dyDescent="0.2">
      <c r="B16" s="47"/>
      <c r="G16" s="50"/>
      <c r="H16" s="50"/>
      <c r="I16" s="50"/>
      <c r="J16" s="50"/>
      <c r="O16" s="22">
        <v>44531</v>
      </c>
      <c r="P16" s="23" t="s">
        <v>15</v>
      </c>
      <c r="Q16" s="24"/>
      <c r="R16" s="25" t="s">
        <v>16</v>
      </c>
      <c r="S16" s="24"/>
    </row>
    <row r="17" spans="2:19" ht="31.5" customHeight="1" thickBot="1" x14ac:dyDescent="0.25">
      <c r="B17" s="50" t="s">
        <v>17</v>
      </c>
      <c r="C17" s="50"/>
      <c r="D17" s="50"/>
      <c r="E17" s="50"/>
      <c r="F17" s="50"/>
      <c r="G17" s="61" t="s">
        <v>18</v>
      </c>
      <c r="H17" s="50"/>
      <c r="I17" s="50"/>
      <c r="J17" s="50"/>
      <c r="O17" s="26" t="s">
        <v>19</v>
      </c>
      <c r="P17" s="27" t="s">
        <v>19</v>
      </c>
      <c r="Q17" s="28" t="s">
        <v>20</v>
      </c>
      <c r="R17" s="29" t="s">
        <v>19</v>
      </c>
      <c r="S17" s="28" t="s">
        <v>20</v>
      </c>
    </row>
    <row r="18" spans="2:19" ht="31.5" customHeight="1" x14ac:dyDescent="0.2">
      <c r="B18" s="50" t="s">
        <v>21</v>
      </c>
      <c r="C18" s="50"/>
      <c r="D18" s="50"/>
      <c r="E18" s="50"/>
      <c r="F18" s="50"/>
      <c r="G18" s="61" t="s">
        <v>22</v>
      </c>
      <c r="H18" s="50"/>
      <c r="I18" s="50"/>
      <c r="J18" s="50"/>
      <c r="N18" s="19" t="s">
        <v>23</v>
      </c>
      <c r="O18" s="17">
        <f>VLOOKUP(O16,'Building Permits - Authorized'!A:B,2,)</f>
        <v>1885</v>
      </c>
      <c r="P18" s="14">
        <f>VLOOKUP(DATE(YEAR($O$16),MONTH($O$16)-1,DAY($O$16)),'Building Permits - Authorized'!$A:$B,2,)</f>
        <v>1717</v>
      </c>
      <c r="Q18" s="41">
        <f>(O18-P18)/P18</f>
        <v>9.7845078625509604E-2</v>
      </c>
      <c r="R18" s="14">
        <f>VLOOKUP(DATE(YEAR($O$16)-1,MONTH($O$16),DAY($O$16)),'Building Permits - Authorized'!$A:$B,2,)</f>
        <v>1758</v>
      </c>
      <c r="S18" s="43">
        <f>(O18-R18)/R18</f>
        <v>7.2241183162684866E-2</v>
      </c>
    </row>
    <row r="19" spans="2:19" ht="31.5" customHeight="1" x14ac:dyDescent="0.2">
      <c r="B19" s="50" t="s">
        <v>24</v>
      </c>
      <c r="C19" s="50"/>
      <c r="D19" s="50"/>
      <c r="E19" s="50"/>
      <c r="F19" s="50"/>
      <c r="G19" s="60" t="s">
        <v>25</v>
      </c>
      <c r="H19" s="50"/>
      <c r="I19" s="50"/>
      <c r="J19" s="50"/>
      <c r="N19" s="20" t="s">
        <v>26</v>
      </c>
      <c r="O19" s="15">
        <f>VLOOKUP(O16,Started!A:B,2,)</f>
        <v>1702</v>
      </c>
      <c r="P19" s="11">
        <f>VLOOKUP(DATE(YEAR($O$16),MONTH($O$16)-1,DAY($O$16)),Started!A:B,2,)</f>
        <v>1678</v>
      </c>
      <c r="Q19" s="40">
        <f>(O19-P19)/P19</f>
        <v>1.4302741358760428E-2</v>
      </c>
      <c r="R19" s="11">
        <f>VLOOKUP(DATE(YEAR($O$16)-1,MONTH($O$16),DAY($O$16)),Started!A:B,2,)</f>
        <v>1661</v>
      </c>
      <c r="S19" s="44">
        <f>(O19-R19)/R19</f>
        <v>2.4683925346177003E-2</v>
      </c>
    </row>
    <row r="20" spans="2:19" ht="31.5" customHeight="1" thickBot="1" x14ac:dyDescent="0.25">
      <c r="B20" s="3"/>
      <c r="G20" s="60"/>
      <c r="H20" s="50"/>
      <c r="I20" s="50"/>
      <c r="J20" s="50"/>
      <c r="N20" s="21" t="s">
        <v>27</v>
      </c>
      <c r="O20" s="18">
        <f>VLOOKUP(O16,Completed!A:B,2,)</f>
        <v>1295</v>
      </c>
      <c r="P20" s="16">
        <f>VLOOKUP(DATE(YEAR($O$16),MONTH($O$16)-1,DAY($O$16)),Completed!A:B,2,)</f>
        <v>1418</v>
      </c>
      <c r="Q20" s="42">
        <f>(O20-P20)/P20</f>
        <v>-8.6741889985895632E-2</v>
      </c>
      <c r="R20" s="16">
        <f>VLOOKUP(DATE(YEAR($O$16)-1,MONTH($O$16),DAY($O$16)),Completed!A:B,2,)</f>
        <v>1386</v>
      </c>
      <c r="S20" s="45">
        <f>(O20-R20)/R20</f>
        <v>-6.5656565656565663E-2</v>
      </c>
    </row>
    <row r="23" spans="2:19" x14ac:dyDescent="0.2">
      <c r="B23" s="4"/>
    </row>
    <row r="24" spans="2:19" ht="30" customHeight="1" x14ac:dyDescent="0.2">
      <c r="B24" s="61"/>
      <c r="C24" s="50"/>
      <c r="D24" s="50"/>
      <c r="E24" s="50"/>
      <c r="F24" s="50"/>
      <c r="G24" s="50"/>
      <c r="H24" s="50"/>
      <c r="I24" s="50"/>
      <c r="J24" s="50"/>
    </row>
    <row r="25" spans="2:19" x14ac:dyDescent="0.2">
      <c r="B25" s="5"/>
    </row>
  </sheetData>
  <mergeCells count="18">
    <mergeCell ref="G20:J20"/>
    <mergeCell ref="B24:J24"/>
    <mergeCell ref="N12:S12"/>
    <mergeCell ref="B14:F14"/>
    <mergeCell ref="G14:J14"/>
    <mergeCell ref="G16:J16"/>
    <mergeCell ref="G17:J17"/>
    <mergeCell ref="G18:J18"/>
    <mergeCell ref="G19:J19"/>
    <mergeCell ref="B12:J12"/>
    <mergeCell ref="B17:F17"/>
    <mergeCell ref="B18:F18"/>
    <mergeCell ref="B19:F19"/>
    <mergeCell ref="B1:J2"/>
    <mergeCell ref="B3:J3"/>
    <mergeCell ref="B5:J5"/>
    <mergeCell ref="B7:J7"/>
    <mergeCell ref="B10:J10"/>
  </mergeCells>
  <conditionalFormatting sqref="Q18:Q20 S18:S20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D757"/>
  <sheetViews>
    <sheetView zoomScale="190" zoomScaleNormal="190" workbookViewId="0">
      <pane ySplit="1" topLeftCell="A727" activePane="bottomLeft" state="frozen"/>
      <selection pane="bottomLeft" activeCell="F738" sqref="F738"/>
    </sheetView>
  </sheetViews>
  <sheetFormatPr baseColWidth="10" defaultRowHeight="15" x14ac:dyDescent="0.2"/>
  <sheetData>
    <row r="1" spans="1:4" x14ac:dyDescent="0.2">
      <c r="A1" t="s">
        <v>28</v>
      </c>
      <c r="B1" t="s">
        <v>29</v>
      </c>
      <c r="C1" t="s">
        <v>30</v>
      </c>
      <c r="D1" t="s">
        <v>31</v>
      </c>
    </row>
    <row r="2" spans="1:4" x14ac:dyDescent="0.2">
      <c r="A2" s="48">
        <v>21551</v>
      </c>
      <c r="C2">
        <v>1657</v>
      </c>
    </row>
    <row r="3" spans="1:4" x14ac:dyDescent="0.2">
      <c r="A3" s="48">
        <v>21582</v>
      </c>
      <c r="C3">
        <v>1667</v>
      </c>
    </row>
    <row r="4" spans="1:4" x14ac:dyDescent="0.2">
      <c r="A4" s="48">
        <v>21610</v>
      </c>
      <c r="C4">
        <v>1620</v>
      </c>
    </row>
    <row r="5" spans="1:4" x14ac:dyDescent="0.2">
      <c r="A5" s="48">
        <v>21641</v>
      </c>
      <c r="C5">
        <v>1590</v>
      </c>
    </row>
    <row r="6" spans="1:4" x14ac:dyDescent="0.2">
      <c r="A6" s="48">
        <v>21671</v>
      </c>
      <c r="C6">
        <v>1498</v>
      </c>
    </row>
    <row r="7" spans="1:4" x14ac:dyDescent="0.2">
      <c r="A7" s="48">
        <v>21702</v>
      </c>
      <c r="C7">
        <v>1503</v>
      </c>
    </row>
    <row r="8" spans="1:4" x14ac:dyDescent="0.2">
      <c r="A8" s="48">
        <v>21732</v>
      </c>
      <c r="C8">
        <v>1547</v>
      </c>
    </row>
    <row r="9" spans="1:4" x14ac:dyDescent="0.2">
      <c r="A9" s="48">
        <v>21763</v>
      </c>
      <c r="C9">
        <v>1430</v>
      </c>
    </row>
    <row r="10" spans="1:4" x14ac:dyDescent="0.2">
      <c r="A10" s="48">
        <v>21794</v>
      </c>
      <c r="C10">
        <v>1540</v>
      </c>
    </row>
    <row r="11" spans="1:4" x14ac:dyDescent="0.2">
      <c r="A11" s="48">
        <v>21824</v>
      </c>
      <c r="C11">
        <v>1355</v>
      </c>
    </row>
    <row r="12" spans="1:4" x14ac:dyDescent="0.2">
      <c r="A12" s="48">
        <v>21855</v>
      </c>
      <c r="C12">
        <v>1416</v>
      </c>
    </row>
    <row r="13" spans="1:4" x14ac:dyDescent="0.2">
      <c r="A13" s="48">
        <v>21885</v>
      </c>
      <c r="C13">
        <v>1601</v>
      </c>
    </row>
    <row r="14" spans="1:4" x14ac:dyDescent="0.2">
      <c r="A14" s="48">
        <v>21916</v>
      </c>
      <c r="C14">
        <v>1460</v>
      </c>
      <c r="D14">
        <v>1092</v>
      </c>
    </row>
    <row r="15" spans="1:4" x14ac:dyDescent="0.2">
      <c r="A15" s="48">
        <v>21947</v>
      </c>
      <c r="C15">
        <v>1503</v>
      </c>
      <c r="D15">
        <v>1088</v>
      </c>
    </row>
    <row r="16" spans="1:4" x14ac:dyDescent="0.2">
      <c r="A16" s="48">
        <v>21976</v>
      </c>
      <c r="C16">
        <v>1109</v>
      </c>
      <c r="D16">
        <v>955</v>
      </c>
    </row>
    <row r="17" spans="1:4" x14ac:dyDescent="0.2">
      <c r="A17" s="48">
        <v>22007</v>
      </c>
      <c r="C17">
        <v>1289</v>
      </c>
      <c r="D17">
        <v>1016</v>
      </c>
    </row>
    <row r="18" spans="1:4" x14ac:dyDescent="0.2">
      <c r="A18" s="48">
        <v>22037</v>
      </c>
      <c r="C18">
        <v>1271</v>
      </c>
      <c r="D18">
        <v>1052</v>
      </c>
    </row>
    <row r="19" spans="1:4" x14ac:dyDescent="0.2">
      <c r="A19" s="48">
        <v>22068</v>
      </c>
      <c r="C19">
        <v>1247</v>
      </c>
      <c r="D19">
        <v>958</v>
      </c>
    </row>
    <row r="20" spans="1:4" x14ac:dyDescent="0.2">
      <c r="A20" s="48">
        <v>22098</v>
      </c>
      <c r="C20">
        <v>1197</v>
      </c>
      <c r="D20">
        <v>999</v>
      </c>
    </row>
    <row r="21" spans="1:4" x14ac:dyDescent="0.2">
      <c r="A21" s="48">
        <v>22129</v>
      </c>
      <c r="C21">
        <v>1344</v>
      </c>
      <c r="D21">
        <v>994</v>
      </c>
    </row>
    <row r="22" spans="1:4" x14ac:dyDescent="0.2">
      <c r="A22" s="48">
        <v>22160</v>
      </c>
      <c r="C22">
        <v>1097</v>
      </c>
      <c r="D22">
        <v>984</v>
      </c>
    </row>
    <row r="23" spans="1:4" x14ac:dyDescent="0.2">
      <c r="A23" s="48">
        <v>22190</v>
      </c>
      <c r="C23">
        <v>1246</v>
      </c>
      <c r="D23">
        <v>972</v>
      </c>
    </row>
    <row r="24" spans="1:4" x14ac:dyDescent="0.2">
      <c r="A24" s="48">
        <v>22221</v>
      </c>
      <c r="C24">
        <v>1246</v>
      </c>
      <c r="D24">
        <v>979</v>
      </c>
    </row>
    <row r="25" spans="1:4" x14ac:dyDescent="0.2">
      <c r="A25" s="48">
        <v>22251</v>
      </c>
      <c r="C25">
        <v>1063</v>
      </c>
      <c r="D25">
        <v>951</v>
      </c>
    </row>
    <row r="26" spans="1:4" x14ac:dyDescent="0.2">
      <c r="A26" s="48">
        <v>22282</v>
      </c>
      <c r="C26">
        <v>1183</v>
      </c>
      <c r="D26">
        <v>969</v>
      </c>
    </row>
    <row r="27" spans="1:4" x14ac:dyDescent="0.2">
      <c r="A27" s="48">
        <v>22313</v>
      </c>
      <c r="C27">
        <v>1226</v>
      </c>
      <c r="D27">
        <v>961</v>
      </c>
    </row>
    <row r="28" spans="1:4" x14ac:dyDescent="0.2">
      <c r="A28" s="48">
        <v>22341</v>
      </c>
      <c r="C28">
        <v>1312</v>
      </c>
      <c r="D28">
        <v>1000</v>
      </c>
    </row>
    <row r="29" spans="1:4" x14ac:dyDescent="0.2">
      <c r="A29" s="48">
        <v>22372</v>
      </c>
      <c r="C29">
        <v>1166</v>
      </c>
      <c r="D29">
        <v>1002</v>
      </c>
    </row>
    <row r="30" spans="1:4" x14ac:dyDescent="0.2">
      <c r="A30" s="48">
        <v>22402</v>
      </c>
      <c r="C30">
        <v>1228</v>
      </c>
      <c r="D30">
        <v>1027</v>
      </c>
    </row>
    <row r="31" spans="1:4" x14ac:dyDescent="0.2">
      <c r="A31" s="48">
        <v>22433</v>
      </c>
      <c r="C31">
        <v>1382</v>
      </c>
      <c r="D31">
        <v>1070</v>
      </c>
    </row>
    <row r="32" spans="1:4" x14ac:dyDescent="0.2">
      <c r="A32" s="48">
        <v>22463</v>
      </c>
      <c r="C32">
        <v>1335</v>
      </c>
      <c r="D32">
        <v>1083</v>
      </c>
    </row>
    <row r="33" spans="1:4" x14ac:dyDescent="0.2">
      <c r="A33" s="48">
        <v>22494</v>
      </c>
      <c r="C33">
        <v>1312</v>
      </c>
      <c r="D33">
        <v>1159</v>
      </c>
    </row>
    <row r="34" spans="1:4" x14ac:dyDescent="0.2">
      <c r="A34" s="48">
        <v>22525</v>
      </c>
      <c r="C34">
        <v>1429</v>
      </c>
      <c r="D34">
        <v>1098</v>
      </c>
    </row>
    <row r="35" spans="1:4" x14ac:dyDescent="0.2">
      <c r="A35" s="48">
        <v>22555</v>
      </c>
      <c r="C35">
        <v>1415</v>
      </c>
      <c r="D35">
        <v>1123</v>
      </c>
    </row>
    <row r="36" spans="1:4" x14ac:dyDescent="0.2">
      <c r="A36" s="48">
        <v>22586</v>
      </c>
      <c r="C36">
        <v>1385</v>
      </c>
      <c r="D36">
        <v>1152</v>
      </c>
    </row>
    <row r="37" spans="1:4" x14ac:dyDescent="0.2">
      <c r="A37" s="48">
        <v>22616</v>
      </c>
      <c r="C37">
        <v>1365</v>
      </c>
      <c r="D37">
        <v>1161</v>
      </c>
    </row>
    <row r="38" spans="1:4" x14ac:dyDescent="0.2">
      <c r="A38" s="48">
        <v>22647</v>
      </c>
      <c r="C38">
        <v>1361</v>
      </c>
      <c r="D38">
        <v>1122</v>
      </c>
    </row>
    <row r="39" spans="1:4" x14ac:dyDescent="0.2">
      <c r="A39" s="48">
        <v>22678</v>
      </c>
      <c r="C39">
        <v>1278</v>
      </c>
      <c r="D39">
        <v>1194</v>
      </c>
    </row>
    <row r="40" spans="1:4" x14ac:dyDescent="0.2">
      <c r="A40" s="48">
        <v>22706</v>
      </c>
      <c r="C40">
        <v>1443</v>
      </c>
      <c r="D40">
        <v>1134</v>
      </c>
    </row>
    <row r="41" spans="1:4" x14ac:dyDescent="0.2">
      <c r="A41" s="48">
        <v>22737</v>
      </c>
      <c r="C41">
        <v>1524</v>
      </c>
      <c r="D41">
        <v>1235</v>
      </c>
    </row>
    <row r="42" spans="1:4" x14ac:dyDescent="0.2">
      <c r="A42" s="48">
        <v>22767</v>
      </c>
      <c r="C42">
        <v>1483</v>
      </c>
      <c r="D42">
        <v>1142</v>
      </c>
    </row>
    <row r="43" spans="1:4" x14ac:dyDescent="0.2">
      <c r="A43" s="48">
        <v>22798</v>
      </c>
      <c r="C43">
        <v>1404</v>
      </c>
      <c r="D43">
        <v>1154</v>
      </c>
    </row>
    <row r="44" spans="1:4" x14ac:dyDescent="0.2">
      <c r="A44" s="48">
        <v>22828</v>
      </c>
      <c r="C44">
        <v>1450</v>
      </c>
      <c r="D44">
        <v>1189</v>
      </c>
    </row>
    <row r="45" spans="1:4" x14ac:dyDescent="0.2">
      <c r="A45" s="48">
        <v>22859</v>
      </c>
      <c r="C45">
        <v>1517</v>
      </c>
      <c r="D45">
        <v>1200</v>
      </c>
    </row>
    <row r="46" spans="1:4" x14ac:dyDescent="0.2">
      <c r="A46" s="48">
        <v>22890</v>
      </c>
      <c r="C46">
        <v>1324</v>
      </c>
      <c r="D46">
        <v>1223</v>
      </c>
    </row>
    <row r="47" spans="1:4" x14ac:dyDescent="0.2">
      <c r="A47" s="48">
        <v>22920</v>
      </c>
      <c r="C47">
        <v>1533</v>
      </c>
      <c r="D47">
        <v>1181</v>
      </c>
    </row>
    <row r="48" spans="1:4" x14ac:dyDescent="0.2">
      <c r="A48" s="48">
        <v>22951</v>
      </c>
      <c r="C48">
        <v>1622</v>
      </c>
      <c r="D48">
        <v>1236</v>
      </c>
    </row>
    <row r="49" spans="1:4" x14ac:dyDescent="0.2">
      <c r="A49" s="48">
        <v>22981</v>
      </c>
      <c r="C49">
        <v>1564</v>
      </c>
      <c r="D49">
        <v>1236</v>
      </c>
    </row>
    <row r="50" spans="1:4" x14ac:dyDescent="0.2">
      <c r="A50" s="48">
        <v>23012</v>
      </c>
      <c r="C50">
        <v>1244</v>
      </c>
      <c r="D50">
        <v>1248</v>
      </c>
    </row>
    <row r="51" spans="1:4" x14ac:dyDescent="0.2">
      <c r="A51" s="48">
        <v>23043</v>
      </c>
      <c r="C51">
        <v>1456</v>
      </c>
      <c r="D51">
        <v>1212</v>
      </c>
    </row>
    <row r="52" spans="1:4" x14ac:dyDescent="0.2">
      <c r="A52" s="48">
        <v>23071</v>
      </c>
      <c r="C52">
        <v>1534</v>
      </c>
      <c r="D52">
        <v>1258</v>
      </c>
    </row>
    <row r="53" spans="1:4" x14ac:dyDescent="0.2">
      <c r="A53" s="48">
        <v>23102</v>
      </c>
      <c r="C53">
        <v>1689</v>
      </c>
      <c r="D53">
        <v>1288</v>
      </c>
    </row>
    <row r="54" spans="1:4" x14ac:dyDescent="0.2">
      <c r="A54" s="48">
        <v>23132</v>
      </c>
      <c r="C54">
        <v>1641</v>
      </c>
      <c r="D54">
        <v>1350</v>
      </c>
    </row>
    <row r="55" spans="1:4" x14ac:dyDescent="0.2">
      <c r="A55" s="48">
        <v>23163</v>
      </c>
      <c r="C55">
        <v>1588</v>
      </c>
      <c r="D55">
        <v>1345</v>
      </c>
    </row>
    <row r="56" spans="1:4" x14ac:dyDescent="0.2">
      <c r="A56" s="48">
        <v>23193</v>
      </c>
      <c r="C56">
        <v>1614</v>
      </c>
      <c r="D56">
        <v>1321</v>
      </c>
    </row>
    <row r="57" spans="1:4" x14ac:dyDescent="0.2">
      <c r="A57" s="48">
        <v>23224</v>
      </c>
      <c r="C57">
        <v>1639</v>
      </c>
      <c r="D57">
        <v>1310</v>
      </c>
    </row>
    <row r="58" spans="1:4" x14ac:dyDescent="0.2">
      <c r="A58" s="48">
        <v>23255</v>
      </c>
      <c r="C58">
        <v>1763</v>
      </c>
      <c r="D58">
        <v>1413</v>
      </c>
    </row>
    <row r="59" spans="1:4" x14ac:dyDescent="0.2">
      <c r="A59" s="48">
        <v>23285</v>
      </c>
      <c r="C59">
        <v>1779</v>
      </c>
      <c r="D59">
        <v>1414</v>
      </c>
    </row>
    <row r="60" spans="1:4" x14ac:dyDescent="0.2">
      <c r="A60" s="48">
        <v>23316</v>
      </c>
      <c r="C60">
        <v>1622</v>
      </c>
      <c r="D60">
        <v>1357</v>
      </c>
    </row>
    <row r="61" spans="1:4" x14ac:dyDescent="0.2">
      <c r="A61" s="48">
        <v>23346</v>
      </c>
      <c r="C61">
        <v>1491</v>
      </c>
      <c r="D61">
        <v>1423</v>
      </c>
    </row>
    <row r="62" spans="1:4" x14ac:dyDescent="0.2">
      <c r="A62" s="48">
        <v>23377</v>
      </c>
      <c r="C62">
        <v>1603</v>
      </c>
      <c r="D62">
        <v>1296</v>
      </c>
    </row>
    <row r="63" spans="1:4" x14ac:dyDescent="0.2">
      <c r="A63" s="48">
        <v>23408</v>
      </c>
      <c r="C63">
        <v>1820</v>
      </c>
      <c r="D63">
        <v>1442</v>
      </c>
    </row>
    <row r="64" spans="1:4" x14ac:dyDescent="0.2">
      <c r="A64" s="48">
        <v>23437</v>
      </c>
      <c r="C64">
        <v>1517</v>
      </c>
      <c r="D64">
        <v>1313</v>
      </c>
    </row>
    <row r="65" spans="1:4" x14ac:dyDescent="0.2">
      <c r="A65" s="48">
        <v>23468</v>
      </c>
      <c r="C65">
        <v>1448</v>
      </c>
      <c r="D65">
        <v>1264</v>
      </c>
    </row>
    <row r="66" spans="1:4" x14ac:dyDescent="0.2">
      <c r="A66" s="48">
        <v>23498</v>
      </c>
      <c r="C66">
        <v>1467</v>
      </c>
      <c r="D66">
        <v>1299</v>
      </c>
    </row>
    <row r="67" spans="1:4" x14ac:dyDescent="0.2">
      <c r="A67" s="48">
        <v>23529</v>
      </c>
      <c r="C67">
        <v>1550</v>
      </c>
      <c r="D67">
        <v>1280</v>
      </c>
    </row>
    <row r="68" spans="1:4" x14ac:dyDescent="0.2">
      <c r="A68" s="48">
        <v>23559</v>
      </c>
      <c r="C68">
        <v>1562</v>
      </c>
      <c r="D68">
        <v>1304</v>
      </c>
    </row>
    <row r="69" spans="1:4" x14ac:dyDescent="0.2">
      <c r="A69" s="48">
        <v>23590</v>
      </c>
      <c r="C69">
        <v>1569</v>
      </c>
      <c r="D69">
        <v>1306</v>
      </c>
    </row>
    <row r="70" spans="1:4" x14ac:dyDescent="0.2">
      <c r="A70" s="48">
        <v>23621</v>
      </c>
      <c r="C70">
        <v>1455</v>
      </c>
      <c r="D70">
        <v>1265</v>
      </c>
    </row>
    <row r="71" spans="1:4" x14ac:dyDescent="0.2">
      <c r="A71" s="48">
        <v>23651</v>
      </c>
      <c r="C71">
        <v>1524</v>
      </c>
      <c r="D71">
        <v>1230</v>
      </c>
    </row>
    <row r="72" spans="1:4" x14ac:dyDescent="0.2">
      <c r="A72" s="48">
        <v>23682</v>
      </c>
      <c r="C72">
        <v>1486</v>
      </c>
      <c r="D72">
        <v>1254</v>
      </c>
    </row>
    <row r="73" spans="1:4" x14ac:dyDescent="0.2">
      <c r="A73" s="48">
        <v>23712</v>
      </c>
      <c r="C73">
        <v>1484</v>
      </c>
      <c r="D73">
        <v>1164</v>
      </c>
    </row>
    <row r="74" spans="1:4" x14ac:dyDescent="0.2">
      <c r="A74" s="48">
        <v>23743</v>
      </c>
      <c r="C74">
        <v>1361</v>
      </c>
      <c r="D74">
        <v>1264</v>
      </c>
    </row>
    <row r="75" spans="1:4" x14ac:dyDescent="0.2">
      <c r="A75" s="48">
        <v>23774</v>
      </c>
      <c r="C75">
        <v>1433</v>
      </c>
      <c r="D75">
        <v>1185</v>
      </c>
    </row>
    <row r="76" spans="1:4" x14ac:dyDescent="0.2">
      <c r="A76" s="48">
        <v>23802</v>
      </c>
      <c r="C76">
        <v>1423</v>
      </c>
      <c r="D76">
        <v>1211</v>
      </c>
    </row>
    <row r="77" spans="1:4" x14ac:dyDescent="0.2">
      <c r="A77" s="48">
        <v>23833</v>
      </c>
      <c r="C77">
        <v>1438</v>
      </c>
      <c r="D77">
        <v>1162</v>
      </c>
    </row>
    <row r="78" spans="1:4" x14ac:dyDescent="0.2">
      <c r="A78" s="48">
        <v>23863</v>
      </c>
      <c r="C78">
        <v>1478</v>
      </c>
      <c r="D78">
        <v>1207</v>
      </c>
    </row>
    <row r="79" spans="1:4" x14ac:dyDescent="0.2">
      <c r="A79" s="48">
        <v>23894</v>
      </c>
      <c r="C79">
        <v>1488</v>
      </c>
      <c r="D79">
        <v>1241</v>
      </c>
    </row>
    <row r="80" spans="1:4" x14ac:dyDescent="0.2">
      <c r="A80" s="48">
        <v>23924</v>
      </c>
      <c r="C80">
        <v>1529</v>
      </c>
      <c r="D80">
        <v>1237</v>
      </c>
    </row>
    <row r="81" spans="1:4" x14ac:dyDescent="0.2">
      <c r="A81" s="48">
        <v>23955</v>
      </c>
      <c r="C81">
        <v>1432</v>
      </c>
      <c r="D81">
        <v>1249</v>
      </c>
    </row>
    <row r="82" spans="1:4" x14ac:dyDescent="0.2">
      <c r="A82" s="48">
        <v>23986</v>
      </c>
      <c r="C82">
        <v>1482</v>
      </c>
      <c r="D82">
        <v>1227</v>
      </c>
    </row>
    <row r="83" spans="1:4" x14ac:dyDescent="0.2">
      <c r="A83" s="48">
        <v>24016</v>
      </c>
      <c r="C83">
        <v>1452</v>
      </c>
      <c r="D83">
        <v>1279</v>
      </c>
    </row>
    <row r="84" spans="1:4" x14ac:dyDescent="0.2">
      <c r="A84" s="48">
        <v>24047</v>
      </c>
      <c r="C84">
        <v>1460</v>
      </c>
      <c r="D84">
        <v>1306</v>
      </c>
    </row>
    <row r="85" spans="1:4" x14ac:dyDescent="0.2">
      <c r="A85" s="48">
        <v>24077</v>
      </c>
      <c r="C85">
        <v>1656</v>
      </c>
      <c r="D85">
        <v>1315</v>
      </c>
    </row>
    <row r="86" spans="1:4" x14ac:dyDescent="0.2">
      <c r="A86" s="48">
        <v>24108</v>
      </c>
      <c r="C86">
        <v>1370</v>
      </c>
      <c r="D86">
        <v>1325</v>
      </c>
    </row>
    <row r="87" spans="1:4" x14ac:dyDescent="0.2">
      <c r="A87" s="48">
        <v>24139</v>
      </c>
      <c r="C87">
        <v>1378</v>
      </c>
      <c r="D87">
        <v>1159</v>
      </c>
    </row>
    <row r="88" spans="1:4" x14ac:dyDescent="0.2">
      <c r="A88" s="48">
        <v>24167</v>
      </c>
      <c r="C88">
        <v>1394</v>
      </c>
      <c r="D88">
        <v>1234</v>
      </c>
    </row>
    <row r="89" spans="1:4" x14ac:dyDescent="0.2">
      <c r="A89" s="48">
        <v>24198</v>
      </c>
      <c r="C89">
        <v>1352</v>
      </c>
      <c r="D89">
        <v>1145</v>
      </c>
    </row>
    <row r="90" spans="1:4" x14ac:dyDescent="0.2">
      <c r="A90" s="48">
        <v>24228</v>
      </c>
      <c r="C90">
        <v>1265</v>
      </c>
      <c r="D90">
        <v>1078</v>
      </c>
    </row>
    <row r="91" spans="1:4" x14ac:dyDescent="0.2">
      <c r="A91" s="48">
        <v>24259</v>
      </c>
      <c r="C91">
        <v>1194</v>
      </c>
      <c r="D91">
        <v>956</v>
      </c>
    </row>
    <row r="92" spans="1:4" x14ac:dyDescent="0.2">
      <c r="A92" s="48">
        <v>24289</v>
      </c>
      <c r="C92">
        <v>1086</v>
      </c>
      <c r="D92">
        <v>932</v>
      </c>
    </row>
    <row r="93" spans="1:4" x14ac:dyDescent="0.2">
      <c r="A93" s="48">
        <v>24320</v>
      </c>
      <c r="C93">
        <v>1119</v>
      </c>
      <c r="D93">
        <v>877</v>
      </c>
    </row>
    <row r="94" spans="1:4" x14ac:dyDescent="0.2">
      <c r="A94" s="48">
        <v>24351</v>
      </c>
      <c r="C94">
        <v>1046</v>
      </c>
      <c r="D94">
        <v>774</v>
      </c>
    </row>
    <row r="95" spans="1:4" x14ac:dyDescent="0.2">
      <c r="A95" s="48">
        <v>24381</v>
      </c>
      <c r="C95">
        <v>843</v>
      </c>
      <c r="D95">
        <v>739</v>
      </c>
    </row>
    <row r="96" spans="1:4" x14ac:dyDescent="0.2">
      <c r="A96" s="48">
        <v>24412</v>
      </c>
      <c r="C96">
        <v>961</v>
      </c>
      <c r="D96">
        <v>736</v>
      </c>
    </row>
    <row r="97" spans="1:4" x14ac:dyDescent="0.2">
      <c r="A97" s="48">
        <v>24442</v>
      </c>
      <c r="C97">
        <v>990</v>
      </c>
      <c r="D97">
        <v>743</v>
      </c>
    </row>
    <row r="98" spans="1:4" x14ac:dyDescent="0.2">
      <c r="A98" s="48">
        <v>24473</v>
      </c>
      <c r="C98">
        <v>1067</v>
      </c>
      <c r="D98">
        <v>995</v>
      </c>
    </row>
    <row r="99" spans="1:4" x14ac:dyDescent="0.2">
      <c r="A99" s="48">
        <v>24504</v>
      </c>
      <c r="C99">
        <v>1123</v>
      </c>
      <c r="D99">
        <v>907</v>
      </c>
    </row>
    <row r="100" spans="1:4" x14ac:dyDescent="0.2">
      <c r="A100" s="48">
        <v>24532</v>
      </c>
      <c r="C100">
        <v>1056</v>
      </c>
      <c r="D100">
        <v>955</v>
      </c>
    </row>
    <row r="101" spans="1:4" x14ac:dyDescent="0.2">
      <c r="A101" s="48">
        <v>24563</v>
      </c>
      <c r="C101">
        <v>1091</v>
      </c>
      <c r="D101">
        <v>1035</v>
      </c>
    </row>
    <row r="102" spans="1:4" x14ac:dyDescent="0.2">
      <c r="A102" s="48">
        <v>24593</v>
      </c>
      <c r="C102">
        <v>1304</v>
      </c>
      <c r="D102">
        <v>1076</v>
      </c>
    </row>
    <row r="103" spans="1:4" x14ac:dyDescent="0.2">
      <c r="A103" s="48">
        <v>24624</v>
      </c>
      <c r="C103">
        <v>1248</v>
      </c>
      <c r="D103">
        <v>1169</v>
      </c>
    </row>
    <row r="104" spans="1:4" x14ac:dyDescent="0.2">
      <c r="A104" s="48">
        <v>24654</v>
      </c>
      <c r="C104">
        <v>1364</v>
      </c>
      <c r="D104">
        <v>1177</v>
      </c>
    </row>
    <row r="105" spans="1:4" x14ac:dyDescent="0.2">
      <c r="A105" s="48">
        <v>24685</v>
      </c>
      <c r="C105">
        <v>1407</v>
      </c>
      <c r="D105">
        <v>1229</v>
      </c>
    </row>
    <row r="106" spans="1:4" x14ac:dyDescent="0.2">
      <c r="A106" s="48">
        <v>24716</v>
      </c>
      <c r="C106">
        <v>1421</v>
      </c>
      <c r="D106">
        <v>1279</v>
      </c>
    </row>
    <row r="107" spans="1:4" x14ac:dyDescent="0.2">
      <c r="A107" s="48">
        <v>24746</v>
      </c>
      <c r="C107">
        <v>1491</v>
      </c>
      <c r="D107">
        <v>1280</v>
      </c>
    </row>
    <row r="108" spans="1:4" x14ac:dyDescent="0.2">
      <c r="A108" s="48">
        <v>24777</v>
      </c>
      <c r="C108">
        <v>1538</v>
      </c>
      <c r="D108">
        <v>1297</v>
      </c>
    </row>
    <row r="109" spans="1:4" x14ac:dyDescent="0.2">
      <c r="A109" s="48">
        <v>24807</v>
      </c>
      <c r="C109">
        <v>1308</v>
      </c>
      <c r="D109">
        <v>1315</v>
      </c>
    </row>
    <row r="110" spans="1:4" x14ac:dyDescent="0.2">
      <c r="A110" s="48">
        <v>24838</v>
      </c>
      <c r="B110">
        <v>1257</v>
      </c>
      <c r="C110">
        <v>1380</v>
      </c>
      <c r="D110">
        <v>1179</v>
      </c>
    </row>
    <row r="111" spans="1:4" x14ac:dyDescent="0.2">
      <c r="A111" s="48">
        <v>24869</v>
      </c>
      <c r="B111">
        <v>1174</v>
      </c>
      <c r="C111">
        <v>1520</v>
      </c>
      <c r="D111">
        <v>1342</v>
      </c>
    </row>
    <row r="112" spans="1:4" x14ac:dyDescent="0.2">
      <c r="A112" s="48">
        <v>24898</v>
      </c>
      <c r="B112">
        <v>1323</v>
      </c>
      <c r="C112">
        <v>1466</v>
      </c>
      <c r="D112">
        <v>1370</v>
      </c>
    </row>
    <row r="113" spans="1:4" x14ac:dyDescent="0.2">
      <c r="A113" s="48">
        <v>24929</v>
      </c>
      <c r="B113">
        <v>1328</v>
      </c>
      <c r="C113">
        <v>1554</v>
      </c>
      <c r="D113">
        <v>1286</v>
      </c>
    </row>
    <row r="114" spans="1:4" x14ac:dyDescent="0.2">
      <c r="A114" s="48">
        <v>24959</v>
      </c>
      <c r="B114">
        <v>1367</v>
      </c>
      <c r="C114">
        <v>1408</v>
      </c>
      <c r="D114">
        <v>1297</v>
      </c>
    </row>
    <row r="115" spans="1:4" x14ac:dyDescent="0.2">
      <c r="A115" s="48">
        <v>24990</v>
      </c>
      <c r="B115">
        <v>1184</v>
      </c>
      <c r="C115">
        <v>1405</v>
      </c>
      <c r="D115">
        <v>1300</v>
      </c>
    </row>
    <row r="116" spans="1:4" x14ac:dyDescent="0.2">
      <c r="A116" s="48">
        <v>25020</v>
      </c>
      <c r="B116">
        <v>1370</v>
      </c>
      <c r="C116">
        <v>1512</v>
      </c>
      <c r="D116">
        <v>1344</v>
      </c>
    </row>
    <row r="117" spans="1:4" x14ac:dyDescent="0.2">
      <c r="A117" s="48">
        <v>25051</v>
      </c>
      <c r="B117">
        <v>1279</v>
      </c>
      <c r="C117">
        <v>1495</v>
      </c>
      <c r="D117">
        <v>1357</v>
      </c>
    </row>
    <row r="118" spans="1:4" x14ac:dyDescent="0.2">
      <c r="A118" s="48">
        <v>25082</v>
      </c>
      <c r="B118">
        <v>1397</v>
      </c>
      <c r="C118">
        <v>1556</v>
      </c>
      <c r="D118">
        <v>1464</v>
      </c>
    </row>
    <row r="119" spans="1:4" x14ac:dyDescent="0.2">
      <c r="A119" s="48">
        <v>25112</v>
      </c>
      <c r="B119">
        <v>1348</v>
      </c>
      <c r="C119">
        <v>1569</v>
      </c>
      <c r="D119">
        <v>1421</v>
      </c>
    </row>
    <row r="120" spans="1:4" x14ac:dyDescent="0.2">
      <c r="A120" s="48">
        <v>25143</v>
      </c>
      <c r="B120">
        <v>1367</v>
      </c>
      <c r="C120">
        <v>1630</v>
      </c>
      <c r="D120">
        <v>1436</v>
      </c>
    </row>
    <row r="121" spans="1:4" x14ac:dyDescent="0.2">
      <c r="A121" s="48">
        <v>25173</v>
      </c>
      <c r="B121">
        <v>1390</v>
      </c>
      <c r="C121">
        <v>1548</v>
      </c>
      <c r="D121">
        <v>1389</v>
      </c>
    </row>
    <row r="122" spans="1:4" x14ac:dyDescent="0.2">
      <c r="A122" s="48">
        <v>25204</v>
      </c>
      <c r="B122">
        <v>1257</v>
      </c>
      <c r="C122">
        <v>1769</v>
      </c>
      <c r="D122">
        <v>1459</v>
      </c>
    </row>
    <row r="123" spans="1:4" x14ac:dyDescent="0.2">
      <c r="A123" s="48">
        <v>25235</v>
      </c>
      <c r="B123">
        <v>1414</v>
      </c>
      <c r="C123">
        <v>1705</v>
      </c>
      <c r="D123">
        <v>1495</v>
      </c>
    </row>
    <row r="124" spans="1:4" x14ac:dyDescent="0.2">
      <c r="A124" s="48">
        <v>25263</v>
      </c>
      <c r="B124">
        <v>1558</v>
      </c>
      <c r="C124">
        <v>1561</v>
      </c>
      <c r="D124">
        <v>1438</v>
      </c>
    </row>
    <row r="125" spans="1:4" x14ac:dyDescent="0.2">
      <c r="A125" s="48">
        <v>25294</v>
      </c>
      <c r="B125">
        <v>1318</v>
      </c>
      <c r="C125">
        <v>1524</v>
      </c>
      <c r="D125">
        <v>1441</v>
      </c>
    </row>
    <row r="126" spans="1:4" x14ac:dyDescent="0.2">
      <c r="A126" s="48">
        <v>25324</v>
      </c>
      <c r="B126">
        <v>1430</v>
      </c>
      <c r="C126">
        <v>1583</v>
      </c>
      <c r="D126">
        <v>1328</v>
      </c>
    </row>
    <row r="127" spans="1:4" x14ac:dyDescent="0.2">
      <c r="A127" s="48">
        <v>25355</v>
      </c>
      <c r="B127">
        <v>1455</v>
      </c>
      <c r="C127">
        <v>1528</v>
      </c>
      <c r="D127">
        <v>1349</v>
      </c>
    </row>
    <row r="128" spans="1:4" x14ac:dyDescent="0.2">
      <c r="A128" s="48">
        <v>25385</v>
      </c>
      <c r="B128">
        <v>1432</v>
      </c>
      <c r="C128">
        <v>1368</v>
      </c>
      <c r="D128">
        <v>1278</v>
      </c>
    </row>
    <row r="129" spans="1:4" x14ac:dyDescent="0.2">
      <c r="A129" s="48">
        <v>25416</v>
      </c>
      <c r="B129">
        <v>1393</v>
      </c>
      <c r="C129">
        <v>1358</v>
      </c>
      <c r="D129">
        <v>1317</v>
      </c>
    </row>
    <row r="130" spans="1:4" x14ac:dyDescent="0.2">
      <c r="A130" s="48">
        <v>25447</v>
      </c>
      <c r="B130">
        <v>1367</v>
      </c>
      <c r="C130">
        <v>1507</v>
      </c>
      <c r="D130">
        <v>1263</v>
      </c>
    </row>
    <row r="131" spans="1:4" x14ac:dyDescent="0.2">
      <c r="A131" s="48">
        <v>25477</v>
      </c>
      <c r="B131">
        <v>1406</v>
      </c>
      <c r="C131">
        <v>1381</v>
      </c>
      <c r="D131">
        <v>1216</v>
      </c>
    </row>
    <row r="132" spans="1:4" x14ac:dyDescent="0.2">
      <c r="A132" s="48">
        <v>25508</v>
      </c>
      <c r="B132">
        <v>1404</v>
      </c>
      <c r="C132">
        <v>1229</v>
      </c>
      <c r="D132">
        <v>1191</v>
      </c>
    </row>
    <row r="133" spans="1:4" x14ac:dyDescent="0.2">
      <c r="A133" s="48">
        <v>25538</v>
      </c>
      <c r="B133">
        <v>1402</v>
      </c>
      <c r="C133">
        <v>1327</v>
      </c>
      <c r="D133">
        <v>1155</v>
      </c>
    </row>
    <row r="134" spans="1:4" x14ac:dyDescent="0.2">
      <c r="A134" s="48">
        <v>25569</v>
      </c>
      <c r="B134">
        <v>1434</v>
      </c>
      <c r="C134">
        <v>1085</v>
      </c>
      <c r="D134">
        <v>1062</v>
      </c>
    </row>
    <row r="135" spans="1:4" x14ac:dyDescent="0.2">
      <c r="A135" s="48">
        <v>25600</v>
      </c>
      <c r="B135">
        <v>1430</v>
      </c>
      <c r="C135">
        <v>1305</v>
      </c>
      <c r="D135">
        <v>1118</v>
      </c>
    </row>
    <row r="136" spans="1:4" x14ac:dyDescent="0.2">
      <c r="A136" s="48">
        <v>25628</v>
      </c>
      <c r="B136">
        <v>1317</v>
      </c>
      <c r="C136">
        <v>1319</v>
      </c>
      <c r="D136">
        <v>1132</v>
      </c>
    </row>
    <row r="137" spans="1:4" x14ac:dyDescent="0.2">
      <c r="A137" s="48">
        <v>25659</v>
      </c>
      <c r="B137">
        <v>1354</v>
      </c>
      <c r="C137">
        <v>1264</v>
      </c>
      <c r="D137">
        <v>1224</v>
      </c>
    </row>
    <row r="138" spans="1:4" x14ac:dyDescent="0.2">
      <c r="A138" s="48">
        <v>25689</v>
      </c>
      <c r="B138">
        <v>1334</v>
      </c>
      <c r="C138">
        <v>1290</v>
      </c>
      <c r="D138">
        <v>1328</v>
      </c>
    </row>
    <row r="139" spans="1:4" x14ac:dyDescent="0.2">
      <c r="A139" s="48">
        <v>25720</v>
      </c>
      <c r="B139">
        <v>1431</v>
      </c>
      <c r="C139">
        <v>1385</v>
      </c>
      <c r="D139">
        <v>1322</v>
      </c>
    </row>
    <row r="140" spans="1:4" x14ac:dyDescent="0.2">
      <c r="A140" s="48">
        <v>25750</v>
      </c>
      <c r="B140">
        <v>1384</v>
      </c>
      <c r="C140">
        <v>1517</v>
      </c>
      <c r="D140">
        <v>1324</v>
      </c>
    </row>
    <row r="141" spans="1:4" x14ac:dyDescent="0.2">
      <c r="A141" s="48">
        <v>25781</v>
      </c>
      <c r="B141">
        <v>1609</v>
      </c>
      <c r="C141">
        <v>1399</v>
      </c>
      <c r="D141">
        <v>1394</v>
      </c>
    </row>
    <row r="142" spans="1:4" x14ac:dyDescent="0.2">
      <c r="A142" s="48">
        <v>25812</v>
      </c>
      <c r="B142">
        <v>1383</v>
      </c>
      <c r="C142">
        <v>1534</v>
      </c>
      <c r="D142">
        <v>1426</v>
      </c>
    </row>
    <row r="143" spans="1:4" x14ac:dyDescent="0.2">
      <c r="A143" s="48">
        <v>25842</v>
      </c>
      <c r="B143">
        <v>1437</v>
      </c>
      <c r="C143">
        <v>1580</v>
      </c>
      <c r="D143">
        <v>1564</v>
      </c>
    </row>
    <row r="144" spans="1:4" x14ac:dyDescent="0.2">
      <c r="A144" s="48">
        <v>25873</v>
      </c>
      <c r="B144">
        <v>1457</v>
      </c>
      <c r="C144">
        <v>1647</v>
      </c>
      <c r="D144">
        <v>1502</v>
      </c>
    </row>
    <row r="145" spans="1:4" x14ac:dyDescent="0.2">
      <c r="A145" s="48">
        <v>25903</v>
      </c>
      <c r="B145">
        <v>1437</v>
      </c>
      <c r="C145">
        <v>1893</v>
      </c>
      <c r="D145">
        <v>1767</v>
      </c>
    </row>
    <row r="146" spans="1:4" x14ac:dyDescent="0.2">
      <c r="A146" s="48">
        <v>25934</v>
      </c>
      <c r="B146">
        <v>1471</v>
      </c>
      <c r="C146">
        <v>1828</v>
      </c>
      <c r="D146">
        <v>1643</v>
      </c>
    </row>
    <row r="147" spans="1:4" x14ac:dyDescent="0.2">
      <c r="A147" s="48">
        <v>25965</v>
      </c>
      <c r="B147">
        <v>1448</v>
      </c>
      <c r="C147">
        <v>1741</v>
      </c>
      <c r="D147">
        <v>1588</v>
      </c>
    </row>
    <row r="148" spans="1:4" x14ac:dyDescent="0.2">
      <c r="A148" s="48">
        <v>25993</v>
      </c>
      <c r="B148">
        <v>1489</v>
      </c>
      <c r="C148">
        <v>1910</v>
      </c>
      <c r="D148">
        <v>1759</v>
      </c>
    </row>
    <row r="149" spans="1:4" x14ac:dyDescent="0.2">
      <c r="A149" s="48">
        <v>26024</v>
      </c>
      <c r="B149">
        <v>1709</v>
      </c>
      <c r="C149">
        <v>1986</v>
      </c>
      <c r="D149">
        <v>1745</v>
      </c>
    </row>
    <row r="150" spans="1:4" x14ac:dyDescent="0.2">
      <c r="A150" s="48">
        <v>26054</v>
      </c>
      <c r="B150">
        <v>1637</v>
      </c>
      <c r="C150">
        <v>2049</v>
      </c>
      <c r="D150">
        <v>1972</v>
      </c>
    </row>
    <row r="151" spans="1:4" x14ac:dyDescent="0.2">
      <c r="A151" s="48">
        <v>26085</v>
      </c>
      <c r="B151">
        <v>1637</v>
      </c>
      <c r="C151">
        <v>2026</v>
      </c>
      <c r="D151">
        <v>1903</v>
      </c>
    </row>
    <row r="152" spans="1:4" x14ac:dyDescent="0.2">
      <c r="A152" s="48">
        <v>26115</v>
      </c>
      <c r="B152">
        <v>1699</v>
      </c>
      <c r="C152">
        <v>2083</v>
      </c>
      <c r="D152">
        <v>2069</v>
      </c>
    </row>
    <row r="153" spans="1:4" x14ac:dyDescent="0.2">
      <c r="A153" s="48">
        <v>26146</v>
      </c>
      <c r="B153">
        <v>1896</v>
      </c>
      <c r="C153">
        <v>2158</v>
      </c>
      <c r="D153">
        <v>2004</v>
      </c>
    </row>
    <row r="154" spans="1:4" x14ac:dyDescent="0.2">
      <c r="A154" s="48">
        <v>26177</v>
      </c>
      <c r="B154">
        <v>1804</v>
      </c>
      <c r="C154">
        <v>2041</v>
      </c>
      <c r="D154">
        <v>1996</v>
      </c>
    </row>
    <row r="155" spans="1:4" x14ac:dyDescent="0.2">
      <c r="A155" s="48">
        <v>26207</v>
      </c>
      <c r="B155">
        <v>1815</v>
      </c>
      <c r="C155">
        <v>2128</v>
      </c>
      <c r="D155">
        <v>2026</v>
      </c>
    </row>
    <row r="156" spans="1:4" x14ac:dyDescent="0.2">
      <c r="A156" s="48">
        <v>26238</v>
      </c>
      <c r="B156">
        <v>1844</v>
      </c>
      <c r="C156">
        <v>2182</v>
      </c>
      <c r="D156">
        <v>2079</v>
      </c>
    </row>
    <row r="157" spans="1:4" x14ac:dyDescent="0.2">
      <c r="A157" s="48">
        <v>26268</v>
      </c>
      <c r="B157">
        <v>1895</v>
      </c>
      <c r="C157">
        <v>2295</v>
      </c>
      <c r="D157">
        <v>2133</v>
      </c>
    </row>
    <row r="158" spans="1:4" x14ac:dyDescent="0.2">
      <c r="A158" s="48">
        <v>26299</v>
      </c>
      <c r="B158">
        <v>1942</v>
      </c>
      <c r="C158">
        <v>2494</v>
      </c>
      <c r="D158">
        <v>2238</v>
      </c>
    </row>
    <row r="159" spans="1:4" x14ac:dyDescent="0.2">
      <c r="A159" s="48">
        <v>26330</v>
      </c>
      <c r="B159">
        <v>2061</v>
      </c>
      <c r="C159">
        <v>2390</v>
      </c>
      <c r="D159">
        <v>2169</v>
      </c>
    </row>
    <row r="160" spans="1:4" x14ac:dyDescent="0.2">
      <c r="A160" s="48">
        <v>26359</v>
      </c>
      <c r="B160">
        <v>1981</v>
      </c>
      <c r="C160">
        <v>2334</v>
      </c>
      <c r="D160">
        <v>2105</v>
      </c>
    </row>
    <row r="161" spans="1:4" x14ac:dyDescent="0.2">
      <c r="A161" s="48">
        <v>26390</v>
      </c>
      <c r="B161">
        <v>1970</v>
      </c>
      <c r="C161">
        <v>2249</v>
      </c>
      <c r="D161">
        <v>2139</v>
      </c>
    </row>
    <row r="162" spans="1:4" x14ac:dyDescent="0.2">
      <c r="A162" s="48">
        <v>26420</v>
      </c>
      <c r="B162">
        <v>1896</v>
      </c>
      <c r="C162">
        <v>2221</v>
      </c>
      <c r="D162">
        <v>2067</v>
      </c>
    </row>
    <row r="163" spans="1:4" x14ac:dyDescent="0.2">
      <c r="A163" s="48">
        <v>26451</v>
      </c>
      <c r="B163">
        <v>1936</v>
      </c>
      <c r="C163">
        <v>2254</v>
      </c>
      <c r="D163">
        <v>2183</v>
      </c>
    </row>
    <row r="164" spans="1:4" x14ac:dyDescent="0.2">
      <c r="A164" s="48">
        <v>26481</v>
      </c>
      <c r="B164">
        <v>1930</v>
      </c>
      <c r="C164">
        <v>2252</v>
      </c>
      <c r="D164">
        <v>2195</v>
      </c>
    </row>
    <row r="165" spans="1:4" x14ac:dyDescent="0.2">
      <c r="A165" s="48">
        <v>26512</v>
      </c>
      <c r="B165">
        <v>2102</v>
      </c>
      <c r="C165">
        <v>2382</v>
      </c>
      <c r="D165">
        <v>2263</v>
      </c>
    </row>
    <row r="166" spans="1:4" x14ac:dyDescent="0.2">
      <c r="A166" s="48">
        <v>26543</v>
      </c>
      <c r="B166">
        <v>2053</v>
      </c>
      <c r="C166">
        <v>2481</v>
      </c>
      <c r="D166">
        <v>2393</v>
      </c>
    </row>
    <row r="167" spans="1:4" x14ac:dyDescent="0.2">
      <c r="A167" s="48">
        <v>26573</v>
      </c>
      <c r="B167">
        <v>1995</v>
      </c>
      <c r="C167">
        <v>2485</v>
      </c>
      <c r="D167">
        <v>2354</v>
      </c>
    </row>
    <row r="168" spans="1:4" x14ac:dyDescent="0.2">
      <c r="A168" s="48">
        <v>26604</v>
      </c>
      <c r="B168">
        <v>1985</v>
      </c>
      <c r="C168">
        <v>2421</v>
      </c>
      <c r="D168">
        <v>2234</v>
      </c>
    </row>
    <row r="169" spans="1:4" x14ac:dyDescent="0.2">
      <c r="A169" s="48">
        <v>26634</v>
      </c>
      <c r="B169">
        <v>2121</v>
      </c>
      <c r="C169">
        <v>2366</v>
      </c>
      <c r="D169">
        <v>2419</v>
      </c>
    </row>
    <row r="170" spans="1:4" x14ac:dyDescent="0.2">
      <c r="A170" s="48">
        <v>26665</v>
      </c>
      <c r="B170">
        <v>2162</v>
      </c>
      <c r="C170">
        <v>2481</v>
      </c>
      <c r="D170">
        <v>2271</v>
      </c>
    </row>
    <row r="171" spans="1:4" x14ac:dyDescent="0.2">
      <c r="A171" s="48">
        <v>26696</v>
      </c>
      <c r="B171">
        <v>2124</v>
      </c>
      <c r="C171">
        <v>2289</v>
      </c>
      <c r="D171">
        <v>2226</v>
      </c>
    </row>
    <row r="172" spans="1:4" x14ac:dyDescent="0.2">
      <c r="A172" s="48">
        <v>26724</v>
      </c>
      <c r="B172">
        <v>2196</v>
      </c>
      <c r="C172">
        <v>2365</v>
      </c>
      <c r="D172">
        <v>2062</v>
      </c>
    </row>
    <row r="173" spans="1:4" x14ac:dyDescent="0.2">
      <c r="A173" s="48">
        <v>26755</v>
      </c>
      <c r="B173">
        <v>2195</v>
      </c>
      <c r="C173">
        <v>2084</v>
      </c>
      <c r="D173">
        <v>1908</v>
      </c>
    </row>
    <row r="174" spans="1:4" x14ac:dyDescent="0.2">
      <c r="A174" s="48">
        <v>26785</v>
      </c>
      <c r="B174">
        <v>2299</v>
      </c>
      <c r="C174">
        <v>2266</v>
      </c>
      <c r="D174">
        <v>1931</v>
      </c>
    </row>
    <row r="175" spans="1:4" x14ac:dyDescent="0.2">
      <c r="A175" s="48">
        <v>26816</v>
      </c>
      <c r="B175">
        <v>2258</v>
      </c>
      <c r="C175">
        <v>2067</v>
      </c>
      <c r="D175">
        <v>2051</v>
      </c>
    </row>
    <row r="176" spans="1:4" x14ac:dyDescent="0.2">
      <c r="A176" s="48">
        <v>26846</v>
      </c>
      <c r="B176">
        <v>2066</v>
      </c>
      <c r="C176">
        <v>2123</v>
      </c>
      <c r="D176">
        <v>1819</v>
      </c>
    </row>
    <row r="177" spans="1:4" x14ac:dyDescent="0.2">
      <c r="A177" s="48">
        <v>26877</v>
      </c>
      <c r="B177">
        <v>2056</v>
      </c>
      <c r="C177">
        <v>2051</v>
      </c>
      <c r="D177">
        <v>1809</v>
      </c>
    </row>
    <row r="178" spans="1:4" x14ac:dyDescent="0.2">
      <c r="A178" s="48">
        <v>26908</v>
      </c>
      <c r="B178">
        <v>2061</v>
      </c>
      <c r="C178">
        <v>1874</v>
      </c>
      <c r="D178">
        <v>1704</v>
      </c>
    </row>
    <row r="179" spans="1:4" x14ac:dyDescent="0.2">
      <c r="A179" s="48">
        <v>26938</v>
      </c>
      <c r="B179">
        <v>2052</v>
      </c>
      <c r="C179">
        <v>1677</v>
      </c>
      <c r="D179">
        <v>1411</v>
      </c>
    </row>
    <row r="180" spans="1:4" x14ac:dyDescent="0.2">
      <c r="A180" s="48">
        <v>26969</v>
      </c>
      <c r="B180">
        <v>1925</v>
      </c>
      <c r="C180">
        <v>1724</v>
      </c>
      <c r="D180">
        <v>1402</v>
      </c>
    </row>
    <row r="181" spans="1:4" x14ac:dyDescent="0.2">
      <c r="A181" s="48">
        <v>26999</v>
      </c>
      <c r="B181">
        <v>1869</v>
      </c>
      <c r="C181">
        <v>1526</v>
      </c>
      <c r="D181">
        <v>1288</v>
      </c>
    </row>
    <row r="182" spans="1:4" x14ac:dyDescent="0.2">
      <c r="A182" s="48">
        <v>27030</v>
      </c>
      <c r="B182">
        <v>1932</v>
      </c>
      <c r="C182">
        <v>1451</v>
      </c>
      <c r="D182">
        <v>1331</v>
      </c>
    </row>
    <row r="183" spans="1:4" x14ac:dyDescent="0.2">
      <c r="A183" s="48">
        <v>27061</v>
      </c>
      <c r="B183">
        <v>1938</v>
      </c>
      <c r="C183">
        <v>1752</v>
      </c>
      <c r="D183">
        <v>1360</v>
      </c>
    </row>
    <row r="184" spans="1:4" x14ac:dyDescent="0.2">
      <c r="A184" s="48">
        <v>27089</v>
      </c>
      <c r="B184">
        <v>1806</v>
      </c>
      <c r="C184">
        <v>1555</v>
      </c>
      <c r="D184">
        <v>1440</v>
      </c>
    </row>
    <row r="185" spans="1:4" x14ac:dyDescent="0.2">
      <c r="A185" s="48">
        <v>27120</v>
      </c>
      <c r="B185">
        <v>1830</v>
      </c>
      <c r="C185">
        <v>1607</v>
      </c>
      <c r="D185">
        <v>1254</v>
      </c>
    </row>
    <row r="186" spans="1:4" x14ac:dyDescent="0.2">
      <c r="A186" s="48">
        <v>27150</v>
      </c>
      <c r="B186">
        <v>1715</v>
      </c>
      <c r="C186">
        <v>1426</v>
      </c>
      <c r="D186">
        <v>1138</v>
      </c>
    </row>
    <row r="187" spans="1:4" x14ac:dyDescent="0.2">
      <c r="A187" s="48">
        <v>27181</v>
      </c>
      <c r="B187">
        <v>1897</v>
      </c>
      <c r="C187">
        <v>1513</v>
      </c>
      <c r="D187">
        <v>1086</v>
      </c>
    </row>
    <row r="188" spans="1:4" x14ac:dyDescent="0.2">
      <c r="A188" s="48">
        <v>27211</v>
      </c>
      <c r="B188">
        <v>1695</v>
      </c>
      <c r="C188">
        <v>1316</v>
      </c>
      <c r="D188">
        <v>1002</v>
      </c>
    </row>
    <row r="189" spans="1:4" x14ac:dyDescent="0.2">
      <c r="A189" s="48">
        <v>27242</v>
      </c>
      <c r="B189">
        <v>1634</v>
      </c>
      <c r="C189">
        <v>1142</v>
      </c>
      <c r="D189">
        <v>917</v>
      </c>
    </row>
    <row r="190" spans="1:4" x14ac:dyDescent="0.2">
      <c r="A190" s="48">
        <v>27273</v>
      </c>
      <c r="B190">
        <v>1651</v>
      </c>
      <c r="C190">
        <v>1150</v>
      </c>
      <c r="D190">
        <v>840</v>
      </c>
    </row>
    <row r="191" spans="1:4" x14ac:dyDescent="0.2">
      <c r="A191" s="48">
        <v>27303</v>
      </c>
      <c r="B191">
        <v>1630</v>
      </c>
      <c r="C191">
        <v>1070</v>
      </c>
      <c r="D191">
        <v>824</v>
      </c>
    </row>
    <row r="192" spans="1:4" x14ac:dyDescent="0.2">
      <c r="A192" s="48">
        <v>27334</v>
      </c>
      <c r="B192">
        <v>1590</v>
      </c>
      <c r="C192">
        <v>1026</v>
      </c>
      <c r="D192">
        <v>783</v>
      </c>
    </row>
    <row r="193" spans="1:4" x14ac:dyDescent="0.2">
      <c r="A193" s="48">
        <v>27364</v>
      </c>
      <c r="B193">
        <v>1540</v>
      </c>
      <c r="C193">
        <v>975</v>
      </c>
      <c r="D193">
        <v>869</v>
      </c>
    </row>
    <row r="194" spans="1:4" x14ac:dyDescent="0.2">
      <c r="A194" s="48">
        <v>27395</v>
      </c>
      <c r="B194">
        <v>1588</v>
      </c>
      <c r="C194">
        <v>1032</v>
      </c>
      <c r="D194">
        <v>726</v>
      </c>
    </row>
    <row r="195" spans="1:4" x14ac:dyDescent="0.2">
      <c r="A195" s="48">
        <v>27426</v>
      </c>
      <c r="B195">
        <v>1346</v>
      </c>
      <c r="C195">
        <v>904</v>
      </c>
      <c r="D195">
        <v>729</v>
      </c>
    </row>
    <row r="196" spans="1:4" x14ac:dyDescent="0.2">
      <c r="A196" s="48">
        <v>27454</v>
      </c>
      <c r="B196">
        <v>1293</v>
      </c>
      <c r="C196">
        <v>993</v>
      </c>
      <c r="D196">
        <v>709</v>
      </c>
    </row>
    <row r="197" spans="1:4" x14ac:dyDescent="0.2">
      <c r="A197" s="48">
        <v>27485</v>
      </c>
      <c r="B197">
        <v>1278</v>
      </c>
      <c r="C197">
        <v>1005</v>
      </c>
      <c r="D197">
        <v>866</v>
      </c>
    </row>
    <row r="198" spans="1:4" x14ac:dyDescent="0.2">
      <c r="A198" s="48">
        <v>27515</v>
      </c>
      <c r="B198">
        <v>1349</v>
      </c>
      <c r="C198">
        <v>1121</v>
      </c>
      <c r="D198">
        <v>914</v>
      </c>
    </row>
    <row r="199" spans="1:4" x14ac:dyDescent="0.2">
      <c r="A199" s="48">
        <v>27546</v>
      </c>
      <c r="B199">
        <v>1234</v>
      </c>
      <c r="C199">
        <v>1087</v>
      </c>
      <c r="D199">
        <v>946</v>
      </c>
    </row>
    <row r="200" spans="1:4" x14ac:dyDescent="0.2">
      <c r="A200" s="48">
        <v>27576</v>
      </c>
      <c r="B200">
        <v>1276</v>
      </c>
      <c r="C200">
        <v>1226</v>
      </c>
      <c r="D200">
        <v>1020</v>
      </c>
    </row>
    <row r="201" spans="1:4" x14ac:dyDescent="0.2">
      <c r="A201" s="48">
        <v>27607</v>
      </c>
      <c r="B201">
        <v>1290</v>
      </c>
      <c r="C201">
        <v>1260</v>
      </c>
      <c r="D201">
        <v>994</v>
      </c>
    </row>
    <row r="202" spans="1:4" x14ac:dyDescent="0.2">
      <c r="A202" s="48">
        <v>27638</v>
      </c>
      <c r="B202">
        <v>1333</v>
      </c>
      <c r="C202">
        <v>1264</v>
      </c>
      <c r="D202">
        <v>1064</v>
      </c>
    </row>
    <row r="203" spans="1:4" x14ac:dyDescent="0.2">
      <c r="A203" s="48">
        <v>27668</v>
      </c>
      <c r="B203">
        <v>1134</v>
      </c>
      <c r="C203">
        <v>1344</v>
      </c>
      <c r="D203">
        <v>1096</v>
      </c>
    </row>
    <row r="204" spans="1:4" x14ac:dyDescent="0.2">
      <c r="A204" s="48">
        <v>27699</v>
      </c>
      <c r="B204">
        <v>1383</v>
      </c>
      <c r="C204">
        <v>1360</v>
      </c>
      <c r="D204">
        <v>1110</v>
      </c>
    </row>
    <row r="205" spans="1:4" x14ac:dyDescent="0.2">
      <c r="A205" s="48">
        <v>27729</v>
      </c>
      <c r="B205">
        <v>1306</v>
      </c>
      <c r="C205">
        <v>1321</v>
      </c>
      <c r="D205">
        <v>1091</v>
      </c>
    </row>
    <row r="206" spans="1:4" x14ac:dyDescent="0.2">
      <c r="A206" s="48">
        <v>27760</v>
      </c>
      <c r="B206">
        <v>1258</v>
      </c>
      <c r="C206">
        <v>1367</v>
      </c>
      <c r="D206">
        <v>1195</v>
      </c>
    </row>
    <row r="207" spans="1:4" x14ac:dyDescent="0.2">
      <c r="A207" s="48">
        <v>27791</v>
      </c>
      <c r="B207">
        <v>1311</v>
      </c>
      <c r="C207">
        <v>1538</v>
      </c>
      <c r="D207">
        <v>1190</v>
      </c>
    </row>
    <row r="208" spans="1:4" x14ac:dyDescent="0.2">
      <c r="A208" s="48">
        <v>27820</v>
      </c>
      <c r="B208">
        <v>1347</v>
      </c>
      <c r="C208">
        <v>1421</v>
      </c>
      <c r="D208">
        <v>1164</v>
      </c>
    </row>
    <row r="209" spans="1:4" x14ac:dyDescent="0.2">
      <c r="A209" s="48">
        <v>27851</v>
      </c>
      <c r="B209">
        <v>1332</v>
      </c>
      <c r="C209">
        <v>1395</v>
      </c>
      <c r="D209">
        <v>1132</v>
      </c>
    </row>
    <row r="210" spans="1:4" x14ac:dyDescent="0.2">
      <c r="A210" s="48">
        <v>27881</v>
      </c>
      <c r="B210">
        <v>1440</v>
      </c>
      <c r="C210">
        <v>1459</v>
      </c>
      <c r="D210">
        <v>1194</v>
      </c>
    </row>
    <row r="211" spans="1:4" x14ac:dyDescent="0.2">
      <c r="A211" s="48">
        <v>27912</v>
      </c>
      <c r="B211">
        <v>1390</v>
      </c>
      <c r="C211">
        <v>1495</v>
      </c>
      <c r="D211">
        <v>1188</v>
      </c>
    </row>
    <row r="212" spans="1:4" x14ac:dyDescent="0.2">
      <c r="A212" s="48">
        <v>27942</v>
      </c>
      <c r="B212">
        <v>1322</v>
      </c>
      <c r="C212">
        <v>1401</v>
      </c>
      <c r="D212">
        <v>1245</v>
      </c>
    </row>
    <row r="213" spans="1:4" x14ac:dyDescent="0.2">
      <c r="A213" s="48">
        <v>27973</v>
      </c>
      <c r="B213">
        <v>1374</v>
      </c>
      <c r="C213">
        <v>1550</v>
      </c>
      <c r="D213">
        <v>1309</v>
      </c>
    </row>
    <row r="214" spans="1:4" x14ac:dyDescent="0.2">
      <c r="A214" s="48">
        <v>28004</v>
      </c>
      <c r="B214">
        <v>1371</v>
      </c>
      <c r="C214">
        <v>1720</v>
      </c>
      <c r="D214">
        <v>1481</v>
      </c>
    </row>
    <row r="215" spans="1:4" x14ac:dyDescent="0.2">
      <c r="A215" s="48">
        <v>28034</v>
      </c>
      <c r="B215">
        <v>1388</v>
      </c>
      <c r="C215">
        <v>1629</v>
      </c>
      <c r="D215">
        <v>1425</v>
      </c>
    </row>
    <row r="216" spans="1:4" x14ac:dyDescent="0.2">
      <c r="A216" s="48">
        <v>28065</v>
      </c>
      <c r="B216">
        <v>1428</v>
      </c>
      <c r="C216">
        <v>1641</v>
      </c>
      <c r="D216">
        <v>1531</v>
      </c>
    </row>
    <row r="217" spans="1:4" x14ac:dyDescent="0.2">
      <c r="A217" s="48">
        <v>28095</v>
      </c>
      <c r="B217">
        <v>1457</v>
      </c>
      <c r="C217">
        <v>1804</v>
      </c>
      <c r="D217">
        <v>1511</v>
      </c>
    </row>
    <row r="218" spans="1:4" x14ac:dyDescent="0.2">
      <c r="A218" s="48">
        <v>28126</v>
      </c>
      <c r="B218">
        <v>1457</v>
      </c>
      <c r="C218">
        <v>1527</v>
      </c>
      <c r="D218">
        <v>1466</v>
      </c>
    </row>
    <row r="219" spans="1:4" x14ac:dyDescent="0.2">
      <c r="A219" s="48">
        <v>28157</v>
      </c>
      <c r="B219">
        <v>1655</v>
      </c>
      <c r="C219">
        <v>1943</v>
      </c>
      <c r="D219">
        <v>1560</v>
      </c>
    </row>
    <row r="220" spans="1:4" x14ac:dyDescent="0.2">
      <c r="A220" s="48">
        <v>28185</v>
      </c>
      <c r="B220">
        <v>1619</v>
      </c>
      <c r="C220">
        <v>2063</v>
      </c>
      <c r="D220">
        <v>1660</v>
      </c>
    </row>
    <row r="221" spans="1:4" x14ac:dyDescent="0.2">
      <c r="A221" s="48">
        <v>28216</v>
      </c>
      <c r="B221">
        <v>1548</v>
      </c>
      <c r="C221">
        <v>1892</v>
      </c>
      <c r="D221">
        <v>1660</v>
      </c>
    </row>
    <row r="222" spans="1:4" x14ac:dyDescent="0.2">
      <c r="A222" s="48">
        <v>28246</v>
      </c>
      <c r="B222">
        <v>1555</v>
      </c>
      <c r="C222">
        <v>1971</v>
      </c>
      <c r="D222">
        <v>1668</v>
      </c>
    </row>
    <row r="223" spans="1:4" x14ac:dyDescent="0.2">
      <c r="A223" s="48">
        <v>28277</v>
      </c>
      <c r="B223">
        <v>1636</v>
      </c>
      <c r="C223">
        <v>1893</v>
      </c>
      <c r="D223">
        <v>1752</v>
      </c>
    </row>
    <row r="224" spans="1:4" x14ac:dyDescent="0.2">
      <c r="A224" s="48">
        <v>28307</v>
      </c>
      <c r="B224">
        <v>1687</v>
      </c>
      <c r="C224">
        <v>2058</v>
      </c>
      <c r="D224">
        <v>1687</v>
      </c>
    </row>
    <row r="225" spans="1:4" x14ac:dyDescent="0.2">
      <c r="A225" s="48">
        <v>28338</v>
      </c>
      <c r="B225">
        <v>1673</v>
      </c>
      <c r="C225">
        <v>2020</v>
      </c>
      <c r="D225">
        <v>1780</v>
      </c>
    </row>
    <row r="226" spans="1:4" x14ac:dyDescent="0.2">
      <c r="A226" s="48">
        <v>28369</v>
      </c>
      <c r="B226">
        <v>1865</v>
      </c>
      <c r="C226">
        <v>1949</v>
      </c>
      <c r="D226">
        <v>1674</v>
      </c>
    </row>
    <row r="227" spans="1:4" x14ac:dyDescent="0.2">
      <c r="A227" s="48">
        <v>28399</v>
      </c>
      <c r="B227">
        <v>1675</v>
      </c>
      <c r="C227">
        <v>2042</v>
      </c>
      <c r="D227">
        <v>1758</v>
      </c>
    </row>
    <row r="228" spans="1:4" x14ac:dyDescent="0.2">
      <c r="A228" s="48">
        <v>28430</v>
      </c>
      <c r="B228">
        <v>1770</v>
      </c>
      <c r="C228">
        <v>2042</v>
      </c>
      <c r="D228">
        <v>1771</v>
      </c>
    </row>
    <row r="229" spans="1:4" x14ac:dyDescent="0.2">
      <c r="A229" s="48">
        <v>28460</v>
      </c>
      <c r="B229">
        <v>1634</v>
      </c>
      <c r="C229">
        <v>2142</v>
      </c>
      <c r="D229">
        <v>1754</v>
      </c>
    </row>
    <row r="230" spans="1:4" x14ac:dyDescent="0.2">
      <c r="A230" s="48">
        <v>28491</v>
      </c>
      <c r="B230">
        <v>1777</v>
      </c>
      <c r="C230">
        <v>1718</v>
      </c>
      <c r="D230">
        <v>1740</v>
      </c>
    </row>
    <row r="231" spans="1:4" x14ac:dyDescent="0.2">
      <c r="A231" s="48">
        <v>28522</v>
      </c>
      <c r="B231">
        <v>1719</v>
      </c>
      <c r="C231">
        <v>1738</v>
      </c>
      <c r="D231">
        <v>1736</v>
      </c>
    </row>
    <row r="232" spans="1:4" x14ac:dyDescent="0.2">
      <c r="A232" s="48">
        <v>28550</v>
      </c>
      <c r="B232">
        <v>1785</v>
      </c>
      <c r="C232">
        <v>2032</v>
      </c>
      <c r="D232">
        <v>1799</v>
      </c>
    </row>
    <row r="233" spans="1:4" x14ac:dyDescent="0.2">
      <c r="A233" s="48">
        <v>28581</v>
      </c>
      <c r="B233">
        <v>1843</v>
      </c>
      <c r="C233">
        <v>2197</v>
      </c>
      <c r="D233">
        <v>1948</v>
      </c>
    </row>
    <row r="234" spans="1:4" x14ac:dyDescent="0.2">
      <c r="A234" s="48">
        <v>28611</v>
      </c>
      <c r="B234">
        <v>1850</v>
      </c>
      <c r="C234">
        <v>2075</v>
      </c>
      <c r="D234">
        <v>1766</v>
      </c>
    </row>
    <row r="235" spans="1:4" x14ac:dyDescent="0.2">
      <c r="A235" s="48">
        <v>28642</v>
      </c>
      <c r="B235">
        <v>1905</v>
      </c>
      <c r="C235">
        <v>2070</v>
      </c>
      <c r="D235">
        <v>1983</v>
      </c>
    </row>
    <row r="236" spans="1:4" x14ac:dyDescent="0.2">
      <c r="A236" s="48">
        <v>28672</v>
      </c>
      <c r="B236">
        <v>1957</v>
      </c>
      <c r="C236">
        <v>2092</v>
      </c>
      <c r="D236">
        <v>1786</v>
      </c>
    </row>
    <row r="237" spans="1:4" x14ac:dyDescent="0.2">
      <c r="A237" s="48">
        <v>28703</v>
      </c>
      <c r="B237">
        <v>1976</v>
      </c>
      <c r="C237">
        <v>1996</v>
      </c>
      <c r="D237">
        <v>1691</v>
      </c>
    </row>
    <row r="238" spans="1:4" x14ac:dyDescent="0.2">
      <c r="A238" s="48">
        <v>28734</v>
      </c>
      <c r="B238">
        <v>1944</v>
      </c>
      <c r="C238">
        <v>1970</v>
      </c>
      <c r="D238">
        <v>1751</v>
      </c>
    </row>
    <row r="239" spans="1:4" x14ac:dyDescent="0.2">
      <c r="A239" s="48">
        <v>28764</v>
      </c>
      <c r="B239">
        <v>1885</v>
      </c>
      <c r="C239">
        <v>1981</v>
      </c>
      <c r="D239">
        <v>1781</v>
      </c>
    </row>
    <row r="240" spans="1:4" x14ac:dyDescent="0.2">
      <c r="A240" s="48">
        <v>28795</v>
      </c>
      <c r="B240">
        <v>1877</v>
      </c>
      <c r="C240">
        <v>2094</v>
      </c>
      <c r="D240">
        <v>1795</v>
      </c>
    </row>
    <row r="241" spans="1:4" x14ac:dyDescent="0.2">
      <c r="A241" s="48">
        <v>28825</v>
      </c>
      <c r="B241">
        <v>1844</v>
      </c>
      <c r="C241">
        <v>2044</v>
      </c>
      <c r="D241">
        <v>1818</v>
      </c>
    </row>
    <row r="242" spans="1:4" x14ac:dyDescent="0.2">
      <c r="A242" s="48">
        <v>28856</v>
      </c>
      <c r="B242">
        <v>1850</v>
      </c>
      <c r="C242">
        <v>1630</v>
      </c>
      <c r="D242">
        <v>1461</v>
      </c>
    </row>
    <row r="243" spans="1:4" x14ac:dyDescent="0.2">
      <c r="A243" s="48">
        <v>28887</v>
      </c>
      <c r="B243">
        <v>1845</v>
      </c>
      <c r="C243">
        <v>1520</v>
      </c>
      <c r="D243">
        <v>1492</v>
      </c>
    </row>
    <row r="244" spans="1:4" x14ac:dyDescent="0.2">
      <c r="A244" s="48">
        <v>28915</v>
      </c>
      <c r="B244">
        <v>1946</v>
      </c>
      <c r="C244">
        <v>1847</v>
      </c>
      <c r="D244">
        <v>1720</v>
      </c>
    </row>
    <row r="245" spans="1:4" x14ac:dyDescent="0.2">
      <c r="A245" s="48">
        <v>28946</v>
      </c>
      <c r="B245">
        <v>1866</v>
      </c>
      <c r="C245">
        <v>1748</v>
      </c>
      <c r="D245">
        <v>1597</v>
      </c>
    </row>
    <row r="246" spans="1:4" x14ac:dyDescent="0.2">
      <c r="A246" s="48">
        <v>28976</v>
      </c>
      <c r="B246">
        <v>2007</v>
      </c>
      <c r="C246">
        <v>1876</v>
      </c>
      <c r="D246">
        <v>1684</v>
      </c>
    </row>
    <row r="247" spans="1:4" x14ac:dyDescent="0.2">
      <c r="A247" s="48">
        <v>29007</v>
      </c>
      <c r="B247">
        <v>1853</v>
      </c>
      <c r="C247">
        <v>1913</v>
      </c>
      <c r="D247">
        <v>1640</v>
      </c>
    </row>
    <row r="248" spans="1:4" x14ac:dyDescent="0.2">
      <c r="A248" s="48">
        <v>29037</v>
      </c>
      <c r="B248">
        <v>1759</v>
      </c>
      <c r="C248">
        <v>1760</v>
      </c>
      <c r="D248">
        <v>1534</v>
      </c>
    </row>
    <row r="249" spans="1:4" x14ac:dyDescent="0.2">
      <c r="A249" s="48">
        <v>29068</v>
      </c>
      <c r="B249">
        <v>1779</v>
      </c>
      <c r="C249">
        <v>1778</v>
      </c>
      <c r="D249">
        <v>1591</v>
      </c>
    </row>
    <row r="250" spans="1:4" x14ac:dyDescent="0.2">
      <c r="A250" s="48">
        <v>29099</v>
      </c>
      <c r="B250">
        <v>1983</v>
      </c>
      <c r="C250">
        <v>1832</v>
      </c>
      <c r="D250">
        <v>1638</v>
      </c>
    </row>
    <row r="251" spans="1:4" x14ac:dyDescent="0.2">
      <c r="A251" s="48">
        <v>29129</v>
      </c>
      <c r="B251">
        <v>1832</v>
      </c>
      <c r="C251">
        <v>1681</v>
      </c>
      <c r="D251">
        <v>1481</v>
      </c>
    </row>
    <row r="252" spans="1:4" x14ac:dyDescent="0.2">
      <c r="A252" s="48">
        <v>29160</v>
      </c>
      <c r="B252">
        <v>1892</v>
      </c>
      <c r="C252">
        <v>1524</v>
      </c>
      <c r="D252">
        <v>1276</v>
      </c>
    </row>
    <row r="253" spans="1:4" x14ac:dyDescent="0.2">
      <c r="A253" s="48">
        <v>29190</v>
      </c>
      <c r="B253">
        <v>1863</v>
      </c>
      <c r="C253">
        <v>1498</v>
      </c>
      <c r="D253">
        <v>1254</v>
      </c>
    </row>
    <row r="254" spans="1:4" x14ac:dyDescent="0.2">
      <c r="A254" s="48">
        <v>29221</v>
      </c>
      <c r="B254">
        <v>1794</v>
      </c>
      <c r="C254">
        <v>1341</v>
      </c>
      <c r="D254">
        <v>1280</v>
      </c>
    </row>
    <row r="255" spans="1:4" x14ac:dyDescent="0.2">
      <c r="A255" s="48">
        <v>29252</v>
      </c>
      <c r="B255">
        <v>1803</v>
      </c>
      <c r="C255">
        <v>1350</v>
      </c>
      <c r="D255">
        <v>1199</v>
      </c>
    </row>
    <row r="256" spans="1:4" x14ac:dyDescent="0.2">
      <c r="A256" s="48">
        <v>29281</v>
      </c>
      <c r="B256">
        <v>1701</v>
      </c>
      <c r="C256">
        <v>1047</v>
      </c>
      <c r="D256">
        <v>988</v>
      </c>
    </row>
    <row r="257" spans="1:4" x14ac:dyDescent="0.2">
      <c r="A257" s="48">
        <v>29312</v>
      </c>
      <c r="B257">
        <v>1751</v>
      </c>
      <c r="C257">
        <v>1051</v>
      </c>
      <c r="D257">
        <v>808</v>
      </c>
    </row>
    <row r="258" spans="1:4" x14ac:dyDescent="0.2">
      <c r="A258" s="48">
        <v>29342</v>
      </c>
      <c r="B258">
        <v>1532</v>
      </c>
      <c r="C258">
        <v>927</v>
      </c>
      <c r="D258">
        <v>861</v>
      </c>
    </row>
    <row r="259" spans="1:4" x14ac:dyDescent="0.2">
      <c r="A259" s="48">
        <v>29373</v>
      </c>
      <c r="B259">
        <v>1480</v>
      </c>
      <c r="C259">
        <v>1196</v>
      </c>
      <c r="D259">
        <v>1118</v>
      </c>
    </row>
    <row r="260" spans="1:4" x14ac:dyDescent="0.2">
      <c r="A260" s="48">
        <v>29403</v>
      </c>
      <c r="B260">
        <v>1472</v>
      </c>
      <c r="C260">
        <v>1269</v>
      </c>
      <c r="D260">
        <v>1259</v>
      </c>
    </row>
    <row r="261" spans="1:4" x14ac:dyDescent="0.2">
      <c r="A261" s="48">
        <v>29434</v>
      </c>
      <c r="B261">
        <v>1440</v>
      </c>
      <c r="C261">
        <v>1436</v>
      </c>
      <c r="D261">
        <v>1367</v>
      </c>
    </row>
    <row r="262" spans="1:4" x14ac:dyDescent="0.2">
      <c r="A262" s="48">
        <v>29465</v>
      </c>
      <c r="B262">
        <v>1267</v>
      </c>
      <c r="C262">
        <v>1471</v>
      </c>
      <c r="D262">
        <v>1484</v>
      </c>
    </row>
    <row r="263" spans="1:4" x14ac:dyDescent="0.2">
      <c r="A263" s="48">
        <v>29495</v>
      </c>
      <c r="B263">
        <v>1272</v>
      </c>
      <c r="C263">
        <v>1523</v>
      </c>
      <c r="D263">
        <v>1366</v>
      </c>
    </row>
    <row r="264" spans="1:4" x14ac:dyDescent="0.2">
      <c r="A264" s="48">
        <v>29526</v>
      </c>
      <c r="B264">
        <v>1313</v>
      </c>
      <c r="C264">
        <v>1510</v>
      </c>
      <c r="D264">
        <v>1383</v>
      </c>
    </row>
    <row r="265" spans="1:4" x14ac:dyDescent="0.2">
      <c r="A265" s="48">
        <v>29556</v>
      </c>
      <c r="B265">
        <v>1378</v>
      </c>
      <c r="C265">
        <v>1482</v>
      </c>
      <c r="D265">
        <v>1249</v>
      </c>
    </row>
    <row r="266" spans="1:4" x14ac:dyDescent="0.2">
      <c r="A266" s="48">
        <v>29587</v>
      </c>
      <c r="B266">
        <v>1270</v>
      </c>
      <c r="C266">
        <v>1547</v>
      </c>
      <c r="D266">
        <v>1221</v>
      </c>
    </row>
    <row r="267" spans="1:4" x14ac:dyDescent="0.2">
      <c r="A267" s="48">
        <v>29618</v>
      </c>
      <c r="B267">
        <v>1395</v>
      </c>
      <c r="C267">
        <v>1246</v>
      </c>
      <c r="D267">
        <v>1199</v>
      </c>
    </row>
    <row r="268" spans="1:4" x14ac:dyDescent="0.2">
      <c r="A268" s="48">
        <v>29646</v>
      </c>
      <c r="B268">
        <v>1377</v>
      </c>
      <c r="C268">
        <v>1306</v>
      </c>
      <c r="D268">
        <v>1183</v>
      </c>
    </row>
    <row r="269" spans="1:4" x14ac:dyDescent="0.2">
      <c r="A269" s="48">
        <v>29677</v>
      </c>
      <c r="B269">
        <v>1469</v>
      </c>
      <c r="C269">
        <v>1360</v>
      </c>
      <c r="D269">
        <v>1190</v>
      </c>
    </row>
    <row r="270" spans="1:4" x14ac:dyDescent="0.2">
      <c r="A270" s="48">
        <v>29707</v>
      </c>
      <c r="B270">
        <v>1246</v>
      </c>
      <c r="C270">
        <v>1140</v>
      </c>
      <c r="D270">
        <v>1173</v>
      </c>
    </row>
    <row r="271" spans="1:4" x14ac:dyDescent="0.2">
      <c r="A271" s="48">
        <v>29738</v>
      </c>
      <c r="B271">
        <v>1350</v>
      </c>
      <c r="C271">
        <v>1045</v>
      </c>
      <c r="D271">
        <v>976</v>
      </c>
    </row>
    <row r="272" spans="1:4" x14ac:dyDescent="0.2">
      <c r="A272" s="48">
        <v>29768</v>
      </c>
      <c r="B272">
        <v>1337</v>
      </c>
      <c r="C272">
        <v>1041</v>
      </c>
      <c r="D272">
        <v>935</v>
      </c>
    </row>
    <row r="273" spans="1:4" x14ac:dyDescent="0.2">
      <c r="A273" s="48">
        <v>29799</v>
      </c>
      <c r="B273">
        <v>1222</v>
      </c>
      <c r="C273">
        <v>940</v>
      </c>
      <c r="D273">
        <v>889</v>
      </c>
    </row>
    <row r="274" spans="1:4" x14ac:dyDescent="0.2">
      <c r="A274" s="48">
        <v>29830</v>
      </c>
      <c r="B274">
        <v>1221</v>
      </c>
      <c r="C274">
        <v>911</v>
      </c>
      <c r="D274">
        <v>847</v>
      </c>
    </row>
    <row r="275" spans="1:4" x14ac:dyDescent="0.2">
      <c r="A275" s="48">
        <v>29860</v>
      </c>
      <c r="B275">
        <v>1206</v>
      </c>
      <c r="C275">
        <v>873</v>
      </c>
      <c r="D275">
        <v>731</v>
      </c>
    </row>
    <row r="276" spans="1:4" x14ac:dyDescent="0.2">
      <c r="A276" s="48">
        <v>29891</v>
      </c>
      <c r="B276">
        <v>1074</v>
      </c>
      <c r="C276">
        <v>837</v>
      </c>
      <c r="D276">
        <v>748</v>
      </c>
    </row>
    <row r="277" spans="1:4" x14ac:dyDescent="0.2">
      <c r="A277" s="48">
        <v>29921</v>
      </c>
      <c r="B277">
        <v>1129</v>
      </c>
      <c r="C277">
        <v>910</v>
      </c>
      <c r="D277">
        <v>796</v>
      </c>
    </row>
    <row r="278" spans="1:4" x14ac:dyDescent="0.2">
      <c r="A278" s="48">
        <v>29952</v>
      </c>
      <c r="B278">
        <v>1052</v>
      </c>
      <c r="C278">
        <v>843</v>
      </c>
      <c r="D278">
        <v>794</v>
      </c>
    </row>
    <row r="279" spans="1:4" x14ac:dyDescent="0.2">
      <c r="A279" s="48">
        <v>29983</v>
      </c>
      <c r="B279">
        <v>935</v>
      </c>
      <c r="C279">
        <v>866</v>
      </c>
      <c r="D279">
        <v>808</v>
      </c>
    </row>
    <row r="280" spans="1:4" x14ac:dyDescent="0.2">
      <c r="A280" s="48">
        <v>30011</v>
      </c>
      <c r="B280">
        <v>965</v>
      </c>
      <c r="C280">
        <v>931</v>
      </c>
      <c r="D280">
        <v>891</v>
      </c>
    </row>
    <row r="281" spans="1:4" x14ac:dyDescent="0.2">
      <c r="A281" s="48">
        <v>30042</v>
      </c>
      <c r="B281">
        <v>979</v>
      </c>
      <c r="C281">
        <v>917</v>
      </c>
      <c r="D281">
        <v>888</v>
      </c>
    </row>
    <row r="282" spans="1:4" x14ac:dyDescent="0.2">
      <c r="A282" s="48">
        <v>30072</v>
      </c>
      <c r="B282">
        <v>1060</v>
      </c>
      <c r="C282">
        <v>1025</v>
      </c>
      <c r="D282">
        <v>953</v>
      </c>
    </row>
    <row r="283" spans="1:4" x14ac:dyDescent="0.2">
      <c r="A283" s="48">
        <v>30103</v>
      </c>
      <c r="B283">
        <v>930</v>
      </c>
      <c r="C283">
        <v>902</v>
      </c>
      <c r="D283">
        <v>913</v>
      </c>
    </row>
    <row r="284" spans="1:4" x14ac:dyDescent="0.2">
      <c r="A284" s="48">
        <v>30133</v>
      </c>
      <c r="B284">
        <v>1006</v>
      </c>
      <c r="C284">
        <v>1166</v>
      </c>
      <c r="D284">
        <v>1044</v>
      </c>
    </row>
    <row r="285" spans="1:4" x14ac:dyDescent="0.2">
      <c r="A285" s="48">
        <v>30164</v>
      </c>
      <c r="B285">
        <v>985</v>
      </c>
      <c r="C285">
        <v>1046</v>
      </c>
      <c r="D285">
        <v>926</v>
      </c>
    </row>
    <row r="286" spans="1:4" x14ac:dyDescent="0.2">
      <c r="A286" s="48">
        <v>30195</v>
      </c>
      <c r="B286">
        <v>947</v>
      </c>
      <c r="C286">
        <v>1144</v>
      </c>
      <c r="D286">
        <v>1042</v>
      </c>
    </row>
    <row r="287" spans="1:4" x14ac:dyDescent="0.2">
      <c r="A287" s="48">
        <v>30225</v>
      </c>
      <c r="B287">
        <v>1059</v>
      </c>
      <c r="C287">
        <v>1173</v>
      </c>
      <c r="D287">
        <v>1149</v>
      </c>
    </row>
    <row r="288" spans="1:4" x14ac:dyDescent="0.2">
      <c r="A288" s="48">
        <v>30256</v>
      </c>
      <c r="B288">
        <v>1079</v>
      </c>
      <c r="C288">
        <v>1372</v>
      </c>
      <c r="D288">
        <v>1229</v>
      </c>
    </row>
    <row r="289" spans="1:4" x14ac:dyDescent="0.2">
      <c r="A289" s="48">
        <v>30286</v>
      </c>
      <c r="B289">
        <v>1047</v>
      </c>
      <c r="C289">
        <v>1303</v>
      </c>
      <c r="D289">
        <v>1351</v>
      </c>
    </row>
    <row r="290" spans="1:4" x14ac:dyDescent="0.2">
      <c r="A290" s="48">
        <v>30317</v>
      </c>
      <c r="B290">
        <v>1187</v>
      </c>
      <c r="C290">
        <v>1586</v>
      </c>
      <c r="D290">
        <v>1426</v>
      </c>
    </row>
    <row r="291" spans="1:4" x14ac:dyDescent="0.2">
      <c r="A291" s="48">
        <v>30348</v>
      </c>
      <c r="B291">
        <v>1135</v>
      </c>
      <c r="C291">
        <v>1699</v>
      </c>
      <c r="D291">
        <v>1471</v>
      </c>
    </row>
    <row r="292" spans="1:4" x14ac:dyDescent="0.2">
      <c r="A292" s="48">
        <v>30376</v>
      </c>
      <c r="B292">
        <v>1168</v>
      </c>
      <c r="C292">
        <v>1606</v>
      </c>
      <c r="D292">
        <v>1475</v>
      </c>
    </row>
    <row r="293" spans="1:4" x14ac:dyDescent="0.2">
      <c r="A293" s="48">
        <v>30407</v>
      </c>
      <c r="B293">
        <v>1197</v>
      </c>
      <c r="C293">
        <v>1472</v>
      </c>
      <c r="D293">
        <v>1566</v>
      </c>
    </row>
    <row r="294" spans="1:4" x14ac:dyDescent="0.2">
      <c r="A294" s="48">
        <v>30437</v>
      </c>
      <c r="B294">
        <v>1300</v>
      </c>
      <c r="C294">
        <v>1776</v>
      </c>
      <c r="D294">
        <v>1669</v>
      </c>
    </row>
    <row r="295" spans="1:4" x14ac:dyDescent="0.2">
      <c r="A295" s="48">
        <v>30468</v>
      </c>
      <c r="B295">
        <v>1344</v>
      </c>
      <c r="C295">
        <v>1733</v>
      </c>
      <c r="D295">
        <v>1769</v>
      </c>
    </row>
    <row r="296" spans="1:4" x14ac:dyDescent="0.2">
      <c r="A296" s="48">
        <v>30498</v>
      </c>
      <c r="B296">
        <v>1410</v>
      </c>
      <c r="C296">
        <v>1785</v>
      </c>
      <c r="D296">
        <v>1795</v>
      </c>
    </row>
    <row r="297" spans="1:4" x14ac:dyDescent="0.2">
      <c r="A297" s="48">
        <v>30529</v>
      </c>
      <c r="B297">
        <v>1711</v>
      </c>
      <c r="C297">
        <v>1910</v>
      </c>
      <c r="D297">
        <v>1713</v>
      </c>
    </row>
    <row r="298" spans="1:4" x14ac:dyDescent="0.2">
      <c r="A298" s="48">
        <v>30560</v>
      </c>
      <c r="B298">
        <v>1493</v>
      </c>
      <c r="C298">
        <v>1710</v>
      </c>
      <c r="D298">
        <v>1585</v>
      </c>
    </row>
    <row r="299" spans="1:4" x14ac:dyDescent="0.2">
      <c r="A299" s="48">
        <v>30590</v>
      </c>
      <c r="B299">
        <v>1586</v>
      </c>
      <c r="C299">
        <v>1715</v>
      </c>
      <c r="D299">
        <v>1716</v>
      </c>
    </row>
    <row r="300" spans="1:4" x14ac:dyDescent="0.2">
      <c r="A300" s="48">
        <v>30621</v>
      </c>
      <c r="B300">
        <v>1462</v>
      </c>
      <c r="C300">
        <v>1785</v>
      </c>
      <c r="D300">
        <v>1668</v>
      </c>
    </row>
    <row r="301" spans="1:4" x14ac:dyDescent="0.2">
      <c r="A301" s="48">
        <v>30651</v>
      </c>
      <c r="B301">
        <v>1509</v>
      </c>
      <c r="C301">
        <v>1688</v>
      </c>
      <c r="D301">
        <v>1627</v>
      </c>
    </row>
    <row r="302" spans="1:4" x14ac:dyDescent="0.2">
      <c r="A302" s="48">
        <v>30682</v>
      </c>
      <c r="B302">
        <v>1595</v>
      </c>
      <c r="C302">
        <v>1897</v>
      </c>
      <c r="D302">
        <v>1816</v>
      </c>
    </row>
    <row r="303" spans="1:4" x14ac:dyDescent="0.2">
      <c r="A303" s="48">
        <v>30713</v>
      </c>
      <c r="B303">
        <v>1562</v>
      </c>
      <c r="C303">
        <v>2260</v>
      </c>
      <c r="D303">
        <v>1987</v>
      </c>
    </row>
    <row r="304" spans="1:4" x14ac:dyDescent="0.2">
      <c r="A304" s="48">
        <v>30742</v>
      </c>
      <c r="B304">
        <v>1600</v>
      </c>
      <c r="C304">
        <v>1663</v>
      </c>
      <c r="D304">
        <v>1725</v>
      </c>
    </row>
    <row r="305" spans="1:4" x14ac:dyDescent="0.2">
      <c r="A305" s="48">
        <v>30773</v>
      </c>
      <c r="B305">
        <v>1683</v>
      </c>
      <c r="C305">
        <v>1851</v>
      </c>
      <c r="D305">
        <v>1776</v>
      </c>
    </row>
    <row r="306" spans="1:4" x14ac:dyDescent="0.2">
      <c r="A306" s="48">
        <v>30803</v>
      </c>
      <c r="B306">
        <v>1732</v>
      </c>
      <c r="C306">
        <v>1774</v>
      </c>
      <c r="D306">
        <v>1741</v>
      </c>
    </row>
    <row r="307" spans="1:4" x14ac:dyDescent="0.2">
      <c r="A307" s="48">
        <v>30834</v>
      </c>
      <c r="B307">
        <v>1714</v>
      </c>
      <c r="C307">
        <v>1843</v>
      </c>
      <c r="D307">
        <v>1814</v>
      </c>
    </row>
    <row r="308" spans="1:4" x14ac:dyDescent="0.2">
      <c r="A308" s="48">
        <v>30864</v>
      </c>
      <c r="B308">
        <v>1692</v>
      </c>
      <c r="C308">
        <v>1732</v>
      </c>
      <c r="D308">
        <v>1605</v>
      </c>
    </row>
    <row r="309" spans="1:4" x14ac:dyDescent="0.2">
      <c r="A309" s="48">
        <v>30895</v>
      </c>
      <c r="B309">
        <v>1685</v>
      </c>
      <c r="C309">
        <v>1586</v>
      </c>
      <c r="D309">
        <v>1530</v>
      </c>
    </row>
    <row r="310" spans="1:4" x14ac:dyDescent="0.2">
      <c r="A310" s="48">
        <v>30926</v>
      </c>
      <c r="B310">
        <v>1642</v>
      </c>
      <c r="C310">
        <v>1698</v>
      </c>
      <c r="D310">
        <v>1523</v>
      </c>
    </row>
    <row r="311" spans="1:4" x14ac:dyDescent="0.2">
      <c r="A311" s="48">
        <v>30956</v>
      </c>
      <c r="B311">
        <v>1633</v>
      </c>
      <c r="C311">
        <v>1590</v>
      </c>
      <c r="D311">
        <v>1490</v>
      </c>
    </row>
    <row r="312" spans="1:4" x14ac:dyDescent="0.2">
      <c r="A312" s="48">
        <v>30987</v>
      </c>
      <c r="B312">
        <v>1611</v>
      </c>
      <c r="C312">
        <v>1689</v>
      </c>
      <c r="D312">
        <v>1643</v>
      </c>
    </row>
    <row r="313" spans="1:4" x14ac:dyDescent="0.2">
      <c r="A313" s="48">
        <v>31017</v>
      </c>
      <c r="B313">
        <v>1629</v>
      </c>
      <c r="C313">
        <v>1612</v>
      </c>
      <c r="D313">
        <v>1626</v>
      </c>
    </row>
    <row r="314" spans="1:4" x14ac:dyDescent="0.2">
      <c r="A314" s="48">
        <v>31048</v>
      </c>
      <c r="B314">
        <v>1646</v>
      </c>
      <c r="C314">
        <v>1711</v>
      </c>
      <c r="D314">
        <v>1660</v>
      </c>
    </row>
    <row r="315" spans="1:4" x14ac:dyDescent="0.2">
      <c r="A315" s="48">
        <v>31079</v>
      </c>
      <c r="B315">
        <v>1772</v>
      </c>
      <c r="C315">
        <v>1632</v>
      </c>
      <c r="D315">
        <v>1662</v>
      </c>
    </row>
    <row r="316" spans="1:4" x14ac:dyDescent="0.2">
      <c r="A316" s="48">
        <v>31107</v>
      </c>
      <c r="B316">
        <v>1715</v>
      </c>
      <c r="C316">
        <v>1800</v>
      </c>
      <c r="D316">
        <v>1727</v>
      </c>
    </row>
    <row r="317" spans="1:4" x14ac:dyDescent="0.2">
      <c r="A317" s="48">
        <v>31138</v>
      </c>
      <c r="B317">
        <v>1630</v>
      </c>
      <c r="C317">
        <v>1821</v>
      </c>
      <c r="D317">
        <v>1664</v>
      </c>
    </row>
    <row r="318" spans="1:4" x14ac:dyDescent="0.2">
      <c r="A318" s="48">
        <v>31168</v>
      </c>
      <c r="B318">
        <v>1665</v>
      </c>
      <c r="C318">
        <v>1680</v>
      </c>
      <c r="D318">
        <v>1709</v>
      </c>
    </row>
    <row r="319" spans="1:4" x14ac:dyDescent="0.2">
      <c r="A319" s="48">
        <v>31199</v>
      </c>
      <c r="B319">
        <v>1791</v>
      </c>
      <c r="C319">
        <v>1676</v>
      </c>
      <c r="D319">
        <v>1716</v>
      </c>
    </row>
    <row r="320" spans="1:4" x14ac:dyDescent="0.2">
      <c r="A320" s="48">
        <v>31229</v>
      </c>
      <c r="B320">
        <v>1693</v>
      </c>
      <c r="C320">
        <v>1684</v>
      </c>
      <c r="D320">
        <v>1697</v>
      </c>
    </row>
    <row r="321" spans="1:4" x14ac:dyDescent="0.2">
      <c r="A321" s="48">
        <v>31260</v>
      </c>
      <c r="B321">
        <v>1685</v>
      </c>
      <c r="C321">
        <v>1743</v>
      </c>
      <c r="D321">
        <v>1808</v>
      </c>
    </row>
    <row r="322" spans="1:4" x14ac:dyDescent="0.2">
      <c r="A322" s="48">
        <v>31291</v>
      </c>
      <c r="B322">
        <v>1806</v>
      </c>
      <c r="C322">
        <v>1676</v>
      </c>
      <c r="D322">
        <v>1916</v>
      </c>
    </row>
    <row r="323" spans="1:4" x14ac:dyDescent="0.2">
      <c r="A323" s="48">
        <v>31321</v>
      </c>
      <c r="B323">
        <v>1565</v>
      </c>
      <c r="C323">
        <v>1834</v>
      </c>
      <c r="D323">
        <v>1743</v>
      </c>
    </row>
    <row r="324" spans="1:4" x14ac:dyDescent="0.2">
      <c r="A324" s="48">
        <v>31352</v>
      </c>
      <c r="B324">
        <v>1749</v>
      </c>
      <c r="C324">
        <v>1698</v>
      </c>
      <c r="D324">
        <v>1692</v>
      </c>
    </row>
    <row r="325" spans="1:4" x14ac:dyDescent="0.2">
      <c r="A325" s="48">
        <v>31382</v>
      </c>
      <c r="B325">
        <v>1732</v>
      </c>
      <c r="C325">
        <v>1942</v>
      </c>
      <c r="D325">
        <v>1794</v>
      </c>
    </row>
    <row r="326" spans="1:4" x14ac:dyDescent="0.2">
      <c r="A326" s="48">
        <v>31413</v>
      </c>
      <c r="B326">
        <v>1723</v>
      </c>
      <c r="C326">
        <v>1972</v>
      </c>
      <c r="D326">
        <v>1847</v>
      </c>
    </row>
    <row r="327" spans="1:4" x14ac:dyDescent="0.2">
      <c r="A327" s="48">
        <v>31444</v>
      </c>
      <c r="B327">
        <v>1753</v>
      </c>
      <c r="C327">
        <v>1848</v>
      </c>
      <c r="D327">
        <v>1767</v>
      </c>
    </row>
    <row r="328" spans="1:4" x14ac:dyDescent="0.2">
      <c r="A328" s="48">
        <v>31472</v>
      </c>
      <c r="B328">
        <v>1756</v>
      </c>
      <c r="C328">
        <v>1876</v>
      </c>
      <c r="D328">
        <v>1780</v>
      </c>
    </row>
    <row r="329" spans="1:4" x14ac:dyDescent="0.2">
      <c r="A329" s="48">
        <v>31503</v>
      </c>
      <c r="B329">
        <v>1685</v>
      </c>
      <c r="C329">
        <v>1933</v>
      </c>
      <c r="D329">
        <v>1858</v>
      </c>
    </row>
    <row r="330" spans="1:4" x14ac:dyDescent="0.2">
      <c r="A330" s="48">
        <v>31533</v>
      </c>
      <c r="B330">
        <v>1833</v>
      </c>
      <c r="C330">
        <v>1854</v>
      </c>
      <c r="D330">
        <v>1797</v>
      </c>
    </row>
    <row r="331" spans="1:4" x14ac:dyDescent="0.2">
      <c r="A331" s="48">
        <v>31564</v>
      </c>
      <c r="B331">
        <v>1672</v>
      </c>
      <c r="C331">
        <v>1847</v>
      </c>
      <c r="D331">
        <v>1790</v>
      </c>
    </row>
    <row r="332" spans="1:4" x14ac:dyDescent="0.2">
      <c r="A332" s="48">
        <v>31594</v>
      </c>
      <c r="B332">
        <v>1722</v>
      </c>
      <c r="C332">
        <v>1782</v>
      </c>
      <c r="D332">
        <v>1780</v>
      </c>
    </row>
    <row r="333" spans="1:4" x14ac:dyDescent="0.2">
      <c r="A333" s="48">
        <v>31625</v>
      </c>
      <c r="B333">
        <v>1763</v>
      </c>
      <c r="C333">
        <v>1807</v>
      </c>
      <c r="D333">
        <v>1726</v>
      </c>
    </row>
    <row r="334" spans="1:4" x14ac:dyDescent="0.2">
      <c r="A334" s="48">
        <v>31656</v>
      </c>
      <c r="B334">
        <v>1732</v>
      </c>
      <c r="C334">
        <v>1687</v>
      </c>
      <c r="D334">
        <v>1686</v>
      </c>
    </row>
    <row r="335" spans="1:4" x14ac:dyDescent="0.2">
      <c r="A335" s="48">
        <v>31686</v>
      </c>
      <c r="B335">
        <v>1782</v>
      </c>
      <c r="C335">
        <v>1681</v>
      </c>
      <c r="D335">
        <v>1675</v>
      </c>
    </row>
    <row r="336" spans="1:4" x14ac:dyDescent="0.2">
      <c r="A336" s="48">
        <v>31717</v>
      </c>
      <c r="B336">
        <v>1793</v>
      </c>
      <c r="C336">
        <v>1623</v>
      </c>
      <c r="D336">
        <v>1644</v>
      </c>
    </row>
    <row r="337" spans="1:4" x14ac:dyDescent="0.2">
      <c r="A337" s="48">
        <v>31747</v>
      </c>
      <c r="B337">
        <v>1840</v>
      </c>
      <c r="C337">
        <v>1833</v>
      </c>
      <c r="D337">
        <v>1903</v>
      </c>
    </row>
    <row r="338" spans="1:4" x14ac:dyDescent="0.2">
      <c r="A338" s="48">
        <v>31778</v>
      </c>
      <c r="B338">
        <v>1862</v>
      </c>
      <c r="C338">
        <v>1774</v>
      </c>
      <c r="D338">
        <v>1690</v>
      </c>
    </row>
    <row r="339" spans="1:4" x14ac:dyDescent="0.2">
      <c r="A339" s="48">
        <v>31809</v>
      </c>
      <c r="B339">
        <v>1771</v>
      </c>
      <c r="C339">
        <v>1784</v>
      </c>
      <c r="D339">
        <v>1689</v>
      </c>
    </row>
    <row r="340" spans="1:4" x14ac:dyDescent="0.2">
      <c r="A340" s="48">
        <v>31837</v>
      </c>
      <c r="B340">
        <v>1694</v>
      </c>
      <c r="C340">
        <v>1726</v>
      </c>
      <c r="D340">
        <v>1704</v>
      </c>
    </row>
    <row r="341" spans="1:4" x14ac:dyDescent="0.2">
      <c r="A341" s="48">
        <v>31868</v>
      </c>
      <c r="B341">
        <v>1735</v>
      </c>
      <c r="C341">
        <v>1614</v>
      </c>
      <c r="D341">
        <v>1601</v>
      </c>
    </row>
    <row r="342" spans="1:4" x14ac:dyDescent="0.2">
      <c r="A342" s="48">
        <v>31898</v>
      </c>
      <c r="B342">
        <v>1713</v>
      </c>
      <c r="C342">
        <v>1628</v>
      </c>
      <c r="D342">
        <v>1500</v>
      </c>
    </row>
    <row r="343" spans="1:4" x14ac:dyDescent="0.2">
      <c r="A343" s="48">
        <v>31929</v>
      </c>
      <c r="B343">
        <v>1635</v>
      </c>
      <c r="C343">
        <v>1594</v>
      </c>
      <c r="D343">
        <v>1522</v>
      </c>
    </row>
    <row r="344" spans="1:4" x14ac:dyDescent="0.2">
      <c r="A344" s="48">
        <v>31959</v>
      </c>
      <c r="B344">
        <v>1685</v>
      </c>
      <c r="C344">
        <v>1575</v>
      </c>
      <c r="D344">
        <v>1516</v>
      </c>
    </row>
    <row r="345" spans="1:4" x14ac:dyDescent="0.2">
      <c r="A345" s="48">
        <v>31990</v>
      </c>
      <c r="B345">
        <v>1624</v>
      </c>
      <c r="C345">
        <v>1605</v>
      </c>
      <c r="D345">
        <v>1511</v>
      </c>
    </row>
    <row r="346" spans="1:4" x14ac:dyDescent="0.2">
      <c r="A346" s="48">
        <v>32021</v>
      </c>
      <c r="B346">
        <v>1587</v>
      </c>
      <c r="C346">
        <v>1695</v>
      </c>
      <c r="D346">
        <v>1514</v>
      </c>
    </row>
    <row r="347" spans="1:4" x14ac:dyDescent="0.2">
      <c r="A347" s="48">
        <v>32051</v>
      </c>
      <c r="B347">
        <v>1577</v>
      </c>
      <c r="C347">
        <v>1515</v>
      </c>
      <c r="D347">
        <v>1447</v>
      </c>
    </row>
    <row r="348" spans="1:4" x14ac:dyDescent="0.2">
      <c r="A348" s="48">
        <v>32082</v>
      </c>
      <c r="B348">
        <v>1578</v>
      </c>
      <c r="C348">
        <v>1656</v>
      </c>
      <c r="D348">
        <v>1457</v>
      </c>
    </row>
    <row r="349" spans="1:4" x14ac:dyDescent="0.2">
      <c r="A349" s="48">
        <v>32112</v>
      </c>
      <c r="B349">
        <v>1632</v>
      </c>
      <c r="C349">
        <v>1400</v>
      </c>
      <c r="D349">
        <v>1345</v>
      </c>
    </row>
    <row r="350" spans="1:4" x14ac:dyDescent="0.2">
      <c r="A350" s="48">
        <v>32143</v>
      </c>
      <c r="B350">
        <v>1554</v>
      </c>
      <c r="C350">
        <v>1271</v>
      </c>
      <c r="D350">
        <v>1244</v>
      </c>
    </row>
    <row r="351" spans="1:4" x14ac:dyDescent="0.2">
      <c r="A351" s="48">
        <v>32174</v>
      </c>
      <c r="B351">
        <v>1450</v>
      </c>
      <c r="C351">
        <v>1473</v>
      </c>
      <c r="D351">
        <v>1438</v>
      </c>
    </row>
    <row r="352" spans="1:4" x14ac:dyDescent="0.2">
      <c r="A352" s="48">
        <v>32203</v>
      </c>
      <c r="B352">
        <v>1600</v>
      </c>
      <c r="C352">
        <v>1532</v>
      </c>
      <c r="D352">
        <v>1525</v>
      </c>
    </row>
    <row r="353" spans="1:4" x14ac:dyDescent="0.2">
      <c r="A353" s="48">
        <v>32234</v>
      </c>
      <c r="B353">
        <v>1615</v>
      </c>
      <c r="C353">
        <v>1573</v>
      </c>
      <c r="D353">
        <v>1429</v>
      </c>
    </row>
    <row r="354" spans="1:4" x14ac:dyDescent="0.2">
      <c r="A354" s="48">
        <v>32264</v>
      </c>
      <c r="B354">
        <v>1483</v>
      </c>
      <c r="C354">
        <v>1421</v>
      </c>
      <c r="D354">
        <v>1444</v>
      </c>
    </row>
    <row r="355" spans="1:4" x14ac:dyDescent="0.2">
      <c r="A355" s="48">
        <v>32295</v>
      </c>
      <c r="B355">
        <v>1512</v>
      </c>
      <c r="C355">
        <v>1478</v>
      </c>
      <c r="D355">
        <v>1485</v>
      </c>
    </row>
    <row r="356" spans="1:4" x14ac:dyDescent="0.2">
      <c r="A356" s="48">
        <v>32325</v>
      </c>
      <c r="B356">
        <v>1527</v>
      </c>
      <c r="C356">
        <v>1467</v>
      </c>
      <c r="D356">
        <v>1439</v>
      </c>
    </row>
    <row r="357" spans="1:4" x14ac:dyDescent="0.2">
      <c r="A357" s="48">
        <v>32356</v>
      </c>
      <c r="B357">
        <v>1551</v>
      </c>
      <c r="C357">
        <v>1493</v>
      </c>
      <c r="D357">
        <v>1460</v>
      </c>
    </row>
    <row r="358" spans="1:4" x14ac:dyDescent="0.2">
      <c r="A358" s="48">
        <v>32387</v>
      </c>
      <c r="B358">
        <v>1531</v>
      </c>
      <c r="C358">
        <v>1492</v>
      </c>
      <c r="D358">
        <v>1436</v>
      </c>
    </row>
    <row r="359" spans="1:4" x14ac:dyDescent="0.2">
      <c r="A359" s="48">
        <v>32417</v>
      </c>
      <c r="B359">
        <v>1529</v>
      </c>
      <c r="C359">
        <v>1522</v>
      </c>
      <c r="D359">
        <v>1516</v>
      </c>
    </row>
    <row r="360" spans="1:4" x14ac:dyDescent="0.2">
      <c r="A360" s="48">
        <v>32448</v>
      </c>
      <c r="B360">
        <v>1407</v>
      </c>
      <c r="C360">
        <v>1569</v>
      </c>
      <c r="D360">
        <v>1508</v>
      </c>
    </row>
    <row r="361" spans="1:4" x14ac:dyDescent="0.2">
      <c r="A361" s="48">
        <v>32478</v>
      </c>
      <c r="B361">
        <v>1547</v>
      </c>
      <c r="C361">
        <v>1563</v>
      </c>
      <c r="D361">
        <v>1501</v>
      </c>
    </row>
    <row r="362" spans="1:4" x14ac:dyDescent="0.2">
      <c r="A362" s="48">
        <v>32509</v>
      </c>
      <c r="B362">
        <v>1561</v>
      </c>
      <c r="C362">
        <v>1621</v>
      </c>
      <c r="D362">
        <v>1466</v>
      </c>
    </row>
    <row r="363" spans="1:4" x14ac:dyDescent="0.2">
      <c r="A363" s="48">
        <v>32540</v>
      </c>
      <c r="B363">
        <v>1597</v>
      </c>
      <c r="C363">
        <v>1425</v>
      </c>
      <c r="D363">
        <v>1383</v>
      </c>
    </row>
    <row r="364" spans="1:4" x14ac:dyDescent="0.2">
      <c r="A364" s="48">
        <v>32568</v>
      </c>
      <c r="B364">
        <v>1442</v>
      </c>
      <c r="C364">
        <v>1422</v>
      </c>
      <c r="D364">
        <v>1214</v>
      </c>
    </row>
    <row r="365" spans="1:4" x14ac:dyDescent="0.2">
      <c r="A365" s="48">
        <v>32599</v>
      </c>
      <c r="B365">
        <v>1542</v>
      </c>
      <c r="C365">
        <v>1339</v>
      </c>
      <c r="D365">
        <v>1376</v>
      </c>
    </row>
    <row r="366" spans="1:4" x14ac:dyDescent="0.2">
      <c r="A366" s="48">
        <v>32629</v>
      </c>
      <c r="B366">
        <v>1449</v>
      </c>
      <c r="C366">
        <v>1331</v>
      </c>
      <c r="D366">
        <v>1381</v>
      </c>
    </row>
    <row r="367" spans="1:4" x14ac:dyDescent="0.2">
      <c r="A367" s="48">
        <v>32660</v>
      </c>
      <c r="B367">
        <v>1346</v>
      </c>
      <c r="C367">
        <v>1397</v>
      </c>
      <c r="D367">
        <v>1322</v>
      </c>
    </row>
    <row r="368" spans="1:4" x14ac:dyDescent="0.2">
      <c r="A368" s="48">
        <v>32690</v>
      </c>
      <c r="B368">
        <v>1386</v>
      </c>
      <c r="C368">
        <v>1427</v>
      </c>
      <c r="D368">
        <v>1283</v>
      </c>
    </row>
    <row r="369" spans="1:4" x14ac:dyDescent="0.2">
      <c r="A369" s="48">
        <v>32721</v>
      </c>
      <c r="B369">
        <v>1429</v>
      </c>
      <c r="C369">
        <v>1332</v>
      </c>
      <c r="D369">
        <v>1334</v>
      </c>
    </row>
    <row r="370" spans="1:4" x14ac:dyDescent="0.2">
      <c r="A370" s="48">
        <v>32752</v>
      </c>
      <c r="B370">
        <v>1338</v>
      </c>
      <c r="C370">
        <v>1279</v>
      </c>
      <c r="D370">
        <v>1314</v>
      </c>
    </row>
    <row r="371" spans="1:4" x14ac:dyDescent="0.2">
      <c r="A371" s="48">
        <v>32782</v>
      </c>
      <c r="B371">
        <v>1333</v>
      </c>
      <c r="C371">
        <v>1410</v>
      </c>
      <c r="D371">
        <v>1365</v>
      </c>
    </row>
    <row r="372" spans="1:4" x14ac:dyDescent="0.2">
      <c r="A372" s="48">
        <v>32813</v>
      </c>
      <c r="B372">
        <v>1475</v>
      </c>
      <c r="C372">
        <v>1351</v>
      </c>
      <c r="D372">
        <v>1344</v>
      </c>
    </row>
    <row r="373" spans="1:4" x14ac:dyDescent="0.2">
      <c r="A373" s="48">
        <v>32843</v>
      </c>
      <c r="B373">
        <v>1304</v>
      </c>
      <c r="C373">
        <v>1251</v>
      </c>
      <c r="D373">
        <v>1422</v>
      </c>
    </row>
    <row r="374" spans="1:4" x14ac:dyDescent="0.2">
      <c r="A374" s="48">
        <v>32874</v>
      </c>
      <c r="B374">
        <v>1508</v>
      </c>
      <c r="C374">
        <v>1551</v>
      </c>
      <c r="D374">
        <v>1748</v>
      </c>
    </row>
    <row r="375" spans="1:4" x14ac:dyDescent="0.2">
      <c r="A375" s="48">
        <v>32905</v>
      </c>
      <c r="B375">
        <v>1352</v>
      </c>
      <c r="C375">
        <v>1437</v>
      </c>
      <c r="D375">
        <v>1329</v>
      </c>
    </row>
    <row r="376" spans="1:4" x14ac:dyDescent="0.2">
      <c r="A376" s="48">
        <v>32933</v>
      </c>
      <c r="B376">
        <v>1345</v>
      </c>
      <c r="C376">
        <v>1289</v>
      </c>
      <c r="D376">
        <v>1246</v>
      </c>
    </row>
    <row r="377" spans="1:4" x14ac:dyDescent="0.2">
      <c r="A377" s="48">
        <v>32964</v>
      </c>
      <c r="B377">
        <v>1332</v>
      </c>
      <c r="C377">
        <v>1248</v>
      </c>
      <c r="D377">
        <v>1136</v>
      </c>
    </row>
    <row r="378" spans="1:4" x14ac:dyDescent="0.2">
      <c r="A378" s="48">
        <v>32994</v>
      </c>
      <c r="B378">
        <v>1351</v>
      </c>
      <c r="C378">
        <v>1212</v>
      </c>
      <c r="D378">
        <v>1067</v>
      </c>
    </row>
    <row r="379" spans="1:4" x14ac:dyDescent="0.2">
      <c r="A379" s="48">
        <v>33025</v>
      </c>
      <c r="B379">
        <v>1263</v>
      </c>
      <c r="C379">
        <v>1177</v>
      </c>
      <c r="D379">
        <v>1108</v>
      </c>
    </row>
    <row r="380" spans="1:4" x14ac:dyDescent="0.2">
      <c r="A380" s="48">
        <v>33055</v>
      </c>
      <c r="B380">
        <v>1295</v>
      </c>
      <c r="C380">
        <v>1171</v>
      </c>
      <c r="D380">
        <v>1078</v>
      </c>
    </row>
    <row r="381" spans="1:4" x14ac:dyDescent="0.2">
      <c r="A381" s="48">
        <v>33086</v>
      </c>
      <c r="B381">
        <v>1307</v>
      </c>
      <c r="C381">
        <v>1115</v>
      </c>
      <c r="D381">
        <v>1069</v>
      </c>
    </row>
    <row r="382" spans="1:4" x14ac:dyDescent="0.2">
      <c r="A382" s="48">
        <v>33117</v>
      </c>
      <c r="B382">
        <v>1312</v>
      </c>
      <c r="C382">
        <v>1110</v>
      </c>
      <c r="D382">
        <v>976</v>
      </c>
    </row>
    <row r="383" spans="1:4" x14ac:dyDescent="0.2">
      <c r="A383" s="48">
        <v>33147</v>
      </c>
      <c r="B383">
        <v>1282</v>
      </c>
      <c r="C383">
        <v>1014</v>
      </c>
      <c r="D383">
        <v>925</v>
      </c>
    </row>
    <row r="384" spans="1:4" x14ac:dyDescent="0.2">
      <c r="A384" s="48">
        <v>33178</v>
      </c>
      <c r="B384">
        <v>1248</v>
      </c>
      <c r="C384">
        <v>1145</v>
      </c>
      <c r="D384">
        <v>941</v>
      </c>
    </row>
    <row r="385" spans="1:4" x14ac:dyDescent="0.2">
      <c r="A385" s="48">
        <v>33208</v>
      </c>
      <c r="B385">
        <v>1173</v>
      </c>
      <c r="C385">
        <v>969</v>
      </c>
      <c r="D385">
        <v>861</v>
      </c>
    </row>
    <row r="386" spans="1:4" x14ac:dyDescent="0.2">
      <c r="A386" s="48">
        <v>33239</v>
      </c>
      <c r="B386">
        <v>1149</v>
      </c>
      <c r="C386">
        <v>798</v>
      </c>
      <c r="D386">
        <v>786</v>
      </c>
    </row>
    <row r="387" spans="1:4" x14ac:dyDescent="0.2">
      <c r="A387" s="48">
        <v>33270</v>
      </c>
      <c r="B387">
        <v>1090</v>
      </c>
      <c r="C387">
        <v>965</v>
      </c>
      <c r="D387">
        <v>853</v>
      </c>
    </row>
    <row r="388" spans="1:4" x14ac:dyDescent="0.2">
      <c r="A388" s="48">
        <v>33298</v>
      </c>
      <c r="B388">
        <v>1176</v>
      </c>
      <c r="C388">
        <v>921</v>
      </c>
      <c r="D388">
        <v>911</v>
      </c>
    </row>
    <row r="389" spans="1:4" x14ac:dyDescent="0.2">
      <c r="A389" s="48">
        <v>33329</v>
      </c>
      <c r="B389">
        <v>1093</v>
      </c>
      <c r="C389">
        <v>1001</v>
      </c>
      <c r="D389">
        <v>916</v>
      </c>
    </row>
    <row r="390" spans="1:4" x14ac:dyDescent="0.2">
      <c r="A390" s="48">
        <v>33359</v>
      </c>
      <c r="B390">
        <v>1070</v>
      </c>
      <c r="C390">
        <v>996</v>
      </c>
      <c r="D390">
        <v>991</v>
      </c>
    </row>
    <row r="391" spans="1:4" x14ac:dyDescent="0.2">
      <c r="A391" s="48">
        <v>33390</v>
      </c>
      <c r="B391">
        <v>1093</v>
      </c>
      <c r="C391">
        <v>1036</v>
      </c>
      <c r="D391">
        <v>964</v>
      </c>
    </row>
    <row r="392" spans="1:4" x14ac:dyDescent="0.2">
      <c r="A392" s="48">
        <v>33420</v>
      </c>
      <c r="B392">
        <v>1076</v>
      </c>
      <c r="C392">
        <v>1063</v>
      </c>
      <c r="D392">
        <v>973</v>
      </c>
    </row>
    <row r="393" spans="1:4" x14ac:dyDescent="0.2">
      <c r="A393" s="48">
        <v>33451</v>
      </c>
      <c r="B393">
        <v>1050</v>
      </c>
      <c r="C393">
        <v>1049</v>
      </c>
      <c r="D393">
        <v>944</v>
      </c>
    </row>
    <row r="394" spans="1:4" x14ac:dyDescent="0.2">
      <c r="A394" s="48">
        <v>33482</v>
      </c>
      <c r="B394">
        <v>1216</v>
      </c>
      <c r="C394">
        <v>1015</v>
      </c>
      <c r="D394">
        <v>974</v>
      </c>
    </row>
    <row r="395" spans="1:4" x14ac:dyDescent="0.2">
      <c r="A395" s="48">
        <v>33512</v>
      </c>
      <c r="B395">
        <v>1076</v>
      </c>
      <c r="C395">
        <v>1079</v>
      </c>
      <c r="D395">
        <v>991</v>
      </c>
    </row>
    <row r="396" spans="1:4" x14ac:dyDescent="0.2">
      <c r="A396" s="48">
        <v>33543</v>
      </c>
      <c r="B396">
        <v>1013</v>
      </c>
      <c r="C396">
        <v>1103</v>
      </c>
      <c r="D396">
        <v>984</v>
      </c>
    </row>
    <row r="397" spans="1:4" x14ac:dyDescent="0.2">
      <c r="A397" s="48">
        <v>33573</v>
      </c>
      <c r="B397">
        <v>1002</v>
      </c>
      <c r="C397">
        <v>1079</v>
      </c>
      <c r="D397">
        <v>1061</v>
      </c>
    </row>
    <row r="398" spans="1:4" x14ac:dyDescent="0.2">
      <c r="A398" s="48">
        <v>33604</v>
      </c>
      <c r="B398">
        <v>1061</v>
      </c>
      <c r="C398">
        <v>1176</v>
      </c>
      <c r="D398">
        <v>1077</v>
      </c>
    </row>
    <row r="399" spans="1:4" x14ac:dyDescent="0.2">
      <c r="A399" s="48">
        <v>33635</v>
      </c>
      <c r="B399">
        <v>1098</v>
      </c>
      <c r="C399">
        <v>1250</v>
      </c>
      <c r="D399">
        <v>1146</v>
      </c>
    </row>
    <row r="400" spans="1:4" x14ac:dyDescent="0.2">
      <c r="A400" s="48">
        <v>33664</v>
      </c>
      <c r="B400">
        <v>1128</v>
      </c>
      <c r="C400">
        <v>1297</v>
      </c>
      <c r="D400">
        <v>1082</v>
      </c>
    </row>
    <row r="401" spans="1:4" x14ac:dyDescent="0.2">
      <c r="A401" s="48">
        <v>33695</v>
      </c>
      <c r="B401">
        <v>1083</v>
      </c>
      <c r="C401">
        <v>1099</v>
      </c>
      <c r="D401">
        <v>1054</v>
      </c>
    </row>
    <row r="402" spans="1:4" x14ac:dyDescent="0.2">
      <c r="A402" s="48">
        <v>33725</v>
      </c>
      <c r="B402">
        <v>1187</v>
      </c>
      <c r="C402">
        <v>1214</v>
      </c>
      <c r="D402">
        <v>1056</v>
      </c>
    </row>
    <row r="403" spans="1:4" x14ac:dyDescent="0.2">
      <c r="A403" s="48">
        <v>33756</v>
      </c>
      <c r="B403">
        <v>1189</v>
      </c>
      <c r="C403">
        <v>1145</v>
      </c>
      <c r="D403">
        <v>1057</v>
      </c>
    </row>
    <row r="404" spans="1:4" x14ac:dyDescent="0.2">
      <c r="A404" s="48">
        <v>33786</v>
      </c>
      <c r="B404">
        <v>1251</v>
      </c>
      <c r="C404">
        <v>1139</v>
      </c>
      <c r="D404">
        <v>1089</v>
      </c>
    </row>
    <row r="405" spans="1:4" x14ac:dyDescent="0.2">
      <c r="A405" s="48">
        <v>33817</v>
      </c>
      <c r="B405">
        <v>1140</v>
      </c>
      <c r="C405">
        <v>1226</v>
      </c>
      <c r="D405">
        <v>1075</v>
      </c>
    </row>
    <row r="406" spans="1:4" x14ac:dyDescent="0.2">
      <c r="A406" s="48">
        <v>33848</v>
      </c>
      <c r="B406">
        <v>1123</v>
      </c>
      <c r="C406">
        <v>1186</v>
      </c>
      <c r="D406">
        <v>1114</v>
      </c>
    </row>
    <row r="407" spans="1:4" x14ac:dyDescent="0.2">
      <c r="A407" s="48">
        <v>33878</v>
      </c>
      <c r="B407">
        <v>1139</v>
      </c>
      <c r="C407">
        <v>1244</v>
      </c>
      <c r="D407">
        <v>1132</v>
      </c>
    </row>
    <row r="408" spans="1:4" x14ac:dyDescent="0.2">
      <c r="A408" s="48">
        <v>33909</v>
      </c>
      <c r="B408">
        <v>1224</v>
      </c>
      <c r="C408">
        <v>1214</v>
      </c>
      <c r="D408">
        <v>1118</v>
      </c>
    </row>
    <row r="409" spans="1:4" x14ac:dyDescent="0.2">
      <c r="A409" s="48">
        <v>33939</v>
      </c>
      <c r="B409">
        <v>1199</v>
      </c>
      <c r="C409">
        <v>1227</v>
      </c>
      <c r="D409">
        <v>1176</v>
      </c>
    </row>
    <row r="410" spans="1:4" x14ac:dyDescent="0.2">
      <c r="A410" s="48">
        <v>33970</v>
      </c>
      <c r="B410">
        <v>1135</v>
      </c>
      <c r="C410">
        <v>1210</v>
      </c>
      <c r="D410">
        <v>1177</v>
      </c>
    </row>
    <row r="411" spans="1:4" x14ac:dyDescent="0.2">
      <c r="A411" s="48">
        <v>34001</v>
      </c>
      <c r="B411">
        <v>1236</v>
      </c>
      <c r="C411">
        <v>1210</v>
      </c>
      <c r="D411">
        <v>1148</v>
      </c>
    </row>
    <row r="412" spans="1:4" x14ac:dyDescent="0.2">
      <c r="A412" s="48">
        <v>34029</v>
      </c>
      <c r="B412">
        <v>1105</v>
      </c>
      <c r="C412">
        <v>1083</v>
      </c>
      <c r="D412">
        <v>1056</v>
      </c>
    </row>
    <row r="413" spans="1:4" x14ac:dyDescent="0.2">
      <c r="A413" s="48">
        <v>34060</v>
      </c>
      <c r="B413">
        <v>1216</v>
      </c>
      <c r="C413">
        <v>1258</v>
      </c>
      <c r="D413">
        <v>1104</v>
      </c>
    </row>
    <row r="414" spans="1:4" x14ac:dyDescent="0.2">
      <c r="A414" s="48">
        <v>34090</v>
      </c>
      <c r="B414">
        <v>1111</v>
      </c>
      <c r="C414">
        <v>1260</v>
      </c>
      <c r="D414">
        <v>1112</v>
      </c>
    </row>
    <row r="415" spans="1:4" x14ac:dyDescent="0.2">
      <c r="A415" s="48">
        <v>34121</v>
      </c>
      <c r="B415">
        <v>1193</v>
      </c>
      <c r="C415">
        <v>1280</v>
      </c>
      <c r="D415">
        <v>1130</v>
      </c>
    </row>
    <row r="416" spans="1:4" x14ac:dyDescent="0.2">
      <c r="A416" s="48">
        <v>34151</v>
      </c>
      <c r="B416">
        <v>1090</v>
      </c>
      <c r="C416">
        <v>1254</v>
      </c>
      <c r="D416">
        <v>1174</v>
      </c>
    </row>
    <row r="417" spans="1:4" x14ac:dyDescent="0.2">
      <c r="A417" s="48">
        <v>34182</v>
      </c>
      <c r="B417">
        <v>1264</v>
      </c>
      <c r="C417">
        <v>1300</v>
      </c>
      <c r="D417">
        <v>1230</v>
      </c>
    </row>
    <row r="418" spans="1:4" x14ac:dyDescent="0.2">
      <c r="A418" s="48">
        <v>34213</v>
      </c>
      <c r="B418">
        <v>1172</v>
      </c>
      <c r="C418">
        <v>1343</v>
      </c>
      <c r="D418">
        <v>1251</v>
      </c>
    </row>
    <row r="419" spans="1:4" x14ac:dyDescent="0.2">
      <c r="A419" s="48">
        <v>34243</v>
      </c>
      <c r="B419">
        <v>1246</v>
      </c>
      <c r="C419">
        <v>1392</v>
      </c>
      <c r="D419">
        <v>1287</v>
      </c>
    </row>
    <row r="420" spans="1:4" x14ac:dyDescent="0.2">
      <c r="A420" s="48">
        <v>34274</v>
      </c>
      <c r="B420">
        <v>1235</v>
      </c>
      <c r="C420">
        <v>1376</v>
      </c>
      <c r="D420">
        <v>1357</v>
      </c>
    </row>
    <row r="421" spans="1:4" x14ac:dyDescent="0.2">
      <c r="A421" s="48">
        <v>34304</v>
      </c>
      <c r="B421">
        <v>1289</v>
      </c>
      <c r="C421">
        <v>1533</v>
      </c>
      <c r="D421">
        <v>1461</v>
      </c>
    </row>
    <row r="422" spans="1:4" x14ac:dyDescent="0.2">
      <c r="A422" s="48">
        <v>34335</v>
      </c>
      <c r="B422">
        <v>1228</v>
      </c>
      <c r="C422">
        <v>1272</v>
      </c>
      <c r="D422">
        <v>1390</v>
      </c>
    </row>
    <row r="423" spans="1:4" x14ac:dyDescent="0.2">
      <c r="A423" s="48">
        <v>34366</v>
      </c>
      <c r="B423">
        <v>1353</v>
      </c>
      <c r="C423">
        <v>1337</v>
      </c>
      <c r="D423">
        <v>1269</v>
      </c>
    </row>
    <row r="424" spans="1:4" x14ac:dyDescent="0.2">
      <c r="A424" s="48">
        <v>34394</v>
      </c>
      <c r="B424">
        <v>1257</v>
      </c>
      <c r="C424">
        <v>1564</v>
      </c>
      <c r="D424">
        <v>1342</v>
      </c>
    </row>
    <row r="425" spans="1:4" x14ac:dyDescent="0.2">
      <c r="A425" s="48">
        <v>34425</v>
      </c>
      <c r="B425">
        <v>1374</v>
      </c>
      <c r="C425">
        <v>1465</v>
      </c>
      <c r="D425">
        <v>1392</v>
      </c>
    </row>
    <row r="426" spans="1:4" x14ac:dyDescent="0.2">
      <c r="A426" s="48">
        <v>34455</v>
      </c>
      <c r="B426">
        <v>1430</v>
      </c>
      <c r="C426">
        <v>1526</v>
      </c>
      <c r="D426">
        <v>1396</v>
      </c>
    </row>
    <row r="427" spans="1:4" x14ac:dyDescent="0.2">
      <c r="A427" s="48">
        <v>34486</v>
      </c>
      <c r="B427">
        <v>1336</v>
      </c>
      <c r="C427">
        <v>1409</v>
      </c>
      <c r="D427">
        <v>1357</v>
      </c>
    </row>
    <row r="428" spans="1:4" x14ac:dyDescent="0.2">
      <c r="A428" s="48">
        <v>34516</v>
      </c>
      <c r="B428">
        <v>1281</v>
      </c>
      <c r="C428">
        <v>1439</v>
      </c>
      <c r="D428">
        <v>1335</v>
      </c>
    </row>
    <row r="429" spans="1:4" x14ac:dyDescent="0.2">
      <c r="A429" s="48">
        <v>34547</v>
      </c>
      <c r="B429">
        <v>1348</v>
      </c>
      <c r="C429">
        <v>1450</v>
      </c>
      <c r="D429">
        <v>1377</v>
      </c>
    </row>
    <row r="430" spans="1:4" x14ac:dyDescent="0.2">
      <c r="A430" s="48">
        <v>34578</v>
      </c>
      <c r="B430">
        <v>1414</v>
      </c>
      <c r="C430">
        <v>1474</v>
      </c>
      <c r="D430">
        <v>1412</v>
      </c>
    </row>
    <row r="431" spans="1:4" x14ac:dyDescent="0.2">
      <c r="A431" s="48">
        <v>34608</v>
      </c>
      <c r="B431">
        <v>1378</v>
      </c>
      <c r="C431">
        <v>1450</v>
      </c>
      <c r="D431">
        <v>1397</v>
      </c>
    </row>
    <row r="432" spans="1:4" x14ac:dyDescent="0.2">
      <c r="A432" s="48">
        <v>34639</v>
      </c>
      <c r="B432">
        <v>1365</v>
      </c>
      <c r="C432">
        <v>1511</v>
      </c>
      <c r="D432">
        <v>1340</v>
      </c>
    </row>
    <row r="433" spans="1:4" x14ac:dyDescent="0.2">
      <c r="A433" s="48">
        <v>34669</v>
      </c>
      <c r="B433">
        <v>1386</v>
      </c>
      <c r="C433">
        <v>1455</v>
      </c>
      <c r="D433">
        <v>1396</v>
      </c>
    </row>
    <row r="434" spans="1:4" x14ac:dyDescent="0.2">
      <c r="A434" s="48">
        <v>34700</v>
      </c>
      <c r="B434">
        <v>1423</v>
      </c>
      <c r="C434">
        <v>1407</v>
      </c>
      <c r="D434">
        <v>1282</v>
      </c>
    </row>
    <row r="435" spans="1:4" x14ac:dyDescent="0.2">
      <c r="A435" s="48">
        <v>34731</v>
      </c>
      <c r="B435">
        <v>1294</v>
      </c>
      <c r="C435">
        <v>1316</v>
      </c>
      <c r="D435">
        <v>1254</v>
      </c>
    </row>
    <row r="436" spans="1:4" x14ac:dyDescent="0.2">
      <c r="A436" s="48">
        <v>34759</v>
      </c>
      <c r="B436">
        <v>1413</v>
      </c>
      <c r="C436">
        <v>1249</v>
      </c>
      <c r="D436">
        <v>1226</v>
      </c>
    </row>
    <row r="437" spans="1:4" x14ac:dyDescent="0.2">
      <c r="A437" s="48">
        <v>34790</v>
      </c>
      <c r="B437">
        <v>1342</v>
      </c>
      <c r="C437">
        <v>1267</v>
      </c>
      <c r="D437">
        <v>1259</v>
      </c>
    </row>
    <row r="438" spans="1:4" x14ac:dyDescent="0.2">
      <c r="A438" s="48">
        <v>34820</v>
      </c>
      <c r="B438">
        <v>1326</v>
      </c>
      <c r="C438">
        <v>1314</v>
      </c>
      <c r="D438">
        <v>1271</v>
      </c>
    </row>
    <row r="439" spans="1:4" x14ac:dyDescent="0.2">
      <c r="A439" s="48">
        <v>34851</v>
      </c>
      <c r="B439">
        <v>1242</v>
      </c>
      <c r="C439">
        <v>1281</v>
      </c>
      <c r="D439">
        <v>1305</v>
      </c>
    </row>
    <row r="440" spans="1:4" x14ac:dyDescent="0.2">
      <c r="A440" s="48">
        <v>34881</v>
      </c>
      <c r="B440">
        <v>1352</v>
      </c>
      <c r="C440">
        <v>1461</v>
      </c>
      <c r="D440">
        <v>1354</v>
      </c>
    </row>
    <row r="441" spans="1:4" x14ac:dyDescent="0.2">
      <c r="A441" s="48">
        <v>34912</v>
      </c>
      <c r="B441">
        <v>1265</v>
      </c>
      <c r="C441">
        <v>1416</v>
      </c>
      <c r="D441">
        <v>1386</v>
      </c>
    </row>
    <row r="442" spans="1:4" x14ac:dyDescent="0.2">
      <c r="A442" s="48">
        <v>34943</v>
      </c>
      <c r="B442">
        <v>1279</v>
      </c>
      <c r="C442">
        <v>1369</v>
      </c>
      <c r="D442">
        <v>1421</v>
      </c>
    </row>
    <row r="443" spans="1:4" x14ac:dyDescent="0.2">
      <c r="A443" s="48">
        <v>34973</v>
      </c>
      <c r="B443">
        <v>1335</v>
      </c>
      <c r="C443">
        <v>1369</v>
      </c>
      <c r="D443">
        <v>1400</v>
      </c>
    </row>
    <row r="444" spans="1:4" x14ac:dyDescent="0.2">
      <c r="A444" s="48">
        <v>35004</v>
      </c>
      <c r="B444">
        <v>1360</v>
      </c>
      <c r="C444">
        <v>1452</v>
      </c>
      <c r="D444">
        <v>1430</v>
      </c>
    </row>
    <row r="445" spans="1:4" x14ac:dyDescent="0.2">
      <c r="A445" s="48">
        <v>35034</v>
      </c>
      <c r="B445">
        <v>1200</v>
      </c>
      <c r="C445">
        <v>1431</v>
      </c>
      <c r="D445">
        <v>1442</v>
      </c>
    </row>
    <row r="446" spans="1:4" x14ac:dyDescent="0.2">
      <c r="A446" s="48">
        <v>35065</v>
      </c>
      <c r="B446">
        <v>1402</v>
      </c>
      <c r="C446">
        <v>1467</v>
      </c>
      <c r="D446">
        <v>1387</v>
      </c>
    </row>
    <row r="447" spans="1:4" x14ac:dyDescent="0.2">
      <c r="A447" s="48">
        <v>35096</v>
      </c>
      <c r="B447">
        <v>1317</v>
      </c>
      <c r="C447">
        <v>1491</v>
      </c>
      <c r="D447">
        <v>1420</v>
      </c>
    </row>
    <row r="448" spans="1:4" x14ac:dyDescent="0.2">
      <c r="A448" s="48">
        <v>35125</v>
      </c>
      <c r="B448">
        <v>1369</v>
      </c>
      <c r="C448">
        <v>1424</v>
      </c>
      <c r="D448">
        <v>1437</v>
      </c>
    </row>
    <row r="449" spans="1:4" x14ac:dyDescent="0.2">
      <c r="A449" s="48">
        <v>35156</v>
      </c>
      <c r="B449">
        <v>1327</v>
      </c>
      <c r="C449">
        <v>1516</v>
      </c>
      <c r="D449">
        <v>1463</v>
      </c>
    </row>
    <row r="450" spans="1:4" x14ac:dyDescent="0.2">
      <c r="A450" s="48">
        <v>35186</v>
      </c>
      <c r="B450">
        <v>1423</v>
      </c>
      <c r="C450">
        <v>1504</v>
      </c>
      <c r="D450">
        <v>1457</v>
      </c>
    </row>
    <row r="451" spans="1:4" x14ac:dyDescent="0.2">
      <c r="A451" s="48">
        <v>35217</v>
      </c>
      <c r="B451">
        <v>1437</v>
      </c>
      <c r="C451">
        <v>1467</v>
      </c>
      <c r="D451">
        <v>1429</v>
      </c>
    </row>
    <row r="452" spans="1:4" x14ac:dyDescent="0.2">
      <c r="A452" s="48">
        <v>35247</v>
      </c>
      <c r="B452">
        <v>1453</v>
      </c>
      <c r="C452">
        <v>1472</v>
      </c>
      <c r="D452">
        <v>1450</v>
      </c>
    </row>
    <row r="453" spans="1:4" x14ac:dyDescent="0.2">
      <c r="A453" s="48">
        <v>35278</v>
      </c>
      <c r="B453">
        <v>1468</v>
      </c>
      <c r="C453">
        <v>1557</v>
      </c>
      <c r="D453">
        <v>1413</v>
      </c>
    </row>
    <row r="454" spans="1:4" x14ac:dyDescent="0.2">
      <c r="A454" s="48">
        <v>35309</v>
      </c>
      <c r="B454">
        <v>1379</v>
      </c>
      <c r="C454">
        <v>1475</v>
      </c>
      <c r="D454">
        <v>1392</v>
      </c>
    </row>
    <row r="455" spans="1:4" x14ac:dyDescent="0.2">
      <c r="A455" s="48">
        <v>35339</v>
      </c>
      <c r="B455">
        <v>1392</v>
      </c>
      <c r="C455">
        <v>1392</v>
      </c>
      <c r="D455">
        <v>1358</v>
      </c>
    </row>
    <row r="456" spans="1:4" x14ac:dyDescent="0.2">
      <c r="A456" s="48">
        <v>35370</v>
      </c>
      <c r="B456">
        <v>1413</v>
      </c>
      <c r="C456">
        <v>1489</v>
      </c>
      <c r="D456">
        <v>1412</v>
      </c>
    </row>
    <row r="457" spans="1:4" x14ac:dyDescent="0.2">
      <c r="A457" s="48">
        <v>35400</v>
      </c>
      <c r="B457">
        <v>1487</v>
      </c>
      <c r="C457">
        <v>1370</v>
      </c>
      <c r="D457">
        <v>1411</v>
      </c>
    </row>
    <row r="458" spans="1:4" x14ac:dyDescent="0.2">
      <c r="A458" s="48">
        <v>35431</v>
      </c>
      <c r="B458">
        <v>1377</v>
      </c>
      <c r="C458">
        <v>1355</v>
      </c>
      <c r="D458">
        <v>1382</v>
      </c>
    </row>
    <row r="459" spans="1:4" x14ac:dyDescent="0.2">
      <c r="A459" s="48">
        <v>35462</v>
      </c>
      <c r="B459">
        <v>1545</v>
      </c>
      <c r="C459">
        <v>1486</v>
      </c>
      <c r="D459">
        <v>1445</v>
      </c>
    </row>
    <row r="460" spans="1:4" x14ac:dyDescent="0.2">
      <c r="A460" s="48">
        <v>35490</v>
      </c>
      <c r="B460">
        <v>1445</v>
      </c>
      <c r="C460">
        <v>1457</v>
      </c>
      <c r="D460">
        <v>1436</v>
      </c>
    </row>
    <row r="461" spans="1:4" x14ac:dyDescent="0.2">
      <c r="A461" s="48">
        <v>35521</v>
      </c>
      <c r="B461">
        <v>1438</v>
      </c>
      <c r="C461">
        <v>1492</v>
      </c>
      <c r="D461">
        <v>1421</v>
      </c>
    </row>
    <row r="462" spans="1:4" x14ac:dyDescent="0.2">
      <c r="A462" s="48">
        <v>35551</v>
      </c>
      <c r="B462">
        <v>1400</v>
      </c>
      <c r="C462">
        <v>1442</v>
      </c>
      <c r="D462">
        <v>1414</v>
      </c>
    </row>
    <row r="463" spans="1:4" x14ac:dyDescent="0.2">
      <c r="A463" s="48">
        <v>35582</v>
      </c>
      <c r="B463">
        <v>1315</v>
      </c>
      <c r="C463">
        <v>1494</v>
      </c>
      <c r="D463">
        <v>1402</v>
      </c>
    </row>
    <row r="464" spans="1:4" x14ac:dyDescent="0.2">
      <c r="A464" s="48">
        <v>35612</v>
      </c>
      <c r="B464">
        <v>1313</v>
      </c>
      <c r="C464">
        <v>1437</v>
      </c>
      <c r="D464">
        <v>1440</v>
      </c>
    </row>
    <row r="465" spans="1:4" x14ac:dyDescent="0.2">
      <c r="A465" s="48">
        <v>35643</v>
      </c>
      <c r="B465">
        <v>1332</v>
      </c>
      <c r="C465">
        <v>1390</v>
      </c>
      <c r="D465">
        <v>1449</v>
      </c>
    </row>
    <row r="466" spans="1:4" x14ac:dyDescent="0.2">
      <c r="A466" s="48">
        <v>35674</v>
      </c>
      <c r="B466">
        <v>1442</v>
      </c>
      <c r="C466">
        <v>1546</v>
      </c>
      <c r="D466">
        <v>1494</v>
      </c>
    </row>
    <row r="467" spans="1:4" x14ac:dyDescent="0.2">
      <c r="A467" s="48">
        <v>35704</v>
      </c>
      <c r="B467">
        <v>1396</v>
      </c>
      <c r="C467">
        <v>1520</v>
      </c>
      <c r="D467">
        <v>1499</v>
      </c>
    </row>
    <row r="468" spans="1:4" x14ac:dyDescent="0.2">
      <c r="A468" s="48">
        <v>35735</v>
      </c>
      <c r="B468">
        <v>1420</v>
      </c>
      <c r="C468">
        <v>1510</v>
      </c>
      <c r="D468">
        <v>1469</v>
      </c>
    </row>
    <row r="469" spans="1:4" x14ac:dyDescent="0.2">
      <c r="A469" s="48">
        <v>35765</v>
      </c>
      <c r="B469">
        <v>1428</v>
      </c>
      <c r="C469">
        <v>1566</v>
      </c>
      <c r="D469">
        <v>1456</v>
      </c>
    </row>
    <row r="470" spans="1:4" x14ac:dyDescent="0.2">
      <c r="A470" s="48">
        <v>35796</v>
      </c>
      <c r="B470">
        <v>1316</v>
      </c>
      <c r="C470">
        <v>1525</v>
      </c>
      <c r="D470">
        <v>1555</v>
      </c>
    </row>
    <row r="471" spans="1:4" x14ac:dyDescent="0.2">
      <c r="A471" s="48">
        <v>35827</v>
      </c>
      <c r="B471">
        <v>1441</v>
      </c>
      <c r="C471">
        <v>1584</v>
      </c>
      <c r="D471">
        <v>1647</v>
      </c>
    </row>
    <row r="472" spans="1:4" x14ac:dyDescent="0.2">
      <c r="A472" s="48">
        <v>35855</v>
      </c>
      <c r="B472">
        <v>1477</v>
      </c>
      <c r="C472">
        <v>1567</v>
      </c>
      <c r="D472">
        <v>1605</v>
      </c>
    </row>
    <row r="473" spans="1:4" x14ac:dyDescent="0.2">
      <c r="A473" s="48">
        <v>35886</v>
      </c>
      <c r="B473">
        <v>1498</v>
      </c>
      <c r="C473">
        <v>1540</v>
      </c>
      <c r="D473">
        <v>1547</v>
      </c>
    </row>
    <row r="474" spans="1:4" x14ac:dyDescent="0.2">
      <c r="A474" s="48">
        <v>35916</v>
      </c>
      <c r="B474">
        <v>1465</v>
      </c>
      <c r="C474">
        <v>1536</v>
      </c>
      <c r="D474">
        <v>1554</v>
      </c>
    </row>
    <row r="475" spans="1:4" x14ac:dyDescent="0.2">
      <c r="A475" s="48">
        <v>35947</v>
      </c>
      <c r="B475">
        <v>1467</v>
      </c>
      <c r="C475">
        <v>1641</v>
      </c>
      <c r="D475">
        <v>1551</v>
      </c>
    </row>
    <row r="476" spans="1:4" x14ac:dyDescent="0.2">
      <c r="A476" s="48">
        <v>35977</v>
      </c>
      <c r="B476">
        <v>1552</v>
      </c>
      <c r="C476">
        <v>1698</v>
      </c>
      <c r="D476">
        <v>1610</v>
      </c>
    </row>
    <row r="477" spans="1:4" x14ac:dyDescent="0.2">
      <c r="A477" s="48">
        <v>36008</v>
      </c>
      <c r="B477">
        <v>1521</v>
      </c>
      <c r="C477">
        <v>1614</v>
      </c>
      <c r="D477">
        <v>1654</v>
      </c>
    </row>
    <row r="478" spans="1:4" x14ac:dyDescent="0.2">
      <c r="A478" s="48">
        <v>36039</v>
      </c>
      <c r="B478">
        <v>1452</v>
      </c>
      <c r="C478">
        <v>1582</v>
      </c>
      <c r="D478">
        <v>1577</v>
      </c>
    </row>
    <row r="479" spans="1:4" x14ac:dyDescent="0.2">
      <c r="A479" s="48">
        <v>36069</v>
      </c>
      <c r="B479">
        <v>1452</v>
      </c>
      <c r="C479">
        <v>1715</v>
      </c>
      <c r="D479">
        <v>1719</v>
      </c>
    </row>
    <row r="480" spans="1:4" x14ac:dyDescent="0.2">
      <c r="A480" s="48">
        <v>36100</v>
      </c>
      <c r="B480">
        <v>1604</v>
      </c>
      <c r="C480">
        <v>1660</v>
      </c>
      <c r="D480">
        <v>1672</v>
      </c>
    </row>
    <row r="481" spans="1:4" x14ac:dyDescent="0.2">
      <c r="A481" s="48">
        <v>36130</v>
      </c>
      <c r="B481">
        <v>1433</v>
      </c>
      <c r="C481">
        <v>1792</v>
      </c>
      <c r="D481">
        <v>1742</v>
      </c>
    </row>
    <row r="482" spans="1:4" x14ac:dyDescent="0.2">
      <c r="A482" s="48">
        <v>36161</v>
      </c>
      <c r="B482">
        <v>1599</v>
      </c>
      <c r="C482">
        <v>1748</v>
      </c>
      <c r="D482">
        <v>1732</v>
      </c>
    </row>
    <row r="483" spans="1:4" x14ac:dyDescent="0.2">
      <c r="A483" s="48">
        <v>36192</v>
      </c>
      <c r="B483">
        <v>1459</v>
      </c>
      <c r="C483">
        <v>1670</v>
      </c>
      <c r="D483">
        <v>1720</v>
      </c>
    </row>
    <row r="484" spans="1:4" x14ac:dyDescent="0.2">
      <c r="A484" s="48">
        <v>36220</v>
      </c>
      <c r="B484">
        <v>1673</v>
      </c>
      <c r="C484">
        <v>1710</v>
      </c>
      <c r="D484">
        <v>1665</v>
      </c>
    </row>
    <row r="485" spans="1:4" x14ac:dyDescent="0.2">
      <c r="A485" s="48">
        <v>36251</v>
      </c>
      <c r="B485">
        <v>1580</v>
      </c>
      <c r="C485">
        <v>1553</v>
      </c>
      <c r="D485">
        <v>1600</v>
      </c>
    </row>
    <row r="486" spans="1:4" x14ac:dyDescent="0.2">
      <c r="A486" s="48">
        <v>36281</v>
      </c>
      <c r="B486">
        <v>1623</v>
      </c>
      <c r="C486">
        <v>1611</v>
      </c>
      <c r="D486">
        <v>1640</v>
      </c>
    </row>
    <row r="487" spans="1:4" x14ac:dyDescent="0.2">
      <c r="A487" s="48">
        <v>36312</v>
      </c>
      <c r="B487">
        <v>1648</v>
      </c>
      <c r="C487">
        <v>1559</v>
      </c>
      <c r="D487">
        <v>1702</v>
      </c>
    </row>
    <row r="488" spans="1:4" x14ac:dyDescent="0.2">
      <c r="A488" s="48">
        <v>36342</v>
      </c>
      <c r="B488">
        <v>1597</v>
      </c>
      <c r="C488">
        <v>1669</v>
      </c>
      <c r="D488">
        <v>1682</v>
      </c>
    </row>
    <row r="489" spans="1:4" x14ac:dyDescent="0.2">
      <c r="A489" s="48">
        <v>36373</v>
      </c>
      <c r="B489">
        <v>1563</v>
      </c>
      <c r="C489">
        <v>1648</v>
      </c>
      <c r="D489">
        <v>1671</v>
      </c>
    </row>
    <row r="490" spans="1:4" x14ac:dyDescent="0.2">
      <c r="A490" s="48">
        <v>36404</v>
      </c>
      <c r="B490">
        <v>1643</v>
      </c>
      <c r="C490">
        <v>1635</v>
      </c>
      <c r="D490">
        <v>1551</v>
      </c>
    </row>
    <row r="491" spans="1:4" x14ac:dyDescent="0.2">
      <c r="A491" s="48">
        <v>36434</v>
      </c>
      <c r="B491">
        <v>1593</v>
      </c>
      <c r="C491">
        <v>1608</v>
      </c>
      <c r="D491">
        <v>1649</v>
      </c>
    </row>
    <row r="492" spans="1:4" x14ac:dyDescent="0.2">
      <c r="A492" s="48">
        <v>36465</v>
      </c>
      <c r="B492">
        <v>1596</v>
      </c>
      <c r="C492">
        <v>1648</v>
      </c>
      <c r="D492">
        <v>1672</v>
      </c>
    </row>
    <row r="493" spans="1:4" x14ac:dyDescent="0.2">
      <c r="A493" s="48">
        <v>36495</v>
      </c>
      <c r="B493">
        <v>1659</v>
      </c>
      <c r="C493">
        <v>1708</v>
      </c>
      <c r="D493">
        <v>1683</v>
      </c>
    </row>
    <row r="494" spans="1:4" x14ac:dyDescent="0.2">
      <c r="A494" s="48">
        <v>36526</v>
      </c>
      <c r="B494">
        <v>1574</v>
      </c>
      <c r="C494">
        <v>1636</v>
      </c>
      <c r="D494">
        <v>1727</v>
      </c>
    </row>
    <row r="495" spans="1:4" x14ac:dyDescent="0.2">
      <c r="A495" s="48">
        <v>36557</v>
      </c>
      <c r="B495">
        <v>1677</v>
      </c>
      <c r="C495">
        <v>1737</v>
      </c>
      <c r="D495">
        <v>1692</v>
      </c>
    </row>
    <row r="496" spans="1:4" x14ac:dyDescent="0.2">
      <c r="A496" s="48">
        <v>36586</v>
      </c>
      <c r="B496">
        <v>1704</v>
      </c>
      <c r="C496">
        <v>1604</v>
      </c>
      <c r="D496">
        <v>1651</v>
      </c>
    </row>
    <row r="497" spans="1:4" x14ac:dyDescent="0.2">
      <c r="A497" s="48">
        <v>36617</v>
      </c>
      <c r="B497">
        <v>1610</v>
      </c>
      <c r="C497">
        <v>1626</v>
      </c>
      <c r="D497">
        <v>1597</v>
      </c>
    </row>
    <row r="498" spans="1:4" x14ac:dyDescent="0.2">
      <c r="A498" s="48">
        <v>36647</v>
      </c>
      <c r="B498">
        <v>1682</v>
      </c>
      <c r="C498">
        <v>1575</v>
      </c>
      <c r="D498">
        <v>1543</v>
      </c>
    </row>
    <row r="499" spans="1:4" x14ac:dyDescent="0.2">
      <c r="A499" s="48">
        <v>36678</v>
      </c>
      <c r="B499">
        <v>1530</v>
      </c>
      <c r="C499">
        <v>1559</v>
      </c>
      <c r="D499">
        <v>1572</v>
      </c>
    </row>
    <row r="500" spans="1:4" x14ac:dyDescent="0.2">
      <c r="A500" s="48">
        <v>36708</v>
      </c>
      <c r="B500">
        <v>1495</v>
      </c>
      <c r="C500">
        <v>1463</v>
      </c>
      <c r="D500">
        <v>1542</v>
      </c>
    </row>
    <row r="501" spans="1:4" x14ac:dyDescent="0.2">
      <c r="A501" s="48">
        <v>36739</v>
      </c>
      <c r="B501">
        <v>1573</v>
      </c>
      <c r="C501">
        <v>1541</v>
      </c>
      <c r="D501">
        <v>1552</v>
      </c>
    </row>
    <row r="502" spans="1:4" x14ac:dyDescent="0.2">
      <c r="A502" s="48">
        <v>36770</v>
      </c>
      <c r="B502">
        <v>1528</v>
      </c>
      <c r="C502">
        <v>1507</v>
      </c>
      <c r="D502">
        <v>1570</v>
      </c>
    </row>
    <row r="503" spans="1:4" x14ac:dyDescent="0.2">
      <c r="A503" s="48">
        <v>36800</v>
      </c>
      <c r="B503">
        <v>1513</v>
      </c>
      <c r="C503">
        <v>1549</v>
      </c>
      <c r="D503">
        <v>1577</v>
      </c>
    </row>
    <row r="504" spans="1:4" x14ac:dyDescent="0.2">
      <c r="A504" s="48">
        <v>36831</v>
      </c>
      <c r="B504">
        <v>1539</v>
      </c>
      <c r="C504">
        <v>1551</v>
      </c>
      <c r="D504">
        <v>1614</v>
      </c>
    </row>
    <row r="505" spans="1:4" x14ac:dyDescent="0.2">
      <c r="A505" s="48">
        <v>36861</v>
      </c>
      <c r="B505">
        <v>1521</v>
      </c>
      <c r="C505">
        <v>1532</v>
      </c>
      <c r="D505">
        <v>1543</v>
      </c>
    </row>
    <row r="506" spans="1:4" x14ac:dyDescent="0.2">
      <c r="A506" s="48">
        <v>36892</v>
      </c>
      <c r="B506">
        <v>1456</v>
      </c>
      <c r="C506">
        <v>1600</v>
      </c>
      <c r="D506">
        <v>1699</v>
      </c>
    </row>
    <row r="507" spans="1:4" x14ac:dyDescent="0.2">
      <c r="A507" s="48">
        <v>36923</v>
      </c>
      <c r="B507">
        <v>1536</v>
      </c>
      <c r="C507">
        <v>1625</v>
      </c>
      <c r="D507">
        <v>1656</v>
      </c>
    </row>
    <row r="508" spans="1:4" x14ac:dyDescent="0.2">
      <c r="A508" s="48">
        <v>36951</v>
      </c>
      <c r="B508">
        <v>1470</v>
      </c>
      <c r="C508">
        <v>1590</v>
      </c>
      <c r="D508">
        <v>1659</v>
      </c>
    </row>
    <row r="509" spans="1:4" x14ac:dyDescent="0.2">
      <c r="A509" s="48">
        <v>36982</v>
      </c>
      <c r="B509">
        <v>1574</v>
      </c>
      <c r="C509">
        <v>1649</v>
      </c>
      <c r="D509">
        <v>1666</v>
      </c>
    </row>
    <row r="510" spans="1:4" x14ac:dyDescent="0.2">
      <c r="A510" s="48">
        <v>37012</v>
      </c>
      <c r="B510">
        <v>1497</v>
      </c>
      <c r="C510">
        <v>1605</v>
      </c>
      <c r="D510">
        <v>1665</v>
      </c>
    </row>
    <row r="511" spans="1:4" x14ac:dyDescent="0.2">
      <c r="A511" s="48">
        <v>37043</v>
      </c>
      <c r="B511">
        <v>1654</v>
      </c>
      <c r="C511">
        <v>1636</v>
      </c>
      <c r="D511">
        <v>1626</v>
      </c>
    </row>
    <row r="512" spans="1:4" x14ac:dyDescent="0.2">
      <c r="A512" s="48">
        <v>37073</v>
      </c>
      <c r="B512">
        <v>1582</v>
      </c>
      <c r="C512">
        <v>1670</v>
      </c>
      <c r="D512">
        <v>1598</v>
      </c>
    </row>
    <row r="513" spans="1:4" x14ac:dyDescent="0.2">
      <c r="A513" s="48">
        <v>37104</v>
      </c>
      <c r="B513">
        <v>1615</v>
      </c>
      <c r="C513">
        <v>1567</v>
      </c>
      <c r="D513">
        <v>1615</v>
      </c>
    </row>
    <row r="514" spans="1:4" x14ac:dyDescent="0.2">
      <c r="A514" s="48">
        <v>37135</v>
      </c>
      <c r="B514">
        <v>1551</v>
      </c>
      <c r="C514">
        <v>1562</v>
      </c>
      <c r="D514">
        <v>1565</v>
      </c>
    </row>
    <row r="515" spans="1:4" x14ac:dyDescent="0.2">
      <c r="A515" s="48">
        <v>37165</v>
      </c>
      <c r="B515">
        <v>1599</v>
      </c>
      <c r="C515">
        <v>1540</v>
      </c>
      <c r="D515">
        <v>1566</v>
      </c>
    </row>
    <row r="516" spans="1:4" x14ac:dyDescent="0.2">
      <c r="A516" s="48">
        <v>37196</v>
      </c>
      <c r="B516">
        <v>1555</v>
      </c>
      <c r="C516">
        <v>1602</v>
      </c>
      <c r="D516">
        <v>1651</v>
      </c>
    </row>
    <row r="517" spans="1:4" x14ac:dyDescent="0.2">
      <c r="A517" s="48">
        <v>37226</v>
      </c>
      <c r="B517">
        <v>1693</v>
      </c>
      <c r="C517">
        <v>1568</v>
      </c>
      <c r="D517">
        <v>1680</v>
      </c>
    </row>
    <row r="518" spans="1:4" x14ac:dyDescent="0.2">
      <c r="A518" s="48">
        <v>37257</v>
      </c>
      <c r="B518">
        <v>1632</v>
      </c>
      <c r="C518">
        <v>1698</v>
      </c>
      <c r="D518">
        <v>1665</v>
      </c>
    </row>
    <row r="519" spans="1:4" x14ac:dyDescent="0.2">
      <c r="A519" s="48">
        <v>37288</v>
      </c>
      <c r="B519">
        <v>1671</v>
      </c>
      <c r="C519">
        <v>1829</v>
      </c>
      <c r="D519">
        <v>1787</v>
      </c>
    </row>
    <row r="520" spans="1:4" x14ac:dyDescent="0.2">
      <c r="A520" s="48">
        <v>37316</v>
      </c>
      <c r="B520">
        <v>1559</v>
      </c>
      <c r="C520">
        <v>1642</v>
      </c>
      <c r="D520">
        <v>1691</v>
      </c>
    </row>
    <row r="521" spans="1:4" x14ac:dyDescent="0.2">
      <c r="A521" s="48">
        <v>37347</v>
      </c>
      <c r="B521">
        <v>1625</v>
      </c>
      <c r="C521">
        <v>1592</v>
      </c>
      <c r="D521">
        <v>1669</v>
      </c>
    </row>
    <row r="522" spans="1:4" x14ac:dyDescent="0.2">
      <c r="A522" s="48">
        <v>37377</v>
      </c>
      <c r="B522">
        <v>1705</v>
      </c>
      <c r="C522">
        <v>1764</v>
      </c>
      <c r="D522">
        <v>1716</v>
      </c>
    </row>
    <row r="523" spans="1:4" x14ac:dyDescent="0.2">
      <c r="A523" s="48">
        <v>37408</v>
      </c>
      <c r="B523">
        <v>1589</v>
      </c>
      <c r="C523">
        <v>1717</v>
      </c>
      <c r="D523">
        <v>1758</v>
      </c>
    </row>
    <row r="524" spans="1:4" x14ac:dyDescent="0.2">
      <c r="A524" s="48">
        <v>37438</v>
      </c>
      <c r="B524">
        <v>1615</v>
      </c>
      <c r="C524">
        <v>1655</v>
      </c>
      <c r="D524">
        <v>1738</v>
      </c>
    </row>
    <row r="525" spans="1:4" x14ac:dyDescent="0.2">
      <c r="A525" s="48">
        <v>37469</v>
      </c>
      <c r="B525">
        <v>1722</v>
      </c>
      <c r="C525">
        <v>1633</v>
      </c>
      <c r="D525">
        <v>1695</v>
      </c>
    </row>
    <row r="526" spans="1:4" x14ac:dyDescent="0.2">
      <c r="A526" s="48">
        <v>37500</v>
      </c>
      <c r="B526">
        <v>1641</v>
      </c>
      <c r="C526">
        <v>1804</v>
      </c>
      <c r="D526">
        <v>1803</v>
      </c>
    </row>
    <row r="527" spans="1:4" x14ac:dyDescent="0.2">
      <c r="A527" s="48">
        <v>37530</v>
      </c>
      <c r="B527">
        <v>1601</v>
      </c>
      <c r="C527">
        <v>1648</v>
      </c>
      <c r="D527">
        <v>1799</v>
      </c>
    </row>
    <row r="528" spans="1:4" x14ac:dyDescent="0.2">
      <c r="A528" s="48">
        <v>37561</v>
      </c>
      <c r="B528">
        <v>1718</v>
      </c>
      <c r="C528">
        <v>1753</v>
      </c>
      <c r="D528">
        <v>1771</v>
      </c>
    </row>
    <row r="529" spans="1:4" x14ac:dyDescent="0.2">
      <c r="A529" s="48">
        <v>37591</v>
      </c>
      <c r="B529">
        <v>1671</v>
      </c>
      <c r="C529">
        <v>1788</v>
      </c>
      <c r="D529">
        <v>1896</v>
      </c>
    </row>
    <row r="530" spans="1:4" x14ac:dyDescent="0.2">
      <c r="A530" s="48">
        <v>37622</v>
      </c>
      <c r="B530">
        <v>1654</v>
      </c>
      <c r="C530">
        <v>1853</v>
      </c>
      <c r="D530">
        <v>1808</v>
      </c>
    </row>
    <row r="531" spans="1:4" x14ac:dyDescent="0.2">
      <c r="A531" s="48">
        <v>37653</v>
      </c>
      <c r="B531">
        <v>1688</v>
      </c>
      <c r="C531">
        <v>1629</v>
      </c>
      <c r="D531">
        <v>1854</v>
      </c>
    </row>
    <row r="532" spans="1:4" x14ac:dyDescent="0.2">
      <c r="A532" s="48">
        <v>37681</v>
      </c>
      <c r="B532">
        <v>1638</v>
      </c>
      <c r="C532">
        <v>1726</v>
      </c>
      <c r="D532">
        <v>1757</v>
      </c>
    </row>
    <row r="533" spans="1:4" x14ac:dyDescent="0.2">
      <c r="A533" s="48">
        <v>37712</v>
      </c>
      <c r="B533">
        <v>1662</v>
      </c>
      <c r="C533">
        <v>1643</v>
      </c>
      <c r="D533">
        <v>1803</v>
      </c>
    </row>
    <row r="534" spans="1:4" x14ac:dyDescent="0.2">
      <c r="A534" s="48">
        <v>37742</v>
      </c>
      <c r="B534">
        <v>1733</v>
      </c>
      <c r="C534">
        <v>1751</v>
      </c>
      <c r="D534">
        <v>1835</v>
      </c>
    </row>
    <row r="535" spans="1:4" x14ac:dyDescent="0.2">
      <c r="A535" s="48">
        <v>37773</v>
      </c>
      <c r="B535">
        <v>1641</v>
      </c>
      <c r="C535">
        <v>1867</v>
      </c>
      <c r="D535">
        <v>1875</v>
      </c>
    </row>
    <row r="536" spans="1:4" x14ac:dyDescent="0.2">
      <c r="A536" s="48">
        <v>37803</v>
      </c>
      <c r="B536">
        <v>1680</v>
      </c>
      <c r="C536">
        <v>1897</v>
      </c>
      <c r="D536">
        <v>1885</v>
      </c>
    </row>
    <row r="537" spans="1:4" x14ac:dyDescent="0.2">
      <c r="A537" s="48">
        <v>37834</v>
      </c>
      <c r="B537">
        <v>1570</v>
      </c>
      <c r="C537">
        <v>1833</v>
      </c>
      <c r="D537">
        <v>1966</v>
      </c>
    </row>
    <row r="538" spans="1:4" x14ac:dyDescent="0.2">
      <c r="A538" s="48">
        <v>37865</v>
      </c>
      <c r="B538">
        <v>1719</v>
      </c>
      <c r="C538">
        <v>1939</v>
      </c>
      <c r="D538">
        <v>1961</v>
      </c>
    </row>
    <row r="539" spans="1:4" x14ac:dyDescent="0.2">
      <c r="A539" s="48">
        <v>37895</v>
      </c>
      <c r="B539">
        <v>1728</v>
      </c>
      <c r="C539">
        <v>1967</v>
      </c>
      <c r="D539">
        <v>2012</v>
      </c>
    </row>
    <row r="540" spans="1:4" x14ac:dyDescent="0.2">
      <c r="A540" s="48">
        <v>37926</v>
      </c>
      <c r="B540">
        <v>1692</v>
      </c>
      <c r="C540">
        <v>2083</v>
      </c>
      <c r="D540">
        <v>1918</v>
      </c>
    </row>
    <row r="541" spans="1:4" x14ac:dyDescent="0.2">
      <c r="A541" s="48">
        <v>37956</v>
      </c>
      <c r="B541">
        <v>1716</v>
      </c>
      <c r="C541">
        <v>2057</v>
      </c>
      <c r="D541">
        <v>1987</v>
      </c>
    </row>
    <row r="542" spans="1:4" x14ac:dyDescent="0.2">
      <c r="A542" s="48">
        <v>37987</v>
      </c>
      <c r="B542">
        <v>1709</v>
      </c>
      <c r="C542">
        <v>1911</v>
      </c>
      <c r="D542">
        <v>1952</v>
      </c>
    </row>
    <row r="543" spans="1:4" x14ac:dyDescent="0.2">
      <c r="A543" s="48">
        <v>38018</v>
      </c>
      <c r="B543">
        <v>1718</v>
      </c>
      <c r="C543">
        <v>1846</v>
      </c>
      <c r="D543">
        <v>1966</v>
      </c>
    </row>
    <row r="544" spans="1:4" x14ac:dyDescent="0.2">
      <c r="A544" s="48">
        <v>38047</v>
      </c>
      <c r="B544">
        <v>1794</v>
      </c>
      <c r="C544">
        <v>1998</v>
      </c>
      <c r="D544">
        <v>2066</v>
      </c>
    </row>
    <row r="545" spans="1:4" x14ac:dyDescent="0.2">
      <c r="A545" s="48">
        <v>38078</v>
      </c>
      <c r="B545">
        <v>1938</v>
      </c>
      <c r="C545">
        <v>2003</v>
      </c>
      <c r="D545">
        <v>2070</v>
      </c>
    </row>
    <row r="546" spans="1:4" x14ac:dyDescent="0.2">
      <c r="A546" s="48">
        <v>38108</v>
      </c>
      <c r="B546">
        <v>1893</v>
      </c>
      <c r="C546">
        <v>1981</v>
      </c>
      <c r="D546">
        <v>2150</v>
      </c>
    </row>
    <row r="547" spans="1:4" x14ac:dyDescent="0.2">
      <c r="A547" s="48">
        <v>38139</v>
      </c>
      <c r="B547">
        <v>1857</v>
      </c>
      <c r="C547">
        <v>1828</v>
      </c>
      <c r="D547">
        <v>2020</v>
      </c>
    </row>
    <row r="548" spans="1:4" x14ac:dyDescent="0.2">
      <c r="A548" s="48">
        <v>38169</v>
      </c>
      <c r="B548">
        <v>1881</v>
      </c>
      <c r="C548">
        <v>2002</v>
      </c>
      <c r="D548">
        <v>2112</v>
      </c>
    </row>
    <row r="549" spans="1:4" x14ac:dyDescent="0.2">
      <c r="A549" s="48">
        <v>38200</v>
      </c>
      <c r="B549">
        <v>1911</v>
      </c>
      <c r="C549">
        <v>2024</v>
      </c>
      <c r="D549">
        <v>2056</v>
      </c>
    </row>
    <row r="550" spans="1:4" x14ac:dyDescent="0.2">
      <c r="A550" s="48">
        <v>38231</v>
      </c>
      <c r="B550">
        <v>1796</v>
      </c>
      <c r="C550">
        <v>1905</v>
      </c>
      <c r="D550">
        <v>2041</v>
      </c>
    </row>
    <row r="551" spans="1:4" x14ac:dyDescent="0.2">
      <c r="A551" s="48">
        <v>38261</v>
      </c>
      <c r="B551">
        <v>1839</v>
      </c>
      <c r="C551">
        <v>2072</v>
      </c>
      <c r="D551">
        <v>2097</v>
      </c>
    </row>
    <row r="552" spans="1:4" x14ac:dyDescent="0.2">
      <c r="A552" s="48">
        <v>38292</v>
      </c>
      <c r="B552">
        <v>1758</v>
      </c>
      <c r="C552">
        <v>1782</v>
      </c>
      <c r="D552">
        <v>2079</v>
      </c>
    </row>
    <row r="553" spans="1:4" x14ac:dyDescent="0.2">
      <c r="A553" s="48">
        <v>38322</v>
      </c>
      <c r="B553">
        <v>1921</v>
      </c>
      <c r="C553">
        <v>2042</v>
      </c>
      <c r="D553">
        <v>2082</v>
      </c>
    </row>
    <row r="554" spans="1:4" x14ac:dyDescent="0.2">
      <c r="A554" s="48">
        <v>38353</v>
      </c>
      <c r="B554">
        <v>1892</v>
      </c>
      <c r="C554">
        <v>2144</v>
      </c>
      <c r="D554">
        <v>2139</v>
      </c>
    </row>
    <row r="555" spans="1:4" x14ac:dyDescent="0.2">
      <c r="A555" s="48">
        <v>38384</v>
      </c>
      <c r="B555">
        <v>1908</v>
      </c>
      <c r="C555">
        <v>2207</v>
      </c>
      <c r="D555">
        <v>2114</v>
      </c>
    </row>
    <row r="556" spans="1:4" x14ac:dyDescent="0.2">
      <c r="A556" s="48">
        <v>38412</v>
      </c>
      <c r="B556">
        <v>1787</v>
      </c>
      <c r="C556">
        <v>1864</v>
      </c>
      <c r="D556">
        <v>2062</v>
      </c>
    </row>
    <row r="557" spans="1:4" x14ac:dyDescent="0.2">
      <c r="A557" s="48">
        <v>38443</v>
      </c>
      <c r="B557">
        <v>1927</v>
      </c>
      <c r="C557">
        <v>2061</v>
      </c>
      <c r="D557">
        <v>2150</v>
      </c>
    </row>
    <row r="558" spans="1:4" x14ac:dyDescent="0.2">
      <c r="A558" s="48">
        <v>38473</v>
      </c>
      <c r="B558">
        <v>2103</v>
      </c>
      <c r="C558">
        <v>2025</v>
      </c>
      <c r="D558">
        <v>2085</v>
      </c>
    </row>
    <row r="559" spans="1:4" x14ac:dyDescent="0.2">
      <c r="A559" s="48">
        <v>38504</v>
      </c>
      <c r="B559">
        <v>1965</v>
      </c>
      <c r="C559">
        <v>2068</v>
      </c>
      <c r="D559">
        <v>2178</v>
      </c>
    </row>
    <row r="560" spans="1:4" x14ac:dyDescent="0.2">
      <c r="A560" s="48">
        <v>38534</v>
      </c>
      <c r="B560">
        <v>1886</v>
      </c>
      <c r="C560">
        <v>2054</v>
      </c>
      <c r="D560">
        <v>2203</v>
      </c>
    </row>
    <row r="561" spans="1:4" x14ac:dyDescent="0.2">
      <c r="A561" s="48">
        <v>38565</v>
      </c>
      <c r="B561">
        <v>1952</v>
      </c>
      <c r="C561">
        <v>2095</v>
      </c>
      <c r="D561">
        <v>2219</v>
      </c>
    </row>
    <row r="562" spans="1:4" x14ac:dyDescent="0.2">
      <c r="A562" s="48">
        <v>38596</v>
      </c>
      <c r="B562">
        <v>1922</v>
      </c>
      <c r="C562">
        <v>2151</v>
      </c>
      <c r="D562">
        <v>2263</v>
      </c>
    </row>
    <row r="563" spans="1:4" x14ac:dyDescent="0.2">
      <c r="A563" s="48">
        <v>38626</v>
      </c>
      <c r="B563">
        <v>1962</v>
      </c>
      <c r="C563">
        <v>2065</v>
      </c>
      <c r="D563">
        <v>2170</v>
      </c>
    </row>
    <row r="564" spans="1:4" x14ac:dyDescent="0.2">
      <c r="A564" s="48">
        <v>38657</v>
      </c>
      <c r="B564">
        <v>1907</v>
      </c>
      <c r="C564">
        <v>2147</v>
      </c>
      <c r="D564">
        <v>2218</v>
      </c>
    </row>
    <row r="565" spans="1:4" x14ac:dyDescent="0.2">
      <c r="A565" s="48">
        <v>38687</v>
      </c>
      <c r="B565">
        <v>1941</v>
      </c>
      <c r="C565">
        <v>1994</v>
      </c>
      <c r="D565">
        <v>2120</v>
      </c>
    </row>
    <row r="566" spans="1:4" x14ac:dyDescent="0.2">
      <c r="A566" s="48">
        <v>38718</v>
      </c>
      <c r="B566">
        <v>2036</v>
      </c>
      <c r="C566">
        <v>2273</v>
      </c>
      <c r="D566">
        <v>2212</v>
      </c>
    </row>
    <row r="567" spans="1:4" x14ac:dyDescent="0.2">
      <c r="A567" s="48">
        <v>38749</v>
      </c>
      <c r="B567">
        <v>2048</v>
      </c>
      <c r="C567">
        <v>2119</v>
      </c>
      <c r="D567">
        <v>2141</v>
      </c>
    </row>
    <row r="568" spans="1:4" x14ac:dyDescent="0.2">
      <c r="A568" s="48">
        <v>38777</v>
      </c>
      <c r="B568">
        <v>2245</v>
      </c>
      <c r="C568">
        <v>1969</v>
      </c>
      <c r="D568">
        <v>2118</v>
      </c>
    </row>
    <row r="569" spans="1:4" x14ac:dyDescent="0.2">
      <c r="A569" s="48">
        <v>38808</v>
      </c>
      <c r="B569">
        <v>2071</v>
      </c>
      <c r="C569">
        <v>1821</v>
      </c>
      <c r="D569">
        <v>1998</v>
      </c>
    </row>
    <row r="570" spans="1:4" x14ac:dyDescent="0.2">
      <c r="A570" s="48">
        <v>38838</v>
      </c>
      <c r="B570">
        <v>1897</v>
      </c>
      <c r="C570">
        <v>1942</v>
      </c>
      <c r="D570">
        <v>1905</v>
      </c>
    </row>
    <row r="571" spans="1:4" x14ac:dyDescent="0.2">
      <c r="A571" s="48">
        <v>38869</v>
      </c>
      <c r="B571">
        <v>2050</v>
      </c>
      <c r="C571">
        <v>1802</v>
      </c>
      <c r="D571">
        <v>1867</v>
      </c>
    </row>
    <row r="572" spans="1:4" x14ac:dyDescent="0.2">
      <c r="A572" s="48">
        <v>38899</v>
      </c>
      <c r="B572">
        <v>1934</v>
      </c>
      <c r="C572">
        <v>1737</v>
      </c>
      <c r="D572">
        <v>1763</v>
      </c>
    </row>
    <row r="573" spans="1:4" x14ac:dyDescent="0.2">
      <c r="A573" s="48">
        <v>38930</v>
      </c>
      <c r="B573">
        <v>1877</v>
      </c>
      <c r="C573">
        <v>1650</v>
      </c>
      <c r="D573">
        <v>1722</v>
      </c>
    </row>
    <row r="574" spans="1:4" x14ac:dyDescent="0.2">
      <c r="A574" s="48">
        <v>38961</v>
      </c>
      <c r="B574">
        <v>2011</v>
      </c>
      <c r="C574">
        <v>1720</v>
      </c>
      <c r="D574">
        <v>1655</v>
      </c>
    </row>
    <row r="575" spans="1:4" x14ac:dyDescent="0.2">
      <c r="A575" s="48">
        <v>38991</v>
      </c>
      <c r="B575">
        <v>1918</v>
      </c>
      <c r="C575">
        <v>1491</v>
      </c>
      <c r="D575">
        <v>1570</v>
      </c>
    </row>
    <row r="576" spans="1:4" x14ac:dyDescent="0.2">
      <c r="A576" s="48">
        <v>39022</v>
      </c>
      <c r="B576">
        <v>1893</v>
      </c>
      <c r="C576">
        <v>1570</v>
      </c>
      <c r="D576">
        <v>1535</v>
      </c>
    </row>
    <row r="577" spans="1:4" x14ac:dyDescent="0.2">
      <c r="A577" s="48">
        <v>39052</v>
      </c>
      <c r="B577">
        <v>1888</v>
      </c>
      <c r="C577">
        <v>1649</v>
      </c>
      <c r="D577">
        <v>1638</v>
      </c>
    </row>
    <row r="578" spans="1:4" x14ac:dyDescent="0.2">
      <c r="A578" s="48">
        <v>39083</v>
      </c>
      <c r="B578">
        <v>1822</v>
      </c>
      <c r="C578">
        <v>1409</v>
      </c>
      <c r="D578">
        <v>1626</v>
      </c>
    </row>
    <row r="579" spans="1:4" x14ac:dyDescent="0.2">
      <c r="A579" s="48">
        <v>39114</v>
      </c>
      <c r="B579">
        <v>1640</v>
      </c>
      <c r="C579">
        <v>1480</v>
      </c>
      <c r="D579">
        <v>1598</v>
      </c>
    </row>
    <row r="580" spans="1:4" x14ac:dyDescent="0.2">
      <c r="A580" s="48">
        <v>39142</v>
      </c>
      <c r="B580">
        <v>1623</v>
      </c>
      <c r="C580">
        <v>1495</v>
      </c>
      <c r="D580">
        <v>1596</v>
      </c>
    </row>
    <row r="581" spans="1:4" x14ac:dyDescent="0.2">
      <c r="A581" s="48">
        <v>39173</v>
      </c>
      <c r="B581">
        <v>1539</v>
      </c>
      <c r="C581">
        <v>1490</v>
      </c>
      <c r="D581">
        <v>1470</v>
      </c>
    </row>
    <row r="582" spans="1:4" x14ac:dyDescent="0.2">
      <c r="A582" s="48">
        <v>39203</v>
      </c>
      <c r="B582">
        <v>1536</v>
      </c>
      <c r="C582">
        <v>1415</v>
      </c>
      <c r="D582">
        <v>1493</v>
      </c>
    </row>
    <row r="583" spans="1:4" x14ac:dyDescent="0.2">
      <c r="A583" s="48">
        <v>39234</v>
      </c>
      <c r="B583">
        <v>1481</v>
      </c>
      <c r="C583">
        <v>1448</v>
      </c>
      <c r="D583">
        <v>1407</v>
      </c>
    </row>
    <row r="584" spans="1:4" x14ac:dyDescent="0.2">
      <c r="A584" s="48">
        <v>39264</v>
      </c>
      <c r="B584">
        <v>1534</v>
      </c>
      <c r="C584">
        <v>1354</v>
      </c>
      <c r="D584">
        <v>1361</v>
      </c>
    </row>
    <row r="585" spans="1:4" x14ac:dyDescent="0.2">
      <c r="A585" s="48">
        <v>39295</v>
      </c>
      <c r="B585">
        <v>1512</v>
      </c>
      <c r="C585">
        <v>1330</v>
      </c>
      <c r="D585">
        <v>1321</v>
      </c>
    </row>
    <row r="586" spans="1:4" x14ac:dyDescent="0.2">
      <c r="A586" s="48">
        <v>39326</v>
      </c>
      <c r="B586">
        <v>1356</v>
      </c>
      <c r="C586">
        <v>1183</v>
      </c>
      <c r="D586">
        <v>1261</v>
      </c>
    </row>
    <row r="587" spans="1:4" x14ac:dyDescent="0.2">
      <c r="A587" s="48">
        <v>39356</v>
      </c>
      <c r="B587">
        <v>1405</v>
      </c>
      <c r="C587">
        <v>1264</v>
      </c>
      <c r="D587">
        <v>1192</v>
      </c>
    </row>
    <row r="588" spans="1:4" x14ac:dyDescent="0.2">
      <c r="A588" s="48">
        <v>39387</v>
      </c>
      <c r="B588">
        <v>1390</v>
      </c>
      <c r="C588">
        <v>1197</v>
      </c>
      <c r="D588">
        <v>1224</v>
      </c>
    </row>
    <row r="589" spans="1:4" x14ac:dyDescent="0.2">
      <c r="A589" s="48">
        <v>39417</v>
      </c>
      <c r="B589">
        <v>1328</v>
      </c>
      <c r="C589">
        <v>1037</v>
      </c>
      <c r="D589">
        <v>1149</v>
      </c>
    </row>
    <row r="590" spans="1:4" x14ac:dyDescent="0.2">
      <c r="A590" s="48">
        <v>39448</v>
      </c>
      <c r="B590">
        <v>1331</v>
      </c>
      <c r="C590">
        <v>1084</v>
      </c>
      <c r="D590">
        <v>1094</v>
      </c>
    </row>
    <row r="591" spans="1:4" x14ac:dyDescent="0.2">
      <c r="A591" s="48">
        <v>39479</v>
      </c>
      <c r="B591">
        <v>1274</v>
      </c>
      <c r="C591">
        <v>1103</v>
      </c>
      <c r="D591">
        <v>1014</v>
      </c>
    </row>
    <row r="592" spans="1:4" x14ac:dyDescent="0.2">
      <c r="A592" s="48">
        <v>39508</v>
      </c>
      <c r="B592">
        <v>1195</v>
      </c>
      <c r="C592">
        <v>1005</v>
      </c>
      <c r="D592">
        <v>967</v>
      </c>
    </row>
    <row r="593" spans="1:4" x14ac:dyDescent="0.2">
      <c r="A593" s="48">
        <v>39539</v>
      </c>
      <c r="B593">
        <v>1022</v>
      </c>
      <c r="C593">
        <v>1013</v>
      </c>
      <c r="D593">
        <v>1008</v>
      </c>
    </row>
    <row r="594" spans="1:4" x14ac:dyDescent="0.2">
      <c r="A594" s="48">
        <v>39569</v>
      </c>
      <c r="B594">
        <v>1142</v>
      </c>
      <c r="C594">
        <v>973</v>
      </c>
      <c r="D594">
        <v>995</v>
      </c>
    </row>
    <row r="595" spans="1:4" x14ac:dyDescent="0.2">
      <c r="A595" s="48">
        <v>39600</v>
      </c>
      <c r="B595">
        <v>1142</v>
      </c>
      <c r="C595">
        <v>1046</v>
      </c>
      <c r="D595">
        <v>1180</v>
      </c>
    </row>
    <row r="596" spans="1:4" x14ac:dyDescent="0.2">
      <c r="A596" s="48">
        <v>39630</v>
      </c>
      <c r="B596">
        <v>1087</v>
      </c>
      <c r="C596">
        <v>923</v>
      </c>
      <c r="D596">
        <v>921</v>
      </c>
    </row>
    <row r="597" spans="1:4" x14ac:dyDescent="0.2">
      <c r="A597" s="48">
        <v>39661</v>
      </c>
      <c r="B597">
        <v>1017</v>
      </c>
      <c r="C597">
        <v>844</v>
      </c>
      <c r="D597">
        <v>858</v>
      </c>
    </row>
    <row r="598" spans="1:4" x14ac:dyDescent="0.2">
      <c r="A598" s="48">
        <v>39692</v>
      </c>
      <c r="B598">
        <v>1160</v>
      </c>
      <c r="C598">
        <v>820</v>
      </c>
      <c r="D598">
        <v>797</v>
      </c>
    </row>
    <row r="599" spans="1:4" x14ac:dyDescent="0.2">
      <c r="A599" s="48">
        <v>39722</v>
      </c>
      <c r="B599">
        <v>1055</v>
      </c>
      <c r="C599">
        <v>777</v>
      </c>
      <c r="D599">
        <v>736</v>
      </c>
    </row>
    <row r="600" spans="1:4" x14ac:dyDescent="0.2">
      <c r="A600" s="48">
        <v>39753</v>
      </c>
      <c r="B600">
        <v>1076</v>
      </c>
      <c r="C600">
        <v>652</v>
      </c>
      <c r="D600">
        <v>626</v>
      </c>
    </row>
    <row r="601" spans="1:4" x14ac:dyDescent="0.2">
      <c r="A601" s="48">
        <v>39783</v>
      </c>
      <c r="B601">
        <v>1021</v>
      </c>
      <c r="C601">
        <v>560</v>
      </c>
      <c r="D601">
        <v>554</v>
      </c>
    </row>
    <row r="602" spans="1:4" x14ac:dyDescent="0.2">
      <c r="A602" s="48">
        <v>39814</v>
      </c>
      <c r="B602">
        <v>777</v>
      </c>
      <c r="C602">
        <v>490</v>
      </c>
      <c r="D602">
        <v>545</v>
      </c>
    </row>
    <row r="603" spans="1:4" x14ac:dyDescent="0.2">
      <c r="A603" s="48">
        <v>39845</v>
      </c>
      <c r="B603">
        <v>819</v>
      </c>
      <c r="C603">
        <v>582</v>
      </c>
      <c r="D603">
        <v>558</v>
      </c>
    </row>
    <row r="604" spans="1:4" x14ac:dyDescent="0.2">
      <c r="A604" s="48">
        <v>39873</v>
      </c>
      <c r="B604">
        <v>839</v>
      </c>
      <c r="C604">
        <v>505</v>
      </c>
      <c r="D604">
        <v>513</v>
      </c>
    </row>
    <row r="605" spans="1:4" x14ac:dyDescent="0.2">
      <c r="A605" s="48">
        <v>39904</v>
      </c>
      <c r="B605">
        <v>846</v>
      </c>
      <c r="C605">
        <v>478</v>
      </c>
      <c r="D605">
        <v>521</v>
      </c>
    </row>
    <row r="606" spans="1:4" x14ac:dyDescent="0.2">
      <c r="A606" s="48">
        <v>39934</v>
      </c>
      <c r="B606">
        <v>818</v>
      </c>
      <c r="C606">
        <v>540</v>
      </c>
      <c r="D606">
        <v>556</v>
      </c>
    </row>
    <row r="607" spans="1:4" x14ac:dyDescent="0.2">
      <c r="A607" s="48">
        <v>39965</v>
      </c>
      <c r="B607">
        <v>797</v>
      </c>
      <c r="C607">
        <v>585</v>
      </c>
      <c r="D607">
        <v>601</v>
      </c>
    </row>
    <row r="608" spans="1:4" x14ac:dyDescent="0.2">
      <c r="A608" s="48">
        <v>39995</v>
      </c>
      <c r="B608">
        <v>797</v>
      </c>
      <c r="C608">
        <v>594</v>
      </c>
      <c r="D608">
        <v>595</v>
      </c>
    </row>
    <row r="609" spans="1:4" x14ac:dyDescent="0.2">
      <c r="A609" s="48">
        <v>40026</v>
      </c>
      <c r="B609">
        <v>792</v>
      </c>
      <c r="C609">
        <v>586</v>
      </c>
      <c r="D609">
        <v>616</v>
      </c>
    </row>
    <row r="610" spans="1:4" x14ac:dyDescent="0.2">
      <c r="A610" s="48">
        <v>40057</v>
      </c>
      <c r="B610">
        <v>721</v>
      </c>
      <c r="C610">
        <v>585</v>
      </c>
      <c r="D610">
        <v>609</v>
      </c>
    </row>
    <row r="611" spans="1:4" x14ac:dyDescent="0.2">
      <c r="A611" s="48">
        <v>40087</v>
      </c>
      <c r="B611">
        <v>746</v>
      </c>
      <c r="C611">
        <v>534</v>
      </c>
      <c r="D611">
        <v>583</v>
      </c>
    </row>
    <row r="612" spans="1:4" x14ac:dyDescent="0.2">
      <c r="A612" s="48">
        <v>40118</v>
      </c>
      <c r="B612">
        <v>844</v>
      </c>
      <c r="C612">
        <v>588</v>
      </c>
      <c r="D612">
        <v>623</v>
      </c>
    </row>
    <row r="613" spans="1:4" x14ac:dyDescent="0.2">
      <c r="A613" s="48">
        <v>40148</v>
      </c>
      <c r="B613">
        <v>750</v>
      </c>
      <c r="C613">
        <v>581</v>
      </c>
      <c r="D613">
        <v>664</v>
      </c>
    </row>
    <row r="614" spans="1:4" x14ac:dyDescent="0.2">
      <c r="A614" s="48">
        <v>40179</v>
      </c>
      <c r="B614">
        <v>689</v>
      </c>
      <c r="C614">
        <v>614</v>
      </c>
      <c r="D614">
        <v>636</v>
      </c>
    </row>
    <row r="615" spans="1:4" x14ac:dyDescent="0.2">
      <c r="A615" s="48">
        <v>40210</v>
      </c>
      <c r="B615">
        <v>670</v>
      </c>
      <c r="C615">
        <v>604</v>
      </c>
      <c r="D615">
        <v>650</v>
      </c>
    </row>
    <row r="616" spans="1:4" x14ac:dyDescent="0.2">
      <c r="A616" s="48">
        <v>40238</v>
      </c>
      <c r="B616">
        <v>635</v>
      </c>
      <c r="C616">
        <v>636</v>
      </c>
      <c r="D616">
        <v>687</v>
      </c>
    </row>
    <row r="617" spans="1:4" x14ac:dyDescent="0.2">
      <c r="A617" s="48">
        <v>40269</v>
      </c>
      <c r="B617">
        <v>737</v>
      </c>
      <c r="C617">
        <v>687</v>
      </c>
      <c r="D617">
        <v>637</v>
      </c>
    </row>
    <row r="618" spans="1:4" x14ac:dyDescent="0.2">
      <c r="A618" s="48">
        <v>40299</v>
      </c>
      <c r="B618">
        <v>702</v>
      </c>
      <c r="C618">
        <v>583</v>
      </c>
      <c r="D618">
        <v>575</v>
      </c>
    </row>
    <row r="619" spans="1:4" x14ac:dyDescent="0.2">
      <c r="A619" s="48">
        <v>40330</v>
      </c>
      <c r="B619">
        <v>894</v>
      </c>
      <c r="C619">
        <v>536</v>
      </c>
      <c r="D619">
        <v>587</v>
      </c>
    </row>
    <row r="620" spans="1:4" x14ac:dyDescent="0.2">
      <c r="A620" s="48">
        <v>40360</v>
      </c>
      <c r="B620">
        <v>572</v>
      </c>
      <c r="C620">
        <v>546</v>
      </c>
      <c r="D620">
        <v>579</v>
      </c>
    </row>
    <row r="621" spans="1:4" x14ac:dyDescent="0.2">
      <c r="A621" s="48">
        <v>40391</v>
      </c>
      <c r="B621">
        <v>592</v>
      </c>
      <c r="C621">
        <v>599</v>
      </c>
      <c r="D621">
        <v>580</v>
      </c>
    </row>
    <row r="622" spans="1:4" x14ac:dyDescent="0.2">
      <c r="A622" s="48">
        <v>40422</v>
      </c>
      <c r="B622">
        <v>632</v>
      </c>
      <c r="C622">
        <v>594</v>
      </c>
      <c r="D622">
        <v>563</v>
      </c>
    </row>
    <row r="623" spans="1:4" x14ac:dyDescent="0.2">
      <c r="A623" s="48">
        <v>40452</v>
      </c>
      <c r="B623">
        <v>605</v>
      </c>
      <c r="C623">
        <v>543</v>
      </c>
      <c r="D623">
        <v>558</v>
      </c>
    </row>
    <row r="624" spans="1:4" x14ac:dyDescent="0.2">
      <c r="A624" s="48">
        <v>40483</v>
      </c>
      <c r="B624">
        <v>552</v>
      </c>
      <c r="C624">
        <v>545</v>
      </c>
      <c r="D624">
        <v>560</v>
      </c>
    </row>
    <row r="625" spans="1:4" x14ac:dyDescent="0.2">
      <c r="A625" s="48">
        <v>40513</v>
      </c>
      <c r="B625">
        <v>565</v>
      </c>
      <c r="C625">
        <v>539</v>
      </c>
      <c r="D625">
        <v>632</v>
      </c>
    </row>
    <row r="626" spans="1:4" x14ac:dyDescent="0.2">
      <c r="A626" s="48">
        <v>40544</v>
      </c>
      <c r="B626">
        <v>520</v>
      </c>
      <c r="C626">
        <v>630</v>
      </c>
      <c r="D626">
        <v>576</v>
      </c>
    </row>
    <row r="627" spans="1:4" x14ac:dyDescent="0.2">
      <c r="A627" s="48">
        <v>40575</v>
      </c>
      <c r="B627">
        <v>615</v>
      </c>
      <c r="C627">
        <v>517</v>
      </c>
      <c r="D627">
        <v>542</v>
      </c>
    </row>
    <row r="628" spans="1:4" x14ac:dyDescent="0.2">
      <c r="A628" s="48">
        <v>40603</v>
      </c>
      <c r="B628">
        <v>591</v>
      </c>
      <c r="C628">
        <v>600</v>
      </c>
      <c r="D628">
        <v>583</v>
      </c>
    </row>
    <row r="629" spans="1:4" x14ac:dyDescent="0.2">
      <c r="A629" s="48">
        <v>40634</v>
      </c>
      <c r="B629">
        <v>549</v>
      </c>
      <c r="C629">
        <v>554</v>
      </c>
      <c r="D629">
        <v>581</v>
      </c>
    </row>
    <row r="630" spans="1:4" x14ac:dyDescent="0.2">
      <c r="A630" s="48">
        <v>40664</v>
      </c>
      <c r="B630">
        <v>549</v>
      </c>
      <c r="C630">
        <v>561</v>
      </c>
      <c r="D630">
        <v>618</v>
      </c>
    </row>
    <row r="631" spans="1:4" x14ac:dyDescent="0.2">
      <c r="A631" s="48">
        <v>40695</v>
      </c>
      <c r="B631">
        <v>579</v>
      </c>
      <c r="C631">
        <v>608</v>
      </c>
      <c r="D631">
        <v>636</v>
      </c>
    </row>
    <row r="632" spans="1:4" x14ac:dyDescent="0.2">
      <c r="A632" s="48">
        <v>40725</v>
      </c>
      <c r="B632">
        <v>634</v>
      </c>
      <c r="C632">
        <v>623</v>
      </c>
      <c r="D632">
        <v>621</v>
      </c>
    </row>
    <row r="633" spans="1:4" x14ac:dyDescent="0.2">
      <c r="A633" s="48">
        <v>40756</v>
      </c>
      <c r="B633">
        <v>614</v>
      </c>
      <c r="C633">
        <v>585</v>
      </c>
      <c r="D633">
        <v>647</v>
      </c>
    </row>
    <row r="634" spans="1:4" x14ac:dyDescent="0.2">
      <c r="A634" s="48">
        <v>40787</v>
      </c>
      <c r="B634">
        <v>603</v>
      </c>
      <c r="C634">
        <v>650</v>
      </c>
      <c r="D634">
        <v>610</v>
      </c>
    </row>
    <row r="635" spans="1:4" x14ac:dyDescent="0.2">
      <c r="A635" s="48">
        <v>40817</v>
      </c>
      <c r="B635">
        <v>566</v>
      </c>
      <c r="C635">
        <v>610</v>
      </c>
      <c r="D635">
        <v>671</v>
      </c>
    </row>
    <row r="636" spans="1:4" x14ac:dyDescent="0.2">
      <c r="A636" s="48">
        <v>40848</v>
      </c>
      <c r="B636">
        <v>585</v>
      </c>
      <c r="C636">
        <v>711</v>
      </c>
      <c r="D636">
        <v>706</v>
      </c>
    </row>
    <row r="637" spans="1:4" x14ac:dyDescent="0.2">
      <c r="A637" s="48">
        <v>40878</v>
      </c>
      <c r="B637">
        <v>610</v>
      </c>
      <c r="C637">
        <v>694</v>
      </c>
      <c r="D637">
        <v>697</v>
      </c>
    </row>
    <row r="638" spans="1:4" x14ac:dyDescent="0.2">
      <c r="A638" s="48">
        <v>40909</v>
      </c>
      <c r="B638">
        <v>545</v>
      </c>
      <c r="C638">
        <v>723</v>
      </c>
      <c r="D638">
        <v>712</v>
      </c>
    </row>
    <row r="639" spans="1:4" x14ac:dyDescent="0.2">
      <c r="A639" s="48">
        <v>40940</v>
      </c>
      <c r="B639">
        <v>561</v>
      </c>
      <c r="C639">
        <v>704</v>
      </c>
      <c r="D639">
        <v>738</v>
      </c>
    </row>
    <row r="640" spans="1:4" x14ac:dyDescent="0.2">
      <c r="A640" s="48">
        <v>40969</v>
      </c>
      <c r="B640">
        <v>582</v>
      </c>
      <c r="C640">
        <v>695</v>
      </c>
      <c r="D640">
        <v>806</v>
      </c>
    </row>
    <row r="641" spans="1:4" x14ac:dyDescent="0.2">
      <c r="A641" s="48">
        <v>41000</v>
      </c>
      <c r="B641">
        <v>671</v>
      </c>
      <c r="C641">
        <v>753</v>
      </c>
      <c r="D641">
        <v>732</v>
      </c>
    </row>
    <row r="642" spans="1:4" x14ac:dyDescent="0.2">
      <c r="A642" s="48">
        <v>41030</v>
      </c>
      <c r="B642">
        <v>626</v>
      </c>
      <c r="C642">
        <v>708</v>
      </c>
      <c r="D642">
        <v>796</v>
      </c>
    </row>
    <row r="643" spans="1:4" x14ac:dyDescent="0.2">
      <c r="A643" s="48">
        <v>41061</v>
      </c>
      <c r="B643">
        <v>625</v>
      </c>
      <c r="C643">
        <v>757</v>
      </c>
      <c r="D643">
        <v>794</v>
      </c>
    </row>
    <row r="644" spans="1:4" x14ac:dyDescent="0.2">
      <c r="A644" s="48">
        <v>41091</v>
      </c>
      <c r="B644">
        <v>676</v>
      </c>
      <c r="C644">
        <v>740</v>
      </c>
      <c r="D644">
        <v>849</v>
      </c>
    </row>
    <row r="645" spans="1:4" x14ac:dyDescent="0.2">
      <c r="A645" s="48">
        <v>41122</v>
      </c>
      <c r="B645">
        <v>684</v>
      </c>
      <c r="C645">
        <v>754</v>
      </c>
      <c r="D645">
        <v>840</v>
      </c>
    </row>
    <row r="646" spans="1:4" x14ac:dyDescent="0.2">
      <c r="A646" s="48">
        <v>41153</v>
      </c>
      <c r="B646">
        <v>652</v>
      </c>
      <c r="C646">
        <v>847</v>
      </c>
      <c r="D646">
        <v>930</v>
      </c>
    </row>
    <row r="647" spans="1:4" x14ac:dyDescent="0.2">
      <c r="A647" s="48">
        <v>41183</v>
      </c>
      <c r="B647">
        <v>730</v>
      </c>
      <c r="C647">
        <v>915</v>
      </c>
      <c r="D647">
        <v>887</v>
      </c>
    </row>
    <row r="648" spans="1:4" x14ac:dyDescent="0.2">
      <c r="A648" s="48">
        <v>41214</v>
      </c>
      <c r="B648">
        <v>668</v>
      </c>
      <c r="C648">
        <v>833</v>
      </c>
      <c r="D648">
        <v>917</v>
      </c>
    </row>
    <row r="649" spans="1:4" x14ac:dyDescent="0.2">
      <c r="A649" s="48">
        <v>41244</v>
      </c>
      <c r="B649">
        <v>677</v>
      </c>
      <c r="C649">
        <v>976</v>
      </c>
      <c r="D649">
        <v>941</v>
      </c>
    </row>
    <row r="650" spans="1:4" x14ac:dyDescent="0.2">
      <c r="A650" s="48">
        <v>41275</v>
      </c>
      <c r="B650">
        <v>714</v>
      </c>
      <c r="C650">
        <v>888</v>
      </c>
      <c r="D650">
        <v>940</v>
      </c>
    </row>
    <row r="651" spans="1:4" x14ac:dyDescent="0.2">
      <c r="A651" s="48">
        <v>41306</v>
      </c>
      <c r="B651">
        <v>729</v>
      </c>
      <c r="C651">
        <v>962</v>
      </c>
      <c r="D651">
        <v>980</v>
      </c>
    </row>
    <row r="652" spans="1:4" x14ac:dyDescent="0.2">
      <c r="A652" s="48">
        <v>41334</v>
      </c>
      <c r="B652">
        <v>816</v>
      </c>
      <c r="C652">
        <v>1010</v>
      </c>
      <c r="D652">
        <v>936</v>
      </c>
    </row>
    <row r="653" spans="1:4" x14ac:dyDescent="0.2">
      <c r="A653" s="48">
        <v>41365</v>
      </c>
      <c r="B653">
        <v>712</v>
      </c>
      <c r="C653">
        <v>835</v>
      </c>
      <c r="D653">
        <v>1012</v>
      </c>
    </row>
    <row r="654" spans="1:4" x14ac:dyDescent="0.2">
      <c r="A654" s="48">
        <v>41395</v>
      </c>
      <c r="B654">
        <v>708</v>
      </c>
      <c r="C654">
        <v>930</v>
      </c>
      <c r="D654">
        <v>1003</v>
      </c>
    </row>
    <row r="655" spans="1:4" x14ac:dyDescent="0.2">
      <c r="A655" s="48">
        <v>41426</v>
      </c>
      <c r="B655">
        <v>736</v>
      </c>
      <c r="C655">
        <v>839</v>
      </c>
      <c r="D655">
        <v>942</v>
      </c>
    </row>
    <row r="656" spans="1:4" x14ac:dyDescent="0.2">
      <c r="A656" s="48">
        <v>41456</v>
      </c>
      <c r="B656">
        <v>784</v>
      </c>
      <c r="C656">
        <v>880</v>
      </c>
      <c r="D656">
        <v>997</v>
      </c>
    </row>
    <row r="657" spans="1:4" x14ac:dyDescent="0.2">
      <c r="A657" s="48">
        <v>41487</v>
      </c>
      <c r="B657">
        <v>765</v>
      </c>
      <c r="C657">
        <v>917</v>
      </c>
      <c r="D657">
        <v>964</v>
      </c>
    </row>
    <row r="658" spans="1:4" x14ac:dyDescent="0.2">
      <c r="A658" s="48">
        <v>41518</v>
      </c>
      <c r="B658">
        <v>776</v>
      </c>
      <c r="C658">
        <v>850</v>
      </c>
      <c r="D658">
        <v>1004</v>
      </c>
    </row>
    <row r="659" spans="1:4" x14ac:dyDescent="0.2">
      <c r="A659" s="48">
        <v>41548</v>
      </c>
      <c r="B659">
        <v>801</v>
      </c>
      <c r="C659">
        <v>925</v>
      </c>
      <c r="D659">
        <v>1044</v>
      </c>
    </row>
    <row r="660" spans="1:4" x14ac:dyDescent="0.2">
      <c r="A660" s="48">
        <v>41579</v>
      </c>
      <c r="B660">
        <v>839</v>
      </c>
      <c r="C660">
        <v>1100</v>
      </c>
      <c r="D660">
        <v>1029</v>
      </c>
    </row>
    <row r="661" spans="1:4" x14ac:dyDescent="0.2">
      <c r="A661" s="48">
        <v>41609</v>
      </c>
      <c r="B661">
        <v>778</v>
      </c>
      <c r="C661">
        <v>1002</v>
      </c>
      <c r="D661">
        <v>1005</v>
      </c>
    </row>
    <row r="662" spans="1:4" x14ac:dyDescent="0.2">
      <c r="A662" s="48">
        <v>41640</v>
      </c>
      <c r="B662">
        <v>838</v>
      </c>
      <c r="C662">
        <v>888</v>
      </c>
      <c r="D662">
        <v>976</v>
      </c>
    </row>
    <row r="663" spans="1:4" x14ac:dyDescent="0.2">
      <c r="A663" s="48">
        <v>41671</v>
      </c>
      <c r="B663">
        <v>876</v>
      </c>
      <c r="C663">
        <v>944</v>
      </c>
      <c r="D663">
        <v>1039</v>
      </c>
    </row>
    <row r="664" spans="1:4" x14ac:dyDescent="0.2">
      <c r="A664" s="48">
        <v>41699</v>
      </c>
      <c r="B664">
        <v>893</v>
      </c>
      <c r="C664">
        <v>970</v>
      </c>
      <c r="D664">
        <v>1067</v>
      </c>
    </row>
    <row r="665" spans="1:4" x14ac:dyDescent="0.2">
      <c r="A665" s="48">
        <v>41730</v>
      </c>
      <c r="B665">
        <v>834</v>
      </c>
      <c r="C665">
        <v>1043</v>
      </c>
      <c r="D665">
        <v>1090</v>
      </c>
    </row>
    <row r="666" spans="1:4" x14ac:dyDescent="0.2">
      <c r="A666" s="48">
        <v>41760</v>
      </c>
      <c r="B666">
        <v>891</v>
      </c>
      <c r="C666">
        <v>1007</v>
      </c>
      <c r="D666">
        <v>1018</v>
      </c>
    </row>
    <row r="667" spans="1:4" x14ac:dyDescent="0.2">
      <c r="A667" s="48">
        <v>41791</v>
      </c>
      <c r="B667">
        <v>800</v>
      </c>
      <c r="C667">
        <v>911</v>
      </c>
      <c r="D667">
        <v>1010</v>
      </c>
    </row>
    <row r="668" spans="1:4" x14ac:dyDescent="0.2">
      <c r="A668" s="48">
        <v>41821</v>
      </c>
      <c r="B668">
        <v>839</v>
      </c>
      <c r="C668">
        <v>1085</v>
      </c>
      <c r="D668">
        <v>1076</v>
      </c>
    </row>
    <row r="669" spans="1:4" x14ac:dyDescent="0.2">
      <c r="A669" s="48">
        <v>41852</v>
      </c>
      <c r="B669">
        <v>908</v>
      </c>
      <c r="C669">
        <v>984</v>
      </c>
      <c r="D669">
        <v>1047</v>
      </c>
    </row>
    <row r="670" spans="1:4" x14ac:dyDescent="0.2">
      <c r="A670" s="48">
        <v>41883</v>
      </c>
      <c r="B670">
        <v>975</v>
      </c>
      <c r="C670">
        <v>1023</v>
      </c>
      <c r="D670">
        <v>1077</v>
      </c>
    </row>
    <row r="671" spans="1:4" x14ac:dyDescent="0.2">
      <c r="A671" s="48">
        <v>41913</v>
      </c>
      <c r="B671">
        <v>920</v>
      </c>
      <c r="C671">
        <v>1074</v>
      </c>
      <c r="D671">
        <v>1094</v>
      </c>
    </row>
    <row r="672" spans="1:4" x14ac:dyDescent="0.2">
      <c r="A672" s="48">
        <v>41944</v>
      </c>
      <c r="B672">
        <v>863</v>
      </c>
      <c r="C672">
        <v>1001</v>
      </c>
      <c r="D672">
        <v>1059</v>
      </c>
    </row>
    <row r="673" spans="1:4" x14ac:dyDescent="0.2">
      <c r="A673" s="48">
        <v>41974</v>
      </c>
      <c r="B673">
        <v>955</v>
      </c>
      <c r="C673">
        <v>1073</v>
      </c>
      <c r="D673">
        <v>1072</v>
      </c>
    </row>
    <row r="674" spans="1:4" x14ac:dyDescent="0.2">
      <c r="A674" s="48">
        <v>42005</v>
      </c>
      <c r="B674">
        <v>954</v>
      </c>
      <c r="C674">
        <v>1085</v>
      </c>
      <c r="D674">
        <v>1049</v>
      </c>
    </row>
    <row r="675" spans="1:4" x14ac:dyDescent="0.2">
      <c r="A675" s="48">
        <v>42036</v>
      </c>
      <c r="B675">
        <v>863</v>
      </c>
      <c r="C675">
        <v>886</v>
      </c>
      <c r="D675">
        <v>1127</v>
      </c>
    </row>
    <row r="676" spans="1:4" x14ac:dyDescent="0.2">
      <c r="A676" s="48">
        <v>42064</v>
      </c>
      <c r="B676">
        <v>781</v>
      </c>
      <c r="C676">
        <v>960</v>
      </c>
      <c r="D676">
        <v>1072</v>
      </c>
    </row>
    <row r="677" spans="1:4" x14ac:dyDescent="0.2">
      <c r="A677" s="48">
        <v>42095</v>
      </c>
      <c r="B677">
        <v>1001</v>
      </c>
      <c r="C677">
        <v>1190</v>
      </c>
      <c r="D677">
        <v>1166</v>
      </c>
    </row>
    <row r="678" spans="1:4" x14ac:dyDescent="0.2">
      <c r="A678" s="48">
        <v>42125</v>
      </c>
      <c r="B678">
        <v>1012</v>
      </c>
      <c r="C678">
        <v>1079</v>
      </c>
      <c r="D678">
        <v>1272</v>
      </c>
    </row>
    <row r="679" spans="1:4" x14ac:dyDescent="0.2">
      <c r="A679" s="48">
        <v>42156</v>
      </c>
      <c r="B679">
        <v>962</v>
      </c>
      <c r="C679">
        <v>1205</v>
      </c>
      <c r="D679">
        <v>1379</v>
      </c>
    </row>
    <row r="680" spans="1:4" x14ac:dyDescent="0.2">
      <c r="A680" s="48">
        <v>42186</v>
      </c>
      <c r="B680">
        <v>988</v>
      </c>
      <c r="C680">
        <v>1146</v>
      </c>
      <c r="D680">
        <v>1140</v>
      </c>
    </row>
    <row r="681" spans="1:4" x14ac:dyDescent="0.2">
      <c r="A681" s="48">
        <v>42217</v>
      </c>
      <c r="B681">
        <v>974</v>
      </c>
      <c r="C681">
        <v>1130</v>
      </c>
      <c r="D681">
        <v>1165</v>
      </c>
    </row>
    <row r="682" spans="1:4" x14ac:dyDescent="0.2">
      <c r="A682" s="48">
        <v>42248</v>
      </c>
      <c r="B682">
        <v>1040</v>
      </c>
      <c r="C682">
        <v>1224</v>
      </c>
      <c r="D682">
        <v>1144</v>
      </c>
    </row>
    <row r="683" spans="1:4" x14ac:dyDescent="0.2">
      <c r="A683" s="48">
        <v>42278</v>
      </c>
      <c r="B683">
        <v>985</v>
      </c>
      <c r="C683">
        <v>1058</v>
      </c>
      <c r="D683">
        <v>1160</v>
      </c>
    </row>
    <row r="684" spans="1:4" x14ac:dyDescent="0.2">
      <c r="A684" s="48">
        <v>42309</v>
      </c>
      <c r="B684">
        <v>1000</v>
      </c>
      <c r="C684">
        <v>1172</v>
      </c>
      <c r="D684">
        <v>1244</v>
      </c>
    </row>
    <row r="685" spans="1:4" x14ac:dyDescent="0.2">
      <c r="A685" s="48">
        <v>42339</v>
      </c>
      <c r="B685">
        <v>1023</v>
      </c>
      <c r="C685">
        <v>1146</v>
      </c>
      <c r="D685">
        <v>1212</v>
      </c>
    </row>
    <row r="686" spans="1:4" x14ac:dyDescent="0.2">
      <c r="A686" s="48">
        <v>42370</v>
      </c>
      <c r="B686">
        <v>1056</v>
      </c>
      <c r="C686">
        <v>1092</v>
      </c>
      <c r="D686">
        <v>1161</v>
      </c>
    </row>
    <row r="687" spans="1:4" x14ac:dyDescent="0.2">
      <c r="A687" s="48">
        <v>42401</v>
      </c>
      <c r="B687">
        <v>1037</v>
      </c>
      <c r="C687">
        <v>1225</v>
      </c>
      <c r="D687">
        <v>1187</v>
      </c>
    </row>
    <row r="688" spans="1:4" x14ac:dyDescent="0.2">
      <c r="A688" s="48">
        <v>42430</v>
      </c>
      <c r="B688">
        <v>1003</v>
      </c>
      <c r="C688">
        <v>1111</v>
      </c>
      <c r="D688">
        <v>1114</v>
      </c>
    </row>
    <row r="689" spans="1:4" x14ac:dyDescent="0.2">
      <c r="A689" s="48">
        <v>42461</v>
      </c>
      <c r="B689">
        <v>945</v>
      </c>
      <c r="C689">
        <v>1163</v>
      </c>
      <c r="D689">
        <v>1158</v>
      </c>
    </row>
    <row r="690" spans="1:4" x14ac:dyDescent="0.2">
      <c r="A690" s="48">
        <v>42491</v>
      </c>
      <c r="B690">
        <v>1000</v>
      </c>
      <c r="C690">
        <v>1148</v>
      </c>
      <c r="D690">
        <v>1196</v>
      </c>
    </row>
    <row r="691" spans="1:4" x14ac:dyDescent="0.2">
      <c r="A691" s="48">
        <v>42522</v>
      </c>
      <c r="B691">
        <v>1109</v>
      </c>
      <c r="C691">
        <v>1203</v>
      </c>
      <c r="D691">
        <v>1208</v>
      </c>
    </row>
    <row r="692" spans="1:4" x14ac:dyDescent="0.2">
      <c r="A692" s="48">
        <v>42552</v>
      </c>
      <c r="B692">
        <v>1072</v>
      </c>
      <c r="C692">
        <v>1239</v>
      </c>
      <c r="D692">
        <v>1190</v>
      </c>
    </row>
    <row r="693" spans="1:4" x14ac:dyDescent="0.2">
      <c r="A693" s="48">
        <v>42583</v>
      </c>
      <c r="B693">
        <v>1054</v>
      </c>
      <c r="C693">
        <v>1171</v>
      </c>
      <c r="D693">
        <v>1205</v>
      </c>
    </row>
    <row r="694" spans="1:4" x14ac:dyDescent="0.2">
      <c r="A694" s="48">
        <v>42614</v>
      </c>
      <c r="B694">
        <v>1035</v>
      </c>
      <c r="C694">
        <v>1068</v>
      </c>
      <c r="D694">
        <v>1280</v>
      </c>
    </row>
    <row r="695" spans="1:4" x14ac:dyDescent="0.2">
      <c r="A695" s="48">
        <v>42644</v>
      </c>
      <c r="B695">
        <v>1070</v>
      </c>
      <c r="C695">
        <v>1313</v>
      </c>
      <c r="D695">
        <v>1278</v>
      </c>
    </row>
    <row r="696" spans="1:4" x14ac:dyDescent="0.2">
      <c r="A696" s="48">
        <v>42675</v>
      </c>
      <c r="B696">
        <v>1244</v>
      </c>
      <c r="C696">
        <v>1140</v>
      </c>
      <c r="D696">
        <v>1236</v>
      </c>
    </row>
    <row r="697" spans="1:4" x14ac:dyDescent="0.2">
      <c r="A697" s="48">
        <v>42705</v>
      </c>
      <c r="B697">
        <v>1101</v>
      </c>
      <c r="C697">
        <v>1252</v>
      </c>
      <c r="D697">
        <v>1252</v>
      </c>
    </row>
    <row r="698" spans="1:4" x14ac:dyDescent="0.2">
      <c r="A698" s="48">
        <v>42736</v>
      </c>
      <c r="B698">
        <v>1073</v>
      </c>
      <c r="C698">
        <v>1193</v>
      </c>
      <c r="D698">
        <v>1301</v>
      </c>
    </row>
    <row r="699" spans="1:4" x14ac:dyDescent="0.2">
      <c r="A699" s="48">
        <v>42767</v>
      </c>
      <c r="B699">
        <v>1152</v>
      </c>
      <c r="C699">
        <v>1281</v>
      </c>
      <c r="D699">
        <v>1240</v>
      </c>
    </row>
    <row r="700" spans="1:4" x14ac:dyDescent="0.2">
      <c r="A700" s="48">
        <v>42795</v>
      </c>
      <c r="B700">
        <v>1162</v>
      </c>
      <c r="C700">
        <v>1190</v>
      </c>
      <c r="D700">
        <v>1285</v>
      </c>
    </row>
    <row r="701" spans="1:4" x14ac:dyDescent="0.2">
      <c r="A701" s="48">
        <v>42826</v>
      </c>
      <c r="B701">
        <v>1066</v>
      </c>
      <c r="C701">
        <v>1145</v>
      </c>
      <c r="D701">
        <v>1258</v>
      </c>
    </row>
    <row r="702" spans="1:4" x14ac:dyDescent="0.2">
      <c r="A702" s="48">
        <v>42856</v>
      </c>
      <c r="B702">
        <v>1170</v>
      </c>
      <c r="C702">
        <v>1160</v>
      </c>
      <c r="D702">
        <v>1209</v>
      </c>
    </row>
    <row r="703" spans="1:4" x14ac:dyDescent="0.2">
      <c r="A703" s="48">
        <v>42887</v>
      </c>
      <c r="B703">
        <v>1238</v>
      </c>
      <c r="C703">
        <v>1247</v>
      </c>
      <c r="D703">
        <v>1329</v>
      </c>
    </row>
    <row r="704" spans="1:4" x14ac:dyDescent="0.2">
      <c r="A704" s="48">
        <v>42917</v>
      </c>
      <c r="B704">
        <v>1174</v>
      </c>
      <c r="C704">
        <v>1202</v>
      </c>
      <c r="D704">
        <v>1264</v>
      </c>
    </row>
    <row r="705" spans="1:4" x14ac:dyDescent="0.2">
      <c r="A705" s="48">
        <v>42948</v>
      </c>
      <c r="B705">
        <v>1100</v>
      </c>
      <c r="C705">
        <v>1159</v>
      </c>
      <c r="D705">
        <v>1314</v>
      </c>
    </row>
    <row r="706" spans="1:4" x14ac:dyDescent="0.2">
      <c r="A706" s="48">
        <v>42979</v>
      </c>
      <c r="B706">
        <v>1108</v>
      </c>
      <c r="C706">
        <v>1175</v>
      </c>
      <c r="D706">
        <v>1257</v>
      </c>
    </row>
    <row r="707" spans="1:4" x14ac:dyDescent="0.2">
      <c r="A707" s="48">
        <v>43009</v>
      </c>
      <c r="B707">
        <v>1191</v>
      </c>
      <c r="C707">
        <v>1248</v>
      </c>
      <c r="D707">
        <v>1346</v>
      </c>
    </row>
    <row r="708" spans="1:4" x14ac:dyDescent="0.2">
      <c r="A708" s="48">
        <v>43040</v>
      </c>
      <c r="B708">
        <v>1180</v>
      </c>
      <c r="C708">
        <v>1278</v>
      </c>
      <c r="D708">
        <v>1302</v>
      </c>
    </row>
    <row r="709" spans="1:4" x14ac:dyDescent="0.2">
      <c r="A709" s="48">
        <v>43070</v>
      </c>
      <c r="B709">
        <v>1203</v>
      </c>
      <c r="C709">
        <v>1182</v>
      </c>
      <c r="D709">
        <v>1309</v>
      </c>
    </row>
    <row r="710" spans="1:4" x14ac:dyDescent="0.2">
      <c r="A710" s="48">
        <v>43101</v>
      </c>
      <c r="B710">
        <v>1204</v>
      </c>
      <c r="C710">
        <v>1309</v>
      </c>
      <c r="D710">
        <v>1352</v>
      </c>
    </row>
    <row r="711" spans="1:4" x14ac:dyDescent="0.2">
      <c r="A711" s="48">
        <v>43132</v>
      </c>
      <c r="B711">
        <v>1290</v>
      </c>
      <c r="C711">
        <v>1289</v>
      </c>
      <c r="D711">
        <v>1332</v>
      </c>
    </row>
    <row r="712" spans="1:4" x14ac:dyDescent="0.2">
      <c r="A712" s="48">
        <v>43160</v>
      </c>
      <c r="B712">
        <v>1189</v>
      </c>
      <c r="C712">
        <v>1327</v>
      </c>
      <c r="D712">
        <v>1407</v>
      </c>
    </row>
    <row r="713" spans="1:4" x14ac:dyDescent="0.2">
      <c r="A713" s="48">
        <v>43191</v>
      </c>
      <c r="B713">
        <v>1213</v>
      </c>
      <c r="C713">
        <v>1285</v>
      </c>
      <c r="D713">
        <v>1391</v>
      </c>
    </row>
    <row r="714" spans="1:4" x14ac:dyDescent="0.2">
      <c r="A714" s="48">
        <v>43221</v>
      </c>
      <c r="B714">
        <v>1263</v>
      </c>
      <c r="C714">
        <v>1354</v>
      </c>
      <c r="D714">
        <v>1331</v>
      </c>
    </row>
    <row r="715" spans="1:4" x14ac:dyDescent="0.2">
      <c r="A715" s="48">
        <v>43252</v>
      </c>
      <c r="B715">
        <v>1216</v>
      </c>
      <c r="C715">
        <v>1199</v>
      </c>
      <c r="D715">
        <v>1320</v>
      </c>
    </row>
    <row r="716" spans="1:4" x14ac:dyDescent="0.2">
      <c r="A716" s="48">
        <v>43282</v>
      </c>
      <c r="B716">
        <v>1169</v>
      </c>
      <c r="C716">
        <v>1193</v>
      </c>
      <c r="D716">
        <v>1328</v>
      </c>
    </row>
    <row r="717" spans="1:4" x14ac:dyDescent="0.2">
      <c r="A717" s="48">
        <v>43313</v>
      </c>
      <c r="B717">
        <v>1246</v>
      </c>
      <c r="C717">
        <v>1288</v>
      </c>
      <c r="D717">
        <v>1264</v>
      </c>
    </row>
    <row r="718" spans="1:4" x14ac:dyDescent="0.2">
      <c r="A718" s="48">
        <v>43344</v>
      </c>
      <c r="B718">
        <v>1174</v>
      </c>
      <c r="C718">
        <v>1238</v>
      </c>
      <c r="D718">
        <v>1289</v>
      </c>
    </row>
    <row r="719" spans="1:4" x14ac:dyDescent="0.2">
      <c r="A719" s="48">
        <v>43374</v>
      </c>
      <c r="B719">
        <v>1116</v>
      </c>
      <c r="C719">
        <v>1208</v>
      </c>
      <c r="D719">
        <v>1275</v>
      </c>
    </row>
    <row r="720" spans="1:4" x14ac:dyDescent="0.2">
      <c r="A720" s="48">
        <v>43405</v>
      </c>
      <c r="B720">
        <v>1142</v>
      </c>
      <c r="C720">
        <v>1183</v>
      </c>
      <c r="D720">
        <v>1318</v>
      </c>
    </row>
    <row r="721" spans="1:4" x14ac:dyDescent="0.2">
      <c r="A721" s="48">
        <v>43435</v>
      </c>
      <c r="B721">
        <v>1052</v>
      </c>
      <c r="C721">
        <v>1095</v>
      </c>
      <c r="D721">
        <v>1338</v>
      </c>
    </row>
    <row r="722" spans="1:4" x14ac:dyDescent="0.2">
      <c r="A722" s="48">
        <v>43466</v>
      </c>
      <c r="B722">
        <v>1246</v>
      </c>
      <c r="C722">
        <v>1244</v>
      </c>
      <c r="D722">
        <v>1295</v>
      </c>
    </row>
    <row r="723" spans="1:4" x14ac:dyDescent="0.2">
      <c r="A723" s="48">
        <v>43497</v>
      </c>
      <c r="B723">
        <v>1337</v>
      </c>
      <c r="C723">
        <v>1142</v>
      </c>
      <c r="D723">
        <v>1304</v>
      </c>
    </row>
    <row r="724" spans="1:4" x14ac:dyDescent="0.2">
      <c r="A724" s="48">
        <v>43525</v>
      </c>
      <c r="B724">
        <v>1316</v>
      </c>
      <c r="C724">
        <v>1203</v>
      </c>
      <c r="D724">
        <v>1316</v>
      </c>
    </row>
    <row r="725" spans="1:4" x14ac:dyDescent="0.2">
      <c r="A725" s="48">
        <v>43556</v>
      </c>
      <c r="B725">
        <v>1312</v>
      </c>
      <c r="C725">
        <v>1282</v>
      </c>
      <c r="D725">
        <v>1337</v>
      </c>
    </row>
    <row r="726" spans="1:4" x14ac:dyDescent="0.2">
      <c r="A726" s="48">
        <v>43586</v>
      </c>
      <c r="B726">
        <v>1235</v>
      </c>
      <c r="C726">
        <v>1303</v>
      </c>
      <c r="D726">
        <v>1337</v>
      </c>
    </row>
    <row r="727" spans="1:4" x14ac:dyDescent="0.2">
      <c r="A727" s="48">
        <v>43617</v>
      </c>
      <c r="B727">
        <v>1170</v>
      </c>
      <c r="C727">
        <v>1237</v>
      </c>
      <c r="D727">
        <v>1276</v>
      </c>
    </row>
    <row r="728" spans="1:4" x14ac:dyDescent="0.2">
      <c r="A728" s="48">
        <v>43647</v>
      </c>
      <c r="B728">
        <v>1242</v>
      </c>
      <c r="C728">
        <v>1224</v>
      </c>
      <c r="D728">
        <v>1369</v>
      </c>
    </row>
    <row r="729" spans="1:4" x14ac:dyDescent="0.2">
      <c r="A729" s="48">
        <v>43678</v>
      </c>
      <c r="B729">
        <v>1272</v>
      </c>
      <c r="C729">
        <v>1371</v>
      </c>
      <c r="D729">
        <v>1479</v>
      </c>
    </row>
    <row r="730" spans="1:4" x14ac:dyDescent="0.2">
      <c r="A730" s="48">
        <v>43709</v>
      </c>
      <c r="B730">
        <v>1136</v>
      </c>
      <c r="C730">
        <v>1285</v>
      </c>
      <c r="D730">
        <v>1439</v>
      </c>
    </row>
    <row r="731" spans="1:4" x14ac:dyDescent="0.2">
      <c r="A731" s="48">
        <v>43739</v>
      </c>
      <c r="B731">
        <v>1279</v>
      </c>
      <c r="C731">
        <v>1318</v>
      </c>
      <c r="D731">
        <v>1509</v>
      </c>
    </row>
    <row r="732" spans="1:4" x14ac:dyDescent="0.2">
      <c r="A732" s="48">
        <v>43770</v>
      </c>
      <c r="B732">
        <v>1252</v>
      </c>
      <c r="C732">
        <v>1350</v>
      </c>
      <c r="D732">
        <v>1509</v>
      </c>
    </row>
    <row r="733" spans="1:4" x14ac:dyDescent="0.2">
      <c r="A733" s="48">
        <v>43800</v>
      </c>
      <c r="B733">
        <v>1308</v>
      </c>
      <c r="C733">
        <v>1547</v>
      </c>
      <c r="D733">
        <v>1453</v>
      </c>
    </row>
    <row r="734" spans="1:4" x14ac:dyDescent="0.2">
      <c r="A734" s="48">
        <v>43831</v>
      </c>
      <c r="B734">
        <v>1288</v>
      </c>
      <c r="C734">
        <v>1589</v>
      </c>
      <c r="D734">
        <v>1550</v>
      </c>
    </row>
    <row r="735" spans="1:4" x14ac:dyDescent="0.2">
      <c r="A735" s="48">
        <v>43862</v>
      </c>
      <c r="B735">
        <v>1294</v>
      </c>
      <c r="C735">
        <v>1589</v>
      </c>
      <c r="D735">
        <v>1478</v>
      </c>
    </row>
    <row r="736" spans="1:4" x14ac:dyDescent="0.2">
      <c r="A736" s="48">
        <v>43891</v>
      </c>
      <c r="B736">
        <v>1267</v>
      </c>
      <c r="C736">
        <v>1277</v>
      </c>
      <c r="D736">
        <v>1382</v>
      </c>
    </row>
    <row r="737" spans="1:4" x14ac:dyDescent="0.2">
      <c r="A737" s="48">
        <v>43922</v>
      </c>
      <c r="B737">
        <v>1191</v>
      </c>
      <c r="C737">
        <v>938</v>
      </c>
      <c r="D737">
        <v>1094</v>
      </c>
    </row>
    <row r="738" spans="1:4" x14ac:dyDescent="0.2">
      <c r="A738" s="48">
        <v>43952</v>
      </c>
      <c r="B738">
        <v>1178</v>
      </c>
      <c r="C738">
        <v>1046</v>
      </c>
      <c r="D738">
        <v>1246</v>
      </c>
    </row>
    <row r="739" spans="1:4" x14ac:dyDescent="0.2">
      <c r="A739" s="48">
        <v>43983</v>
      </c>
      <c r="B739">
        <v>1243</v>
      </c>
      <c r="C739">
        <v>1273</v>
      </c>
      <c r="D739">
        <v>1296</v>
      </c>
    </row>
    <row r="740" spans="1:4" x14ac:dyDescent="0.2">
      <c r="A740" s="48">
        <v>44013</v>
      </c>
      <c r="B740">
        <v>1340</v>
      </c>
      <c r="C740">
        <v>1497</v>
      </c>
      <c r="D740">
        <v>1542</v>
      </c>
    </row>
    <row r="741" spans="1:4" x14ac:dyDescent="0.2">
      <c r="A741" s="48">
        <v>44044</v>
      </c>
      <c r="B741">
        <v>1216</v>
      </c>
      <c r="C741">
        <v>1376</v>
      </c>
      <c r="D741">
        <v>1522</v>
      </c>
    </row>
    <row r="742" spans="1:4" x14ac:dyDescent="0.2">
      <c r="A742" s="48">
        <v>44075</v>
      </c>
      <c r="B742">
        <v>1426</v>
      </c>
      <c r="C742">
        <v>1448</v>
      </c>
      <c r="D742">
        <v>1589</v>
      </c>
    </row>
    <row r="743" spans="1:4" x14ac:dyDescent="0.2">
      <c r="A743" s="48">
        <v>44105</v>
      </c>
      <c r="B743">
        <v>1356</v>
      </c>
      <c r="C743">
        <v>1514</v>
      </c>
      <c r="D743">
        <v>1595</v>
      </c>
    </row>
    <row r="744" spans="1:4" x14ac:dyDescent="0.2">
      <c r="A744" s="48">
        <v>44136</v>
      </c>
      <c r="B744">
        <v>1244</v>
      </c>
      <c r="C744">
        <v>1551</v>
      </c>
      <c r="D744">
        <v>1696</v>
      </c>
    </row>
    <row r="745" spans="1:4" x14ac:dyDescent="0.2">
      <c r="A745" s="48">
        <v>44166</v>
      </c>
      <c r="B745">
        <v>1386</v>
      </c>
      <c r="C745">
        <v>1661</v>
      </c>
      <c r="D745">
        <v>1758</v>
      </c>
    </row>
    <row r="746" spans="1:4" x14ac:dyDescent="0.2">
      <c r="A746" s="48">
        <v>44197</v>
      </c>
      <c r="B746">
        <v>1328</v>
      </c>
      <c r="C746">
        <v>1625</v>
      </c>
      <c r="D746">
        <v>1883</v>
      </c>
    </row>
    <row r="747" spans="1:4" x14ac:dyDescent="0.2">
      <c r="A747" s="48">
        <v>44228</v>
      </c>
      <c r="B747">
        <v>1347</v>
      </c>
      <c r="C747">
        <v>1447</v>
      </c>
      <c r="D747">
        <v>1726</v>
      </c>
    </row>
    <row r="748" spans="1:4" x14ac:dyDescent="0.2">
      <c r="A748" s="48">
        <v>44256</v>
      </c>
      <c r="B748">
        <v>1497</v>
      </c>
      <c r="C748">
        <v>1725</v>
      </c>
      <c r="D748">
        <v>1755</v>
      </c>
    </row>
    <row r="749" spans="1:4" x14ac:dyDescent="0.2">
      <c r="A749" s="48">
        <v>44287</v>
      </c>
      <c r="B749">
        <v>1417</v>
      </c>
      <c r="C749">
        <v>1514</v>
      </c>
      <c r="D749">
        <v>1733</v>
      </c>
    </row>
    <row r="750" spans="1:4" x14ac:dyDescent="0.2">
      <c r="A750" s="48">
        <v>44317</v>
      </c>
      <c r="B750">
        <v>1350</v>
      </c>
      <c r="C750">
        <v>1594</v>
      </c>
      <c r="D750">
        <v>1683</v>
      </c>
    </row>
    <row r="751" spans="1:4" x14ac:dyDescent="0.2">
      <c r="A751" s="48">
        <v>44348</v>
      </c>
      <c r="B751">
        <v>1312</v>
      </c>
      <c r="C751">
        <v>1657</v>
      </c>
      <c r="D751">
        <v>1594</v>
      </c>
    </row>
    <row r="752" spans="1:4" x14ac:dyDescent="0.2">
      <c r="A752" s="48">
        <v>44378</v>
      </c>
      <c r="B752">
        <v>1380</v>
      </c>
      <c r="C752">
        <v>1562</v>
      </c>
      <c r="D752">
        <v>1630</v>
      </c>
    </row>
    <row r="753" spans="1:4" x14ac:dyDescent="0.2">
      <c r="A753" s="48">
        <v>44409</v>
      </c>
      <c r="B753">
        <v>1291</v>
      </c>
      <c r="C753">
        <v>1573</v>
      </c>
      <c r="D753">
        <v>1721</v>
      </c>
    </row>
    <row r="754" spans="1:4" x14ac:dyDescent="0.2">
      <c r="A754" s="48">
        <v>44440</v>
      </c>
      <c r="B754">
        <v>1235</v>
      </c>
      <c r="C754">
        <v>1550</v>
      </c>
      <c r="D754">
        <v>1586</v>
      </c>
    </row>
    <row r="755" spans="1:4" x14ac:dyDescent="0.2">
      <c r="A755" s="48">
        <v>44470</v>
      </c>
      <c r="B755">
        <v>1255</v>
      </c>
      <c r="C755">
        <v>1552</v>
      </c>
      <c r="D755">
        <v>1653</v>
      </c>
    </row>
    <row r="756" spans="1:4" x14ac:dyDescent="0.2">
      <c r="A756" s="48">
        <v>44501</v>
      </c>
      <c r="B756">
        <v>1418</v>
      </c>
      <c r="C756">
        <v>1678</v>
      </c>
      <c r="D756">
        <v>1717</v>
      </c>
    </row>
    <row r="757" spans="1:4" x14ac:dyDescent="0.2">
      <c r="A757" s="48">
        <v>44531</v>
      </c>
      <c r="B757">
        <v>1295</v>
      </c>
      <c r="C757">
        <v>1702</v>
      </c>
      <c r="D757">
        <v>1885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0"/>
  <sheetViews>
    <sheetView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4" width="9.1640625" style="46" customWidth="1"/>
    <col min="5" max="16384" width="9.1640625" style="46"/>
  </cols>
  <sheetData>
    <row r="1" spans="1:3" ht="19" customHeight="1" x14ac:dyDescent="0.25">
      <c r="A1" s="12" t="s">
        <v>31</v>
      </c>
    </row>
    <row r="2" spans="1:3" x14ac:dyDescent="0.2">
      <c r="A2" s="46" t="s">
        <v>18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33</v>
      </c>
      <c r="C6" s="8" t="s">
        <v>34</v>
      </c>
    </row>
    <row r="7" spans="1:3" x14ac:dyDescent="0.2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2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2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2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2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2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2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2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2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2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2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2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2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2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2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2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2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2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2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2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2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2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2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2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2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2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2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2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2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2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2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2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2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2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2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2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2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2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2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2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2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2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2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2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2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2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2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2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2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2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2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2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2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2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2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2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2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2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2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2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2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2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2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2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2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2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2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2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2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2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2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2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2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2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2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2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2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2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2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2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2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2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2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2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2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2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2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2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2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2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2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2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2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2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2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2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2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2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2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2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2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2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2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2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2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2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2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2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2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2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2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2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2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2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2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2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2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2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2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2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2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2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2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2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2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2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2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2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2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2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2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2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2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2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2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2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2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2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2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2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2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2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2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2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2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2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2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2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2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2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2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2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2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2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2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2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2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2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2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2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2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2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2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2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2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2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2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2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2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2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2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2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2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2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2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2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2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2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2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2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2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2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2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2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2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2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2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2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2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2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2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2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2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2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2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2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2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2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2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2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2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2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2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2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2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2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2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2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2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2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2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2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2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2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2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2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2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2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2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2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2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2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2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2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2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2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2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2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2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2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2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2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2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2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2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2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2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2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2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2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2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2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2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2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2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2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2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2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2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2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2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2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2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2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2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2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2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2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2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2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2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2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2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2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2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2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2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2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2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2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2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2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2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2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2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2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2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2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2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2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2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2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2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2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2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2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2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2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2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2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2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2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2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2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2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2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2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2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2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2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2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2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2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2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2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2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2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2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2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2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2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2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2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2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2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2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2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2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2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2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2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2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2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2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2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2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2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2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2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2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2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2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2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2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2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2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2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2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2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2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2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2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2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2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2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2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2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2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2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2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2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2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2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2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2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2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2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2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2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2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2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2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2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2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2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2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2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2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2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2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2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2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2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2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2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2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2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2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2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2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2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2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2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2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2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2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2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2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2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2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2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2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2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2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2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2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2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2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2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2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2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2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2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2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2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2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2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2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2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2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2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2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2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2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2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2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2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2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2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2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2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2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2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2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2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2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2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2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2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2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2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2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2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2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2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2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2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2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2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2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2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2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2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2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2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2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2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2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2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2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2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2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2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2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2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2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2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2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2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2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2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2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2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2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2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2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2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2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2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2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2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2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2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2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2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2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2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2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2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2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2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2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2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2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2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2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2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2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2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2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2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2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2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2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2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2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2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2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2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2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2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2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2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2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2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2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2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2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2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2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2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2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2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2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2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2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2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2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2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2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2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2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2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2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2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2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2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2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2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2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2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2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2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2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2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2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2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2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2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2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2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2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2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2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2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2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2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2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2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2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2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2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2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2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2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2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2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2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2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2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2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2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2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2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2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2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2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2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2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2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2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2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2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2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2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2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2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2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2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2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2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2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2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2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2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2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2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2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2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2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2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2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2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2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2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2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2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2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2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2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2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2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2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2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2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2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2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2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2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2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2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2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2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2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2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2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2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2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2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2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2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2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2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2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2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2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2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2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2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2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2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2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2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2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2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2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2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2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2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2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2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2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2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2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2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2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2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2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2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2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2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2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2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2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2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2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2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2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2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2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2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2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2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2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2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2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2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2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2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2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2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2">
      <c r="A678" s="9">
        <v>42339</v>
      </c>
      <c r="B678" s="10">
        <f>VLOOKUP(Table2[[#This Row],[Date]],'Database New'!$A:$D,MATCH($A$1,'Database New'!$A$1:$D$1,),)</f>
        <v>1212</v>
      </c>
      <c r="C678" s="30">
        <f>(Table2[[#This Row],[Building Permits]]-B677)/B677</f>
        <v>-2.5723472668810289E-2</v>
      </c>
    </row>
    <row r="679" spans="1:3" x14ac:dyDescent="0.2">
      <c r="A679" s="9">
        <v>42370</v>
      </c>
      <c r="B679" s="10">
        <f>VLOOKUP(Table2[[#This Row],[Date]],'Database New'!$A:$D,MATCH($A$1,'Database New'!$A$1:$D$1,),)</f>
        <v>1161</v>
      </c>
      <c r="C679" s="30">
        <f>(Table2[[#This Row],[Building Permits]]-B678)/B678</f>
        <v>-4.2079207920792082E-2</v>
      </c>
    </row>
    <row r="680" spans="1:3" x14ac:dyDescent="0.2">
      <c r="A680" s="9">
        <v>42401</v>
      </c>
      <c r="B680" s="10">
        <f>VLOOKUP(Table2[[#This Row],[Date]],'Database New'!$A:$D,MATCH($A$1,'Database New'!$A$1:$D$1,),)</f>
        <v>1187</v>
      </c>
      <c r="C680" s="30">
        <f>(Table2[[#This Row],[Building Permits]]-B679)/B679</f>
        <v>2.2394487510766579E-2</v>
      </c>
    </row>
    <row r="681" spans="1:3" x14ac:dyDescent="0.2">
      <c r="A681" s="9">
        <v>42430</v>
      </c>
      <c r="B681" s="10">
        <f>VLOOKUP(Table2[[#This Row],[Date]],'Database New'!$A:$D,MATCH($A$1,'Database New'!$A$1:$D$1,),)</f>
        <v>1114</v>
      </c>
      <c r="C681" s="30">
        <f>(Table2[[#This Row],[Building Permits]]-B680)/B680</f>
        <v>-6.1499578770008424E-2</v>
      </c>
    </row>
    <row r="682" spans="1:3" x14ac:dyDescent="0.2">
      <c r="A682" s="9">
        <v>42461</v>
      </c>
      <c r="B682" s="10">
        <f>VLOOKUP(Table2[[#This Row],[Date]],'Database New'!$A:$D,MATCH($A$1,'Database New'!$A$1:$D$1,),)</f>
        <v>1158</v>
      </c>
      <c r="C682" s="30">
        <f>(Table2[[#This Row],[Building Permits]]-B681)/B681</f>
        <v>3.949730700179533E-2</v>
      </c>
    </row>
    <row r="683" spans="1:3" x14ac:dyDescent="0.2">
      <c r="A683" s="9">
        <v>42491</v>
      </c>
      <c r="B683" s="10">
        <f>VLOOKUP(Table2[[#This Row],[Date]],'Database New'!$A:$D,MATCH($A$1,'Database New'!$A$1:$D$1,),)</f>
        <v>1196</v>
      </c>
      <c r="C683" s="30">
        <f>(Table2[[#This Row],[Building Permits]]-B682)/B682</f>
        <v>3.281519861830743E-2</v>
      </c>
    </row>
    <row r="684" spans="1:3" x14ac:dyDescent="0.2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1.0033444816053512E-2</v>
      </c>
    </row>
    <row r="685" spans="1:3" x14ac:dyDescent="0.2">
      <c r="A685" s="9">
        <v>42552</v>
      </c>
      <c r="B685" s="10">
        <f>VLOOKUP(Table2[[#This Row],[Date]],'Database New'!$A:$D,MATCH($A$1,'Database New'!$A$1:$D$1,),)</f>
        <v>1190</v>
      </c>
      <c r="C685" s="30">
        <f>(Table2[[#This Row],[Building Permits]]-B684)/B684</f>
        <v>-1.4900662251655629E-2</v>
      </c>
    </row>
    <row r="686" spans="1:3" x14ac:dyDescent="0.2">
      <c r="A686" s="9">
        <v>42583</v>
      </c>
      <c r="B686" s="10">
        <f>VLOOKUP(Table2[[#This Row],[Date]],'Database New'!$A:$D,MATCH($A$1,'Database New'!$A$1:$D$1,),)</f>
        <v>1205</v>
      </c>
      <c r="C686" s="30">
        <f>(Table2[[#This Row],[Building Permits]]-B685)/B685</f>
        <v>1.2605042016806723E-2</v>
      </c>
    </row>
    <row r="687" spans="1:3" x14ac:dyDescent="0.2">
      <c r="A687" s="9">
        <v>42614</v>
      </c>
      <c r="B687" s="10">
        <f>VLOOKUP(Table2[[#This Row],[Date]],'Database New'!$A:$D,MATCH($A$1,'Database New'!$A$1:$D$1,),)</f>
        <v>1280</v>
      </c>
      <c r="C687" s="30">
        <f>(Table2[[#This Row],[Building Permits]]-B686)/B686</f>
        <v>6.2240663900414939E-2</v>
      </c>
    </row>
    <row r="688" spans="1:3" x14ac:dyDescent="0.2">
      <c r="A688" s="9">
        <v>42644</v>
      </c>
      <c r="B688" s="10">
        <f>VLOOKUP(Table2[[#This Row],[Date]],'Database New'!$A:$D,MATCH($A$1,'Database New'!$A$1:$D$1,),)</f>
        <v>1278</v>
      </c>
      <c r="C688" s="30">
        <f>(Table2[[#This Row],[Building Permits]]-B687)/B687</f>
        <v>-1.5625000000000001E-3</v>
      </c>
    </row>
    <row r="689" spans="1:3" x14ac:dyDescent="0.2">
      <c r="A689" s="9">
        <v>42675</v>
      </c>
      <c r="B689" s="10">
        <f>VLOOKUP(Table2[[#This Row],[Date]],'Database New'!$A:$D,MATCH($A$1,'Database New'!$A$1:$D$1,),)</f>
        <v>1236</v>
      </c>
      <c r="C689" s="30">
        <f>(Table2[[#This Row],[Building Permits]]-B688)/B688</f>
        <v>-3.2863849765258218E-2</v>
      </c>
    </row>
    <row r="690" spans="1:3" x14ac:dyDescent="0.2">
      <c r="A690" s="9">
        <v>42705</v>
      </c>
      <c r="B690" s="10">
        <f>VLOOKUP(Table2[[#This Row],[Date]],'Database New'!$A:$D,MATCH($A$1,'Database New'!$A$1:$D$1,),)</f>
        <v>1252</v>
      </c>
      <c r="C690" s="30">
        <f>(Table2[[#This Row],[Building Permits]]-B689)/B689</f>
        <v>1.2944983818770227E-2</v>
      </c>
    </row>
    <row r="691" spans="1:3" x14ac:dyDescent="0.2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3.9137380191693293E-2</v>
      </c>
    </row>
    <row r="692" spans="1:3" x14ac:dyDescent="0.2">
      <c r="A692" s="9">
        <v>42767</v>
      </c>
      <c r="B692" s="10">
        <f>VLOOKUP(Table2[[#This Row],[Date]],'Database New'!$A:$D,MATCH($A$1,'Database New'!$A$1:$D$1,),)</f>
        <v>1240</v>
      </c>
      <c r="C692" s="30">
        <f>(Table2[[#This Row],[Building Permits]]-B691)/B691</f>
        <v>-4.6887009992313607E-2</v>
      </c>
    </row>
    <row r="693" spans="1:3" x14ac:dyDescent="0.2">
      <c r="A693" s="9">
        <v>42795</v>
      </c>
      <c r="B693" s="10">
        <f>VLOOKUP(Table2[[#This Row],[Date]],'Database New'!$A:$D,MATCH($A$1,'Database New'!$A$1:$D$1,),)</f>
        <v>1285</v>
      </c>
      <c r="C693" s="30">
        <f>(Table2[[#This Row],[Building Permits]]-B692)/B692</f>
        <v>3.6290322580645164E-2</v>
      </c>
    </row>
    <row r="694" spans="1:3" x14ac:dyDescent="0.2">
      <c r="A694" s="9">
        <v>42826</v>
      </c>
      <c r="B694" s="10">
        <f>VLOOKUP(Table2[[#This Row],[Date]],'Database New'!$A:$D,MATCH($A$1,'Database New'!$A$1:$D$1,),)</f>
        <v>1258</v>
      </c>
      <c r="C694" s="30">
        <f>(Table2[[#This Row],[Building Permits]]-B693)/B693</f>
        <v>-2.1011673151750974E-2</v>
      </c>
    </row>
    <row r="695" spans="1:3" x14ac:dyDescent="0.2">
      <c r="A695" s="9">
        <v>42856</v>
      </c>
      <c r="B695" s="10">
        <f>VLOOKUP(Table2[[#This Row],[Date]],'Database New'!$A:$D,MATCH($A$1,'Database New'!$A$1:$D$1,),)</f>
        <v>1209</v>
      </c>
      <c r="C695" s="30">
        <f>(Table2[[#This Row],[Building Permits]]-B694)/B694</f>
        <v>-3.8950715421303655E-2</v>
      </c>
    </row>
    <row r="696" spans="1:3" x14ac:dyDescent="0.2">
      <c r="A696" s="9">
        <v>42887</v>
      </c>
      <c r="B696" s="10">
        <f>VLOOKUP(Table2[[#This Row],[Date]],'Database New'!$A:$D,MATCH($A$1,'Database New'!$A$1:$D$1,),)</f>
        <v>1329</v>
      </c>
      <c r="C696" s="30">
        <f>(Table2[[#This Row],[Building Permits]]-B695)/B695</f>
        <v>9.9255583126550875E-2</v>
      </c>
    </row>
    <row r="697" spans="1:3" x14ac:dyDescent="0.2">
      <c r="A697" s="9">
        <v>42917</v>
      </c>
      <c r="B697" s="10">
        <f>VLOOKUP(Table2[[#This Row],[Date]],'Database New'!$A:$D,MATCH($A$1,'Database New'!$A$1:$D$1,),)</f>
        <v>1264</v>
      </c>
      <c r="C697" s="30">
        <f>(Table2[[#This Row],[Building Permits]]-B696)/B696</f>
        <v>-4.8908954100827691E-2</v>
      </c>
    </row>
    <row r="698" spans="1:3" x14ac:dyDescent="0.2">
      <c r="A698" s="9">
        <v>42948</v>
      </c>
      <c r="B698" s="10">
        <f>VLOOKUP(Table2[[#This Row],[Date]],'Database New'!$A:$D,MATCH($A$1,'Database New'!$A$1:$D$1,),)</f>
        <v>1314</v>
      </c>
      <c r="C698" s="30">
        <f>(Table2[[#This Row],[Building Permits]]-B697)/B697</f>
        <v>3.9556962025316458E-2</v>
      </c>
    </row>
    <row r="699" spans="1:3" x14ac:dyDescent="0.2">
      <c r="A699" s="9">
        <v>42979</v>
      </c>
      <c r="B699" s="10">
        <f>VLOOKUP(Table2[[#This Row],[Date]],'Database New'!$A:$D,MATCH($A$1,'Database New'!$A$1:$D$1,),)</f>
        <v>1257</v>
      </c>
      <c r="C699" s="30">
        <f>(Table2[[#This Row],[Building Permits]]-B698)/B698</f>
        <v>-4.3378995433789952E-2</v>
      </c>
    </row>
    <row r="700" spans="1:3" x14ac:dyDescent="0.2">
      <c r="A700" s="9">
        <v>43009</v>
      </c>
      <c r="B700" s="10">
        <f>VLOOKUP(Table2[[#This Row],[Date]],'Database New'!$A:$D,MATCH($A$1,'Database New'!$A$1:$D$1,),)</f>
        <v>1346</v>
      </c>
      <c r="C700" s="30">
        <f>(Table2[[#This Row],[Building Permits]]-B699)/B699</f>
        <v>7.0803500397772473E-2</v>
      </c>
    </row>
    <row r="701" spans="1:3" x14ac:dyDescent="0.2">
      <c r="A701" s="9">
        <v>43040</v>
      </c>
      <c r="B701" s="10">
        <f>VLOOKUP(Table2[[#This Row],[Date]],'Database New'!$A:$D,MATCH($A$1,'Database New'!$A$1:$D$1,),)</f>
        <v>1302</v>
      </c>
      <c r="C701" s="30">
        <f>(Table2[[#This Row],[Building Permits]]-B700)/B700</f>
        <v>-3.2689450222882617E-2</v>
      </c>
    </row>
    <row r="702" spans="1:3" x14ac:dyDescent="0.2">
      <c r="A702" s="9">
        <v>43070</v>
      </c>
      <c r="B702" s="10">
        <f>VLOOKUP(Table2[[#This Row],[Date]],'Database New'!$A:$D,MATCH($A$1,'Database New'!$A$1:$D$1,),)</f>
        <v>1309</v>
      </c>
      <c r="C702" s="30">
        <f>(Table2[[#This Row],[Building Permits]]-B701)/B701</f>
        <v>5.3763440860215058E-3</v>
      </c>
    </row>
    <row r="703" spans="1:3" x14ac:dyDescent="0.2">
      <c r="A703" s="9">
        <v>43101</v>
      </c>
      <c r="B703" s="10">
        <f>VLOOKUP(Table2[[#This Row],[Date]],'Database New'!$A:$D,MATCH($A$1,'Database New'!$A$1:$D$1,),)</f>
        <v>1352</v>
      </c>
      <c r="C703" s="30">
        <f>(Table2[[#This Row],[Building Permits]]-B702)/B702</f>
        <v>3.2849503437738729E-2</v>
      </c>
    </row>
    <row r="704" spans="1:3" x14ac:dyDescent="0.2">
      <c r="A704" s="9">
        <v>43132</v>
      </c>
      <c r="B704" s="10">
        <f>VLOOKUP(Table2[[#This Row],[Date]],'Database New'!$A:$D,MATCH($A$1,'Database New'!$A$1:$D$1,),)</f>
        <v>1332</v>
      </c>
      <c r="C704" s="30">
        <f>(Table2[[#This Row],[Building Permits]]-B703)/B703</f>
        <v>-1.4792899408284023E-2</v>
      </c>
    </row>
    <row r="705" spans="1:3" x14ac:dyDescent="0.2">
      <c r="A705" s="9">
        <v>43160</v>
      </c>
      <c r="B705" s="10">
        <f>VLOOKUP(Table2[[#This Row],[Date]],'Database New'!$A:$D,MATCH($A$1,'Database New'!$A$1:$D$1,),)</f>
        <v>1407</v>
      </c>
      <c r="C705" s="30">
        <f>(Table2[[#This Row],[Building Permits]]-B704)/B704</f>
        <v>5.6306306306306307E-2</v>
      </c>
    </row>
    <row r="706" spans="1:3" x14ac:dyDescent="0.2">
      <c r="A706" s="9">
        <v>43191</v>
      </c>
      <c r="B706" s="10">
        <f>VLOOKUP(Table2[[#This Row],[Date]],'Database New'!$A:$D,MATCH($A$1,'Database New'!$A$1:$D$1,),)</f>
        <v>1391</v>
      </c>
      <c r="C706" s="30">
        <f>(Table2[[#This Row],[Building Permits]]-B705)/B705</f>
        <v>-1.1371712864250177E-2</v>
      </c>
    </row>
    <row r="707" spans="1:3" x14ac:dyDescent="0.2">
      <c r="A707" s="9">
        <v>43221</v>
      </c>
      <c r="B707" s="10">
        <f>VLOOKUP(Table2[[#This Row],[Date]],'Database New'!$A:$D,MATCH($A$1,'Database New'!$A$1:$D$1,),)</f>
        <v>1331</v>
      </c>
      <c r="C707" s="30">
        <f>(Table2[[#This Row],[Building Permits]]-B706)/B706</f>
        <v>-4.3134435657800146E-2</v>
      </c>
    </row>
    <row r="708" spans="1:3" x14ac:dyDescent="0.2">
      <c r="A708" s="9">
        <v>43252</v>
      </c>
      <c r="B708" s="10">
        <f>VLOOKUP(Table2[[#This Row],[Date]],'Database New'!$A:$D,MATCH($A$1,'Database New'!$A$1:$D$1,),)</f>
        <v>1320</v>
      </c>
      <c r="C708" s="30">
        <f>(Table2[[#This Row],[Building Permits]]-B707)/B707</f>
        <v>-8.2644628099173556E-3</v>
      </c>
    </row>
    <row r="709" spans="1:3" x14ac:dyDescent="0.2">
      <c r="A709" s="9">
        <v>43282</v>
      </c>
      <c r="B709" s="10">
        <f>VLOOKUP(Table2[[#This Row],[Date]],'Database New'!$A:$D,MATCH($A$1,'Database New'!$A$1:$D$1,),)</f>
        <v>1328</v>
      </c>
      <c r="C709" s="30">
        <f>(Table2[[#This Row],[Building Permits]]-B708)/B708</f>
        <v>6.0606060606060606E-3</v>
      </c>
    </row>
    <row r="710" spans="1:3" x14ac:dyDescent="0.2">
      <c r="A710" s="9">
        <v>43313</v>
      </c>
      <c r="B710" s="10">
        <f>VLOOKUP(Table2[[#This Row],[Date]],'Database New'!$A:$D,MATCH($A$1,'Database New'!$A$1:$D$1,),)</f>
        <v>1264</v>
      </c>
      <c r="C710" s="30">
        <f>(Table2[[#This Row],[Building Permits]]-B709)/B709</f>
        <v>-4.8192771084337352E-2</v>
      </c>
    </row>
    <row r="711" spans="1:3" x14ac:dyDescent="0.2">
      <c r="A711" s="9">
        <v>43344</v>
      </c>
      <c r="B711" s="10">
        <f>VLOOKUP(Table2[[#This Row],[Date]],'Database New'!$A:$D,MATCH($A$1,'Database New'!$A$1:$D$1,),)</f>
        <v>1289</v>
      </c>
      <c r="C711" s="30">
        <f>(Table2[[#This Row],[Building Permits]]-B710)/B710</f>
        <v>1.9778481012658229E-2</v>
      </c>
    </row>
    <row r="712" spans="1:3" x14ac:dyDescent="0.2">
      <c r="A712" s="9">
        <v>43374</v>
      </c>
      <c r="B712" s="10">
        <f>VLOOKUP(Table2[[#This Row],[Date]],'Database New'!$A:$D,MATCH($A$1,'Database New'!$A$1:$D$1,),)</f>
        <v>1275</v>
      </c>
      <c r="C712" s="30">
        <f>(Table2[[#This Row],[Building Permits]]-B711)/B711</f>
        <v>-1.0861132660977503E-2</v>
      </c>
    </row>
    <row r="713" spans="1:3" x14ac:dyDescent="0.2">
      <c r="A713" s="9">
        <v>43405</v>
      </c>
      <c r="B713" s="10">
        <f>VLOOKUP(Table2[[#This Row],[Date]],'Database New'!$A:$D,MATCH($A$1,'Database New'!$A$1:$D$1,),)</f>
        <v>1318</v>
      </c>
      <c r="C713" s="30">
        <f>(Table2[[#This Row],[Building Permits]]-B712)/B712</f>
        <v>3.3725490196078428E-2</v>
      </c>
    </row>
    <row r="714" spans="1:3" x14ac:dyDescent="0.2">
      <c r="A714" s="9">
        <v>43435</v>
      </c>
      <c r="B714" s="10">
        <f>VLOOKUP(Table2[[#This Row],[Date]],'Database New'!$A:$D,MATCH($A$1,'Database New'!$A$1:$D$1,),)</f>
        <v>1338</v>
      </c>
      <c r="C714" s="30">
        <f>(Table2[[#This Row],[Building Permits]]-B713)/B713</f>
        <v>1.5174506828528073E-2</v>
      </c>
    </row>
    <row r="715" spans="1:3" x14ac:dyDescent="0.2">
      <c r="A715" s="9">
        <v>43466</v>
      </c>
      <c r="B715" s="10">
        <f>VLOOKUP(Table2[[#This Row],[Date]],'Database New'!$A:$D,MATCH($A$1,'Database New'!$A$1:$D$1,),)</f>
        <v>1295</v>
      </c>
      <c r="C715" s="30">
        <f>(Table2[[#This Row],[Building Permits]]-B714)/B714</f>
        <v>-3.2137518684603884E-2</v>
      </c>
    </row>
    <row r="716" spans="1:3" x14ac:dyDescent="0.2">
      <c r="A716" s="9">
        <v>43497</v>
      </c>
      <c r="B716" s="10">
        <f>VLOOKUP(Table2[[#This Row],[Date]],'Database New'!$A:$D,MATCH($A$1,'Database New'!$A$1:$D$1,),)</f>
        <v>1304</v>
      </c>
      <c r="C716" s="30">
        <f>(Table2[[#This Row],[Building Permits]]-B715)/B715</f>
        <v>6.9498069498069494E-3</v>
      </c>
    </row>
    <row r="717" spans="1:3" x14ac:dyDescent="0.2">
      <c r="A717" s="9">
        <v>43525</v>
      </c>
      <c r="B717" s="10">
        <f>VLOOKUP(Table2[[#This Row],[Date]],'Database New'!$A:$D,MATCH($A$1,'Database New'!$A$1:$D$1,),)</f>
        <v>1316</v>
      </c>
      <c r="C717" s="30">
        <f>(Table2[[#This Row],[Building Permits]]-B716)/B716</f>
        <v>9.202453987730062E-3</v>
      </c>
    </row>
    <row r="718" spans="1:3" x14ac:dyDescent="0.2">
      <c r="A718" s="9">
        <v>43556</v>
      </c>
      <c r="B718" s="10">
        <f>VLOOKUP(Table2[[#This Row],[Date]],'Database New'!$A:$D,MATCH($A$1,'Database New'!$A$1:$D$1,),)</f>
        <v>1337</v>
      </c>
      <c r="C718" s="30">
        <f>(Table2[[#This Row],[Building Permits]]-B717)/B717</f>
        <v>1.5957446808510637E-2</v>
      </c>
    </row>
    <row r="719" spans="1:3" x14ac:dyDescent="0.2">
      <c r="A719" s="9">
        <v>43586</v>
      </c>
      <c r="B719" s="10">
        <f>VLOOKUP(Table2[[#This Row],[Date]],'Database New'!$A:$D,MATCH($A$1,'Database New'!$A$1:$D$1,),)</f>
        <v>1337</v>
      </c>
      <c r="C719" s="30">
        <f>(Table2[[#This Row],[Building Permits]]-B718)/B718</f>
        <v>0</v>
      </c>
    </row>
    <row r="720" spans="1:3" x14ac:dyDescent="0.2">
      <c r="A720" s="9">
        <v>43617</v>
      </c>
      <c r="B720" s="10">
        <f>VLOOKUP(Table2[[#This Row],[Date]],'Database New'!$A:$D,MATCH($A$1,'Database New'!$A$1:$D$1,),)</f>
        <v>1276</v>
      </c>
      <c r="C720" s="30">
        <f>(Table2[[#This Row],[Building Permits]]-B719)/B719</f>
        <v>-4.5624532535527298E-2</v>
      </c>
    </row>
    <row r="721" spans="1:3" x14ac:dyDescent="0.2">
      <c r="A721" s="9">
        <v>43647</v>
      </c>
      <c r="B721" s="10">
        <f>VLOOKUP(Table2[[#This Row],[Date]],'Database New'!$A:$D,MATCH($A$1,'Database New'!$A$1:$D$1,),)</f>
        <v>1369</v>
      </c>
      <c r="C721" s="30">
        <f>(Table2[[#This Row],[Building Permits]]-B720)/B720</f>
        <v>7.2884012539184959E-2</v>
      </c>
    </row>
    <row r="722" spans="1:3" x14ac:dyDescent="0.2">
      <c r="A722" s="9">
        <v>43678</v>
      </c>
      <c r="B722" s="10">
        <f>VLOOKUP(Table2[[#This Row],[Date]],'Database New'!$A:$D,MATCH($A$1,'Database New'!$A$1:$D$1,),)</f>
        <v>1479</v>
      </c>
      <c r="C722" s="30">
        <f>(Table2[[#This Row],[Building Permits]]-B721)/B721</f>
        <v>8.0350620891161434E-2</v>
      </c>
    </row>
    <row r="723" spans="1:3" x14ac:dyDescent="0.2">
      <c r="A723" s="9">
        <v>43709</v>
      </c>
      <c r="B723" s="10">
        <f>VLOOKUP(Table2[[#This Row],[Date]],'Database New'!$A:$D,MATCH($A$1,'Database New'!$A$1:$D$1,),)</f>
        <v>1439</v>
      </c>
      <c r="C723" s="30">
        <f>(Table2[[#This Row],[Building Permits]]-B722)/B722</f>
        <v>-2.7045300878972278E-2</v>
      </c>
    </row>
    <row r="724" spans="1:3" x14ac:dyDescent="0.2">
      <c r="A724" s="9">
        <v>43739</v>
      </c>
      <c r="B724" s="10">
        <f>VLOOKUP(Table2[[#This Row],[Date]],'Database New'!$A:$D,MATCH($A$1,'Database New'!$A$1:$D$1,),)</f>
        <v>1509</v>
      </c>
      <c r="C724" s="30">
        <f>(Table2[[#This Row],[Building Permits]]-B723)/B723</f>
        <v>4.8644892286309936E-2</v>
      </c>
    </row>
    <row r="725" spans="1:3" x14ac:dyDescent="0.2">
      <c r="A725" s="9">
        <v>43770</v>
      </c>
      <c r="B725" s="10">
        <f>VLOOKUP(Table2[[#This Row],[Date]],'Database New'!$A:$D,MATCH($A$1,'Database New'!$A$1:$D$1,),)</f>
        <v>1509</v>
      </c>
      <c r="C725" s="30">
        <f>(Table2[[#This Row],[Building Permits]]-B724)/B724</f>
        <v>0</v>
      </c>
    </row>
    <row r="726" spans="1:3" x14ac:dyDescent="0.2">
      <c r="A726" s="9">
        <v>43800</v>
      </c>
      <c r="B726" s="10">
        <f>VLOOKUP(Table2[[#This Row],[Date]],'Database New'!$A:$D,MATCH($A$1,'Database New'!$A$1:$D$1,),)</f>
        <v>1453</v>
      </c>
      <c r="C726" s="30">
        <f>(Table2[[#This Row],[Building Permits]]-B725)/B725</f>
        <v>-3.7110669317428763E-2</v>
      </c>
    </row>
    <row r="727" spans="1:3" x14ac:dyDescent="0.2">
      <c r="A727" s="9">
        <v>43831</v>
      </c>
      <c r="B727" s="10">
        <f>VLOOKUP(Table2[[#This Row],[Date]],'Database New'!$A:$D,MATCH($A$1,'Database New'!$A$1:$D$1,),)</f>
        <v>1550</v>
      </c>
      <c r="C727" s="30">
        <f>(Table2[[#This Row],[Building Permits]]-B726)/B726</f>
        <v>6.6758430832759813E-2</v>
      </c>
    </row>
    <row r="728" spans="1:3" x14ac:dyDescent="0.2">
      <c r="A728" s="9">
        <v>43862</v>
      </c>
      <c r="B728" s="10">
        <f>VLOOKUP(Table2[[#This Row],[Date]],'Database New'!$A:$D,MATCH($A$1,'Database New'!$A$1:$D$1,),)</f>
        <v>1478</v>
      </c>
      <c r="C728" s="30">
        <f>(Table2[[#This Row],[Building Permits]]-B727)/B727</f>
        <v>-4.645161290322581E-2</v>
      </c>
    </row>
    <row r="729" spans="1:3" x14ac:dyDescent="0.2">
      <c r="A729" s="9">
        <v>43891</v>
      </c>
      <c r="B729" s="10">
        <f>VLOOKUP(Table2[[#This Row],[Date]],'Database New'!$A:$D,MATCH($A$1,'Database New'!$A$1:$D$1,),)</f>
        <v>1382</v>
      </c>
      <c r="C729" s="30">
        <f>(Table2[[#This Row],[Building Permits]]-B728)/B728</f>
        <v>-6.4952638700947224E-2</v>
      </c>
    </row>
    <row r="730" spans="1:3" x14ac:dyDescent="0.2">
      <c r="A730" s="9">
        <v>43922</v>
      </c>
      <c r="B730" s="10">
        <f>VLOOKUP(Table2[[#This Row],[Date]],'Database New'!$A:$D,MATCH($A$1,'Database New'!$A$1:$D$1,),)</f>
        <v>1094</v>
      </c>
      <c r="C730" s="30">
        <f>(Table2[[#This Row],[Building Permits]]-B729)/B729</f>
        <v>-0.20839363241678727</v>
      </c>
    </row>
    <row r="731" spans="1:3" x14ac:dyDescent="0.2">
      <c r="A731" s="9">
        <v>43952</v>
      </c>
      <c r="B731" s="10">
        <f>VLOOKUP(Table2[[#This Row],[Date]],'Database New'!$A:$D,MATCH($A$1,'Database New'!$A$1:$D$1,),)</f>
        <v>1246</v>
      </c>
      <c r="C731" s="30">
        <f>(Table2[[#This Row],[Building Permits]]-B730)/B730</f>
        <v>0.13893967093235832</v>
      </c>
    </row>
    <row r="732" spans="1:3" x14ac:dyDescent="0.2">
      <c r="A732" s="9">
        <v>43983</v>
      </c>
      <c r="B732" s="10">
        <f>VLOOKUP(Table2[[#This Row],[Date]],'Database New'!$A:$D,MATCH($A$1,'Database New'!$A$1:$D$1,),)</f>
        <v>1296</v>
      </c>
      <c r="C732" s="30">
        <f>(Table2[[#This Row],[Building Permits]]-B731)/B731</f>
        <v>4.0128410914927769E-2</v>
      </c>
    </row>
    <row r="733" spans="1:3" x14ac:dyDescent="0.2">
      <c r="A733" s="9">
        <v>44013</v>
      </c>
      <c r="B733" s="10">
        <f>VLOOKUP(Table2[[#This Row],[Date]],'Database New'!$A:$D,MATCH($A$1,'Database New'!$A$1:$D$1,),)</f>
        <v>1542</v>
      </c>
      <c r="C733" s="30">
        <f>(Table2[[#This Row],[Building Permits]]-B732)/B732</f>
        <v>0.18981481481481483</v>
      </c>
    </row>
    <row r="734" spans="1:3" x14ac:dyDescent="0.2">
      <c r="A734" s="9">
        <v>44044</v>
      </c>
      <c r="B734" s="10">
        <f>VLOOKUP(Table2[[#This Row],[Date]],'Database New'!$A:$D,MATCH($A$1,'Database New'!$A$1:$D$1,),)</f>
        <v>1522</v>
      </c>
      <c r="C734" s="30">
        <f>(Table2[[#This Row],[Building Permits]]-B733)/B733</f>
        <v>-1.2970168612191959E-2</v>
      </c>
    </row>
    <row r="735" spans="1:3" x14ac:dyDescent="0.2">
      <c r="A735" s="9">
        <v>44075</v>
      </c>
      <c r="B735" s="10">
        <f>VLOOKUP(Table2[[#This Row],[Date]],'Database New'!$A:$D,MATCH($A$1,'Database New'!$A$1:$D$1,),)</f>
        <v>1589</v>
      </c>
      <c r="C735" s="30">
        <f>(Table2[[#This Row],[Building Permits]]-B734)/B734</f>
        <v>4.4021024967148492E-2</v>
      </c>
    </row>
    <row r="736" spans="1:3" x14ac:dyDescent="0.2">
      <c r="A736" s="9">
        <v>44105</v>
      </c>
      <c r="B736" s="10">
        <f>VLOOKUP(Table2[[#This Row],[Date]],'Database New'!$A:$D,MATCH($A$1,'Database New'!$A$1:$D$1,),)</f>
        <v>1595</v>
      </c>
      <c r="C736" s="30">
        <f>(Table2[[#This Row],[Building Permits]]-B735)/B735</f>
        <v>3.775959723096287E-3</v>
      </c>
    </row>
    <row r="737" spans="1:3" x14ac:dyDescent="0.2">
      <c r="A737" s="9">
        <v>44136</v>
      </c>
      <c r="B737" s="10">
        <f>VLOOKUP(Table2[[#This Row],[Date]],'Database New'!$A:$D,MATCH($A$1,'Database New'!$A$1:$D$1,),)</f>
        <v>1696</v>
      </c>
      <c r="C737" s="30">
        <f>(Table2[[#This Row],[Building Permits]]-B736)/B736</f>
        <v>6.3322884012539188E-2</v>
      </c>
    </row>
    <row r="738" spans="1:3" x14ac:dyDescent="0.2">
      <c r="A738" s="9">
        <v>44166</v>
      </c>
      <c r="B738" s="10">
        <f>VLOOKUP(Table2[[#This Row],[Date]],'Database New'!$A:$D,MATCH($A$1,'Database New'!$A$1:$D$1,),)</f>
        <v>1758</v>
      </c>
      <c r="C738" s="30">
        <f>(Table2[[#This Row],[Building Permits]]-B737)/B737</f>
        <v>3.6556603773584904E-2</v>
      </c>
    </row>
    <row r="739" spans="1:3" x14ac:dyDescent="0.2">
      <c r="A739" s="9">
        <v>44197</v>
      </c>
      <c r="B739" s="10">
        <f>VLOOKUP(Table2[[#This Row],[Date]],'Database New'!$A:$D,MATCH($A$1,'Database New'!$A$1:$D$1,),)</f>
        <v>1883</v>
      </c>
      <c r="C739" s="30">
        <f>(Table2[[#This Row],[Building Permits]]-B738)/B738</f>
        <v>7.1103526734926051E-2</v>
      </c>
    </row>
    <row r="740" spans="1:3" x14ac:dyDescent="0.2">
      <c r="A740" s="9">
        <v>44228</v>
      </c>
      <c r="B740" s="10">
        <f>VLOOKUP(Table2[[#This Row],[Date]],'Database New'!$A:$D,MATCH($A$1,'Database New'!$A$1:$D$1,),)</f>
        <v>1726</v>
      </c>
      <c r="C740" s="30">
        <f>(Table2[[#This Row],[Building Permits]]-B739)/B739</f>
        <v>-8.3377588953797127E-2</v>
      </c>
    </row>
    <row r="741" spans="1:3" x14ac:dyDescent="0.2">
      <c r="A741" s="9">
        <v>44256</v>
      </c>
      <c r="B741" s="10">
        <f>VLOOKUP(Table2[[#This Row],[Date]],'Database New'!$A:$D,MATCH($A$1,'Database New'!$A$1:$D$1,),)</f>
        <v>1755</v>
      </c>
      <c r="C741" s="30">
        <f>(Table2[[#This Row],[Building Permits]]-B740)/B740</f>
        <v>1.6801853997682505E-2</v>
      </c>
    </row>
    <row r="742" spans="1:3" x14ac:dyDescent="0.2">
      <c r="A742" s="9">
        <v>44287</v>
      </c>
      <c r="B742" s="10">
        <f>VLOOKUP(Table2[[#This Row],[Date]],'Database New'!$A:$D,MATCH($A$1,'Database New'!$A$1:$D$1,),)</f>
        <v>1733</v>
      </c>
      <c r="C742" s="30">
        <f>(Table2[[#This Row],[Building Permits]]-B741)/B741</f>
        <v>-1.2535612535612535E-2</v>
      </c>
    </row>
    <row r="743" spans="1:3" x14ac:dyDescent="0.2">
      <c r="A743" s="9">
        <v>44317</v>
      </c>
      <c r="B743" s="10">
        <f>VLOOKUP(Table2[[#This Row],[Date]],'Database New'!$A:$D,MATCH($A$1,'Database New'!$A$1:$D$1,),)</f>
        <v>1683</v>
      </c>
      <c r="C743" s="30">
        <f>(Table2[[#This Row],[Building Permits]]-B742)/B742</f>
        <v>-2.8851702250432775E-2</v>
      </c>
    </row>
    <row r="744" spans="1:3" x14ac:dyDescent="0.2">
      <c r="A744" s="9">
        <v>44348</v>
      </c>
      <c r="B744" s="10">
        <f>VLOOKUP(Table2[[#This Row],[Date]],'Database New'!$A:$D,MATCH($A$1,'Database New'!$A$1:$D$1,),)</f>
        <v>1594</v>
      </c>
      <c r="C744" s="30">
        <f>(Table2[[#This Row],[Building Permits]]-B743)/B743</f>
        <v>-5.2881758764111705E-2</v>
      </c>
    </row>
    <row r="745" spans="1:3" x14ac:dyDescent="0.2">
      <c r="A745" s="9">
        <v>44378</v>
      </c>
      <c r="B745" s="10">
        <f>VLOOKUP(Table2[[#This Row],[Date]],'Database New'!$A:$D,MATCH($A$1,'Database New'!$A$1:$D$1,),)</f>
        <v>1630</v>
      </c>
      <c r="C745" s="30">
        <f>(Table2[[#This Row],[Building Permits]]-B744)/B744</f>
        <v>2.258469259723965E-2</v>
      </c>
    </row>
    <row r="746" spans="1:3" x14ac:dyDescent="0.2">
      <c r="A746" s="9">
        <v>44409</v>
      </c>
      <c r="B746" s="10">
        <f>VLOOKUP(Table2[[#This Row],[Date]],'Database New'!$A:$D,MATCH($A$1,'Database New'!$A$1:$D$1,),)</f>
        <v>1721</v>
      </c>
      <c r="C746" s="30">
        <f>(Table2[[#This Row],[Building Permits]]-B745)/B745</f>
        <v>5.5828220858895702E-2</v>
      </c>
    </row>
    <row r="747" spans="1:3" x14ac:dyDescent="0.2">
      <c r="A747" s="9">
        <v>44440</v>
      </c>
      <c r="B747" s="10">
        <f>VLOOKUP(Table2[[#This Row],[Date]],'Database New'!$A:$D,MATCH($A$1,'Database New'!$A$1:$D$1,),)</f>
        <v>1586</v>
      </c>
      <c r="C747" s="30">
        <f>(Table2[[#This Row],[Building Permits]]-B746)/B746</f>
        <v>-7.8442765833817554E-2</v>
      </c>
    </row>
    <row r="748" spans="1:3" x14ac:dyDescent="0.2">
      <c r="A748" s="9">
        <v>44470</v>
      </c>
      <c r="B748" s="10">
        <f>VLOOKUP(Table2[[#This Row],[Date]],'Database New'!$A:$D,MATCH($A$1,'Database New'!$A$1:$D$1,),)</f>
        <v>1653</v>
      </c>
      <c r="C748" s="30">
        <f>(Table2[[#This Row],[Building Permits]]-B747)/B747</f>
        <v>4.2244640605296341E-2</v>
      </c>
    </row>
    <row r="749" spans="1:3" x14ac:dyDescent="0.2">
      <c r="A749" s="9">
        <v>44501</v>
      </c>
      <c r="B749" s="10">
        <f>VLOOKUP(Table2[[#This Row],[Date]],'Database New'!$A:$D,MATCH($A$1,'Database New'!$A$1:$D$1,),)</f>
        <v>1717</v>
      </c>
      <c r="C749" s="30">
        <f>(Table2[[#This Row],[Building Permits]]-B748)/B748</f>
        <v>3.871748336358137E-2</v>
      </c>
    </row>
    <row r="750" spans="1:3" x14ac:dyDescent="0.2">
      <c r="A750" s="9">
        <v>44531</v>
      </c>
      <c r="B750" s="10">
        <f>VLOOKUP(Table2[[#This Row],[Date]],'Database New'!$A:$D,MATCH($A$1,'Database New'!$A$1:$D$1,),)</f>
        <v>1885</v>
      </c>
      <c r="C750" s="30">
        <f>(Table2[[#This Row],[Building Permits]]-B749)/B749</f>
        <v>9.7845078625509604E-2</v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750"/>
  <sheetViews>
    <sheetView zoomScale="160" zoomScaleNormal="160" workbookViewId="0">
      <pane ySplit="6" topLeftCell="A725" activePane="bottomLeft" state="frozen"/>
      <selection pane="bottomLeft" activeCell="P745" sqref="P745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4" width="9.1640625" style="46" customWidth="1"/>
    <col min="5" max="16384" width="9.1640625" style="46"/>
  </cols>
  <sheetData>
    <row r="1" spans="1:3" ht="19" customHeight="1" x14ac:dyDescent="0.25">
      <c r="A1" s="12" t="s">
        <v>30</v>
      </c>
    </row>
    <row r="2" spans="1:3" x14ac:dyDescent="0.2">
      <c r="A2" s="46" t="s">
        <v>22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26</v>
      </c>
      <c r="C6" s="8" t="s">
        <v>34</v>
      </c>
    </row>
    <row r="7" spans="1:3" x14ac:dyDescent="0.2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2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2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2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2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2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2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2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2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2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2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2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2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2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2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2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2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2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2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2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2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2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2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2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2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2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2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2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2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2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2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2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2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2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2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2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2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2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2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2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2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2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2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2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2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2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2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2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2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2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2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2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2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2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2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2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2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2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2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2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2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2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2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2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2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2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2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2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2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2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2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2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2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2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2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2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2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2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2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2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2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2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2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2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2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2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2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2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2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2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2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2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2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2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2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2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2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2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2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2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2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2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2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2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2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2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2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2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2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2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2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2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2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2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2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2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2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2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2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2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2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2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2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2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2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2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2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2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2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2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2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2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2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2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2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2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2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2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2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2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2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2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2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2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2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2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2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2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2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2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2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2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2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2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2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2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2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2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2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2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2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2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2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2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2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2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2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2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2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2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2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2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2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2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2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2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2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2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2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2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2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2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2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2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2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2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2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2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2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2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2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2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2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2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2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2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2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2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2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2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2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2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2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2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2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2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2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2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2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2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2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2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2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2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2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2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2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2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2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2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2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2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2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2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2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2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2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2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2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2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2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2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2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2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2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2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2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2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2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2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2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2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2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2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2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2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2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2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2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2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2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2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2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2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2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2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2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2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2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2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2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2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2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2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2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2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2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2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2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2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2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2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2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2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2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2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2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2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2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2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2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2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2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2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2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2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2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2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2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2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2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2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2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2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2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2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2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2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2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2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2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2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2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2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2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2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2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2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2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2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2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2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2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2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2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2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2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2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2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2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2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2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2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2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2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2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2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2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2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2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2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2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2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2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2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2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2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2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2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2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2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2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2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2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2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2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2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2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2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2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2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2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2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2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2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2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2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2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2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2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2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2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2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2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2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2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2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2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2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2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2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2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2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2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2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2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2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2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2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2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2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2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2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2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2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2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2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2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2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2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2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2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2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2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2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2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2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2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2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2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2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2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2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2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2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2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2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2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2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2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2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2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2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2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2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2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2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2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2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2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2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2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2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2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2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2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2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2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2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2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2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2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2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2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2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2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2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2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2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2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2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2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2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2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2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2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2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2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2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2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2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2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2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2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2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2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2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2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2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2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2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2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2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2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2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2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2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2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2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2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2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2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2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2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2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2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2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2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2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2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2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2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2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2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2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2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2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2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2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2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2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2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2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2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2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2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2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2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2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2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2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2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2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2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2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2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2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2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2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2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2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2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2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2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2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2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2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2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2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2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2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2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2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2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2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2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2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2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2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2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2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2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2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2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2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2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2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2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2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2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2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2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2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2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2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2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2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2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2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2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2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2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2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2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2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2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2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2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2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2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2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2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2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2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2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2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2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2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2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2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2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2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2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2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2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2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2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2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2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2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2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2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2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2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2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2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2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2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2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2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2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2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2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2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2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2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2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2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2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2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2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2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2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2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2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2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2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2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2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2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2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2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2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2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2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2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2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2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2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2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2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2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2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2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2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2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2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2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2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2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2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2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2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2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2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2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2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2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2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2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2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2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2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2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2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2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2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2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2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2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2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2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2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2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2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2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2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2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2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2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2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2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2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2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2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2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2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2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2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2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2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2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2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2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2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2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2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2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2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2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2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2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2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2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2">
      <c r="A691" s="9">
        <v>42736</v>
      </c>
      <c r="B691" s="10">
        <f>VLOOKUP(Table24[[#This Row],[Date]],'Database New'!$A:$D,MATCH($A$1,'Database New'!$A$1:$D$1,),)</f>
        <v>1193</v>
      </c>
      <c r="C691" s="30">
        <f>(Table24[[#This Row],[Started]]-B690)/B690</f>
        <v>-4.7124600638977637E-2</v>
      </c>
    </row>
    <row r="692" spans="1:3" x14ac:dyDescent="0.2">
      <c r="A692" s="9">
        <v>42767</v>
      </c>
      <c r="B692" s="10">
        <f>VLOOKUP(Table24[[#This Row],[Date]],'Database New'!$A:$D,MATCH($A$1,'Database New'!$A$1:$D$1,),)</f>
        <v>1281</v>
      </c>
      <c r="C692" s="30">
        <f>(Table24[[#This Row],[Started]]-B691)/B691</f>
        <v>7.376362112321877E-2</v>
      </c>
    </row>
    <row r="693" spans="1:3" x14ac:dyDescent="0.2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-7.1038251366120214E-2</v>
      </c>
    </row>
    <row r="694" spans="1:3" x14ac:dyDescent="0.2">
      <c r="A694" s="9">
        <v>42826</v>
      </c>
      <c r="B694" s="10">
        <f>VLOOKUP(Table24[[#This Row],[Date]],'Database New'!$A:$D,MATCH($A$1,'Database New'!$A$1:$D$1,),)</f>
        <v>1145</v>
      </c>
      <c r="C694" s="30">
        <f>(Table24[[#This Row],[Started]]-B693)/B693</f>
        <v>-3.7815126050420166E-2</v>
      </c>
    </row>
    <row r="695" spans="1:3" x14ac:dyDescent="0.2">
      <c r="A695" s="9">
        <v>42856</v>
      </c>
      <c r="B695" s="10">
        <f>VLOOKUP(Table24[[#This Row],[Date]],'Database New'!$A:$D,MATCH($A$1,'Database New'!$A$1:$D$1,),)</f>
        <v>1160</v>
      </c>
      <c r="C695" s="30">
        <f>(Table24[[#This Row],[Started]]-B694)/B694</f>
        <v>1.3100436681222707E-2</v>
      </c>
    </row>
    <row r="696" spans="1:3" x14ac:dyDescent="0.2">
      <c r="A696" s="9">
        <v>42887</v>
      </c>
      <c r="B696" s="10">
        <f>VLOOKUP(Table24[[#This Row],[Date]],'Database New'!$A:$D,MATCH($A$1,'Database New'!$A$1:$D$1,),)</f>
        <v>1247</v>
      </c>
      <c r="C696" s="30">
        <f>(Table24[[#This Row],[Started]]-B695)/B695</f>
        <v>7.4999999999999997E-2</v>
      </c>
    </row>
    <row r="697" spans="1:3" x14ac:dyDescent="0.2">
      <c r="A697" s="9">
        <v>42917</v>
      </c>
      <c r="B697" s="10">
        <f>VLOOKUP(Table24[[#This Row],[Date]],'Database New'!$A:$D,MATCH($A$1,'Database New'!$A$1:$D$1,),)</f>
        <v>1202</v>
      </c>
      <c r="C697" s="30">
        <f>(Table24[[#This Row],[Started]]-B696)/B696</f>
        <v>-3.6086607858861267E-2</v>
      </c>
    </row>
    <row r="698" spans="1:3" x14ac:dyDescent="0.2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-3.5773710482529121E-2</v>
      </c>
    </row>
    <row r="699" spans="1:3" x14ac:dyDescent="0.2">
      <c r="A699" s="9">
        <v>42979</v>
      </c>
      <c r="B699" s="10">
        <f>VLOOKUP(Table24[[#This Row],[Date]],'Database New'!$A:$D,MATCH($A$1,'Database New'!$A$1:$D$1,),)</f>
        <v>1175</v>
      </c>
      <c r="C699" s="30">
        <f>(Table24[[#This Row],[Started]]-B698)/B698</f>
        <v>1.3805004314063849E-2</v>
      </c>
    </row>
    <row r="700" spans="1:3" x14ac:dyDescent="0.2">
      <c r="A700" s="9">
        <v>43009</v>
      </c>
      <c r="B700" s="10">
        <f>VLOOKUP(Table24[[#This Row],[Date]],'Database New'!$A:$D,MATCH($A$1,'Database New'!$A$1:$D$1,),)</f>
        <v>1248</v>
      </c>
      <c r="C700" s="30">
        <f>(Table24[[#This Row],[Started]]-B699)/B699</f>
        <v>6.2127659574468086E-2</v>
      </c>
    </row>
    <row r="701" spans="1:3" x14ac:dyDescent="0.2">
      <c r="A701" s="9">
        <v>43040</v>
      </c>
      <c r="B701" s="10">
        <f>VLOOKUP(Table24[[#This Row],[Date]],'Database New'!$A:$D,MATCH($A$1,'Database New'!$A$1:$D$1,),)</f>
        <v>1278</v>
      </c>
      <c r="C701" s="30">
        <f>(Table24[[#This Row],[Started]]-B700)/B700</f>
        <v>2.403846153846154E-2</v>
      </c>
    </row>
    <row r="702" spans="1:3" x14ac:dyDescent="0.2">
      <c r="A702" s="9">
        <v>43070</v>
      </c>
      <c r="B702" s="10">
        <f>VLOOKUP(Table24[[#This Row],[Date]],'Database New'!$A:$D,MATCH($A$1,'Database New'!$A$1:$D$1,),)</f>
        <v>1182</v>
      </c>
      <c r="C702" s="30">
        <f>(Table24[[#This Row],[Started]]-B701)/B701</f>
        <v>-7.5117370892018781E-2</v>
      </c>
    </row>
    <row r="703" spans="1:3" x14ac:dyDescent="0.2">
      <c r="A703" s="9">
        <v>43101</v>
      </c>
      <c r="B703" s="10">
        <f>VLOOKUP(Table24[[#This Row],[Date]],'Database New'!$A:$D,MATCH($A$1,'Database New'!$A$1:$D$1,),)</f>
        <v>1309</v>
      </c>
      <c r="C703" s="30">
        <f>(Table24[[#This Row],[Started]]-B702)/B702</f>
        <v>0.10744500846023688</v>
      </c>
    </row>
    <row r="704" spans="1:3" x14ac:dyDescent="0.2">
      <c r="A704" s="9">
        <v>43132</v>
      </c>
      <c r="B704" s="10">
        <f>VLOOKUP(Table24[[#This Row],[Date]],'Database New'!$A:$D,MATCH($A$1,'Database New'!$A$1:$D$1,),)</f>
        <v>1289</v>
      </c>
      <c r="C704" s="30">
        <f>(Table24[[#This Row],[Started]]-B703)/B703</f>
        <v>-1.5278838808250574E-2</v>
      </c>
    </row>
    <row r="705" spans="1:3" x14ac:dyDescent="0.2">
      <c r="A705" s="9">
        <v>43160</v>
      </c>
      <c r="B705" s="10">
        <f>VLOOKUP(Table24[[#This Row],[Date]],'Database New'!$A:$D,MATCH($A$1,'Database New'!$A$1:$D$1,),)</f>
        <v>1327</v>
      </c>
      <c r="C705" s="30">
        <f>(Table24[[#This Row],[Started]]-B704)/B704</f>
        <v>2.9480217222653218E-2</v>
      </c>
    </row>
    <row r="706" spans="1:3" x14ac:dyDescent="0.2">
      <c r="A706" s="9">
        <v>43191</v>
      </c>
      <c r="B706" s="10">
        <f>VLOOKUP(Table24[[#This Row],[Date]],'Database New'!$A:$D,MATCH($A$1,'Database New'!$A$1:$D$1,),)</f>
        <v>1285</v>
      </c>
      <c r="C706" s="30">
        <f>(Table24[[#This Row],[Started]]-B705)/B705</f>
        <v>-3.1650339110776186E-2</v>
      </c>
    </row>
    <row r="707" spans="1:3" x14ac:dyDescent="0.2">
      <c r="A707" s="9">
        <v>43221</v>
      </c>
      <c r="B707" s="10">
        <f>VLOOKUP(Table24[[#This Row],[Date]],'Database New'!$A:$D,MATCH($A$1,'Database New'!$A$1:$D$1,),)</f>
        <v>1354</v>
      </c>
      <c r="C707" s="30">
        <f>(Table24[[#This Row],[Started]]-B706)/B706</f>
        <v>5.3696498054474705E-2</v>
      </c>
    </row>
    <row r="708" spans="1:3" x14ac:dyDescent="0.2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-0.11447562776957164</v>
      </c>
    </row>
    <row r="709" spans="1:3" x14ac:dyDescent="0.2">
      <c r="A709" s="9">
        <v>43282</v>
      </c>
      <c r="B709" s="10">
        <f>VLOOKUP(Table24[[#This Row],[Date]],'Database New'!$A:$D,MATCH($A$1,'Database New'!$A$1:$D$1,),)</f>
        <v>1193</v>
      </c>
      <c r="C709" s="30">
        <f>(Table24[[#This Row],[Started]]-B708)/B708</f>
        <v>-5.0041701417848205E-3</v>
      </c>
    </row>
    <row r="710" spans="1:3" x14ac:dyDescent="0.2">
      <c r="A710" s="9">
        <v>43313</v>
      </c>
      <c r="B710" s="10">
        <f>VLOOKUP(Table24[[#This Row],[Date]],'Database New'!$A:$D,MATCH($A$1,'Database New'!$A$1:$D$1,),)</f>
        <v>1288</v>
      </c>
      <c r="C710" s="30">
        <f>(Table24[[#This Row],[Started]]-B709)/B709</f>
        <v>7.9631181894383909E-2</v>
      </c>
    </row>
    <row r="711" spans="1:3" x14ac:dyDescent="0.2">
      <c r="A711" s="9">
        <v>43344</v>
      </c>
      <c r="B711" s="10">
        <f>VLOOKUP(Table24[[#This Row],[Date]],'Database New'!$A:$D,MATCH($A$1,'Database New'!$A$1:$D$1,),)</f>
        <v>1238</v>
      </c>
      <c r="C711" s="30">
        <f>(Table24[[#This Row],[Started]]-B710)/B710</f>
        <v>-3.8819875776397512E-2</v>
      </c>
    </row>
    <row r="712" spans="1:3" x14ac:dyDescent="0.2">
      <c r="A712" s="9">
        <v>43374</v>
      </c>
      <c r="B712" s="10">
        <f>VLOOKUP(Table24[[#This Row],[Date]],'Database New'!$A:$D,MATCH($A$1,'Database New'!$A$1:$D$1,),)</f>
        <v>1208</v>
      </c>
      <c r="C712" s="30">
        <f>(Table24[[#This Row],[Started]]-B711)/B711</f>
        <v>-2.4232633279483037E-2</v>
      </c>
    </row>
    <row r="713" spans="1:3" x14ac:dyDescent="0.2">
      <c r="A713" s="9">
        <v>43405</v>
      </c>
      <c r="B713" s="10">
        <f>VLOOKUP(Table24[[#This Row],[Date]],'Database New'!$A:$D,MATCH($A$1,'Database New'!$A$1:$D$1,),)</f>
        <v>1183</v>
      </c>
      <c r="C713" s="30">
        <f>(Table24[[#This Row],[Started]]-B712)/B712</f>
        <v>-2.0695364238410598E-2</v>
      </c>
    </row>
    <row r="714" spans="1:3" x14ac:dyDescent="0.2">
      <c r="A714" s="9">
        <v>43435</v>
      </c>
      <c r="B714" s="10">
        <f>VLOOKUP(Table24[[#This Row],[Date]],'Database New'!$A:$D,MATCH($A$1,'Database New'!$A$1:$D$1,),)</f>
        <v>1095</v>
      </c>
      <c r="C714" s="30">
        <f>(Table24[[#This Row],[Started]]-B713)/B713</f>
        <v>-7.4387151310228231E-2</v>
      </c>
    </row>
    <row r="715" spans="1:3" x14ac:dyDescent="0.2">
      <c r="A715" s="9">
        <v>43466</v>
      </c>
      <c r="B715" s="10">
        <f>VLOOKUP(Table24[[#This Row],[Date]],'Database New'!$A:$D,MATCH($A$1,'Database New'!$A$1:$D$1,),)</f>
        <v>1244</v>
      </c>
      <c r="C715" s="30">
        <f>(Table24[[#This Row],[Started]]-B714)/B714</f>
        <v>0.13607305936073058</v>
      </c>
    </row>
    <row r="716" spans="1:3" x14ac:dyDescent="0.2">
      <c r="A716" s="9">
        <v>43497</v>
      </c>
      <c r="B716" s="10">
        <f>VLOOKUP(Table24[[#This Row],[Date]],'Database New'!$A:$D,MATCH($A$1,'Database New'!$A$1:$D$1,),)</f>
        <v>1142</v>
      </c>
      <c r="C716" s="30">
        <f>(Table24[[#This Row],[Started]]-B715)/B715</f>
        <v>-8.1993569131832797E-2</v>
      </c>
    </row>
    <row r="717" spans="1:3" x14ac:dyDescent="0.2">
      <c r="A717" s="9">
        <v>43525</v>
      </c>
      <c r="B717" s="10">
        <f>VLOOKUP(Table24[[#This Row],[Date]],'Database New'!$A:$D,MATCH($A$1,'Database New'!$A$1:$D$1,),)</f>
        <v>1203</v>
      </c>
      <c r="C717" s="30">
        <f>(Table24[[#This Row],[Started]]-B716)/B716</f>
        <v>5.3415061295971976E-2</v>
      </c>
    </row>
    <row r="718" spans="1:3" x14ac:dyDescent="0.2">
      <c r="A718" s="9">
        <v>43556</v>
      </c>
      <c r="B718" s="10">
        <f>VLOOKUP(Table24[[#This Row],[Date]],'Database New'!$A:$D,MATCH($A$1,'Database New'!$A$1:$D$1,),)</f>
        <v>1282</v>
      </c>
      <c r="C718" s="30">
        <f>(Table24[[#This Row],[Started]]-B717)/B717</f>
        <v>6.5669160432252696E-2</v>
      </c>
    </row>
    <row r="719" spans="1:3" x14ac:dyDescent="0.2">
      <c r="A719" s="9">
        <v>43586</v>
      </c>
      <c r="B719" s="10">
        <f>VLOOKUP(Table24[[#This Row],[Date]],'Database New'!$A:$D,MATCH($A$1,'Database New'!$A$1:$D$1,),)</f>
        <v>1303</v>
      </c>
      <c r="C719" s="30">
        <f>(Table24[[#This Row],[Started]]-B718)/B718</f>
        <v>1.6380655226209049E-2</v>
      </c>
    </row>
    <row r="720" spans="1:3" x14ac:dyDescent="0.2">
      <c r="A720" s="9">
        <v>43617</v>
      </c>
      <c r="B720" s="10">
        <f>VLOOKUP(Table24[[#This Row],[Date]],'Database New'!$A:$D,MATCH($A$1,'Database New'!$A$1:$D$1,),)</f>
        <v>1237</v>
      </c>
      <c r="C720" s="30">
        <f>(Table24[[#This Row],[Started]]-B719)/B719</f>
        <v>-5.0652340752110517E-2</v>
      </c>
    </row>
    <row r="721" spans="1:3" x14ac:dyDescent="0.2">
      <c r="A721" s="9">
        <v>43647</v>
      </c>
      <c r="B721" s="10">
        <f>VLOOKUP(Table24[[#This Row],[Date]],'Database New'!$A:$D,MATCH($A$1,'Database New'!$A$1:$D$1,),)</f>
        <v>1224</v>
      </c>
      <c r="C721" s="30">
        <f>(Table24[[#This Row],[Started]]-B720)/B720</f>
        <v>-1.0509296685529508E-2</v>
      </c>
    </row>
    <row r="722" spans="1:3" x14ac:dyDescent="0.2">
      <c r="A722" s="9">
        <v>43678</v>
      </c>
      <c r="B722" s="10">
        <f>VLOOKUP(Table24[[#This Row],[Date]],'Database New'!$A:$D,MATCH($A$1,'Database New'!$A$1:$D$1,),)</f>
        <v>1371</v>
      </c>
      <c r="C722" s="30">
        <f>(Table24[[#This Row],[Started]]-B721)/B721</f>
        <v>0.12009803921568628</v>
      </c>
    </row>
    <row r="723" spans="1:3" x14ac:dyDescent="0.2">
      <c r="A723" s="9">
        <v>43709</v>
      </c>
      <c r="B723" s="10">
        <f>VLOOKUP(Table24[[#This Row],[Date]],'Database New'!$A:$D,MATCH($A$1,'Database New'!$A$1:$D$1,),)</f>
        <v>1285</v>
      </c>
      <c r="C723" s="30">
        <f>(Table24[[#This Row],[Started]]-B722)/B722</f>
        <v>-6.2727935813274988E-2</v>
      </c>
    </row>
    <row r="724" spans="1:3" x14ac:dyDescent="0.2">
      <c r="A724" s="9">
        <v>43739</v>
      </c>
      <c r="B724" s="10">
        <f>VLOOKUP(Table24[[#This Row],[Date]],'Database New'!$A:$D,MATCH($A$1,'Database New'!$A$1:$D$1,),)</f>
        <v>1318</v>
      </c>
      <c r="C724" s="30">
        <f>(Table24[[#This Row],[Started]]-B723)/B723</f>
        <v>2.5680933852140077E-2</v>
      </c>
    </row>
    <row r="725" spans="1:3" x14ac:dyDescent="0.2">
      <c r="A725" s="9">
        <v>43770</v>
      </c>
      <c r="B725" s="10">
        <f>VLOOKUP(Table24[[#This Row],[Date]],'Database New'!$A:$D,MATCH($A$1,'Database New'!$A$1:$D$1,),)</f>
        <v>1350</v>
      </c>
      <c r="C725" s="30">
        <f>(Table24[[#This Row],[Started]]-B724)/B724</f>
        <v>2.4279210925644917E-2</v>
      </c>
    </row>
    <row r="726" spans="1:3" x14ac:dyDescent="0.2">
      <c r="A726" s="9">
        <v>43800</v>
      </c>
      <c r="B726" s="10">
        <f>VLOOKUP(Table24[[#This Row],[Date]],'Database New'!$A:$D,MATCH($A$1,'Database New'!$A$1:$D$1,),)</f>
        <v>1547</v>
      </c>
      <c r="C726" s="30">
        <f>(Table24[[#This Row],[Started]]-B725)/B725</f>
        <v>0.14592592592592593</v>
      </c>
    </row>
    <row r="727" spans="1:3" x14ac:dyDescent="0.2">
      <c r="A727" s="9">
        <v>43831</v>
      </c>
      <c r="B727" s="10">
        <f>VLOOKUP(Table24[[#This Row],[Date]],'Database New'!$A:$D,MATCH($A$1,'Database New'!$A$1:$D$1,),)</f>
        <v>1589</v>
      </c>
      <c r="C727" s="30">
        <f>(Table24[[#This Row],[Started]]-B726)/B726</f>
        <v>2.7149321266968326E-2</v>
      </c>
    </row>
    <row r="728" spans="1:3" x14ac:dyDescent="0.2">
      <c r="A728" s="9">
        <v>43862</v>
      </c>
      <c r="B728" s="10">
        <f>VLOOKUP(Table24[[#This Row],[Date]],'Database New'!$A:$D,MATCH($A$1,'Database New'!$A$1:$D$1,),)</f>
        <v>1589</v>
      </c>
      <c r="C728" s="30">
        <f>(Table24[[#This Row],[Started]]-B727)/B727</f>
        <v>0</v>
      </c>
    </row>
    <row r="729" spans="1:3" x14ac:dyDescent="0.2">
      <c r="A729" s="9">
        <v>43891</v>
      </c>
      <c r="B729" s="10">
        <f>VLOOKUP(Table24[[#This Row],[Date]],'Database New'!$A:$D,MATCH($A$1,'Database New'!$A$1:$D$1,),)</f>
        <v>1277</v>
      </c>
      <c r="C729" s="30">
        <f>(Table24[[#This Row],[Started]]-B728)/B728</f>
        <v>-0.19634990560100693</v>
      </c>
    </row>
    <row r="730" spans="1:3" x14ac:dyDescent="0.2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-0.26546593578700078</v>
      </c>
    </row>
    <row r="731" spans="1:3" x14ac:dyDescent="0.2">
      <c r="A731" s="9">
        <v>43952</v>
      </c>
      <c r="B731" s="10">
        <f>VLOOKUP(Table24[[#This Row],[Date]],'Database New'!$A:$D,MATCH($A$1,'Database New'!$A$1:$D$1,),)</f>
        <v>1046</v>
      </c>
      <c r="C731" s="30">
        <f>(Table24[[#This Row],[Started]]-B730)/B730</f>
        <v>0.11513859275053305</v>
      </c>
    </row>
    <row r="732" spans="1:3" x14ac:dyDescent="0.2">
      <c r="A732" s="9">
        <v>43983</v>
      </c>
      <c r="B732" s="10">
        <f>VLOOKUP(Table24[[#This Row],[Date]],'Database New'!$A:$D,MATCH($A$1,'Database New'!$A$1:$D$1,),)</f>
        <v>1273</v>
      </c>
      <c r="C732" s="30">
        <f>(Table24[[#This Row],[Started]]-B731)/B731</f>
        <v>0.2170172084130019</v>
      </c>
    </row>
    <row r="733" spans="1:3" x14ac:dyDescent="0.2">
      <c r="A733" s="9">
        <v>44013</v>
      </c>
      <c r="B733" s="10">
        <f>VLOOKUP(Table24[[#This Row],[Date]],'Database New'!$A:$D,MATCH($A$1,'Database New'!$A$1:$D$1,),)</f>
        <v>1497</v>
      </c>
      <c r="C733" s="30">
        <f>(Table24[[#This Row],[Started]]-B732)/B732</f>
        <v>0.17596229379418696</v>
      </c>
    </row>
    <row r="734" spans="1:3" x14ac:dyDescent="0.2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-8.082832331329326E-2</v>
      </c>
    </row>
    <row r="735" spans="1:3" x14ac:dyDescent="0.2">
      <c r="A735" s="9">
        <v>44075</v>
      </c>
      <c r="B735" s="10">
        <f>VLOOKUP(Table24[[#This Row],[Date]],'Database New'!$A:$D,MATCH($A$1,'Database New'!$A$1:$D$1,),)</f>
        <v>1448</v>
      </c>
      <c r="C735" s="30">
        <f>(Table24[[#This Row],[Started]]-B734)/B734</f>
        <v>5.232558139534884E-2</v>
      </c>
    </row>
    <row r="736" spans="1:3" x14ac:dyDescent="0.2">
      <c r="A736" s="9">
        <v>44105</v>
      </c>
      <c r="B736" s="10">
        <f>VLOOKUP(Table24[[#This Row],[Date]],'Database New'!$A:$D,MATCH($A$1,'Database New'!$A$1:$D$1,),)</f>
        <v>1514</v>
      </c>
      <c r="C736" s="30">
        <f>(Table24[[#This Row],[Started]]-B735)/B735</f>
        <v>4.5580110497237571E-2</v>
      </c>
    </row>
    <row r="737" spans="1:3" x14ac:dyDescent="0.2">
      <c r="A737" s="9">
        <v>44136</v>
      </c>
      <c r="B737" s="10">
        <f>VLOOKUP(Table24[[#This Row],[Date]],'Database New'!$A:$D,MATCH($A$1,'Database New'!$A$1:$D$1,),)</f>
        <v>1551</v>
      </c>
      <c r="C737" s="30">
        <f>(Table24[[#This Row],[Started]]-B736)/B736</f>
        <v>2.4438573315719948E-2</v>
      </c>
    </row>
    <row r="738" spans="1:3" x14ac:dyDescent="0.2">
      <c r="A738" s="9">
        <v>44166</v>
      </c>
      <c r="B738" s="10">
        <f>VLOOKUP(Table24[[#This Row],[Date]],'Database New'!$A:$D,MATCH($A$1,'Database New'!$A$1:$D$1,),)</f>
        <v>1661</v>
      </c>
      <c r="C738" s="30">
        <f>(Table24[[#This Row],[Started]]-B737)/B737</f>
        <v>7.0921985815602842E-2</v>
      </c>
    </row>
    <row r="739" spans="1:3" x14ac:dyDescent="0.2">
      <c r="A739" s="9">
        <v>44197</v>
      </c>
      <c r="B739" s="10">
        <f>VLOOKUP(Table24[[#This Row],[Date]],'Database New'!$A:$D,MATCH($A$1,'Database New'!$A$1:$D$1,),)</f>
        <v>1625</v>
      </c>
      <c r="C739" s="30">
        <f>(Table24[[#This Row],[Started]]-B738)/B738</f>
        <v>-2.1673690547862733E-2</v>
      </c>
    </row>
    <row r="740" spans="1:3" x14ac:dyDescent="0.2">
      <c r="A740" s="9">
        <v>44228</v>
      </c>
      <c r="B740" s="10">
        <f>VLOOKUP(Table24[[#This Row],[Date]],'Database New'!$A:$D,MATCH($A$1,'Database New'!$A$1:$D$1,),)</f>
        <v>1447</v>
      </c>
      <c r="C740" s="30">
        <f>(Table24[[#This Row],[Started]]-B739)/B739</f>
        <v>-0.10953846153846154</v>
      </c>
    </row>
    <row r="741" spans="1:3" x14ac:dyDescent="0.2">
      <c r="A741" s="9">
        <v>44256</v>
      </c>
      <c r="B741" s="10">
        <f>VLOOKUP(Table24[[#This Row],[Date]],'Database New'!$A:$D,MATCH($A$1,'Database New'!$A$1:$D$1,),)</f>
        <v>1725</v>
      </c>
      <c r="C741" s="30">
        <f>(Table24[[#This Row],[Started]]-B740)/B740</f>
        <v>0.19212163096060816</v>
      </c>
    </row>
    <row r="742" spans="1:3" x14ac:dyDescent="0.2">
      <c r="A742" s="9">
        <v>44287</v>
      </c>
      <c r="B742" s="10">
        <f>VLOOKUP(Table24[[#This Row],[Date]],'Database New'!$A:$D,MATCH($A$1,'Database New'!$A$1:$D$1,),)</f>
        <v>1514</v>
      </c>
      <c r="C742" s="30">
        <f>(Table24[[#This Row],[Started]]-B741)/B741</f>
        <v>-0.12231884057971014</v>
      </c>
    </row>
    <row r="743" spans="1:3" x14ac:dyDescent="0.2">
      <c r="A743" s="9">
        <v>44317</v>
      </c>
      <c r="B743" s="10">
        <f>VLOOKUP(Table24[[#This Row],[Date]],'Database New'!$A:$D,MATCH($A$1,'Database New'!$A$1:$D$1,),)</f>
        <v>1594</v>
      </c>
      <c r="C743" s="30">
        <f>(Table24[[#This Row],[Started]]-B742)/B742</f>
        <v>5.2840158520475564E-2</v>
      </c>
    </row>
    <row r="744" spans="1:3" x14ac:dyDescent="0.2">
      <c r="A744" s="9">
        <v>44348</v>
      </c>
      <c r="B744" s="10">
        <f>VLOOKUP(Table24[[#This Row],[Date]],'Database New'!$A:$D,MATCH($A$1,'Database New'!$A$1:$D$1,),)</f>
        <v>1657</v>
      </c>
      <c r="C744" s="30">
        <f>(Table24[[#This Row],[Started]]-B743)/B743</f>
        <v>3.9523212045169384E-2</v>
      </c>
    </row>
    <row r="745" spans="1:3" x14ac:dyDescent="0.2">
      <c r="A745" s="9">
        <v>44378</v>
      </c>
      <c r="B745" s="10">
        <f>VLOOKUP(Table24[[#This Row],[Date]],'Database New'!$A:$D,MATCH($A$1,'Database New'!$A$1:$D$1,),)</f>
        <v>1562</v>
      </c>
      <c r="C745" s="30">
        <f>(Table24[[#This Row],[Started]]-B744)/B744</f>
        <v>-5.7332528666264336E-2</v>
      </c>
    </row>
    <row r="746" spans="1:3" x14ac:dyDescent="0.2">
      <c r="A746" s="9">
        <v>44409</v>
      </c>
      <c r="B746" s="10">
        <f>VLOOKUP(Table24[[#This Row],[Date]],'Database New'!$A:$D,MATCH($A$1,'Database New'!$A$1:$D$1,),)</f>
        <v>1573</v>
      </c>
      <c r="C746" s="30">
        <f>(Table24[[#This Row],[Started]]-B745)/B745</f>
        <v>7.0422535211267607E-3</v>
      </c>
    </row>
    <row r="747" spans="1:3" x14ac:dyDescent="0.2">
      <c r="A747" s="9">
        <v>44440</v>
      </c>
      <c r="B747" s="10">
        <f>VLOOKUP(Table24[[#This Row],[Date]],'Database New'!$A:$D,MATCH($A$1,'Database New'!$A$1:$D$1,),)</f>
        <v>1550</v>
      </c>
      <c r="C747" s="30">
        <f>(Table24[[#This Row],[Started]]-B746)/B746</f>
        <v>-1.4621741894469168E-2</v>
      </c>
    </row>
    <row r="748" spans="1:3" x14ac:dyDescent="0.2">
      <c r="A748" s="9">
        <v>44470</v>
      </c>
      <c r="B748" s="10">
        <f>VLOOKUP(Table24[[#This Row],[Date]],'Database New'!$A:$D,MATCH($A$1,'Database New'!$A$1:$D$1,),)</f>
        <v>1552</v>
      </c>
      <c r="C748" s="30">
        <f>(Table24[[#This Row],[Started]]-B747)/B747</f>
        <v>1.2903225806451613E-3</v>
      </c>
    </row>
    <row r="749" spans="1:3" x14ac:dyDescent="0.2">
      <c r="A749" s="9">
        <v>44501</v>
      </c>
      <c r="B749" s="10">
        <f>VLOOKUP(Table24[[#This Row],[Date]],'Database New'!$A:$D,MATCH($A$1,'Database New'!$A$1:$D$1,),)</f>
        <v>1678</v>
      </c>
      <c r="C749" s="30">
        <f>(Table24[[#This Row],[Started]]-B748)/B748</f>
        <v>8.1185567010309281E-2</v>
      </c>
    </row>
    <row r="750" spans="1:3" x14ac:dyDescent="0.2">
      <c r="A750" s="9">
        <v>44531</v>
      </c>
      <c r="B750" s="10">
        <f>VLOOKUP(Table24[[#This Row],[Date]],'Database New'!$A:$D,MATCH($A$1,'Database New'!$A$1:$D$1,),)</f>
        <v>1702</v>
      </c>
      <c r="C750" s="30">
        <f>(Table24[[#This Row],[Started]]-B749)/B749</f>
        <v>1.4302741358760428E-2</v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654"/>
  <sheetViews>
    <sheetView zoomScale="160" zoomScaleNormal="160" workbookViewId="0">
      <pane ySplit="6" topLeftCell="A620" activePane="bottomLeft" state="frozen"/>
      <selection pane="bottomLeft" activeCell="O648" sqref="O648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4" width="9.1640625" style="46" customWidth="1"/>
    <col min="5" max="16384" width="9.1640625" style="46"/>
  </cols>
  <sheetData>
    <row r="1" spans="1:3" ht="19" customHeight="1" x14ac:dyDescent="0.25">
      <c r="A1" s="12" t="s">
        <v>29</v>
      </c>
    </row>
    <row r="2" spans="1:3" x14ac:dyDescent="0.2">
      <c r="A2" s="46" t="s">
        <v>25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27</v>
      </c>
      <c r="C6" s="8" t="s">
        <v>34</v>
      </c>
    </row>
    <row r="7" spans="1:3" x14ac:dyDescent="0.2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2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2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2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2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2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2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2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2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2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2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2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2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2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2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2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2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2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2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2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2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2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2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2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2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2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2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2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2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2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2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2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2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2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2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2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2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2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2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2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2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2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2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2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2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2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2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2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2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2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2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2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2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2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2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2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2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2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2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2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2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2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2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2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2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2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2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2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2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2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2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2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2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2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2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2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2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2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2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2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2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2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2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2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2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2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2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2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2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2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2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2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2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2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2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2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2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2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2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2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2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2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2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2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2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2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2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2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2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2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2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2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2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2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2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2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2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2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2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2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2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2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2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2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2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2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2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2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2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2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2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2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2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2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2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2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2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2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2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2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2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2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2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2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2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2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2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2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2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2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2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2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2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2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2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2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2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2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2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2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2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2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2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2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2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2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2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2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2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2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2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2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2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2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2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2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2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2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2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2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2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2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2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2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2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2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2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2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2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2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2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2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2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2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2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2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2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2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2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2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2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2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2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2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2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2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2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2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2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2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2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2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2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2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2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2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2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2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2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2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2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2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2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2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2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2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2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2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2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2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2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2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2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2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2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2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2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2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2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2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2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2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2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2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2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2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2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2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2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2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2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2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2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2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2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2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2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2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2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2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2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2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2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2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2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2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2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2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2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2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2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2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2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2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2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2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2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2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2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2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2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2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2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2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2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2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2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2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2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2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2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2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2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2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2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2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2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2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2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2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2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2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2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2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2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2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2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2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2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2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2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2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2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2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2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2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2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2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2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2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2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2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2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2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2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2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2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2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2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2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2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2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2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2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2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2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2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2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2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2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2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2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2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2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2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2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2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2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2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2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2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2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2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2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2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2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2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2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2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2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2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2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2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2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2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2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2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2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2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2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2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2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2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2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2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2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2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2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2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2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2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2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2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2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2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2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2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2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2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2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2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2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2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2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2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2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2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2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2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2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2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2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2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2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2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2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2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2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2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2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2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2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2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2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2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2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2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2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2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2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2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2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2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2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2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2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2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2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2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2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2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2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2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2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2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2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2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2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2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2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2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2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2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2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2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2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2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2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2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2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2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2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2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2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2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2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2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2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2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2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2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2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2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2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2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2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2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2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2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2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2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2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2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2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2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2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2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2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2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2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2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2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2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2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2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2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2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2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2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2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2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2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2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2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2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2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2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2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2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2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2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2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2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2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2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2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2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2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2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2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2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2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2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2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2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2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2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2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2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2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2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2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2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2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2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2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2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2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2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2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2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2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2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2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2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2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2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2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2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2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2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2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2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2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2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2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2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2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2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2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2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2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2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2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2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2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2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2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2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2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2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2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2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2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2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2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2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2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2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2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2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2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2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2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2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2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2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2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2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2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2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2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2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2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2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2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2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2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2">
      <c r="A595" s="9">
        <v>42736</v>
      </c>
      <c r="B595" s="10">
        <f>VLOOKUP(Table245[[#This Row],[Date]],'Database New'!$A:$D,MATCH($A$1,'Database New'!$A$1:$D$1,),)</f>
        <v>1073</v>
      </c>
      <c r="C595" s="30">
        <f>(Table245[[#This Row],[Completed]]-B594)/B594</f>
        <v>-2.5431425976385105E-2</v>
      </c>
    </row>
    <row r="596" spans="1:3" x14ac:dyDescent="0.2">
      <c r="A596" s="9">
        <v>42767</v>
      </c>
      <c r="B596" s="10">
        <f>VLOOKUP(Table245[[#This Row],[Date]],'Database New'!$A:$D,MATCH($A$1,'Database New'!$A$1:$D$1,),)</f>
        <v>1152</v>
      </c>
      <c r="C596" s="30">
        <f>(Table245[[#This Row],[Completed]]-B595)/B595</f>
        <v>7.3625349487418459E-2</v>
      </c>
    </row>
    <row r="597" spans="1:3" x14ac:dyDescent="0.2">
      <c r="A597" s="9">
        <v>42795</v>
      </c>
      <c r="B597" s="10">
        <f>VLOOKUP(Table245[[#This Row],[Date]],'Database New'!$A:$D,MATCH($A$1,'Database New'!$A$1:$D$1,),)</f>
        <v>1162</v>
      </c>
      <c r="C597" s="30">
        <f>(Table245[[#This Row],[Completed]]-B596)/B596</f>
        <v>8.6805555555555559E-3</v>
      </c>
    </row>
    <row r="598" spans="1:3" x14ac:dyDescent="0.2">
      <c r="A598" s="9">
        <v>42826</v>
      </c>
      <c r="B598" s="10">
        <f>VLOOKUP(Table245[[#This Row],[Date]],'Database New'!$A:$D,MATCH($A$1,'Database New'!$A$1:$D$1,),)</f>
        <v>1066</v>
      </c>
      <c r="C598" s="30">
        <f>(Table245[[#This Row],[Completed]]-B597)/B597</f>
        <v>-8.2616179001721177E-2</v>
      </c>
    </row>
    <row r="599" spans="1:3" x14ac:dyDescent="0.2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9.7560975609756101E-2</v>
      </c>
    </row>
    <row r="600" spans="1:3" x14ac:dyDescent="0.2">
      <c r="A600" s="9">
        <v>42887</v>
      </c>
      <c r="B600" s="10">
        <f>VLOOKUP(Table245[[#This Row],[Date]],'Database New'!$A:$D,MATCH($A$1,'Database New'!$A$1:$D$1,),)</f>
        <v>1238</v>
      </c>
      <c r="C600" s="30">
        <f>(Table245[[#This Row],[Completed]]-B599)/B599</f>
        <v>5.8119658119658121E-2</v>
      </c>
    </row>
    <row r="601" spans="1:3" x14ac:dyDescent="0.2">
      <c r="A601" s="9">
        <v>42917</v>
      </c>
      <c r="B601" s="10">
        <f>VLOOKUP(Table245[[#This Row],[Date]],'Database New'!$A:$D,MATCH($A$1,'Database New'!$A$1:$D$1,),)</f>
        <v>1174</v>
      </c>
      <c r="C601" s="30">
        <f>(Table245[[#This Row],[Completed]]-B600)/B600</f>
        <v>-5.1696284329563816E-2</v>
      </c>
    </row>
    <row r="602" spans="1:3" x14ac:dyDescent="0.2">
      <c r="A602" s="9">
        <v>42948</v>
      </c>
      <c r="B602" s="10">
        <f>VLOOKUP(Table245[[#This Row],[Date]],'Database New'!$A:$D,MATCH($A$1,'Database New'!$A$1:$D$1,),)</f>
        <v>1100</v>
      </c>
      <c r="C602" s="30">
        <f>(Table245[[#This Row],[Completed]]-B601)/B601</f>
        <v>-6.3032367972742753E-2</v>
      </c>
    </row>
    <row r="603" spans="1:3" x14ac:dyDescent="0.2">
      <c r="A603" s="9">
        <v>42979</v>
      </c>
      <c r="B603" s="10">
        <f>VLOOKUP(Table245[[#This Row],[Date]],'Database New'!$A:$D,MATCH($A$1,'Database New'!$A$1:$D$1,),)</f>
        <v>1108</v>
      </c>
      <c r="C603" s="30">
        <f>(Table245[[#This Row],[Completed]]-B602)/B602</f>
        <v>7.2727272727272727E-3</v>
      </c>
    </row>
    <row r="604" spans="1:3" x14ac:dyDescent="0.2">
      <c r="A604" s="9">
        <v>43009</v>
      </c>
      <c r="B604" s="10">
        <f>VLOOKUP(Table245[[#This Row],[Date]],'Database New'!$A:$D,MATCH($A$1,'Database New'!$A$1:$D$1,),)</f>
        <v>1191</v>
      </c>
      <c r="C604" s="30">
        <f>(Table245[[#This Row],[Completed]]-B603)/B603</f>
        <v>7.4909747292418769E-2</v>
      </c>
    </row>
    <row r="605" spans="1:3" x14ac:dyDescent="0.2">
      <c r="A605" s="9">
        <v>43040</v>
      </c>
      <c r="B605" s="10">
        <f>VLOOKUP(Table245[[#This Row],[Date]],'Database New'!$A:$D,MATCH($A$1,'Database New'!$A$1:$D$1,),)</f>
        <v>1180</v>
      </c>
      <c r="C605" s="30">
        <f>(Table245[[#This Row],[Completed]]-B604)/B604</f>
        <v>-9.2359361880772466E-3</v>
      </c>
    </row>
    <row r="606" spans="1:3" x14ac:dyDescent="0.2">
      <c r="A606" s="9">
        <v>43070</v>
      </c>
      <c r="B606" s="10">
        <f>VLOOKUP(Table245[[#This Row],[Date]],'Database New'!$A:$D,MATCH($A$1,'Database New'!$A$1:$D$1,),)</f>
        <v>1203</v>
      </c>
      <c r="C606" s="30">
        <f>(Table245[[#This Row],[Completed]]-B605)/B605</f>
        <v>1.9491525423728815E-2</v>
      </c>
    </row>
    <row r="607" spans="1:3" x14ac:dyDescent="0.2">
      <c r="A607" s="9">
        <v>43101</v>
      </c>
      <c r="B607" s="10">
        <f>VLOOKUP(Table245[[#This Row],[Date]],'Database New'!$A:$D,MATCH($A$1,'Database New'!$A$1:$D$1,),)</f>
        <v>1204</v>
      </c>
      <c r="C607" s="30">
        <f>(Table245[[#This Row],[Completed]]-B606)/B606</f>
        <v>8.3125519534497092E-4</v>
      </c>
    </row>
    <row r="608" spans="1:3" x14ac:dyDescent="0.2">
      <c r="A608" s="9">
        <v>43132</v>
      </c>
      <c r="B608" s="10">
        <f>VLOOKUP(Table245[[#This Row],[Date]],'Database New'!$A:$D,MATCH($A$1,'Database New'!$A$1:$D$1,),)</f>
        <v>1290</v>
      </c>
      <c r="C608" s="30">
        <f>(Table245[[#This Row],[Completed]]-B607)/B607</f>
        <v>7.1428571428571425E-2</v>
      </c>
    </row>
    <row r="609" spans="1:3" x14ac:dyDescent="0.2">
      <c r="A609" s="9">
        <v>43160</v>
      </c>
      <c r="B609" s="10">
        <f>VLOOKUP(Table245[[#This Row],[Date]],'Database New'!$A:$D,MATCH($A$1,'Database New'!$A$1:$D$1,),)</f>
        <v>1189</v>
      </c>
      <c r="C609" s="30">
        <f>(Table245[[#This Row],[Completed]]-B608)/B608</f>
        <v>-7.8294573643410859E-2</v>
      </c>
    </row>
    <row r="610" spans="1:3" x14ac:dyDescent="0.2">
      <c r="A610" s="9">
        <v>43191</v>
      </c>
      <c r="B610" s="10">
        <f>VLOOKUP(Table245[[#This Row],[Date]],'Database New'!$A:$D,MATCH($A$1,'Database New'!$A$1:$D$1,),)</f>
        <v>1213</v>
      </c>
      <c r="C610" s="30">
        <f>(Table245[[#This Row],[Completed]]-B609)/B609</f>
        <v>2.0185029436501262E-2</v>
      </c>
    </row>
    <row r="611" spans="1:3" x14ac:dyDescent="0.2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4.1220115416323165E-2</v>
      </c>
    </row>
    <row r="612" spans="1:3" x14ac:dyDescent="0.2">
      <c r="A612" s="9">
        <v>43252</v>
      </c>
      <c r="B612" s="10">
        <f>VLOOKUP(Table245[[#This Row],[Date]],'Database New'!$A:$D,MATCH($A$1,'Database New'!$A$1:$D$1,),)</f>
        <v>1216</v>
      </c>
      <c r="C612" s="30">
        <f>(Table245[[#This Row],[Completed]]-B611)/B611</f>
        <v>-3.7212984956452887E-2</v>
      </c>
    </row>
    <row r="613" spans="1:3" x14ac:dyDescent="0.2">
      <c r="A613" s="9">
        <v>43282</v>
      </c>
      <c r="B613" s="10">
        <f>VLOOKUP(Table245[[#This Row],[Date]],'Database New'!$A:$D,MATCH($A$1,'Database New'!$A$1:$D$1,),)</f>
        <v>1169</v>
      </c>
      <c r="C613" s="30">
        <f>(Table245[[#This Row],[Completed]]-B612)/B612</f>
        <v>-3.8651315789473686E-2</v>
      </c>
    </row>
    <row r="614" spans="1:3" x14ac:dyDescent="0.2">
      <c r="A614" s="9">
        <v>43313</v>
      </c>
      <c r="B614" s="10">
        <f>VLOOKUP(Table245[[#This Row],[Date]],'Database New'!$A:$D,MATCH($A$1,'Database New'!$A$1:$D$1,),)</f>
        <v>1246</v>
      </c>
      <c r="C614" s="30">
        <f>(Table245[[#This Row],[Completed]]-B613)/B613</f>
        <v>6.5868263473053898E-2</v>
      </c>
    </row>
    <row r="615" spans="1:3" x14ac:dyDescent="0.2">
      <c r="A615" s="9">
        <v>43344</v>
      </c>
      <c r="B615" s="10">
        <f>VLOOKUP(Table245[[#This Row],[Date]],'Database New'!$A:$D,MATCH($A$1,'Database New'!$A$1:$D$1,),)</f>
        <v>1174</v>
      </c>
      <c r="C615" s="30">
        <f>(Table245[[#This Row],[Completed]]-B614)/B614</f>
        <v>-5.7784911717495988E-2</v>
      </c>
    </row>
    <row r="616" spans="1:3" x14ac:dyDescent="0.2">
      <c r="A616" s="9">
        <v>43374</v>
      </c>
      <c r="B616" s="10">
        <f>VLOOKUP(Table245[[#This Row],[Date]],'Database New'!$A:$D,MATCH($A$1,'Database New'!$A$1:$D$1,),)</f>
        <v>1116</v>
      </c>
      <c r="C616" s="30">
        <f>(Table245[[#This Row],[Completed]]-B615)/B615</f>
        <v>-4.9403747870528106E-2</v>
      </c>
    </row>
    <row r="617" spans="1:3" x14ac:dyDescent="0.2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2.3297491039426525E-2</v>
      </c>
    </row>
    <row r="618" spans="1:3" x14ac:dyDescent="0.2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2">
      <c r="A619" s="9">
        <v>43466</v>
      </c>
      <c r="B619" s="10">
        <f>VLOOKUP(Table245[[#This Row],[Date]],'Database New'!$A:$D,MATCH($A$1,'Database New'!$A$1:$D$1,),)</f>
        <v>1246</v>
      </c>
      <c r="C619" s="30">
        <f>(Table245[[#This Row],[Completed]]-B618)/B618</f>
        <v>0.18441064638783269</v>
      </c>
    </row>
    <row r="620" spans="1:3" x14ac:dyDescent="0.2">
      <c r="A620" s="9">
        <v>43497</v>
      </c>
      <c r="B620" s="10">
        <f>VLOOKUP(Table245[[#This Row],[Date]],'Database New'!$A:$D,MATCH($A$1,'Database New'!$A$1:$D$1,),)</f>
        <v>1337</v>
      </c>
      <c r="C620" s="30">
        <f>(Table245[[#This Row],[Completed]]-B619)/B619</f>
        <v>7.3033707865168537E-2</v>
      </c>
    </row>
    <row r="621" spans="1:3" x14ac:dyDescent="0.2">
      <c r="A621" s="9">
        <v>43525</v>
      </c>
      <c r="B621" s="10">
        <f>VLOOKUP(Table245[[#This Row],[Date]],'Database New'!$A:$D,MATCH($A$1,'Database New'!$A$1:$D$1,),)</f>
        <v>1316</v>
      </c>
      <c r="C621" s="30">
        <f>(Table245[[#This Row],[Completed]]-B620)/B620</f>
        <v>-1.5706806282722512E-2</v>
      </c>
    </row>
    <row r="622" spans="1:3" x14ac:dyDescent="0.2">
      <c r="A622" s="9">
        <v>43556</v>
      </c>
      <c r="B622" s="10">
        <f>VLOOKUP(Table245[[#This Row],[Date]],'Database New'!$A:$D,MATCH($A$1,'Database New'!$A$1:$D$1,),)</f>
        <v>1312</v>
      </c>
      <c r="C622" s="30">
        <f>(Table245[[#This Row],[Completed]]-B621)/B621</f>
        <v>-3.0395136778115501E-3</v>
      </c>
    </row>
    <row r="623" spans="1:3" x14ac:dyDescent="0.2">
      <c r="A623" s="9">
        <v>43586</v>
      </c>
      <c r="B623" s="10">
        <f>VLOOKUP(Table245[[#This Row],[Date]],'Database New'!$A:$D,MATCH($A$1,'Database New'!$A$1:$D$1,),)</f>
        <v>1235</v>
      </c>
      <c r="C623" s="30">
        <f>(Table245[[#This Row],[Completed]]-B622)/B622</f>
        <v>-5.8689024390243899E-2</v>
      </c>
    </row>
    <row r="624" spans="1:3" x14ac:dyDescent="0.2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-5.2631578947368418E-2</v>
      </c>
    </row>
    <row r="625" spans="1:3" x14ac:dyDescent="0.2">
      <c r="A625" s="9">
        <v>43647</v>
      </c>
      <c r="B625" s="10">
        <f>VLOOKUP(Table245[[#This Row],[Date]],'Database New'!$A:$D,MATCH($A$1,'Database New'!$A$1:$D$1,),)</f>
        <v>1242</v>
      </c>
      <c r="C625" s="30">
        <f>(Table245[[#This Row],[Completed]]-B624)/B624</f>
        <v>6.1538461538461542E-2</v>
      </c>
    </row>
    <row r="626" spans="1:3" x14ac:dyDescent="0.2">
      <c r="A626" s="9">
        <v>43678</v>
      </c>
      <c r="B626" s="10">
        <f>VLOOKUP(Table245[[#This Row],[Date]],'Database New'!$A:$D,MATCH($A$1,'Database New'!$A$1:$D$1,),)</f>
        <v>1272</v>
      </c>
      <c r="C626" s="30">
        <f>(Table245[[#This Row],[Completed]]-B625)/B625</f>
        <v>2.4154589371980676E-2</v>
      </c>
    </row>
    <row r="627" spans="1:3" x14ac:dyDescent="0.2">
      <c r="A627" s="9">
        <v>43709</v>
      </c>
      <c r="B627" s="10">
        <f>VLOOKUP(Table245[[#This Row],[Date]],'Database New'!$A:$D,MATCH($A$1,'Database New'!$A$1:$D$1,),)</f>
        <v>1136</v>
      </c>
      <c r="C627" s="30">
        <f>(Table245[[#This Row],[Completed]]-B626)/B626</f>
        <v>-0.1069182389937107</v>
      </c>
    </row>
    <row r="628" spans="1:3" x14ac:dyDescent="0.2">
      <c r="A628" s="9">
        <v>43739</v>
      </c>
      <c r="B628" s="10">
        <f>VLOOKUP(Table245[[#This Row],[Date]],'Database New'!$A:$D,MATCH($A$1,'Database New'!$A$1:$D$1,),)</f>
        <v>1279</v>
      </c>
      <c r="C628" s="30">
        <f>(Table245[[#This Row],[Completed]]-B627)/B627</f>
        <v>0.12588028169014084</v>
      </c>
    </row>
    <row r="629" spans="1:3" x14ac:dyDescent="0.2">
      <c r="A629" s="9">
        <v>43770</v>
      </c>
      <c r="B629" s="10">
        <f>VLOOKUP(Table245[[#This Row],[Date]],'Database New'!$A:$D,MATCH($A$1,'Database New'!$A$1:$D$1,),)</f>
        <v>1252</v>
      </c>
      <c r="C629" s="30">
        <f>(Table245[[#This Row],[Completed]]-B628)/B628</f>
        <v>-2.1110242376856918E-2</v>
      </c>
    </row>
    <row r="630" spans="1:3" x14ac:dyDescent="0.2">
      <c r="A630" s="9">
        <v>43800</v>
      </c>
      <c r="B630" s="10">
        <f>VLOOKUP(Table245[[#This Row],[Date]],'Database New'!$A:$D,MATCH($A$1,'Database New'!$A$1:$D$1,),)</f>
        <v>1308</v>
      </c>
      <c r="C630" s="30">
        <f>(Table245[[#This Row],[Completed]]-B629)/B629</f>
        <v>4.472843450479233E-2</v>
      </c>
    </row>
    <row r="631" spans="1:3" x14ac:dyDescent="0.2">
      <c r="A631" s="9">
        <v>43831</v>
      </c>
      <c r="B631" s="10">
        <f>VLOOKUP(Table245[[#This Row],[Date]],'Database New'!$A:$D,MATCH($A$1,'Database New'!$A$1:$D$1,),)</f>
        <v>1288</v>
      </c>
      <c r="C631" s="30">
        <f>(Table245[[#This Row],[Completed]]-B630)/B630</f>
        <v>-1.5290519877675841E-2</v>
      </c>
    </row>
    <row r="632" spans="1:3" x14ac:dyDescent="0.2">
      <c r="A632" s="9">
        <v>43862</v>
      </c>
      <c r="B632" s="10">
        <f>VLOOKUP(Table245[[#This Row],[Date]],'Database New'!$A:$D,MATCH($A$1,'Database New'!$A$1:$D$1,),)</f>
        <v>1294</v>
      </c>
      <c r="C632" s="30">
        <f>(Table245[[#This Row],[Completed]]-B631)/B631</f>
        <v>4.658385093167702E-3</v>
      </c>
    </row>
    <row r="633" spans="1:3" x14ac:dyDescent="0.2">
      <c r="A633" s="9">
        <v>43891</v>
      </c>
      <c r="B633" s="10">
        <f>VLOOKUP(Table245[[#This Row],[Date]],'Database New'!$A:$D,MATCH($A$1,'Database New'!$A$1:$D$1,),)</f>
        <v>1267</v>
      </c>
      <c r="C633" s="30">
        <f>(Table245[[#This Row],[Completed]]-B632)/B632</f>
        <v>-2.0865533230293665E-2</v>
      </c>
    </row>
    <row r="634" spans="1:3" x14ac:dyDescent="0.2">
      <c r="A634" s="9">
        <v>43922</v>
      </c>
      <c r="B634" s="10">
        <f>VLOOKUP(Table245[[#This Row],[Date]],'Database New'!$A:$D,MATCH($A$1,'Database New'!$A$1:$D$1,),)</f>
        <v>1191</v>
      </c>
      <c r="C634" s="30">
        <f>(Table245[[#This Row],[Completed]]-B633)/B633</f>
        <v>-5.9984214680347279E-2</v>
      </c>
    </row>
    <row r="635" spans="1:3" x14ac:dyDescent="0.2">
      <c r="A635" s="9">
        <v>43952</v>
      </c>
      <c r="B635" s="10">
        <f>VLOOKUP(Table245[[#This Row],[Date]],'Database New'!$A:$D,MATCH($A$1,'Database New'!$A$1:$D$1,),)</f>
        <v>1178</v>
      </c>
      <c r="C635" s="30">
        <f>(Table245[[#This Row],[Completed]]-B634)/B634</f>
        <v>-1.09151973131822E-2</v>
      </c>
    </row>
    <row r="636" spans="1:3" x14ac:dyDescent="0.2">
      <c r="A636" s="9">
        <v>43983</v>
      </c>
      <c r="B636" s="10">
        <f>VLOOKUP(Table245[[#This Row],[Date]],'Database New'!$A:$D,MATCH($A$1,'Database New'!$A$1:$D$1,),)</f>
        <v>1243</v>
      </c>
      <c r="C636" s="30">
        <f>(Table245[[#This Row],[Completed]]-B635)/B635</f>
        <v>5.5178268251273345E-2</v>
      </c>
    </row>
    <row r="637" spans="1:3" x14ac:dyDescent="0.2">
      <c r="A637" s="9">
        <v>44013</v>
      </c>
      <c r="B637" s="10">
        <f>VLOOKUP(Table245[[#This Row],[Date]],'Database New'!$A:$D,MATCH($A$1,'Database New'!$A$1:$D$1,),)</f>
        <v>1340</v>
      </c>
      <c r="C637" s="30">
        <f>(Table245[[#This Row],[Completed]]-B636)/B636</f>
        <v>7.803700724054706E-2</v>
      </c>
    </row>
    <row r="638" spans="1:3" x14ac:dyDescent="0.2">
      <c r="A638" s="9">
        <v>44044</v>
      </c>
      <c r="B638" s="10">
        <f>VLOOKUP(Table245[[#This Row],[Date]],'Database New'!$A:$D,MATCH($A$1,'Database New'!$A$1:$D$1,),)</f>
        <v>1216</v>
      </c>
      <c r="C638" s="30">
        <f>(Table245[[#This Row],[Completed]]-B637)/B637</f>
        <v>-9.2537313432835819E-2</v>
      </c>
    </row>
    <row r="639" spans="1:3" x14ac:dyDescent="0.2">
      <c r="A639" s="9">
        <v>44075</v>
      </c>
      <c r="B639" s="10">
        <f>VLOOKUP(Table245[[#This Row],[Date]],'Database New'!$A:$D,MATCH($A$1,'Database New'!$A$1:$D$1,),)</f>
        <v>1426</v>
      </c>
      <c r="C639" s="30">
        <f>(Table245[[#This Row],[Completed]]-B638)/B638</f>
        <v>0.17269736842105263</v>
      </c>
    </row>
    <row r="640" spans="1:3" x14ac:dyDescent="0.2">
      <c r="A640" s="9">
        <v>44105</v>
      </c>
      <c r="B640" s="10">
        <f>VLOOKUP(Table245[[#This Row],[Date]],'Database New'!$A:$D,MATCH($A$1,'Database New'!$A$1:$D$1,),)</f>
        <v>1356</v>
      </c>
      <c r="C640" s="30">
        <f>(Table245[[#This Row],[Completed]]-B639)/B639</f>
        <v>-4.9088359046283309E-2</v>
      </c>
    </row>
    <row r="641" spans="1:3" x14ac:dyDescent="0.2">
      <c r="A641" s="9">
        <v>44136</v>
      </c>
      <c r="B641" s="10">
        <f>VLOOKUP(Table245[[#This Row],[Date]],'Database New'!$A:$D,MATCH($A$1,'Database New'!$A$1:$D$1,),)</f>
        <v>1244</v>
      </c>
      <c r="C641" s="30">
        <f>(Table245[[#This Row],[Completed]]-B640)/B640</f>
        <v>-8.2595870206489674E-2</v>
      </c>
    </row>
    <row r="642" spans="1:3" x14ac:dyDescent="0.2">
      <c r="A642" s="9">
        <v>44166</v>
      </c>
      <c r="B642" s="10">
        <f>VLOOKUP(Table245[[#This Row],[Date]],'Database New'!$A:$D,MATCH($A$1,'Database New'!$A$1:$D$1,),)</f>
        <v>1386</v>
      </c>
      <c r="C642" s="30">
        <f>(Table245[[#This Row],[Completed]]-B641)/B641</f>
        <v>0.11414790996784566</v>
      </c>
    </row>
    <row r="643" spans="1:3" x14ac:dyDescent="0.2">
      <c r="A643" s="9">
        <v>44197</v>
      </c>
      <c r="B643" s="10">
        <f>VLOOKUP(Table245[[#This Row],[Date]],'Database New'!$A:$D,MATCH($A$1,'Database New'!$A$1:$D$1,),)</f>
        <v>1328</v>
      </c>
      <c r="C643" s="30">
        <f>(Table245[[#This Row],[Completed]]-B642)/B642</f>
        <v>-4.1847041847041848E-2</v>
      </c>
    </row>
    <row r="644" spans="1:3" x14ac:dyDescent="0.2">
      <c r="A644" s="9">
        <v>44228</v>
      </c>
      <c r="B644" s="10">
        <f>VLOOKUP(Table245[[#This Row],[Date]],'Database New'!$A:$D,MATCH($A$1,'Database New'!$A$1:$D$1,),)</f>
        <v>1347</v>
      </c>
      <c r="C644" s="30">
        <f>(Table245[[#This Row],[Completed]]-B643)/B643</f>
        <v>1.430722891566265E-2</v>
      </c>
    </row>
    <row r="645" spans="1:3" x14ac:dyDescent="0.2">
      <c r="A645" s="9">
        <v>44256</v>
      </c>
      <c r="B645" s="10">
        <f>VLOOKUP(Table245[[#This Row],[Date]],'Database New'!$A:$D,MATCH($A$1,'Database New'!$A$1:$D$1,),)</f>
        <v>1497</v>
      </c>
      <c r="C645" s="30">
        <f>(Table245[[#This Row],[Completed]]-B644)/B644</f>
        <v>0.111358574610245</v>
      </c>
    </row>
    <row r="646" spans="1:3" x14ac:dyDescent="0.2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-5.3440213760855046E-2</v>
      </c>
    </row>
    <row r="647" spans="1:3" x14ac:dyDescent="0.2">
      <c r="A647" s="9">
        <v>44317</v>
      </c>
      <c r="B647" s="10">
        <f>VLOOKUP(Table245[[#This Row],[Date]],'Database New'!$A:$D,MATCH($A$1,'Database New'!$A$1:$D$1,),)</f>
        <v>1350</v>
      </c>
      <c r="C647" s="30">
        <f>(Table245[[#This Row],[Completed]]-B646)/B646</f>
        <v>-4.728299223712068E-2</v>
      </c>
    </row>
    <row r="648" spans="1:3" x14ac:dyDescent="0.2">
      <c r="A648" s="9">
        <v>44348</v>
      </c>
      <c r="B648" s="10">
        <f>VLOOKUP(Table245[[#This Row],[Date]],'Database New'!$A:$D,MATCH($A$1,'Database New'!$A$1:$D$1,),)</f>
        <v>1312</v>
      </c>
      <c r="C648" s="30">
        <f>(Table245[[#This Row],[Completed]]-B647)/B647</f>
        <v>-2.8148148148148148E-2</v>
      </c>
    </row>
    <row r="649" spans="1:3" x14ac:dyDescent="0.2">
      <c r="A649" s="9">
        <v>44378</v>
      </c>
      <c r="B649" s="10">
        <f>VLOOKUP(Table245[[#This Row],[Date]],'Database New'!$A:$D,MATCH($A$1,'Database New'!$A$1:$D$1,),)</f>
        <v>1380</v>
      </c>
      <c r="C649" s="30">
        <f>(Table245[[#This Row],[Completed]]-B648)/B648</f>
        <v>5.1829268292682924E-2</v>
      </c>
    </row>
    <row r="650" spans="1:3" x14ac:dyDescent="0.2">
      <c r="A650" s="9">
        <v>44409</v>
      </c>
      <c r="B650" s="10">
        <f>VLOOKUP(Table245[[#This Row],[Date]],'Database New'!$A:$D,MATCH($A$1,'Database New'!$A$1:$D$1,),)</f>
        <v>1291</v>
      </c>
      <c r="C650" s="30">
        <f>(Table245[[#This Row],[Completed]]-B649)/B649</f>
        <v>-6.4492753623188404E-2</v>
      </c>
    </row>
    <row r="651" spans="1:3" x14ac:dyDescent="0.2">
      <c r="A651" s="9">
        <v>44440</v>
      </c>
      <c r="B651" s="10">
        <f>VLOOKUP(Table245[[#This Row],[Date]],'Database New'!$A:$D,MATCH($A$1,'Database New'!$A$1:$D$1,),)</f>
        <v>1235</v>
      </c>
      <c r="C651" s="30">
        <f>(Table245[[#This Row],[Completed]]-B650)/B650</f>
        <v>-4.3377226955848176E-2</v>
      </c>
    </row>
    <row r="652" spans="1:3" x14ac:dyDescent="0.2">
      <c r="A652" s="9">
        <v>44470</v>
      </c>
      <c r="B652" s="10">
        <f>VLOOKUP(Table245[[#This Row],[Date]],'Database New'!$A:$D,MATCH($A$1,'Database New'!$A$1:$D$1,),)</f>
        <v>1255</v>
      </c>
      <c r="C652" s="30">
        <f>(Table245[[#This Row],[Completed]]-B651)/B651</f>
        <v>1.6194331983805668E-2</v>
      </c>
    </row>
    <row r="653" spans="1:3" x14ac:dyDescent="0.2">
      <c r="A653" s="9">
        <v>44501</v>
      </c>
      <c r="B653" s="10">
        <f>VLOOKUP(Table245[[#This Row],[Date]],'Database New'!$A:$D,MATCH($A$1,'Database New'!$A$1:$D$1,),)</f>
        <v>1418</v>
      </c>
      <c r="C653" s="30">
        <f>(Table245[[#This Row],[Completed]]-B652)/B652</f>
        <v>0.12988047808764941</v>
      </c>
    </row>
    <row r="654" spans="1:3" x14ac:dyDescent="0.2">
      <c r="A654" s="9">
        <v>44531</v>
      </c>
      <c r="B654" s="10">
        <f>VLOOKUP(Table245[[#This Row],[Date]],'Database New'!$A:$D,MATCH($A$1,'Database New'!$A$1:$D$1,),)</f>
        <v>1295</v>
      </c>
      <c r="C654" s="30">
        <f>(Table245[[#This Row],[Completed]]-B653)/B653</f>
        <v>-8.6741889985895632E-2</v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2022-02-04T02:51:57Z</dcterms:modified>
</cp:coreProperties>
</file>