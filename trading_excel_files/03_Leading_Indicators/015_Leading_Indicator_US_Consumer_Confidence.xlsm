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4E8DFF9D-A2C9-5548-AEBD-9A65329238A6}" xr6:coauthVersionLast="47" xr6:coauthVersionMax="47" xr10:uidLastSave="{00000000-0000-0000-0000-000000000000}"/>
  <bookViews>
    <workbookView xWindow="-62140" yWindow="-340" windowWidth="53480" windowHeight="28000" activeTab="1"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534" i="5" l="1"/>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64" i="3"/>
  <c r="D764" i="3"/>
  <c r="B764" i="3"/>
  <c r="C764" i="3" s="1"/>
  <c r="E763" i="3"/>
  <c r="D763" i="3"/>
  <c r="B763" i="3"/>
  <c r="F762" i="3"/>
  <c r="E762" i="3"/>
  <c r="D762" i="3"/>
  <c r="B762" i="3"/>
  <c r="F761" i="3"/>
  <c r="E761" i="3"/>
  <c r="D761" i="3"/>
  <c r="B761" i="3"/>
  <c r="E760" i="3"/>
  <c r="D760" i="3"/>
  <c r="C760" i="3"/>
  <c r="B760" i="3"/>
  <c r="E759" i="3"/>
  <c r="F759" i="3" s="1"/>
  <c r="D759" i="3"/>
  <c r="B759" i="3"/>
  <c r="F758" i="3"/>
  <c r="E758" i="3"/>
  <c r="D758" i="3"/>
  <c r="C758" i="3"/>
  <c r="B758" i="3"/>
  <c r="E757" i="3"/>
  <c r="D757" i="3"/>
  <c r="B757" i="3"/>
  <c r="C757" i="3" s="1"/>
  <c r="E756" i="3"/>
  <c r="D756" i="3"/>
  <c r="B756" i="3"/>
  <c r="C756" i="3" s="1"/>
  <c r="E755" i="3"/>
  <c r="D755" i="3"/>
  <c r="B755" i="3"/>
  <c r="F754" i="3"/>
  <c r="E754" i="3"/>
  <c r="D754" i="3"/>
  <c r="B754" i="3"/>
  <c r="F753" i="3"/>
  <c r="E753" i="3"/>
  <c r="F764" i="3" s="1"/>
  <c r="D753" i="3"/>
  <c r="B753" i="3"/>
  <c r="E752" i="3"/>
  <c r="F763" i="3" s="1"/>
  <c r="D752" i="3"/>
  <c r="C752" i="3"/>
  <c r="B752" i="3"/>
  <c r="E751" i="3"/>
  <c r="F751" i="3" s="1"/>
  <c r="D751" i="3"/>
  <c r="B751" i="3"/>
  <c r="C763" i="3" s="1"/>
  <c r="F750" i="3"/>
  <c r="E750" i="3"/>
  <c r="D750" i="3"/>
  <c r="C750" i="3"/>
  <c r="B750" i="3"/>
  <c r="E749" i="3"/>
  <c r="F760" i="3" s="1"/>
  <c r="D749" i="3"/>
  <c r="B749" i="3"/>
  <c r="E748" i="3"/>
  <c r="D748" i="3"/>
  <c r="B748" i="3"/>
  <c r="C748" i="3" s="1"/>
  <c r="E747" i="3"/>
  <c r="D747" i="3"/>
  <c r="B747" i="3"/>
  <c r="C759" i="3" s="1"/>
  <c r="F746" i="3"/>
  <c r="E746" i="3"/>
  <c r="F757" i="3" s="1"/>
  <c r="D746" i="3"/>
  <c r="B746" i="3"/>
  <c r="F745" i="3"/>
  <c r="E745" i="3"/>
  <c r="F756" i="3" s="1"/>
  <c r="D745" i="3"/>
  <c r="B745" i="3"/>
  <c r="E744" i="3"/>
  <c r="F755" i="3" s="1"/>
  <c r="D744" i="3"/>
  <c r="C744" i="3"/>
  <c r="B744" i="3"/>
  <c r="E743" i="3"/>
  <c r="F743" i="3" s="1"/>
  <c r="D743" i="3"/>
  <c r="B743" i="3"/>
  <c r="C755" i="3" s="1"/>
  <c r="F742" i="3"/>
  <c r="E742" i="3"/>
  <c r="D742" i="3"/>
  <c r="C742" i="3"/>
  <c r="B742" i="3"/>
  <c r="E741" i="3"/>
  <c r="F752" i="3" s="1"/>
  <c r="D741" i="3"/>
  <c r="B741" i="3"/>
  <c r="E740" i="3"/>
  <c r="D740" i="3"/>
  <c r="B740" i="3"/>
  <c r="C740" i="3" s="1"/>
  <c r="E739" i="3"/>
  <c r="D739" i="3"/>
  <c r="B739" i="3"/>
  <c r="C751" i="3" s="1"/>
  <c r="F738" i="3"/>
  <c r="E738" i="3"/>
  <c r="F749" i="3" s="1"/>
  <c r="D738" i="3"/>
  <c r="B738" i="3"/>
  <c r="F737" i="3"/>
  <c r="E737" i="3"/>
  <c r="F748" i="3" s="1"/>
  <c r="D737" i="3"/>
  <c r="B737" i="3"/>
  <c r="E736" i="3"/>
  <c r="F747" i="3" s="1"/>
  <c r="D736" i="3"/>
  <c r="C736" i="3"/>
  <c r="B736" i="3"/>
  <c r="E735" i="3"/>
  <c r="F735" i="3" s="1"/>
  <c r="D735" i="3"/>
  <c r="B735" i="3"/>
  <c r="C747" i="3" s="1"/>
  <c r="F734" i="3"/>
  <c r="E734" i="3"/>
  <c r="D734" i="3"/>
  <c r="C734" i="3"/>
  <c r="B734" i="3"/>
  <c r="E733" i="3"/>
  <c r="F744" i="3" s="1"/>
  <c r="D733" i="3"/>
  <c r="B733" i="3"/>
  <c r="E732" i="3"/>
  <c r="D732" i="3"/>
  <c r="B732" i="3"/>
  <c r="C732" i="3" s="1"/>
  <c r="E731" i="3"/>
  <c r="D731" i="3"/>
  <c r="B731" i="3"/>
  <c r="C743" i="3" s="1"/>
  <c r="F730" i="3"/>
  <c r="E730" i="3"/>
  <c r="F741" i="3" s="1"/>
  <c r="D730" i="3"/>
  <c r="B730" i="3"/>
  <c r="F729" i="3"/>
  <c r="E729" i="3"/>
  <c r="F740" i="3" s="1"/>
  <c r="D729" i="3"/>
  <c r="B729" i="3"/>
  <c r="E728" i="3"/>
  <c r="F739" i="3" s="1"/>
  <c r="D728" i="3"/>
  <c r="C728" i="3"/>
  <c r="B728" i="3"/>
  <c r="E727" i="3"/>
  <c r="F727" i="3" s="1"/>
  <c r="D727" i="3"/>
  <c r="B727" i="3"/>
  <c r="C739" i="3" s="1"/>
  <c r="F726" i="3"/>
  <c r="E726" i="3"/>
  <c r="D726" i="3"/>
  <c r="C726" i="3"/>
  <c r="B726" i="3"/>
  <c r="E725" i="3"/>
  <c r="F736" i="3" s="1"/>
  <c r="D725" i="3"/>
  <c r="B725" i="3"/>
  <c r="E724" i="3"/>
  <c r="D724" i="3"/>
  <c r="B724" i="3"/>
  <c r="C724" i="3" s="1"/>
  <c r="E723" i="3"/>
  <c r="D723" i="3"/>
  <c r="B723" i="3"/>
  <c r="C735" i="3" s="1"/>
  <c r="F722" i="3"/>
  <c r="E722" i="3"/>
  <c r="F733" i="3" s="1"/>
  <c r="D722" i="3"/>
  <c r="B722" i="3"/>
  <c r="F721" i="3"/>
  <c r="E721" i="3"/>
  <c r="F732" i="3" s="1"/>
  <c r="D721" i="3"/>
  <c r="B721" i="3"/>
  <c r="E720" i="3"/>
  <c r="F731" i="3" s="1"/>
  <c r="D720" i="3"/>
  <c r="C720" i="3"/>
  <c r="B720" i="3"/>
  <c r="E719" i="3"/>
  <c r="F719" i="3" s="1"/>
  <c r="D719" i="3"/>
  <c r="B719" i="3"/>
  <c r="C731" i="3" s="1"/>
  <c r="F718" i="3"/>
  <c r="E718" i="3"/>
  <c r="D718" i="3"/>
  <c r="C718" i="3"/>
  <c r="B718" i="3"/>
  <c r="E717" i="3"/>
  <c r="F728" i="3" s="1"/>
  <c r="D717" i="3"/>
  <c r="B717" i="3"/>
  <c r="E716" i="3"/>
  <c r="D716" i="3"/>
  <c r="B716" i="3"/>
  <c r="C716" i="3" s="1"/>
  <c r="E715" i="3"/>
  <c r="D715" i="3"/>
  <c r="B715" i="3"/>
  <c r="C727" i="3" s="1"/>
  <c r="F714" i="3"/>
  <c r="E714" i="3"/>
  <c r="F725" i="3" s="1"/>
  <c r="D714" i="3"/>
  <c r="B714" i="3"/>
  <c r="F713" i="3"/>
  <c r="E713" i="3"/>
  <c r="F724" i="3" s="1"/>
  <c r="D713" i="3"/>
  <c r="B713" i="3"/>
  <c r="E712" i="3"/>
  <c r="F723" i="3" s="1"/>
  <c r="D712" i="3"/>
  <c r="C712" i="3"/>
  <c r="B712" i="3"/>
  <c r="E711" i="3"/>
  <c r="F711" i="3" s="1"/>
  <c r="D711" i="3"/>
  <c r="B711" i="3"/>
  <c r="C723" i="3" s="1"/>
  <c r="F710" i="3"/>
  <c r="E710" i="3"/>
  <c r="D710" i="3"/>
  <c r="C710" i="3"/>
  <c r="B710" i="3"/>
  <c r="E709" i="3"/>
  <c r="F720" i="3" s="1"/>
  <c r="D709" i="3"/>
  <c r="B709" i="3"/>
  <c r="E708" i="3"/>
  <c r="D708" i="3"/>
  <c r="B708" i="3"/>
  <c r="C708" i="3" s="1"/>
  <c r="E707" i="3"/>
  <c r="D707" i="3"/>
  <c r="B707" i="3"/>
  <c r="C719" i="3" s="1"/>
  <c r="F706" i="3"/>
  <c r="E706" i="3"/>
  <c r="F717" i="3" s="1"/>
  <c r="D706" i="3"/>
  <c r="B706" i="3"/>
  <c r="F705" i="3"/>
  <c r="E705" i="3"/>
  <c r="F716" i="3" s="1"/>
  <c r="D705" i="3"/>
  <c r="B705" i="3"/>
  <c r="E704" i="3"/>
  <c r="F715" i="3" s="1"/>
  <c r="D704" i="3"/>
  <c r="C704" i="3"/>
  <c r="B704" i="3"/>
  <c r="E703" i="3"/>
  <c r="F703" i="3" s="1"/>
  <c r="D703" i="3"/>
  <c r="B703" i="3"/>
  <c r="C715" i="3" s="1"/>
  <c r="F702" i="3"/>
  <c r="E702" i="3"/>
  <c r="D702" i="3"/>
  <c r="C702" i="3"/>
  <c r="B702" i="3"/>
  <c r="E701" i="3"/>
  <c r="F712" i="3" s="1"/>
  <c r="D701" i="3"/>
  <c r="B701" i="3"/>
  <c r="E700" i="3"/>
  <c r="D700" i="3"/>
  <c r="B700" i="3"/>
  <c r="C700" i="3" s="1"/>
  <c r="E699" i="3"/>
  <c r="D699" i="3"/>
  <c r="B699" i="3"/>
  <c r="C711" i="3" s="1"/>
  <c r="F698" i="3"/>
  <c r="E698" i="3"/>
  <c r="F709" i="3" s="1"/>
  <c r="D698" i="3"/>
  <c r="B698" i="3"/>
  <c r="F697" i="3"/>
  <c r="E697" i="3"/>
  <c r="F708" i="3" s="1"/>
  <c r="D697" i="3"/>
  <c r="B697" i="3"/>
  <c r="E696" i="3"/>
  <c r="F707" i="3" s="1"/>
  <c r="D696" i="3"/>
  <c r="C696" i="3"/>
  <c r="B696" i="3"/>
  <c r="E695" i="3"/>
  <c r="F695" i="3" s="1"/>
  <c r="D695" i="3"/>
  <c r="B695" i="3"/>
  <c r="C707" i="3" s="1"/>
  <c r="E694" i="3"/>
  <c r="D694" i="3"/>
  <c r="C694" i="3"/>
  <c r="B694" i="3"/>
  <c r="E693" i="3"/>
  <c r="F704" i="3" s="1"/>
  <c r="D693" i="3"/>
  <c r="B693" i="3"/>
  <c r="E692" i="3"/>
  <c r="D692" i="3"/>
  <c r="B692" i="3"/>
  <c r="C692" i="3" s="1"/>
  <c r="E691" i="3"/>
  <c r="D691" i="3"/>
  <c r="B691" i="3"/>
  <c r="C703" i="3" s="1"/>
  <c r="E690" i="3"/>
  <c r="F701" i="3" s="1"/>
  <c r="D690" i="3"/>
  <c r="B690" i="3"/>
  <c r="F689" i="3"/>
  <c r="E689" i="3"/>
  <c r="F700" i="3" s="1"/>
  <c r="D689" i="3"/>
  <c r="B689" i="3"/>
  <c r="E688" i="3"/>
  <c r="F699" i="3" s="1"/>
  <c r="D688" i="3"/>
  <c r="C688" i="3"/>
  <c r="B688" i="3"/>
  <c r="E687" i="3"/>
  <c r="F687" i="3" s="1"/>
  <c r="D687" i="3"/>
  <c r="B687" i="3"/>
  <c r="C699" i="3" s="1"/>
  <c r="F686" i="3"/>
  <c r="E686" i="3"/>
  <c r="D686" i="3"/>
  <c r="C686" i="3"/>
  <c r="B686" i="3"/>
  <c r="C698" i="3" s="1"/>
  <c r="E685" i="3"/>
  <c r="F696" i="3" s="1"/>
  <c r="D685" i="3"/>
  <c r="B685" i="3"/>
  <c r="E684" i="3"/>
  <c r="D684" i="3"/>
  <c r="B684" i="3"/>
  <c r="C684" i="3" s="1"/>
  <c r="E683" i="3"/>
  <c r="F694" i="3" s="1"/>
  <c r="D683" i="3"/>
  <c r="B683" i="3"/>
  <c r="C695" i="3" s="1"/>
  <c r="E682" i="3"/>
  <c r="F693" i="3" s="1"/>
  <c r="D682" i="3"/>
  <c r="B682" i="3"/>
  <c r="F681" i="3"/>
  <c r="E681" i="3"/>
  <c r="F692" i="3" s="1"/>
  <c r="D681" i="3"/>
  <c r="B681" i="3"/>
  <c r="E680" i="3"/>
  <c r="F691" i="3" s="1"/>
  <c r="D680" i="3"/>
  <c r="C680" i="3"/>
  <c r="B680" i="3"/>
  <c r="F679" i="3"/>
  <c r="E679" i="3"/>
  <c r="F690" i="3" s="1"/>
  <c r="D679" i="3"/>
  <c r="B679" i="3"/>
  <c r="C691" i="3" s="1"/>
  <c r="F678" i="3"/>
  <c r="E678" i="3"/>
  <c r="D678" i="3"/>
  <c r="B678" i="3"/>
  <c r="E677" i="3"/>
  <c r="F688" i="3" s="1"/>
  <c r="D677" i="3"/>
  <c r="B677" i="3"/>
  <c r="E676" i="3"/>
  <c r="D676" i="3"/>
  <c r="B676" i="3"/>
  <c r="C676" i="3" s="1"/>
  <c r="E675" i="3"/>
  <c r="D675" i="3"/>
  <c r="B675" i="3"/>
  <c r="C687" i="3" s="1"/>
  <c r="E674" i="3"/>
  <c r="F685" i="3" s="1"/>
  <c r="D674" i="3"/>
  <c r="B674" i="3"/>
  <c r="F673" i="3"/>
  <c r="E673" i="3"/>
  <c r="F684" i="3" s="1"/>
  <c r="D673" i="3"/>
  <c r="B673" i="3"/>
  <c r="E672" i="3"/>
  <c r="D672" i="3"/>
  <c r="C672" i="3"/>
  <c r="B672" i="3"/>
  <c r="F671" i="3"/>
  <c r="E671" i="3"/>
  <c r="F682" i="3" s="1"/>
  <c r="D671" i="3"/>
  <c r="B671" i="3"/>
  <c r="C683" i="3" s="1"/>
  <c r="F670" i="3"/>
  <c r="E670" i="3"/>
  <c r="D670" i="3"/>
  <c r="B670" i="3"/>
  <c r="E669" i="3"/>
  <c r="F680" i="3" s="1"/>
  <c r="D669" i="3"/>
  <c r="B669" i="3"/>
  <c r="E668" i="3"/>
  <c r="D668" i="3"/>
  <c r="B668" i="3"/>
  <c r="C668" i="3" s="1"/>
  <c r="E667" i="3"/>
  <c r="D667" i="3"/>
  <c r="B667" i="3"/>
  <c r="C679" i="3" s="1"/>
  <c r="E666" i="3"/>
  <c r="F677" i="3" s="1"/>
  <c r="D666" i="3"/>
  <c r="B666" i="3"/>
  <c r="F665" i="3"/>
  <c r="E665" i="3"/>
  <c r="F676" i="3" s="1"/>
  <c r="D665" i="3"/>
  <c r="B665" i="3"/>
  <c r="E664" i="3"/>
  <c r="F675" i="3" s="1"/>
  <c r="D664" i="3"/>
  <c r="C664" i="3"/>
  <c r="B664" i="3"/>
  <c r="F663" i="3"/>
  <c r="E663" i="3"/>
  <c r="F674" i="3" s="1"/>
  <c r="D663" i="3"/>
  <c r="B663" i="3"/>
  <c r="C675" i="3" s="1"/>
  <c r="F662" i="3"/>
  <c r="E662" i="3"/>
  <c r="D662" i="3"/>
  <c r="B662" i="3"/>
  <c r="E661" i="3"/>
  <c r="F672" i="3" s="1"/>
  <c r="D661" i="3"/>
  <c r="B661" i="3"/>
  <c r="E660" i="3"/>
  <c r="D660" i="3"/>
  <c r="B660" i="3"/>
  <c r="C660" i="3" s="1"/>
  <c r="E659" i="3"/>
  <c r="D659" i="3"/>
  <c r="B659" i="3"/>
  <c r="C671" i="3" s="1"/>
  <c r="E658" i="3"/>
  <c r="F669" i="3" s="1"/>
  <c r="D658" i="3"/>
  <c r="B658" i="3"/>
  <c r="F657" i="3"/>
  <c r="E657" i="3"/>
  <c r="F668" i="3" s="1"/>
  <c r="D657" i="3"/>
  <c r="B657" i="3"/>
  <c r="E656" i="3"/>
  <c r="D656" i="3"/>
  <c r="C656" i="3"/>
  <c r="B656" i="3"/>
  <c r="F655" i="3"/>
  <c r="E655" i="3"/>
  <c r="F666" i="3" s="1"/>
  <c r="D655" i="3"/>
  <c r="B655" i="3"/>
  <c r="C667" i="3" s="1"/>
  <c r="F654" i="3"/>
  <c r="E654" i="3"/>
  <c r="D654" i="3"/>
  <c r="B654" i="3"/>
  <c r="E653" i="3"/>
  <c r="F664" i="3" s="1"/>
  <c r="D653" i="3"/>
  <c r="B653" i="3"/>
  <c r="E652" i="3"/>
  <c r="D652" i="3"/>
  <c r="B652" i="3"/>
  <c r="C652" i="3" s="1"/>
  <c r="E651" i="3"/>
  <c r="D651" i="3"/>
  <c r="B651" i="3"/>
  <c r="C663" i="3" s="1"/>
  <c r="E650" i="3"/>
  <c r="F661" i="3" s="1"/>
  <c r="D650" i="3"/>
  <c r="B650" i="3"/>
  <c r="F649" i="3"/>
  <c r="E649" i="3"/>
  <c r="F660" i="3" s="1"/>
  <c r="D649" i="3"/>
  <c r="B649" i="3"/>
  <c r="E648" i="3"/>
  <c r="F659" i="3" s="1"/>
  <c r="D648" i="3"/>
  <c r="C648" i="3"/>
  <c r="B648" i="3"/>
  <c r="F647" i="3"/>
  <c r="E647" i="3"/>
  <c r="F658" i="3" s="1"/>
  <c r="D647" i="3"/>
  <c r="B647" i="3"/>
  <c r="C659" i="3" s="1"/>
  <c r="F646" i="3"/>
  <c r="E646" i="3"/>
  <c r="D646" i="3"/>
  <c r="B646" i="3"/>
  <c r="E645" i="3"/>
  <c r="F656" i="3" s="1"/>
  <c r="D645" i="3"/>
  <c r="B645" i="3"/>
  <c r="E644" i="3"/>
  <c r="D644" i="3"/>
  <c r="B644" i="3"/>
  <c r="C644" i="3" s="1"/>
  <c r="E643" i="3"/>
  <c r="D643" i="3"/>
  <c r="B643" i="3"/>
  <c r="C655" i="3" s="1"/>
  <c r="E642" i="3"/>
  <c r="F653" i="3" s="1"/>
  <c r="D642" i="3"/>
  <c r="B642" i="3"/>
  <c r="F641" i="3"/>
  <c r="E641" i="3"/>
  <c r="F652" i="3" s="1"/>
  <c r="D641" i="3"/>
  <c r="B641" i="3"/>
  <c r="E640" i="3"/>
  <c r="D640" i="3"/>
  <c r="C640" i="3"/>
  <c r="B640" i="3"/>
  <c r="F639" i="3"/>
  <c r="E639" i="3"/>
  <c r="F650" i="3" s="1"/>
  <c r="D639" i="3"/>
  <c r="B639" i="3"/>
  <c r="C651" i="3" s="1"/>
  <c r="F638" i="3"/>
  <c r="E638" i="3"/>
  <c r="D638" i="3"/>
  <c r="B638" i="3"/>
  <c r="E637" i="3"/>
  <c r="F648" i="3" s="1"/>
  <c r="D637" i="3"/>
  <c r="B637" i="3"/>
  <c r="E636" i="3"/>
  <c r="D636" i="3"/>
  <c r="B636" i="3"/>
  <c r="C636" i="3" s="1"/>
  <c r="E635" i="3"/>
  <c r="D635" i="3"/>
  <c r="B635" i="3"/>
  <c r="C647" i="3" s="1"/>
  <c r="E634" i="3"/>
  <c r="F645" i="3" s="1"/>
  <c r="D634" i="3"/>
  <c r="B634" i="3"/>
  <c r="F633" i="3"/>
  <c r="E633" i="3"/>
  <c r="F644" i="3" s="1"/>
  <c r="D633" i="3"/>
  <c r="B633" i="3"/>
  <c r="E632" i="3"/>
  <c r="F643" i="3" s="1"/>
  <c r="D632" i="3"/>
  <c r="C632" i="3"/>
  <c r="B632" i="3"/>
  <c r="F631" i="3"/>
  <c r="E631" i="3"/>
  <c r="F642" i="3" s="1"/>
  <c r="D631" i="3"/>
  <c r="B631" i="3"/>
  <c r="C643" i="3" s="1"/>
  <c r="F630" i="3"/>
  <c r="E630" i="3"/>
  <c r="D630" i="3"/>
  <c r="B630" i="3"/>
  <c r="E629" i="3"/>
  <c r="F640" i="3" s="1"/>
  <c r="D629" i="3"/>
  <c r="B629" i="3"/>
  <c r="E628" i="3"/>
  <c r="D628" i="3"/>
  <c r="B628" i="3"/>
  <c r="C628" i="3" s="1"/>
  <c r="E627" i="3"/>
  <c r="D627" i="3"/>
  <c r="B627" i="3"/>
  <c r="C639" i="3" s="1"/>
  <c r="E626" i="3"/>
  <c r="F637" i="3" s="1"/>
  <c r="D626" i="3"/>
  <c r="B626" i="3"/>
  <c r="F625" i="3"/>
  <c r="E625" i="3"/>
  <c r="F636" i="3" s="1"/>
  <c r="D625" i="3"/>
  <c r="B625" i="3"/>
  <c r="E624" i="3"/>
  <c r="D624" i="3"/>
  <c r="C624" i="3"/>
  <c r="B624" i="3"/>
  <c r="F623" i="3"/>
  <c r="E623" i="3"/>
  <c r="F634" i="3" s="1"/>
  <c r="D623" i="3"/>
  <c r="B623" i="3"/>
  <c r="C635" i="3" s="1"/>
  <c r="F622" i="3"/>
  <c r="E622" i="3"/>
  <c r="D622" i="3"/>
  <c r="B622" i="3"/>
  <c r="E621" i="3"/>
  <c r="F632" i="3" s="1"/>
  <c r="D621" i="3"/>
  <c r="B621" i="3"/>
  <c r="E620" i="3"/>
  <c r="D620" i="3"/>
  <c r="B620" i="3"/>
  <c r="C620" i="3" s="1"/>
  <c r="E619" i="3"/>
  <c r="D619" i="3"/>
  <c r="B619" i="3"/>
  <c r="C631" i="3" s="1"/>
  <c r="E618" i="3"/>
  <c r="F629" i="3" s="1"/>
  <c r="D618" i="3"/>
  <c r="B618" i="3"/>
  <c r="F617" i="3"/>
  <c r="E617" i="3"/>
  <c r="F628" i="3" s="1"/>
  <c r="D617" i="3"/>
  <c r="B617" i="3"/>
  <c r="E616" i="3"/>
  <c r="F627" i="3" s="1"/>
  <c r="D616" i="3"/>
  <c r="C616" i="3"/>
  <c r="B616" i="3"/>
  <c r="F615" i="3"/>
  <c r="E615" i="3"/>
  <c r="F626" i="3" s="1"/>
  <c r="D615" i="3"/>
  <c r="B615" i="3"/>
  <c r="C627" i="3" s="1"/>
  <c r="F614" i="3"/>
  <c r="E614" i="3"/>
  <c r="D614" i="3"/>
  <c r="B614" i="3"/>
  <c r="E613" i="3"/>
  <c r="F624" i="3" s="1"/>
  <c r="D613" i="3"/>
  <c r="B613" i="3"/>
  <c r="E612" i="3"/>
  <c r="D612" i="3"/>
  <c r="B612" i="3"/>
  <c r="C612" i="3" s="1"/>
  <c r="E611" i="3"/>
  <c r="D611" i="3"/>
  <c r="B611" i="3"/>
  <c r="C623" i="3" s="1"/>
  <c r="E610" i="3"/>
  <c r="F621" i="3" s="1"/>
  <c r="D610" i="3"/>
  <c r="B610" i="3"/>
  <c r="F609" i="3"/>
  <c r="E609" i="3"/>
  <c r="F620" i="3" s="1"/>
  <c r="D609" i="3"/>
  <c r="B609" i="3"/>
  <c r="E608" i="3"/>
  <c r="D608" i="3"/>
  <c r="C608" i="3"/>
  <c r="B608" i="3"/>
  <c r="F607" i="3"/>
  <c r="E607" i="3"/>
  <c r="F618" i="3" s="1"/>
  <c r="D607" i="3"/>
  <c r="B607" i="3"/>
  <c r="C619" i="3" s="1"/>
  <c r="F606" i="3"/>
  <c r="E606" i="3"/>
  <c r="D606" i="3"/>
  <c r="B606" i="3"/>
  <c r="E605" i="3"/>
  <c r="F616" i="3" s="1"/>
  <c r="D605" i="3"/>
  <c r="B605" i="3"/>
  <c r="E604" i="3"/>
  <c r="D604" i="3"/>
  <c r="B604" i="3"/>
  <c r="C604" i="3" s="1"/>
  <c r="E603" i="3"/>
  <c r="D603" i="3"/>
  <c r="B603" i="3"/>
  <c r="C615" i="3" s="1"/>
  <c r="E602" i="3"/>
  <c r="F613" i="3" s="1"/>
  <c r="D602" i="3"/>
  <c r="B602" i="3"/>
  <c r="F601" i="3"/>
  <c r="E601" i="3"/>
  <c r="F612" i="3" s="1"/>
  <c r="D601" i="3"/>
  <c r="B601" i="3"/>
  <c r="E600" i="3"/>
  <c r="F611" i="3" s="1"/>
  <c r="D600" i="3"/>
  <c r="C600" i="3"/>
  <c r="B600" i="3"/>
  <c r="E599" i="3"/>
  <c r="F610" i="3" s="1"/>
  <c r="D599" i="3"/>
  <c r="B599" i="3"/>
  <c r="C611" i="3" s="1"/>
  <c r="F598" i="3"/>
  <c r="E598" i="3"/>
  <c r="D598" i="3"/>
  <c r="B598" i="3"/>
  <c r="E597" i="3"/>
  <c r="F608" i="3" s="1"/>
  <c r="D597" i="3"/>
  <c r="B597" i="3"/>
  <c r="E596" i="3"/>
  <c r="D596" i="3"/>
  <c r="B596" i="3"/>
  <c r="C596" i="3" s="1"/>
  <c r="E595" i="3"/>
  <c r="D595" i="3"/>
  <c r="B595" i="3"/>
  <c r="C607" i="3" s="1"/>
  <c r="E594" i="3"/>
  <c r="F605" i="3" s="1"/>
  <c r="D594" i="3"/>
  <c r="B594" i="3"/>
  <c r="F593" i="3"/>
  <c r="E593" i="3"/>
  <c r="F604" i="3" s="1"/>
  <c r="D593" i="3"/>
  <c r="B593" i="3"/>
  <c r="E592" i="3"/>
  <c r="D592" i="3"/>
  <c r="C592" i="3"/>
  <c r="B592" i="3"/>
  <c r="E591" i="3"/>
  <c r="D591" i="3"/>
  <c r="B591" i="3"/>
  <c r="C603" i="3" s="1"/>
  <c r="F590" i="3"/>
  <c r="E590" i="3"/>
  <c r="D590" i="3"/>
  <c r="B590" i="3"/>
  <c r="E589" i="3"/>
  <c r="F600" i="3" s="1"/>
  <c r="D589" i="3"/>
  <c r="B589" i="3"/>
  <c r="E588" i="3"/>
  <c r="D588" i="3"/>
  <c r="B588" i="3"/>
  <c r="C588" i="3" s="1"/>
  <c r="E587" i="3"/>
  <c r="D587" i="3"/>
  <c r="B587" i="3"/>
  <c r="C599" i="3" s="1"/>
  <c r="E586" i="3"/>
  <c r="F597" i="3" s="1"/>
  <c r="D586" i="3"/>
  <c r="B586" i="3"/>
  <c r="F585" i="3"/>
  <c r="E585" i="3"/>
  <c r="F596" i="3" s="1"/>
  <c r="D585" i="3"/>
  <c r="B585" i="3"/>
  <c r="E584" i="3"/>
  <c r="F595" i="3" s="1"/>
  <c r="D584" i="3"/>
  <c r="C584" i="3"/>
  <c r="B584" i="3"/>
  <c r="E583" i="3"/>
  <c r="F594" i="3" s="1"/>
  <c r="D583" i="3"/>
  <c r="B583" i="3"/>
  <c r="C595" i="3" s="1"/>
  <c r="F582" i="3"/>
  <c r="E582" i="3"/>
  <c r="D582" i="3"/>
  <c r="B582" i="3"/>
  <c r="E581" i="3"/>
  <c r="F592" i="3" s="1"/>
  <c r="D581" i="3"/>
  <c r="B581" i="3"/>
  <c r="E580" i="3"/>
  <c r="D580" i="3"/>
  <c r="B580" i="3"/>
  <c r="C580" i="3" s="1"/>
  <c r="E579" i="3"/>
  <c r="D579" i="3"/>
  <c r="B579" i="3"/>
  <c r="C591" i="3" s="1"/>
  <c r="E578" i="3"/>
  <c r="F589" i="3" s="1"/>
  <c r="D578" i="3"/>
  <c r="B578" i="3"/>
  <c r="F577" i="3"/>
  <c r="E577" i="3"/>
  <c r="F588" i="3" s="1"/>
  <c r="D577" i="3"/>
  <c r="B577" i="3"/>
  <c r="E576" i="3"/>
  <c r="D576" i="3"/>
  <c r="B576" i="3"/>
  <c r="E575" i="3"/>
  <c r="F586" i="3" s="1"/>
  <c r="D575" i="3"/>
  <c r="B575" i="3"/>
  <c r="C587" i="3" s="1"/>
  <c r="E574" i="3"/>
  <c r="D574" i="3"/>
  <c r="B574" i="3"/>
  <c r="E573" i="3"/>
  <c r="F584" i="3" s="1"/>
  <c r="D573" i="3"/>
  <c r="B573" i="3"/>
  <c r="E572" i="3"/>
  <c r="D572" i="3"/>
  <c r="B572" i="3"/>
  <c r="C572" i="3" s="1"/>
  <c r="E571" i="3"/>
  <c r="D571" i="3"/>
  <c r="B571" i="3"/>
  <c r="C583" i="3" s="1"/>
  <c r="E570" i="3"/>
  <c r="F581" i="3" s="1"/>
  <c r="D570" i="3"/>
  <c r="B570" i="3"/>
  <c r="E569" i="3"/>
  <c r="F580" i="3" s="1"/>
  <c r="D569" i="3"/>
  <c r="C569" i="3"/>
  <c r="B569" i="3"/>
  <c r="E568" i="3"/>
  <c r="F579" i="3" s="1"/>
  <c r="D568" i="3"/>
  <c r="B568" i="3"/>
  <c r="E567" i="3"/>
  <c r="F578" i="3" s="1"/>
  <c r="D567" i="3"/>
  <c r="B567" i="3"/>
  <c r="C579" i="3" s="1"/>
  <c r="F566" i="3"/>
  <c r="E566" i="3"/>
  <c r="D566" i="3"/>
  <c r="B566" i="3"/>
  <c r="C578" i="3" s="1"/>
  <c r="E565" i="3"/>
  <c r="F576" i="3" s="1"/>
  <c r="D565" i="3"/>
  <c r="B565" i="3"/>
  <c r="E564" i="3"/>
  <c r="D564" i="3"/>
  <c r="B564" i="3"/>
  <c r="C564" i="3" s="1"/>
  <c r="E563" i="3"/>
  <c r="F574" i="3" s="1"/>
  <c r="D563" i="3"/>
  <c r="B563" i="3"/>
  <c r="C575" i="3" s="1"/>
  <c r="E562" i="3"/>
  <c r="F573" i="3" s="1"/>
  <c r="D562" i="3"/>
  <c r="B562" i="3"/>
  <c r="E561" i="3"/>
  <c r="F572" i="3" s="1"/>
  <c r="D561" i="3"/>
  <c r="B561" i="3"/>
  <c r="F560" i="3"/>
  <c r="E560" i="3"/>
  <c r="D560" i="3"/>
  <c r="C560" i="3"/>
  <c r="B560" i="3"/>
  <c r="E559" i="3"/>
  <c r="F570" i="3" s="1"/>
  <c r="D559" i="3"/>
  <c r="C559" i="3"/>
  <c r="B559" i="3"/>
  <c r="E558" i="3"/>
  <c r="F569" i="3" s="1"/>
  <c r="D558" i="3"/>
  <c r="C558" i="3"/>
  <c r="B558" i="3"/>
  <c r="C570" i="3" s="1"/>
  <c r="E557" i="3"/>
  <c r="F568" i="3" s="1"/>
  <c r="D557" i="3"/>
  <c r="B557" i="3"/>
  <c r="C557" i="3" s="1"/>
  <c r="E556" i="3"/>
  <c r="D556" i="3"/>
  <c r="B556" i="3"/>
  <c r="E555" i="3"/>
  <c r="D555" i="3"/>
  <c r="B555" i="3"/>
  <c r="C567" i="3" s="1"/>
  <c r="E554" i="3"/>
  <c r="F565" i="3" s="1"/>
  <c r="D554" i="3"/>
  <c r="B554" i="3"/>
  <c r="F553" i="3"/>
  <c r="E553" i="3"/>
  <c r="F564" i="3" s="1"/>
  <c r="D553" i="3"/>
  <c r="C553" i="3"/>
  <c r="B553" i="3"/>
  <c r="E552" i="3"/>
  <c r="D552" i="3"/>
  <c r="C552" i="3"/>
  <c r="B552" i="3"/>
  <c r="E551" i="3"/>
  <c r="F562" i="3" s="1"/>
  <c r="D551" i="3"/>
  <c r="B551" i="3"/>
  <c r="C563" i="3" s="1"/>
  <c r="E550" i="3"/>
  <c r="F561" i="3" s="1"/>
  <c r="D550" i="3"/>
  <c r="B550" i="3"/>
  <c r="C562" i="3" s="1"/>
  <c r="E549" i="3"/>
  <c r="D549" i="3"/>
  <c r="B549" i="3"/>
  <c r="E548" i="3"/>
  <c r="F559" i="3" s="1"/>
  <c r="D548" i="3"/>
  <c r="B548" i="3"/>
  <c r="C548" i="3" s="1"/>
  <c r="E547" i="3"/>
  <c r="F558" i="3" s="1"/>
  <c r="D547" i="3"/>
  <c r="B547" i="3"/>
  <c r="E546" i="3"/>
  <c r="F557" i="3" s="1"/>
  <c r="D546" i="3"/>
  <c r="B546" i="3"/>
  <c r="F545" i="3"/>
  <c r="E545" i="3"/>
  <c r="F556" i="3" s="1"/>
  <c r="D545" i="3"/>
  <c r="B545" i="3"/>
  <c r="E544" i="3"/>
  <c r="F555" i="3" s="1"/>
  <c r="D544" i="3"/>
  <c r="B544" i="3"/>
  <c r="E543" i="3"/>
  <c r="F554" i="3" s="1"/>
  <c r="D543" i="3"/>
  <c r="C543" i="3"/>
  <c r="B543" i="3"/>
  <c r="E542" i="3"/>
  <c r="D542" i="3"/>
  <c r="B542" i="3"/>
  <c r="E541" i="3"/>
  <c r="F552" i="3" s="1"/>
  <c r="D541" i="3"/>
  <c r="C541" i="3"/>
  <c r="B541" i="3"/>
  <c r="E540" i="3"/>
  <c r="D540" i="3"/>
  <c r="B540" i="3"/>
  <c r="C540" i="3" s="1"/>
  <c r="E539" i="3"/>
  <c r="D539" i="3"/>
  <c r="B539" i="3"/>
  <c r="C551" i="3" s="1"/>
  <c r="F538" i="3"/>
  <c r="E538" i="3"/>
  <c r="F549" i="3" s="1"/>
  <c r="D538" i="3"/>
  <c r="B538" i="3"/>
  <c r="C550" i="3" s="1"/>
  <c r="E537" i="3"/>
  <c r="D537" i="3"/>
  <c r="C537" i="3"/>
  <c r="B537" i="3"/>
  <c r="E536" i="3"/>
  <c r="D536" i="3"/>
  <c r="B536" i="3"/>
  <c r="E535" i="3"/>
  <c r="F546" i="3" s="1"/>
  <c r="D535" i="3"/>
  <c r="C535" i="3"/>
  <c r="B535" i="3"/>
  <c r="C547" i="3" s="1"/>
  <c r="E534" i="3"/>
  <c r="D534" i="3"/>
  <c r="B534" i="3"/>
  <c r="C546" i="3" s="1"/>
  <c r="E533" i="3"/>
  <c r="F544" i="3" s="1"/>
  <c r="D533" i="3"/>
  <c r="B533" i="3"/>
  <c r="C545" i="3" s="1"/>
  <c r="E532" i="3"/>
  <c r="F543" i="3" s="1"/>
  <c r="D532" i="3"/>
  <c r="B532" i="3"/>
  <c r="C532" i="3" s="1"/>
  <c r="E531" i="3"/>
  <c r="F542" i="3" s="1"/>
  <c r="D531" i="3"/>
  <c r="B531" i="3"/>
  <c r="F530" i="3"/>
  <c r="E530" i="3"/>
  <c r="F541" i="3" s="1"/>
  <c r="D530" i="3"/>
  <c r="B530" i="3"/>
  <c r="C542" i="3" s="1"/>
  <c r="E529" i="3"/>
  <c r="F540" i="3" s="1"/>
  <c r="D529" i="3"/>
  <c r="C529" i="3"/>
  <c r="B529" i="3"/>
  <c r="E528" i="3"/>
  <c r="D528" i="3"/>
  <c r="B528" i="3"/>
  <c r="F527" i="3"/>
  <c r="E527" i="3"/>
  <c r="D527" i="3"/>
  <c r="C527" i="3"/>
  <c r="B527" i="3"/>
  <c r="E526" i="3"/>
  <c r="F537" i="3" s="1"/>
  <c r="D526" i="3"/>
  <c r="C526" i="3"/>
  <c r="B526" i="3"/>
  <c r="E525" i="3"/>
  <c r="F536" i="3" s="1"/>
  <c r="D525" i="3"/>
  <c r="B525" i="3"/>
  <c r="E524" i="3"/>
  <c r="F535" i="3" s="1"/>
  <c r="D524" i="3"/>
  <c r="C524" i="3"/>
  <c r="B524" i="3"/>
  <c r="C536" i="3" s="1"/>
  <c r="E523" i="3"/>
  <c r="F534" i="3" s="1"/>
  <c r="D523" i="3"/>
  <c r="B523" i="3"/>
  <c r="E522" i="3"/>
  <c r="F533" i="3" s="1"/>
  <c r="D522" i="3"/>
  <c r="B522" i="3"/>
  <c r="C534" i="3" s="1"/>
  <c r="E521" i="3"/>
  <c r="F532" i="3" s="1"/>
  <c r="D521" i="3"/>
  <c r="B521" i="3"/>
  <c r="C533" i="3" s="1"/>
  <c r="F520" i="3"/>
  <c r="E520" i="3"/>
  <c r="D520" i="3"/>
  <c r="B520" i="3"/>
  <c r="E519" i="3"/>
  <c r="D519" i="3"/>
  <c r="C519" i="3"/>
  <c r="B519" i="3"/>
  <c r="C531" i="3" s="1"/>
  <c r="E518" i="3"/>
  <c r="F529" i="3" s="1"/>
  <c r="D518" i="3"/>
  <c r="B518" i="3"/>
  <c r="C530" i="3" s="1"/>
  <c r="E517" i="3"/>
  <c r="F528" i="3" s="1"/>
  <c r="D517" i="3"/>
  <c r="B517" i="3"/>
  <c r="E516" i="3"/>
  <c r="D516" i="3"/>
  <c r="B516" i="3"/>
  <c r="C516" i="3" s="1"/>
  <c r="E515" i="3"/>
  <c r="F526" i="3" s="1"/>
  <c r="D515" i="3"/>
  <c r="B515" i="3"/>
  <c r="E514" i="3"/>
  <c r="D514" i="3"/>
  <c r="B514" i="3"/>
  <c r="E513" i="3"/>
  <c r="F524" i="3" s="1"/>
  <c r="D513" i="3"/>
  <c r="B513" i="3"/>
  <c r="C525" i="3" s="1"/>
  <c r="E512" i="3"/>
  <c r="D512" i="3"/>
  <c r="B512" i="3"/>
  <c r="F511" i="3"/>
  <c r="E511" i="3"/>
  <c r="F522" i="3" s="1"/>
  <c r="D511" i="3"/>
  <c r="B511" i="3"/>
  <c r="E510" i="3"/>
  <c r="F521" i="3" s="1"/>
  <c r="D510" i="3"/>
  <c r="C510" i="3"/>
  <c r="B510" i="3"/>
  <c r="C522" i="3" s="1"/>
  <c r="E509" i="3"/>
  <c r="F509" i="3" s="1"/>
  <c r="D509" i="3"/>
  <c r="B509" i="3"/>
  <c r="C521" i="3" s="1"/>
  <c r="E508" i="3"/>
  <c r="F519" i="3" s="1"/>
  <c r="D508" i="3"/>
  <c r="C508" i="3"/>
  <c r="B508" i="3"/>
  <c r="C520" i="3" s="1"/>
  <c r="E507" i="3"/>
  <c r="F518" i="3" s="1"/>
  <c r="D507" i="3"/>
  <c r="B507" i="3"/>
  <c r="E506" i="3"/>
  <c r="D506" i="3"/>
  <c r="C506" i="3"/>
  <c r="B506" i="3"/>
  <c r="C518" i="3" s="1"/>
  <c r="F505" i="3"/>
  <c r="E505" i="3"/>
  <c r="D505" i="3"/>
  <c r="B505" i="3"/>
  <c r="C517" i="3" s="1"/>
  <c r="F504" i="3"/>
  <c r="E504" i="3"/>
  <c r="D504" i="3"/>
  <c r="C504" i="3"/>
  <c r="B504" i="3"/>
  <c r="E503" i="3"/>
  <c r="D503" i="3"/>
  <c r="C503" i="3"/>
  <c r="B503" i="3"/>
  <c r="C515" i="3" s="1"/>
  <c r="E502" i="3"/>
  <c r="F513" i="3" s="1"/>
  <c r="D502" i="3"/>
  <c r="B502" i="3"/>
  <c r="C514" i="3" s="1"/>
  <c r="E501" i="3"/>
  <c r="F512" i="3" s="1"/>
  <c r="D501" i="3"/>
  <c r="B501" i="3"/>
  <c r="C513" i="3" s="1"/>
  <c r="E500" i="3"/>
  <c r="D500" i="3"/>
  <c r="B500" i="3"/>
  <c r="F499" i="3"/>
  <c r="E499" i="3"/>
  <c r="F510" i="3" s="1"/>
  <c r="D499" i="3"/>
  <c r="B499" i="3"/>
  <c r="C511" i="3" s="1"/>
  <c r="E498" i="3"/>
  <c r="D498" i="3"/>
  <c r="B498" i="3"/>
  <c r="C498" i="3" s="1"/>
  <c r="F497" i="3"/>
  <c r="E497" i="3"/>
  <c r="D497" i="3"/>
  <c r="B497" i="3"/>
  <c r="C509" i="3" s="1"/>
  <c r="E496" i="3"/>
  <c r="D496" i="3"/>
  <c r="B496" i="3"/>
  <c r="F495" i="3"/>
  <c r="E495" i="3"/>
  <c r="D495" i="3"/>
  <c r="B495" i="3"/>
  <c r="C507" i="3" s="1"/>
  <c r="F494" i="3"/>
  <c r="E494" i="3"/>
  <c r="D494" i="3"/>
  <c r="C494" i="3"/>
  <c r="B494" i="3"/>
  <c r="E493" i="3"/>
  <c r="D493" i="3"/>
  <c r="B493" i="3"/>
  <c r="E492" i="3"/>
  <c r="F503" i="3" s="1"/>
  <c r="D492" i="3"/>
  <c r="B492" i="3"/>
  <c r="C492" i="3" s="1"/>
  <c r="E491" i="3"/>
  <c r="F502" i="3" s="1"/>
  <c r="D491" i="3"/>
  <c r="B491" i="3"/>
  <c r="E490" i="3"/>
  <c r="F501" i="3" s="1"/>
  <c r="D490" i="3"/>
  <c r="B490" i="3"/>
  <c r="C502" i="3" s="1"/>
  <c r="F489" i="3"/>
  <c r="E489" i="3"/>
  <c r="F500" i="3" s="1"/>
  <c r="D489" i="3"/>
  <c r="B489" i="3"/>
  <c r="E488" i="3"/>
  <c r="D488" i="3"/>
  <c r="C488" i="3"/>
  <c r="B488" i="3"/>
  <c r="F487" i="3"/>
  <c r="E487" i="3"/>
  <c r="F498" i="3" s="1"/>
  <c r="D487" i="3"/>
  <c r="B487" i="3"/>
  <c r="E486" i="3"/>
  <c r="D486" i="3"/>
  <c r="C486" i="3"/>
  <c r="B486" i="3"/>
  <c r="E485" i="3"/>
  <c r="D485" i="3"/>
  <c r="B485" i="3"/>
  <c r="C497" i="3" s="1"/>
  <c r="E484" i="3"/>
  <c r="D484" i="3"/>
  <c r="B484" i="3"/>
  <c r="E483" i="3"/>
  <c r="D483" i="3"/>
  <c r="B483" i="3"/>
  <c r="E482" i="3"/>
  <c r="F493" i="3" s="1"/>
  <c r="D482" i="3"/>
  <c r="C482" i="3"/>
  <c r="B482" i="3"/>
  <c r="E481" i="3"/>
  <c r="F492" i="3" s="1"/>
  <c r="D481" i="3"/>
  <c r="B481" i="3"/>
  <c r="E480" i="3"/>
  <c r="F491" i="3" s="1"/>
  <c r="D480" i="3"/>
  <c r="B480" i="3"/>
  <c r="F479" i="3"/>
  <c r="E479" i="3"/>
  <c r="D479" i="3"/>
  <c r="B479" i="3"/>
  <c r="C491" i="3" s="1"/>
  <c r="E478" i="3"/>
  <c r="D478" i="3"/>
  <c r="B478" i="3"/>
  <c r="C490" i="3" s="1"/>
  <c r="F477" i="3"/>
  <c r="E477" i="3"/>
  <c r="F488" i="3" s="1"/>
  <c r="D477" i="3"/>
  <c r="B477" i="3"/>
  <c r="E476" i="3"/>
  <c r="D476" i="3"/>
  <c r="B476" i="3"/>
  <c r="C476" i="3" s="1"/>
  <c r="E475" i="3"/>
  <c r="F486" i="3" s="1"/>
  <c r="D475" i="3"/>
  <c r="B475" i="3"/>
  <c r="C487" i="3" s="1"/>
  <c r="E474" i="3"/>
  <c r="F474" i="3" s="1"/>
  <c r="D474" i="3"/>
  <c r="C474" i="3"/>
  <c r="B474" i="3"/>
  <c r="F473" i="3"/>
  <c r="E473" i="3"/>
  <c r="D473" i="3"/>
  <c r="B473" i="3"/>
  <c r="E472" i="3"/>
  <c r="F483" i="3" s="1"/>
  <c r="D472" i="3"/>
  <c r="C472" i="3"/>
  <c r="B472" i="3"/>
  <c r="E471" i="3"/>
  <c r="D471" i="3"/>
  <c r="B471" i="3"/>
  <c r="C483" i="3" s="1"/>
  <c r="E470" i="3"/>
  <c r="F481" i="3" s="1"/>
  <c r="D470" i="3"/>
  <c r="B470" i="3"/>
  <c r="E469" i="3"/>
  <c r="D469" i="3"/>
  <c r="B469" i="3"/>
  <c r="C481" i="3" s="1"/>
  <c r="E468" i="3"/>
  <c r="D468" i="3"/>
  <c r="B468" i="3"/>
  <c r="E467" i="3"/>
  <c r="D467" i="3"/>
  <c r="B467" i="3"/>
  <c r="E466" i="3"/>
  <c r="D466" i="3"/>
  <c r="B466" i="3"/>
  <c r="E465" i="3"/>
  <c r="F476" i="3" s="1"/>
  <c r="D465" i="3"/>
  <c r="B465" i="3"/>
  <c r="C477" i="3" s="1"/>
  <c r="E464" i="3"/>
  <c r="D464" i="3"/>
  <c r="C464" i="3"/>
  <c r="B464" i="3"/>
  <c r="E463" i="3"/>
  <c r="D463" i="3"/>
  <c r="B463" i="3"/>
  <c r="C475" i="3" s="1"/>
  <c r="E462" i="3"/>
  <c r="F462" i="3" s="1"/>
  <c r="D462" i="3"/>
  <c r="C462" i="3"/>
  <c r="B462" i="3"/>
  <c r="E461" i="3"/>
  <c r="D461" i="3"/>
  <c r="B461" i="3"/>
  <c r="C473" i="3" s="1"/>
  <c r="E460" i="3"/>
  <c r="F471" i="3" s="1"/>
  <c r="D460" i="3"/>
  <c r="B460" i="3"/>
  <c r="C460" i="3" s="1"/>
  <c r="E459" i="3"/>
  <c r="D459" i="3"/>
  <c r="B459" i="3"/>
  <c r="C471" i="3" s="1"/>
  <c r="E458" i="3"/>
  <c r="D458" i="3"/>
  <c r="B458" i="3"/>
  <c r="C470" i="3" s="1"/>
  <c r="F457" i="3"/>
  <c r="E457" i="3"/>
  <c r="F468" i="3" s="1"/>
  <c r="D457" i="3"/>
  <c r="B457" i="3"/>
  <c r="E456" i="3"/>
  <c r="D456" i="3"/>
  <c r="C456" i="3"/>
  <c r="B456" i="3"/>
  <c r="F455" i="3"/>
  <c r="E455" i="3"/>
  <c r="F466" i="3" s="1"/>
  <c r="D455" i="3"/>
  <c r="B455" i="3"/>
  <c r="E454" i="3"/>
  <c r="F465" i="3" s="1"/>
  <c r="D454" i="3"/>
  <c r="C454" i="3"/>
  <c r="B454" i="3"/>
  <c r="E453" i="3"/>
  <c r="D453" i="3"/>
  <c r="B453" i="3"/>
  <c r="C465" i="3" s="1"/>
  <c r="E452" i="3"/>
  <c r="F463" i="3" s="1"/>
  <c r="D452" i="3"/>
  <c r="B452" i="3"/>
  <c r="C452" i="3" s="1"/>
  <c r="E451" i="3"/>
  <c r="D451" i="3"/>
  <c r="B451" i="3"/>
  <c r="C463" i="3" s="1"/>
  <c r="E450" i="3"/>
  <c r="D450" i="3"/>
  <c r="C450" i="3"/>
  <c r="B450" i="3"/>
  <c r="E449" i="3"/>
  <c r="F460" i="3" s="1"/>
  <c r="D449" i="3"/>
  <c r="C449" i="3"/>
  <c r="B449" i="3"/>
  <c r="C461" i="3" s="1"/>
  <c r="E448" i="3"/>
  <c r="F459" i="3" s="1"/>
  <c r="D448" i="3"/>
  <c r="B448" i="3"/>
  <c r="F447" i="3"/>
  <c r="E447" i="3"/>
  <c r="F458" i="3" s="1"/>
  <c r="D447" i="3"/>
  <c r="B447" i="3"/>
  <c r="C459" i="3" s="1"/>
  <c r="E446" i="3"/>
  <c r="D446" i="3"/>
  <c r="C446" i="3"/>
  <c r="B446" i="3"/>
  <c r="C458" i="3" s="1"/>
  <c r="F445" i="3"/>
  <c r="E445" i="3"/>
  <c r="F456" i="3" s="1"/>
  <c r="D445" i="3"/>
  <c r="B445" i="3"/>
  <c r="E444" i="3"/>
  <c r="D444" i="3"/>
  <c r="C444" i="3"/>
  <c r="B444" i="3"/>
  <c r="E443" i="3"/>
  <c r="D443" i="3"/>
  <c r="B443" i="3"/>
  <c r="C455" i="3" s="1"/>
  <c r="E442" i="3"/>
  <c r="D442" i="3"/>
  <c r="C442" i="3"/>
  <c r="B442" i="3"/>
  <c r="E441" i="3"/>
  <c r="D441" i="3"/>
  <c r="B441" i="3"/>
  <c r="F440" i="3"/>
  <c r="E440" i="3"/>
  <c r="F451" i="3" s="1"/>
  <c r="D440" i="3"/>
  <c r="C440" i="3"/>
  <c r="B440" i="3"/>
  <c r="E439" i="3"/>
  <c r="D439" i="3"/>
  <c r="B439" i="3"/>
  <c r="E438" i="3"/>
  <c r="F449" i="3" s="1"/>
  <c r="D438" i="3"/>
  <c r="B438" i="3"/>
  <c r="E437" i="3"/>
  <c r="D437" i="3"/>
  <c r="B437" i="3"/>
  <c r="C437" i="3" s="1"/>
  <c r="E436" i="3"/>
  <c r="D436" i="3"/>
  <c r="B436" i="3"/>
  <c r="C448" i="3" s="1"/>
  <c r="F435" i="3"/>
  <c r="E435" i="3"/>
  <c r="F446" i="3" s="1"/>
  <c r="D435" i="3"/>
  <c r="B435" i="3"/>
  <c r="E434" i="3"/>
  <c r="D434" i="3"/>
  <c r="B434" i="3"/>
  <c r="E433" i="3"/>
  <c r="F444" i="3" s="1"/>
  <c r="D433" i="3"/>
  <c r="B433" i="3"/>
  <c r="C445" i="3" s="1"/>
  <c r="E432" i="3"/>
  <c r="D432" i="3"/>
  <c r="C432" i="3"/>
  <c r="B432" i="3"/>
  <c r="F431" i="3"/>
  <c r="E431" i="3"/>
  <c r="D431" i="3"/>
  <c r="B431" i="3"/>
  <c r="C443" i="3" s="1"/>
  <c r="E430" i="3"/>
  <c r="F441" i="3" s="1"/>
  <c r="D430" i="3"/>
  <c r="B430" i="3"/>
  <c r="E429" i="3"/>
  <c r="F429" i="3" s="1"/>
  <c r="D429" i="3"/>
  <c r="B429" i="3"/>
  <c r="C441" i="3" s="1"/>
  <c r="E428" i="3"/>
  <c r="F439" i="3" s="1"/>
  <c r="D428" i="3"/>
  <c r="B428" i="3"/>
  <c r="E427" i="3"/>
  <c r="F438" i="3" s="1"/>
  <c r="D427" i="3"/>
  <c r="C427" i="3"/>
  <c r="B427" i="3"/>
  <c r="F426" i="3"/>
  <c r="E426" i="3"/>
  <c r="D426" i="3"/>
  <c r="B426" i="3"/>
  <c r="C438" i="3" s="1"/>
  <c r="E425" i="3"/>
  <c r="F436" i="3" s="1"/>
  <c r="D425" i="3"/>
  <c r="B425" i="3"/>
  <c r="E424" i="3"/>
  <c r="D424" i="3"/>
  <c r="B424" i="3"/>
  <c r="C436" i="3" s="1"/>
  <c r="E423" i="3"/>
  <c r="F434" i="3" s="1"/>
  <c r="D423" i="3"/>
  <c r="B423" i="3"/>
  <c r="E422" i="3"/>
  <c r="F433" i="3" s="1"/>
  <c r="D422" i="3"/>
  <c r="B422" i="3"/>
  <c r="C434" i="3" s="1"/>
  <c r="E421" i="3"/>
  <c r="D421" i="3"/>
  <c r="B421" i="3"/>
  <c r="C433" i="3" s="1"/>
  <c r="F420" i="3"/>
  <c r="E420" i="3"/>
  <c r="D420" i="3"/>
  <c r="B420" i="3"/>
  <c r="E419" i="3"/>
  <c r="D419" i="3"/>
  <c r="C419" i="3"/>
  <c r="B419" i="3"/>
  <c r="C431" i="3" s="1"/>
  <c r="F418" i="3"/>
  <c r="E418" i="3"/>
  <c r="D418" i="3"/>
  <c r="B418" i="3"/>
  <c r="C430" i="3" s="1"/>
  <c r="E417" i="3"/>
  <c r="F428" i="3" s="1"/>
  <c r="D417" i="3"/>
  <c r="B417" i="3"/>
  <c r="E416" i="3"/>
  <c r="F427" i="3" s="1"/>
  <c r="D416" i="3"/>
  <c r="B416" i="3"/>
  <c r="C428" i="3" s="1"/>
  <c r="E415" i="3"/>
  <c r="D415" i="3"/>
  <c r="B415" i="3"/>
  <c r="E414" i="3"/>
  <c r="F425" i="3" s="1"/>
  <c r="D414" i="3"/>
  <c r="B414" i="3"/>
  <c r="E413" i="3"/>
  <c r="F424" i="3" s="1"/>
  <c r="D413" i="3"/>
  <c r="B413" i="3"/>
  <c r="C413" i="3" s="1"/>
  <c r="F412" i="3"/>
  <c r="E412" i="3"/>
  <c r="F423" i="3" s="1"/>
  <c r="D412" i="3"/>
  <c r="B412" i="3"/>
  <c r="E411" i="3"/>
  <c r="D411" i="3"/>
  <c r="C411" i="3"/>
  <c r="B411" i="3"/>
  <c r="C423" i="3" s="1"/>
  <c r="F410" i="3"/>
  <c r="E410" i="3"/>
  <c r="F421" i="3" s="1"/>
  <c r="D410" i="3"/>
  <c r="B410" i="3"/>
  <c r="E409" i="3"/>
  <c r="D409" i="3"/>
  <c r="B409" i="3"/>
  <c r="E408" i="3"/>
  <c r="F419" i="3" s="1"/>
  <c r="D408" i="3"/>
  <c r="B408" i="3"/>
  <c r="C420" i="3" s="1"/>
  <c r="E407" i="3"/>
  <c r="D407" i="3"/>
  <c r="B407" i="3"/>
  <c r="E406" i="3"/>
  <c r="F417" i="3" s="1"/>
  <c r="D406" i="3"/>
  <c r="B406" i="3"/>
  <c r="C418" i="3" s="1"/>
  <c r="E405" i="3"/>
  <c r="F416" i="3" s="1"/>
  <c r="D405" i="3"/>
  <c r="B405" i="3"/>
  <c r="C405" i="3" s="1"/>
  <c r="F404" i="3"/>
  <c r="E404" i="3"/>
  <c r="F415" i="3" s="1"/>
  <c r="D404" i="3"/>
  <c r="B404" i="3"/>
  <c r="E403" i="3"/>
  <c r="F414" i="3" s="1"/>
  <c r="D403" i="3"/>
  <c r="C403" i="3"/>
  <c r="B403" i="3"/>
  <c r="C415" i="3" s="1"/>
  <c r="F402" i="3"/>
  <c r="E402" i="3"/>
  <c r="F413" i="3" s="1"/>
  <c r="D402" i="3"/>
  <c r="B402" i="3"/>
  <c r="C414" i="3" s="1"/>
  <c r="E401" i="3"/>
  <c r="D401" i="3"/>
  <c r="B401" i="3"/>
  <c r="E400" i="3"/>
  <c r="F411" i="3" s="1"/>
  <c r="D400" i="3"/>
  <c r="B400" i="3"/>
  <c r="C412" i="3" s="1"/>
  <c r="E399" i="3"/>
  <c r="D399" i="3"/>
  <c r="B399" i="3"/>
  <c r="E398" i="3"/>
  <c r="F409" i="3" s="1"/>
  <c r="D398" i="3"/>
  <c r="B398" i="3"/>
  <c r="C410" i="3" s="1"/>
  <c r="E397" i="3"/>
  <c r="F408" i="3" s="1"/>
  <c r="D397" i="3"/>
  <c r="B397" i="3"/>
  <c r="C397" i="3" s="1"/>
  <c r="F396" i="3"/>
  <c r="E396" i="3"/>
  <c r="F407" i="3" s="1"/>
  <c r="D396" i="3"/>
  <c r="B396" i="3"/>
  <c r="E395" i="3"/>
  <c r="D395" i="3"/>
  <c r="C395" i="3"/>
  <c r="B395" i="3"/>
  <c r="C407" i="3" s="1"/>
  <c r="F394" i="3"/>
  <c r="E394" i="3"/>
  <c r="F405" i="3" s="1"/>
  <c r="D394" i="3"/>
  <c r="B394" i="3"/>
  <c r="E393" i="3"/>
  <c r="D393" i="3"/>
  <c r="B393" i="3"/>
  <c r="E392" i="3"/>
  <c r="D392" i="3"/>
  <c r="B392" i="3"/>
  <c r="C404" i="3" s="1"/>
  <c r="E391" i="3"/>
  <c r="D391" i="3"/>
  <c r="B391" i="3"/>
  <c r="E390" i="3"/>
  <c r="F401" i="3" s="1"/>
  <c r="D390" i="3"/>
  <c r="B390" i="3"/>
  <c r="E389" i="3"/>
  <c r="F400" i="3" s="1"/>
  <c r="D389" i="3"/>
  <c r="B389" i="3"/>
  <c r="C389" i="3" s="1"/>
  <c r="F388" i="3"/>
  <c r="E388" i="3"/>
  <c r="F399" i="3" s="1"/>
  <c r="D388" i="3"/>
  <c r="B388" i="3"/>
  <c r="E387" i="3"/>
  <c r="F398" i="3" s="1"/>
  <c r="D387" i="3"/>
  <c r="C387" i="3"/>
  <c r="B387" i="3"/>
  <c r="C399" i="3" s="1"/>
  <c r="F386" i="3"/>
  <c r="E386" i="3"/>
  <c r="F397" i="3" s="1"/>
  <c r="D386" i="3"/>
  <c r="B386" i="3"/>
  <c r="E385" i="3"/>
  <c r="D385" i="3"/>
  <c r="B385" i="3"/>
  <c r="E384" i="3"/>
  <c r="F395" i="3" s="1"/>
  <c r="D384" i="3"/>
  <c r="C384" i="3"/>
  <c r="B384" i="3"/>
  <c r="C396" i="3" s="1"/>
  <c r="E383" i="3"/>
  <c r="D383" i="3"/>
  <c r="B383" i="3"/>
  <c r="E382" i="3"/>
  <c r="F393" i="3" s="1"/>
  <c r="D382" i="3"/>
  <c r="B382" i="3"/>
  <c r="C394" i="3" s="1"/>
  <c r="E381" i="3"/>
  <c r="F392" i="3" s="1"/>
  <c r="D381" i="3"/>
  <c r="B381" i="3"/>
  <c r="C381" i="3" s="1"/>
  <c r="F380" i="3"/>
  <c r="E380" i="3"/>
  <c r="F391" i="3" s="1"/>
  <c r="D380" i="3"/>
  <c r="B380" i="3"/>
  <c r="E379" i="3"/>
  <c r="D379" i="3"/>
  <c r="C379" i="3"/>
  <c r="B379" i="3"/>
  <c r="C391" i="3" s="1"/>
  <c r="F378" i="3"/>
  <c r="E378" i="3"/>
  <c r="F389" i="3" s="1"/>
  <c r="D378" i="3"/>
  <c r="B378" i="3"/>
  <c r="C390" i="3" s="1"/>
  <c r="F377" i="3"/>
  <c r="E377" i="3"/>
  <c r="D377" i="3"/>
  <c r="B377" i="3"/>
  <c r="E376" i="3"/>
  <c r="D376" i="3"/>
  <c r="B376" i="3"/>
  <c r="C388" i="3" s="1"/>
  <c r="E375" i="3"/>
  <c r="D375" i="3"/>
  <c r="B375" i="3"/>
  <c r="E374" i="3"/>
  <c r="F374" i="3" s="1"/>
  <c r="D374" i="3"/>
  <c r="B374" i="3"/>
  <c r="C386" i="3" s="1"/>
  <c r="E373" i="3"/>
  <c r="F384" i="3" s="1"/>
  <c r="D373" i="3"/>
  <c r="B373" i="3"/>
  <c r="C373" i="3" s="1"/>
  <c r="E372" i="3"/>
  <c r="F383" i="3" s="1"/>
  <c r="D372" i="3"/>
  <c r="B372" i="3"/>
  <c r="E371" i="3"/>
  <c r="D371" i="3"/>
  <c r="B371" i="3"/>
  <c r="C383" i="3" s="1"/>
  <c r="F370" i="3"/>
  <c r="E370" i="3"/>
  <c r="F381" i="3" s="1"/>
  <c r="D370" i="3"/>
  <c r="B370" i="3"/>
  <c r="F369" i="3"/>
  <c r="E369" i="3"/>
  <c r="D369" i="3"/>
  <c r="C369" i="3"/>
  <c r="B369" i="3"/>
  <c r="E368" i="3"/>
  <c r="F379" i="3" s="1"/>
  <c r="D368" i="3"/>
  <c r="B368" i="3"/>
  <c r="C380" i="3" s="1"/>
  <c r="E367" i="3"/>
  <c r="D367" i="3"/>
  <c r="B367" i="3"/>
  <c r="E366" i="3"/>
  <c r="D366" i="3"/>
  <c r="B366" i="3"/>
  <c r="E365" i="3"/>
  <c r="F376" i="3" s="1"/>
  <c r="D365" i="3"/>
  <c r="B365" i="3"/>
  <c r="E364" i="3"/>
  <c r="D364" i="3"/>
  <c r="B364" i="3"/>
  <c r="E363" i="3"/>
  <c r="D363" i="3"/>
  <c r="C363" i="3"/>
  <c r="B363" i="3"/>
  <c r="C375" i="3" s="1"/>
  <c r="F362" i="3"/>
  <c r="E362" i="3"/>
  <c r="F373" i="3" s="1"/>
  <c r="D362" i="3"/>
  <c r="B362" i="3"/>
  <c r="E361" i="3"/>
  <c r="D361" i="3"/>
  <c r="B361" i="3"/>
  <c r="E360" i="3"/>
  <c r="D360" i="3"/>
  <c r="B360" i="3"/>
  <c r="C372" i="3" s="1"/>
  <c r="F359" i="3"/>
  <c r="E359" i="3"/>
  <c r="D359" i="3"/>
  <c r="B359" i="3"/>
  <c r="C371" i="3" s="1"/>
  <c r="E358" i="3"/>
  <c r="D358" i="3"/>
  <c r="B358" i="3"/>
  <c r="E357" i="3"/>
  <c r="F368" i="3" s="1"/>
  <c r="D357" i="3"/>
  <c r="C357" i="3"/>
  <c r="B357" i="3"/>
  <c r="E356" i="3"/>
  <c r="F367" i="3" s="1"/>
  <c r="D356" i="3"/>
  <c r="B356" i="3"/>
  <c r="E355" i="3"/>
  <c r="F355" i="3" s="1"/>
  <c r="D355" i="3"/>
  <c r="B355" i="3"/>
  <c r="C367" i="3" s="1"/>
  <c r="E354" i="3"/>
  <c r="F365" i="3" s="1"/>
  <c r="D354" i="3"/>
  <c r="B354" i="3"/>
  <c r="C366" i="3" s="1"/>
  <c r="F353" i="3"/>
  <c r="E353" i="3"/>
  <c r="D353" i="3"/>
  <c r="C353" i="3"/>
  <c r="B353" i="3"/>
  <c r="E352" i="3"/>
  <c r="F363" i="3" s="1"/>
  <c r="D352" i="3"/>
  <c r="B352" i="3"/>
  <c r="C364" i="3" s="1"/>
  <c r="E351" i="3"/>
  <c r="D351" i="3"/>
  <c r="B351" i="3"/>
  <c r="E350" i="3"/>
  <c r="D350" i="3"/>
  <c r="B350" i="3"/>
  <c r="E349" i="3"/>
  <c r="F360" i="3" s="1"/>
  <c r="D349" i="3"/>
  <c r="B349" i="3"/>
  <c r="C349" i="3" s="1"/>
  <c r="E348" i="3"/>
  <c r="F348" i="3" s="1"/>
  <c r="D348" i="3"/>
  <c r="B348" i="3"/>
  <c r="E347" i="3"/>
  <c r="F358" i="3" s="1"/>
  <c r="D347" i="3"/>
  <c r="C347" i="3"/>
  <c r="B347" i="3"/>
  <c r="F346" i="3"/>
  <c r="E346" i="3"/>
  <c r="F357" i="3" s="1"/>
  <c r="D346" i="3"/>
  <c r="B346" i="3"/>
  <c r="C346" i="3" s="1"/>
  <c r="E345" i="3"/>
  <c r="D345" i="3"/>
  <c r="C345" i="3"/>
  <c r="B345" i="3"/>
  <c r="E344" i="3"/>
  <c r="D344" i="3"/>
  <c r="B344" i="3"/>
  <c r="C356" i="3" s="1"/>
  <c r="E343" i="3"/>
  <c r="F354" i="3" s="1"/>
  <c r="D343" i="3"/>
  <c r="B343" i="3"/>
  <c r="C355" i="3" s="1"/>
  <c r="E342" i="3"/>
  <c r="D342" i="3"/>
  <c r="B342" i="3"/>
  <c r="E341" i="3"/>
  <c r="D341" i="3"/>
  <c r="C341" i="3"/>
  <c r="B341" i="3"/>
  <c r="E340" i="3"/>
  <c r="F351" i="3" s="1"/>
  <c r="D340" i="3"/>
  <c r="B340" i="3"/>
  <c r="E339" i="3"/>
  <c r="F339" i="3" s="1"/>
  <c r="D339" i="3"/>
  <c r="B339" i="3"/>
  <c r="E338" i="3"/>
  <c r="F349" i="3" s="1"/>
  <c r="D338" i="3"/>
  <c r="B338" i="3"/>
  <c r="C350" i="3" s="1"/>
  <c r="F337" i="3"/>
  <c r="E337" i="3"/>
  <c r="D337" i="3"/>
  <c r="C337" i="3"/>
  <c r="B337" i="3"/>
  <c r="E336" i="3"/>
  <c r="F347" i="3" s="1"/>
  <c r="D336" i="3"/>
  <c r="B336" i="3"/>
  <c r="C348" i="3" s="1"/>
  <c r="E335" i="3"/>
  <c r="D335" i="3"/>
  <c r="B335" i="3"/>
  <c r="E334" i="3"/>
  <c r="D334" i="3"/>
  <c r="C334" i="3"/>
  <c r="B334" i="3"/>
  <c r="E333" i="3"/>
  <c r="F344" i="3" s="1"/>
  <c r="D333" i="3"/>
  <c r="B333" i="3"/>
  <c r="C333" i="3" s="1"/>
  <c r="E332" i="3"/>
  <c r="F332" i="3" s="1"/>
  <c r="D332" i="3"/>
  <c r="B332" i="3"/>
  <c r="E331" i="3"/>
  <c r="F342" i="3" s="1"/>
  <c r="D331" i="3"/>
  <c r="C331" i="3"/>
  <c r="B331" i="3"/>
  <c r="F330" i="3"/>
  <c r="E330" i="3"/>
  <c r="F341" i="3" s="1"/>
  <c r="D330" i="3"/>
  <c r="B330" i="3"/>
  <c r="E329" i="3"/>
  <c r="F340" i="3" s="1"/>
  <c r="D329" i="3"/>
  <c r="C329" i="3"/>
  <c r="B329" i="3"/>
  <c r="E328" i="3"/>
  <c r="F328" i="3" s="1"/>
  <c r="D328" i="3"/>
  <c r="B328" i="3"/>
  <c r="C340" i="3" s="1"/>
  <c r="F327" i="3"/>
  <c r="E327" i="3"/>
  <c r="F338" i="3" s="1"/>
  <c r="D327" i="3"/>
  <c r="B327" i="3"/>
  <c r="C339" i="3" s="1"/>
  <c r="E326" i="3"/>
  <c r="F326" i="3" s="1"/>
  <c r="D326" i="3"/>
  <c r="B326" i="3"/>
  <c r="E325" i="3"/>
  <c r="F325" i="3" s="1"/>
  <c r="D325" i="3"/>
  <c r="C325" i="3"/>
  <c r="B325" i="3"/>
  <c r="E324" i="3"/>
  <c r="F335" i="3" s="1"/>
  <c r="D324" i="3"/>
  <c r="B324" i="3"/>
  <c r="E323" i="3"/>
  <c r="F323" i="3" s="1"/>
  <c r="D323" i="3"/>
  <c r="B323" i="3"/>
  <c r="F322" i="3"/>
  <c r="E322" i="3"/>
  <c r="F333" i="3" s="1"/>
  <c r="D322" i="3"/>
  <c r="B322" i="3"/>
  <c r="F321" i="3"/>
  <c r="D321" i="3"/>
  <c r="B321" i="3"/>
  <c r="F320" i="3"/>
  <c r="D320" i="3"/>
  <c r="B320" i="3"/>
  <c r="C332" i="3" s="1"/>
  <c r="F319" i="3"/>
  <c r="D319" i="3"/>
  <c r="B319" i="3"/>
  <c r="F318" i="3"/>
  <c r="D318" i="3"/>
  <c r="B318" i="3"/>
  <c r="C330" i="3" s="1"/>
  <c r="F317" i="3"/>
  <c r="D317" i="3"/>
  <c r="B317" i="3"/>
  <c r="F316" i="3"/>
  <c r="D316" i="3"/>
  <c r="B316" i="3"/>
  <c r="C328" i="3" s="1"/>
  <c r="F315" i="3"/>
  <c r="D315" i="3"/>
  <c r="B315" i="3"/>
  <c r="F314" i="3"/>
  <c r="D314" i="3"/>
  <c r="B314" i="3"/>
  <c r="F313" i="3"/>
  <c r="D313" i="3"/>
  <c r="B313" i="3"/>
  <c r="F312" i="3"/>
  <c r="D312" i="3"/>
  <c r="B312" i="3"/>
  <c r="C324" i="3" s="1"/>
  <c r="F311" i="3"/>
  <c r="D311" i="3"/>
  <c r="B311" i="3"/>
  <c r="C323" i="3" s="1"/>
  <c r="F310" i="3"/>
  <c r="D310" i="3"/>
  <c r="B310" i="3"/>
  <c r="C322" i="3" s="1"/>
  <c r="F309" i="3"/>
  <c r="D309" i="3"/>
  <c r="B309" i="3"/>
  <c r="C321" i="3" s="1"/>
  <c r="F308" i="3"/>
  <c r="D308" i="3"/>
  <c r="B308" i="3"/>
  <c r="F307" i="3"/>
  <c r="D307" i="3"/>
  <c r="B307" i="3"/>
  <c r="C319" i="3" s="1"/>
  <c r="F306" i="3"/>
  <c r="D306" i="3"/>
  <c r="B306" i="3"/>
  <c r="F305" i="3"/>
  <c r="D305" i="3"/>
  <c r="B305" i="3"/>
  <c r="C317" i="3" s="1"/>
  <c r="F304" i="3"/>
  <c r="D304" i="3"/>
  <c r="B304" i="3"/>
  <c r="C316" i="3" s="1"/>
  <c r="F303" i="3"/>
  <c r="D303" i="3"/>
  <c r="B303" i="3"/>
  <c r="C315" i="3" s="1"/>
  <c r="F302" i="3"/>
  <c r="D302" i="3"/>
  <c r="B302" i="3"/>
  <c r="C314" i="3" s="1"/>
  <c r="F301" i="3"/>
  <c r="D301" i="3"/>
  <c r="B301" i="3"/>
  <c r="C313" i="3" s="1"/>
  <c r="F300" i="3"/>
  <c r="D300" i="3"/>
  <c r="B300" i="3"/>
  <c r="F299" i="3"/>
  <c r="D299" i="3"/>
  <c r="B299" i="3"/>
  <c r="C311" i="3" s="1"/>
  <c r="F298" i="3"/>
  <c r="D298" i="3"/>
  <c r="B298" i="3"/>
  <c r="F297" i="3"/>
  <c r="D297" i="3"/>
  <c r="B297" i="3"/>
  <c r="C309" i="3" s="1"/>
  <c r="F296" i="3"/>
  <c r="D296" i="3"/>
  <c r="B296" i="3"/>
  <c r="C308" i="3" s="1"/>
  <c r="F295" i="3"/>
  <c r="D295" i="3"/>
  <c r="B295" i="3"/>
  <c r="C307" i="3" s="1"/>
  <c r="F294" i="3"/>
  <c r="D294" i="3"/>
  <c r="B294" i="3"/>
  <c r="C306" i="3" s="1"/>
  <c r="F293" i="3"/>
  <c r="D293" i="3"/>
  <c r="B293" i="3"/>
  <c r="C305" i="3" s="1"/>
  <c r="F292" i="3"/>
  <c r="D292" i="3"/>
  <c r="B292" i="3"/>
  <c r="F291" i="3"/>
  <c r="D291" i="3"/>
  <c r="B291" i="3"/>
  <c r="C303" i="3" s="1"/>
  <c r="F290" i="3"/>
  <c r="D290" i="3"/>
  <c r="B290" i="3"/>
  <c r="F289" i="3"/>
  <c r="D289" i="3"/>
  <c r="B289" i="3"/>
  <c r="C301" i="3" s="1"/>
  <c r="F288" i="3"/>
  <c r="D288" i="3"/>
  <c r="B288" i="3"/>
  <c r="C300" i="3" s="1"/>
  <c r="F287" i="3"/>
  <c r="D287" i="3"/>
  <c r="B287" i="3"/>
  <c r="C299" i="3" s="1"/>
  <c r="F286" i="3"/>
  <c r="D286" i="3"/>
  <c r="B286" i="3"/>
  <c r="C298" i="3" s="1"/>
  <c r="F285" i="3"/>
  <c r="D285" i="3"/>
  <c r="B285" i="3"/>
  <c r="C297" i="3" s="1"/>
  <c r="F284" i="3"/>
  <c r="D284" i="3"/>
  <c r="B284" i="3"/>
  <c r="F283" i="3"/>
  <c r="D283" i="3"/>
  <c r="B283" i="3"/>
  <c r="C295" i="3" s="1"/>
  <c r="F282" i="3"/>
  <c r="D282" i="3"/>
  <c r="B282" i="3"/>
  <c r="F281" i="3"/>
  <c r="D281" i="3"/>
  <c r="B281" i="3"/>
  <c r="C293" i="3" s="1"/>
  <c r="F280" i="3"/>
  <c r="D280" i="3"/>
  <c r="B280" i="3"/>
  <c r="C292" i="3" s="1"/>
  <c r="F279" i="3"/>
  <c r="D279" i="3"/>
  <c r="B279" i="3"/>
  <c r="C291" i="3" s="1"/>
  <c r="F278" i="3"/>
  <c r="D278" i="3"/>
  <c r="B278" i="3"/>
  <c r="C290" i="3" s="1"/>
  <c r="F277" i="3"/>
  <c r="D277" i="3"/>
  <c r="B277" i="3"/>
  <c r="C289" i="3" s="1"/>
  <c r="F276" i="3"/>
  <c r="D276" i="3"/>
  <c r="B276" i="3"/>
  <c r="F275" i="3"/>
  <c r="D275" i="3"/>
  <c r="B275" i="3"/>
  <c r="C287" i="3" s="1"/>
  <c r="F274" i="3"/>
  <c r="D274" i="3"/>
  <c r="B274" i="3"/>
  <c r="F273" i="3"/>
  <c r="D273" i="3"/>
  <c r="B273" i="3"/>
  <c r="C285" i="3" s="1"/>
  <c r="F272" i="3"/>
  <c r="D272" i="3"/>
  <c r="B272" i="3"/>
  <c r="C284" i="3" s="1"/>
  <c r="F271" i="3"/>
  <c r="D271" i="3"/>
  <c r="B271" i="3"/>
  <c r="C283" i="3" s="1"/>
  <c r="F270" i="3"/>
  <c r="D270" i="3"/>
  <c r="B270" i="3"/>
  <c r="C282" i="3" s="1"/>
  <c r="F269" i="3"/>
  <c r="D269" i="3"/>
  <c r="B269" i="3"/>
  <c r="C281" i="3" s="1"/>
  <c r="F268" i="3"/>
  <c r="D268" i="3"/>
  <c r="B268" i="3"/>
  <c r="F267" i="3"/>
  <c r="D267" i="3"/>
  <c r="B267" i="3"/>
  <c r="C279" i="3" s="1"/>
  <c r="F266" i="3"/>
  <c r="D266" i="3"/>
  <c r="B266" i="3"/>
  <c r="F265" i="3"/>
  <c r="D265" i="3"/>
  <c r="B265" i="3"/>
  <c r="C277" i="3" s="1"/>
  <c r="F264" i="3"/>
  <c r="D264" i="3"/>
  <c r="B264" i="3"/>
  <c r="C276" i="3" s="1"/>
  <c r="F263" i="3"/>
  <c r="D263" i="3"/>
  <c r="B263" i="3"/>
  <c r="C275" i="3" s="1"/>
  <c r="F262" i="3"/>
  <c r="D262" i="3"/>
  <c r="B262" i="3"/>
  <c r="C274" i="3" s="1"/>
  <c r="F261" i="3"/>
  <c r="D261" i="3"/>
  <c r="B261" i="3"/>
  <c r="C273" i="3" s="1"/>
  <c r="F260" i="3"/>
  <c r="D260" i="3"/>
  <c r="B260" i="3"/>
  <c r="F259" i="3"/>
  <c r="D259" i="3"/>
  <c r="B259" i="3"/>
  <c r="C271" i="3" s="1"/>
  <c r="F258" i="3"/>
  <c r="D258" i="3"/>
  <c r="B258" i="3"/>
  <c r="F257" i="3"/>
  <c r="D257" i="3"/>
  <c r="B257" i="3"/>
  <c r="C269" i="3" s="1"/>
  <c r="F256" i="3"/>
  <c r="D256" i="3"/>
  <c r="B256" i="3"/>
  <c r="C268" i="3" s="1"/>
  <c r="F255" i="3"/>
  <c r="D255" i="3"/>
  <c r="B255" i="3"/>
  <c r="C267" i="3" s="1"/>
  <c r="F254" i="3"/>
  <c r="D254" i="3"/>
  <c r="B254" i="3"/>
  <c r="C266" i="3" s="1"/>
  <c r="F253" i="3"/>
  <c r="D253" i="3"/>
  <c r="B253" i="3"/>
  <c r="C265" i="3" s="1"/>
  <c r="F252" i="3"/>
  <c r="D252" i="3"/>
  <c r="B252" i="3"/>
  <c r="F251" i="3"/>
  <c r="D251" i="3"/>
  <c r="B251" i="3"/>
  <c r="C263" i="3" s="1"/>
  <c r="F250" i="3"/>
  <c r="D250" i="3"/>
  <c r="B250" i="3"/>
  <c r="F249" i="3"/>
  <c r="D249" i="3"/>
  <c r="B249" i="3"/>
  <c r="C261" i="3" s="1"/>
  <c r="F248" i="3"/>
  <c r="D248" i="3"/>
  <c r="B248" i="3"/>
  <c r="F247" i="3"/>
  <c r="D247" i="3"/>
  <c r="B247" i="3"/>
  <c r="C259" i="3" s="1"/>
  <c r="F246" i="3"/>
  <c r="D246" i="3"/>
  <c r="B246" i="3"/>
  <c r="F245" i="3"/>
  <c r="D245" i="3"/>
  <c r="B245" i="3"/>
  <c r="C257" i="3" s="1"/>
  <c r="F244" i="3"/>
  <c r="D244" i="3"/>
  <c r="B244" i="3"/>
  <c r="F243" i="3"/>
  <c r="D243" i="3"/>
  <c r="B243" i="3"/>
  <c r="C255" i="3" s="1"/>
  <c r="F242" i="3"/>
  <c r="D242" i="3"/>
  <c r="B242" i="3"/>
  <c r="F241" i="3"/>
  <c r="D241" i="3"/>
  <c r="B241" i="3"/>
  <c r="C253" i="3" s="1"/>
  <c r="F240" i="3"/>
  <c r="D240" i="3"/>
  <c r="B240" i="3"/>
  <c r="F239" i="3"/>
  <c r="D239" i="3"/>
  <c r="B239" i="3"/>
  <c r="C251" i="3" s="1"/>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Q17" i="1"/>
  <c r="R17" i="1" s="1"/>
  <c r="P17" i="1"/>
  <c r="O17" i="1"/>
  <c r="N17" i="1"/>
  <c r="Q16" i="1"/>
  <c r="P16" i="1"/>
  <c r="O16" i="1"/>
  <c r="N16" i="1"/>
  <c r="R16" i="1" s="1"/>
  <c r="F390" i="3" l="1"/>
  <c r="C424" i="3"/>
  <c r="F480" i="3"/>
  <c r="C342" i="3"/>
  <c r="C354" i="3"/>
  <c r="C370" i="3"/>
  <c r="C358" i="3"/>
  <c r="F375" i="3"/>
  <c r="F364" i="3"/>
  <c r="F366" i="3"/>
  <c r="C400" i="3"/>
  <c r="F430" i="3"/>
  <c r="F461" i="3"/>
  <c r="F450" i="3"/>
  <c r="F469" i="3"/>
  <c r="C505" i="3"/>
  <c r="C493" i="3"/>
  <c r="F478" i="3"/>
  <c r="F467" i="3"/>
  <c r="C484" i="3"/>
  <c r="C496" i="3"/>
  <c r="F602" i="3"/>
  <c r="F591" i="3"/>
  <c r="C480" i="3"/>
  <c r="C468" i="3"/>
  <c r="C713" i="3"/>
  <c r="C701" i="3"/>
  <c r="F329" i="3"/>
  <c r="C336" i="3"/>
  <c r="C406" i="3"/>
  <c r="F442" i="3"/>
  <c r="F453" i="3"/>
  <c r="C264" i="3"/>
  <c r="C280" i="3"/>
  <c r="C288" i="3"/>
  <c r="C296" i="3"/>
  <c r="C304" i="3"/>
  <c r="C312" i="3"/>
  <c r="C320" i="3"/>
  <c r="C338" i="3"/>
  <c r="F356" i="3"/>
  <c r="F345" i="3"/>
  <c r="C352" i="3"/>
  <c r="C361" i="3"/>
  <c r="F382" i="3"/>
  <c r="F387" i="3"/>
  <c r="C392" i="3"/>
  <c r="F422" i="3"/>
  <c r="C426" i="3"/>
  <c r="C469" i="3"/>
  <c r="C457" i="3"/>
  <c r="F507" i="3"/>
  <c r="F496" i="3"/>
  <c r="C252" i="3"/>
  <c r="C240" i="3"/>
  <c r="C258" i="3"/>
  <c r="C246" i="3"/>
  <c r="C376" i="3"/>
  <c r="F406" i="3"/>
  <c r="C416" i="3"/>
  <c r="C256" i="3"/>
  <c r="C244" i="3"/>
  <c r="C272" i="3"/>
  <c r="F385" i="3"/>
  <c r="C402" i="3"/>
  <c r="C422" i="3"/>
  <c r="C451" i="3"/>
  <c r="C439" i="3"/>
  <c r="C466" i="3"/>
  <c r="C478" i="3"/>
  <c r="C585" i="3"/>
  <c r="C573" i="3"/>
  <c r="F350" i="3"/>
  <c r="C260" i="3"/>
  <c r="C248" i="3"/>
  <c r="C250" i="3"/>
  <c r="C238" i="3"/>
  <c r="C377" i="3"/>
  <c r="C365" i="3"/>
  <c r="F334" i="3"/>
  <c r="F343" i="3"/>
  <c r="R18" i="1"/>
  <c r="P18" i="1"/>
  <c r="C254" i="3"/>
  <c r="C242" i="3"/>
  <c r="C262" i="3"/>
  <c r="C270" i="3"/>
  <c r="C278" i="3"/>
  <c r="C286" i="3"/>
  <c r="C294" i="3"/>
  <c r="C302" i="3"/>
  <c r="C310" i="3"/>
  <c r="C318" i="3"/>
  <c r="C326" i="3"/>
  <c r="F372" i="3"/>
  <c r="F361" i="3"/>
  <c r="C368" i="3"/>
  <c r="C382" i="3"/>
  <c r="C398" i="3"/>
  <c r="F403" i="3"/>
  <c r="C408" i="3"/>
  <c r="C753" i="3"/>
  <c r="C741" i="3"/>
  <c r="C343" i="3"/>
  <c r="F352" i="3"/>
  <c r="C359" i="3"/>
  <c r="F470" i="3"/>
  <c r="F514" i="3"/>
  <c r="F550" i="3"/>
  <c r="F575" i="3"/>
  <c r="C602" i="3"/>
  <c r="C590" i="3"/>
  <c r="C618" i="3"/>
  <c r="C606" i="3"/>
  <c r="C634" i="3"/>
  <c r="C622" i="3"/>
  <c r="C650" i="3"/>
  <c r="C638" i="3"/>
  <c r="C666" i="3"/>
  <c r="C654" i="3"/>
  <c r="C682" i="3"/>
  <c r="C670" i="3"/>
  <c r="C729" i="3"/>
  <c r="C717" i="3"/>
  <c r="C501" i="3"/>
  <c r="C489" i="3"/>
  <c r="C586" i="3"/>
  <c r="C574" i="3"/>
  <c r="C593" i="3"/>
  <c r="C581" i="3"/>
  <c r="C609" i="3"/>
  <c r="C597" i="3"/>
  <c r="C625" i="3"/>
  <c r="C613" i="3"/>
  <c r="C641" i="3"/>
  <c r="C629" i="3"/>
  <c r="C657" i="3"/>
  <c r="C645" i="3"/>
  <c r="C673" i="3"/>
  <c r="C661" i="3"/>
  <c r="C689" i="3"/>
  <c r="C677" i="3"/>
  <c r="C705" i="3"/>
  <c r="C693" i="3"/>
  <c r="F525" i="3"/>
  <c r="C549" i="3"/>
  <c r="C561" i="3"/>
  <c r="C745" i="3"/>
  <c r="C733" i="3"/>
  <c r="F432" i="3"/>
  <c r="F443" i="3"/>
  <c r="F482" i="3"/>
  <c r="C327" i="3"/>
  <c r="C344" i="3"/>
  <c r="C360" i="3"/>
  <c r="C374" i="3"/>
  <c r="C385" i="3"/>
  <c r="C393" i="3"/>
  <c r="C401" i="3"/>
  <c r="C409" i="3"/>
  <c r="C417" i="3"/>
  <c r="C425" i="3"/>
  <c r="C429" i="3"/>
  <c r="C447" i="3"/>
  <c r="F472" i="3"/>
  <c r="C495" i="3"/>
  <c r="C512" i="3"/>
  <c r="C500" i="3"/>
  <c r="C556" i="3"/>
  <c r="C568" i="3"/>
  <c r="C577" i="3"/>
  <c r="C565" i="3"/>
  <c r="F587" i="3"/>
  <c r="F583" i="3"/>
  <c r="F603" i="3"/>
  <c r="F599" i="3"/>
  <c r="F619" i="3"/>
  <c r="F635" i="3"/>
  <c r="F651" i="3"/>
  <c r="F667" i="3"/>
  <c r="F683" i="3"/>
  <c r="C721" i="3"/>
  <c r="C709" i="3"/>
  <c r="C453" i="3"/>
  <c r="C239" i="3"/>
  <c r="C241" i="3"/>
  <c r="C243" i="3"/>
  <c r="C245" i="3"/>
  <c r="C247" i="3"/>
  <c r="C249" i="3"/>
  <c r="C335" i="3"/>
  <c r="F324" i="3"/>
  <c r="F331" i="3"/>
  <c r="C351" i="3"/>
  <c r="C362" i="3"/>
  <c r="C421" i="3"/>
  <c r="F448" i="3"/>
  <c r="F454" i="3"/>
  <c r="F464" i="3"/>
  <c r="F475" i="3"/>
  <c r="C485" i="3"/>
  <c r="F485" i="3"/>
  <c r="C594" i="3"/>
  <c r="C582" i="3"/>
  <c r="C610" i="3"/>
  <c r="C598" i="3"/>
  <c r="C626" i="3"/>
  <c r="C614" i="3"/>
  <c r="C642" i="3"/>
  <c r="C630" i="3"/>
  <c r="C658" i="3"/>
  <c r="C646" i="3"/>
  <c r="C674" i="3"/>
  <c r="C662" i="3"/>
  <c r="C690" i="3"/>
  <c r="C678" i="3"/>
  <c r="C761" i="3"/>
  <c r="C749" i="3"/>
  <c r="F371" i="3"/>
  <c r="C378" i="3"/>
  <c r="F437" i="3"/>
  <c r="C479" i="3"/>
  <c r="F490" i="3"/>
  <c r="F517" i="3"/>
  <c r="F506" i="3"/>
  <c r="F531" i="3"/>
  <c r="F551" i="3"/>
  <c r="C555" i="3"/>
  <c r="C566" i="3"/>
  <c r="F567" i="3"/>
  <c r="C601" i="3"/>
  <c r="C589" i="3"/>
  <c r="C617" i="3"/>
  <c r="C605" i="3"/>
  <c r="C633" i="3"/>
  <c r="C621" i="3"/>
  <c r="C649" i="3"/>
  <c r="C637" i="3"/>
  <c r="C665" i="3"/>
  <c r="C653" i="3"/>
  <c r="C681" i="3"/>
  <c r="C669" i="3"/>
  <c r="C697" i="3"/>
  <c r="C685" i="3"/>
  <c r="C737" i="3"/>
  <c r="C725" i="3"/>
  <c r="F508" i="3"/>
  <c r="F547" i="3"/>
  <c r="C544" i="3"/>
  <c r="F515" i="3"/>
  <c r="C538" i="3"/>
  <c r="C706" i="3"/>
  <c r="C714" i="3"/>
  <c r="C722" i="3"/>
  <c r="C730" i="3"/>
  <c r="C738" i="3"/>
  <c r="C746" i="3"/>
  <c r="C754" i="3"/>
  <c r="C762" i="3"/>
  <c r="C435" i="3"/>
  <c r="C528" i="3"/>
  <c r="F563" i="3"/>
  <c r="C467" i="3"/>
  <c r="C499" i="3"/>
  <c r="F548" i="3"/>
  <c r="F336" i="3"/>
  <c r="C554" i="3"/>
  <c r="C576" i="3"/>
  <c r="F452" i="3"/>
  <c r="F484" i="3"/>
  <c r="F516" i="3"/>
  <c r="C523" i="3"/>
  <c r="F523" i="3"/>
  <c r="C539" i="3"/>
  <c r="F539" i="3"/>
  <c r="C571" i="3"/>
  <c r="F571" i="3"/>
</calcChain>
</file>

<file path=xl/sharedStrings.xml><?xml version="1.0" encoding="utf-8"?>
<sst xmlns="http://schemas.openxmlformats.org/spreadsheetml/2006/main" count="52" uniqueCount="41">
  <si>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</si>
  <si>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</si>
  <si>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</si>
  <si>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</si>
  <si>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</si>
  <si>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</si>
  <si>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</si>
  <si>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</si>
  <si>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</si>
  <si>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</si>
  <si>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</si>
  <si>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</si>
  <si>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</si>
  <si>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</si>
  <si>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</si>
  <si>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</si>
  <si>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</si>
  <si>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</si>
  <si>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</si>
  <si>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</si>
  <si>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</si>
  <si>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</si>
  <si>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</si>
  <si>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</si>
  <si>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</si>
  <si>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</si>
  <si>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</si>
  <si>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</si>
  <si>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</si>
  <si>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Date</t>
  </si>
  <si>
    <t>Conference Board Leading Indicator</t>
  </si>
  <si>
    <t>Var y/y %</t>
  </si>
  <si>
    <t>GDP y/y %</t>
  </si>
  <si>
    <t>S&amp;P 500</t>
  </si>
  <si>
    <t>S&amp;P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</si>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</sst>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 cent" xfId="1" builtinId="5"/>
  </cellStyles>
  <dxfs count="25">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7B3C-2148-A622-02B983DAF4E4}"/>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5B18-9E4A-AB80-2FFA6AE55BA8}"/>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1-5B18-9E4A-AB80-2FFA6AE55BA8}"/>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2-5B18-9E4A-AB80-2FFA6AE55BA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UMCSI!$C$7:$C$270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55A6-4A4E-ABC6-06693E0FCE41}"/>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UMCSI!$B$7:$B$270</c:f>
              <c:numCache>
                <c:formatCode>General</c:formatCode>
                <c:ptCount val="26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numCache>
            </c:numRef>
          </c:val>
          <c:smooth val="0"/>
          <c:extLst>
            <c:ext xmlns:c16="http://schemas.microsoft.com/office/drawing/2014/chart" uri="{C3380CC4-5D6E-409C-BE32-E72D297353CC}">
              <c16:uniqueId val="{00000000-EB89-8049-9CA3-575D4280069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UMCSI!$A$7:$A$270</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UMCSI!$D$7:$D$270</c:f>
              <c:numCache>
                <c:formatCode>General</c:formatCode>
                <c:ptCount val="26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numCache>
            </c:numRef>
          </c:val>
          <c:smooth val="0"/>
          <c:extLst>
            <c:ext xmlns:c16="http://schemas.microsoft.com/office/drawing/2014/chart" uri="{C3380CC4-5D6E-409C-BE32-E72D297353CC}">
              <c16:uniqueId val="{00000000-52E5-A54D-A233-E0DD70CB274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GDP'!$C$7:$C$534</c:f>
              <c:numCache>
                <c:formatCode>0.00%</c:formatCode>
                <c:ptCount val="528"/>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0</c:v>
                </c:pt>
                <c:pt idx="526">
                  <c:v>0</c:v>
                </c:pt>
                <c:pt idx="527">
                  <c:v>0</c:v>
                </c:pt>
              </c:numCache>
            </c:numRef>
          </c:val>
          <c:extLst>
            <c:ext xmlns:c16="http://schemas.microsoft.com/office/drawing/2014/chart" uri="{C3380CC4-5D6E-409C-BE32-E72D297353CC}">
              <c16:uniqueId val="{00000000-8092-4147-A262-771EAFF91A8A}"/>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8092-4147-A262-771EAFF91A8A}"/>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GDP'!$D$7:$D$534</c:f>
              <c:numCache>
                <c:formatCode>0.00%</c:formatCode>
                <c:ptCount val="528"/>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0</c:v>
                </c:pt>
                <c:pt idx="526">
                  <c:v>0</c:v>
                </c:pt>
                <c:pt idx="527">
                  <c:v>0</c:v>
                </c:pt>
              </c:numCache>
            </c:numRef>
          </c:val>
          <c:extLst>
            <c:ext xmlns:c16="http://schemas.microsoft.com/office/drawing/2014/chart" uri="{C3380CC4-5D6E-409C-BE32-E72D297353CC}">
              <c16:uniqueId val="{00000000-EAE4-9441-AB40-9CF5DF058BC2}"/>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GDP'!$A$7:$A$534</c:f>
              <c:numCache>
                <c:formatCode>mmm\-yy</c:formatCode>
                <c:ptCount val="528"/>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numCache>
            </c:numRef>
          </c:cat>
          <c:val>
            <c:numRef>
              <c:f>'UMCSI vs GDP'!$B$7:$B$534</c:f>
              <c:numCache>
                <c:formatCode>0.0</c:formatCode>
                <c:ptCount val="528"/>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numCache>
            </c:numRef>
          </c:val>
          <c:smooth val="0"/>
          <c:extLst>
            <c:ext xmlns:c16="http://schemas.microsoft.com/office/drawing/2014/chart" uri="{C3380CC4-5D6E-409C-BE32-E72D297353CC}">
              <c16:uniqueId val="{00000001-EAE4-9441-AB40-9CF5DF058BC2}"/>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95249</xdr:colOff>
      <xdr:row>208</xdr:row>
      <xdr:rowOff>57150</xdr:rowOff>
    </xdr:from>
    <xdr:to>
      <xdr:col>14</xdr:col>
      <xdr:colOff>76200</xdr:colOff>
      <xdr:row>225</xdr:row>
      <xdr:rowOff>9526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104776</xdr:colOff>
      <xdr:row>226</xdr:row>
      <xdr:rowOff>9525</xdr:rowOff>
    </xdr:from>
    <xdr:to>
      <xdr:col>20</xdr:col>
      <xdr:colOff>200026</xdr:colOff>
      <xdr:row>242</xdr:row>
      <xdr:rowOff>152401</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514350</xdr:colOff>
      <xdr:row>226</xdr:row>
      <xdr:rowOff>9525</xdr:rowOff>
    </xdr:from>
    <xdr:to>
      <xdr:col>13</xdr:col>
      <xdr:colOff>0</xdr:colOff>
      <xdr:row>242</xdr:row>
      <xdr:rowOff>152401</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342900</xdr:colOff>
      <xdr:row>226</xdr:row>
      <xdr:rowOff>0</xdr:rowOff>
    </xdr:from>
    <xdr:to>
      <xdr:col>27</xdr:col>
      <xdr:colOff>438150</xdr:colOff>
      <xdr:row>242</xdr:row>
      <xdr:rowOff>142876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590550</xdr:colOff>
      <xdr:row>469</xdr:row>
      <xdr:rowOff>76199</xdr:rowOff>
    </xdr:from>
    <xdr:to>
      <xdr:col>13</xdr:col>
      <xdr:colOff>438149</xdr:colOff>
      <xdr:row>489</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14287</xdr:colOff>
      <xdr:row>490</xdr:row>
      <xdr:rowOff>28581</xdr:rowOff>
    </xdr:from>
    <xdr:to>
      <xdr:col>13</xdr:col>
      <xdr:colOff>200025</xdr:colOff>
      <xdr:row>509</xdr:row>
      <xdr:rowOff>85725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64" totalsRowShown="0" headerRowDxfId="22" dataDxfId="21">
  <autoFilter ref="A9:F764"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S&amp;P 500" dataDxfId="16"/>
    <tableColumn id="6" xr3:uid="{00000000-0010-0000-0000-000006000000}" name="S&amp;P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0" totalsRowShown="0" headerRowDxfId="14" dataDxfId="12" headerRowBorderDxfId="13">
  <autoFilter ref="A6:D270"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LEI'!$A:$F,5)</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34" totalsRowShown="0" headerRowDxfId="7" dataDxfId="5" headerRowBorderDxfId="6" tableBorderDxfId="4">
  <autoFilter ref="A6:D534"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LEI'!$A:$I,9)=0,"",VLOOKUP(Table48[[#This Row],[Date]],'DB LEI'!$A:$I,9))</calculatedColumnFormula>
    </tableColumn>
    <tableColumn id="4" xr3:uid="{00000000-0010-0000-0200-000004000000}" name="GDP q0q %" dataDxfId="0">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zoomScale="160" zoomScaleNormal="160" workbookViewId="0">
      <selection activeCell="N18" sqref="N18"/>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27" width="9.1640625" style="51" customWidth="1"/>
    <col min="28" max="16384" width="9.1640625" style="51"/>
  </cols>
  <sheetData>
    <row r="1" spans="2:18" ht="16" customHeight="1" thickBot="1" x14ac:dyDescent="0.25">
      <c r="B1" s="54"/>
      <c r="C1" s="55"/>
      <c r="D1" s="55"/>
      <c r="E1" s="55"/>
      <c r="F1" s="55"/>
      <c r="G1" s="55"/>
      <c r="H1" s="55"/>
      <c r="I1" s="55"/>
      <c r="J1" s="51" t="s">
        <v>0</v>
      </c>
    </row>
    <row r="2" spans="2:18" ht="16" customHeight="1" thickBot="1" x14ac:dyDescent="0.25">
      <c r="B2" s="56"/>
      <c r="C2" s="56"/>
      <c r="D2" s="56"/>
      <c r="E2" s="56"/>
      <c r="F2" s="56"/>
      <c r="G2" s="56"/>
      <c r="H2" s="56"/>
      <c r="I2" s="56"/>
    </row>
    <row r="3" spans="2:18" ht="16" customHeight="1" thickBot="1" x14ac:dyDescent="0.25">
      <c r="B3" s="57" t="s">
        <v>1</v>
      </c>
      <c r="C3" s="58"/>
      <c r="D3" s="58"/>
      <c r="E3" s="58"/>
      <c r="F3" s="58"/>
      <c r="G3" s="58"/>
      <c r="H3" s="58"/>
      <c r="I3" s="59"/>
    </row>
    <row r="5" spans="2:18" x14ac:dyDescent="0.2">
      <c r="B5" s="60" t="s">
        <v>2</v>
      </c>
      <c r="C5" s="61"/>
      <c r="D5" s="61"/>
      <c r="E5" s="61"/>
      <c r="F5" s="61"/>
      <c r="G5" s="61"/>
      <c r="H5" s="61"/>
      <c r="I5" s="62"/>
    </row>
    <row r="7" spans="2:18" ht="106.5" customHeight="1" x14ac:dyDescent="0.2">
      <c r="B7" s="63" t="s">
        <v>3</v>
      </c>
      <c r="C7" s="55"/>
      <c r="D7" s="55"/>
      <c r="E7" s="55"/>
      <c r="F7" s="55"/>
      <c r="G7" s="55"/>
      <c r="H7" s="55"/>
      <c r="I7" s="55"/>
      <c r="O7" s="1"/>
    </row>
    <row r="8" spans="2:18" ht="33.75" customHeight="1" x14ac:dyDescent="0.2">
      <c r="B8" s="64" t="s">
        <v>4</v>
      </c>
      <c r="C8" s="55"/>
      <c r="D8" s="55"/>
      <c r="E8" s="55"/>
      <c r="F8" s="55"/>
      <c r="G8" s="55"/>
      <c r="H8" s="55"/>
      <c r="I8" s="55"/>
    </row>
    <row r="9" spans="2:18" x14ac:dyDescent="0.2">
      <c r="B9" s="7"/>
      <c r="C9" s="7"/>
      <c r="D9" s="7"/>
      <c r="E9" s="7"/>
    </row>
    <row r="10" spans="2:18" x14ac:dyDescent="0.2">
      <c r="B10" s="60" t="s">
        <v>5</v>
      </c>
      <c r="C10" s="61"/>
      <c r="D10" s="61"/>
      <c r="E10" s="61"/>
      <c r="F10" s="61"/>
      <c r="G10" s="61"/>
      <c r="H10" s="61"/>
      <c r="I10" s="62"/>
      <c r="M10" s="60" t="s">
        <v>6</v>
      </c>
      <c r="N10" s="61"/>
      <c r="O10" s="61"/>
      <c r="P10" s="61"/>
      <c r="Q10" s="61"/>
      <c r="R10" s="62"/>
    </row>
    <row r="12" spans="2:18" x14ac:dyDescent="0.2">
      <c r="B12" s="60" t="s">
        <v>7</v>
      </c>
      <c r="C12" s="61"/>
      <c r="D12" s="61"/>
      <c r="E12" s="61"/>
      <c r="F12" s="62"/>
      <c r="G12" s="60" t="s">
        <v>8</v>
      </c>
      <c r="H12" s="61"/>
      <c r="I12" s="62"/>
    </row>
    <row r="13" spans="2:18" ht="19.5" customHeight="1" thickBot="1" x14ac:dyDescent="0.25"/>
    <row r="14" spans="2:18" ht="19.5" customHeight="1" x14ac:dyDescent="0.2">
      <c r="B14" s="52" t="s">
        <v>9</v>
      </c>
      <c r="G14" s="55" t="s">
        <v>10</v>
      </c>
      <c r="H14" s="55"/>
      <c r="I14" s="55"/>
      <c r="N14" s="40">
        <v>44531</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74.2</v>
      </c>
      <c r="O16" s="29">
        <f>VLOOKUP(DATE(YEAR($N$14),MONTH($N$14)-1,DAY($N$14)),UMCSI!$A:$D,2,)</f>
        <v>73.599999999999994</v>
      </c>
      <c r="P16" s="29">
        <f>N16-O16</f>
        <v>0.60000000000000853</v>
      </c>
      <c r="Q16" s="29">
        <f>VLOOKUP(DATE(YEAR($N$14)-1,MONTH($N$14),DAY($N$14)),UMCSI!$A:$D,2,)</f>
        <v>90</v>
      </c>
      <c r="R16" s="30">
        <f>N16-Q16</f>
        <v>-15.799999999999997</v>
      </c>
    </row>
    <row r="17" spans="2:18" ht="19.5" customHeight="1" x14ac:dyDescent="0.2">
      <c r="B17" s="27" t="s">
        <v>17</v>
      </c>
      <c r="G17" s="65" t="s">
        <v>18</v>
      </c>
      <c r="H17" s="55"/>
      <c r="I17" s="55"/>
      <c r="M17" s="38" t="s">
        <v>19</v>
      </c>
      <c r="N17" s="31">
        <f>VLOOKUP(N14,UMCSI!A:D,3,)</f>
        <v>74.2</v>
      </c>
      <c r="O17" s="16">
        <f>VLOOKUP(DATE(YEAR($N$14),MONTH($N$14)-1,DAY($N$14)),UMCSI!$A:$D,3,)</f>
        <v>73.599999999999994</v>
      </c>
      <c r="P17" s="16">
        <f>N17-O17</f>
        <v>0.60000000000000853</v>
      </c>
      <c r="Q17" s="16">
        <f>VLOOKUP(DATE(YEAR($N$14)-1,MONTH($N$14),DAY($N$14)),UMCSI!$A:$D,3,)</f>
        <v>90</v>
      </c>
      <c r="R17" s="32">
        <f>N17-Q17</f>
        <v>-15.799999999999997</v>
      </c>
    </row>
    <row r="18" spans="2:18" ht="19.5" customHeight="1" thickBot="1" x14ac:dyDescent="0.25">
      <c r="B18" s="8"/>
      <c r="G18" s="65"/>
      <c r="H18" s="55"/>
      <c r="I18" s="55"/>
      <c r="M18" s="39" t="s">
        <v>20</v>
      </c>
      <c r="N18" s="36">
        <f>VLOOKUP(N14,UMCSI!A:D,4,)</f>
        <v>68.3</v>
      </c>
      <c r="O18" s="33">
        <f>VLOOKUP(DATE(YEAR($N$14),MONTH($N$14)-1,DAY($N$14)),UMCSI!$A:$D,4,)</f>
        <v>63.5</v>
      </c>
      <c r="P18" s="33">
        <f>N18-O18</f>
        <v>4.7999999999999972</v>
      </c>
      <c r="Q18" s="33">
        <f>VLOOKUP(DATE(YEAR($N$14)-1,MONTH($N$14),DAY($N$14)),UMCSI!$A:$D,4,)</f>
        <v>74.599999999999994</v>
      </c>
      <c r="R18" s="34">
        <f>N18-Q18</f>
        <v>-6.2999999999999972</v>
      </c>
    </row>
    <row r="21" spans="2:18" x14ac:dyDescent="0.2">
      <c r="B21" s="9"/>
    </row>
    <row r="22" spans="2:18" ht="30" customHeight="1" x14ac:dyDescent="0.2">
      <c r="B22" s="66"/>
      <c r="C22" s="55"/>
      <c r="D22" s="55"/>
      <c r="E22" s="55"/>
      <c r="F22" s="55"/>
      <c r="G22" s="55"/>
      <c r="H22" s="55"/>
      <c r="I22" s="55"/>
    </row>
    <row r="23" spans="2:18" x14ac:dyDescent="0.2">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J750"/>
  <sheetViews>
    <sheetView tabSelected="1" topLeftCell="A689" workbookViewId="0">
      <selection activeCell="N18" sqref="N18"/>
    </sheetView>
  </sheetViews>
  <sheetFormatPr baseColWidth="10" defaultRowHeight="15" x14ac:dyDescent="0.2"/>
  <cols>
    <col min="10" max="10" width="18.83203125" customWidth="1"/>
  </cols>
  <sheetData>
    <row r="1" spans="1:10" x14ac:dyDescent="0.2">
      <c r="A1" t="s">
        <v>21</v>
      </c>
      <c r="B1" t="s">
        <v>22</v>
      </c>
      <c r="C1" t="s">
        <v>23</v>
      </c>
      <c r="D1" t="s">
        <v>16</v>
      </c>
      <c r="E1" t="s">
        <v>24</v>
      </c>
      <c r="F1" t="s">
        <v>25</v>
      </c>
      <c r="G1" t="s">
        <v>26</v>
      </c>
      <c r="H1" t="s">
        <v>27</v>
      </c>
      <c r="I1" t="s">
        <v>28</v>
      </c>
      <c r="J1" t="s">
        <v>0</v>
      </c>
    </row>
    <row r="2" spans="1:10" x14ac:dyDescent="0.2">
      <c r="A2" s="53">
        <v>17168</v>
      </c>
      <c r="G2">
        <v>2034.45</v>
      </c>
    </row>
    <row r="3" spans="1:10" x14ac:dyDescent="0.2">
      <c r="A3" s="53">
        <v>17258</v>
      </c>
      <c r="G3">
        <v>2029.0239999999999</v>
      </c>
      <c r="H3">
        <v>-2.6741921238980699E-3</v>
      </c>
      <c r="J3">
        <v>-1.065393711919616E-2</v>
      </c>
    </row>
    <row r="4" spans="1:10" x14ac:dyDescent="0.2">
      <c r="A4" s="53">
        <v>17349</v>
      </c>
      <c r="G4">
        <v>2024.8340000000001</v>
      </c>
      <c r="H4">
        <v>-2.0693054344207121E-3</v>
      </c>
      <c r="J4">
        <v>-8.2515650127319429E-3</v>
      </c>
    </row>
    <row r="5" spans="1:10" x14ac:dyDescent="0.2">
      <c r="A5" s="53">
        <v>17441</v>
      </c>
      <c r="G5">
        <v>2056.5079999999998</v>
      </c>
      <c r="H5">
        <v>1.540183651121209E-2</v>
      </c>
      <c r="J5">
        <v>6.304531600724439E-2</v>
      </c>
    </row>
    <row r="6" spans="1:10" x14ac:dyDescent="0.2">
      <c r="A6" s="53">
        <v>17533</v>
      </c>
      <c r="G6">
        <v>2087.442</v>
      </c>
      <c r="H6">
        <v>1.481909437483781E-2</v>
      </c>
      <c r="I6">
        <v>2.538609455975302E-2</v>
      </c>
      <c r="J6">
        <v>6.0607076496457017E-2</v>
      </c>
    </row>
    <row r="7" spans="1:10" x14ac:dyDescent="0.2">
      <c r="A7" s="53">
        <v>17624</v>
      </c>
      <c r="G7">
        <v>2121.8989999999999</v>
      </c>
      <c r="H7">
        <v>1.6238755944557159E-2</v>
      </c>
      <c r="I7">
        <v>4.3769755299380417E-2</v>
      </c>
      <c r="J7">
        <v>6.6554404939747736E-2</v>
      </c>
    </row>
    <row r="8" spans="1:10" x14ac:dyDescent="0.2">
      <c r="A8" s="53">
        <v>17715</v>
      </c>
      <c r="G8">
        <v>2134.056</v>
      </c>
      <c r="H8">
        <v>5.6966640050683543E-3</v>
      </c>
      <c r="I8">
        <v>5.1180475114055102E-2</v>
      </c>
      <c r="J8">
        <v>2.2982108430247949E-2</v>
      </c>
    </row>
    <row r="9" spans="1:10" x14ac:dyDescent="0.2">
      <c r="A9" s="53">
        <v>17807</v>
      </c>
      <c r="G9">
        <v>2136.44</v>
      </c>
      <c r="H9">
        <v>1.1158750070210321E-3</v>
      </c>
      <c r="I9">
        <v>3.7413641384733597E-2</v>
      </c>
      <c r="J9">
        <v>4.4709766496699999E-3</v>
      </c>
    </row>
    <row r="10" spans="1:10" x14ac:dyDescent="0.2">
      <c r="A10" s="53">
        <v>17899</v>
      </c>
      <c r="G10">
        <v>2107.0010000000002</v>
      </c>
      <c r="H10">
        <v>-1.397199147034095E-2</v>
      </c>
      <c r="I10">
        <v>9.2828622293013602E-3</v>
      </c>
      <c r="J10">
        <v>-5.4727538753622802E-2</v>
      </c>
    </row>
    <row r="11" spans="1:10" x14ac:dyDescent="0.2">
      <c r="A11" s="53">
        <v>17989</v>
      </c>
      <c r="G11">
        <v>2099.8139999999999</v>
      </c>
      <c r="H11">
        <v>-3.4226841044017959E-3</v>
      </c>
      <c r="I11">
        <v>-1.051759822536665E-2</v>
      </c>
      <c r="J11">
        <v>-1.362060806528043E-2</v>
      </c>
    </row>
    <row r="12" spans="1:10" x14ac:dyDescent="0.2">
      <c r="A12" s="53">
        <v>18080</v>
      </c>
      <c r="G12">
        <v>2121.4929999999999</v>
      </c>
      <c r="H12">
        <v>1.0218746891929449E-2</v>
      </c>
      <c r="I12">
        <v>-5.9217730155131801E-3</v>
      </c>
      <c r="J12">
        <v>4.150580348024735E-2</v>
      </c>
    </row>
    <row r="13" spans="1:10" x14ac:dyDescent="0.2">
      <c r="A13" s="53">
        <v>18172</v>
      </c>
      <c r="G13">
        <v>2103.6880000000001</v>
      </c>
      <c r="H13">
        <v>-8.4637075459858286E-3</v>
      </c>
      <c r="I13">
        <v>-1.556884861253187E-2</v>
      </c>
      <c r="J13">
        <v>-3.3427444148519503E-2</v>
      </c>
    </row>
    <row r="14" spans="1:10" x14ac:dyDescent="0.2">
      <c r="A14" s="53">
        <v>18264</v>
      </c>
      <c r="G14">
        <v>2186.3649999999998</v>
      </c>
      <c r="H14">
        <v>3.7814820489716808E-2</v>
      </c>
      <c r="I14">
        <v>3.6299519979509177E-2</v>
      </c>
      <c r="J14">
        <v>0.16005738545928841</v>
      </c>
    </row>
    <row r="15" spans="1:10" x14ac:dyDescent="0.2">
      <c r="A15" s="53">
        <v>18354</v>
      </c>
      <c r="G15">
        <v>2253.0450000000001</v>
      </c>
      <c r="H15">
        <v>2.959550297486304E-2</v>
      </c>
      <c r="I15">
        <v>6.8010625619994367E-2</v>
      </c>
      <c r="J15">
        <v>0.1237418319372261</v>
      </c>
    </row>
    <row r="16" spans="1:10" x14ac:dyDescent="0.2">
      <c r="A16" s="53">
        <v>18445</v>
      </c>
      <c r="G16">
        <v>2340.1120000000001</v>
      </c>
      <c r="H16">
        <v>3.7206338841901589E-2</v>
      </c>
      <c r="I16">
        <v>9.3422451574967411E-2</v>
      </c>
      <c r="J16">
        <v>0.1573391622597142</v>
      </c>
    </row>
    <row r="17" spans="1:10" x14ac:dyDescent="0.2">
      <c r="A17" s="53">
        <v>18537</v>
      </c>
      <c r="G17">
        <v>2384.92</v>
      </c>
      <c r="H17">
        <v>1.8788051590829039E-2</v>
      </c>
      <c r="I17">
        <v>0.1179209365513308</v>
      </c>
      <c r="J17">
        <v>7.729680430500907E-2</v>
      </c>
    </row>
    <row r="18" spans="1:10" x14ac:dyDescent="0.2">
      <c r="A18" s="53">
        <v>18629</v>
      </c>
      <c r="G18">
        <v>2417.3110000000001</v>
      </c>
      <c r="H18">
        <v>1.339959980325249E-2</v>
      </c>
      <c r="I18">
        <v>9.5538389557653258E-2</v>
      </c>
      <c r="J18">
        <v>5.4685350653990161E-2</v>
      </c>
    </row>
    <row r="19" spans="1:10" x14ac:dyDescent="0.2">
      <c r="A19" s="53">
        <v>18660</v>
      </c>
      <c r="E19">
        <v>67.7</v>
      </c>
    </row>
    <row r="20" spans="1:10" x14ac:dyDescent="0.2">
      <c r="A20" s="53">
        <v>18719</v>
      </c>
      <c r="G20">
        <v>2459.1959999999999</v>
      </c>
      <c r="H20">
        <v>1.7031989316833539E-2</v>
      </c>
      <c r="I20">
        <v>8.3828617157802737E-2</v>
      </c>
      <c r="J20">
        <v>6.9888336527135664E-2</v>
      </c>
    </row>
    <row r="21" spans="1:10" x14ac:dyDescent="0.2">
      <c r="A21" s="53">
        <v>18749</v>
      </c>
      <c r="E21">
        <v>60.2</v>
      </c>
    </row>
    <row r="22" spans="1:10" x14ac:dyDescent="0.2">
      <c r="A22" s="53">
        <v>18810</v>
      </c>
      <c r="G22">
        <v>2509.88</v>
      </c>
      <c r="H22">
        <v>2.019379412561564E-2</v>
      </c>
      <c r="I22">
        <v>6.7639887165920287E-2</v>
      </c>
      <c r="J22">
        <v>8.3255017976114232E-2</v>
      </c>
    </row>
    <row r="23" spans="1:10" x14ac:dyDescent="0.2">
      <c r="A23" s="53">
        <v>18902</v>
      </c>
      <c r="G23">
        <v>2515.4079999999999</v>
      </c>
      <c r="H23">
        <v>2.1976554101759212E-3</v>
      </c>
      <c r="I23">
        <v>5.1875481035283277E-2</v>
      </c>
      <c r="J23">
        <v>8.8196422558119991E-3</v>
      </c>
    </row>
    <row r="24" spans="1:10" x14ac:dyDescent="0.2">
      <c r="A24" s="53">
        <v>18933</v>
      </c>
      <c r="E24">
        <v>63.6</v>
      </c>
    </row>
    <row r="25" spans="1:10" x14ac:dyDescent="0.2">
      <c r="A25" s="53">
        <v>18994</v>
      </c>
      <c r="G25">
        <v>2542.2860000000001</v>
      </c>
      <c r="H25">
        <v>1.057237462661564E-2</v>
      </c>
      <c r="I25">
        <v>4.9158513243592543E-2</v>
      </c>
      <c r="J25">
        <v>4.2964888544755553E-2</v>
      </c>
    </row>
    <row r="26" spans="1:10" x14ac:dyDescent="0.2">
      <c r="A26" s="53">
        <v>19025</v>
      </c>
      <c r="E26">
        <v>66.2</v>
      </c>
    </row>
    <row r="27" spans="1:10" x14ac:dyDescent="0.2">
      <c r="A27" s="53">
        <v>19085</v>
      </c>
      <c r="G27">
        <v>2547.7620000000002</v>
      </c>
      <c r="H27">
        <v>2.1493373399870601E-3</v>
      </c>
      <c r="I27">
        <v>3.4762273713164829E-2</v>
      </c>
      <c r="J27">
        <v>8.6251070040492817E-3</v>
      </c>
    </row>
    <row r="28" spans="1:10" x14ac:dyDescent="0.2">
      <c r="A28" s="53">
        <v>19115</v>
      </c>
      <c r="E28">
        <v>70.400000000000006</v>
      </c>
    </row>
    <row r="29" spans="1:10" x14ac:dyDescent="0.2">
      <c r="A29" s="53">
        <v>19176</v>
      </c>
      <c r="G29">
        <v>2566.1529999999998</v>
      </c>
      <c r="H29">
        <v>7.1667589578640178E-3</v>
      </c>
      <c r="I29">
        <v>2.1928934089276701E-2</v>
      </c>
      <c r="J29">
        <v>2.8976685482051678E-2</v>
      </c>
    </row>
    <row r="30" spans="1:10" x14ac:dyDescent="0.2">
      <c r="A30" s="53">
        <v>19268</v>
      </c>
      <c r="G30">
        <v>2650.431</v>
      </c>
      <c r="H30">
        <v>3.1797847218056327E-2</v>
      </c>
      <c r="I30">
        <v>5.0943789896813058E-2</v>
      </c>
      <c r="J30">
        <v>0.1333876333339139</v>
      </c>
    </row>
    <row r="31" spans="1:10" x14ac:dyDescent="0.2">
      <c r="A31" s="53">
        <v>19299</v>
      </c>
      <c r="D31">
        <v>86.2</v>
      </c>
      <c r="E31">
        <v>73.400000000000006</v>
      </c>
      <c r="F31">
        <v>92.4</v>
      </c>
    </row>
    <row r="32" spans="1:10" x14ac:dyDescent="0.2">
      <c r="A32" s="53">
        <v>19360</v>
      </c>
      <c r="G32">
        <v>2699.6990000000001</v>
      </c>
      <c r="H32">
        <v>1.824944188222466E-2</v>
      </c>
      <c r="I32">
        <v>5.8307611330003832E-2</v>
      </c>
      <c r="J32">
        <v>7.5020442551944955E-2</v>
      </c>
    </row>
    <row r="33" spans="1:10" x14ac:dyDescent="0.2">
      <c r="A33" s="53">
        <v>19391</v>
      </c>
      <c r="D33">
        <v>90.7</v>
      </c>
      <c r="E33">
        <v>78.7</v>
      </c>
      <c r="F33">
        <v>95.5</v>
      </c>
    </row>
    <row r="34" spans="1:10" x14ac:dyDescent="0.2">
      <c r="A34" s="53">
        <v>19450</v>
      </c>
      <c r="G34">
        <v>2720.5659999999998</v>
      </c>
      <c r="H34">
        <v>7.6700951199124507E-3</v>
      </c>
      <c r="I34">
        <v>6.3517665074105778E-2</v>
      </c>
      <c r="J34">
        <v>3.103517103335451E-2</v>
      </c>
    </row>
    <row r="35" spans="1:10" x14ac:dyDescent="0.2">
      <c r="A35" s="53">
        <v>19541</v>
      </c>
      <c r="G35">
        <v>2705.2579999999998</v>
      </c>
      <c r="H35">
        <v>-5.6586100105793964E-3</v>
      </c>
      <c r="I35">
        <v>5.1420234225349311E-2</v>
      </c>
      <c r="J35">
        <v>-2.244304456530033E-2</v>
      </c>
    </row>
    <row r="36" spans="1:10" x14ac:dyDescent="0.2">
      <c r="A36" s="53">
        <v>19572</v>
      </c>
      <c r="D36">
        <v>80.8</v>
      </c>
    </row>
    <row r="37" spans="1:10" x14ac:dyDescent="0.2">
      <c r="A37" s="53">
        <v>19633</v>
      </c>
      <c r="G37">
        <v>2664.3020000000001</v>
      </c>
      <c r="H37">
        <v>-1.5372131237374621E-2</v>
      </c>
      <c r="I37">
        <v>5.2062416347696669E-3</v>
      </c>
      <c r="J37">
        <v>-6.0085184485163527E-2</v>
      </c>
    </row>
    <row r="38" spans="1:10" x14ac:dyDescent="0.2">
      <c r="A38" s="53">
        <v>19664</v>
      </c>
      <c r="D38">
        <v>80.7</v>
      </c>
      <c r="E38">
        <v>73.400000000000006</v>
      </c>
      <c r="F38">
        <v>83.9</v>
      </c>
    </row>
    <row r="39" spans="1:10" x14ac:dyDescent="0.2">
      <c r="A39" s="53">
        <v>19725</v>
      </c>
      <c r="G39">
        <v>2651.5659999999998</v>
      </c>
      <c r="H39">
        <v>-4.8031993169320806E-3</v>
      </c>
      <c r="I39">
        <v>-1.815266902653008E-2</v>
      </c>
      <c r="J39">
        <v>-1.907481564653779E-2</v>
      </c>
    </row>
    <row r="40" spans="1:10" x14ac:dyDescent="0.2">
      <c r="A40" s="53">
        <v>19756</v>
      </c>
      <c r="D40">
        <v>82</v>
      </c>
      <c r="E40">
        <v>75.7</v>
      </c>
      <c r="F40">
        <v>85.3</v>
      </c>
    </row>
    <row r="41" spans="1:10" x14ac:dyDescent="0.2">
      <c r="A41" s="53">
        <v>19815</v>
      </c>
      <c r="G41">
        <v>2654.4560000000001</v>
      </c>
      <c r="H41">
        <v>1.088735319025943E-3</v>
      </c>
      <c r="I41">
        <v>-2.4905291328995341E-2</v>
      </c>
      <c r="J41">
        <v>4.3620585071839626E-3</v>
      </c>
    </row>
    <row r="42" spans="1:10" x14ac:dyDescent="0.2">
      <c r="A42" s="53">
        <v>19845</v>
      </c>
      <c r="D42">
        <v>82.9</v>
      </c>
      <c r="E42">
        <v>81.400000000000006</v>
      </c>
      <c r="F42">
        <v>86.1</v>
      </c>
    </row>
    <row r="43" spans="1:10" x14ac:dyDescent="0.2">
      <c r="A43" s="53">
        <v>19906</v>
      </c>
      <c r="G43">
        <v>2684.4340000000002</v>
      </c>
      <c r="H43">
        <v>1.116734477360966E-2</v>
      </c>
      <c r="I43">
        <v>-7.7573149498179556E-3</v>
      </c>
      <c r="J43">
        <v>4.5423222882596807E-2</v>
      </c>
    </row>
    <row r="44" spans="1:10" x14ac:dyDescent="0.2">
      <c r="A44" s="53">
        <v>19998</v>
      </c>
      <c r="G44">
        <v>2736.96</v>
      </c>
      <c r="H44">
        <v>1.9191365602712441E-2</v>
      </c>
      <c r="I44">
        <v>2.654697182275222E-2</v>
      </c>
      <c r="J44">
        <v>7.9003722517557051E-2</v>
      </c>
    </row>
    <row r="45" spans="1:10" x14ac:dyDescent="0.2">
      <c r="A45" s="53">
        <v>20029</v>
      </c>
      <c r="D45">
        <v>87</v>
      </c>
      <c r="E45">
        <v>83.2</v>
      </c>
      <c r="F45">
        <v>89.7</v>
      </c>
    </row>
    <row r="46" spans="1:10" x14ac:dyDescent="0.2">
      <c r="A46" s="53">
        <v>20090</v>
      </c>
      <c r="G46">
        <v>2815.134</v>
      </c>
      <c r="H46">
        <v>2.7769193224905099E-2</v>
      </c>
      <c r="I46">
        <v>5.8103095625288252E-2</v>
      </c>
      <c r="J46">
        <v>0.1157897905123197</v>
      </c>
    </row>
    <row r="47" spans="1:10" x14ac:dyDescent="0.2">
      <c r="A47" s="53">
        <v>20121</v>
      </c>
      <c r="D47">
        <v>95.9</v>
      </c>
    </row>
    <row r="48" spans="1:10" x14ac:dyDescent="0.2">
      <c r="A48" s="53">
        <v>20180</v>
      </c>
      <c r="G48">
        <v>2860.942</v>
      </c>
      <c r="H48">
        <v>1.60115094958234E-2</v>
      </c>
      <c r="I48">
        <v>7.2174130059260155E-2</v>
      </c>
      <c r="J48">
        <v>6.5600733708688574E-2</v>
      </c>
    </row>
    <row r="49" spans="1:10" x14ac:dyDescent="0.2">
      <c r="A49" s="53">
        <v>20210</v>
      </c>
      <c r="D49">
        <v>99.1</v>
      </c>
      <c r="E49">
        <v>95</v>
      </c>
      <c r="F49">
        <v>99.9</v>
      </c>
    </row>
    <row r="50" spans="1:10" x14ac:dyDescent="0.2">
      <c r="A50" s="53">
        <v>20271</v>
      </c>
      <c r="G50">
        <v>2899.578</v>
      </c>
      <c r="H50">
        <v>1.332469759392573E-2</v>
      </c>
      <c r="I50">
        <v>7.4198383350956507E-2</v>
      </c>
      <c r="J50">
        <v>5.4373570365158441E-2</v>
      </c>
    </row>
    <row r="51" spans="1:10" x14ac:dyDescent="0.2">
      <c r="A51" s="53">
        <v>20363</v>
      </c>
      <c r="G51">
        <v>2916.9850000000001</v>
      </c>
      <c r="H51">
        <v>5.9674629797548326E-3</v>
      </c>
      <c r="I51">
        <v>6.1716121269050087E-2</v>
      </c>
      <c r="J51">
        <v>2.4084366893716291E-2</v>
      </c>
    </row>
    <row r="52" spans="1:10" x14ac:dyDescent="0.2">
      <c r="A52" s="53">
        <v>20394</v>
      </c>
      <c r="D52">
        <v>99.7</v>
      </c>
      <c r="E52">
        <v>94.6</v>
      </c>
      <c r="F52">
        <v>103.8</v>
      </c>
    </row>
    <row r="53" spans="1:10" x14ac:dyDescent="0.2">
      <c r="A53" s="53">
        <v>20455</v>
      </c>
      <c r="G53">
        <v>2905.6559999999999</v>
      </c>
      <c r="H53">
        <v>-3.898947432180608E-3</v>
      </c>
      <c r="I53">
        <v>3.115372225755559E-2</v>
      </c>
      <c r="J53">
        <v>-1.5504815835091451E-2</v>
      </c>
    </row>
    <row r="54" spans="1:10" x14ac:dyDescent="0.2">
      <c r="A54" s="53">
        <v>20546</v>
      </c>
      <c r="G54">
        <v>2929.6660000000002</v>
      </c>
      <c r="H54">
        <v>8.1954734771814315E-3</v>
      </c>
      <c r="I54">
        <v>2.345796415017963E-2</v>
      </c>
      <c r="J54">
        <v>3.3187094954714613E-2</v>
      </c>
    </row>
    <row r="55" spans="1:10" x14ac:dyDescent="0.2">
      <c r="A55" s="53">
        <v>20576</v>
      </c>
      <c r="D55">
        <v>98.2</v>
      </c>
      <c r="F55">
        <v>103.3</v>
      </c>
    </row>
    <row r="56" spans="1:10" x14ac:dyDescent="0.2">
      <c r="A56" s="53">
        <v>20637</v>
      </c>
      <c r="G56">
        <v>2927.0340000000001</v>
      </c>
      <c r="H56">
        <v>-8.9920376736316076E-4</v>
      </c>
      <c r="I56">
        <v>9.3801438589371112E-3</v>
      </c>
      <c r="J56">
        <v>-3.591966572574989E-3</v>
      </c>
    </row>
    <row r="57" spans="1:10" x14ac:dyDescent="0.2">
      <c r="A57" s="53">
        <v>20668</v>
      </c>
      <c r="D57">
        <v>99.9</v>
      </c>
      <c r="E57">
        <v>93.1</v>
      </c>
      <c r="F57">
        <v>105.2</v>
      </c>
    </row>
    <row r="58" spans="1:10" x14ac:dyDescent="0.2">
      <c r="A58" s="53">
        <v>20729</v>
      </c>
      <c r="G58">
        <v>2975.2089999999998</v>
      </c>
      <c r="H58">
        <v>1.6192139779087698E-2</v>
      </c>
      <c r="I58">
        <v>1.9569717623198809E-2</v>
      </c>
      <c r="J58">
        <v>6.6358721571254886E-2</v>
      </c>
    </row>
    <row r="59" spans="1:10" x14ac:dyDescent="0.2">
      <c r="A59" s="53">
        <v>20760</v>
      </c>
      <c r="D59">
        <v>100.2</v>
      </c>
      <c r="E59">
        <v>94.2</v>
      </c>
      <c r="F59">
        <v>105.2</v>
      </c>
    </row>
    <row r="60" spans="1:10" x14ac:dyDescent="0.2">
      <c r="A60" s="53">
        <v>20821</v>
      </c>
      <c r="G60">
        <v>2994.259</v>
      </c>
      <c r="H60">
        <v>6.3621750823827138E-3</v>
      </c>
      <c r="I60">
        <v>2.959096056820738E-2</v>
      </c>
      <c r="J60">
        <v>2.5692595692573761E-2</v>
      </c>
    </row>
    <row r="61" spans="1:10" x14ac:dyDescent="0.2">
      <c r="A61" s="53">
        <v>20911</v>
      </c>
      <c r="G61">
        <v>2987.6990000000001</v>
      </c>
      <c r="H61">
        <v>-2.1956696440973292E-3</v>
      </c>
      <c r="I61">
        <v>1.9423978118277611E-2</v>
      </c>
      <c r="J61">
        <v>-8.7537951030192129E-3</v>
      </c>
    </row>
    <row r="62" spans="1:10" x14ac:dyDescent="0.2">
      <c r="A62" s="53">
        <v>20941</v>
      </c>
      <c r="D62">
        <v>92.9</v>
      </c>
      <c r="E62">
        <v>88.9</v>
      </c>
      <c r="F62">
        <v>96.2</v>
      </c>
    </row>
    <row r="63" spans="1:10" x14ac:dyDescent="0.2">
      <c r="A63" s="53">
        <v>21002</v>
      </c>
      <c r="G63">
        <v>3016.9789999999998</v>
      </c>
      <c r="H63">
        <v>9.7050725245352212E-3</v>
      </c>
      <c r="I63">
        <v>2.9812935390004281E-2</v>
      </c>
      <c r="J63">
        <v>3.9389085988121852E-2</v>
      </c>
    </row>
    <row r="64" spans="1:10" x14ac:dyDescent="0.2">
      <c r="A64" s="53">
        <v>21094</v>
      </c>
      <c r="G64">
        <v>2985.7750000000001</v>
      </c>
      <c r="H64">
        <v>-1.045088796041219E-2</v>
      </c>
      <c r="I64">
        <v>3.5387797138097341E-3</v>
      </c>
      <c r="J64">
        <v>-4.1152779385651213E-2</v>
      </c>
    </row>
    <row r="65" spans="1:10" x14ac:dyDescent="0.2">
      <c r="A65" s="53">
        <v>21125</v>
      </c>
      <c r="D65">
        <v>83.7</v>
      </c>
      <c r="E65">
        <v>79.5</v>
      </c>
      <c r="F65">
        <v>86.3</v>
      </c>
    </row>
    <row r="66" spans="1:10" x14ac:dyDescent="0.2">
      <c r="A66" s="53">
        <v>21186</v>
      </c>
      <c r="G66">
        <v>2908.2809999999999</v>
      </c>
      <c r="H66">
        <v>-2.6645980907622109E-2</v>
      </c>
      <c r="I66">
        <v>-2.9563168070760721E-2</v>
      </c>
      <c r="J66">
        <v>-0.102399045197796</v>
      </c>
    </row>
    <row r="67" spans="1:10" x14ac:dyDescent="0.2">
      <c r="A67" s="53">
        <v>21217</v>
      </c>
      <c r="D67">
        <v>78.5</v>
      </c>
    </row>
    <row r="68" spans="1:10" x14ac:dyDescent="0.2">
      <c r="A68" s="53">
        <v>21276</v>
      </c>
      <c r="G68">
        <v>2927.395</v>
      </c>
      <c r="H68">
        <v>6.5293545968343981E-3</v>
      </c>
      <c r="I68">
        <v>-2.0599884880584989E-2</v>
      </c>
      <c r="J68">
        <v>2.637432848366594E-2</v>
      </c>
    </row>
    <row r="69" spans="1:10" x14ac:dyDescent="0.2">
      <c r="A69" s="53">
        <v>21306</v>
      </c>
      <c r="D69">
        <v>80.900000000000006</v>
      </c>
      <c r="E69">
        <v>78</v>
      </c>
      <c r="F69">
        <v>82.9</v>
      </c>
    </row>
    <row r="70" spans="1:10" x14ac:dyDescent="0.2">
      <c r="A70" s="53">
        <v>21367</v>
      </c>
      <c r="G70">
        <v>2995.1120000000001</v>
      </c>
      <c r="H70">
        <v>2.2609171209624249E-2</v>
      </c>
      <c r="I70">
        <v>-7.300895592552043E-3</v>
      </c>
      <c r="J70">
        <v>9.3550222812967432E-2</v>
      </c>
    </row>
    <row r="71" spans="1:10" x14ac:dyDescent="0.2">
      <c r="A71" s="53">
        <v>21459</v>
      </c>
      <c r="G71">
        <v>3065.1410000000001</v>
      </c>
      <c r="H71">
        <v>2.2846909815894271E-2</v>
      </c>
      <c r="I71">
        <v>2.5893099208160401E-2</v>
      </c>
      <c r="J71">
        <v>9.4567502094518474E-2</v>
      </c>
    </row>
    <row r="72" spans="1:10" x14ac:dyDescent="0.2">
      <c r="A72" s="53">
        <v>21490</v>
      </c>
      <c r="D72">
        <v>90.8</v>
      </c>
      <c r="E72">
        <v>86.7</v>
      </c>
      <c r="F72">
        <v>94.1</v>
      </c>
    </row>
    <row r="73" spans="1:10" x14ac:dyDescent="0.2">
      <c r="A73" s="53">
        <v>21551</v>
      </c>
      <c r="G73">
        <v>3123.9780000000001</v>
      </c>
      <c r="H73">
        <v>1.8833999471187048E-2</v>
      </c>
      <c r="I73">
        <v>6.9045620679787159E-2</v>
      </c>
      <c r="J73">
        <v>7.7491164077401198E-2</v>
      </c>
    </row>
    <row r="74" spans="1:10" x14ac:dyDescent="0.2">
      <c r="A74" s="53">
        <v>21641</v>
      </c>
      <c r="G74">
        <v>3194.4290000000001</v>
      </c>
      <c r="H74">
        <v>2.2054332714860781E-2</v>
      </c>
      <c r="I74">
        <v>8.3593656331068897E-2</v>
      </c>
      <c r="J74">
        <v>9.1178837331544749E-2</v>
      </c>
    </row>
    <row r="75" spans="1:10" x14ac:dyDescent="0.2">
      <c r="A75" s="53">
        <v>21671</v>
      </c>
      <c r="D75">
        <v>95.3</v>
      </c>
      <c r="E75">
        <v>92.7</v>
      </c>
      <c r="F75">
        <v>97.5</v>
      </c>
    </row>
    <row r="76" spans="1:10" x14ac:dyDescent="0.2">
      <c r="A76" s="53">
        <v>21732</v>
      </c>
      <c r="G76">
        <v>3196.683</v>
      </c>
      <c r="H76">
        <v>7.051058863202593E-4</v>
      </c>
      <c r="I76">
        <v>6.3056299295238191E-2</v>
      </c>
      <c r="J76">
        <v>2.8234079936362289E-3</v>
      </c>
    </row>
    <row r="77" spans="1:10" x14ac:dyDescent="0.2">
      <c r="A77" s="53">
        <v>21824</v>
      </c>
      <c r="G77">
        <v>3205.79</v>
      </c>
      <c r="H77">
        <v>2.840797432146202E-3</v>
      </c>
      <c r="I77">
        <v>4.3873429014377067E-2</v>
      </c>
      <c r="J77">
        <v>1.141170227643395E-2</v>
      </c>
    </row>
    <row r="78" spans="1:10" x14ac:dyDescent="0.2">
      <c r="A78" s="53">
        <v>21855</v>
      </c>
      <c r="D78">
        <v>93.8</v>
      </c>
      <c r="E78">
        <v>87</v>
      </c>
      <c r="F78">
        <v>95.8</v>
      </c>
    </row>
    <row r="79" spans="1:10" x14ac:dyDescent="0.2">
      <c r="A79" s="53">
        <v>21916</v>
      </c>
      <c r="G79">
        <v>3277.8470000000002</v>
      </c>
      <c r="H79">
        <v>2.198302727369528E-2</v>
      </c>
      <c r="I79">
        <v>4.6942093392400602E-2</v>
      </c>
      <c r="J79">
        <v>9.0874357055849009E-2</v>
      </c>
    </row>
    <row r="80" spans="1:10" x14ac:dyDescent="0.2">
      <c r="A80" s="53">
        <v>21947</v>
      </c>
      <c r="D80">
        <v>100</v>
      </c>
      <c r="E80">
        <v>99.6</v>
      </c>
      <c r="F80">
        <v>104.6</v>
      </c>
    </row>
    <row r="81" spans="1:10" x14ac:dyDescent="0.2">
      <c r="A81" s="53">
        <v>22007</v>
      </c>
      <c r="G81">
        <v>3260.1770000000001</v>
      </c>
      <c r="H81">
        <v>-5.4199511253530319E-3</v>
      </c>
      <c r="I81">
        <v>2.016700320258687E-2</v>
      </c>
      <c r="J81">
        <v>-2.150418528038589E-2</v>
      </c>
    </row>
    <row r="82" spans="1:10" x14ac:dyDescent="0.2">
      <c r="A82" s="53">
        <v>22037</v>
      </c>
      <c r="D82">
        <v>93.3</v>
      </c>
      <c r="E82">
        <v>91.6</v>
      </c>
      <c r="F82">
        <v>98.6</v>
      </c>
    </row>
    <row r="83" spans="1:10" x14ac:dyDescent="0.2">
      <c r="A83" s="53">
        <v>22098</v>
      </c>
      <c r="G83">
        <v>3276.1329999999998</v>
      </c>
      <c r="H83">
        <v>4.870376141627851E-3</v>
      </c>
      <c r="I83">
        <v>2.4251152196812471E-2</v>
      </c>
      <c r="J83">
        <v>1.962429062401316E-2</v>
      </c>
    </row>
    <row r="84" spans="1:10" x14ac:dyDescent="0.2">
      <c r="A84" s="53">
        <v>22129</v>
      </c>
      <c r="D84">
        <v>97.2</v>
      </c>
      <c r="E84">
        <v>96.9</v>
      </c>
      <c r="F84">
        <v>97.5</v>
      </c>
    </row>
    <row r="85" spans="1:10" x14ac:dyDescent="0.2">
      <c r="A85" s="53">
        <v>22190</v>
      </c>
      <c r="G85">
        <v>3234.087</v>
      </c>
      <c r="H85">
        <v>-1.3000887112807979E-2</v>
      </c>
      <c r="I85">
        <v>8.7496100135834396E-3</v>
      </c>
      <c r="J85">
        <v>-5.0998171287303003E-2</v>
      </c>
    </row>
    <row r="86" spans="1:10" x14ac:dyDescent="0.2">
      <c r="A86" s="53">
        <v>22221</v>
      </c>
      <c r="D86">
        <v>90.1</v>
      </c>
      <c r="E86">
        <v>89.3</v>
      </c>
      <c r="F86">
        <v>93.4</v>
      </c>
    </row>
    <row r="87" spans="1:10" x14ac:dyDescent="0.2">
      <c r="A87" s="53">
        <v>22282</v>
      </c>
      <c r="G87">
        <v>3255.9140000000002</v>
      </c>
      <c r="H87">
        <v>6.7038011446248959E-3</v>
      </c>
      <c r="I87">
        <v>-6.7363572870782189E-3</v>
      </c>
      <c r="J87">
        <v>2.7086057397671452E-2</v>
      </c>
    </row>
    <row r="88" spans="1:10" x14ac:dyDescent="0.2">
      <c r="A88" s="53">
        <v>22313</v>
      </c>
      <c r="D88">
        <v>91.6</v>
      </c>
      <c r="E88">
        <v>93.2</v>
      </c>
      <c r="F88">
        <v>94.9</v>
      </c>
    </row>
    <row r="89" spans="1:10" x14ac:dyDescent="0.2">
      <c r="A89" s="53">
        <v>22372</v>
      </c>
      <c r="G89">
        <v>3311.181</v>
      </c>
      <c r="H89">
        <v>1.6691023535107211E-2</v>
      </c>
      <c r="I89">
        <v>1.5403567488458021E-2</v>
      </c>
      <c r="J89">
        <v>6.8454313179651782E-2</v>
      </c>
    </row>
    <row r="90" spans="1:10" x14ac:dyDescent="0.2">
      <c r="A90" s="53">
        <v>22402</v>
      </c>
      <c r="D90">
        <v>92.5</v>
      </c>
      <c r="E90">
        <v>90.9</v>
      </c>
      <c r="F90">
        <v>98.1</v>
      </c>
    </row>
    <row r="91" spans="1:10" x14ac:dyDescent="0.2">
      <c r="A91" s="53">
        <v>22463</v>
      </c>
      <c r="G91">
        <v>3374.7420000000002</v>
      </c>
      <c r="H91">
        <v>1.883432866868049E-2</v>
      </c>
      <c r="I91">
        <v>2.921971516637431E-2</v>
      </c>
      <c r="J91">
        <v>7.7492556679385816E-2</v>
      </c>
    </row>
    <row r="92" spans="1:10" x14ac:dyDescent="0.2">
      <c r="A92" s="53">
        <v>22494</v>
      </c>
      <c r="D92">
        <v>99.2</v>
      </c>
      <c r="E92">
        <v>100.2</v>
      </c>
      <c r="F92">
        <v>98.5</v>
      </c>
    </row>
    <row r="93" spans="1:10" x14ac:dyDescent="0.2">
      <c r="A93" s="53">
        <v>22555</v>
      </c>
      <c r="G93">
        <v>3440.924</v>
      </c>
      <c r="H93">
        <v>1.9233787203669649E-2</v>
      </c>
      <c r="I93">
        <v>6.0110888819398509E-2</v>
      </c>
      <c r="J93">
        <v>7.9183378369350965E-2</v>
      </c>
    </row>
    <row r="94" spans="1:10" x14ac:dyDescent="0.2">
      <c r="A94" s="53">
        <v>22586</v>
      </c>
      <c r="D94">
        <v>93</v>
      </c>
      <c r="E94">
        <v>94</v>
      </c>
      <c r="F94">
        <v>96.8</v>
      </c>
    </row>
    <row r="95" spans="1:10" x14ac:dyDescent="0.2">
      <c r="A95" s="53">
        <v>22647</v>
      </c>
      <c r="G95">
        <v>3502.2979999999998</v>
      </c>
      <c r="H95">
        <v>1.752392286435929E-2</v>
      </c>
      <c r="I95">
        <v>7.0349239270901448E-2</v>
      </c>
      <c r="J95">
        <v>7.1959838532499987E-2</v>
      </c>
    </row>
    <row r="96" spans="1:10" x14ac:dyDescent="0.2">
      <c r="A96" s="53">
        <v>22678</v>
      </c>
      <c r="D96">
        <v>99.9</v>
      </c>
      <c r="E96">
        <v>100.8</v>
      </c>
      <c r="F96">
        <v>103.4</v>
      </c>
    </row>
    <row r="97" spans="1:10" x14ac:dyDescent="0.2">
      <c r="A97" s="53">
        <v>22737</v>
      </c>
      <c r="G97">
        <v>3533.9470000000001</v>
      </c>
      <c r="H97">
        <v>8.9557087302102548E-3</v>
      </c>
      <c r="I97">
        <v>6.3036033081424275E-2</v>
      </c>
      <c r="J97">
        <v>3.6306942827204043E-2</v>
      </c>
    </row>
    <row r="98" spans="1:10" x14ac:dyDescent="0.2">
      <c r="A98" s="53">
        <v>22767</v>
      </c>
      <c r="D98">
        <v>95.4</v>
      </c>
      <c r="E98">
        <v>94.2</v>
      </c>
      <c r="F98">
        <v>96.5</v>
      </c>
    </row>
    <row r="99" spans="1:10" x14ac:dyDescent="0.2">
      <c r="A99" s="53">
        <v>22828</v>
      </c>
      <c r="G99">
        <v>3577.3620000000001</v>
      </c>
      <c r="H99">
        <v>1.213603767245248E-2</v>
      </c>
      <c r="I99">
        <v>5.663950139795746E-2</v>
      </c>
      <c r="J99">
        <v>4.9435022592603677E-2</v>
      </c>
    </row>
    <row r="100" spans="1:10" x14ac:dyDescent="0.2">
      <c r="A100" s="53">
        <v>22859</v>
      </c>
      <c r="D100">
        <v>91.6</v>
      </c>
      <c r="E100">
        <v>95.6</v>
      </c>
      <c r="F100">
        <v>93.4</v>
      </c>
    </row>
    <row r="101" spans="1:10" x14ac:dyDescent="0.2">
      <c r="A101" s="53">
        <v>22920</v>
      </c>
      <c r="G101">
        <v>3589.1280000000002</v>
      </c>
      <c r="H101">
        <v>3.2782335988017358E-3</v>
      </c>
      <c r="I101">
        <v>4.1292481070611071E-2</v>
      </c>
      <c r="J101">
        <v>1.31775563261578E-2</v>
      </c>
    </row>
    <row r="102" spans="1:10" x14ac:dyDescent="0.2">
      <c r="A102" s="53">
        <v>22951</v>
      </c>
      <c r="D102">
        <v>95</v>
      </c>
      <c r="E102">
        <v>95.5</v>
      </c>
      <c r="F102">
        <v>99.2</v>
      </c>
    </row>
    <row r="103" spans="1:10" x14ac:dyDescent="0.2">
      <c r="A103" s="53">
        <v>23012</v>
      </c>
      <c r="G103">
        <v>3628.306</v>
      </c>
      <c r="H103">
        <v>1.0797876474586181E-2</v>
      </c>
      <c r="I103">
        <v>3.4729154597214311E-2</v>
      </c>
      <c r="J103">
        <v>4.3896120187028258E-2</v>
      </c>
    </row>
    <row r="104" spans="1:10" x14ac:dyDescent="0.2">
      <c r="A104" s="53">
        <v>23043</v>
      </c>
      <c r="D104">
        <v>98.4</v>
      </c>
      <c r="E104">
        <v>103.2</v>
      </c>
      <c r="F104">
        <v>99.9</v>
      </c>
    </row>
    <row r="105" spans="1:10" x14ac:dyDescent="0.2">
      <c r="A105" s="53">
        <v>23102</v>
      </c>
      <c r="G105">
        <v>3669.02</v>
      </c>
      <c r="H105">
        <v>1.109669612048992E-2</v>
      </c>
      <c r="I105">
        <v>3.6814462717564868E-2</v>
      </c>
      <c r="J105">
        <v>4.5131085273942828E-2</v>
      </c>
    </row>
    <row r="106" spans="1:10" x14ac:dyDescent="0.2">
      <c r="A106" s="53">
        <v>23132</v>
      </c>
      <c r="D106">
        <v>91.7</v>
      </c>
      <c r="E106">
        <v>94.3</v>
      </c>
      <c r="F106">
        <v>94.1</v>
      </c>
    </row>
    <row r="107" spans="1:10" x14ac:dyDescent="0.2">
      <c r="A107" s="53">
        <v>23193</v>
      </c>
      <c r="G107">
        <v>3749.681</v>
      </c>
      <c r="H107">
        <v>2.1511429905637321E-2</v>
      </c>
      <c r="I107">
        <v>4.5955642626666099E-2</v>
      </c>
      <c r="J107">
        <v>8.8862200387262558E-2</v>
      </c>
    </row>
    <row r="108" spans="1:10" x14ac:dyDescent="0.2">
      <c r="A108" s="53">
        <v>23224</v>
      </c>
      <c r="D108">
        <v>96.4</v>
      </c>
      <c r="E108">
        <v>102.3</v>
      </c>
      <c r="F108">
        <v>97</v>
      </c>
    </row>
    <row r="109" spans="1:10" x14ac:dyDescent="0.2">
      <c r="A109" s="53">
        <v>23285</v>
      </c>
      <c r="G109">
        <v>3774.2640000000001</v>
      </c>
      <c r="H109">
        <v>6.5133228624177017E-3</v>
      </c>
      <c r="I109">
        <v>4.9052212563826997E-2</v>
      </c>
      <c r="J109">
        <v>2.6308938766219651E-2</v>
      </c>
    </row>
    <row r="110" spans="1:10" x14ac:dyDescent="0.2">
      <c r="A110" s="53">
        <v>23316</v>
      </c>
      <c r="D110">
        <v>94.4</v>
      </c>
      <c r="E110">
        <v>97.6</v>
      </c>
      <c r="F110">
        <v>97</v>
      </c>
    </row>
    <row r="111" spans="1:10" x14ac:dyDescent="0.2">
      <c r="A111" s="53">
        <v>23377</v>
      </c>
      <c r="G111">
        <v>3853.835</v>
      </c>
      <c r="H111">
        <v>2.064722542610151E-2</v>
      </c>
      <c r="I111">
        <v>5.8520668373191899E-2</v>
      </c>
      <c r="J111">
        <v>8.5182139252342637E-2</v>
      </c>
    </row>
    <row r="112" spans="1:10" x14ac:dyDescent="0.2">
      <c r="A112" s="53">
        <v>23408</v>
      </c>
      <c r="D112">
        <v>99.5</v>
      </c>
      <c r="E112">
        <v>99.5</v>
      </c>
      <c r="F112">
        <v>99.4</v>
      </c>
    </row>
    <row r="113" spans="1:10" x14ac:dyDescent="0.2">
      <c r="A113" s="53">
        <v>23468</v>
      </c>
      <c r="G113">
        <v>3895.7930000000001</v>
      </c>
      <c r="H113">
        <v>1.077007941643719E-2</v>
      </c>
      <c r="I113">
        <v>5.8209714941219959E-2</v>
      </c>
      <c r="J113">
        <v>4.3781295868990273E-2</v>
      </c>
    </row>
    <row r="114" spans="1:10" x14ac:dyDescent="0.2">
      <c r="A114" s="53">
        <v>23498</v>
      </c>
      <c r="D114">
        <v>98.5</v>
      </c>
      <c r="E114">
        <v>99.9</v>
      </c>
      <c r="F114">
        <v>97.2</v>
      </c>
    </row>
    <row r="115" spans="1:10" x14ac:dyDescent="0.2">
      <c r="A115" s="53">
        <v>23559</v>
      </c>
      <c r="G115">
        <v>3956.6570000000002</v>
      </c>
      <c r="H115">
        <v>1.5382682906301969E-2</v>
      </c>
      <c r="I115">
        <v>5.2310827044143603E-2</v>
      </c>
      <c r="J115">
        <v>6.2965109046222434E-2</v>
      </c>
    </row>
    <row r="116" spans="1:10" x14ac:dyDescent="0.2">
      <c r="A116" s="53">
        <v>23590</v>
      </c>
      <c r="D116">
        <v>100.6</v>
      </c>
    </row>
    <row r="117" spans="1:10" x14ac:dyDescent="0.2">
      <c r="A117" s="53">
        <v>23651</v>
      </c>
      <c r="G117">
        <v>3968.8780000000002</v>
      </c>
      <c r="H117">
        <v>3.0792077761019618E-3</v>
      </c>
      <c r="I117">
        <v>4.9035016949374607E-2</v>
      </c>
      <c r="J117">
        <v>1.237383709976436E-2</v>
      </c>
    </row>
    <row r="118" spans="1:10" x14ac:dyDescent="0.2">
      <c r="A118" s="53">
        <v>23682</v>
      </c>
      <c r="D118">
        <v>99.9</v>
      </c>
    </row>
    <row r="119" spans="1:10" x14ac:dyDescent="0.2">
      <c r="A119" s="53">
        <v>23743</v>
      </c>
      <c r="G119">
        <v>4064.915</v>
      </c>
      <c r="H119">
        <v>2.362583227447556E-2</v>
      </c>
      <c r="I119">
        <v>5.192728507238157E-2</v>
      </c>
      <c r="J119">
        <v>9.7905470230302827E-2</v>
      </c>
    </row>
    <row r="120" spans="1:10" x14ac:dyDescent="0.2">
      <c r="A120" s="53">
        <v>23774</v>
      </c>
      <c r="D120">
        <v>102</v>
      </c>
      <c r="E120">
        <v>100.4</v>
      </c>
      <c r="F120">
        <v>103</v>
      </c>
    </row>
    <row r="121" spans="1:10" x14ac:dyDescent="0.2">
      <c r="A121" s="53">
        <v>23833</v>
      </c>
      <c r="G121">
        <v>4116.2669999999998</v>
      </c>
      <c r="H121">
        <v>1.247538121312341E-2</v>
      </c>
      <c r="I121">
        <v>5.356163727960303E-2</v>
      </c>
      <c r="J121">
        <v>5.0843126323893102E-2</v>
      </c>
    </row>
    <row r="122" spans="1:10" x14ac:dyDescent="0.2">
      <c r="A122" s="53">
        <v>23863</v>
      </c>
      <c r="D122">
        <v>105.4</v>
      </c>
      <c r="E122">
        <v>109</v>
      </c>
      <c r="F122">
        <v>103.1</v>
      </c>
    </row>
    <row r="123" spans="1:10" x14ac:dyDescent="0.2">
      <c r="A123" s="53">
        <v>23924</v>
      </c>
      <c r="G123">
        <v>4207.7820000000002</v>
      </c>
      <c r="H123">
        <v>2.1748987946618989E-2</v>
      </c>
      <c r="I123">
        <v>5.9681086139918842E-2</v>
      </c>
      <c r="J123">
        <v>8.9875437085761956E-2</v>
      </c>
    </row>
    <row r="124" spans="1:10" x14ac:dyDescent="0.2">
      <c r="A124" s="53">
        <v>23955</v>
      </c>
      <c r="D124">
        <v>103.4</v>
      </c>
      <c r="E124">
        <v>102.9</v>
      </c>
      <c r="F124">
        <v>104.3</v>
      </c>
    </row>
    <row r="125" spans="1:10" x14ac:dyDescent="0.2">
      <c r="A125" s="53">
        <v>24016</v>
      </c>
      <c r="G125">
        <v>4304.7309999999998</v>
      </c>
      <c r="H125">
        <v>2.252150018200896E-2</v>
      </c>
      <c r="I125">
        <v>7.8019509232981024E-2</v>
      </c>
      <c r="J125">
        <v>9.3175259059249838E-2</v>
      </c>
    </row>
    <row r="126" spans="1:10" x14ac:dyDescent="0.2">
      <c r="A126" s="53">
        <v>24047</v>
      </c>
      <c r="D126">
        <v>102.9</v>
      </c>
      <c r="E126">
        <v>100</v>
      </c>
      <c r="F126">
        <v>104.8</v>
      </c>
    </row>
    <row r="127" spans="1:10" x14ac:dyDescent="0.2">
      <c r="A127" s="53">
        <v>24108</v>
      </c>
      <c r="G127">
        <v>4409.518</v>
      </c>
      <c r="H127">
        <v>2.3763821805467229E-2</v>
      </c>
      <c r="I127">
        <v>7.8149811385280668E-2</v>
      </c>
      <c r="J127">
        <v>9.849760103878924E-2</v>
      </c>
    </row>
    <row r="128" spans="1:10" x14ac:dyDescent="0.2">
      <c r="A128" s="53">
        <v>24139</v>
      </c>
      <c r="D128">
        <v>100</v>
      </c>
      <c r="E128">
        <v>100</v>
      </c>
      <c r="F128">
        <v>100</v>
      </c>
    </row>
    <row r="129" spans="1:10" x14ac:dyDescent="0.2">
      <c r="A129" s="53">
        <v>24198</v>
      </c>
      <c r="G129">
        <v>4424.5810000000001</v>
      </c>
      <c r="H129">
        <v>3.4043901558136469E-3</v>
      </c>
      <c r="I129">
        <v>6.9682078370810765E-2</v>
      </c>
      <c r="J129">
        <v>1.368725781736679E-2</v>
      </c>
    </row>
    <row r="130" spans="1:10" x14ac:dyDescent="0.2">
      <c r="A130" s="53">
        <v>24228</v>
      </c>
      <c r="D130">
        <v>95.7</v>
      </c>
      <c r="E130">
        <v>95.7</v>
      </c>
      <c r="F130">
        <v>96</v>
      </c>
    </row>
    <row r="131" spans="1:10" x14ac:dyDescent="0.2">
      <c r="A131" s="53">
        <v>24289</v>
      </c>
      <c r="G131">
        <v>4462.0529999999999</v>
      </c>
      <c r="H131">
        <v>8.3979280389542103E-3</v>
      </c>
      <c r="I131">
        <v>5.6985203896054069E-2</v>
      </c>
      <c r="J131">
        <v>3.4017237363766162E-2</v>
      </c>
    </row>
    <row r="132" spans="1:10" x14ac:dyDescent="0.2">
      <c r="A132" s="53">
        <v>24320</v>
      </c>
      <c r="D132">
        <v>91.2</v>
      </c>
      <c r="E132">
        <v>92</v>
      </c>
      <c r="F132">
        <v>90.7</v>
      </c>
    </row>
    <row r="133" spans="1:10" x14ac:dyDescent="0.2">
      <c r="A133" s="53">
        <v>24381</v>
      </c>
      <c r="G133">
        <v>4498.66</v>
      </c>
      <c r="H133">
        <v>8.1373119995731998E-3</v>
      </c>
      <c r="I133">
        <v>4.3108169988396568E-2</v>
      </c>
      <c r="J133">
        <v>3.2948702738312852E-2</v>
      </c>
    </row>
    <row r="134" spans="1:10" x14ac:dyDescent="0.2">
      <c r="A134" s="53">
        <v>24412</v>
      </c>
      <c r="D134">
        <v>88.3</v>
      </c>
      <c r="E134">
        <v>85.1</v>
      </c>
      <c r="F134">
        <v>90.2</v>
      </c>
    </row>
    <row r="135" spans="1:10" x14ac:dyDescent="0.2">
      <c r="A135" s="53">
        <v>24473</v>
      </c>
      <c r="G135">
        <v>4538.4979999999996</v>
      </c>
      <c r="H135">
        <v>8.7777938868761739E-3</v>
      </c>
      <c r="I135">
        <v>2.8419093717789359E-2</v>
      </c>
      <c r="J135">
        <v>3.5576184781610953E-2</v>
      </c>
    </row>
    <row r="136" spans="1:10" x14ac:dyDescent="0.2">
      <c r="A136" s="53">
        <v>24504</v>
      </c>
      <c r="D136">
        <v>94.1</v>
      </c>
      <c r="E136">
        <v>90.4</v>
      </c>
      <c r="F136">
        <v>96.4</v>
      </c>
    </row>
    <row r="137" spans="1:10" x14ac:dyDescent="0.2">
      <c r="A137" s="53">
        <v>24563</v>
      </c>
      <c r="G137">
        <v>4541.28</v>
      </c>
      <c r="H137">
        <v>6.1260261424095255E-4</v>
      </c>
      <c r="I137">
        <v>2.5697380474227451E-2</v>
      </c>
      <c r="J137">
        <v>2.452663068477579E-3</v>
      </c>
    </row>
    <row r="138" spans="1:10" x14ac:dyDescent="0.2">
      <c r="A138" s="53">
        <v>24593</v>
      </c>
      <c r="D138">
        <v>95.9</v>
      </c>
      <c r="E138">
        <v>98.4</v>
      </c>
      <c r="F138">
        <v>94.3</v>
      </c>
    </row>
    <row r="139" spans="1:10" x14ac:dyDescent="0.2">
      <c r="A139" s="53">
        <v>24654</v>
      </c>
      <c r="G139">
        <v>4584.2460000000001</v>
      </c>
      <c r="H139">
        <v>9.3725336729312408E-3</v>
      </c>
      <c r="I139">
        <v>2.665498317498673E-2</v>
      </c>
      <c r="J139">
        <v>3.8020502030980508E-2</v>
      </c>
    </row>
    <row r="140" spans="1:10" x14ac:dyDescent="0.2">
      <c r="A140" s="53">
        <v>24685</v>
      </c>
      <c r="D140">
        <v>97</v>
      </c>
      <c r="E140">
        <v>99.5</v>
      </c>
      <c r="F140">
        <v>95.5</v>
      </c>
    </row>
    <row r="141" spans="1:10" x14ac:dyDescent="0.2">
      <c r="A141" s="53">
        <v>24746</v>
      </c>
      <c r="G141">
        <v>4618.8119999999999</v>
      </c>
      <c r="H141">
        <v>7.4837425727654217E-3</v>
      </c>
      <c r="I141">
        <v>2.6013615622372172E-2</v>
      </c>
      <c r="J141">
        <v>3.0272688395158062E-2</v>
      </c>
    </row>
    <row r="142" spans="1:10" x14ac:dyDescent="0.2">
      <c r="A142" s="53">
        <v>24777</v>
      </c>
      <c r="D142">
        <v>92.9</v>
      </c>
      <c r="E142">
        <v>95.6</v>
      </c>
      <c r="F142">
        <v>91.1</v>
      </c>
    </row>
    <row r="143" spans="1:10" x14ac:dyDescent="0.2">
      <c r="A143" s="53">
        <v>24838</v>
      </c>
      <c r="G143">
        <v>4713.0129999999999</v>
      </c>
      <c r="H143">
        <v>1.9987426302452389E-2</v>
      </c>
      <c r="I143">
        <v>3.7028329860325088E-2</v>
      </c>
      <c r="J143">
        <v>8.2378787753193849E-2</v>
      </c>
    </row>
    <row r="144" spans="1:10" x14ac:dyDescent="0.2">
      <c r="A144" s="53">
        <v>24869</v>
      </c>
      <c r="D144">
        <v>97.2</v>
      </c>
      <c r="E144">
        <v>101.6</v>
      </c>
      <c r="F144">
        <v>94.3</v>
      </c>
    </row>
    <row r="145" spans="1:10" x14ac:dyDescent="0.2">
      <c r="A145" s="53">
        <v>24929</v>
      </c>
      <c r="G145">
        <v>4791.7579999999998</v>
      </c>
      <c r="H145">
        <v>1.643342589504727E-2</v>
      </c>
      <c r="I145">
        <v>5.2272673202611669E-2</v>
      </c>
      <c r="J145">
        <v>6.7371873309900687E-2</v>
      </c>
    </row>
    <row r="146" spans="1:10" x14ac:dyDescent="0.2">
      <c r="A146" s="53">
        <v>24959</v>
      </c>
      <c r="D146">
        <v>92.4</v>
      </c>
      <c r="E146">
        <v>96.4</v>
      </c>
      <c r="F146">
        <v>89.9</v>
      </c>
    </row>
    <row r="147" spans="1:10" x14ac:dyDescent="0.2">
      <c r="A147" s="53">
        <v>25020</v>
      </c>
      <c r="G147">
        <v>4828.8919999999998</v>
      </c>
      <c r="H147">
        <v>7.6899628320534017E-3</v>
      </c>
      <c r="I147">
        <v>5.0662967819532882E-2</v>
      </c>
      <c r="J147">
        <v>3.111648699543523E-2</v>
      </c>
    </row>
    <row r="148" spans="1:10" x14ac:dyDescent="0.2">
      <c r="A148" s="53">
        <v>25051</v>
      </c>
      <c r="D148">
        <v>92.4</v>
      </c>
      <c r="E148">
        <v>96.8</v>
      </c>
      <c r="F148">
        <v>89.6</v>
      </c>
    </row>
    <row r="149" spans="1:10" x14ac:dyDescent="0.2">
      <c r="A149" s="53">
        <v>25112</v>
      </c>
      <c r="G149">
        <v>4847.8850000000002</v>
      </c>
      <c r="H149">
        <v>3.9177909541996958E-3</v>
      </c>
      <c r="I149">
        <v>4.7252152227208417E-2</v>
      </c>
      <c r="J149">
        <v>1.5763499106198339E-2</v>
      </c>
    </row>
    <row r="150" spans="1:10" x14ac:dyDescent="0.2">
      <c r="A150" s="53">
        <v>25143</v>
      </c>
      <c r="D150">
        <v>91.7</v>
      </c>
      <c r="E150">
        <v>91.9</v>
      </c>
      <c r="F150">
        <v>91.6</v>
      </c>
    </row>
    <row r="151" spans="1:10" x14ac:dyDescent="0.2">
      <c r="A151" s="53">
        <v>25204</v>
      </c>
      <c r="G151">
        <v>4923.76</v>
      </c>
      <c r="H151">
        <v>1.5409971241490241E-2</v>
      </c>
      <c r="I151">
        <v>4.280204559117428E-2</v>
      </c>
      <c r="J151">
        <v>6.3079382090353686E-2</v>
      </c>
    </row>
    <row r="152" spans="1:10" x14ac:dyDescent="0.2">
      <c r="A152" s="53">
        <v>25235</v>
      </c>
      <c r="D152">
        <v>98.2</v>
      </c>
      <c r="E152">
        <v>98.3</v>
      </c>
      <c r="F152">
        <v>98</v>
      </c>
    </row>
    <row r="153" spans="1:10" x14ac:dyDescent="0.2">
      <c r="A153" s="53">
        <v>25294</v>
      </c>
      <c r="G153">
        <v>4938.7280000000001</v>
      </c>
      <c r="H153">
        <v>3.0307398990185022E-3</v>
      </c>
      <c r="I153">
        <v>2.9758674703283979E-2</v>
      </c>
      <c r="J153">
        <v>1.217818334050191E-2</v>
      </c>
    </row>
    <row r="154" spans="1:10" x14ac:dyDescent="0.2">
      <c r="A154" s="53">
        <v>25324</v>
      </c>
      <c r="D154">
        <v>91.5</v>
      </c>
      <c r="E154">
        <v>92.2</v>
      </c>
      <c r="F154">
        <v>91.1</v>
      </c>
    </row>
    <row r="155" spans="1:10" x14ac:dyDescent="0.2">
      <c r="A155" s="53">
        <v>25385</v>
      </c>
      <c r="G155">
        <v>4971.3490000000002</v>
      </c>
      <c r="H155">
        <v>6.561800428817227E-3</v>
      </c>
      <c r="I155">
        <v>2.865560233248568E-2</v>
      </c>
      <c r="J155">
        <v>2.650667705006593E-2</v>
      </c>
    </row>
    <row r="156" spans="1:10" x14ac:dyDescent="0.2">
      <c r="A156" s="53">
        <v>25416</v>
      </c>
      <c r="D156">
        <v>86.4</v>
      </c>
      <c r="E156">
        <v>86.2</v>
      </c>
      <c r="F156">
        <v>86.6</v>
      </c>
    </row>
    <row r="157" spans="1:10" x14ac:dyDescent="0.2">
      <c r="A157" s="53">
        <v>25477</v>
      </c>
      <c r="G157">
        <v>4947.1040000000003</v>
      </c>
      <c r="H157">
        <v>-4.9008470410162978E-3</v>
      </c>
      <c r="I157">
        <v>2.005597618323772E-2</v>
      </c>
      <c r="J157">
        <v>-1.945974861696154E-2</v>
      </c>
    </row>
    <row r="158" spans="1:10" x14ac:dyDescent="0.2">
      <c r="A158" s="53">
        <v>25508</v>
      </c>
      <c r="D158">
        <v>79.7</v>
      </c>
      <c r="E158">
        <v>79.900000000000006</v>
      </c>
      <c r="F158">
        <v>79.599999999999994</v>
      </c>
    </row>
    <row r="159" spans="1:10" x14ac:dyDescent="0.2">
      <c r="A159" s="53">
        <v>25569</v>
      </c>
      <c r="G159">
        <v>4939.759</v>
      </c>
      <c r="H159">
        <v>-1.4869146450262559E-3</v>
      </c>
      <c r="I159">
        <v>3.2388219749181681E-3</v>
      </c>
      <c r="J159">
        <v>-5.9344062340158654E-3</v>
      </c>
    </row>
    <row r="160" spans="1:10" x14ac:dyDescent="0.2">
      <c r="A160" s="53">
        <v>25600</v>
      </c>
      <c r="D160">
        <v>78.099999999999994</v>
      </c>
      <c r="E160">
        <v>81.599999999999994</v>
      </c>
      <c r="F160">
        <v>75.8</v>
      </c>
    </row>
    <row r="161" spans="1:10" x14ac:dyDescent="0.2">
      <c r="A161" s="53">
        <v>25659</v>
      </c>
      <c r="G161">
        <v>4946.7700000000004</v>
      </c>
      <c r="H161">
        <v>1.4172884528693311E-3</v>
      </c>
      <c r="I161">
        <v>1.625707279699758E-3</v>
      </c>
      <c r="J161">
        <v>5.6812174425306949E-3</v>
      </c>
    </row>
    <row r="162" spans="1:10" x14ac:dyDescent="0.2">
      <c r="A162" s="53">
        <v>25689</v>
      </c>
      <c r="D162">
        <v>75.400000000000006</v>
      </c>
      <c r="E162">
        <v>81.900000000000006</v>
      </c>
      <c r="F162">
        <v>71.2</v>
      </c>
    </row>
    <row r="163" spans="1:10" x14ac:dyDescent="0.2">
      <c r="A163" s="53">
        <v>25750</v>
      </c>
      <c r="G163">
        <v>4992.357</v>
      </c>
      <c r="H163">
        <v>9.1313581941354621E-3</v>
      </c>
      <c r="I163">
        <v>4.20803239832404E-3</v>
      </c>
      <c r="J163">
        <v>3.7028775496636079E-2</v>
      </c>
    </row>
    <row r="164" spans="1:10" x14ac:dyDescent="0.2">
      <c r="A164" s="53">
        <v>25781</v>
      </c>
      <c r="D164">
        <v>77.599999999999994</v>
      </c>
      <c r="E164">
        <v>80.599999999999994</v>
      </c>
      <c r="F164">
        <v>75.7</v>
      </c>
    </row>
    <row r="165" spans="1:10" x14ac:dyDescent="0.2">
      <c r="A165" s="53">
        <v>25842</v>
      </c>
      <c r="G165">
        <v>4938.857</v>
      </c>
      <c r="H165">
        <v>-1.0832465892411949E-2</v>
      </c>
      <c r="I165">
        <v>-1.669819555415413E-3</v>
      </c>
      <c r="J165">
        <v>-4.2630880323166753E-2</v>
      </c>
    </row>
    <row r="166" spans="1:10" x14ac:dyDescent="0.2">
      <c r="A166" s="53">
        <v>25873</v>
      </c>
      <c r="D166">
        <v>72.400000000000006</v>
      </c>
      <c r="E166">
        <v>74</v>
      </c>
      <c r="F166">
        <v>71.3</v>
      </c>
    </row>
    <row r="167" spans="1:10" x14ac:dyDescent="0.2">
      <c r="A167" s="53">
        <v>25934</v>
      </c>
      <c r="G167">
        <v>5072.9960000000001</v>
      </c>
      <c r="H167">
        <v>2.644177129254589E-2</v>
      </c>
      <c r="I167">
        <v>2.6263967091635809E-2</v>
      </c>
      <c r="J167">
        <v>0.11003652650367581</v>
      </c>
    </row>
    <row r="168" spans="1:10" x14ac:dyDescent="0.2">
      <c r="A168" s="53">
        <v>25965</v>
      </c>
      <c r="D168">
        <v>78.099999999999994</v>
      </c>
      <c r="E168">
        <v>81.7</v>
      </c>
      <c r="F168">
        <v>75.900000000000006</v>
      </c>
    </row>
    <row r="169" spans="1:10" x14ac:dyDescent="0.2">
      <c r="A169" s="53">
        <v>26024</v>
      </c>
      <c r="G169">
        <v>5100.4470000000001</v>
      </c>
      <c r="H169">
        <v>5.3820772963624596E-3</v>
      </c>
      <c r="I169">
        <v>3.0130104283016702E-2</v>
      </c>
      <c r="J169">
        <v>2.1702734165946591E-2</v>
      </c>
    </row>
    <row r="170" spans="1:10" x14ac:dyDescent="0.2">
      <c r="A170" s="53">
        <v>26054</v>
      </c>
      <c r="D170">
        <v>80.2</v>
      </c>
      <c r="E170">
        <v>87</v>
      </c>
      <c r="F170">
        <v>75.900000000000006</v>
      </c>
    </row>
    <row r="171" spans="1:10" x14ac:dyDescent="0.2">
      <c r="A171" s="53">
        <v>26115</v>
      </c>
      <c r="G171">
        <v>5142.4219999999996</v>
      </c>
      <c r="H171">
        <v>8.1624961934278154E-3</v>
      </c>
      <c r="I171">
        <v>2.9181774657933479E-2</v>
      </c>
      <c r="J171">
        <v>3.3051922626548443E-2</v>
      </c>
    </row>
    <row r="172" spans="1:10" x14ac:dyDescent="0.2">
      <c r="A172" s="53">
        <v>26146</v>
      </c>
      <c r="D172">
        <v>82.1</v>
      </c>
      <c r="E172">
        <v>87.8</v>
      </c>
      <c r="F172">
        <v>78.400000000000006</v>
      </c>
    </row>
    <row r="173" spans="1:10" x14ac:dyDescent="0.2">
      <c r="A173" s="53">
        <v>26207</v>
      </c>
      <c r="G173">
        <v>5154.5469999999996</v>
      </c>
      <c r="H173">
        <v>2.3522920636866828E-3</v>
      </c>
      <c r="I173">
        <v>4.1844608265284917E-2</v>
      </c>
      <c r="J173">
        <v>9.442420016624542E-3</v>
      </c>
    </row>
    <row r="174" spans="1:10" x14ac:dyDescent="0.2">
      <c r="A174" s="53">
        <v>26238</v>
      </c>
      <c r="D174">
        <v>82</v>
      </c>
      <c r="E174">
        <v>89.6</v>
      </c>
      <c r="F174">
        <v>77.2</v>
      </c>
    </row>
    <row r="175" spans="1:10" x14ac:dyDescent="0.2">
      <c r="A175" s="53">
        <v>26299</v>
      </c>
      <c r="G175">
        <v>5249.3370000000004</v>
      </c>
      <c r="H175">
        <v>1.8057518501860499E-2</v>
      </c>
      <c r="I175">
        <v>3.3593004221295047E-2</v>
      </c>
      <c r="J175">
        <v>7.4210176525655314E-2</v>
      </c>
    </row>
    <row r="176" spans="1:10" x14ac:dyDescent="0.2">
      <c r="A176" s="53">
        <v>26330</v>
      </c>
      <c r="D176">
        <v>92.8</v>
      </c>
      <c r="E176">
        <v>95.7</v>
      </c>
      <c r="F176">
        <v>90.9</v>
      </c>
    </row>
    <row r="177" spans="1:10" x14ac:dyDescent="0.2">
      <c r="A177" s="53">
        <v>26390</v>
      </c>
      <c r="G177">
        <v>5368.4849999999997</v>
      </c>
      <c r="H177">
        <v>2.2193970924757962E-2</v>
      </c>
      <c r="I177">
        <v>4.9928052327611903E-2</v>
      </c>
      <c r="J177">
        <v>9.1775288944251132E-2</v>
      </c>
    </row>
    <row r="178" spans="1:10" x14ac:dyDescent="0.2">
      <c r="A178" s="53">
        <v>26420</v>
      </c>
      <c r="D178">
        <v>88.6</v>
      </c>
      <c r="E178">
        <v>98.6</v>
      </c>
      <c r="F178">
        <v>82.2</v>
      </c>
    </row>
    <row r="179" spans="1:10" x14ac:dyDescent="0.2">
      <c r="A179" s="53">
        <v>26481</v>
      </c>
      <c r="G179">
        <v>5419.1840000000002</v>
      </c>
      <c r="H179">
        <v>9.3554675390244216E-3</v>
      </c>
      <c r="I179">
        <v>5.1070788517238133E-2</v>
      </c>
      <c r="J179">
        <v>3.7950301794611667E-2</v>
      </c>
    </row>
    <row r="180" spans="1:10" x14ac:dyDescent="0.2">
      <c r="A180" s="53">
        <v>26512</v>
      </c>
      <c r="D180">
        <v>95.2</v>
      </c>
      <c r="E180">
        <v>101.2</v>
      </c>
      <c r="F180">
        <v>91.3</v>
      </c>
    </row>
    <row r="181" spans="1:10" x14ac:dyDescent="0.2">
      <c r="A181" s="53">
        <v>26573</v>
      </c>
      <c r="G181">
        <v>5509.9260000000004</v>
      </c>
      <c r="H181">
        <v>1.6468823719229659E-2</v>
      </c>
      <c r="I181">
        <v>6.4497962404576906E-2</v>
      </c>
      <c r="J181">
        <v>6.752056820596386E-2</v>
      </c>
    </row>
    <row r="182" spans="1:10" x14ac:dyDescent="0.2">
      <c r="A182" s="53">
        <v>26604</v>
      </c>
      <c r="D182">
        <v>90.7</v>
      </c>
      <c r="E182">
        <v>95.2</v>
      </c>
      <c r="F182">
        <v>87.8</v>
      </c>
    </row>
    <row r="183" spans="1:10" x14ac:dyDescent="0.2">
      <c r="A183" s="53">
        <v>26665</v>
      </c>
      <c r="G183">
        <v>5646.2860000000001</v>
      </c>
      <c r="H183">
        <v>2.4150388414614431E-2</v>
      </c>
      <c r="I183">
        <v>7.0302673297101784E-2</v>
      </c>
      <c r="J183">
        <v>0.1001576834042153</v>
      </c>
    </row>
    <row r="184" spans="1:10" x14ac:dyDescent="0.2">
      <c r="A184" s="53">
        <v>26696</v>
      </c>
      <c r="D184">
        <v>81.900000000000006</v>
      </c>
      <c r="E184">
        <v>95.1</v>
      </c>
      <c r="F184">
        <v>73.3</v>
      </c>
    </row>
    <row r="185" spans="1:10" x14ac:dyDescent="0.2">
      <c r="A185" s="53">
        <v>26755</v>
      </c>
      <c r="G185">
        <v>5707.7550000000001</v>
      </c>
      <c r="H185">
        <v>1.0769383058663181E-2</v>
      </c>
      <c r="I185">
        <v>5.9440182698801969E-2</v>
      </c>
      <c r="J185">
        <v>4.3778419470160028E-2</v>
      </c>
    </row>
    <row r="186" spans="1:10" x14ac:dyDescent="0.2">
      <c r="A186" s="53">
        <v>26785</v>
      </c>
      <c r="D186">
        <v>77</v>
      </c>
      <c r="E186">
        <v>92</v>
      </c>
      <c r="F186">
        <v>67.3</v>
      </c>
    </row>
    <row r="187" spans="1:10" x14ac:dyDescent="0.2">
      <c r="A187" s="53">
        <v>26846</v>
      </c>
      <c r="G187">
        <v>5677.7380000000003</v>
      </c>
      <c r="H187">
        <v>-5.2867885062677818E-3</v>
      </c>
      <c r="I187">
        <v>4.5538205531850902E-2</v>
      </c>
      <c r="J187">
        <v>-2.0980043513362471E-2</v>
      </c>
    </row>
    <row r="188" spans="1:10" x14ac:dyDescent="0.2">
      <c r="A188" s="53">
        <v>26877</v>
      </c>
      <c r="D188">
        <v>72</v>
      </c>
      <c r="E188">
        <v>85.9</v>
      </c>
      <c r="F188">
        <v>63</v>
      </c>
    </row>
    <row r="189" spans="1:10" x14ac:dyDescent="0.2">
      <c r="A189" s="53">
        <v>26938</v>
      </c>
      <c r="G189">
        <v>5731.6319999999996</v>
      </c>
      <c r="H189">
        <v>9.4029065369164184E-3</v>
      </c>
      <c r="I189">
        <v>3.8681129563098132E-2</v>
      </c>
      <c r="J189">
        <v>3.8145447291680012E-2</v>
      </c>
    </row>
    <row r="190" spans="1:10" x14ac:dyDescent="0.2">
      <c r="A190" s="53">
        <v>26969</v>
      </c>
      <c r="D190">
        <v>76.5</v>
      </c>
      <c r="E190">
        <v>91</v>
      </c>
      <c r="F190">
        <v>67.099999999999994</v>
      </c>
    </row>
    <row r="191" spans="1:10" x14ac:dyDescent="0.2">
      <c r="A191" s="53">
        <v>27030</v>
      </c>
      <c r="G191">
        <v>5682.3530000000001</v>
      </c>
      <c r="H191">
        <v>-8.6722876949037742E-3</v>
      </c>
      <c r="I191">
        <v>6.3471945512712791E-3</v>
      </c>
      <c r="J191">
        <v>-3.4240502601665217E-2</v>
      </c>
    </row>
    <row r="192" spans="1:10" x14ac:dyDescent="0.2">
      <c r="A192" s="53">
        <v>27061</v>
      </c>
      <c r="D192">
        <v>61.8</v>
      </c>
      <c r="E192">
        <v>81.099999999999994</v>
      </c>
      <c r="F192">
        <v>49.4</v>
      </c>
    </row>
    <row r="193" spans="1:10" x14ac:dyDescent="0.2">
      <c r="A193" s="53">
        <v>27120</v>
      </c>
      <c r="G193">
        <v>5695.8590000000004</v>
      </c>
      <c r="H193">
        <v>2.371196337549843E-3</v>
      </c>
      <c r="I193">
        <v>-2.0885348461048159E-3</v>
      </c>
      <c r="J193">
        <v>9.5185741431293991E-3</v>
      </c>
    </row>
    <row r="194" spans="1:10" x14ac:dyDescent="0.2">
      <c r="A194" s="53">
        <v>27150</v>
      </c>
      <c r="D194">
        <v>72.099999999999994</v>
      </c>
      <c r="E194">
        <v>84.9</v>
      </c>
      <c r="F194">
        <v>63.9</v>
      </c>
    </row>
    <row r="195" spans="1:10" x14ac:dyDescent="0.2">
      <c r="A195" s="53">
        <v>27211</v>
      </c>
      <c r="G195">
        <v>5642.0249999999996</v>
      </c>
      <c r="H195">
        <v>-9.5416096171145551E-3</v>
      </c>
      <c r="I195">
        <v>-6.3298195240185304E-3</v>
      </c>
      <c r="J195">
        <v>-3.7623651056121532E-2</v>
      </c>
    </row>
    <row r="196" spans="1:10" x14ac:dyDescent="0.2">
      <c r="A196" s="53">
        <v>27242</v>
      </c>
      <c r="D196">
        <v>64.400000000000006</v>
      </c>
      <c r="E196">
        <v>75</v>
      </c>
      <c r="F196">
        <v>57.6</v>
      </c>
    </row>
    <row r="197" spans="1:10" x14ac:dyDescent="0.2">
      <c r="A197" s="53">
        <v>27303</v>
      </c>
      <c r="G197">
        <v>5620.1260000000002</v>
      </c>
      <c r="H197">
        <v>-3.8965318571148461E-3</v>
      </c>
      <c r="I197">
        <v>-1.984048044474437E-2</v>
      </c>
      <c r="J197">
        <v>-1.549526607841312E-2</v>
      </c>
    </row>
    <row r="198" spans="1:10" x14ac:dyDescent="0.2">
      <c r="A198" s="53">
        <v>27334</v>
      </c>
      <c r="D198">
        <v>59.5</v>
      </c>
      <c r="E198">
        <v>72.400000000000006</v>
      </c>
      <c r="F198">
        <v>51.2</v>
      </c>
    </row>
    <row r="199" spans="1:10" x14ac:dyDescent="0.2">
      <c r="A199" s="53">
        <v>27395</v>
      </c>
      <c r="G199">
        <v>5551.7129999999997</v>
      </c>
      <c r="H199">
        <v>-1.232286323158284E-2</v>
      </c>
      <c r="I199">
        <v>-2.3531475780538429E-2</v>
      </c>
      <c r="J199">
        <v>-4.8387797170606588E-2</v>
      </c>
    </row>
    <row r="200" spans="1:10" x14ac:dyDescent="0.2">
      <c r="A200" s="53">
        <v>27426</v>
      </c>
      <c r="D200">
        <v>57.6</v>
      </c>
      <c r="E200">
        <v>69.3</v>
      </c>
      <c r="F200">
        <v>50</v>
      </c>
    </row>
    <row r="201" spans="1:10" x14ac:dyDescent="0.2">
      <c r="A201" s="53">
        <v>27485</v>
      </c>
      <c r="G201">
        <v>5591.3819999999996</v>
      </c>
      <c r="H201">
        <v>7.0946681875786472E-3</v>
      </c>
      <c r="I201">
        <v>-1.8685362581200991E-2</v>
      </c>
      <c r="J201">
        <v>2.868210960511108E-2</v>
      </c>
    </row>
    <row r="202" spans="1:10" x14ac:dyDescent="0.2">
      <c r="A202" s="53">
        <v>27515</v>
      </c>
      <c r="D202">
        <v>72.8</v>
      </c>
      <c r="E202">
        <v>77.400000000000006</v>
      </c>
      <c r="F202">
        <v>69.8</v>
      </c>
    </row>
    <row r="203" spans="1:10" x14ac:dyDescent="0.2">
      <c r="A203" s="53">
        <v>27576</v>
      </c>
      <c r="G203">
        <v>5687.0870000000004</v>
      </c>
      <c r="H203">
        <v>1.6828474753419601E-2</v>
      </c>
      <c r="I203">
        <v>7.9235643836643964E-3</v>
      </c>
      <c r="J203">
        <v>6.903222772182116E-2</v>
      </c>
    </row>
    <row r="204" spans="1:10" x14ac:dyDescent="0.2">
      <c r="A204" s="53">
        <v>27607</v>
      </c>
      <c r="D204">
        <v>75.7</v>
      </c>
      <c r="E204">
        <v>83.5</v>
      </c>
      <c r="F204">
        <v>70.7</v>
      </c>
    </row>
    <row r="205" spans="1:10" x14ac:dyDescent="0.2">
      <c r="A205" s="53">
        <v>27668</v>
      </c>
      <c r="G205">
        <v>5763.665</v>
      </c>
      <c r="H205">
        <v>1.3286337772927389E-2</v>
      </c>
      <c r="I205">
        <v>2.4904119167231221E-2</v>
      </c>
      <c r="J205">
        <v>5.4213924459152192E-2</v>
      </c>
    </row>
    <row r="206" spans="1:10" x14ac:dyDescent="0.2">
      <c r="A206" s="53">
        <v>27699</v>
      </c>
      <c r="D206">
        <v>75.599999999999994</v>
      </c>
      <c r="E206">
        <v>84.4</v>
      </c>
      <c r="F206">
        <v>69.900000000000006</v>
      </c>
    </row>
    <row r="207" spans="1:10" x14ac:dyDescent="0.2">
      <c r="A207" s="53">
        <v>27760</v>
      </c>
      <c r="G207">
        <v>5893.2759999999998</v>
      </c>
      <c r="H207">
        <v>2.199303070142988E-2</v>
      </c>
      <c r="I207">
        <v>5.7958086470072008E-2</v>
      </c>
      <c r="J207">
        <v>9.0917068696763303E-2</v>
      </c>
    </row>
    <row r="208" spans="1:10" x14ac:dyDescent="0.2">
      <c r="A208" s="53">
        <v>27791</v>
      </c>
      <c r="D208">
        <v>84.6</v>
      </c>
      <c r="E208">
        <v>89.9</v>
      </c>
      <c r="F208">
        <v>81.2</v>
      </c>
    </row>
    <row r="209" spans="1:10" x14ac:dyDescent="0.2">
      <c r="A209" s="53">
        <v>27851</v>
      </c>
      <c r="G209">
        <v>5936.5150000000003</v>
      </c>
      <c r="H209">
        <v>7.2835662000349504E-3</v>
      </c>
      <c r="I209">
        <v>5.8137307831278233E-2</v>
      </c>
      <c r="J209">
        <v>2.9454115216573928E-2</v>
      </c>
    </row>
    <row r="210" spans="1:10" x14ac:dyDescent="0.2">
      <c r="A210" s="53">
        <v>27881</v>
      </c>
      <c r="D210">
        <v>83.3</v>
      </c>
      <c r="E210">
        <v>89.1</v>
      </c>
      <c r="F210">
        <v>79.5</v>
      </c>
    </row>
    <row r="211" spans="1:10" x14ac:dyDescent="0.2">
      <c r="A211" s="53">
        <v>27942</v>
      </c>
      <c r="G211">
        <v>5969.0889999999999</v>
      </c>
      <c r="H211">
        <v>5.4571141425432948E-3</v>
      </c>
      <c r="I211">
        <v>4.7243725131255292E-2</v>
      </c>
      <c r="J211">
        <v>2.2007788079120742E-2</v>
      </c>
    </row>
    <row r="212" spans="1:10" x14ac:dyDescent="0.2">
      <c r="A212" s="53">
        <v>27973</v>
      </c>
      <c r="D212">
        <v>89.7</v>
      </c>
      <c r="E212">
        <v>96.2</v>
      </c>
      <c r="F212">
        <v>85.5</v>
      </c>
    </row>
    <row r="213" spans="1:10" x14ac:dyDescent="0.2">
      <c r="A213" s="53">
        <v>28034</v>
      </c>
      <c r="G213">
        <v>6012.3559999999998</v>
      </c>
      <c r="H213">
        <v>7.1963469894330652E-3</v>
      </c>
      <c r="I213">
        <v>4.1363319138121531E-2</v>
      </c>
      <c r="J213">
        <v>2.9097605820310291E-2</v>
      </c>
    </row>
    <row r="214" spans="1:10" x14ac:dyDescent="0.2">
      <c r="A214" s="53">
        <v>28065</v>
      </c>
      <c r="D214">
        <v>87</v>
      </c>
      <c r="E214">
        <v>88.7</v>
      </c>
      <c r="F214">
        <v>85.9</v>
      </c>
    </row>
    <row r="215" spans="1:10" x14ac:dyDescent="0.2">
      <c r="A215" s="53">
        <v>28126</v>
      </c>
      <c r="G215">
        <v>6083.3909999999996</v>
      </c>
      <c r="H215">
        <v>1.167687561098734E-2</v>
      </c>
      <c r="I215">
        <v>3.1251484574968097E-2</v>
      </c>
      <c r="J215">
        <v>4.7531986120377789E-2</v>
      </c>
    </row>
    <row r="216" spans="1:10" x14ac:dyDescent="0.2">
      <c r="A216" s="53">
        <v>28157</v>
      </c>
      <c r="D216">
        <v>87.1</v>
      </c>
      <c r="E216">
        <v>91.6</v>
      </c>
      <c r="F216">
        <v>84.2</v>
      </c>
    </row>
    <row r="217" spans="1:10" x14ac:dyDescent="0.2">
      <c r="A217" s="53">
        <v>28216</v>
      </c>
      <c r="G217">
        <v>6201.6589999999997</v>
      </c>
      <c r="H217">
        <v>1.9070381006114662E-2</v>
      </c>
      <c r="I217">
        <v>4.2753721222014839E-2</v>
      </c>
      <c r="J217">
        <v>7.849147489880548E-2</v>
      </c>
    </row>
    <row r="218" spans="1:10" x14ac:dyDescent="0.2">
      <c r="A218" s="53">
        <v>28246</v>
      </c>
      <c r="D218">
        <v>90.2</v>
      </c>
      <c r="E218">
        <v>100.4</v>
      </c>
      <c r="F218">
        <v>83.6</v>
      </c>
    </row>
    <row r="219" spans="1:10" x14ac:dyDescent="0.2">
      <c r="A219" s="53">
        <v>28307</v>
      </c>
      <c r="G219">
        <v>6313.5590000000002</v>
      </c>
      <c r="H219">
        <v>1.772375929329251E-2</v>
      </c>
      <c r="I219">
        <v>5.4560351776232738E-2</v>
      </c>
      <c r="J219">
        <v>7.2802196087320636E-2</v>
      </c>
    </row>
    <row r="220" spans="1:10" x14ac:dyDescent="0.2">
      <c r="A220" s="53">
        <v>28338</v>
      </c>
      <c r="D220">
        <v>89</v>
      </c>
      <c r="E220">
        <v>100.8</v>
      </c>
      <c r="F220">
        <v>81.5</v>
      </c>
    </row>
    <row r="221" spans="1:10" x14ac:dyDescent="0.2">
      <c r="A221" s="53">
        <v>28399</v>
      </c>
      <c r="G221">
        <v>6313.6970000000001</v>
      </c>
      <c r="H221">
        <v>2.1857241486235401E-5</v>
      </c>
      <c r="I221">
        <v>4.7728137729764412E-2</v>
      </c>
      <c r="J221">
        <v>8.743183242088115E-5</v>
      </c>
    </row>
    <row r="222" spans="1:10" x14ac:dyDescent="0.2">
      <c r="A222" s="53">
        <v>28430</v>
      </c>
      <c r="D222">
        <v>84.4</v>
      </c>
      <c r="E222">
        <v>97.6</v>
      </c>
      <c r="F222">
        <v>75.900000000000006</v>
      </c>
    </row>
    <row r="223" spans="1:10" x14ac:dyDescent="0.2">
      <c r="A223" s="53">
        <v>28491</v>
      </c>
      <c r="B223">
        <v>55.2</v>
      </c>
      <c r="D223">
        <v>83.7</v>
      </c>
      <c r="E223">
        <v>96.2</v>
      </c>
      <c r="F223">
        <v>75.7</v>
      </c>
      <c r="G223">
        <v>6333.848</v>
      </c>
      <c r="H223">
        <v>3.1814783051313899E-3</v>
      </c>
      <c r="I223">
        <v>3.9542628746379822E-2</v>
      </c>
      <c r="J223">
        <v>1.2786772957414479E-2</v>
      </c>
    </row>
    <row r="224" spans="1:10" x14ac:dyDescent="0.2">
      <c r="A224" s="53">
        <v>28522</v>
      </c>
      <c r="B224">
        <v>55.5</v>
      </c>
      <c r="D224">
        <v>84.3</v>
      </c>
      <c r="E224">
        <v>95.4</v>
      </c>
      <c r="F224">
        <v>77.2</v>
      </c>
    </row>
    <row r="225" spans="1:10" x14ac:dyDescent="0.2">
      <c r="A225" s="53">
        <v>28550</v>
      </c>
      <c r="B225">
        <v>56</v>
      </c>
      <c r="D225">
        <v>78.8</v>
      </c>
      <c r="E225">
        <v>93.2</v>
      </c>
      <c r="F225">
        <v>69.5</v>
      </c>
    </row>
    <row r="226" spans="1:10" x14ac:dyDescent="0.2">
      <c r="A226" s="53">
        <v>28581</v>
      </c>
      <c r="B226">
        <v>56.6</v>
      </c>
      <c r="D226">
        <v>81.599999999999994</v>
      </c>
      <c r="E226">
        <v>98</v>
      </c>
      <c r="F226">
        <v>71.099999999999994</v>
      </c>
      <c r="G226">
        <v>6578.6049999999996</v>
      </c>
      <c r="H226">
        <v>3.7205000148207663E-2</v>
      </c>
      <c r="I226">
        <v>5.7298773828190007E-2</v>
      </c>
      <c r="J226">
        <v>0.15733318728798221</v>
      </c>
    </row>
    <row r="227" spans="1:10" x14ac:dyDescent="0.2">
      <c r="A227" s="53">
        <v>28611</v>
      </c>
      <c r="B227">
        <v>56.9</v>
      </c>
      <c r="D227">
        <v>82.9</v>
      </c>
      <c r="E227">
        <v>98.2</v>
      </c>
      <c r="F227">
        <v>73</v>
      </c>
    </row>
    <row r="228" spans="1:10" x14ac:dyDescent="0.2">
      <c r="A228" s="53">
        <v>28642</v>
      </c>
      <c r="B228">
        <v>57.1</v>
      </c>
      <c r="D228">
        <v>80</v>
      </c>
      <c r="E228">
        <v>98.4</v>
      </c>
      <c r="F228">
        <v>68.099999999999994</v>
      </c>
    </row>
    <row r="229" spans="1:10" x14ac:dyDescent="0.2">
      <c r="A229" s="53">
        <v>28672</v>
      </c>
      <c r="B229">
        <v>57</v>
      </c>
      <c r="D229">
        <v>82.4</v>
      </c>
      <c r="E229">
        <v>98.7</v>
      </c>
      <c r="F229">
        <v>72</v>
      </c>
      <c r="G229">
        <v>6644.7539999999999</v>
      </c>
      <c r="H229">
        <v>9.9550713239346927E-3</v>
      </c>
      <c r="I229">
        <v>4.9843079217078583E-2</v>
      </c>
      <c r="J229">
        <v>4.0418862115075622E-2</v>
      </c>
    </row>
    <row r="230" spans="1:10" x14ac:dyDescent="0.2">
      <c r="A230" s="53">
        <v>28703</v>
      </c>
      <c r="B230">
        <v>57.4</v>
      </c>
      <c r="D230">
        <v>78.400000000000006</v>
      </c>
      <c r="E230">
        <v>96.1</v>
      </c>
      <c r="F230">
        <v>67</v>
      </c>
    </row>
    <row r="231" spans="1:10" x14ac:dyDescent="0.2">
      <c r="A231" s="53">
        <v>28734</v>
      </c>
      <c r="B231">
        <v>57.6</v>
      </c>
      <c r="D231">
        <v>80.400000000000006</v>
      </c>
      <c r="E231">
        <v>96.9</v>
      </c>
      <c r="F231">
        <v>69.8</v>
      </c>
    </row>
    <row r="232" spans="1:10" x14ac:dyDescent="0.2">
      <c r="A232" s="53">
        <v>28764</v>
      </c>
      <c r="B232">
        <v>57.6</v>
      </c>
      <c r="D232">
        <v>79.3</v>
      </c>
      <c r="E232">
        <v>91.2</v>
      </c>
      <c r="F232">
        <v>71.7</v>
      </c>
      <c r="G232">
        <v>6734.0690000000004</v>
      </c>
      <c r="H232">
        <v>1.3263154862238641E-2</v>
      </c>
      <c r="I232">
        <v>6.2424664790337057E-2</v>
      </c>
      <c r="J232">
        <v>5.4117450609160178E-2</v>
      </c>
    </row>
    <row r="233" spans="1:10" x14ac:dyDescent="0.2">
      <c r="A233" s="53">
        <v>28795</v>
      </c>
      <c r="B233">
        <v>57.3</v>
      </c>
      <c r="D233">
        <v>75</v>
      </c>
      <c r="E233">
        <v>94.1</v>
      </c>
      <c r="F233">
        <v>62.8</v>
      </c>
    </row>
    <row r="234" spans="1:10" x14ac:dyDescent="0.2">
      <c r="A234" s="53">
        <v>28825</v>
      </c>
      <c r="B234">
        <v>57.3</v>
      </c>
      <c r="D234">
        <v>66.099999999999994</v>
      </c>
      <c r="E234">
        <v>85.2</v>
      </c>
      <c r="F234">
        <v>53.8</v>
      </c>
    </row>
    <row r="235" spans="1:10" x14ac:dyDescent="0.2">
      <c r="A235" s="53">
        <v>28856</v>
      </c>
      <c r="B235">
        <v>57</v>
      </c>
      <c r="D235">
        <v>72.099999999999994</v>
      </c>
      <c r="E235">
        <v>93.3</v>
      </c>
      <c r="F235">
        <v>58.4</v>
      </c>
      <c r="G235">
        <v>6746.1760000000004</v>
      </c>
      <c r="H235">
        <v>1.7946463300097669E-3</v>
      </c>
      <c r="I235">
        <v>6.1120255386162531E-2</v>
      </c>
      <c r="J235">
        <v>7.1979329835791814E-3</v>
      </c>
    </row>
    <row r="236" spans="1:10" x14ac:dyDescent="0.2">
      <c r="A236" s="53">
        <v>28887</v>
      </c>
      <c r="B236">
        <v>56.9</v>
      </c>
      <c r="D236">
        <v>73.900000000000006</v>
      </c>
      <c r="E236">
        <v>92.2</v>
      </c>
      <c r="F236">
        <v>62.2</v>
      </c>
    </row>
    <row r="237" spans="1:10" x14ac:dyDescent="0.2">
      <c r="A237" s="53">
        <v>28915</v>
      </c>
      <c r="B237">
        <v>57.4</v>
      </c>
      <c r="D237">
        <v>68.400000000000006</v>
      </c>
      <c r="E237">
        <v>91.2</v>
      </c>
      <c r="F237">
        <v>53.7</v>
      </c>
    </row>
    <row r="238" spans="1:10" x14ac:dyDescent="0.2">
      <c r="A238" s="53">
        <v>28946</v>
      </c>
      <c r="B238">
        <v>56.4</v>
      </c>
      <c r="D238">
        <v>66</v>
      </c>
      <c r="E238">
        <v>85.9</v>
      </c>
      <c r="F238">
        <v>53.3</v>
      </c>
      <c r="G238">
        <v>6753.3890000000001</v>
      </c>
      <c r="H238">
        <v>1.0680563491899751E-3</v>
      </c>
      <c r="I238">
        <v>2.5880931781065861E-2</v>
      </c>
      <c r="J238">
        <v>4.2790747377687843E-3</v>
      </c>
    </row>
    <row r="239" spans="1:10" x14ac:dyDescent="0.2">
      <c r="A239" s="53">
        <v>28976</v>
      </c>
      <c r="B239">
        <v>56.7</v>
      </c>
      <c r="D239">
        <v>68.099999999999994</v>
      </c>
      <c r="E239">
        <v>88.7</v>
      </c>
      <c r="F239">
        <v>54.9</v>
      </c>
    </row>
    <row r="240" spans="1:10" x14ac:dyDescent="0.2">
      <c r="A240" s="53">
        <v>29007</v>
      </c>
      <c r="B240">
        <v>56.4</v>
      </c>
      <c r="D240">
        <v>65.8</v>
      </c>
      <c r="E240">
        <v>88.2</v>
      </c>
      <c r="F240">
        <v>51.4</v>
      </c>
    </row>
    <row r="241" spans="1:10" x14ac:dyDescent="0.2">
      <c r="A241" s="53">
        <v>29037</v>
      </c>
      <c r="B241">
        <v>55.9</v>
      </c>
      <c r="D241">
        <v>60.4</v>
      </c>
      <c r="E241">
        <v>85.7</v>
      </c>
      <c r="F241">
        <v>44.2</v>
      </c>
      <c r="G241">
        <v>6803.558</v>
      </c>
      <c r="H241">
        <v>7.3739358141725062E-3</v>
      </c>
      <c r="I241">
        <v>2.3341316411207211E-2</v>
      </c>
      <c r="J241">
        <v>2.9823599618628901E-2</v>
      </c>
    </row>
    <row r="242" spans="1:10" x14ac:dyDescent="0.2">
      <c r="A242" s="53">
        <v>29068</v>
      </c>
      <c r="B242">
        <v>55.7</v>
      </c>
      <c r="D242">
        <v>64.5</v>
      </c>
      <c r="E242">
        <v>88.2</v>
      </c>
      <c r="F242">
        <v>49.3</v>
      </c>
    </row>
    <row r="243" spans="1:10" x14ac:dyDescent="0.2">
      <c r="A243" s="53">
        <v>29099</v>
      </c>
      <c r="B243">
        <v>55.4</v>
      </c>
      <c r="D243">
        <v>66.7</v>
      </c>
      <c r="E243">
        <v>87.1</v>
      </c>
      <c r="F243">
        <v>53.6</v>
      </c>
    </row>
    <row r="244" spans="1:10" x14ac:dyDescent="0.2">
      <c r="A244" s="53">
        <v>29129</v>
      </c>
      <c r="B244">
        <v>54.9</v>
      </c>
      <c r="D244">
        <v>62.1</v>
      </c>
      <c r="E244">
        <v>81.599999999999994</v>
      </c>
      <c r="F244">
        <v>49.5</v>
      </c>
      <c r="G244">
        <v>6820.5720000000001</v>
      </c>
      <c r="H244">
        <v>2.4945121904731919E-3</v>
      </c>
      <c r="I244">
        <v>1.268266063315506E-2</v>
      </c>
      <c r="J244">
        <v>1.001544643634089E-2</v>
      </c>
    </row>
    <row r="245" spans="1:10" x14ac:dyDescent="0.2">
      <c r="A245" s="53">
        <v>29160</v>
      </c>
      <c r="B245">
        <v>54.2</v>
      </c>
      <c r="D245">
        <v>63.3</v>
      </c>
      <c r="E245">
        <v>80.900000000000006</v>
      </c>
      <c r="F245">
        <v>52</v>
      </c>
    </row>
    <row r="246" spans="1:10" x14ac:dyDescent="0.2">
      <c r="A246" s="53">
        <v>29190</v>
      </c>
      <c r="B246">
        <v>53.8</v>
      </c>
      <c r="D246">
        <v>61</v>
      </c>
      <c r="E246">
        <v>75.8</v>
      </c>
      <c r="F246">
        <v>51.5</v>
      </c>
    </row>
    <row r="247" spans="1:10" x14ac:dyDescent="0.2">
      <c r="A247" s="53">
        <v>29221</v>
      </c>
      <c r="B247">
        <v>53.7</v>
      </c>
      <c r="D247">
        <v>67</v>
      </c>
      <c r="E247">
        <v>87.1</v>
      </c>
      <c r="F247">
        <v>54.1</v>
      </c>
      <c r="G247">
        <v>6842.0240000000003</v>
      </c>
      <c r="H247">
        <v>3.1353295457601758E-3</v>
      </c>
      <c r="I247">
        <v>1.4008720226646379E-2</v>
      </c>
      <c r="J247">
        <v>1.260042331264999E-2</v>
      </c>
    </row>
    <row r="248" spans="1:10" x14ac:dyDescent="0.2">
      <c r="A248" s="53">
        <v>29252</v>
      </c>
      <c r="B248">
        <v>53.5</v>
      </c>
      <c r="D248">
        <v>66.900000000000006</v>
      </c>
      <c r="E248">
        <v>85.5</v>
      </c>
      <c r="F248">
        <v>54.9</v>
      </c>
    </row>
    <row r="249" spans="1:10" x14ac:dyDescent="0.2">
      <c r="A249" s="53">
        <v>29281</v>
      </c>
      <c r="B249">
        <v>52.2</v>
      </c>
      <c r="D249">
        <v>56.5</v>
      </c>
      <c r="E249">
        <v>75.3</v>
      </c>
      <c r="F249">
        <v>44.3</v>
      </c>
    </row>
    <row r="250" spans="1:10" x14ac:dyDescent="0.2">
      <c r="A250" s="53">
        <v>29312</v>
      </c>
      <c r="B250">
        <v>50.6</v>
      </c>
      <c r="D250">
        <v>52.7</v>
      </c>
      <c r="E250">
        <v>65.8</v>
      </c>
      <c r="F250">
        <v>44.4</v>
      </c>
      <c r="G250">
        <v>6701.0460000000003</v>
      </c>
      <c r="H250">
        <v>-2.103820806483048E-2</v>
      </c>
      <c r="I250">
        <v>-7.8111685847254064E-3</v>
      </c>
      <c r="J250">
        <v>-8.1534245732786226E-2</v>
      </c>
    </row>
    <row r="251" spans="1:10" x14ac:dyDescent="0.2">
      <c r="A251" s="53">
        <v>29342</v>
      </c>
      <c r="B251">
        <v>49.9</v>
      </c>
      <c r="D251">
        <v>51.7</v>
      </c>
      <c r="E251">
        <v>61.7</v>
      </c>
      <c r="F251">
        <v>45.3</v>
      </c>
    </row>
    <row r="252" spans="1:10" x14ac:dyDescent="0.2">
      <c r="A252" s="53">
        <v>29373</v>
      </c>
      <c r="B252">
        <v>50.2</v>
      </c>
      <c r="D252">
        <v>58.7</v>
      </c>
      <c r="E252">
        <v>67.400000000000006</v>
      </c>
      <c r="F252">
        <v>53</v>
      </c>
    </row>
    <row r="253" spans="1:10" x14ac:dyDescent="0.2">
      <c r="A253" s="53">
        <v>29403</v>
      </c>
      <c r="B253">
        <v>50.6</v>
      </c>
      <c r="D253">
        <v>62.3</v>
      </c>
      <c r="E253">
        <v>76.099999999999994</v>
      </c>
      <c r="F253">
        <v>53.4</v>
      </c>
      <c r="G253">
        <v>6693.0820000000003</v>
      </c>
      <c r="H253">
        <v>-1.1898853174068301E-3</v>
      </c>
      <c r="I253">
        <v>-1.6505998283003209E-2</v>
      </c>
      <c r="J253">
        <v>-4.7510530438986684E-3</v>
      </c>
    </row>
    <row r="254" spans="1:10" x14ac:dyDescent="0.2">
      <c r="A254" s="53">
        <v>29434</v>
      </c>
      <c r="B254">
        <v>50.9</v>
      </c>
      <c r="D254">
        <v>67.3</v>
      </c>
      <c r="E254">
        <v>79.400000000000006</v>
      </c>
      <c r="F254">
        <v>59.6</v>
      </c>
    </row>
    <row r="255" spans="1:10" x14ac:dyDescent="0.2">
      <c r="A255" s="53">
        <v>29465</v>
      </c>
      <c r="B255">
        <v>51.4</v>
      </c>
      <c r="D255">
        <v>73.7</v>
      </c>
      <c r="E255">
        <v>82.7</v>
      </c>
      <c r="F255">
        <v>67.900000000000006</v>
      </c>
    </row>
    <row r="256" spans="1:10" x14ac:dyDescent="0.2">
      <c r="A256" s="53">
        <v>29495</v>
      </c>
      <c r="B256">
        <v>51.7</v>
      </c>
      <c r="D256">
        <v>75</v>
      </c>
      <c r="E256">
        <v>83.4</v>
      </c>
      <c r="F256">
        <v>69.599999999999994</v>
      </c>
      <c r="G256">
        <v>6817.9030000000002</v>
      </c>
      <c r="H256">
        <v>1.8307828668140319E-2</v>
      </c>
      <c r="I256">
        <v>-3.9146934181959891E-4</v>
      </c>
      <c r="J256">
        <v>7.5267031981533172E-2</v>
      </c>
    </row>
    <row r="257" spans="1:10" x14ac:dyDescent="0.2">
      <c r="A257" s="53">
        <v>29526</v>
      </c>
      <c r="B257">
        <v>51.8</v>
      </c>
      <c r="D257">
        <v>76.7</v>
      </c>
      <c r="E257">
        <v>76.400000000000006</v>
      </c>
      <c r="F257">
        <v>76.900000000000006</v>
      </c>
    </row>
    <row r="258" spans="1:10" x14ac:dyDescent="0.2">
      <c r="A258" s="53">
        <v>29556</v>
      </c>
      <c r="B258">
        <v>51.5</v>
      </c>
      <c r="D258">
        <v>64.5</v>
      </c>
      <c r="E258">
        <v>70.900000000000006</v>
      </c>
      <c r="F258">
        <v>60.4</v>
      </c>
    </row>
    <row r="259" spans="1:10" x14ac:dyDescent="0.2">
      <c r="A259" s="53">
        <v>29587</v>
      </c>
      <c r="B259">
        <v>50.9</v>
      </c>
      <c r="D259">
        <v>71.400000000000006</v>
      </c>
      <c r="E259">
        <v>76.7</v>
      </c>
      <c r="F259">
        <v>67.900000000000006</v>
      </c>
      <c r="G259">
        <v>6951.4949999999999</v>
      </c>
      <c r="H259">
        <v>1.9217736616368081E-2</v>
      </c>
      <c r="I259">
        <v>1.5747835537535389E-2</v>
      </c>
      <c r="J259">
        <v>7.9115401353324621E-2</v>
      </c>
    </row>
    <row r="260" spans="1:10" x14ac:dyDescent="0.2">
      <c r="A260" s="53">
        <v>29618</v>
      </c>
      <c r="B260">
        <v>50.5</v>
      </c>
      <c r="D260">
        <v>66.900000000000006</v>
      </c>
      <c r="E260">
        <v>74.400000000000006</v>
      </c>
      <c r="F260">
        <v>62.1</v>
      </c>
    </row>
    <row r="261" spans="1:10" x14ac:dyDescent="0.2">
      <c r="A261" s="53">
        <v>29646</v>
      </c>
      <c r="B261">
        <v>50.7</v>
      </c>
      <c r="D261">
        <v>66.5</v>
      </c>
      <c r="E261">
        <v>73.5</v>
      </c>
      <c r="F261">
        <v>62.1</v>
      </c>
    </row>
    <row r="262" spans="1:10" x14ac:dyDescent="0.2">
      <c r="A262" s="53">
        <v>29677</v>
      </c>
      <c r="B262">
        <v>51</v>
      </c>
      <c r="D262">
        <v>72.400000000000006</v>
      </c>
      <c r="E262">
        <v>78.099999999999994</v>
      </c>
      <c r="F262">
        <v>68.8</v>
      </c>
      <c r="G262">
        <v>6899.98</v>
      </c>
      <c r="H262">
        <v>-7.4659636694599596E-3</v>
      </c>
      <c r="I262">
        <v>2.88310980611537E-2</v>
      </c>
      <c r="J262">
        <v>-2.9531072519323302E-2</v>
      </c>
    </row>
    <row r="263" spans="1:10" x14ac:dyDescent="0.2">
      <c r="A263" s="53">
        <v>29707</v>
      </c>
      <c r="B263">
        <v>50.6</v>
      </c>
      <c r="D263">
        <v>76.3</v>
      </c>
      <c r="E263">
        <v>80.400000000000006</v>
      </c>
      <c r="F263">
        <v>73.599999999999994</v>
      </c>
    </row>
    <row r="264" spans="1:10" x14ac:dyDescent="0.2">
      <c r="A264" s="53">
        <v>29738</v>
      </c>
      <c r="B264">
        <v>50.2</v>
      </c>
      <c r="D264">
        <v>73.099999999999994</v>
      </c>
      <c r="E264">
        <v>76.099999999999994</v>
      </c>
      <c r="F264">
        <v>71.2</v>
      </c>
    </row>
    <row r="265" spans="1:10" x14ac:dyDescent="0.2">
      <c r="A265" s="53">
        <v>29768</v>
      </c>
      <c r="B265">
        <v>49.8</v>
      </c>
      <c r="D265">
        <v>74.099999999999994</v>
      </c>
      <c r="E265">
        <v>84.9</v>
      </c>
      <c r="F265">
        <v>67.099999999999994</v>
      </c>
      <c r="G265">
        <v>6982.6090000000004</v>
      </c>
      <c r="H265">
        <v>1.183354244810225E-2</v>
      </c>
      <c r="I265">
        <v>4.1464014382016808E-2</v>
      </c>
      <c r="J265">
        <v>4.8181014095669772E-2</v>
      </c>
    </row>
    <row r="266" spans="1:10" x14ac:dyDescent="0.2">
      <c r="A266" s="53">
        <v>29799</v>
      </c>
      <c r="B266">
        <v>49.6</v>
      </c>
      <c r="D266">
        <v>77.2</v>
      </c>
      <c r="E266">
        <v>87.1</v>
      </c>
      <c r="F266">
        <v>70.8</v>
      </c>
    </row>
    <row r="267" spans="1:10" x14ac:dyDescent="0.2">
      <c r="A267" s="53">
        <v>29830</v>
      </c>
      <c r="B267">
        <v>48.9</v>
      </c>
      <c r="D267">
        <v>73.099999999999994</v>
      </c>
      <c r="E267">
        <v>79.5</v>
      </c>
      <c r="F267">
        <v>69</v>
      </c>
    </row>
    <row r="268" spans="1:10" x14ac:dyDescent="0.2">
      <c r="A268" s="53">
        <v>29860</v>
      </c>
      <c r="B268">
        <v>48.6</v>
      </c>
      <c r="D268">
        <v>70.3</v>
      </c>
      <c r="E268">
        <v>82.8</v>
      </c>
      <c r="F268">
        <v>62.2</v>
      </c>
      <c r="G268">
        <v>6906.5290000000005</v>
      </c>
      <c r="H268">
        <v>-1.1015663584414101E-2</v>
      </c>
      <c r="I268">
        <v>1.28322055840206E-2</v>
      </c>
      <c r="J268">
        <v>-4.3339917323781063E-2</v>
      </c>
    </row>
    <row r="269" spans="1:10" x14ac:dyDescent="0.2">
      <c r="A269" s="53">
        <v>29891</v>
      </c>
      <c r="B269">
        <v>48.4</v>
      </c>
      <c r="D269">
        <v>62.5</v>
      </c>
      <c r="E269">
        <v>72.099999999999994</v>
      </c>
      <c r="F269">
        <v>56.3</v>
      </c>
    </row>
    <row r="270" spans="1:10" x14ac:dyDescent="0.2">
      <c r="A270" s="53">
        <v>29921</v>
      </c>
      <c r="B270">
        <v>48.3</v>
      </c>
      <c r="D270">
        <v>64.3</v>
      </c>
      <c r="E270">
        <v>75.900000000000006</v>
      </c>
      <c r="F270">
        <v>56.8</v>
      </c>
    </row>
    <row r="271" spans="1:10" x14ac:dyDescent="0.2">
      <c r="A271" s="53">
        <v>29952</v>
      </c>
      <c r="B271">
        <v>47.8</v>
      </c>
      <c r="D271">
        <v>71</v>
      </c>
      <c r="E271">
        <v>83.5</v>
      </c>
      <c r="F271">
        <v>62.9</v>
      </c>
      <c r="G271">
        <v>6799.2330000000002</v>
      </c>
      <c r="H271">
        <v>-1.578060348865825E-2</v>
      </c>
      <c r="I271">
        <v>-2.2393996499310981E-2</v>
      </c>
      <c r="J271">
        <v>-6.1643906474728387E-2</v>
      </c>
    </row>
    <row r="272" spans="1:10" x14ac:dyDescent="0.2">
      <c r="A272" s="53">
        <v>29983</v>
      </c>
      <c r="B272">
        <v>48</v>
      </c>
      <c r="D272">
        <v>66.5</v>
      </c>
      <c r="E272">
        <v>78.599999999999994</v>
      </c>
      <c r="F272">
        <v>58.7</v>
      </c>
    </row>
    <row r="273" spans="1:10" x14ac:dyDescent="0.2">
      <c r="A273" s="53">
        <v>30011</v>
      </c>
      <c r="B273">
        <v>47.8</v>
      </c>
      <c r="D273">
        <v>62</v>
      </c>
      <c r="E273">
        <v>75.900000000000006</v>
      </c>
      <c r="F273">
        <v>53.1</v>
      </c>
    </row>
    <row r="274" spans="1:10" x14ac:dyDescent="0.2">
      <c r="A274" s="53">
        <v>30042</v>
      </c>
      <c r="B274">
        <v>47.8</v>
      </c>
      <c r="D274">
        <v>65.5</v>
      </c>
      <c r="E274">
        <v>72.3</v>
      </c>
      <c r="F274">
        <v>61.1</v>
      </c>
      <c r="G274">
        <v>6830.2510000000002</v>
      </c>
      <c r="H274">
        <v>4.5412679563313308E-3</v>
      </c>
      <c r="I274">
        <v>-1.0208848840254831E-2</v>
      </c>
      <c r="J274">
        <v>1.828918555890402E-2</v>
      </c>
    </row>
    <row r="275" spans="1:10" x14ac:dyDescent="0.2">
      <c r="A275" s="53">
        <v>30072</v>
      </c>
      <c r="B275">
        <v>47.5</v>
      </c>
      <c r="D275">
        <v>67.5</v>
      </c>
      <c r="E275">
        <v>76.099999999999994</v>
      </c>
      <c r="F275">
        <v>62</v>
      </c>
    </row>
    <row r="276" spans="1:10" x14ac:dyDescent="0.2">
      <c r="A276" s="53">
        <v>30103</v>
      </c>
      <c r="B276">
        <v>47.2</v>
      </c>
      <c r="D276">
        <v>65.7</v>
      </c>
      <c r="E276">
        <v>74.3</v>
      </c>
      <c r="F276">
        <v>60.1</v>
      </c>
    </row>
    <row r="277" spans="1:10" x14ac:dyDescent="0.2">
      <c r="A277" s="53">
        <v>30133</v>
      </c>
      <c r="B277">
        <v>47.2</v>
      </c>
      <c r="D277">
        <v>65.400000000000006</v>
      </c>
      <c r="E277">
        <v>77.5</v>
      </c>
      <c r="F277">
        <v>57.6</v>
      </c>
      <c r="G277">
        <v>6804.1390000000001</v>
      </c>
      <c r="H277">
        <v>-3.8376641041577902E-3</v>
      </c>
      <c r="I277">
        <v>-2.6229622881014079E-2</v>
      </c>
      <c r="J277">
        <v>-1.5262516284406001E-2</v>
      </c>
    </row>
    <row r="278" spans="1:10" x14ac:dyDescent="0.2">
      <c r="A278" s="53">
        <v>30164</v>
      </c>
      <c r="B278">
        <v>46.9</v>
      </c>
      <c r="D278">
        <v>65.400000000000006</v>
      </c>
      <c r="E278">
        <v>72.5</v>
      </c>
      <c r="F278">
        <v>60.9</v>
      </c>
    </row>
    <row r="279" spans="1:10" x14ac:dyDescent="0.2">
      <c r="A279" s="53">
        <v>30195</v>
      </c>
      <c r="B279">
        <v>47.3</v>
      </c>
      <c r="D279">
        <v>69.3</v>
      </c>
      <c r="E279">
        <v>72.900000000000006</v>
      </c>
      <c r="F279">
        <v>66.900000000000006</v>
      </c>
    </row>
    <row r="280" spans="1:10" x14ac:dyDescent="0.2">
      <c r="A280" s="53">
        <v>30225</v>
      </c>
      <c r="B280">
        <v>47.4</v>
      </c>
      <c r="D280">
        <v>73.400000000000006</v>
      </c>
      <c r="E280">
        <v>78.099999999999994</v>
      </c>
      <c r="F280">
        <v>70.400000000000006</v>
      </c>
      <c r="G280">
        <v>6806.857</v>
      </c>
      <c r="H280">
        <v>3.9930323202027712E-4</v>
      </c>
      <c r="I280">
        <v>-1.4642881435587739E-2</v>
      </c>
      <c r="J280">
        <v>1.5981698411973171E-3</v>
      </c>
    </row>
    <row r="281" spans="1:10" x14ac:dyDescent="0.2">
      <c r="A281" s="53">
        <v>30256</v>
      </c>
      <c r="B281">
        <v>47.6</v>
      </c>
      <c r="D281">
        <v>72.099999999999994</v>
      </c>
      <c r="E281">
        <v>73.8</v>
      </c>
      <c r="F281">
        <v>71</v>
      </c>
    </row>
    <row r="282" spans="1:10" x14ac:dyDescent="0.2">
      <c r="A282" s="53">
        <v>30286</v>
      </c>
      <c r="B282">
        <v>48</v>
      </c>
      <c r="D282">
        <v>71.900000000000006</v>
      </c>
      <c r="E282">
        <v>78.099999999999994</v>
      </c>
      <c r="F282">
        <v>67.900000000000006</v>
      </c>
    </row>
    <row r="283" spans="1:10" x14ac:dyDescent="0.2">
      <c r="A283" s="53">
        <v>30317</v>
      </c>
      <c r="B283">
        <v>48.9</v>
      </c>
      <c r="D283">
        <v>70.400000000000006</v>
      </c>
      <c r="E283">
        <v>78.400000000000006</v>
      </c>
      <c r="F283">
        <v>65.2</v>
      </c>
      <c r="G283">
        <v>6896.5609999999997</v>
      </c>
      <c r="H283">
        <v>1.3007062505500889E-2</v>
      </c>
      <c r="I283">
        <v>1.411254101863226E-2</v>
      </c>
      <c r="J283">
        <v>5.3052183025795507E-2</v>
      </c>
    </row>
    <row r="284" spans="1:10" x14ac:dyDescent="0.2">
      <c r="A284" s="53">
        <v>30348</v>
      </c>
      <c r="B284">
        <v>49.4</v>
      </c>
      <c r="D284">
        <v>74.599999999999994</v>
      </c>
      <c r="E284">
        <v>79.900000000000006</v>
      </c>
      <c r="F284">
        <v>71.2</v>
      </c>
    </row>
    <row r="285" spans="1:10" x14ac:dyDescent="0.2">
      <c r="A285" s="53">
        <v>30376</v>
      </c>
      <c r="B285">
        <v>50.1</v>
      </c>
      <c r="D285">
        <v>80.8</v>
      </c>
      <c r="E285">
        <v>80.5</v>
      </c>
      <c r="F285">
        <v>80.900000000000006</v>
      </c>
    </row>
    <row r="286" spans="1:10" x14ac:dyDescent="0.2">
      <c r="A286" s="53">
        <v>30407</v>
      </c>
      <c r="B286">
        <v>50.5</v>
      </c>
      <c r="D286">
        <v>89.1</v>
      </c>
      <c r="E286">
        <v>92.7</v>
      </c>
      <c r="F286">
        <v>86.9</v>
      </c>
      <c r="G286">
        <v>7053.5</v>
      </c>
      <c r="H286">
        <v>2.2249805061317119E-2</v>
      </c>
      <c r="I286">
        <v>3.1650811653788871E-2</v>
      </c>
      <c r="J286">
        <v>9.2013847679586203E-2</v>
      </c>
    </row>
    <row r="287" spans="1:10" x14ac:dyDescent="0.2">
      <c r="A287" s="53">
        <v>30437</v>
      </c>
      <c r="B287">
        <v>51.2</v>
      </c>
      <c r="D287">
        <v>93.3</v>
      </c>
      <c r="E287">
        <v>93.1</v>
      </c>
      <c r="F287">
        <v>93.4</v>
      </c>
    </row>
    <row r="288" spans="1:10" x14ac:dyDescent="0.2">
      <c r="A288" s="53">
        <v>30468</v>
      </c>
      <c r="B288">
        <v>51.9</v>
      </c>
      <c r="D288">
        <v>92.2</v>
      </c>
      <c r="E288">
        <v>96.9</v>
      </c>
      <c r="F288">
        <v>89.2</v>
      </c>
    </row>
    <row r="289" spans="1:10" x14ac:dyDescent="0.2">
      <c r="A289" s="53">
        <v>30498</v>
      </c>
      <c r="B289">
        <v>52.4</v>
      </c>
      <c r="D289">
        <v>92.8</v>
      </c>
      <c r="E289">
        <v>96.5</v>
      </c>
      <c r="F289">
        <v>90.5</v>
      </c>
      <c r="G289">
        <v>7194.5039999999999</v>
      </c>
      <c r="H289">
        <v>1.9598849343888041E-2</v>
      </c>
      <c r="I289">
        <v>5.4258778645477131E-2</v>
      </c>
      <c r="J289">
        <v>8.0730347133310731E-2</v>
      </c>
    </row>
    <row r="290" spans="1:10" x14ac:dyDescent="0.2">
      <c r="A290" s="53">
        <v>30529</v>
      </c>
      <c r="B290">
        <v>52.6</v>
      </c>
      <c r="D290">
        <v>90.9</v>
      </c>
      <c r="E290">
        <v>95.1</v>
      </c>
      <c r="F290">
        <v>88.2</v>
      </c>
    </row>
    <row r="291" spans="1:10" x14ac:dyDescent="0.2">
      <c r="A291" s="53">
        <v>30560</v>
      </c>
      <c r="B291">
        <v>53.2</v>
      </c>
      <c r="D291">
        <v>89.9</v>
      </c>
      <c r="E291">
        <v>96.4</v>
      </c>
      <c r="F291">
        <v>85.8</v>
      </c>
    </row>
    <row r="292" spans="1:10" x14ac:dyDescent="0.2">
      <c r="A292" s="53">
        <v>30590</v>
      </c>
      <c r="B292">
        <v>53.9</v>
      </c>
      <c r="D292">
        <v>89.3</v>
      </c>
      <c r="E292">
        <v>94.3</v>
      </c>
      <c r="F292">
        <v>86.1</v>
      </c>
      <c r="G292">
        <v>7344.5969999999998</v>
      </c>
      <c r="H292">
        <v>2.0435838753303941E-2</v>
      </c>
      <c r="I292">
        <v>7.3215725791353811E-2</v>
      </c>
      <c r="J292">
        <v>8.4283408402390458E-2</v>
      </c>
    </row>
    <row r="293" spans="1:10" x14ac:dyDescent="0.2">
      <c r="A293" s="53">
        <v>30621</v>
      </c>
      <c r="B293">
        <v>54.3</v>
      </c>
      <c r="D293">
        <v>91.1</v>
      </c>
      <c r="E293">
        <v>96.1</v>
      </c>
      <c r="F293">
        <v>87.9</v>
      </c>
    </row>
    <row r="294" spans="1:10" x14ac:dyDescent="0.2">
      <c r="A294" s="53">
        <v>30651</v>
      </c>
      <c r="B294">
        <v>54.9</v>
      </c>
      <c r="D294">
        <v>94.2</v>
      </c>
      <c r="E294">
        <v>99.3</v>
      </c>
      <c r="F294">
        <v>91</v>
      </c>
    </row>
    <row r="295" spans="1:10" x14ac:dyDescent="0.2">
      <c r="A295" s="53">
        <v>30682</v>
      </c>
      <c r="B295">
        <v>55.5</v>
      </c>
      <c r="D295">
        <v>100.1</v>
      </c>
      <c r="E295">
        <v>104.9</v>
      </c>
      <c r="F295">
        <v>97</v>
      </c>
      <c r="G295">
        <v>7488.1670000000004</v>
      </c>
      <c r="H295">
        <v>1.917291641599347E-2</v>
      </c>
      <c r="I295">
        <v>7.9005449531240515E-2</v>
      </c>
      <c r="J295">
        <v>7.8925597049449125E-2</v>
      </c>
    </row>
    <row r="296" spans="1:10" x14ac:dyDescent="0.2">
      <c r="A296" s="53">
        <v>30713</v>
      </c>
      <c r="B296">
        <v>56</v>
      </c>
      <c r="D296">
        <v>97.4</v>
      </c>
      <c r="E296">
        <v>103.9</v>
      </c>
      <c r="F296">
        <v>93.2</v>
      </c>
    </row>
    <row r="297" spans="1:10" x14ac:dyDescent="0.2">
      <c r="A297" s="53">
        <v>30742</v>
      </c>
      <c r="B297">
        <v>56.1</v>
      </c>
      <c r="D297">
        <v>101</v>
      </c>
      <c r="E297">
        <v>106</v>
      </c>
      <c r="F297">
        <v>97.7</v>
      </c>
    </row>
    <row r="298" spans="1:10" x14ac:dyDescent="0.2">
      <c r="A298" s="53">
        <v>30773</v>
      </c>
      <c r="B298">
        <v>56.4</v>
      </c>
      <c r="D298">
        <v>96.1</v>
      </c>
      <c r="E298">
        <v>103.5</v>
      </c>
      <c r="F298">
        <v>91.4</v>
      </c>
      <c r="G298">
        <v>7617.5469999999996</v>
      </c>
      <c r="H298">
        <v>1.6984470197558239E-2</v>
      </c>
      <c r="I298">
        <v>7.4045752523745456E-2</v>
      </c>
      <c r="J298">
        <v>6.9688395565639771E-2</v>
      </c>
    </row>
    <row r="299" spans="1:10" x14ac:dyDescent="0.2">
      <c r="A299" s="53">
        <v>30803</v>
      </c>
      <c r="B299">
        <v>56.8</v>
      </c>
      <c r="D299">
        <v>98.1</v>
      </c>
      <c r="E299">
        <v>109.8</v>
      </c>
      <c r="F299">
        <v>90.6</v>
      </c>
    </row>
    <row r="300" spans="1:10" x14ac:dyDescent="0.2">
      <c r="A300" s="53">
        <v>30834</v>
      </c>
      <c r="B300">
        <v>57</v>
      </c>
      <c r="D300">
        <v>95.5</v>
      </c>
      <c r="E300">
        <v>104.4</v>
      </c>
      <c r="F300">
        <v>89.8</v>
      </c>
    </row>
    <row r="301" spans="1:10" x14ac:dyDescent="0.2">
      <c r="A301" s="53">
        <v>30864</v>
      </c>
      <c r="B301">
        <v>57.2</v>
      </c>
      <c r="D301">
        <v>96.6</v>
      </c>
      <c r="E301">
        <v>103.9</v>
      </c>
      <c r="F301">
        <v>91.9</v>
      </c>
      <c r="G301">
        <v>7690.9849999999997</v>
      </c>
      <c r="H301">
        <v>9.5485818786540475E-3</v>
      </c>
      <c r="I301">
        <v>6.4553629996677908E-2</v>
      </c>
      <c r="J301">
        <v>3.8744870706628687E-2</v>
      </c>
    </row>
    <row r="302" spans="1:10" x14ac:dyDescent="0.2">
      <c r="A302" s="53">
        <v>30895</v>
      </c>
      <c r="B302">
        <v>57.2</v>
      </c>
      <c r="D302">
        <v>99.1</v>
      </c>
      <c r="E302">
        <v>107.5</v>
      </c>
      <c r="F302">
        <v>93.7</v>
      </c>
    </row>
    <row r="303" spans="1:10" x14ac:dyDescent="0.2">
      <c r="A303" s="53">
        <v>30926</v>
      </c>
      <c r="B303">
        <v>57.2</v>
      </c>
      <c r="D303">
        <v>100.9</v>
      </c>
      <c r="E303">
        <v>107.8</v>
      </c>
      <c r="F303">
        <v>96.4</v>
      </c>
    </row>
    <row r="304" spans="1:10" x14ac:dyDescent="0.2">
      <c r="A304" s="53">
        <v>30956</v>
      </c>
      <c r="B304">
        <v>57.4</v>
      </c>
      <c r="D304">
        <v>96.3</v>
      </c>
      <c r="E304">
        <v>103.6</v>
      </c>
      <c r="F304">
        <v>91.6</v>
      </c>
      <c r="G304">
        <v>7754.1170000000002</v>
      </c>
      <c r="H304">
        <v>8.1417394140429547E-3</v>
      </c>
      <c r="I304">
        <v>5.2813234569455227E-2</v>
      </c>
      <c r="J304">
        <v>3.2966848370283852E-2</v>
      </c>
    </row>
    <row r="305" spans="1:10" x14ac:dyDescent="0.2">
      <c r="A305" s="53">
        <v>30987</v>
      </c>
      <c r="B305">
        <v>57.7</v>
      </c>
      <c r="D305">
        <v>95.7</v>
      </c>
      <c r="E305">
        <v>102.4</v>
      </c>
      <c r="F305">
        <v>91.5</v>
      </c>
    </row>
    <row r="306" spans="1:10" x14ac:dyDescent="0.2">
      <c r="A306" s="53">
        <v>31017</v>
      </c>
      <c r="B306">
        <v>58.1</v>
      </c>
      <c r="D306">
        <v>92.9</v>
      </c>
      <c r="E306">
        <v>100.6</v>
      </c>
      <c r="F306">
        <v>87.9</v>
      </c>
    </row>
    <row r="307" spans="1:10" x14ac:dyDescent="0.2">
      <c r="A307" s="53">
        <v>31048</v>
      </c>
      <c r="B307">
        <v>58.4</v>
      </c>
      <c r="C307">
        <v>179.6300048828125</v>
      </c>
      <c r="D307">
        <v>96</v>
      </c>
      <c r="E307">
        <v>104.9</v>
      </c>
      <c r="F307">
        <v>90.3</v>
      </c>
      <c r="G307">
        <v>7829.26</v>
      </c>
      <c r="H307">
        <v>9.5977142156474585E-3</v>
      </c>
      <c r="I307">
        <v>4.3566441783770088E-2</v>
      </c>
      <c r="J307">
        <v>3.8947098473667292E-2</v>
      </c>
    </row>
    <row r="308" spans="1:10" x14ac:dyDescent="0.2">
      <c r="A308" s="53">
        <v>31079</v>
      </c>
      <c r="B308">
        <v>58.7</v>
      </c>
      <c r="C308">
        <v>181.17999267578119</v>
      </c>
      <c r="D308">
        <v>93.7</v>
      </c>
      <c r="E308">
        <v>105.1</v>
      </c>
      <c r="F308">
        <v>86.5</v>
      </c>
    </row>
    <row r="309" spans="1:10" x14ac:dyDescent="0.2">
      <c r="A309" s="53">
        <v>31107</v>
      </c>
      <c r="B309">
        <v>58.9</v>
      </c>
      <c r="C309">
        <v>180.6600036621094</v>
      </c>
      <c r="D309">
        <v>93.7</v>
      </c>
      <c r="E309">
        <v>103.7</v>
      </c>
      <c r="F309">
        <v>87.3</v>
      </c>
    </row>
    <row r="310" spans="1:10" x14ac:dyDescent="0.2">
      <c r="A310" s="53">
        <v>31138</v>
      </c>
      <c r="B310">
        <v>59</v>
      </c>
      <c r="C310">
        <v>179.83000183105469</v>
      </c>
      <c r="D310">
        <v>94.6</v>
      </c>
      <c r="E310">
        <v>106.6</v>
      </c>
      <c r="F310">
        <v>87</v>
      </c>
      <c r="G310">
        <v>7898.1940000000004</v>
      </c>
      <c r="H310">
        <v>8.7278180302991035E-3</v>
      </c>
      <c r="I310">
        <v>3.5533059836210773E-2</v>
      </c>
      <c r="J310">
        <v>3.5370986128654192E-2</v>
      </c>
    </row>
    <row r="311" spans="1:10" x14ac:dyDescent="0.2">
      <c r="A311" s="53">
        <v>31168</v>
      </c>
      <c r="B311">
        <v>59.2</v>
      </c>
      <c r="C311">
        <v>189.55000305175781</v>
      </c>
      <c r="D311">
        <v>91.8</v>
      </c>
      <c r="E311">
        <v>103.7</v>
      </c>
      <c r="F311">
        <v>84.2</v>
      </c>
    </row>
    <row r="312" spans="1:10" x14ac:dyDescent="0.2">
      <c r="A312" s="53">
        <v>31199</v>
      </c>
      <c r="B312">
        <v>59.6</v>
      </c>
      <c r="C312">
        <v>191.8500061035156</v>
      </c>
      <c r="D312">
        <v>96.5</v>
      </c>
      <c r="E312">
        <v>104.9</v>
      </c>
      <c r="F312">
        <v>91.1</v>
      </c>
    </row>
    <row r="313" spans="1:10" x14ac:dyDescent="0.2">
      <c r="A313" s="53">
        <v>31229</v>
      </c>
      <c r="B313">
        <v>59.8</v>
      </c>
      <c r="C313">
        <v>190.91999816894531</v>
      </c>
      <c r="D313">
        <v>94</v>
      </c>
      <c r="E313">
        <v>104.3</v>
      </c>
      <c r="F313">
        <v>87.4</v>
      </c>
      <c r="G313">
        <v>8018.8090000000002</v>
      </c>
      <c r="H313">
        <v>1.5041510528558521E-2</v>
      </c>
      <c r="I313">
        <v>4.0881881586155813E-2</v>
      </c>
      <c r="J313">
        <v>6.1537187924717067E-2</v>
      </c>
    </row>
    <row r="314" spans="1:10" x14ac:dyDescent="0.2">
      <c r="A314" s="53">
        <v>31260</v>
      </c>
      <c r="B314">
        <v>60</v>
      </c>
      <c r="C314">
        <v>188.6300048828125</v>
      </c>
      <c r="D314">
        <v>92.4</v>
      </c>
      <c r="E314">
        <v>101.8</v>
      </c>
      <c r="F314">
        <v>86.3</v>
      </c>
    </row>
    <row r="315" spans="1:10" x14ac:dyDescent="0.2">
      <c r="A315" s="53">
        <v>31291</v>
      </c>
      <c r="B315">
        <v>60.2</v>
      </c>
      <c r="C315">
        <v>182.08000183105469</v>
      </c>
      <c r="D315">
        <v>92.1</v>
      </c>
      <c r="E315">
        <v>104.3</v>
      </c>
      <c r="F315">
        <v>84.2</v>
      </c>
    </row>
    <row r="316" spans="1:10" x14ac:dyDescent="0.2">
      <c r="A316" s="53">
        <v>31321</v>
      </c>
      <c r="B316">
        <v>60.3</v>
      </c>
      <c r="C316">
        <v>189.82000732421881</v>
      </c>
      <c r="D316">
        <v>88.4</v>
      </c>
      <c r="E316">
        <v>100.3</v>
      </c>
      <c r="F316">
        <v>80.8</v>
      </c>
      <c r="G316">
        <v>8078.415</v>
      </c>
      <c r="H316">
        <v>7.378427575211198E-3</v>
      </c>
      <c r="I316">
        <v>4.0143765825350612E-2</v>
      </c>
      <c r="J316">
        <v>2.9841967187196779E-2</v>
      </c>
    </row>
    <row r="317" spans="1:10" x14ac:dyDescent="0.2">
      <c r="A317" s="53">
        <v>31352</v>
      </c>
      <c r="B317">
        <v>60.5</v>
      </c>
      <c r="C317">
        <v>202.16999816894531</v>
      </c>
      <c r="D317">
        <v>90.9</v>
      </c>
      <c r="E317">
        <v>100.7</v>
      </c>
      <c r="F317">
        <v>84.5</v>
      </c>
    </row>
    <row r="318" spans="1:10" x14ac:dyDescent="0.2">
      <c r="A318" s="53">
        <v>31382</v>
      </c>
      <c r="B318">
        <v>60.8</v>
      </c>
      <c r="C318">
        <v>211.2799987792969</v>
      </c>
      <c r="D318">
        <v>93.9</v>
      </c>
      <c r="E318">
        <v>103.1</v>
      </c>
      <c r="F318">
        <v>88.1</v>
      </c>
    </row>
    <row r="319" spans="1:10" x14ac:dyDescent="0.2">
      <c r="A319" s="53">
        <v>31413</v>
      </c>
      <c r="B319">
        <v>61</v>
      </c>
      <c r="C319">
        <v>211.7799987792969</v>
      </c>
      <c r="D319">
        <v>95.6</v>
      </c>
      <c r="E319">
        <v>111.8</v>
      </c>
      <c r="F319">
        <v>85.3</v>
      </c>
      <c r="G319">
        <v>8153.8289999999997</v>
      </c>
      <c r="H319">
        <v>9.2489062500574586E-3</v>
      </c>
      <c r="I319">
        <v>3.9805715817685113E-2</v>
      </c>
      <c r="J319">
        <v>3.7512050608268011E-2</v>
      </c>
    </row>
    <row r="320" spans="1:10" x14ac:dyDescent="0.2">
      <c r="A320" s="53">
        <v>31444</v>
      </c>
      <c r="B320">
        <v>61.2</v>
      </c>
      <c r="C320">
        <v>226.91999816894531</v>
      </c>
      <c r="D320">
        <v>95.9</v>
      </c>
      <c r="E320">
        <v>108.4</v>
      </c>
      <c r="F320">
        <v>87.8</v>
      </c>
    </row>
    <row r="321" spans="1:10" x14ac:dyDescent="0.2">
      <c r="A321" s="53">
        <v>31472</v>
      </c>
      <c r="B321">
        <v>61.3</v>
      </c>
      <c r="C321">
        <v>238.8999938964844</v>
      </c>
      <c r="D321">
        <v>95.1</v>
      </c>
      <c r="E321">
        <v>107.9</v>
      </c>
      <c r="F321">
        <v>86.9</v>
      </c>
    </row>
    <row r="322" spans="1:10" x14ac:dyDescent="0.2">
      <c r="A322" s="53">
        <v>31503</v>
      </c>
      <c r="B322">
        <v>61.6</v>
      </c>
      <c r="C322">
        <v>235.52000427246091</v>
      </c>
      <c r="D322">
        <v>96.2</v>
      </c>
      <c r="E322">
        <v>108.1</v>
      </c>
      <c r="F322">
        <v>88.5</v>
      </c>
      <c r="G322">
        <v>8190.5519999999997</v>
      </c>
      <c r="H322">
        <v>4.4835805938354288E-3</v>
      </c>
      <c r="I322">
        <v>3.5694541710985933E-2</v>
      </c>
      <c r="J322">
        <v>1.8055298273725429E-2</v>
      </c>
    </row>
    <row r="323" spans="1:10" x14ac:dyDescent="0.2">
      <c r="A323" s="53">
        <v>31533</v>
      </c>
      <c r="B323">
        <v>61.8</v>
      </c>
      <c r="C323">
        <v>247.3500061035156</v>
      </c>
      <c r="D323">
        <v>94.8</v>
      </c>
      <c r="E323">
        <v>106.2</v>
      </c>
      <c r="F323">
        <v>87.5</v>
      </c>
    </row>
    <row r="324" spans="1:10" x14ac:dyDescent="0.2">
      <c r="A324" s="53">
        <v>31564</v>
      </c>
      <c r="B324">
        <v>62.3</v>
      </c>
      <c r="C324">
        <v>250.8399963378906</v>
      </c>
      <c r="D324">
        <v>99.3</v>
      </c>
      <c r="E324">
        <v>113.3</v>
      </c>
      <c r="F324">
        <v>90.3</v>
      </c>
    </row>
    <row r="325" spans="1:10" x14ac:dyDescent="0.2">
      <c r="A325" s="53">
        <v>31594</v>
      </c>
      <c r="B325">
        <v>62.3</v>
      </c>
      <c r="C325">
        <v>236.1199951171875</v>
      </c>
      <c r="D325">
        <v>97.7</v>
      </c>
      <c r="E325">
        <v>112.1</v>
      </c>
      <c r="F325">
        <v>88.5</v>
      </c>
      <c r="G325">
        <v>8268.9349999999995</v>
      </c>
      <c r="H325">
        <v>9.479213465821151E-3</v>
      </c>
      <c r="I325">
        <v>3.0248877273796361E-2</v>
      </c>
      <c r="J325">
        <v>3.8459401902282142E-2</v>
      </c>
    </row>
    <row r="326" spans="1:10" x14ac:dyDescent="0.2">
      <c r="A326" s="53">
        <v>31625</v>
      </c>
      <c r="B326">
        <v>62.4</v>
      </c>
      <c r="C326">
        <v>252.92999267578119</v>
      </c>
      <c r="D326">
        <v>94.9</v>
      </c>
      <c r="E326">
        <v>108.9</v>
      </c>
      <c r="F326">
        <v>85.9</v>
      </c>
    </row>
    <row r="327" spans="1:10" x14ac:dyDescent="0.2">
      <c r="A327" s="53">
        <v>31656</v>
      </c>
      <c r="B327">
        <v>62.6</v>
      </c>
      <c r="C327">
        <v>231.32000732421881</v>
      </c>
      <c r="D327">
        <v>91.9</v>
      </c>
      <c r="E327">
        <v>108.3</v>
      </c>
      <c r="F327">
        <v>81.3</v>
      </c>
    </row>
    <row r="328" spans="1:10" x14ac:dyDescent="0.2">
      <c r="A328" s="53">
        <v>31686</v>
      </c>
      <c r="B328">
        <v>62.7</v>
      </c>
      <c r="C328">
        <v>243.97999572753909</v>
      </c>
      <c r="D328">
        <v>95.6</v>
      </c>
      <c r="E328">
        <v>108.9</v>
      </c>
      <c r="F328">
        <v>87.1</v>
      </c>
      <c r="G328">
        <v>8313.3379999999997</v>
      </c>
      <c r="H328">
        <v>5.3411758309358107E-3</v>
      </c>
      <c r="I328">
        <v>2.8258564730557059E-2</v>
      </c>
      <c r="J328">
        <v>2.1536482588800029E-2</v>
      </c>
    </row>
    <row r="329" spans="1:10" x14ac:dyDescent="0.2">
      <c r="A329" s="53">
        <v>31717</v>
      </c>
      <c r="B329">
        <v>62.9</v>
      </c>
      <c r="C329">
        <v>249.2200012207031</v>
      </c>
      <c r="D329">
        <v>91.4</v>
      </c>
      <c r="E329">
        <v>106.7</v>
      </c>
      <c r="F329">
        <v>81.599999999999994</v>
      </c>
    </row>
    <row r="330" spans="1:10" x14ac:dyDescent="0.2">
      <c r="A330" s="53">
        <v>31747</v>
      </c>
      <c r="B330">
        <v>63.3</v>
      </c>
      <c r="C330">
        <v>242.16999816894531</v>
      </c>
      <c r="D330">
        <v>89.1</v>
      </c>
      <c r="E330">
        <v>105.8</v>
      </c>
      <c r="F330">
        <v>78.3</v>
      </c>
    </row>
    <row r="331" spans="1:10" x14ac:dyDescent="0.2">
      <c r="A331" s="53">
        <v>31778</v>
      </c>
      <c r="B331">
        <v>63.3</v>
      </c>
      <c r="C331">
        <v>274.07998657226562</v>
      </c>
      <c r="D331">
        <v>90.4</v>
      </c>
      <c r="E331">
        <v>105.1</v>
      </c>
      <c r="F331">
        <v>80.900000000000006</v>
      </c>
      <c r="G331">
        <v>8375.2739999999994</v>
      </c>
      <c r="H331">
        <v>7.3951013423560466E-3</v>
      </c>
      <c r="I331">
        <v>2.644032899699756E-2</v>
      </c>
      <c r="J331">
        <v>2.9910151182456431E-2</v>
      </c>
    </row>
    <row r="332" spans="1:10" x14ac:dyDescent="0.2">
      <c r="A332" s="53">
        <v>31809</v>
      </c>
      <c r="B332">
        <v>63.8</v>
      </c>
      <c r="C332">
        <v>284.20001220703119</v>
      </c>
      <c r="D332">
        <v>90.2</v>
      </c>
      <c r="E332">
        <v>103.7</v>
      </c>
      <c r="F332">
        <v>81.599999999999994</v>
      </c>
    </row>
    <row r="333" spans="1:10" x14ac:dyDescent="0.2">
      <c r="A333" s="53">
        <v>31837</v>
      </c>
      <c r="B333">
        <v>63.9</v>
      </c>
      <c r="C333">
        <v>291.70001220703119</v>
      </c>
      <c r="D333">
        <v>90.8</v>
      </c>
      <c r="E333">
        <v>102.5</v>
      </c>
      <c r="F333">
        <v>83.3</v>
      </c>
    </row>
    <row r="334" spans="1:10" x14ac:dyDescent="0.2">
      <c r="A334" s="53">
        <v>31868</v>
      </c>
      <c r="B334">
        <v>64</v>
      </c>
      <c r="C334">
        <v>288.3599853515625</v>
      </c>
      <c r="D334">
        <v>92.8</v>
      </c>
      <c r="E334">
        <v>105.5</v>
      </c>
      <c r="F334">
        <v>84.7</v>
      </c>
      <c r="G334">
        <v>8465.6299999999992</v>
      </c>
      <c r="H334">
        <v>1.06732753498558E-2</v>
      </c>
      <c r="I334">
        <v>3.2493506094643819E-2</v>
      </c>
      <c r="J334">
        <v>4.3381490764246022E-2</v>
      </c>
    </row>
    <row r="335" spans="1:10" x14ac:dyDescent="0.2">
      <c r="A335" s="53">
        <v>31898</v>
      </c>
      <c r="B335">
        <v>64.2</v>
      </c>
      <c r="C335">
        <v>290.10000610351562</v>
      </c>
      <c r="D335">
        <v>91.1</v>
      </c>
      <c r="E335">
        <v>107.4</v>
      </c>
      <c r="F335">
        <v>80.599999999999994</v>
      </c>
    </row>
    <row r="336" spans="1:10" x14ac:dyDescent="0.2">
      <c r="A336" s="53">
        <v>31929</v>
      </c>
      <c r="B336">
        <v>64.5</v>
      </c>
      <c r="C336">
        <v>304</v>
      </c>
      <c r="D336">
        <v>91.5</v>
      </c>
      <c r="E336">
        <v>108.1</v>
      </c>
      <c r="F336">
        <v>80.8</v>
      </c>
    </row>
    <row r="337" spans="1:10" x14ac:dyDescent="0.2">
      <c r="A337" s="53">
        <v>31959</v>
      </c>
      <c r="B337">
        <v>64.8</v>
      </c>
      <c r="C337">
        <v>318.66000366210938</v>
      </c>
      <c r="D337">
        <v>93.7</v>
      </c>
      <c r="E337">
        <v>109.9</v>
      </c>
      <c r="F337">
        <v>83.3</v>
      </c>
      <c r="G337">
        <v>8539.0750000000007</v>
      </c>
      <c r="H337">
        <v>8.6010487084375673E-3</v>
      </c>
      <c r="I337">
        <v>3.1635745089485828E-2</v>
      </c>
      <c r="J337">
        <v>3.4850613694673349E-2</v>
      </c>
    </row>
    <row r="338" spans="1:10" x14ac:dyDescent="0.2">
      <c r="A338" s="53">
        <v>31990</v>
      </c>
      <c r="B338">
        <v>65</v>
      </c>
      <c r="C338">
        <v>329.79998779296881</v>
      </c>
      <c r="D338">
        <v>94.4</v>
      </c>
      <c r="E338">
        <v>107.8</v>
      </c>
      <c r="F338">
        <v>85.8</v>
      </c>
    </row>
    <row r="339" spans="1:10" x14ac:dyDescent="0.2">
      <c r="A339" s="53">
        <v>32021</v>
      </c>
      <c r="B339">
        <v>65.400000000000006</v>
      </c>
      <c r="C339">
        <v>321.82998657226562</v>
      </c>
      <c r="D339">
        <v>93.6</v>
      </c>
      <c r="E339">
        <v>108.3</v>
      </c>
      <c r="F339">
        <v>84.2</v>
      </c>
    </row>
    <row r="340" spans="1:10"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row>
    <row r="341" spans="1:10" x14ac:dyDescent="0.2">
      <c r="A341" s="53">
        <v>32082</v>
      </c>
      <c r="B341">
        <v>65.400000000000006</v>
      </c>
      <c r="C341">
        <v>230.30000305175781</v>
      </c>
      <c r="D341">
        <v>83.1</v>
      </c>
      <c r="E341">
        <v>99.3</v>
      </c>
      <c r="F341">
        <v>72.7</v>
      </c>
    </row>
    <row r="342" spans="1:10" x14ac:dyDescent="0.2">
      <c r="A342" s="53">
        <v>32112</v>
      </c>
      <c r="B342">
        <v>65.400000000000006</v>
      </c>
      <c r="C342">
        <v>247.08000183105469</v>
      </c>
      <c r="D342">
        <v>86.8</v>
      </c>
      <c r="E342">
        <v>102.7</v>
      </c>
      <c r="F342">
        <v>76.7</v>
      </c>
    </row>
    <row r="343" spans="1:10"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row>
    <row r="344" spans="1:10" x14ac:dyDescent="0.2">
      <c r="A344" s="53">
        <v>32174</v>
      </c>
      <c r="B344">
        <v>66.099999999999994</v>
      </c>
      <c r="C344">
        <v>267.82000732421881</v>
      </c>
      <c r="D344">
        <v>91.6</v>
      </c>
      <c r="E344">
        <v>106.6</v>
      </c>
      <c r="F344">
        <v>81.900000000000006</v>
      </c>
    </row>
    <row r="345" spans="1:10" x14ac:dyDescent="0.2">
      <c r="A345" s="53">
        <v>32203</v>
      </c>
      <c r="B345">
        <v>66.400000000000006</v>
      </c>
      <c r="C345">
        <v>258.8900146484375</v>
      </c>
      <c r="D345">
        <v>94.6</v>
      </c>
      <c r="E345">
        <v>109.1</v>
      </c>
      <c r="F345">
        <v>85.2</v>
      </c>
    </row>
    <row r="346" spans="1:10" x14ac:dyDescent="0.2">
      <c r="A346" s="53">
        <v>32234</v>
      </c>
      <c r="B346">
        <v>66.5</v>
      </c>
      <c r="C346">
        <v>261.32998657226562</v>
      </c>
      <c r="D346">
        <v>91.2</v>
      </c>
      <c r="E346">
        <v>104.8</v>
      </c>
      <c r="F346">
        <v>82.4</v>
      </c>
      <c r="G346">
        <v>8845.2800000000007</v>
      </c>
      <c r="H346">
        <v>1.2968611508058661E-2</v>
      </c>
      <c r="I346">
        <v>4.2921196389486993E-2</v>
      </c>
      <c r="J346">
        <v>5.2892308122783671E-2</v>
      </c>
    </row>
    <row r="347" spans="1:10" x14ac:dyDescent="0.2">
      <c r="A347" s="53">
        <v>32264</v>
      </c>
      <c r="B347">
        <v>66.8</v>
      </c>
      <c r="C347">
        <v>262.16000366210938</v>
      </c>
      <c r="D347">
        <v>94.8</v>
      </c>
      <c r="E347">
        <v>106.5</v>
      </c>
      <c r="F347">
        <v>87.3</v>
      </c>
    </row>
    <row r="348" spans="1:10" x14ac:dyDescent="0.2">
      <c r="A348" s="53">
        <v>32295</v>
      </c>
      <c r="B348">
        <v>67.2</v>
      </c>
      <c r="C348">
        <v>273.5</v>
      </c>
      <c r="D348">
        <v>94.7</v>
      </c>
      <c r="E348">
        <v>108.6</v>
      </c>
      <c r="F348">
        <v>85.7</v>
      </c>
    </row>
    <row r="349" spans="1:10" x14ac:dyDescent="0.2">
      <c r="A349" s="53">
        <v>32325</v>
      </c>
      <c r="B349">
        <v>67.2</v>
      </c>
      <c r="C349">
        <v>272.01998901367188</v>
      </c>
      <c r="D349">
        <v>93.4</v>
      </c>
      <c r="E349">
        <v>110.7</v>
      </c>
      <c r="F349">
        <v>82.3</v>
      </c>
      <c r="G349">
        <v>8897.107</v>
      </c>
      <c r="H349">
        <v>5.8251519285987359E-3</v>
      </c>
      <c r="I349">
        <v>4.0241395320973351E-2</v>
      </c>
      <c r="J349">
        <v>2.3504993881174659E-2</v>
      </c>
    </row>
    <row r="350" spans="1:10" x14ac:dyDescent="0.2">
      <c r="A350" s="53">
        <v>32356</v>
      </c>
      <c r="B350">
        <v>67.3</v>
      </c>
      <c r="C350">
        <v>261.51998901367188</v>
      </c>
      <c r="D350">
        <v>97.4</v>
      </c>
      <c r="E350">
        <v>110.8</v>
      </c>
      <c r="F350">
        <v>88.8</v>
      </c>
    </row>
    <row r="351" spans="1:10" x14ac:dyDescent="0.2">
      <c r="A351" s="53">
        <v>32387</v>
      </c>
      <c r="B351">
        <v>67.5</v>
      </c>
      <c r="C351">
        <v>271.91000366210938</v>
      </c>
      <c r="D351">
        <v>97.3</v>
      </c>
      <c r="E351">
        <v>109.4</v>
      </c>
      <c r="F351">
        <v>89.5</v>
      </c>
    </row>
    <row r="352" spans="1:10" x14ac:dyDescent="0.2">
      <c r="A352" s="53">
        <v>32417</v>
      </c>
      <c r="B352">
        <v>67.8</v>
      </c>
      <c r="C352">
        <v>278.97000122070312</v>
      </c>
      <c r="D352">
        <v>94.1</v>
      </c>
      <c r="E352">
        <v>105</v>
      </c>
      <c r="F352">
        <v>87</v>
      </c>
      <c r="G352">
        <v>9015.6610000000001</v>
      </c>
      <c r="H352">
        <v>1.314978458040959E-2</v>
      </c>
      <c r="I352">
        <v>3.6599313128566013E-2</v>
      </c>
      <c r="J352">
        <v>5.3645764505433791E-2</v>
      </c>
    </row>
    <row r="353" spans="1:10" x14ac:dyDescent="0.2">
      <c r="A353" s="53">
        <v>32448</v>
      </c>
      <c r="B353">
        <v>67.900000000000006</v>
      </c>
      <c r="C353">
        <v>273.70001220703119</v>
      </c>
      <c r="D353">
        <v>93</v>
      </c>
      <c r="E353">
        <v>103.3</v>
      </c>
      <c r="F353">
        <v>86.3</v>
      </c>
    </row>
    <row r="354" spans="1:10" x14ac:dyDescent="0.2">
      <c r="A354" s="53">
        <v>32478</v>
      </c>
      <c r="B354">
        <v>68.099999999999994</v>
      </c>
      <c r="C354">
        <v>277.72000122070312</v>
      </c>
      <c r="D354">
        <v>91.9</v>
      </c>
      <c r="E354">
        <v>102</v>
      </c>
      <c r="F354">
        <v>85.5</v>
      </c>
    </row>
    <row r="355" spans="1:10" x14ac:dyDescent="0.2">
      <c r="A355" s="53">
        <v>32509</v>
      </c>
      <c r="B355">
        <v>68.2</v>
      </c>
      <c r="C355">
        <v>297.47000122070312</v>
      </c>
      <c r="D355">
        <v>97.9</v>
      </c>
      <c r="E355">
        <v>110.3</v>
      </c>
      <c r="F355">
        <v>89.9</v>
      </c>
      <c r="G355">
        <v>9107.3140000000003</v>
      </c>
      <c r="H355">
        <v>1.006366970546972E-2</v>
      </c>
      <c r="I355">
        <v>4.1367301050562313E-2</v>
      </c>
      <c r="J355">
        <v>4.0866430657783732E-2</v>
      </c>
    </row>
    <row r="356" spans="1:10" x14ac:dyDescent="0.2">
      <c r="A356" s="53">
        <v>32540</v>
      </c>
      <c r="B356">
        <v>68.2</v>
      </c>
      <c r="C356">
        <v>288.8599853515625</v>
      </c>
      <c r="D356">
        <v>95.4</v>
      </c>
      <c r="E356">
        <v>105.7</v>
      </c>
      <c r="F356">
        <v>88.8</v>
      </c>
    </row>
    <row r="357" spans="1:10" x14ac:dyDescent="0.2">
      <c r="A357" s="53">
        <v>32568</v>
      </c>
      <c r="B357">
        <v>67.900000000000006</v>
      </c>
      <c r="C357">
        <v>294.8699951171875</v>
      </c>
      <c r="D357">
        <v>94.3</v>
      </c>
      <c r="E357">
        <v>104.8</v>
      </c>
      <c r="F357">
        <v>87.6</v>
      </c>
    </row>
    <row r="358" spans="1:10" x14ac:dyDescent="0.2">
      <c r="A358" s="53">
        <v>32599</v>
      </c>
      <c r="B358">
        <v>68</v>
      </c>
      <c r="C358">
        <v>309.6400146484375</v>
      </c>
      <c r="D358">
        <v>91.5</v>
      </c>
      <c r="E358">
        <v>104.4</v>
      </c>
      <c r="F358">
        <v>83.2</v>
      </c>
      <c r="G358">
        <v>9176.8269999999993</v>
      </c>
      <c r="H358">
        <v>7.5748404105252303E-3</v>
      </c>
      <c r="I358">
        <v>3.6128718564706369E-2</v>
      </c>
      <c r="J358">
        <v>3.064537270088041E-2</v>
      </c>
    </row>
    <row r="359" spans="1:10" x14ac:dyDescent="0.2">
      <c r="A359" s="53">
        <v>32629</v>
      </c>
      <c r="B359">
        <v>67.8</v>
      </c>
      <c r="C359">
        <v>320.51998901367188</v>
      </c>
      <c r="D359">
        <v>90.7</v>
      </c>
      <c r="E359">
        <v>107.1</v>
      </c>
      <c r="F359">
        <v>80.099999999999994</v>
      </c>
    </row>
    <row r="360" spans="1:10" x14ac:dyDescent="0.2">
      <c r="A360" s="53">
        <v>32660</v>
      </c>
      <c r="B360">
        <v>67.7</v>
      </c>
      <c r="C360">
        <v>317.98001098632812</v>
      </c>
      <c r="D360">
        <v>90.6</v>
      </c>
      <c r="E360">
        <v>104.1</v>
      </c>
      <c r="F360">
        <v>82</v>
      </c>
    </row>
    <row r="361" spans="1:10" x14ac:dyDescent="0.2">
      <c r="A361" s="53">
        <v>32690</v>
      </c>
      <c r="B361">
        <v>67.400000000000006</v>
      </c>
      <c r="C361">
        <v>346.07998657226562</v>
      </c>
      <c r="D361">
        <v>92</v>
      </c>
      <c r="E361">
        <v>102.1</v>
      </c>
      <c r="F361">
        <v>85.5</v>
      </c>
      <c r="G361">
        <v>9244.8160000000007</v>
      </c>
      <c r="H361">
        <v>7.3542837412882414E-3</v>
      </c>
      <c r="I361">
        <v>3.7611240721286472E-2</v>
      </c>
      <c r="J361">
        <v>2.9743241866617479E-2</v>
      </c>
    </row>
    <row r="362" spans="1:10" x14ac:dyDescent="0.2">
      <c r="A362" s="53">
        <v>32721</v>
      </c>
      <c r="B362">
        <v>67.599999999999994</v>
      </c>
      <c r="C362">
        <v>351.45001220703119</v>
      </c>
      <c r="D362">
        <v>89.6</v>
      </c>
      <c r="E362">
        <v>103.9</v>
      </c>
      <c r="F362">
        <v>80.3</v>
      </c>
    </row>
    <row r="363" spans="1:10" x14ac:dyDescent="0.2">
      <c r="A363" s="53">
        <v>32752</v>
      </c>
      <c r="B363">
        <v>67.599999999999994</v>
      </c>
      <c r="C363">
        <v>349.14999389648438</v>
      </c>
      <c r="D363">
        <v>95.8</v>
      </c>
      <c r="E363">
        <v>107.1</v>
      </c>
      <c r="F363">
        <v>88.6</v>
      </c>
    </row>
    <row r="364" spans="1:10" x14ac:dyDescent="0.2">
      <c r="A364" s="53">
        <v>32782</v>
      </c>
      <c r="B364">
        <v>67.400000000000006</v>
      </c>
      <c r="C364">
        <v>340.3599853515625</v>
      </c>
      <c r="D364">
        <v>93.9</v>
      </c>
      <c r="E364">
        <v>104.4</v>
      </c>
      <c r="F364">
        <v>87.2</v>
      </c>
      <c r="G364">
        <v>9263.0329999999994</v>
      </c>
      <c r="H364">
        <v>1.9666344705884919E-3</v>
      </c>
      <c r="I364">
        <v>2.670529188441835E-2</v>
      </c>
      <c r="J364">
        <v>7.8897742291821338E-3</v>
      </c>
    </row>
    <row r="365" spans="1:10" x14ac:dyDescent="0.2">
      <c r="A365" s="53">
        <v>32813</v>
      </c>
      <c r="B365">
        <v>67.5</v>
      </c>
      <c r="C365">
        <v>345.989990234375</v>
      </c>
      <c r="D365">
        <v>90.9</v>
      </c>
      <c r="E365">
        <v>101.2</v>
      </c>
      <c r="F365">
        <v>84.3</v>
      </c>
    </row>
    <row r="366" spans="1:10" x14ac:dyDescent="0.2">
      <c r="A366" s="53">
        <v>32843</v>
      </c>
      <c r="B366">
        <v>67.5</v>
      </c>
      <c r="C366">
        <v>353.39999389648438</v>
      </c>
      <c r="D366">
        <v>90.5</v>
      </c>
      <c r="E366">
        <v>98.2</v>
      </c>
      <c r="F366">
        <v>85.5</v>
      </c>
    </row>
    <row r="367" spans="1:10" x14ac:dyDescent="0.2">
      <c r="A367" s="53">
        <v>32874</v>
      </c>
      <c r="B367">
        <v>67.400000000000006</v>
      </c>
      <c r="C367">
        <v>329.07998657226562</v>
      </c>
      <c r="D367">
        <v>93</v>
      </c>
      <c r="E367">
        <v>108</v>
      </c>
      <c r="F367">
        <v>83.4</v>
      </c>
      <c r="G367">
        <v>9364.259</v>
      </c>
      <c r="H367">
        <v>1.0809824888440249E-2</v>
      </c>
      <c r="I367">
        <v>2.7438903601448839E-2</v>
      </c>
      <c r="J367">
        <v>4.3945479705150607E-2</v>
      </c>
    </row>
    <row r="368" spans="1:10" x14ac:dyDescent="0.2">
      <c r="A368" s="53">
        <v>32905</v>
      </c>
      <c r="B368">
        <v>67.3</v>
      </c>
      <c r="C368">
        <v>331.8900146484375</v>
      </c>
      <c r="D368">
        <v>89.5</v>
      </c>
      <c r="E368">
        <v>102.3</v>
      </c>
      <c r="F368">
        <v>81.3</v>
      </c>
    </row>
    <row r="369" spans="1:10" x14ac:dyDescent="0.2">
      <c r="A369" s="53">
        <v>32933</v>
      </c>
      <c r="B369">
        <v>67.3</v>
      </c>
      <c r="C369">
        <v>339.94000244140619</v>
      </c>
      <c r="D369">
        <v>91.3</v>
      </c>
      <c r="E369">
        <v>106.9</v>
      </c>
      <c r="F369">
        <v>81.3</v>
      </c>
    </row>
    <row r="370" spans="1:10" x14ac:dyDescent="0.2">
      <c r="A370" s="53">
        <v>32964</v>
      </c>
      <c r="B370">
        <v>67.099999999999994</v>
      </c>
      <c r="C370">
        <v>330.79998779296881</v>
      </c>
      <c r="D370">
        <v>93.9</v>
      </c>
      <c r="E370">
        <v>109.4</v>
      </c>
      <c r="F370">
        <v>83.9</v>
      </c>
      <c r="G370">
        <v>9398.2430000000004</v>
      </c>
      <c r="H370">
        <v>3.615995032262986E-3</v>
      </c>
      <c r="I370">
        <v>2.3559297200551318E-2</v>
      </c>
      <c r="J370">
        <v>1.454262194307465E-2</v>
      </c>
    </row>
    <row r="371" spans="1:10" x14ac:dyDescent="0.2">
      <c r="A371" s="53">
        <v>32994</v>
      </c>
      <c r="B371">
        <v>67.099999999999994</v>
      </c>
      <c r="C371">
        <v>361.23001098632812</v>
      </c>
      <c r="D371">
        <v>90.6</v>
      </c>
      <c r="E371">
        <v>108.1</v>
      </c>
      <c r="F371">
        <v>79.3</v>
      </c>
    </row>
    <row r="372" spans="1:10" x14ac:dyDescent="0.2">
      <c r="A372" s="53">
        <v>33025</v>
      </c>
      <c r="B372">
        <v>67.099999999999994</v>
      </c>
      <c r="C372">
        <v>358.01998901367188</v>
      </c>
      <c r="D372">
        <v>88.3</v>
      </c>
      <c r="E372">
        <v>106.5</v>
      </c>
      <c r="F372">
        <v>76.599999999999994</v>
      </c>
    </row>
    <row r="373" spans="1:10" x14ac:dyDescent="0.2">
      <c r="A373" s="53">
        <v>33055</v>
      </c>
      <c r="B373">
        <v>66.8</v>
      </c>
      <c r="C373">
        <v>356.14999389648438</v>
      </c>
      <c r="D373">
        <v>88.2</v>
      </c>
      <c r="E373">
        <v>105.1</v>
      </c>
      <c r="F373">
        <v>77.3</v>
      </c>
      <c r="G373">
        <v>9404.4940000000006</v>
      </c>
      <c r="H373">
        <v>6.6468222532761495E-4</v>
      </c>
      <c r="I373">
        <v>1.6978903915511021E-2</v>
      </c>
      <c r="J373">
        <v>2.6613808909023979E-3</v>
      </c>
    </row>
    <row r="374" spans="1:10" x14ac:dyDescent="0.2">
      <c r="A374" s="53">
        <v>33086</v>
      </c>
      <c r="B374">
        <v>65.900000000000006</v>
      </c>
      <c r="C374">
        <v>322.55999755859381</v>
      </c>
      <c r="D374">
        <v>76.400000000000006</v>
      </c>
      <c r="E374">
        <v>97.5</v>
      </c>
      <c r="F374">
        <v>62.9</v>
      </c>
    </row>
    <row r="375" spans="1:10" x14ac:dyDescent="0.2">
      <c r="A375" s="53">
        <v>33117</v>
      </c>
      <c r="B375">
        <v>65.099999999999994</v>
      </c>
      <c r="C375">
        <v>306.04998779296881</v>
      </c>
      <c r="D375">
        <v>72.8</v>
      </c>
      <c r="E375">
        <v>94.7</v>
      </c>
      <c r="F375">
        <v>58.8</v>
      </c>
    </row>
    <row r="376" spans="1:10" x14ac:dyDescent="0.2">
      <c r="A376" s="53">
        <v>33147</v>
      </c>
      <c r="B376">
        <v>64.2</v>
      </c>
      <c r="C376">
        <v>304</v>
      </c>
      <c r="D376">
        <v>63.9</v>
      </c>
      <c r="E376">
        <v>84.2</v>
      </c>
      <c r="F376">
        <v>50.9</v>
      </c>
      <c r="G376">
        <v>9318.8760000000002</v>
      </c>
      <c r="H376">
        <v>-9.1875887177810273E-3</v>
      </c>
      <c r="I376">
        <v>5.9924608933524552E-3</v>
      </c>
      <c r="J376">
        <v>-3.6246979190199043E-2</v>
      </c>
    </row>
    <row r="377" spans="1:10" x14ac:dyDescent="0.2">
      <c r="A377" s="53">
        <v>33178</v>
      </c>
      <c r="B377">
        <v>63.1</v>
      </c>
      <c r="C377">
        <v>322.22000122070312</v>
      </c>
      <c r="D377">
        <v>66</v>
      </c>
      <c r="E377">
        <v>86.7</v>
      </c>
      <c r="F377">
        <v>52.8</v>
      </c>
    </row>
    <row r="378" spans="1:10" x14ac:dyDescent="0.2">
      <c r="A378" s="53">
        <v>33208</v>
      </c>
      <c r="B378">
        <v>62.4</v>
      </c>
      <c r="C378">
        <v>330.22000122070312</v>
      </c>
      <c r="D378">
        <v>65.5</v>
      </c>
      <c r="E378">
        <v>84</v>
      </c>
      <c r="F378">
        <v>53.7</v>
      </c>
    </row>
    <row r="379" spans="1:10" x14ac:dyDescent="0.2">
      <c r="A379" s="53">
        <v>33239</v>
      </c>
      <c r="B379">
        <v>61.7</v>
      </c>
      <c r="C379">
        <v>343.92999267578119</v>
      </c>
      <c r="D379">
        <v>66.8</v>
      </c>
      <c r="E379">
        <v>84.9</v>
      </c>
      <c r="F379">
        <v>55.2</v>
      </c>
      <c r="G379">
        <v>9275.2759999999998</v>
      </c>
      <c r="H379">
        <v>-4.7006687455985532E-3</v>
      </c>
      <c r="I379">
        <v>-9.593568967651225E-3</v>
      </c>
      <c r="J379">
        <v>-1.8670512243509799E-2</v>
      </c>
    </row>
    <row r="380" spans="1:10" x14ac:dyDescent="0.2">
      <c r="A380" s="53">
        <v>33270</v>
      </c>
      <c r="B380">
        <v>61.5</v>
      </c>
      <c r="C380">
        <v>367.07000732421881</v>
      </c>
      <c r="D380">
        <v>70.400000000000006</v>
      </c>
      <c r="E380">
        <v>83.7</v>
      </c>
      <c r="F380">
        <v>62</v>
      </c>
    </row>
    <row r="381" spans="1:10" x14ac:dyDescent="0.2">
      <c r="A381" s="53">
        <v>33298</v>
      </c>
      <c r="B381">
        <v>61.2</v>
      </c>
      <c r="C381">
        <v>375.22000122070312</v>
      </c>
      <c r="D381">
        <v>87.7</v>
      </c>
      <c r="E381">
        <v>92.7</v>
      </c>
      <c r="F381">
        <v>84.5</v>
      </c>
    </row>
    <row r="382" spans="1:10" x14ac:dyDescent="0.2">
      <c r="A382" s="53">
        <v>33329</v>
      </c>
      <c r="B382">
        <v>61.9</v>
      </c>
      <c r="C382">
        <v>375.33999633789062</v>
      </c>
      <c r="D382">
        <v>81.8</v>
      </c>
      <c r="E382">
        <v>92.8</v>
      </c>
      <c r="F382">
        <v>74.7</v>
      </c>
      <c r="G382">
        <v>9347.5969999999998</v>
      </c>
      <c r="H382">
        <v>7.7368547231978354E-3</v>
      </c>
      <c r="I382">
        <v>-5.4180769667328023E-3</v>
      </c>
      <c r="J382">
        <v>3.1308428481031443E-2</v>
      </c>
    </row>
    <row r="383" spans="1:10" x14ac:dyDescent="0.2">
      <c r="A383" s="53">
        <v>33359</v>
      </c>
      <c r="B383">
        <v>62.3</v>
      </c>
      <c r="C383">
        <v>389.82998657226562</v>
      </c>
      <c r="D383">
        <v>78.3</v>
      </c>
      <c r="E383">
        <v>89</v>
      </c>
      <c r="F383">
        <v>71.5</v>
      </c>
    </row>
    <row r="384" spans="1:10" x14ac:dyDescent="0.2">
      <c r="A384" s="53">
        <v>33390</v>
      </c>
      <c r="B384">
        <v>62.4</v>
      </c>
      <c r="C384">
        <v>371.16000366210938</v>
      </c>
      <c r="D384">
        <v>82.1</v>
      </c>
      <c r="E384">
        <v>91.9</v>
      </c>
      <c r="F384">
        <v>75.900000000000006</v>
      </c>
    </row>
    <row r="385" spans="1:10" x14ac:dyDescent="0.2">
      <c r="A385" s="53">
        <v>33420</v>
      </c>
      <c r="B385">
        <v>63</v>
      </c>
      <c r="C385">
        <v>387.80999755859381</v>
      </c>
      <c r="D385">
        <v>82.9</v>
      </c>
      <c r="E385">
        <v>96.1</v>
      </c>
      <c r="F385">
        <v>74.400000000000006</v>
      </c>
      <c r="G385">
        <v>9394.8340000000007</v>
      </c>
      <c r="H385">
        <v>5.0279760132005509E-3</v>
      </c>
      <c r="I385">
        <v>-1.0282246604889299E-3</v>
      </c>
      <c r="J385">
        <v>2.0264096388495249E-2</v>
      </c>
    </row>
    <row r="386" spans="1:10" x14ac:dyDescent="0.2">
      <c r="A386" s="53">
        <v>33451</v>
      </c>
      <c r="B386">
        <v>63.1</v>
      </c>
      <c r="C386">
        <v>395.42999267578119</v>
      </c>
      <c r="D386">
        <v>82</v>
      </c>
      <c r="E386">
        <v>92.3</v>
      </c>
      <c r="F386">
        <v>75.3</v>
      </c>
    </row>
    <row r="387" spans="1:10" x14ac:dyDescent="0.2">
      <c r="A387" s="53">
        <v>33482</v>
      </c>
      <c r="B387">
        <v>63.6</v>
      </c>
      <c r="C387">
        <v>387.8599853515625</v>
      </c>
      <c r="D387">
        <v>83</v>
      </c>
      <c r="E387">
        <v>93.2</v>
      </c>
      <c r="F387">
        <v>76.400000000000006</v>
      </c>
    </row>
    <row r="388" spans="1:10" x14ac:dyDescent="0.2">
      <c r="A388" s="53">
        <v>33512</v>
      </c>
      <c r="B388">
        <v>63.5</v>
      </c>
      <c r="C388">
        <v>392.45001220703119</v>
      </c>
      <c r="D388">
        <v>78.3</v>
      </c>
      <c r="E388">
        <v>90.4</v>
      </c>
      <c r="F388">
        <v>70.5</v>
      </c>
      <c r="G388">
        <v>9427.5810000000001</v>
      </c>
      <c r="H388">
        <v>3.473531545366663E-3</v>
      </c>
      <c r="I388">
        <v>1.153052941152136E-2</v>
      </c>
      <c r="J388">
        <v>1.3966686493908311E-2</v>
      </c>
    </row>
    <row r="389" spans="1:10" x14ac:dyDescent="0.2">
      <c r="A389" s="53">
        <v>33543</v>
      </c>
      <c r="B389">
        <v>63.5</v>
      </c>
      <c r="C389">
        <v>375.22000122070312</v>
      </c>
      <c r="D389">
        <v>69.099999999999994</v>
      </c>
      <c r="E389">
        <v>80.3</v>
      </c>
      <c r="F389">
        <v>61.9</v>
      </c>
    </row>
    <row r="390" spans="1:10" x14ac:dyDescent="0.2">
      <c r="A390" s="53">
        <v>33573</v>
      </c>
      <c r="B390">
        <v>63.3</v>
      </c>
      <c r="C390">
        <v>417.08999633789062</v>
      </c>
      <c r="D390">
        <v>68.2</v>
      </c>
      <c r="E390">
        <v>78.7</v>
      </c>
      <c r="F390">
        <v>61.5</v>
      </c>
    </row>
    <row r="391" spans="1:10" x14ac:dyDescent="0.2">
      <c r="A391" s="53">
        <v>33604</v>
      </c>
      <c r="B391">
        <v>63.8</v>
      </c>
      <c r="C391">
        <v>408.77999877929688</v>
      </c>
      <c r="D391">
        <v>67.5</v>
      </c>
      <c r="E391">
        <v>80.5</v>
      </c>
      <c r="F391">
        <v>59.1</v>
      </c>
      <c r="G391">
        <v>9540.4439999999995</v>
      </c>
      <c r="H391">
        <v>1.182995256824519E-2</v>
      </c>
      <c r="I391">
        <v>2.7794094279050292E-2</v>
      </c>
      <c r="J391">
        <v>4.8166138827255178E-2</v>
      </c>
    </row>
    <row r="392" spans="1:10" x14ac:dyDescent="0.2">
      <c r="A392" s="53">
        <v>33635</v>
      </c>
      <c r="B392">
        <v>64</v>
      </c>
      <c r="C392">
        <v>412.70001220703119</v>
      </c>
      <c r="D392">
        <v>68.8</v>
      </c>
      <c r="E392">
        <v>79.7</v>
      </c>
      <c r="F392">
        <v>61.8</v>
      </c>
    </row>
    <row r="393" spans="1:10" x14ac:dyDescent="0.2">
      <c r="A393" s="53">
        <v>33664</v>
      </c>
      <c r="B393">
        <v>64.599999999999994</v>
      </c>
      <c r="C393">
        <v>403.69000244140619</v>
      </c>
      <c r="D393">
        <v>76</v>
      </c>
      <c r="E393">
        <v>84.9</v>
      </c>
      <c r="F393">
        <v>70.3</v>
      </c>
    </row>
    <row r="394" spans="1:10" x14ac:dyDescent="0.2">
      <c r="A394" s="53">
        <v>33695</v>
      </c>
      <c r="B394">
        <v>65.099999999999994</v>
      </c>
      <c r="C394">
        <v>414.95001220703119</v>
      </c>
      <c r="D394">
        <v>77.2</v>
      </c>
      <c r="E394">
        <v>87.7</v>
      </c>
      <c r="F394">
        <v>70.5</v>
      </c>
      <c r="G394">
        <v>9643.893</v>
      </c>
      <c r="H394">
        <v>1.072689213785351E-2</v>
      </c>
      <c r="I394">
        <v>3.07236921853032E-2</v>
      </c>
      <c r="J394">
        <v>4.3602916292776461E-2</v>
      </c>
    </row>
    <row r="395" spans="1:10" x14ac:dyDescent="0.2">
      <c r="A395" s="53">
        <v>33725</v>
      </c>
      <c r="B395">
        <v>65.599999999999994</v>
      </c>
      <c r="C395">
        <v>415.35000610351562</v>
      </c>
      <c r="D395">
        <v>79.2</v>
      </c>
      <c r="E395">
        <v>91.5</v>
      </c>
      <c r="F395">
        <v>71.2</v>
      </c>
    </row>
    <row r="396" spans="1:10" x14ac:dyDescent="0.2">
      <c r="A396" s="53">
        <v>33756</v>
      </c>
      <c r="B396">
        <v>65.900000000000006</v>
      </c>
      <c r="C396">
        <v>408.1400146484375</v>
      </c>
      <c r="D396">
        <v>80.400000000000006</v>
      </c>
      <c r="E396">
        <v>95.4</v>
      </c>
      <c r="F396">
        <v>70.7</v>
      </c>
    </row>
    <row r="397" spans="1:10"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row>
    <row r="398" spans="1:10" x14ac:dyDescent="0.2">
      <c r="A398" s="53">
        <v>33817</v>
      </c>
      <c r="B398">
        <v>66.5</v>
      </c>
      <c r="C398">
        <v>414.02999877929688</v>
      </c>
      <c r="D398">
        <v>76.099999999999994</v>
      </c>
      <c r="E398">
        <v>86.2</v>
      </c>
      <c r="F398">
        <v>69.5</v>
      </c>
    </row>
    <row r="399" spans="1:10" x14ac:dyDescent="0.2">
      <c r="A399" s="53">
        <v>33848</v>
      </c>
      <c r="B399">
        <v>66.599999999999994</v>
      </c>
      <c r="C399">
        <v>417.79998779296881</v>
      </c>
      <c r="D399">
        <v>75.599999999999994</v>
      </c>
      <c r="E399">
        <v>88.3</v>
      </c>
      <c r="F399">
        <v>67.400000000000006</v>
      </c>
    </row>
    <row r="400" spans="1:10" x14ac:dyDescent="0.2">
      <c r="A400" s="53">
        <v>33878</v>
      </c>
      <c r="B400">
        <v>66.8</v>
      </c>
      <c r="C400">
        <v>418.67999267578119</v>
      </c>
      <c r="D400">
        <v>73.3</v>
      </c>
      <c r="E400">
        <v>82.5</v>
      </c>
      <c r="F400">
        <v>67.5</v>
      </c>
      <c r="G400">
        <v>9840.7530000000006</v>
      </c>
      <c r="H400">
        <v>1.032116139892965E-2</v>
      </c>
      <c r="I400">
        <v>4.1985811451623722E-2</v>
      </c>
      <c r="J400">
        <v>4.1928213082863319E-2</v>
      </c>
    </row>
    <row r="401" spans="1:10" x14ac:dyDescent="0.2">
      <c r="A401" s="53">
        <v>33909</v>
      </c>
      <c r="B401">
        <v>67.400000000000006</v>
      </c>
      <c r="C401">
        <v>431.35000610351562</v>
      </c>
      <c r="D401">
        <v>85.3</v>
      </c>
      <c r="E401">
        <v>96.4</v>
      </c>
      <c r="F401">
        <v>78.2</v>
      </c>
    </row>
    <row r="402" spans="1:10" x14ac:dyDescent="0.2">
      <c r="A402" s="53">
        <v>33939</v>
      </c>
      <c r="B402">
        <v>68.3</v>
      </c>
      <c r="C402">
        <v>435.70999145507812</v>
      </c>
      <c r="D402">
        <v>91</v>
      </c>
      <c r="E402">
        <v>93.4</v>
      </c>
      <c r="F402">
        <v>89.5</v>
      </c>
    </row>
    <row r="403" spans="1:10" x14ac:dyDescent="0.2">
      <c r="A403" s="53">
        <v>33970</v>
      </c>
      <c r="B403">
        <v>68.7</v>
      </c>
      <c r="C403">
        <v>438.77999877929688</v>
      </c>
      <c r="D403">
        <v>89.3</v>
      </c>
      <c r="E403">
        <v>98.6</v>
      </c>
      <c r="F403">
        <v>83.4</v>
      </c>
      <c r="G403">
        <v>9857.1849999999995</v>
      </c>
      <c r="H403">
        <v>1.667007365693033E-3</v>
      </c>
      <c r="I403">
        <v>3.2133007547286582E-2</v>
      </c>
      <c r="J403">
        <v>6.6847214817156164E-3</v>
      </c>
    </row>
    <row r="404" spans="1:10" x14ac:dyDescent="0.2">
      <c r="A404" s="53">
        <v>34001</v>
      </c>
      <c r="B404">
        <v>69.099999999999994</v>
      </c>
      <c r="C404">
        <v>443.3800048828125</v>
      </c>
      <c r="D404">
        <v>86.6</v>
      </c>
      <c r="E404">
        <v>96</v>
      </c>
      <c r="F404">
        <v>80.599999999999994</v>
      </c>
    </row>
    <row r="405" spans="1:10" x14ac:dyDescent="0.2">
      <c r="A405" s="53">
        <v>34029</v>
      </c>
      <c r="B405">
        <v>69</v>
      </c>
      <c r="C405">
        <v>451.67001342773438</v>
      </c>
      <c r="D405">
        <v>85.9</v>
      </c>
      <c r="E405">
        <v>101.6</v>
      </c>
      <c r="F405">
        <v>75.8</v>
      </c>
    </row>
    <row r="406" spans="1:10" x14ac:dyDescent="0.2">
      <c r="A406" s="53">
        <v>34060</v>
      </c>
      <c r="B406">
        <v>69.5</v>
      </c>
      <c r="C406">
        <v>440.19000244140619</v>
      </c>
      <c r="D406">
        <v>85.6</v>
      </c>
      <c r="E406">
        <v>99.9</v>
      </c>
      <c r="F406">
        <v>76.400000000000006</v>
      </c>
      <c r="G406">
        <v>9914.5650000000005</v>
      </c>
      <c r="H406">
        <v>5.7874450366708994E-3</v>
      </c>
      <c r="I406">
        <v>2.7300441320421059E-2</v>
      </c>
      <c r="J406">
        <v>2.3351523779656439E-2</v>
      </c>
    </row>
    <row r="407" spans="1:10" x14ac:dyDescent="0.2">
      <c r="A407" s="53">
        <v>34090</v>
      </c>
      <c r="B407">
        <v>69.599999999999994</v>
      </c>
      <c r="C407">
        <v>450.19000244140619</v>
      </c>
      <c r="D407">
        <v>80.3</v>
      </c>
      <c r="E407">
        <v>98.7</v>
      </c>
      <c r="F407">
        <v>68.5</v>
      </c>
    </row>
    <row r="408" spans="1:10" x14ac:dyDescent="0.2">
      <c r="A408" s="53">
        <v>34121</v>
      </c>
      <c r="B408">
        <v>69.900000000000006</v>
      </c>
      <c r="C408">
        <v>450.52999877929688</v>
      </c>
      <c r="D408">
        <v>81.5</v>
      </c>
      <c r="E408">
        <v>98.7</v>
      </c>
      <c r="F408">
        <v>70.400000000000006</v>
      </c>
    </row>
    <row r="409" spans="1:10" x14ac:dyDescent="0.2">
      <c r="A409" s="53">
        <v>34151</v>
      </c>
      <c r="B409">
        <v>69.900000000000006</v>
      </c>
      <c r="C409">
        <v>448.1300048828125</v>
      </c>
      <c r="D409">
        <v>77</v>
      </c>
      <c r="E409">
        <v>96.2</v>
      </c>
      <c r="F409">
        <v>64.7</v>
      </c>
      <c r="G409">
        <v>9961.8729999999996</v>
      </c>
      <c r="H409">
        <v>4.7489061544951526E-3</v>
      </c>
      <c r="I409">
        <v>2.2354029207158139E-2</v>
      </c>
      <c r="J409">
        <v>1.9131366175973111E-2</v>
      </c>
    </row>
    <row r="410" spans="1:10" x14ac:dyDescent="0.2">
      <c r="A410" s="53">
        <v>34182</v>
      </c>
      <c r="B410">
        <v>70.400000000000006</v>
      </c>
      <c r="C410">
        <v>463.55999755859381</v>
      </c>
      <c r="D410">
        <v>77.3</v>
      </c>
      <c r="E410">
        <v>95.1</v>
      </c>
      <c r="F410">
        <v>65.8</v>
      </c>
    </row>
    <row r="411" spans="1:10" x14ac:dyDescent="0.2">
      <c r="A411" s="53">
        <v>34213</v>
      </c>
      <c r="B411">
        <v>70.8</v>
      </c>
      <c r="C411">
        <v>458.92999267578119</v>
      </c>
      <c r="D411">
        <v>77.900000000000006</v>
      </c>
      <c r="E411">
        <v>95.2</v>
      </c>
      <c r="F411">
        <v>66.8</v>
      </c>
    </row>
    <row r="412" spans="1:10" x14ac:dyDescent="0.2">
      <c r="A412" s="53">
        <v>34243</v>
      </c>
      <c r="B412">
        <v>71.099999999999994</v>
      </c>
      <c r="C412">
        <v>467.82998657226562</v>
      </c>
      <c r="D412">
        <v>82.7</v>
      </c>
      <c r="E412">
        <v>98.7</v>
      </c>
      <c r="F412">
        <v>72.5</v>
      </c>
      <c r="G412">
        <v>10097.361999999999</v>
      </c>
      <c r="H412">
        <v>1.3418257164594039E-2</v>
      </c>
      <c r="I412">
        <v>2.5413469379427869E-2</v>
      </c>
      <c r="J412">
        <v>5.4763022636955087E-2</v>
      </c>
    </row>
    <row r="413" spans="1:10" x14ac:dyDescent="0.2">
      <c r="A413" s="53">
        <v>34274</v>
      </c>
      <c r="B413">
        <v>71.5</v>
      </c>
      <c r="C413">
        <v>461.79000854492188</v>
      </c>
      <c r="D413">
        <v>81.2</v>
      </c>
      <c r="E413">
        <v>98.2</v>
      </c>
      <c r="F413">
        <v>70.3</v>
      </c>
    </row>
    <row r="414" spans="1:10" x14ac:dyDescent="0.2">
      <c r="A414" s="53">
        <v>34304</v>
      </c>
      <c r="B414">
        <v>72.5</v>
      </c>
      <c r="C414">
        <v>466.45001220703119</v>
      </c>
      <c r="D414">
        <v>88.2</v>
      </c>
      <c r="E414">
        <v>102.9</v>
      </c>
      <c r="F414">
        <v>78.8</v>
      </c>
    </row>
    <row r="415" spans="1:10" x14ac:dyDescent="0.2">
      <c r="A415" s="53">
        <v>34335</v>
      </c>
      <c r="B415">
        <v>72.3</v>
      </c>
      <c r="C415">
        <v>481.6099853515625</v>
      </c>
      <c r="D415">
        <v>94.3</v>
      </c>
      <c r="E415">
        <v>106.6</v>
      </c>
      <c r="F415">
        <v>86.4</v>
      </c>
      <c r="G415">
        <v>10195.338</v>
      </c>
      <c r="H415">
        <v>9.609882477657981E-3</v>
      </c>
      <c r="I415">
        <v>3.3167414361348319E-2</v>
      </c>
      <c r="J415">
        <v>3.8997187371015977E-2</v>
      </c>
    </row>
    <row r="416" spans="1:10" x14ac:dyDescent="0.2">
      <c r="A416" s="53">
        <v>34366</v>
      </c>
      <c r="B416">
        <v>72.599999999999994</v>
      </c>
      <c r="C416">
        <v>467.1400146484375</v>
      </c>
      <c r="D416">
        <v>93.2</v>
      </c>
      <c r="E416">
        <v>108.3</v>
      </c>
      <c r="F416">
        <v>83.5</v>
      </c>
    </row>
    <row r="417" spans="1:10" x14ac:dyDescent="0.2">
      <c r="A417" s="53">
        <v>34394</v>
      </c>
      <c r="B417">
        <v>73.599999999999994</v>
      </c>
      <c r="C417">
        <v>445.76998901367188</v>
      </c>
      <c r="D417">
        <v>91.5</v>
      </c>
      <c r="E417">
        <v>101.4</v>
      </c>
      <c r="F417">
        <v>85.1</v>
      </c>
    </row>
    <row r="418" spans="1:10" x14ac:dyDescent="0.2">
      <c r="A418" s="53">
        <v>34425</v>
      </c>
      <c r="B418">
        <v>74.099999999999994</v>
      </c>
      <c r="C418">
        <v>450.91000366210938</v>
      </c>
      <c r="D418">
        <v>92.6</v>
      </c>
      <c r="E418">
        <v>108.1</v>
      </c>
      <c r="F418">
        <v>82.6</v>
      </c>
      <c r="G418">
        <v>10333.495000000001</v>
      </c>
      <c r="H418">
        <v>1.3369823085026031E-2</v>
      </c>
      <c r="I418">
        <v>4.0540978633076249E-2</v>
      </c>
      <c r="J418">
        <v>5.4561396847911503E-2</v>
      </c>
    </row>
    <row r="419" spans="1:10" x14ac:dyDescent="0.2">
      <c r="A419" s="53">
        <v>34455</v>
      </c>
      <c r="B419">
        <v>74.5</v>
      </c>
      <c r="C419">
        <v>456.5</v>
      </c>
      <c r="D419">
        <v>92.8</v>
      </c>
      <c r="E419">
        <v>106.3</v>
      </c>
      <c r="F419">
        <v>84.2</v>
      </c>
    </row>
    <row r="420" spans="1:10" x14ac:dyDescent="0.2">
      <c r="A420" s="53">
        <v>34486</v>
      </c>
      <c r="B420">
        <v>75.099999999999994</v>
      </c>
      <c r="C420">
        <v>444.26998901367188</v>
      </c>
      <c r="D420">
        <v>91.2</v>
      </c>
      <c r="E420">
        <v>104.5</v>
      </c>
      <c r="F420">
        <v>82.7</v>
      </c>
    </row>
    <row r="421" spans="1:10" x14ac:dyDescent="0.2">
      <c r="A421" s="53">
        <v>34516</v>
      </c>
      <c r="B421">
        <v>75.400000000000006</v>
      </c>
      <c r="C421">
        <v>458.260009765625</v>
      </c>
      <c r="D421">
        <v>89</v>
      </c>
      <c r="E421">
        <v>105.4</v>
      </c>
      <c r="F421">
        <v>78.5</v>
      </c>
      <c r="G421">
        <v>10393.897999999999</v>
      </c>
      <c r="H421">
        <v>5.8113904908436119E-3</v>
      </c>
      <c r="I421">
        <v>4.1565252997479839E-2</v>
      </c>
      <c r="J421">
        <v>2.344898171571197E-2</v>
      </c>
    </row>
    <row r="422" spans="1:10" x14ac:dyDescent="0.2">
      <c r="A422" s="53">
        <v>34547</v>
      </c>
      <c r="B422">
        <v>76</v>
      </c>
      <c r="C422">
        <v>475.489990234375</v>
      </c>
      <c r="D422">
        <v>91.7</v>
      </c>
      <c r="E422">
        <v>108.7</v>
      </c>
      <c r="F422">
        <v>80.8</v>
      </c>
    </row>
    <row r="423" spans="1:10" x14ac:dyDescent="0.2">
      <c r="A423" s="53">
        <v>34578</v>
      </c>
      <c r="B423">
        <v>76.5</v>
      </c>
      <c r="C423">
        <v>462.70999145507812</v>
      </c>
      <c r="D423">
        <v>91.5</v>
      </c>
      <c r="E423">
        <v>104</v>
      </c>
      <c r="F423">
        <v>83.5</v>
      </c>
    </row>
    <row r="424" spans="1:10" x14ac:dyDescent="0.2">
      <c r="A424" s="53">
        <v>34608</v>
      </c>
      <c r="B424">
        <v>77</v>
      </c>
      <c r="C424">
        <v>472.35000610351562</v>
      </c>
      <c r="D424">
        <v>92.7</v>
      </c>
      <c r="E424">
        <v>104.6</v>
      </c>
      <c r="F424">
        <v>85.1</v>
      </c>
      <c r="G424">
        <v>10512.962</v>
      </c>
      <c r="H424">
        <v>1.132544757604948E-2</v>
      </c>
      <c r="I424">
        <v>3.9532150881930357E-2</v>
      </c>
      <c r="J424">
        <v>4.6077212001780721E-2</v>
      </c>
    </row>
    <row r="425" spans="1:10" x14ac:dyDescent="0.2">
      <c r="A425" s="53">
        <v>34639</v>
      </c>
      <c r="B425">
        <v>77.099999999999994</v>
      </c>
      <c r="C425">
        <v>453.69000244140619</v>
      </c>
      <c r="D425">
        <v>91.6</v>
      </c>
      <c r="E425">
        <v>102.1</v>
      </c>
      <c r="F425">
        <v>84.8</v>
      </c>
    </row>
    <row r="426" spans="1:10" x14ac:dyDescent="0.2">
      <c r="A426" s="53">
        <v>34669</v>
      </c>
      <c r="B426">
        <v>77.7</v>
      </c>
      <c r="C426">
        <v>459.26998901367188</v>
      </c>
      <c r="D426">
        <v>95.1</v>
      </c>
      <c r="E426">
        <v>104.9</v>
      </c>
      <c r="F426">
        <v>88.8</v>
      </c>
    </row>
    <row r="427" spans="1:10" x14ac:dyDescent="0.2">
      <c r="A427" s="53">
        <v>34700</v>
      </c>
      <c r="B427">
        <v>77.8</v>
      </c>
      <c r="C427">
        <v>470.42001342773438</v>
      </c>
      <c r="D427">
        <v>97.6</v>
      </c>
      <c r="E427">
        <v>112</v>
      </c>
      <c r="F427">
        <v>88.4</v>
      </c>
      <c r="G427">
        <v>10550.251</v>
      </c>
      <c r="H427">
        <v>3.5344182806646661E-3</v>
      </c>
      <c r="I427">
        <v>3.3640242303240031E-2</v>
      </c>
      <c r="J427">
        <v>1.4212802563612129E-2</v>
      </c>
    </row>
    <row r="428" spans="1:10" x14ac:dyDescent="0.2">
      <c r="A428" s="53">
        <v>34731</v>
      </c>
      <c r="B428">
        <v>77.8</v>
      </c>
      <c r="C428">
        <v>487.3900146484375</v>
      </c>
      <c r="D428">
        <v>95.1</v>
      </c>
      <c r="E428">
        <v>109.3</v>
      </c>
      <c r="F428">
        <v>85.9</v>
      </c>
    </row>
    <row r="429" spans="1:10" x14ac:dyDescent="0.2">
      <c r="A429" s="53">
        <v>34759</v>
      </c>
      <c r="B429">
        <v>77.8</v>
      </c>
      <c r="C429">
        <v>500.70999145507812</v>
      </c>
      <c r="D429">
        <v>90.3</v>
      </c>
      <c r="E429">
        <v>106.5</v>
      </c>
      <c r="F429">
        <v>79.8</v>
      </c>
    </row>
    <row r="430" spans="1:10" x14ac:dyDescent="0.2">
      <c r="A430" s="53">
        <v>34790</v>
      </c>
      <c r="B430">
        <v>77.7</v>
      </c>
      <c r="C430">
        <v>514.71002197265625</v>
      </c>
      <c r="D430">
        <v>92.5</v>
      </c>
      <c r="E430">
        <v>105.9</v>
      </c>
      <c r="F430">
        <v>83.8</v>
      </c>
      <c r="G430">
        <v>10581.723</v>
      </c>
      <c r="H430">
        <v>2.9741848279339531E-3</v>
      </c>
      <c r="I430">
        <v>2.3458183511324119E-2</v>
      </c>
      <c r="J430">
        <v>1.194991927821132E-2</v>
      </c>
    </row>
    <row r="431" spans="1:10" x14ac:dyDescent="0.2">
      <c r="A431" s="53">
        <v>34820</v>
      </c>
      <c r="B431">
        <v>77.7</v>
      </c>
      <c r="C431">
        <v>533.4000244140625</v>
      </c>
      <c r="D431">
        <v>89.8</v>
      </c>
      <c r="E431">
        <v>105</v>
      </c>
      <c r="F431">
        <v>80.099999999999994</v>
      </c>
    </row>
    <row r="432" spans="1:10" x14ac:dyDescent="0.2">
      <c r="A432" s="53">
        <v>34851</v>
      </c>
      <c r="B432">
        <v>77.7</v>
      </c>
      <c r="C432">
        <v>544.75</v>
      </c>
      <c r="D432">
        <v>92.7</v>
      </c>
      <c r="E432">
        <v>106.1</v>
      </c>
      <c r="F432">
        <v>84.1</v>
      </c>
    </row>
    <row r="433" spans="1:10" x14ac:dyDescent="0.2">
      <c r="A433" s="53">
        <v>34881</v>
      </c>
      <c r="B433">
        <v>77.7</v>
      </c>
      <c r="C433">
        <v>562.05999755859375</v>
      </c>
      <c r="D433">
        <v>94.4</v>
      </c>
      <c r="E433">
        <v>105.2</v>
      </c>
      <c r="F433">
        <v>87.4</v>
      </c>
      <c r="G433">
        <v>10671.737999999999</v>
      </c>
      <c r="H433">
        <v>8.4348959841404857E-3</v>
      </c>
      <c r="I433">
        <v>2.6035121926718981E-2</v>
      </c>
      <c r="J433">
        <v>3.4168874306149011E-2</v>
      </c>
    </row>
    <row r="434" spans="1:10" x14ac:dyDescent="0.2">
      <c r="A434" s="53">
        <v>34912</v>
      </c>
      <c r="B434">
        <v>78.2</v>
      </c>
      <c r="C434">
        <v>561.8800048828125</v>
      </c>
      <c r="D434">
        <v>96.2</v>
      </c>
      <c r="E434">
        <v>111.8</v>
      </c>
      <c r="F434">
        <v>86.1</v>
      </c>
    </row>
    <row r="435" spans="1:10" x14ac:dyDescent="0.2">
      <c r="A435" s="53">
        <v>34943</v>
      </c>
      <c r="B435">
        <v>78.400000000000006</v>
      </c>
      <c r="C435">
        <v>584.40997314453125</v>
      </c>
      <c r="D435">
        <v>88.9</v>
      </c>
      <c r="E435">
        <v>104.6</v>
      </c>
      <c r="F435">
        <v>78.8</v>
      </c>
    </row>
    <row r="436" spans="1:10" x14ac:dyDescent="0.2">
      <c r="A436" s="53">
        <v>34973</v>
      </c>
      <c r="B436">
        <v>78.3</v>
      </c>
      <c r="C436">
        <v>581.5</v>
      </c>
      <c r="D436">
        <v>90.2</v>
      </c>
      <c r="E436">
        <v>104.8</v>
      </c>
      <c r="F436">
        <v>80.8</v>
      </c>
      <c r="G436">
        <v>10744.203</v>
      </c>
      <c r="H436">
        <v>6.7445672796763194E-3</v>
      </c>
      <c r="I436">
        <v>2.1522396775265691E-2</v>
      </c>
      <c r="J436">
        <v>2.725243353426254E-2</v>
      </c>
    </row>
    <row r="437" spans="1:10" x14ac:dyDescent="0.2">
      <c r="A437" s="53">
        <v>35004</v>
      </c>
      <c r="B437">
        <v>78.3</v>
      </c>
      <c r="C437">
        <v>605.3699951171875</v>
      </c>
      <c r="D437">
        <v>88.2</v>
      </c>
      <c r="E437">
        <v>101.3</v>
      </c>
      <c r="F437">
        <v>79.7</v>
      </c>
    </row>
    <row r="438" spans="1:10" x14ac:dyDescent="0.2">
      <c r="A438" s="53">
        <v>35034</v>
      </c>
      <c r="B438">
        <v>78.400000000000006</v>
      </c>
      <c r="C438">
        <v>615.92999267578125</v>
      </c>
      <c r="D438">
        <v>91</v>
      </c>
      <c r="E438">
        <v>102.4</v>
      </c>
      <c r="F438">
        <v>83.7</v>
      </c>
    </row>
    <row r="439" spans="1:10" x14ac:dyDescent="0.2">
      <c r="A439" s="53">
        <v>35065</v>
      </c>
      <c r="B439">
        <v>76.900000000000006</v>
      </c>
      <c r="C439">
        <v>636.02001953125</v>
      </c>
      <c r="D439">
        <v>89.3</v>
      </c>
      <c r="E439">
        <v>105.8</v>
      </c>
      <c r="F439">
        <v>78.7</v>
      </c>
      <c r="G439">
        <v>10824.674000000001</v>
      </c>
      <c r="H439">
        <v>7.4340345030253444E-3</v>
      </c>
      <c r="I439">
        <v>2.5351617979442211E-2</v>
      </c>
      <c r="J439">
        <v>3.0069373644031391E-2</v>
      </c>
    </row>
    <row r="440" spans="1:10" x14ac:dyDescent="0.2">
      <c r="A440" s="53">
        <v>35096</v>
      </c>
      <c r="B440">
        <v>77.8</v>
      </c>
      <c r="C440">
        <v>640.42999267578125</v>
      </c>
      <c r="D440">
        <v>88.5</v>
      </c>
      <c r="E440">
        <v>105.2</v>
      </c>
      <c r="F440">
        <v>77.8</v>
      </c>
    </row>
    <row r="441" spans="1:10" x14ac:dyDescent="0.2">
      <c r="A441" s="53">
        <v>35125</v>
      </c>
      <c r="B441">
        <v>78</v>
      </c>
      <c r="C441">
        <v>645.5</v>
      </c>
      <c r="D441">
        <v>93.7</v>
      </c>
      <c r="E441">
        <v>105.4</v>
      </c>
      <c r="F441">
        <v>86.2</v>
      </c>
    </row>
    <row r="442" spans="1:10" x14ac:dyDescent="0.2">
      <c r="A442" s="53">
        <v>35156</v>
      </c>
      <c r="B442">
        <v>78.400000000000006</v>
      </c>
      <c r="C442">
        <v>654.16998291015625</v>
      </c>
      <c r="D442">
        <v>92.7</v>
      </c>
      <c r="E442">
        <v>107.8</v>
      </c>
      <c r="F442">
        <v>83</v>
      </c>
      <c r="G442">
        <v>11005.217000000001</v>
      </c>
      <c r="H442">
        <v>1.6405219451829042E-2</v>
      </c>
      <c r="I442">
        <v>3.8481203959903787E-2</v>
      </c>
      <c r="J442">
        <v>6.7253398217755223E-2</v>
      </c>
    </row>
    <row r="443" spans="1:10" x14ac:dyDescent="0.2">
      <c r="A443" s="53">
        <v>35186</v>
      </c>
      <c r="B443">
        <v>79.099999999999994</v>
      </c>
      <c r="C443">
        <v>669.1199951171875</v>
      </c>
      <c r="D443">
        <v>89.4</v>
      </c>
      <c r="E443">
        <v>105.1</v>
      </c>
      <c r="F443">
        <v>79.2</v>
      </c>
    </row>
    <row r="444" spans="1:10" x14ac:dyDescent="0.2">
      <c r="A444" s="53">
        <v>35217</v>
      </c>
      <c r="B444">
        <v>79.599999999999994</v>
      </c>
      <c r="C444">
        <v>670.6300048828125</v>
      </c>
      <c r="D444">
        <v>92.4</v>
      </c>
      <c r="E444">
        <v>105.4</v>
      </c>
      <c r="F444">
        <v>84</v>
      </c>
    </row>
    <row r="445" spans="1:10" x14ac:dyDescent="0.2">
      <c r="A445" s="53">
        <v>35247</v>
      </c>
      <c r="B445">
        <v>79.5</v>
      </c>
      <c r="C445">
        <v>639.95001220703125</v>
      </c>
      <c r="D445">
        <v>94.7</v>
      </c>
      <c r="E445">
        <v>107.5</v>
      </c>
      <c r="F445">
        <v>86.5</v>
      </c>
      <c r="G445">
        <v>11103.934999999999</v>
      </c>
      <c r="H445">
        <v>8.8903618401943944E-3</v>
      </c>
      <c r="I445">
        <v>3.892286833451386E-2</v>
      </c>
      <c r="J445">
        <v>3.6038495534418402E-2</v>
      </c>
    </row>
    <row r="446" spans="1:10" x14ac:dyDescent="0.2">
      <c r="A446" s="53">
        <v>35278</v>
      </c>
      <c r="B446">
        <v>79.7</v>
      </c>
      <c r="C446">
        <v>651.989990234375</v>
      </c>
      <c r="D446">
        <v>95.3</v>
      </c>
      <c r="E446">
        <v>107.8</v>
      </c>
      <c r="F446">
        <v>87.3</v>
      </c>
    </row>
    <row r="447" spans="1:10" x14ac:dyDescent="0.2">
      <c r="A447" s="53">
        <v>35309</v>
      </c>
      <c r="B447">
        <v>80</v>
      </c>
      <c r="C447">
        <v>687.33001708984375</v>
      </c>
      <c r="D447">
        <v>94.7</v>
      </c>
      <c r="E447">
        <v>102</v>
      </c>
      <c r="F447">
        <v>90.1</v>
      </c>
    </row>
    <row r="448" spans="1:10" x14ac:dyDescent="0.2">
      <c r="A448" s="53">
        <v>35339</v>
      </c>
      <c r="B448">
        <v>80.2</v>
      </c>
      <c r="C448">
        <v>705.27001953125</v>
      </c>
      <c r="D448">
        <v>96.5</v>
      </c>
      <c r="E448">
        <v>106.6</v>
      </c>
      <c r="F448">
        <v>89.9</v>
      </c>
      <c r="G448">
        <v>11219.237999999999</v>
      </c>
      <c r="H448">
        <v>1.0277257688980289E-2</v>
      </c>
      <c r="I448">
        <v>4.2341110866887743E-2</v>
      </c>
      <c r="J448">
        <v>4.1747116084666518E-2</v>
      </c>
    </row>
    <row r="449" spans="1:10" x14ac:dyDescent="0.2">
      <c r="A449" s="53">
        <v>35370</v>
      </c>
      <c r="B449">
        <v>80.8</v>
      </c>
      <c r="C449">
        <v>757.02001953125</v>
      </c>
      <c r="D449">
        <v>99.2</v>
      </c>
      <c r="E449">
        <v>107.5</v>
      </c>
      <c r="F449">
        <v>93.9</v>
      </c>
    </row>
    <row r="450" spans="1:10" x14ac:dyDescent="0.2">
      <c r="A450" s="53">
        <v>35400</v>
      </c>
      <c r="B450">
        <v>80.8</v>
      </c>
      <c r="C450">
        <v>740.739990234375</v>
      </c>
      <c r="D450">
        <v>96.9</v>
      </c>
      <c r="E450">
        <v>104.9</v>
      </c>
      <c r="F450">
        <v>91.8</v>
      </c>
    </row>
    <row r="451" spans="1:10" x14ac:dyDescent="0.2">
      <c r="A451" s="53">
        <v>35431</v>
      </c>
      <c r="B451">
        <v>81.3</v>
      </c>
      <c r="C451">
        <v>786.15997314453125</v>
      </c>
      <c r="D451">
        <v>97.4</v>
      </c>
      <c r="E451">
        <v>106.8</v>
      </c>
      <c r="F451">
        <v>91.3</v>
      </c>
      <c r="G451">
        <v>11291.665000000001</v>
      </c>
      <c r="H451">
        <v>6.4142002087381701E-3</v>
      </c>
      <c r="I451">
        <v>4.1357142635740612E-2</v>
      </c>
      <c r="J451">
        <v>2.590470988470495E-2</v>
      </c>
    </row>
    <row r="452" spans="1:10" x14ac:dyDescent="0.2">
      <c r="A452" s="53">
        <v>35462</v>
      </c>
      <c r="B452">
        <v>82.4</v>
      </c>
      <c r="C452">
        <v>790.82000732421875</v>
      </c>
      <c r="D452">
        <v>99.7</v>
      </c>
      <c r="E452">
        <v>107.2</v>
      </c>
      <c r="F452">
        <v>94.9</v>
      </c>
    </row>
    <row r="453" spans="1:10" x14ac:dyDescent="0.2">
      <c r="A453" s="53">
        <v>35490</v>
      </c>
      <c r="B453">
        <v>82.8</v>
      </c>
      <c r="C453">
        <v>757.1199951171875</v>
      </c>
      <c r="D453">
        <v>100</v>
      </c>
      <c r="E453">
        <v>109.8</v>
      </c>
      <c r="F453">
        <v>93.6</v>
      </c>
    </row>
    <row r="454" spans="1:10" x14ac:dyDescent="0.2">
      <c r="A454" s="53">
        <v>35521</v>
      </c>
      <c r="B454">
        <v>82.9</v>
      </c>
      <c r="C454">
        <v>801.34002685546875</v>
      </c>
      <c r="D454">
        <v>101.4</v>
      </c>
      <c r="E454">
        <v>115.2</v>
      </c>
      <c r="F454">
        <v>92.5</v>
      </c>
      <c r="G454">
        <v>11479.33</v>
      </c>
      <c r="H454">
        <v>1.6348079548196549E-2</v>
      </c>
      <c r="I454">
        <v>4.1301452262457773E-2</v>
      </c>
      <c r="J454">
        <v>6.7013424581684689E-2</v>
      </c>
    </row>
    <row r="455" spans="1:10" x14ac:dyDescent="0.2">
      <c r="A455" s="53">
        <v>35551</v>
      </c>
      <c r="B455">
        <v>83.4</v>
      </c>
      <c r="C455">
        <v>848.280029296875</v>
      </c>
      <c r="D455">
        <v>103.2</v>
      </c>
      <c r="E455">
        <v>113.5</v>
      </c>
      <c r="F455">
        <v>96.6</v>
      </c>
    </row>
    <row r="456" spans="1:10" x14ac:dyDescent="0.2">
      <c r="A456" s="53">
        <v>35582</v>
      </c>
      <c r="B456">
        <v>84</v>
      </c>
      <c r="C456">
        <v>885.1400146484375</v>
      </c>
      <c r="D456">
        <v>104.5</v>
      </c>
      <c r="E456">
        <v>113.2</v>
      </c>
      <c r="F456">
        <v>98.9</v>
      </c>
    </row>
    <row r="457" spans="1:10" x14ac:dyDescent="0.2">
      <c r="A457" s="53">
        <v>35612</v>
      </c>
      <c r="B457">
        <v>85</v>
      </c>
      <c r="C457">
        <v>954.30999755859375</v>
      </c>
      <c r="D457">
        <v>107.1</v>
      </c>
      <c r="E457">
        <v>114</v>
      </c>
      <c r="F457">
        <v>102.6</v>
      </c>
      <c r="G457">
        <v>11622.911</v>
      </c>
      <c r="H457">
        <v>1.2353273633429709E-2</v>
      </c>
      <c r="I457">
        <v>4.465112053254134E-2</v>
      </c>
      <c r="J457">
        <v>5.0336278643003052E-2</v>
      </c>
    </row>
    <row r="458" spans="1:10" x14ac:dyDescent="0.2">
      <c r="A458" s="53">
        <v>35643</v>
      </c>
      <c r="B458">
        <v>85.2</v>
      </c>
      <c r="C458">
        <v>899.469970703125</v>
      </c>
      <c r="D458">
        <v>104.4</v>
      </c>
      <c r="E458">
        <v>110.7</v>
      </c>
      <c r="F458">
        <v>100.3</v>
      </c>
    </row>
    <row r="459" spans="1:10" x14ac:dyDescent="0.2">
      <c r="A459" s="53">
        <v>35674</v>
      </c>
      <c r="B459">
        <v>85.8</v>
      </c>
      <c r="C459">
        <v>947.280029296875</v>
      </c>
      <c r="D459">
        <v>106</v>
      </c>
      <c r="E459">
        <v>114.1</v>
      </c>
      <c r="F459">
        <v>100.7</v>
      </c>
    </row>
    <row r="460" spans="1:10" x14ac:dyDescent="0.2">
      <c r="A460" s="53">
        <v>35704</v>
      </c>
      <c r="B460">
        <v>86.1</v>
      </c>
      <c r="C460">
        <v>914.6199951171875</v>
      </c>
      <c r="D460">
        <v>105.6</v>
      </c>
      <c r="E460">
        <v>109.8</v>
      </c>
      <c r="F460">
        <v>102.8</v>
      </c>
      <c r="G460">
        <v>11722.722</v>
      </c>
      <c r="H460">
        <v>8.5143194558396675E-3</v>
      </c>
      <c r="I460">
        <v>4.2949410554988882E-2</v>
      </c>
      <c r="J460">
        <v>3.4494713829357197E-2</v>
      </c>
    </row>
    <row r="461" spans="1:10" x14ac:dyDescent="0.2">
      <c r="A461" s="53">
        <v>35735</v>
      </c>
      <c r="B461">
        <v>86.3</v>
      </c>
      <c r="C461">
        <v>955.4000244140625</v>
      </c>
      <c r="D461">
        <v>107.2</v>
      </c>
      <c r="E461">
        <v>114.9</v>
      </c>
      <c r="F461">
        <v>102.3</v>
      </c>
    </row>
    <row r="462" spans="1:10" x14ac:dyDescent="0.2">
      <c r="A462" s="53">
        <v>35765</v>
      </c>
      <c r="B462">
        <v>86.6</v>
      </c>
      <c r="C462">
        <v>970.42999267578125</v>
      </c>
      <c r="D462">
        <v>102.1</v>
      </c>
      <c r="E462">
        <v>111.4</v>
      </c>
      <c r="F462">
        <v>96.1</v>
      </c>
    </row>
    <row r="463" spans="1:10" x14ac:dyDescent="0.2">
      <c r="A463" s="53">
        <v>35796</v>
      </c>
      <c r="B463">
        <v>86.6</v>
      </c>
      <c r="C463">
        <v>980.280029296875</v>
      </c>
      <c r="D463">
        <v>106.6</v>
      </c>
      <c r="E463">
        <v>113.5</v>
      </c>
      <c r="F463">
        <v>102.2</v>
      </c>
      <c r="G463">
        <v>11839.876</v>
      </c>
      <c r="H463">
        <v>9.8948671421897026E-3</v>
      </c>
      <c r="I463">
        <v>4.6302089650263167E-2</v>
      </c>
      <c r="J463">
        <v>4.0170803691654822E-2</v>
      </c>
    </row>
    <row r="464" spans="1:10" x14ac:dyDescent="0.2">
      <c r="A464" s="53">
        <v>35827</v>
      </c>
      <c r="B464">
        <v>87.5</v>
      </c>
      <c r="C464">
        <v>1049.339965820312</v>
      </c>
      <c r="D464">
        <v>110.4</v>
      </c>
      <c r="E464">
        <v>120</v>
      </c>
      <c r="F464">
        <v>104.2</v>
      </c>
    </row>
    <row r="465" spans="1:10" x14ac:dyDescent="0.2">
      <c r="A465" s="53">
        <v>35855</v>
      </c>
      <c r="B465">
        <v>87.6</v>
      </c>
      <c r="C465">
        <v>1101.75</v>
      </c>
      <c r="D465">
        <v>106.5</v>
      </c>
      <c r="E465">
        <v>113.7</v>
      </c>
      <c r="F465">
        <v>101.9</v>
      </c>
    </row>
    <row r="466" spans="1:10" x14ac:dyDescent="0.2">
      <c r="A466" s="53">
        <v>35886</v>
      </c>
      <c r="B466">
        <v>87.5</v>
      </c>
      <c r="C466">
        <v>1111.75</v>
      </c>
      <c r="D466">
        <v>108.7</v>
      </c>
      <c r="E466">
        <v>115.5</v>
      </c>
      <c r="F466">
        <v>104.3</v>
      </c>
      <c r="G466">
        <v>11949.492</v>
      </c>
      <c r="H466">
        <v>9.1732769895155365E-3</v>
      </c>
      <c r="I466">
        <v>3.9345773025330301E-2</v>
      </c>
      <c r="J466">
        <v>3.7201096792212063E-2</v>
      </c>
    </row>
    <row r="467" spans="1:10" x14ac:dyDescent="0.2">
      <c r="A467" s="53">
        <v>35916</v>
      </c>
      <c r="B467">
        <v>88</v>
      </c>
      <c r="C467">
        <v>1090.819946289062</v>
      </c>
      <c r="D467">
        <v>106.5</v>
      </c>
      <c r="E467">
        <v>113.9</v>
      </c>
      <c r="F467">
        <v>101.7</v>
      </c>
    </row>
    <row r="468" spans="1:10" x14ac:dyDescent="0.2">
      <c r="A468" s="53">
        <v>35947</v>
      </c>
      <c r="B468">
        <v>87.4</v>
      </c>
      <c r="C468">
        <v>1133.839965820312</v>
      </c>
      <c r="D468">
        <v>105.6</v>
      </c>
      <c r="E468">
        <v>115.4</v>
      </c>
      <c r="F468">
        <v>99.3</v>
      </c>
    </row>
    <row r="469" spans="1:10" x14ac:dyDescent="0.2">
      <c r="A469" s="53">
        <v>35977</v>
      </c>
      <c r="B469">
        <v>87.7</v>
      </c>
      <c r="C469">
        <v>1120.670043945312</v>
      </c>
      <c r="D469">
        <v>105.2</v>
      </c>
      <c r="E469">
        <v>113.3</v>
      </c>
      <c r="F469">
        <v>100</v>
      </c>
      <c r="G469">
        <v>12099.191000000001</v>
      </c>
      <c r="H469">
        <v>1.237264541075519E-2</v>
      </c>
      <c r="I469">
        <v>3.9364615369738412E-2</v>
      </c>
      <c r="J469">
        <v>5.0416675338750938E-2</v>
      </c>
    </row>
    <row r="470" spans="1:10" x14ac:dyDescent="0.2">
      <c r="A470" s="53">
        <v>36008</v>
      </c>
      <c r="B470">
        <v>87.8</v>
      </c>
      <c r="C470">
        <v>957.280029296875</v>
      </c>
      <c r="D470">
        <v>104.4</v>
      </c>
      <c r="E470">
        <v>113.9</v>
      </c>
      <c r="F470">
        <v>98.3</v>
      </c>
    </row>
    <row r="471" spans="1:10" x14ac:dyDescent="0.2">
      <c r="A471" s="53">
        <v>36039</v>
      </c>
      <c r="B471">
        <v>87.3</v>
      </c>
      <c r="C471">
        <v>1017.010009765625</v>
      </c>
      <c r="D471">
        <v>100.9</v>
      </c>
      <c r="E471">
        <v>111.7</v>
      </c>
      <c r="F471">
        <v>93.9</v>
      </c>
    </row>
    <row r="472" spans="1:10" x14ac:dyDescent="0.2">
      <c r="A472" s="53">
        <v>36069</v>
      </c>
      <c r="B472">
        <v>86.8</v>
      </c>
      <c r="C472">
        <v>1098.670043945312</v>
      </c>
      <c r="D472">
        <v>97.4</v>
      </c>
      <c r="E472">
        <v>112.8</v>
      </c>
      <c r="F472">
        <v>87.5</v>
      </c>
      <c r="G472">
        <v>12294.736999999999</v>
      </c>
      <c r="H472">
        <v>1.5904854247797119E-2</v>
      </c>
      <c r="I472">
        <v>4.6525192039488072E-2</v>
      </c>
      <c r="J472">
        <v>6.5153360760957346E-2</v>
      </c>
    </row>
    <row r="473" spans="1:10" x14ac:dyDescent="0.2">
      <c r="A473" s="53">
        <v>36100</v>
      </c>
      <c r="B473">
        <v>87.1</v>
      </c>
      <c r="C473">
        <v>1163.630004882812</v>
      </c>
      <c r="D473">
        <v>102.7</v>
      </c>
      <c r="E473">
        <v>115.9</v>
      </c>
      <c r="F473">
        <v>94.3</v>
      </c>
    </row>
    <row r="474" spans="1:10" x14ac:dyDescent="0.2">
      <c r="A474" s="53">
        <v>36130</v>
      </c>
      <c r="B474">
        <v>87.3</v>
      </c>
      <c r="C474">
        <v>1229.22998046875</v>
      </c>
      <c r="D474">
        <v>100.5</v>
      </c>
      <c r="E474">
        <v>113.9</v>
      </c>
      <c r="F474">
        <v>91.9</v>
      </c>
    </row>
    <row r="475" spans="1:10" x14ac:dyDescent="0.2">
      <c r="A475" s="53">
        <v>36161</v>
      </c>
      <c r="B475">
        <v>87.2</v>
      </c>
      <c r="C475">
        <v>1279.640014648438</v>
      </c>
      <c r="D475">
        <v>103.9</v>
      </c>
      <c r="E475">
        <v>116.8</v>
      </c>
      <c r="F475">
        <v>95.7</v>
      </c>
      <c r="G475">
        <v>12410.778</v>
      </c>
      <c r="H475">
        <v>9.3500181858060041E-3</v>
      </c>
      <c r="I475">
        <v>4.6000500532682162E-2</v>
      </c>
      <c r="J475">
        <v>3.7927887047004338E-2</v>
      </c>
    </row>
    <row r="476" spans="1:10" x14ac:dyDescent="0.2">
      <c r="A476" s="53">
        <v>36192</v>
      </c>
      <c r="B476">
        <v>87.7</v>
      </c>
      <c r="C476">
        <v>1238.329956054688</v>
      </c>
      <c r="D476">
        <v>108.1</v>
      </c>
      <c r="E476">
        <v>115</v>
      </c>
      <c r="F476">
        <v>103.6</v>
      </c>
    </row>
    <row r="477" spans="1:10" x14ac:dyDescent="0.2">
      <c r="A477" s="53">
        <v>36220</v>
      </c>
      <c r="B477">
        <v>87.7</v>
      </c>
      <c r="C477">
        <v>1286.369995117188</v>
      </c>
      <c r="D477">
        <v>105.7</v>
      </c>
      <c r="E477">
        <v>116.3</v>
      </c>
      <c r="F477">
        <v>99</v>
      </c>
    </row>
    <row r="478" spans="1:10" x14ac:dyDescent="0.2">
      <c r="A478" s="53">
        <v>36251</v>
      </c>
      <c r="B478">
        <v>87.8</v>
      </c>
      <c r="C478">
        <v>1335.180053710938</v>
      </c>
      <c r="D478">
        <v>104.6</v>
      </c>
      <c r="E478">
        <v>115.9</v>
      </c>
      <c r="F478">
        <v>97.4</v>
      </c>
      <c r="G478">
        <v>12514.407999999999</v>
      </c>
      <c r="H478">
        <v>8.2808551551139462E-3</v>
      </c>
      <c r="I478">
        <v>4.5141248391454017E-2</v>
      </c>
      <c r="J478">
        <v>3.3537132053069067E-2</v>
      </c>
    </row>
    <row r="479" spans="1:10" x14ac:dyDescent="0.2">
      <c r="A479" s="53">
        <v>36281</v>
      </c>
      <c r="B479">
        <v>88.3</v>
      </c>
      <c r="C479">
        <v>1301.839965820312</v>
      </c>
      <c r="D479">
        <v>106.8</v>
      </c>
      <c r="E479">
        <v>121.1</v>
      </c>
      <c r="F479">
        <v>97.6</v>
      </c>
    </row>
    <row r="480" spans="1:10" x14ac:dyDescent="0.2">
      <c r="A480" s="53">
        <v>36312</v>
      </c>
      <c r="B480">
        <v>88.6</v>
      </c>
      <c r="C480">
        <v>1372.7099609375</v>
      </c>
      <c r="D480">
        <v>107.3</v>
      </c>
      <c r="E480">
        <v>118.9</v>
      </c>
      <c r="F480">
        <v>99.8</v>
      </c>
    </row>
    <row r="481" spans="1:10" x14ac:dyDescent="0.2">
      <c r="A481" s="53">
        <v>36342</v>
      </c>
      <c r="B481">
        <v>88.9</v>
      </c>
      <c r="C481">
        <v>1328.719970703125</v>
      </c>
      <c r="D481">
        <v>106</v>
      </c>
      <c r="E481">
        <v>116.5</v>
      </c>
      <c r="F481">
        <v>99.2</v>
      </c>
      <c r="G481">
        <v>12679.977000000001</v>
      </c>
      <c r="H481">
        <v>1.305751579833318E-2</v>
      </c>
      <c r="I481">
        <v>4.5803395384707721E-2</v>
      </c>
      <c r="J481">
        <v>5.3261989734947113E-2</v>
      </c>
    </row>
    <row r="482" spans="1:10" x14ac:dyDescent="0.2">
      <c r="A482" s="53">
        <v>36373</v>
      </c>
      <c r="B482">
        <v>89.1</v>
      </c>
      <c r="C482">
        <v>1320.410034179688</v>
      </c>
      <c r="D482">
        <v>104.5</v>
      </c>
      <c r="E482">
        <v>114.1</v>
      </c>
      <c r="F482">
        <v>98.4</v>
      </c>
    </row>
    <row r="483" spans="1:10" x14ac:dyDescent="0.2">
      <c r="A483" s="53">
        <v>36404</v>
      </c>
      <c r="B483">
        <v>89.1</v>
      </c>
      <c r="C483">
        <v>1282.7099609375</v>
      </c>
      <c r="D483">
        <v>107.2</v>
      </c>
      <c r="E483">
        <v>115.9</v>
      </c>
      <c r="F483">
        <v>101.5</v>
      </c>
    </row>
    <row r="484" spans="1:10" x14ac:dyDescent="0.2">
      <c r="A484" s="53">
        <v>36434</v>
      </c>
      <c r="B484">
        <v>89.4</v>
      </c>
      <c r="C484">
        <v>1362.930053710938</v>
      </c>
      <c r="D484">
        <v>103.2</v>
      </c>
      <c r="E484">
        <v>112.7</v>
      </c>
      <c r="F484">
        <v>97.1</v>
      </c>
      <c r="G484">
        <v>12888.281000000001</v>
      </c>
      <c r="H484">
        <v>1.6162279515786481E-2</v>
      </c>
      <c r="I484">
        <v>4.6052999620352912E-2</v>
      </c>
      <c r="J484">
        <v>6.623338956955438E-2</v>
      </c>
    </row>
    <row r="485" spans="1:10" x14ac:dyDescent="0.2">
      <c r="A485" s="53">
        <v>36465</v>
      </c>
      <c r="B485">
        <v>89.9</v>
      </c>
      <c r="C485">
        <v>1388.910034179688</v>
      </c>
      <c r="D485">
        <v>107.2</v>
      </c>
      <c r="E485">
        <v>116.8</v>
      </c>
      <c r="F485">
        <v>101</v>
      </c>
    </row>
    <row r="486" spans="1:10" x14ac:dyDescent="0.2">
      <c r="A486" s="53">
        <v>36495</v>
      </c>
      <c r="B486">
        <v>90.7</v>
      </c>
      <c r="C486">
        <v>1469.25</v>
      </c>
      <c r="D486">
        <v>105.4</v>
      </c>
      <c r="E486">
        <v>112.2</v>
      </c>
      <c r="F486">
        <v>101.1</v>
      </c>
    </row>
    <row r="487" spans="1:10" x14ac:dyDescent="0.2">
      <c r="A487" s="53">
        <v>36526</v>
      </c>
      <c r="B487">
        <v>91.2</v>
      </c>
      <c r="C487">
        <v>1394.4599609375</v>
      </c>
      <c r="D487">
        <v>112</v>
      </c>
      <c r="E487">
        <v>117.3</v>
      </c>
      <c r="F487">
        <v>108.6</v>
      </c>
      <c r="G487">
        <v>12935.252</v>
      </c>
      <c r="H487">
        <v>3.6312396542409488E-3</v>
      </c>
      <c r="I487">
        <v>4.0546098367469002E-2</v>
      </c>
      <c r="J487">
        <v>1.460426572406393E-2</v>
      </c>
    </row>
    <row r="488" spans="1:10" x14ac:dyDescent="0.2">
      <c r="A488" s="53">
        <v>36557</v>
      </c>
      <c r="B488">
        <v>90.6</v>
      </c>
      <c r="C488">
        <v>1366.420043945312</v>
      </c>
      <c r="D488">
        <v>111.3</v>
      </c>
      <c r="E488">
        <v>116.8</v>
      </c>
      <c r="F488">
        <v>107.8</v>
      </c>
    </row>
    <row r="489" spans="1:10" x14ac:dyDescent="0.2">
      <c r="A489" s="53">
        <v>36586</v>
      </c>
      <c r="B489">
        <v>91.6</v>
      </c>
      <c r="C489">
        <v>1498.579956054688</v>
      </c>
      <c r="D489">
        <v>107.1</v>
      </c>
      <c r="E489">
        <v>115.4</v>
      </c>
      <c r="F489">
        <v>101.7</v>
      </c>
    </row>
    <row r="490" spans="1:10" x14ac:dyDescent="0.2">
      <c r="A490" s="53">
        <v>36617</v>
      </c>
      <c r="B490">
        <v>91.7</v>
      </c>
      <c r="C490">
        <v>1452.430053710938</v>
      </c>
      <c r="D490">
        <v>109.2</v>
      </c>
      <c r="E490">
        <v>117.8</v>
      </c>
      <c r="F490">
        <v>103.7</v>
      </c>
      <c r="G490">
        <v>13170.749</v>
      </c>
      <c r="H490">
        <v>1.7880304301600421E-2</v>
      </c>
      <c r="I490">
        <v>4.9833232718959293E-2</v>
      </c>
      <c r="J490">
        <v>7.3462416820286203E-2</v>
      </c>
    </row>
    <row r="491" spans="1:10" x14ac:dyDescent="0.2">
      <c r="A491" s="53">
        <v>36647</v>
      </c>
      <c r="B491">
        <v>90.7</v>
      </c>
      <c r="C491">
        <v>1420.599975585938</v>
      </c>
      <c r="D491">
        <v>110.7</v>
      </c>
      <c r="E491">
        <v>119.9</v>
      </c>
      <c r="F491">
        <v>104.8</v>
      </c>
    </row>
    <row r="492" spans="1:10" x14ac:dyDescent="0.2">
      <c r="A492" s="53">
        <v>36678</v>
      </c>
      <c r="B492">
        <v>91</v>
      </c>
      <c r="C492">
        <v>1454.599975585938</v>
      </c>
      <c r="D492">
        <v>106.4</v>
      </c>
      <c r="E492">
        <v>115.1</v>
      </c>
      <c r="F492">
        <v>100.8</v>
      </c>
    </row>
    <row r="493" spans="1:10" x14ac:dyDescent="0.2">
      <c r="A493" s="53">
        <v>36708</v>
      </c>
      <c r="B493">
        <v>90.6</v>
      </c>
      <c r="C493">
        <v>1430.829956054688</v>
      </c>
      <c r="D493">
        <v>108.3</v>
      </c>
      <c r="E493">
        <v>114.2</v>
      </c>
      <c r="F493">
        <v>104.5</v>
      </c>
      <c r="G493">
        <v>13183.89</v>
      </c>
      <c r="H493">
        <v>9.9674678717735212E-4</v>
      </c>
      <c r="I493">
        <v>3.822187533421461E-2</v>
      </c>
      <c r="J493">
        <v>3.9929521357315867E-3</v>
      </c>
    </row>
    <row r="494" spans="1:10" x14ac:dyDescent="0.2">
      <c r="A494" s="53">
        <v>36739</v>
      </c>
      <c r="B494">
        <v>90</v>
      </c>
      <c r="C494">
        <v>1517.680053710938</v>
      </c>
      <c r="D494">
        <v>107.3</v>
      </c>
      <c r="E494">
        <v>112.4</v>
      </c>
      <c r="F494">
        <v>104</v>
      </c>
    </row>
    <row r="495" spans="1:10" x14ac:dyDescent="0.2">
      <c r="A495" s="53">
        <v>36770</v>
      </c>
      <c r="B495">
        <v>90.3</v>
      </c>
      <c r="C495">
        <v>1436.510009765625</v>
      </c>
      <c r="D495">
        <v>106.8</v>
      </c>
      <c r="E495">
        <v>112</v>
      </c>
      <c r="F495">
        <v>103.4</v>
      </c>
    </row>
    <row r="496" spans="1:10" x14ac:dyDescent="0.2">
      <c r="A496" s="53">
        <v>36800</v>
      </c>
      <c r="B496">
        <v>89.4</v>
      </c>
      <c r="C496">
        <v>1429.400024414062</v>
      </c>
      <c r="D496">
        <v>105.8</v>
      </c>
      <c r="E496">
        <v>113.6</v>
      </c>
      <c r="F496">
        <v>100.7</v>
      </c>
      <c r="G496">
        <v>13262.25</v>
      </c>
      <c r="H496">
        <v>5.9084996889668482E-3</v>
      </c>
      <c r="I496">
        <v>2.8198005617447959E-2</v>
      </c>
      <c r="J496">
        <v>2.3844287257656079E-2</v>
      </c>
    </row>
    <row r="497" spans="1:10" x14ac:dyDescent="0.2">
      <c r="A497" s="53">
        <v>36831</v>
      </c>
      <c r="B497">
        <v>88.7</v>
      </c>
      <c r="C497">
        <v>1314.949951171875</v>
      </c>
      <c r="D497">
        <v>107.6</v>
      </c>
      <c r="E497">
        <v>116.9</v>
      </c>
      <c r="F497">
        <v>101.6</v>
      </c>
    </row>
    <row r="498" spans="1:10" x14ac:dyDescent="0.2">
      <c r="A498" s="53">
        <v>36861</v>
      </c>
      <c r="B498">
        <v>87.4</v>
      </c>
      <c r="C498">
        <v>1320.280029296875</v>
      </c>
      <c r="D498">
        <v>98.4</v>
      </c>
      <c r="E498">
        <v>110.5</v>
      </c>
      <c r="F498">
        <v>90.7</v>
      </c>
    </row>
    <row r="499" spans="1:10" x14ac:dyDescent="0.2">
      <c r="A499" s="53">
        <v>36892</v>
      </c>
      <c r="B499">
        <v>86.9</v>
      </c>
      <c r="C499">
        <v>1366.010009765625</v>
      </c>
      <c r="D499">
        <v>94.7</v>
      </c>
      <c r="E499">
        <v>107.7</v>
      </c>
      <c r="F499">
        <v>86.4</v>
      </c>
      <c r="G499">
        <v>13219.251</v>
      </c>
      <c r="H499">
        <v>-3.2527561508590608E-3</v>
      </c>
      <c r="I499">
        <v>2.1483743670499919E-2</v>
      </c>
      <c r="J499">
        <v>-1.294767961816767E-2</v>
      </c>
    </row>
    <row r="500" spans="1:10" x14ac:dyDescent="0.2">
      <c r="A500" s="53">
        <v>36923</v>
      </c>
      <c r="B500">
        <v>85.9</v>
      </c>
      <c r="C500">
        <v>1239.93994140625</v>
      </c>
      <c r="D500">
        <v>90.6</v>
      </c>
      <c r="E500">
        <v>105.8</v>
      </c>
      <c r="F500">
        <v>80.8</v>
      </c>
    </row>
    <row r="501" spans="1:10" x14ac:dyDescent="0.2">
      <c r="A501" s="53">
        <v>36951</v>
      </c>
      <c r="B501">
        <v>84.6</v>
      </c>
      <c r="C501">
        <v>1160.329956054688</v>
      </c>
      <c r="D501">
        <v>91.5</v>
      </c>
      <c r="E501">
        <v>103.4</v>
      </c>
      <c r="F501">
        <v>83.9</v>
      </c>
    </row>
    <row r="502" spans="1:10" x14ac:dyDescent="0.2">
      <c r="A502" s="53">
        <v>36982</v>
      </c>
      <c r="B502">
        <v>83.7</v>
      </c>
      <c r="C502">
        <v>1249.4599609375</v>
      </c>
      <c r="D502">
        <v>88.4</v>
      </c>
      <c r="E502">
        <v>98</v>
      </c>
      <c r="F502">
        <v>82.2</v>
      </c>
      <c r="G502">
        <v>13301.394</v>
      </c>
      <c r="H502">
        <v>6.175518144940299E-3</v>
      </c>
      <c r="I502">
        <v>9.8219028772473342E-3</v>
      </c>
      <c r="J502">
        <v>2.493183824388856E-2</v>
      </c>
    </row>
    <row r="503" spans="1:10" x14ac:dyDescent="0.2">
      <c r="A503" s="53">
        <v>37012</v>
      </c>
      <c r="B503">
        <v>84</v>
      </c>
      <c r="C503">
        <v>1255.819946289062</v>
      </c>
      <c r="D503">
        <v>92</v>
      </c>
      <c r="E503">
        <v>102.2</v>
      </c>
      <c r="F503">
        <v>85.4</v>
      </c>
    </row>
    <row r="504" spans="1:10" x14ac:dyDescent="0.2">
      <c r="A504" s="53">
        <v>37043</v>
      </c>
      <c r="B504">
        <v>83.6</v>
      </c>
      <c r="C504">
        <v>1224.380004882812</v>
      </c>
      <c r="D504">
        <v>92.6</v>
      </c>
      <c r="E504">
        <v>101.6</v>
      </c>
      <c r="F504">
        <v>86.9</v>
      </c>
    </row>
    <row r="505" spans="1:10" x14ac:dyDescent="0.2">
      <c r="A505" s="53">
        <v>37073</v>
      </c>
      <c r="B505">
        <v>83.4</v>
      </c>
      <c r="C505">
        <v>1211.22998046875</v>
      </c>
      <c r="D505">
        <v>92.4</v>
      </c>
      <c r="E505">
        <v>98.6</v>
      </c>
      <c r="F505">
        <v>88.4</v>
      </c>
      <c r="G505">
        <v>13248.142</v>
      </c>
      <c r="H505">
        <v>-4.0195825195714543E-3</v>
      </c>
      <c r="I505">
        <v>4.8498876295257412E-3</v>
      </c>
      <c r="J505">
        <v>-1.5981647333726531E-2</v>
      </c>
    </row>
    <row r="506" spans="1:10" x14ac:dyDescent="0.2">
      <c r="A506" s="53">
        <v>37104</v>
      </c>
      <c r="B506">
        <v>83.2</v>
      </c>
      <c r="C506">
        <v>1133.579956054688</v>
      </c>
      <c r="D506">
        <v>91.5</v>
      </c>
      <c r="E506">
        <v>101.2</v>
      </c>
      <c r="F506">
        <v>85.2</v>
      </c>
    </row>
    <row r="507" spans="1:10" x14ac:dyDescent="0.2">
      <c r="A507" s="53">
        <v>37135</v>
      </c>
      <c r="B507">
        <v>81.7</v>
      </c>
      <c r="C507">
        <v>1040.93994140625</v>
      </c>
      <c r="D507">
        <v>81.8</v>
      </c>
      <c r="E507">
        <v>94.6</v>
      </c>
      <c r="F507">
        <v>73.5</v>
      </c>
    </row>
    <row r="508" spans="1:10" x14ac:dyDescent="0.2">
      <c r="A508" s="53">
        <v>37165</v>
      </c>
      <c r="B508">
        <v>81.099999999999994</v>
      </c>
      <c r="C508">
        <v>1059.780029296875</v>
      </c>
      <c r="D508">
        <v>82.7</v>
      </c>
      <c r="E508">
        <v>94</v>
      </c>
      <c r="F508">
        <v>75.5</v>
      </c>
      <c r="G508">
        <v>13284.880999999999</v>
      </c>
      <c r="H508">
        <v>2.7654745270205721E-3</v>
      </c>
      <c r="I508">
        <v>1.703515447372047E-3</v>
      </c>
      <c r="J508">
        <v>1.1107869862459371E-2</v>
      </c>
    </row>
    <row r="509" spans="1:10" x14ac:dyDescent="0.2">
      <c r="A509" s="53">
        <v>37196</v>
      </c>
      <c r="B509">
        <v>81.599999999999994</v>
      </c>
      <c r="C509">
        <v>1139.449951171875</v>
      </c>
      <c r="D509">
        <v>83.9</v>
      </c>
      <c r="E509">
        <v>95.3</v>
      </c>
      <c r="F509">
        <v>76.599999999999994</v>
      </c>
    </row>
    <row r="510" spans="1:10" x14ac:dyDescent="0.2">
      <c r="A510" s="53">
        <v>37226</v>
      </c>
      <c r="B510">
        <v>82.2</v>
      </c>
      <c r="C510">
        <v>1148.079956054688</v>
      </c>
      <c r="D510">
        <v>88.8</v>
      </c>
      <c r="E510">
        <v>99</v>
      </c>
      <c r="F510">
        <v>82.3</v>
      </c>
    </row>
    <row r="511" spans="1:10" x14ac:dyDescent="0.2">
      <c r="A511" s="53">
        <v>37257</v>
      </c>
      <c r="B511">
        <v>82.2</v>
      </c>
      <c r="C511">
        <v>1130.199951171875</v>
      </c>
      <c r="D511">
        <v>93</v>
      </c>
      <c r="E511">
        <v>95.7</v>
      </c>
      <c r="F511">
        <v>91.3</v>
      </c>
      <c r="G511">
        <v>13394.91</v>
      </c>
      <c r="H511">
        <v>8.2142395880226479E-3</v>
      </c>
      <c r="I511">
        <v>1.3113861907246831E-2</v>
      </c>
      <c r="J511">
        <v>3.3264022278454368E-2</v>
      </c>
    </row>
    <row r="512" spans="1:10" x14ac:dyDescent="0.2">
      <c r="A512" s="53">
        <v>37288</v>
      </c>
      <c r="B512">
        <v>83</v>
      </c>
      <c r="C512">
        <v>1106.72998046875</v>
      </c>
      <c r="D512">
        <v>90.7</v>
      </c>
      <c r="E512">
        <v>96.2</v>
      </c>
      <c r="F512">
        <v>87.2</v>
      </c>
    </row>
    <row r="513" spans="1:10" x14ac:dyDescent="0.2">
      <c r="A513" s="53">
        <v>37316</v>
      </c>
      <c r="B513">
        <v>83.4</v>
      </c>
      <c r="C513">
        <v>1147.390014648438</v>
      </c>
      <c r="D513">
        <v>95.7</v>
      </c>
      <c r="E513">
        <v>100.4</v>
      </c>
      <c r="F513">
        <v>92.7</v>
      </c>
    </row>
    <row r="514" spans="1:10" x14ac:dyDescent="0.2">
      <c r="A514" s="53">
        <v>37347</v>
      </c>
      <c r="B514">
        <v>84</v>
      </c>
      <c r="C514">
        <v>1076.920043945312</v>
      </c>
      <c r="D514">
        <v>93</v>
      </c>
      <c r="E514">
        <v>99.2</v>
      </c>
      <c r="F514">
        <v>89.1</v>
      </c>
      <c r="G514">
        <v>13477.356</v>
      </c>
      <c r="H514">
        <v>6.1173719830506764E-3</v>
      </c>
      <c r="I514">
        <v>1.3056121690337451E-2</v>
      </c>
      <c r="J514">
        <v>2.4694938475550599E-2</v>
      </c>
    </row>
    <row r="515" spans="1:10" x14ac:dyDescent="0.2">
      <c r="A515" s="53">
        <v>37377</v>
      </c>
      <c r="B515">
        <v>84.8</v>
      </c>
      <c r="C515">
        <v>1067.140014648438</v>
      </c>
      <c r="D515">
        <v>96.9</v>
      </c>
      <c r="E515">
        <v>103.5</v>
      </c>
      <c r="F515">
        <v>92.7</v>
      </c>
    </row>
    <row r="516" spans="1:10" x14ac:dyDescent="0.2">
      <c r="A516" s="53">
        <v>37408</v>
      </c>
      <c r="B516">
        <v>85</v>
      </c>
      <c r="C516">
        <v>989.82000732421875</v>
      </c>
      <c r="D516">
        <v>92.4</v>
      </c>
      <c r="E516">
        <v>99.5</v>
      </c>
      <c r="F516">
        <v>87.9</v>
      </c>
    </row>
    <row r="517" spans="1:10" x14ac:dyDescent="0.2">
      <c r="A517" s="53">
        <v>37438</v>
      </c>
      <c r="B517">
        <v>84.6</v>
      </c>
      <c r="C517">
        <v>911.6199951171875</v>
      </c>
      <c r="D517">
        <v>88.1</v>
      </c>
      <c r="E517">
        <v>99.3</v>
      </c>
      <c r="F517">
        <v>81</v>
      </c>
      <c r="G517">
        <v>13531.741</v>
      </c>
      <c r="H517">
        <v>4.0190689431611366E-3</v>
      </c>
      <c r="I517">
        <v>2.095805706006346E-2</v>
      </c>
      <c r="J517">
        <v>1.6173453203299552E-2</v>
      </c>
    </row>
    <row r="518" spans="1:10" x14ac:dyDescent="0.2">
      <c r="A518" s="53">
        <v>37469</v>
      </c>
      <c r="B518">
        <v>84.7</v>
      </c>
      <c r="C518">
        <v>916.07000732421875</v>
      </c>
      <c r="D518">
        <v>87.6</v>
      </c>
      <c r="E518">
        <v>98.5</v>
      </c>
      <c r="F518">
        <v>80.599999999999994</v>
      </c>
    </row>
    <row r="519" spans="1:10" x14ac:dyDescent="0.2">
      <c r="A519" s="53">
        <v>37500</v>
      </c>
      <c r="B519">
        <v>84.4</v>
      </c>
      <c r="C519">
        <v>815.280029296875</v>
      </c>
      <c r="D519">
        <v>86.1</v>
      </c>
      <c r="E519">
        <v>95.8</v>
      </c>
      <c r="F519">
        <v>79.900000000000006</v>
      </c>
    </row>
    <row r="520" spans="1:10" x14ac:dyDescent="0.2">
      <c r="A520" s="53">
        <v>37530</v>
      </c>
      <c r="B520">
        <v>84.3</v>
      </c>
      <c r="C520">
        <v>885.760009765625</v>
      </c>
      <c r="D520">
        <v>80.599999999999994</v>
      </c>
      <c r="E520">
        <v>92.4</v>
      </c>
      <c r="F520">
        <v>73.099999999999994</v>
      </c>
      <c r="G520">
        <v>13549.421</v>
      </c>
      <c r="H520">
        <v>1.304852805149407E-3</v>
      </c>
      <c r="I520">
        <v>1.952408150872284E-2</v>
      </c>
      <c r="J520">
        <v>5.2296359553378746E-3</v>
      </c>
    </row>
    <row r="521" spans="1:10" x14ac:dyDescent="0.2">
      <c r="A521" s="53">
        <v>37561</v>
      </c>
      <c r="B521">
        <v>84.8</v>
      </c>
      <c r="C521">
        <v>936.30999755859375</v>
      </c>
      <c r="D521">
        <v>84.2</v>
      </c>
      <c r="E521">
        <v>93.1</v>
      </c>
      <c r="F521">
        <v>78.5</v>
      </c>
    </row>
    <row r="522" spans="1:10" x14ac:dyDescent="0.2">
      <c r="A522" s="53">
        <v>37591</v>
      </c>
      <c r="B522">
        <v>84.8</v>
      </c>
      <c r="C522">
        <v>879.82000732421875</v>
      </c>
      <c r="D522">
        <v>86.7</v>
      </c>
      <c r="E522">
        <v>96</v>
      </c>
      <c r="F522">
        <v>80.8</v>
      </c>
    </row>
    <row r="523" spans="1:10" x14ac:dyDescent="0.2">
      <c r="A523" s="53">
        <v>37622</v>
      </c>
      <c r="B523">
        <v>85</v>
      </c>
      <c r="C523">
        <v>855.70001220703125</v>
      </c>
      <c r="D523">
        <v>82.4</v>
      </c>
      <c r="E523">
        <v>97.2</v>
      </c>
      <c r="F523">
        <v>72.8</v>
      </c>
      <c r="G523">
        <v>13619.433999999999</v>
      </c>
      <c r="H523">
        <v>5.1406688413041992E-3</v>
      </c>
      <c r="I523">
        <v>1.6485560266307649E-2</v>
      </c>
      <c r="J523">
        <v>2.0721778319441331E-2</v>
      </c>
    </row>
    <row r="524" spans="1:10" x14ac:dyDescent="0.2">
      <c r="A524" s="53">
        <v>37653</v>
      </c>
      <c r="B524">
        <v>84.8</v>
      </c>
      <c r="C524">
        <v>841.1500244140625</v>
      </c>
      <c r="D524">
        <v>79.900000000000006</v>
      </c>
      <c r="E524">
        <v>95.4</v>
      </c>
      <c r="F524">
        <v>69.900000000000006</v>
      </c>
    </row>
    <row r="525" spans="1:10" x14ac:dyDescent="0.2">
      <c r="A525" s="53">
        <v>37681</v>
      </c>
      <c r="B525">
        <v>84.7</v>
      </c>
      <c r="C525">
        <v>848.17999267578125</v>
      </c>
      <c r="D525">
        <v>77.599999999999994</v>
      </c>
      <c r="E525">
        <v>90</v>
      </c>
      <c r="F525">
        <v>69.599999999999994</v>
      </c>
    </row>
    <row r="526" spans="1:10" x14ac:dyDescent="0.2">
      <c r="A526" s="53">
        <v>37712</v>
      </c>
      <c r="B526">
        <v>84.4</v>
      </c>
      <c r="C526">
        <v>916.91998291015625</v>
      </c>
      <c r="D526">
        <v>86</v>
      </c>
      <c r="E526">
        <v>96.4</v>
      </c>
      <c r="F526">
        <v>79.3</v>
      </c>
      <c r="G526">
        <v>13741.107</v>
      </c>
      <c r="H526">
        <v>8.8546723346234531E-3</v>
      </c>
      <c r="I526">
        <v>1.9194305087646881E-2</v>
      </c>
      <c r="J526">
        <v>3.5891903828999983E-2</v>
      </c>
    </row>
    <row r="527" spans="1:10" x14ac:dyDescent="0.2">
      <c r="A527" s="53">
        <v>37742</v>
      </c>
      <c r="B527">
        <v>85.3</v>
      </c>
      <c r="C527">
        <v>963.59002685546875</v>
      </c>
      <c r="D527">
        <v>92.1</v>
      </c>
      <c r="E527">
        <v>93.2</v>
      </c>
      <c r="F527">
        <v>91.4</v>
      </c>
    </row>
    <row r="528" spans="1:10" x14ac:dyDescent="0.2">
      <c r="A528" s="53">
        <v>37773</v>
      </c>
      <c r="B528">
        <v>86</v>
      </c>
      <c r="C528">
        <v>974.5</v>
      </c>
      <c r="D528">
        <v>89.7</v>
      </c>
      <c r="E528">
        <v>94.7</v>
      </c>
      <c r="F528">
        <v>86.4</v>
      </c>
    </row>
    <row r="529" spans="1:10" x14ac:dyDescent="0.2">
      <c r="A529" s="53">
        <v>37803</v>
      </c>
      <c r="B529">
        <v>86.3</v>
      </c>
      <c r="C529">
        <v>990.30999755859375</v>
      </c>
      <c r="D529">
        <v>90.9</v>
      </c>
      <c r="E529">
        <v>102.1</v>
      </c>
      <c r="F529">
        <v>83.7</v>
      </c>
      <c r="G529">
        <v>13970.156999999999</v>
      </c>
      <c r="H529">
        <v>1.6395663985737541E-2</v>
      </c>
      <c r="I529">
        <v>3.1382324479245237E-2</v>
      </c>
      <c r="J529">
        <v>6.7213264776284198E-2</v>
      </c>
    </row>
    <row r="530" spans="1:10" x14ac:dyDescent="0.2">
      <c r="A530" s="53">
        <v>37834</v>
      </c>
      <c r="B530">
        <v>86.9</v>
      </c>
      <c r="C530">
        <v>1008.010009765625</v>
      </c>
      <c r="D530">
        <v>89.3</v>
      </c>
      <c r="E530">
        <v>99.7</v>
      </c>
      <c r="F530">
        <v>82.5</v>
      </c>
    </row>
    <row r="531" spans="1:10" x14ac:dyDescent="0.2">
      <c r="A531" s="53">
        <v>37865</v>
      </c>
      <c r="B531">
        <v>87.9</v>
      </c>
      <c r="C531">
        <v>995.969970703125</v>
      </c>
      <c r="D531">
        <v>87.7</v>
      </c>
      <c r="E531">
        <v>98.4</v>
      </c>
      <c r="F531">
        <v>80.8</v>
      </c>
    </row>
    <row r="532" spans="1:10" x14ac:dyDescent="0.2">
      <c r="A532" s="53">
        <v>37895</v>
      </c>
      <c r="B532">
        <v>88.8</v>
      </c>
      <c r="C532">
        <v>1050.7099609375</v>
      </c>
      <c r="D532">
        <v>89.6</v>
      </c>
      <c r="E532">
        <v>99.9</v>
      </c>
      <c r="F532">
        <v>83</v>
      </c>
      <c r="G532">
        <v>14131.379000000001</v>
      </c>
      <c r="H532">
        <v>1.140879456987188E-2</v>
      </c>
      <c r="I532">
        <v>4.1181968157530877E-2</v>
      </c>
      <c r="J532">
        <v>4.6422098684384412E-2</v>
      </c>
    </row>
    <row r="533" spans="1:10" x14ac:dyDescent="0.2">
      <c r="A533" s="53">
        <v>37926</v>
      </c>
      <c r="B533">
        <v>89.8</v>
      </c>
      <c r="C533">
        <v>1058.199951171875</v>
      </c>
      <c r="D533">
        <v>93.7</v>
      </c>
      <c r="E533">
        <v>102.5</v>
      </c>
      <c r="F533">
        <v>88.1</v>
      </c>
    </row>
    <row r="534" spans="1:10" x14ac:dyDescent="0.2">
      <c r="A534" s="53">
        <v>37956</v>
      </c>
      <c r="B534">
        <v>90.6</v>
      </c>
      <c r="C534">
        <v>1111.920043945312</v>
      </c>
      <c r="D534">
        <v>92.6</v>
      </c>
      <c r="E534">
        <v>97</v>
      </c>
      <c r="F534">
        <v>89.8</v>
      </c>
    </row>
    <row r="535" spans="1:10" x14ac:dyDescent="0.2">
      <c r="A535" s="53">
        <v>37987</v>
      </c>
      <c r="B535">
        <v>91.5</v>
      </c>
      <c r="C535">
        <v>1131.130004882812</v>
      </c>
      <c r="D535">
        <v>103.8</v>
      </c>
      <c r="E535">
        <v>109.5</v>
      </c>
      <c r="F535">
        <v>100.1</v>
      </c>
      <c r="G535">
        <v>14212.34</v>
      </c>
      <c r="H535">
        <v>5.6965285097316364E-3</v>
      </c>
      <c r="I535">
        <v>4.1717690401439939E-2</v>
      </c>
      <c r="J535">
        <v>2.2981557133690211E-2</v>
      </c>
    </row>
    <row r="536" spans="1:10" x14ac:dyDescent="0.2">
      <c r="A536" s="53">
        <v>38018</v>
      </c>
      <c r="B536">
        <v>92.3</v>
      </c>
      <c r="C536">
        <v>1144.93994140625</v>
      </c>
      <c r="D536">
        <v>94.4</v>
      </c>
      <c r="E536">
        <v>103.6</v>
      </c>
      <c r="F536">
        <v>88.5</v>
      </c>
    </row>
    <row r="537" spans="1:10" x14ac:dyDescent="0.2">
      <c r="A537" s="53">
        <v>38047</v>
      </c>
      <c r="B537">
        <v>93.6</v>
      </c>
      <c r="C537">
        <v>1126.2099609375</v>
      </c>
      <c r="D537">
        <v>95.8</v>
      </c>
      <c r="E537">
        <v>106.8</v>
      </c>
      <c r="F537">
        <v>88.8</v>
      </c>
    </row>
    <row r="538" spans="1:10" x14ac:dyDescent="0.2">
      <c r="A538" s="53">
        <v>38078</v>
      </c>
      <c r="B538">
        <v>93.8</v>
      </c>
      <c r="C538">
        <v>1107.300048828125</v>
      </c>
      <c r="D538">
        <v>94.2</v>
      </c>
      <c r="E538">
        <v>105</v>
      </c>
      <c r="F538">
        <v>87.3</v>
      </c>
      <c r="G538">
        <v>14323.017</v>
      </c>
      <c r="H538">
        <v>7.7272127792628936E-3</v>
      </c>
      <c r="I538">
        <v>4.0627613581691611E-2</v>
      </c>
      <c r="J538">
        <v>3.1268959148184283E-2</v>
      </c>
    </row>
    <row r="539" spans="1:10" x14ac:dyDescent="0.2">
      <c r="A539" s="53">
        <v>38108</v>
      </c>
      <c r="B539">
        <v>94.7</v>
      </c>
      <c r="C539">
        <v>1120.680053710938</v>
      </c>
      <c r="D539">
        <v>90.2</v>
      </c>
      <c r="E539">
        <v>103.6</v>
      </c>
      <c r="F539">
        <v>81.599999999999994</v>
      </c>
    </row>
    <row r="540" spans="1:10" x14ac:dyDescent="0.2">
      <c r="A540" s="53">
        <v>38139</v>
      </c>
      <c r="B540">
        <v>95.1</v>
      </c>
      <c r="C540">
        <v>1140.839965820312</v>
      </c>
      <c r="D540">
        <v>95.6</v>
      </c>
      <c r="E540">
        <v>106.7</v>
      </c>
      <c r="F540">
        <v>88.5</v>
      </c>
    </row>
    <row r="541" spans="1:10" x14ac:dyDescent="0.2">
      <c r="A541" s="53">
        <v>38169</v>
      </c>
      <c r="B541">
        <v>95.6</v>
      </c>
      <c r="C541">
        <v>1101.719970703125</v>
      </c>
      <c r="D541">
        <v>96.7</v>
      </c>
      <c r="E541">
        <v>105.2</v>
      </c>
      <c r="F541">
        <v>91.2</v>
      </c>
      <c r="G541">
        <v>14457.832</v>
      </c>
      <c r="H541">
        <v>9.3247037315138601E-3</v>
      </c>
      <c r="I541">
        <v>3.3730852592560277E-2</v>
      </c>
      <c r="J541">
        <v>3.7823766220133948E-2</v>
      </c>
    </row>
    <row r="542" spans="1:10" x14ac:dyDescent="0.2">
      <c r="A542" s="53">
        <v>38200</v>
      </c>
      <c r="B542">
        <v>96</v>
      </c>
      <c r="C542">
        <v>1104.239990234375</v>
      </c>
      <c r="D542">
        <v>95.9</v>
      </c>
      <c r="E542">
        <v>107.9</v>
      </c>
      <c r="F542">
        <v>88.2</v>
      </c>
    </row>
    <row r="543" spans="1:10" x14ac:dyDescent="0.2">
      <c r="A543" s="53">
        <v>38231</v>
      </c>
      <c r="B543">
        <v>96.7</v>
      </c>
      <c r="C543">
        <v>1114.579956054688</v>
      </c>
      <c r="D543">
        <v>94.2</v>
      </c>
      <c r="E543">
        <v>103.7</v>
      </c>
      <c r="F543">
        <v>88</v>
      </c>
    </row>
    <row r="544" spans="1:10" x14ac:dyDescent="0.2">
      <c r="A544" s="53">
        <v>38261</v>
      </c>
      <c r="B544">
        <v>97</v>
      </c>
      <c r="C544">
        <v>1130.199951171875</v>
      </c>
      <c r="D544">
        <v>91.7</v>
      </c>
      <c r="E544">
        <v>104</v>
      </c>
      <c r="F544">
        <v>83.8</v>
      </c>
      <c r="G544">
        <v>14605.594999999999</v>
      </c>
      <c r="H544">
        <v>1.0116876443582E-2</v>
      </c>
      <c r="I544">
        <v>3.2468105544484739E-2</v>
      </c>
      <c r="J544">
        <v>4.1085765281272828E-2</v>
      </c>
    </row>
    <row r="545" spans="1:10" x14ac:dyDescent="0.2">
      <c r="A545" s="53">
        <v>38292</v>
      </c>
      <c r="B545">
        <v>97.7</v>
      </c>
      <c r="C545">
        <v>1173.819946289062</v>
      </c>
      <c r="D545">
        <v>92.8</v>
      </c>
      <c r="E545">
        <v>104.7</v>
      </c>
      <c r="F545">
        <v>85.2</v>
      </c>
    </row>
    <row r="546" spans="1:10" x14ac:dyDescent="0.2">
      <c r="A546" s="53">
        <v>38322</v>
      </c>
      <c r="B546">
        <v>98.6</v>
      </c>
      <c r="C546">
        <v>1211.920043945312</v>
      </c>
      <c r="D546">
        <v>97.1</v>
      </c>
      <c r="E546">
        <v>106.7</v>
      </c>
      <c r="F546">
        <v>90.9</v>
      </c>
    </row>
    <row r="547" spans="1:10" x14ac:dyDescent="0.2">
      <c r="A547" s="53">
        <v>38353</v>
      </c>
      <c r="B547">
        <v>99.1</v>
      </c>
      <c r="C547">
        <v>1181.27001953125</v>
      </c>
      <c r="D547">
        <v>95.5</v>
      </c>
      <c r="E547">
        <v>110.9</v>
      </c>
      <c r="F547">
        <v>85.7</v>
      </c>
      <c r="G547">
        <v>14767.846</v>
      </c>
      <c r="H547">
        <v>1.098677491626065E-2</v>
      </c>
      <c r="I547">
        <v>3.76159123002772E-2</v>
      </c>
      <c r="J547">
        <v>4.4676674394378953E-2</v>
      </c>
    </row>
    <row r="548" spans="1:10" x14ac:dyDescent="0.2">
      <c r="A548" s="53">
        <v>38384</v>
      </c>
      <c r="B548">
        <v>99.6</v>
      </c>
      <c r="C548">
        <v>1203.599975585938</v>
      </c>
      <c r="D548">
        <v>94.1</v>
      </c>
      <c r="E548">
        <v>109.2</v>
      </c>
      <c r="F548">
        <v>84.4</v>
      </c>
    </row>
    <row r="549" spans="1:10" x14ac:dyDescent="0.2">
      <c r="A549" s="53">
        <v>38412</v>
      </c>
      <c r="B549">
        <v>99.2</v>
      </c>
      <c r="C549">
        <v>1180.589965820312</v>
      </c>
      <c r="D549">
        <v>92.6</v>
      </c>
      <c r="E549">
        <v>108</v>
      </c>
      <c r="F549">
        <v>82.8</v>
      </c>
    </row>
    <row r="550" spans="1:10" x14ac:dyDescent="0.2">
      <c r="A550" s="53">
        <v>38443</v>
      </c>
      <c r="B550">
        <v>99.7</v>
      </c>
      <c r="C550">
        <v>1156.849975585938</v>
      </c>
      <c r="D550">
        <v>87.7</v>
      </c>
      <c r="E550">
        <v>104.4</v>
      </c>
      <c r="F550">
        <v>77</v>
      </c>
      <c r="G550">
        <v>14839.707</v>
      </c>
      <c r="H550">
        <v>4.8424810543766664E-3</v>
      </c>
      <c r="I550">
        <v>3.4818072890522737E-2</v>
      </c>
      <c r="J550">
        <v>1.9511076721378862E-2</v>
      </c>
    </row>
    <row r="551" spans="1:10" x14ac:dyDescent="0.2">
      <c r="A551" s="53">
        <v>38473</v>
      </c>
      <c r="B551">
        <v>99.6</v>
      </c>
      <c r="C551">
        <v>1191.5</v>
      </c>
      <c r="D551">
        <v>86.9</v>
      </c>
      <c r="E551">
        <v>104.9</v>
      </c>
      <c r="F551">
        <v>75.3</v>
      </c>
    </row>
    <row r="552" spans="1:10" x14ac:dyDescent="0.2">
      <c r="A552" s="53">
        <v>38504</v>
      </c>
      <c r="B552">
        <v>100.3</v>
      </c>
      <c r="C552">
        <v>1191.329956054688</v>
      </c>
      <c r="D552">
        <v>96</v>
      </c>
      <c r="E552">
        <v>113.2</v>
      </c>
      <c r="F552">
        <v>85</v>
      </c>
    </row>
    <row r="553" spans="1:10" x14ac:dyDescent="0.2">
      <c r="A553" s="53">
        <v>38534</v>
      </c>
      <c r="B553">
        <v>100.4</v>
      </c>
      <c r="C553">
        <v>1234.180053710938</v>
      </c>
      <c r="D553">
        <v>96.5</v>
      </c>
      <c r="E553">
        <v>113.5</v>
      </c>
      <c r="F553">
        <v>85.5</v>
      </c>
      <c r="G553">
        <v>14956.290999999999</v>
      </c>
      <c r="H553">
        <v>7.7949807208216879E-3</v>
      </c>
      <c r="I553">
        <v>3.3327714738901441E-2</v>
      </c>
      <c r="J553">
        <v>3.1546391467784263E-2</v>
      </c>
    </row>
    <row r="554" spans="1:10" x14ac:dyDescent="0.2">
      <c r="A554" s="53">
        <v>38565</v>
      </c>
      <c r="B554">
        <v>101</v>
      </c>
      <c r="C554">
        <v>1220.329956054688</v>
      </c>
      <c r="D554">
        <v>89.1</v>
      </c>
      <c r="E554">
        <v>108.2</v>
      </c>
      <c r="F554">
        <v>76.900000000000006</v>
      </c>
    </row>
    <row r="555" spans="1:10" x14ac:dyDescent="0.2">
      <c r="A555" s="53">
        <v>38596</v>
      </c>
      <c r="B555">
        <v>100.3</v>
      </c>
      <c r="C555">
        <v>1228.81005859375</v>
      </c>
      <c r="D555">
        <v>76.900000000000006</v>
      </c>
      <c r="E555">
        <v>98.1</v>
      </c>
      <c r="F555">
        <v>63.3</v>
      </c>
    </row>
    <row r="556" spans="1:10" x14ac:dyDescent="0.2">
      <c r="A556" s="53">
        <v>38626</v>
      </c>
      <c r="B556">
        <v>100.7</v>
      </c>
      <c r="C556">
        <v>1207.010009765625</v>
      </c>
      <c r="D556">
        <v>74.2</v>
      </c>
      <c r="E556">
        <v>91.2</v>
      </c>
      <c r="F556">
        <v>63.2</v>
      </c>
      <c r="G556">
        <v>15041.232</v>
      </c>
      <c r="H556">
        <v>5.6472102817110136E-3</v>
      </c>
      <c r="I556">
        <v>2.896285357476041E-2</v>
      </c>
      <c r="J556">
        <v>2.2780908428044588E-2</v>
      </c>
    </row>
    <row r="557" spans="1:10" x14ac:dyDescent="0.2">
      <c r="A557" s="53">
        <v>38657</v>
      </c>
      <c r="B557">
        <v>101.3</v>
      </c>
      <c r="C557">
        <v>1249.47998046875</v>
      </c>
      <c r="D557">
        <v>81.599999999999994</v>
      </c>
      <c r="E557">
        <v>100.2</v>
      </c>
      <c r="F557">
        <v>69.599999999999994</v>
      </c>
    </row>
    <row r="558" spans="1:10" x14ac:dyDescent="0.2">
      <c r="A558" s="53">
        <v>38687</v>
      </c>
      <c r="B558">
        <v>101.3</v>
      </c>
      <c r="C558">
        <v>1248.2900390625</v>
      </c>
      <c r="D558">
        <v>91.5</v>
      </c>
      <c r="E558">
        <v>109.1</v>
      </c>
      <c r="F558">
        <v>80.2</v>
      </c>
    </row>
    <row r="559" spans="1:10" x14ac:dyDescent="0.2">
      <c r="A559" s="53">
        <v>38718</v>
      </c>
      <c r="B559">
        <v>102.1</v>
      </c>
      <c r="C559">
        <v>1280.079956054688</v>
      </c>
      <c r="D559">
        <v>91.2</v>
      </c>
      <c r="E559">
        <v>110.3</v>
      </c>
      <c r="F559">
        <v>78.900000000000006</v>
      </c>
      <c r="G559">
        <v>15244.088</v>
      </c>
      <c r="H559">
        <v>1.33071916142179E-2</v>
      </c>
      <c r="I559">
        <v>3.1241094908399911E-2</v>
      </c>
      <c r="J559">
        <v>5.4300711728372697E-2</v>
      </c>
    </row>
    <row r="560" spans="1:10" x14ac:dyDescent="0.2">
      <c r="A560" s="53">
        <v>38749</v>
      </c>
      <c r="B560">
        <v>102.1</v>
      </c>
      <c r="C560">
        <v>1280.660034179688</v>
      </c>
      <c r="D560">
        <v>86.7</v>
      </c>
      <c r="E560">
        <v>105.6</v>
      </c>
      <c r="F560">
        <v>74.5</v>
      </c>
    </row>
    <row r="561" spans="1:10" x14ac:dyDescent="0.2">
      <c r="A561" s="53">
        <v>38777</v>
      </c>
      <c r="B561">
        <v>102.4</v>
      </c>
      <c r="C561">
        <v>1294.869995117188</v>
      </c>
      <c r="D561">
        <v>88.9</v>
      </c>
      <c r="E561">
        <v>109.1</v>
      </c>
      <c r="F561">
        <v>76</v>
      </c>
    </row>
    <row r="562" spans="1:10" x14ac:dyDescent="0.2">
      <c r="A562" s="53">
        <v>38808</v>
      </c>
      <c r="B562">
        <v>101.8</v>
      </c>
      <c r="C562">
        <v>1310.609985351562</v>
      </c>
      <c r="D562">
        <v>87.4</v>
      </c>
      <c r="E562">
        <v>109.2</v>
      </c>
      <c r="F562">
        <v>73.400000000000006</v>
      </c>
      <c r="G562">
        <v>15281.525</v>
      </c>
      <c r="H562">
        <v>2.4498209439175671E-3</v>
      </c>
      <c r="I562">
        <v>2.8911905061831149E-2</v>
      </c>
      <c r="J562">
        <v>9.8353523592371594E-3</v>
      </c>
    </row>
    <row r="563" spans="1:10" x14ac:dyDescent="0.2">
      <c r="A563" s="53">
        <v>38838</v>
      </c>
      <c r="B563">
        <v>101.2</v>
      </c>
      <c r="C563">
        <v>1270.089965820312</v>
      </c>
      <c r="D563">
        <v>79.099999999999994</v>
      </c>
      <c r="E563">
        <v>96.1</v>
      </c>
      <c r="F563">
        <v>68.2</v>
      </c>
    </row>
    <row r="564" spans="1:10" x14ac:dyDescent="0.2">
      <c r="A564" s="53">
        <v>38869</v>
      </c>
      <c r="B564">
        <v>101.1</v>
      </c>
      <c r="C564">
        <v>1270.199951171875</v>
      </c>
      <c r="D564">
        <v>84.9</v>
      </c>
      <c r="E564">
        <v>105</v>
      </c>
      <c r="F564">
        <v>72</v>
      </c>
    </row>
    <row r="565" spans="1:10" x14ac:dyDescent="0.2">
      <c r="A565" s="53">
        <v>38899</v>
      </c>
      <c r="B565">
        <v>100.6</v>
      </c>
      <c r="C565">
        <v>1276.660034179688</v>
      </c>
      <c r="D565">
        <v>84.7</v>
      </c>
      <c r="E565">
        <v>103.5</v>
      </c>
      <c r="F565">
        <v>72.5</v>
      </c>
      <c r="G565">
        <v>15304.517</v>
      </c>
      <c r="H565">
        <v>1.5023015754107229E-3</v>
      </c>
      <c r="I565">
        <v>2.2753151896267001E-2</v>
      </c>
      <c r="J565">
        <v>6.0227613291155002E-3</v>
      </c>
    </row>
    <row r="566" spans="1:10" x14ac:dyDescent="0.2">
      <c r="A566" s="53">
        <v>38930</v>
      </c>
      <c r="B566">
        <v>100.4</v>
      </c>
      <c r="C566">
        <v>1303.819946289062</v>
      </c>
      <c r="D566">
        <v>82</v>
      </c>
      <c r="E566">
        <v>103.8</v>
      </c>
      <c r="F566">
        <v>68</v>
      </c>
    </row>
    <row r="567" spans="1:10" x14ac:dyDescent="0.2">
      <c r="A567" s="53">
        <v>38961</v>
      </c>
      <c r="B567">
        <v>100.4</v>
      </c>
      <c r="C567">
        <v>1335.849975585938</v>
      </c>
      <c r="D567">
        <v>85.4</v>
      </c>
      <c r="E567">
        <v>96.6</v>
      </c>
      <c r="F567">
        <v>78.2</v>
      </c>
    </row>
    <row r="568" spans="1:10" x14ac:dyDescent="0.2">
      <c r="A568" s="53">
        <v>38991</v>
      </c>
      <c r="B568">
        <v>100.2</v>
      </c>
      <c r="C568">
        <v>1377.93994140625</v>
      </c>
      <c r="D568">
        <v>93.6</v>
      </c>
      <c r="E568">
        <v>107.3</v>
      </c>
      <c r="F568">
        <v>84.8</v>
      </c>
      <c r="G568">
        <v>15433.643</v>
      </c>
      <c r="H568">
        <v>8.3665275917034106E-3</v>
      </c>
      <c r="I568">
        <v>2.542568854288E-2</v>
      </c>
      <c r="J568">
        <v>3.3888450557328247E-2</v>
      </c>
    </row>
    <row r="569" spans="1:10" x14ac:dyDescent="0.2">
      <c r="A569" s="53">
        <v>39022</v>
      </c>
      <c r="B569">
        <v>100</v>
      </c>
      <c r="C569">
        <v>1400.630004882812</v>
      </c>
      <c r="D569">
        <v>92.1</v>
      </c>
      <c r="E569">
        <v>106</v>
      </c>
      <c r="F569">
        <v>83.2</v>
      </c>
    </row>
    <row r="570" spans="1:10" x14ac:dyDescent="0.2">
      <c r="A570" s="53">
        <v>39052</v>
      </c>
      <c r="B570">
        <v>100.4</v>
      </c>
      <c r="C570">
        <v>1418.300048828125</v>
      </c>
      <c r="D570">
        <v>91.7</v>
      </c>
      <c r="E570">
        <v>108.1</v>
      </c>
      <c r="F570">
        <v>81.2</v>
      </c>
    </row>
    <row r="571" spans="1:10" x14ac:dyDescent="0.2">
      <c r="A571" s="53">
        <v>39083</v>
      </c>
      <c r="B571">
        <v>100</v>
      </c>
      <c r="C571">
        <v>1438.239990234375</v>
      </c>
      <c r="D571">
        <v>96.9</v>
      </c>
      <c r="E571">
        <v>111.3</v>
      </c>
      <c r="F571">
        <v>87.6</v>
      </c>
      <c r="G571">
        <v>15478.956</v>
      </c>
      <c r="H571">
        <v>2.9273938113138962E-3</v>
      </c>
      <c r="I571">
        <v>1.5173374741810779E-2</v>
      </c>
      <c r="J571">
        <v>1.1761093472633769E-2</v>
      </c>
    </row>
    <row r="572" spans="1:10" x14ac:dyDescent="0.2">
      <c r="A572" s="53">
        <v>39114</v>
      </c>
      <c r="B572">
        <v>99.9</v>
      </c>
      <c r="C572">
        <v>1406.819946289062</v>
      </c>
      <c r="D572">
        <v>91.3</v>
      </c>
      <c r="E572">
        <v>106.7</v>
      </c>
      <c r="F572">
        <v>81.5</v>
      </c>
    </row>
    <row r="573" spans="1:10" x14ac:dyDescent="0.2">
      <c r="A573" s="53">
        <v>39142</v>
      </c>
      <c r="B573">
        <v>100.2</v>
      </c>
      <c r="C573">
        <v>1420.859985351562</v>
      </c>
      <c r="D573">
        <v>88.4</v>
      </c>
      <c r="E573">
        <v>103.5</v>
      </c>
      <c r="F573">
        <v>78.7</v>
      </c>
    </row>
    <row r="574" spans="1:10" x14ac:dyDescent="0.2">
      <c r="A574" s="53">
        <v>39173</v>
      </c>
      <c r="B574">
        <v>99.8</v>
      </c>
      <c r="C574">
        <v>1482.369995117188</v>
      </c>
      <c r="D574">
        <v>87.1</v>
      </c>
      <c r="E574">
        <v>104.6</v>
      </c>
      <c r="F574">
        <v>75.900000000000006</v>
      </c>
      <c r="G574">
        <v>15577.779</v>
      </c>
      <c r="H574">
        <v>6.3438440101121164E-3</v>
      </c>
      <c r="I574">
        <v>1.9017730319578981E-2</v>
      </c>
      <c r="J574">
        <v>2.5617865016692051E-2</v>
      </c>
    </row>
    <row r="575" spans="1:10" x14ac:dyDescent="0.2">
      <c r="A575" s="53">
        <v>39203</v>
      </c>
      <c r="B575">
        <v>99.9</v>
      </c>
      <c r="C575">
        <v>1530.619995117188</v>
      </c>
      <c r="D575">
        <v>88.3</v>
      </c>
      <c r="E575">
        <v>105.1</v>
      </c>
      <c r="F575">
        <v>77.599999999999994</v>
      </c>
    </row>
    <row r="576" spans="1:10" x14ac:dyDescent="0.2">
      <c r="A576" s="53">
        <v>39234</v>
      </c>
      <c r="B576">
        <v>99.7</v>
      </c>
      <c r="C576">
        <v>1503.349975585938</v>
      </c>
      <c r="D576">
        <v>85.3</v>
      </c>
      <c r="E576">
        <v>101.9</v>
      </c>
      <c r="F576">
        <v>74.7</v>
      </c>
    </row>
    <row r="577" spans="1:10" x14ac:dyDescent="0.2">
      <c r="A577" s="53">
        <v>39264</v>
      </c>
      <c r="B577">
        <v>99.6</v>
      </c>
      <c r="C577">
        <v>1455.27001953125</v>
      </c>
      <c r="D577">
        <v>90.4</v>
      </c>
      <c r="E577">
        <v>104.5</v>
      </c>
      <c r="F577">
        <v>81.5</v>
      </c>
      <c r="G577">
        <v>15671.605</v>
      </c>
      <c r="H577">
        <v>5.9870064361626724E-3</v>
      </c>
      <c r="I577">
        <v>2.342376546626844E-2</v>
      </c>
      <c r="J577">
        <v>2.4163950904788178E-2</v>
      </c>
    </row>
    <row r="578" spans="1:10" x14ac:dyDescent="0.2">
      <c r="A578" s="53">
        <v>39295</v>
      </c>
      <c r="B578">
        <v>99</v>
      </c>
      <c r="C578">
        <v>1473.989990234375</v>
      </c>
      <c r="D578">
        <v>83.4</v>
      </c>
      <c r="E578">
        <v>98.4</v>
      </c>
      <c r="F578">
        <v>73.7</v>
      </c>
    </row>
    <row r="579" spans="1:10" x14ac:dyDescent="0.2">
      <c r="A579" s="53">
        <v>39326</v>
      </c>
      <c r="B579">
        <v>98.3</v>
      </c>
      <c r="C579">
        <v>1526.75</v>
      </c>
      <c r="D579">
        <v>83.4</v>
      </c>
      <c r="E579">
        <v>97.9</v>
      </c>
      <c r="F579">
        <v>74.099999999999994</v>
      </c>
    </row>
    <row r="580" spans="1:10"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row>
    <row r="581" spans="1:10" x14ac:dyDescent="0.2">
      <c r="A581" s="53">
        <v>39387</v>
      </c>
      <c r="B581">
        <v>96.8</v>
      </c>
      <c r="C581">
        <v>1481.140014648438</v>
      </c>
      <c r="D581">
        <v>76.099999999999994</v>
      </c>
      <c r="E581">
        <v>91.5</v>
      </c>
      <c r="F581">
        <v>66.2</v>
      </c>
    </row>
    <row r="582" spans="1:10" x14ac:dyDescent="0.2">
      <c r="A582" s="53">
        <v>39417</v>
      </c>
      <c r="B582">
        <v>95.8</v>
      </c>
      <c r="C582">
        <v>1468.359985351562</v>
      </c>
      <c r="D582">
        <v>75.5</v>
      </c>
      <c r="E582">
        <v>91</v>
      </c>
      <c r="F582">
        <v>65.599999999999994</v>
      </c>
    </row>
    <row r="583" spans="1:10"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row>
    <row r="584" spans="1:10" x14ac:dyDescent="0.2">
      <c r="A584" s="53">
        <v>39479</v>
      </c>
      <c r="B584">
        <v>93.6</v>
      </c>
      <c r="C584">
        <v>1330.630004882812</v>
      </c>
      <c r="D584">
        <v>70.8</v>
      </c>
      <c r="E584">
        <v>83.8</v>
      </c>
      <c r="F584">
        <v>62.4</v>
      </c>
    </row>
    <row r="585" spans="1:10" x14ac:dyDescent="0.2">
      <c r="A585" s="53">
        <v>39508</v>
      </c>
      <c r="B585">
        <v>92.1</v>
      </c>
      <c r="C585">
        <v>1322.699951171875</v>
      </c>
      <c r="D585">
        <v>69.5</v>
      </c>
      <c r="E585">
        <v>84.2</v>
      </c>
      <c r="F585">
        <v>60.1</v>
      </c>
    </row>
    <row r="586" spans="1:10" x14ac:dyDescent="0.2">
      <c r="A586" s="53">
        <v>39539</v>
      </c>
      <c r="B586">
        <v>91.6</v>
      </c>
      <c r="C586">
        <v>1385.589965820312</v>
      </c>
      <c r="D586">
        <v>62.6</v>
      </c>
      <c r="E586">
        <v>77</v>
      </c>
      <c r="F586">
        <v>53.3</v>
      </c>
      <c r="G586">
        <v>15792.772999999999</v>
      </c>
      <c r="H586">
        <v>5.6903876222369797E-3</v>
      </c>
      <c r="I586">
        <v>1.361344204719455E-2</v>
      </c>
      <c r="J586">
        <v>2.2956571635835751E-2</v>
      </c>
    </row>
    <row r="587" spans="1:10" x14ac:dyDescent="0.2">
      <c r="A587" s="53">
        <v>39569</v>
      </c>
      <c r="B587">
        <v>90.8</v>
      </c>
      <c r="C587">
        <v>1400.380004882812</v>
      </c>
      <c r="D587">
        <v>59.8</v>
      </c>
      <c r="E587">
        <v>73.3</v>
      </c>
      <c r="F587">
        <v>51.1</v>
      </c>
    </row>
    <row r="588" spans="1:10" x14ac:dyDescent="0.2">
      <c r="A588" s="53">
        <v>39600</v>
      </c>
      <c r="B588">
        <v>90.3</v>
      </c>
      <c r="C588">
        <v>1280</v>
      </c>
      <c r="D588">
        <v>56.4</v>
      </c>
      <c r="E588">
        <v>67.599999999999994</v>
      </c>
      <c r="F588">
        <v>49.2</v>
      </c>
    </row>
    <row r="589" spans="1:10" x14ac:dyDescent="0.2">
      <c r="A589" s="53">
        <v>39630</v>
      </c>
      <c r="B589">
        <v>88.3</v>
      </c>
      <c r="C589">
        <v>1267.380004882812</v>
      </c>
      <c r="D589">
        <v>61.2</v>
      </c>
      <c r="E589">
        <v>73.099999999999994</v>
      </c>
      <c r="F589">
        <v>53.5</v>
      </c>
      <c r="G589">
        <v>15709.562</v>
      </c>
      <c r="H589">
        <v>-5.2968376839532087E-3</v>
      </c>
      <c r="I589">
        <v>2.4161717557752622E-3</v>
      </c>
      <c r="J589">
        <v>-2.1019605454627551E-2</v>
      </c>
    </row>
    <row r="590" spans="1:10" x14ac:dyDescent="0.2">
      <c r="A590" s="53">
        <v>39661</v>
      </c>
      <c r="B590">
        <v>87.2</v>
      </c>
      <c r="C590">
        <v>1282.829956054688</v>
      </c>
      <c r="D590">
        <v>63</v>
      </c>
      <c r="E590">
        <v>71</v>
      </c>
      <c r="F590">
        <v>57.9</v>
      </c>
    </row>
    <row r="591" spans="1:10" x14ac:dyDescent="0.2">
      <c r="A591" s="53">
        <v>39692</v>
      </c>
      <c r="B591">
        <v>85.2</v>
      </c>
      <c r="C591">
        <v>1166.359985351562</v>
      </c>
      <c r="D591">
        <v>70.3</v>
      </c>
      <c r="E591">
        <v>75</v>
      </c>
      <c r="F591">
        <v>67.2</v>
      </c>
    </row>
    <row r="592" spans="1:10" x14ac:dyDescent="0.2">
      <c r="A592" s="53">
        <v>39722</v>
      </c>
      <c r="B592">
        <v>82.4</v>
      </c>
      <c r="C592">
        <v>968.75</v>
      </c>
      <c r="D592">
        <v>57.6</v>
      </c>
      <c r="E592">
        <v>58.4</v>
      </c>
      <c r="F592">
        <v>57</v>
      </c>
      <c r="G592">
        <v>15366.607</v>
      </c>
      <c r="H592">
        <v>-2.2318199456783139E-2</v>
      </c>
      <c r="I592">
        <v>-2.6065545894419031E-2</v>
      </c>
      <c r="J592">
        <v>-8.63284045210998E-2</v>
      </c>
    </row>
    <row r="593" spans="1:10" x14ac:dyDescent="0.2">
      <c r="A593" s="53">
        <v>39753</v>
      </c>
      <c r="B593">
        <v>79.900000000000006</v>
      </c>
      <c r="C593">
        <v>896.239990234375</v>
      </c>
      <c r="D593">
        <v>55.3</v>
      </c>
      <c r="E593">
        <v>57.5</v>
      </c>
      <c r="F593">
        <v>53.9</v>
      </c>
    </row>
    <row r="594" spans="1:10" x14ac:dyDescent="0.2">
      <c r="A594" s="53">
        <v>39783</v>
      </c>
      <c r="B594">
        <v>77.599999999999994</v>
      </c>
      <c r="C594">
        <v>903.25</v>
      </c>
      <c r="D594">
        <v>60.1</v>
      </c>
      <c r="E594">
        <v>69.5</v>
      </c>
      <c r="F594">
        <v>54</v>
      </c>
    </row>
    <row r="595" spans="1:10" x14ac:dyDescent="0.2">
      <c r="A595" s="53">
        <v>39814</v>
      </c>
      <c r="B595">
        <v>76</v>
      </c>
      <c r="C595">
        <v>825.8800048828125</v>
      </c>
      <c r="D595">
        <v>61.2</v>
      </c>
      <c r="E595">
        <v>66.5</v>
      </c>
      <c r="F595">
        <v>57.8</v>
      </c>
      <c r="G595">
        <v>15187.475</v>
      </c>
      <c r="H595">
        <v>-1.179471900365265E-2</v>
      </c>
      <c r="I595">
        <v>-3.3937899486254329E-2</v>
      </c>
      <c r="J595">
        <v>-4.6350727591303882E-2</v>
      </c>
    </row>
    <row r="596" spans="1:10" x14ac:dyDescent="0.2">
      <c r="A596" s="53">
        <v>39845</v>
      </c>
      <c r="B596">
        <v>74.8</v>
      </c>
      <c r="C596">
        <v>735.09002685546875</v>
      </c>
      <c r="D596">
        <v>56.3</v>
      </c>
      <c r="E596">
        <v>65.5</v>
      </c>
      <c r="F596">
        <v>50.5</v>
      </c>
    </row>
    <row r="597" spans="1:10" x14ac:dyDescent="0.2">
      <c r="A597" s="53">
        <v>39873</v>
      </c>
      <c r="B597">
        <v>73.5</v>
      </c>
      <c r="C597">
        <v>797.8699951171875</v>
      </c>
      <c r="D597">
        <v>57.3</v>
      </c>
      <c r="E597">
        <v>63.3</v>
      </c>
      <c r="F597">
        <v>53.5</v>
      </c>
    </row>
    <row r="598" spans="1:10" x14ac:dyDescent="0.2">
      <c r="A598" s="53">
        <v>39904</v>
      </c>
      <c r="B598">
        <v>73.7</v>
      </c>
      <c r="C598">
        <v>872.80999755859375</v>
      </c>
      <c r="D598">
        <v>65.099999999999994</v>
      </c>
      <c r="E598">
        <v>68.3</v>
      </c>
      <c r="F598">
        <v>63.1</v>
      </c>
      <c r="G598">
        <v>15161.772000000001</v>
      </c>
      <c r="H598">
        <v>-1.6952503968533171E-3</v>
      </c>
      <c r="I598">
        <v>-4.1617892684311458E-2</v>
      </c>
      <c r="J598">
        <v>-6.7637778234496126E-3</v>
      </c>
    </row>
    <row r="599" spans="1:10" x14ac:dyDescent="0.2">
      <c r="A599" s="53">
        <v>39934</v>
      </c>
      <c r="B599">
        <v>74</v>
      </c>
      <c r="C599">
        <v>919.1400146484375</v>
      </c>
      <c r="D599">
        <v>68.7</v>
      </c>
      <c r="E599">
        <v>67.7</v>
      </c>
      <c r="F599">
        <v>69.400000000000006</v>
      </c>
    </row>
    <row r="600" spans="1:10" x14ac:dyDescent="0.2">
      <c r="A600" s="53">
        <v>39965</v>
      </c>
      <c r="B600">
        <v>74.599999999999994</v>
      </c>
      <c r="C600">
        <v>919.32000732421875</v>
      </c>
      <c r="D600">
        <v>70.8</v>
      </c>
      <c r="E600">
        <v>73.2</v>
      </c>
      <c r="F600">
        <v>69.2</v>
      </c>
    </row>
    <row r="601" spans="1:10" x14ac:dyDescent="0.2">
      <c r="A601" s="53">
        <v>39995</v>
      </c>
      <c r="B601">
        <v>75.2</v>
      </c>
      <c r="C601">
        <v>987.47998046875</v>
      </c>
      <c r="D601">
        <v>66</v>
      </c>
      <c r="E601">
        <v>70.5</v>
      </c>
      <c r="F601">
        <v>63.2</v>
      </c>
      <c r="G601">
        <v>15216.647000000001</v>
      </c>
      <c r="H601">
        <v>3.6062478153038569E-3</v>
      </c>
      <c r="I601">
        <v>-3.2393141537685598E-2</v>
      </c>
      <c r="J601">
        <v>1.4503209167525901E-2</v>
      </c>
    </row>
    <row r="602" spans="1:10" x14ac:dyDescent="0.2">
      <c r="A602" s="53">
        <v>40026</v>
      </c>
      <c r="B602">
        <v>76</v>
      </c>
      <c r="C602">
        <v>1020.619995117188</v>
      </c>
      <c r="D602">
        <v>65.7</v>
      </c>
      <c r="E602">
        <v>66.599999999999994</v>
      </c>
      <c r="F602">
        <v>65</v>
      </c>
    </row>
    <row r="603" spans="1:10" x14ac:dyDescent="0.2">
      <c r="A603" s="53">
        <v>40057</v>
      </c>
      <c r="B603">
        <v>76.599999999999994</v>
      </c>
      <c r="C603">
        <v>1057.079956054688</v>
      </c>
      <c r="D603">
        <v>73.5</v>
      </c>
      <c r="E603">
        <v>73.400000000000006</v>
      </c>
      <c r="F603">
        <v>73.5</v>
      </c>
    </row>
    <row r="604" spans="1:10"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row>
    <row r="605" spans="1:10" x14ac:dyDescent="0.2">
      <c r="A605" s="53">
        <v>40118</v>
      </c>
      <c r="B605">
        <v>77.8</v>
      </c>
      <c r="C605">
        <v>1095.630004882812</v>
      </c>
      <c r="D605">
        <v>67.400000000000006</v>
      </c>
      <c r="E605">
        <v>68.8</v>
      </c>
      <c r="F605">
        <v>66.5</v>
      </c>
    </row>
    <row r="606" spans="1:10" x14ac:dyDescent="0.2">
      <c r="A606" s="53">
        <v>40148</v>
      </c>
      <c r="B606">
        <v>78.599999999999994</v>
      </c>
      <c r="C606">
        <v>1115.099975585938</v>
      </c>
      <c r="D606">
        <v>72.5</v>
      </c>
      <c r="E606">
        <v>78</v>
      </c>
      <c r="F606">
        <v>68.900000000000006</v>
      </c>
    </row>
    <row r="607" spans="1:10"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row>
    <row r="608" spans="1:10" x14ac:dyDescent="0.2">
      <c r="A608" s="53">
        <v>40210</v>
      </c>
      <c r="B608">
        <v>79.099999999999994</v>
      </c>
      <c r="C608">
        <v>1104.489990234375</v>
      </c>
      <c r="D608">
        <v>73.599999999999994</v>
      </c>
      <c r="E608">
        <v>81.8</v>
      </c>
      <c r="F608">
        <v>68.400000000000006</v>
      </c>
    </row>
    <row r="609" spans="1:10" x14ac:dyDescent="0.2">
      <c r="A609" s="53">
        <v>40238</v>
      </c>
      <c r="B609">
        <v>80.5</v>
      </c>
      <c r="C609">
        <v>1169.430053710938</v>
      </c>
      <c r="D609">
        <v>73.599999999999994</v>
      </c>
      <c r="E609">
        <v>82.4</v>
      </c>
      <c r="F609">
        <v>67.900000000000006</v>
      </c>
    </row>
    <row r="610" spans="1:10" x14ac:dyDescent="0.2">
      <c r="A610" s="53">
        <v>40269</v>
      </c>
      <c r="B610">
        <v>80.900000000000006</v>
      </c>
      <c r="C610">
        <v>1186.68994140625</v>
      </c>
      <c r="D610">
        <v>72.2</v>
      </c>
      <c r="E610">
        <v>81</v>
      </c>
      <c r="F610">
        <v>66.5</v>
      </c>
      <c r="G610">
        <v>15605.628000000001</v>
      </c>
      <c r="H610">
        <v>9.5842986901905729E-3</v>
      </c>
      <c r="I610">
        <v>2.8442046677006508E-2</v>
      </c>
      <c r="J610">
        <v>3.8891877495087268E-2</v>
      </c>
    </row>
    <row r="611" spans="1:10" x14ac:dyDescent="0.2">
      <c r="A611" s="53">
        <v>40299</v>
      </c>
      <c r="B611">
        <v>81</v>
      </c>
      <c r="C611">
        <v>1089.410034179688</v>
      </c>
      <c r="D611">
        <v>73.599999999999994</v>
      </c>
      <c r="E611">
        <v>81</v>
      </c>
      <c r="F611">
        <v>68.8</v>
      </c>
    </row>
    <row r="612" spans="1:10" x14ac:dyDescent="0.2">
      <c r="A612" s="53">
        <v>40330</v>
      </c>
      <c r="B612">
        <v>81.099999999999994</v>
      </c>
      <c r="C612">
        <v>1030.7099609375</v>
      </c>
      <c r="D612">
        <v>76</v>
      </c>
      <c r="E612">
        <v>85.6</v>
      </c>
      <c r="F612">
        <v>69.8</v>
      </c>
    </row>
    <row r="613" spans="1:10" x14ac:dyDescent="0.2">
      <c r="A613" s="53">
        <v>40360</v>
      </c>
      <c r="B613">
        <v>81.2</v>
      </c>
      <c r="C613">
        <v>1101.599975585938</v>
      </c>
      <c r="D613">
        <v>67.8</v>
      </c>
      <c r="E613">
        <v>76.5</v>
      </c>
      <c r="F613">
        <v>62.3</v>
      </c>
      <c r="G613">
        <v>15726.281999999999</v>
      </c>
      <c r="H613">
        <v>7.6721249180193157E-3</v>
      </c>
      <c r="I613">
        <v>3.2406578999409942E-2</v>
      </c>
      <c r="J613">
        <v>3.1043478512446709E-2</v>
      </c>
    </row>
    <row r="614" spans="1:10" x14ac:dyDescent="0.2">
      <c r="A614" s="53">
        <v>40391</v>
      </c>
      <c r="B614">
        <v>81.5</v>
      </c>
      <c r="C614">
        <v>1049.329956054688</v>
      </c>
      <c r="D614">
        <v>68.900000000000006</v>
      </c>
      <c r="E614">
        <v>78.3</v>
      </c>
      <c r="F614">
        <v>62.9</v>
      </c>
    </row>
    <row r="615" spans="1:10" x14ac:dyDescent="0.2">
      <c r="A615" s="53">
        <v>40422</v>
      </c>
      <c r="B615">
        <v>82</v>
      </c>
      <c r="C615">
        <v>1141.199951171875</v>
      </c>
      <c r="D615">
        <v>68.2</v>
      </c>
      <c r="E615">
        <v>79.599999999999994</v>
      </c>
      <c r="F615">
        <v>60.9</v>
      </c>
    </row>
    <row r="616" spans="1:10" x14ac:dyDescent="0.2">
      <c r="A616" s="53">
        <v>40452</v>
      </c>
      <c r="B616">
        <v>82.1</v>
      </c>
      <c r="C616">
        <v>1183.260009765625</v>
      </c>
      <c r="D616">
        <v>67.7</v>
      </c>
      <c r="E616">
        <v>76.599999999999994</v>
      </c>
      <c r="F616">
        <v>61.9</v>
      </c>
      <c r="G616">
        <v>15807.995000000001</v>
      </c>
      <c r="H616">
        <v>5.1690932341515511E-3</v>
      </c>
      <c r="I616">
        <v>2.7128045017726799E-2</v>
      </c>
      <c r="J616">
        <v>2.0837243262579849E-2</v>
      </c>
    </row>
    <row r="617" spans="1:10" x14ac:dyDescent="0.2">
      <c r="A617" s="53">
        <v>40483</v>
      </c>
      <c r="B617">
        <v>82.8</v>
      </c>
      <c r="C617">
        <v>1180.550048828125</v>
      </c>
      <c r="D617">
        <v>71.599999999999994</v>
      </c>
      <c r="E617">
        <v>82.1</v>
      </c>
      <c r="F617">
        <v>64.8</v>
      </c>
    </row>
    <row r="618" spans="1:10" x14ac:dyDescent="0.2">
      <c r="A618" s="53">
        <v>40513</v>
      </c>
      <c r="B618">
        <v>83.7</v>
      </c>
      <c r="C618">
        <v>1257.640014648438</v>
      </c>
      <c r="D618">
        <v>74.5</v>
      </c>
      <c r="E618">
        <v>85.3</v>
      </c>
      <c r="F618">
        <v>67.5</v>
      </c>
    </row>
    <row r="619" spans="1:10" x14ac:dyDescent="0.2">
      <c r="A619" s="53">
        <v>40544</v>
      </c>
      <c r="B619">
        <v>83.8</v>
      </c>
      <c r="C619">
        <v>1286.119995117188</v>
      </c>
      <c r="D619">
        <v>74.2</v>
      </c>
      <c r="E619">
        <v>81.8</v>
      </c>
      <c r="F619">
        <v>69.3</v>
      </c>
      <c r="G619">
        <v>15769.911</v>
      </c>
      <c r="H619">
        <v>-2.4149787528921838E-3</v>
      </c>
      <c r="I619">
        <v>1.9901951253878399E-2</v>
      </c>
      <c r="J619">
        <v>-9.6249785811001187E-3</v>
      </c>
    </row>
    <row r="620" spans="1:10" x14ac:dyDescent="0.2">
      <c r="A620" s="53">
        <v>40575</v>
      </c>
      <c r="B620">
        <v>84.4</v>
      </c>
      <c r="C620">
        <v>1327.219970703125</v>
      </c>
      <c r="D620">
        <v>77.5</v>
      </c>
      <c r="E620">
        <v>86.9</v>
      </c>
      <c r="F620">
        <v>71.599999999999994</v>
      </c>
    </row>
    <row r="621" spans="1:10" x14ac:dyDescent="0.2">
      <c r="A621" s="53">
        <v>40603</v>
      </c>
      <c r="B621">
        <v>85.3</v>
      </c>
      <c r="C621">
        <v>1325.829956054688</v>
      </c>
      <c r="D621">
        <v>67.5</v>
      </c>
      <c r="E621">
        <v>82.5</v>
      </c>
      <c r="F621">
        <v>57.9</v>
      </c>
    </row>
    <row r="622" spans="1:10" x14ac:dyDescent="0.2">
      <c r="A622" s="53">
        <v>40634</v>
      </c>
      <c r="B622">
        <v>85.3</v>
      </c>
      <c r="C622">
        <v>1363.609985351562</v>
      </c>
      <c r="D622">
        <v>69.8</v>
      </c>
      <c r="E622">
        <v>82.5</v>
      </c>
      <c r="F622">
        <v>61.6</v>
      </c>
      <c r="G622">
        <v>15876.839</v>
      </c>
      <c r="H622">
        <v>6.7348418661926273E-3</v>
      </c>
      <c r="I622">
        <v>1.708217863769982E-2</v>
      </c>
      <c r="J622">
        <v>2.7212740010290389E-2</v>
      </c>
    </row>
    <row r="623" spans="1:10" x14ac:dyDescent="0.2">
      <c r="A623" s="53">
        <v>40664</v>
      </c>
      <c r="B623">
        <v>85.8</v>
      </c>
      <c r="C623">
        <v>1345.199951171875</v>
      </c>
      <c r="D623">
        <v>74.3</v>
      </c>
      <c r="E623">
        <v>81.900000000000006</v>
      </c>
      <c r="F623">
        <v>69.5</v>
      </c>
    </row>
    <row r="624" spans="1:10" x14ac:dyDescent="0.2">
      <c r="A624" s="53">
        <v>40695</v>
      </c>
      <c r="B624">
        <v>85.7</v>
      </c>
      <c r="C624">
        <v>1320.640014648438</v>
      </c>
      <c r="D624">
        <v>71.5</v>
      </c>
      <c r="E624">
        <v>82</v>
      </c>
      <c r="F624">
        <v>64.7</v>
      </c>
    </row>
    <row r="625" spans="1:10" x14ac:dyDescent="0.2">
      <c r="A625" s="53">
        <v>40725</v>
      </c>
      <c r="B625">
        <v>86.2</v>
      </c>
      <c r="C625">
        <v>1292.280029296875</v>
      </c>
      <c r="D625">
        <v>63.7</v>
      </c>
      <c r="E625">
        <v>75.7</v>
      </c>
      <c r="F625">
        <v>55.9</v>
      </c>
      <c r="G625">
        <v>15870.683999999999</v>
      </c>
      <c r="H625">
        <v>-3.8782197415061982E-4</v>
      </c>
      <c r="I625">
        <v>9.0986626663349893E-3</v>
      </c>
      <c r="J625">
        <v>-1.5503856946010859E-3</v>
      </c>
    </row>
    <row r="626" spans="1:10" x14ac:dyDescent="0.2">
      <c r="A626" s="53">
        <v>40756</v>
      </c>
      <c r="B626">
        <v>85.6</v>
      </c>
      <c r="C626">
        <v>1218.890014648438</v>
      </c>
      <c r="D626">
        <v>55.8</v>
      </c>
      <c r="E626">
        <v>68.5</v>
      </c>
      <c r="F626">
        <v>47.6</v>
      </c>
    </row>
    <row r="627" spans="1:10" x14ac:dyDescent="0.2">
      <c r="A627" s="53">
        <v>40787</v>
      </c>
      <c r="B627">
        <v>85.2</v>
      </c>
      <c r="C627">
        <v>1131.420043945312</v>
      </c>
      <c r="D627">
        <v>59.5</v>
      </c>
      <c r="E627">
        <v>75.2</v>
      </c>
      <c r="F627">
        <v>49.4</v>
      </c>
    </row>
    <row r="628" spans="1:10" x14ac:dyDescent="0.2">
      <c r="A628" s="53">
        <v>40817</v>
      </c>
      <c r="B628">
        <v>85.8</v>
      </c>
      <c r="C628">
        <v>1253.300048828125</v>
      </c>
      <c r="D628">
        <v>60.8</v>
      </c>
      <c r="E628">
        <v>74.900000000000006</v>
      </c>
      <c r="F628">
        <v>51.7</v>
      </c>
      <c r="G628">
        <v>16048.701999999999</v>
      </c>
      <c r="H628">
        <v>1.109236123893384E-2</v>
      </c>
      <c r="I628">
        <v>1.499853383781433E-2</v>
      </c>
      <c r="J628">
        <v>4.5113162199533763E-2</v>
      </c>
    </row>
    <row r="629" spans="1:10" x14ac:dyDescent="0.2">
      <c r="A629" s="53">
        <v>40848</v>
      </c>
      <c r="B629">
        <v>85.9</v>
      </c>
      <c r="C629">
        <v>1246.9599609375</v>
      </c>
      <c r="D629">
        <v>63.7</v>
      </c>
      <c r="E629">
        <v>77.400000000000006</v>
      </c>
      <c r="F629">
        <v>54.9</v>
      </c>
    </row>
    <row r="630" spans="1:10" x14ac:dyDescent="0.2">
      <c r="A630" s="53">
        <v>40878</v>
      </c>
      <c r="B630">
        <v>86.3</v>
      </c>
      <c r="C630">
        <v>1257.599975585938</v>
      </c>
      <c r="D630">
        <v>69.900000000000006</v>
      </c>
      <c r="E630">
        <v>79.599999999999994</v>
      </c>
      <c r="F630">
        <v>63.6</v>
      </c>
    </row>
    <row r="631" spans="1:10" x14ac:dyDescent="0.2">
      <c r="A631" s="53">
        <v>40909</v>
      </c>
      <c r="B631">
        <v>86.5</v>
      </c>
      <c r="C631">
        <v>1312.410034179688</v>
      </c>
      <c r="D631">
        <v>75</v>
      </c>
      <c r="E631">
        <v>84.2</v>
      </c>
      <c r="F631">
        <v>69.099999999999994</v>
      </c>
      <c r="G631">
        <v>16179.968000000001</v>
      </c>
      <c r="H631">
        <v>8.1128714222427033E-3</v>
      </c>
      <c r="I631">
        <v>2.5343498825214038E-2</v>
      </c>
      <c r="J631">
        <v>3.2848538031392982E-2</v>
      </c>
    </row>
    <row r="632" spans="1:10" x14ac:dyDescent="0.2">
      <c r="A632" s="53">
        <v>40940</v>
      </c>
      <c r="B632">
        <v>87</v>
      </c>
      <c r="C632">
        <v>1365.680053710938</v>
      </c>
      <c r="D632">
        <v>75.3</v>
      </c>
      <c r="E632">
        <v>83</v>
      </c>
      <c r="F632">
        <v>70.3</v>
      </c>
    </row>
    <row r="633" spans="1:10" x14ac:dyDescent="0.2">
      <c r="A633" s="53">
        <v>40969</v>
      </c>
      <c r="B633">
        <v>87.5</v>
      </c>
      <c r="C633">
        <v>1408.469970703125</v>
      </c>
      <c r="D633">
        <v>76.2</v>
      </c>
      <c r="E633">
        <v>86</v>
      </c>
      <c r="F633">
        <v>69.8</v>
      </c>
    </row>
    <row r="634" spans="1:10" x14ac:dyDescent="0.2">
      <c r="A634" s="53">
        <v>41000</v>
      </c>
      <c r="B634">
        <v>87.3</v>
      </c>
      <c r="C634">
        <v>1397.910034179688</v>
      </c>
      <c r="D634">
        <v>76.400000000000006</v>
      </c>
      <c r="E634">
        <v>82.9</v>
      </c>
      <c r="F634">
        <v>72.3</v>
      </c>
      <c r="G634">
        <v>16253.726000000001</v>
      </c>
      <c r="H634">
        <v>4.5379133375325637E-3</v>
      </c>
      <c r="I634">
        <v>2.318772938586516E-2</v>
      </c>
      <c r="J634">
        <v>1.8275583509721031E-2</v>
      </c>
    </row>
    <row r="635" spans="1:10" x14ac:dyDescent="0.2">
      <c r="A635" s="53">
        <v>41030</v>
      </c>
      <c r="B635">
        <v>87.4</v>
      </c>
      <c r="C635">
        <v>1310.329956054688</v>
      </c>
      <c r="D635">
        <v>79.3</v>
      </c>
      <c r="E635">
        <v>87.2</v>
      </c>
      <c r="F635">
        <v>74.3</v>
      </c>
    </row>
    <row r="636" spans="1:10" x14ac:dyDescent="0.2">
      <c r="A636" s="53">
        <v>41061</v>
      </c>
      <c r="B636">
        <v>87</v>
      </c>
      <c r="C636">
        <v>1362.160034179688</v>
      </c>
      <c r="D636">
        <v>73.2</v>
      </c>
      <c r="E636">
        <v>81.5</v>
      </c>
      <c r="F636">
        <v>67.8</v>
      </c>
    </row>
    <row r="637" spans="1:10" x14ac:dyDescent="0.2">
      <c r="A637" s="53">
        <v>41091</v>
      </c>
      <c r="B637">
        <v>87.2</v>
      </c>
      <c r="C637">
        <v>1379.319946289062</v>
      </c>
      <c r="D637">
        <v>72.3</v>
      </c>
      <c r="E637">
        <v>82.7</v>
      </c>
      <c r="F637">
        <v>65.599999999999994</v>
      </c>
      <c r="G637">
        <v>16282.151</v>
      </c>
      <c r="H637">
        <v>1.7457767097233819E-3</v>
      </c>
      <c r="I637">
        <v>2.527104680456535E-2</v>
      </c>
      <c r="J637">
        <v>7.0014145487715673E-3</v>
      </c>
    </row>
    <row r="638" spans="1:10" x14ac:dyDescent="0.2">
      <c r="A638" s="53">
        <v>41122</v>
      </c>
      <c r="B638">
        <v>86.9</v>
      </c>
      <c r="C638">
        <v>1406.579956054688</v>
      </c>
      <c r="D638">
        <v>74.3</v>
      </c>
      <c r="E638">
        <v>88.7</v>
      </c>
      <c r="F638">
        <v>65.099999999999994</v>
      </c>
    </row>
    <row r="639" spans="1:10" x14ac:dyDescent="0.2">
      <c r="A639" s="53">
        <v>41153</v>
      </c>
      <c r="B639">
        <v>87.4</v>
      </c>
      <c r="C639">
        <v>1440.670043945312</v>
      </c>
      <c r="D639">
        <v>78.3</v>
      </c>
      <c r="E639">
        <v>85.7</v>
      </c>
      <c r="F639">
        <v>73.5</v>
      </c>
    </row>
    <row r="640" spans="1:10" x14ac:dyDescent="0.2">
      <c r="A640" s="53">
        <v>41183</v>
      </c>
      <c r="B640">
        <v>87.5</v>
      </c>
      <c r="C640">
        <v>1412.160034179688</v>
      </c>
      <c r="D640">
        <v>82.6</v>
      </c>
      <c r="E640">
        <v>88.1</v>
      </c>
      <c r="F640">
        <v>79</v>
      </c>
      <c r="G640">
        <v>16300.035</v>
      </c>
      <c r="H640">
        <v>1.097175558211992E-3</v>
      </c>
      <c r="I640">
        <v>1.541916934534193E-2</v>
      </c>
      <c r="J640">
        <v>4.3959302826250823E-3</v>
      </c>
    </row>
    <row r="641" spans="1:10" x14ac:dyDescent="0.2">
      <c r="A641" s="53">
        <v>41214</v>
      </c>
      <c r="B641">
        <v>87.5</v>
      </c>
      <c r="C641">
        <v>1416.180053710938</v>
      </c>
      <c r="D641">
        <v>82.7</v>
      </c>
      <c r="E641">
        <v>90.6</v>
      </c>
      <c r="F641">
        <v>77.7</v>
      </c>
    </row>
    <row r="642" spans="1:10" x14ac:dyDescent="0.2">
      <c r="A642" s="53">
        <v>41244</v>
      </c>
      <c r="B642">
        <v>87.8</v>
      </c>
      <c r="C642">
        <v>1426.18994140625</v>
      </c>
      <c r="D642">
        <v>72.900000000000006</v>
      </c>
      <c r="E642">
        <v>87</v>
      </c>
      <c r="F642">
        <v>63.8</v>
      </c>
    </row>
    <row r="643" spans="1:10" x14ac:dyDescent="0.2">
      <c r="A643" s="53">
        <v>41275</v>
      </c>
      <c r="B643">
        <v>88.2</v>
      </c>
      <c r="C643">
        <v>1498.109985351562</v>
      </c>
      <c r="D643">
        <v>73.8</v>
      </c>
      <c r="E643">
        <v>85</v>
      </c>
      <c r="F643">
        <v>66.599999999999994</v>
      </c>
      <c r="G643">
        <v>16441.485000000001</v>
      </c>
      <c r="H643">
        <v>8.60323748128595E-3</v>
      </c>
      <c r="I643">
        <v>1.5905923339649661E-2</v>
      </c>
      <c r="J643">
        <v>3.4859596672834232E-2</v>
      </c>
    </row>
    <row r="644" spans="1:10" x14ac:dyDescent="0.2">
      <c r="A644" s="53">
        <v>41306</v>
      </c>
      <c r="B644">
        <v>88.6</v>
      </c>
      <c r="C644">
        <v>1514.680053710938</v>
      </c>
      <c r="D644">
        <v>77.599999999999994</v>
      </c>
      <c r="E644">
        <v>89</v>
      </c>
      <c r="F644">
        <v>70.2</v>
      </c>
    </row>
    <row r="645" spans="1:10" x14ac:dyDescent="0.2">
      <c r="A645" s="53">
        <v>41334</v>
      </c>
      <c r="B645">
        <v>88.5</v>
      </c>
      <c r="C645">
        <v>1569.18994140625</v>
      </c>
      <c r="D645">
        <v>78.599999999999994</v>
      </c>
      <c r="E645">
        <v>90.7</v>
      </c>
      <c r="F645">
        <v>70.8</v>
      </c>
    </row>
    <row r="646" spans="1:10" x14ac:dyDescent="0.2">
      <c r="A646" s="53">
        <v>41365</v>
      </c>
      <c r="B646">
        <v>88.9</v>
      </c>
      <c r="C646">
        <v>1597.569946289062</v>
      </c>
      <c r="D646">
        <v>76.400000000000006</v>
      </c>
      <c r="E646">
        <v>89.9</v>
      </c>
      <c r="F646">
        <v>67.8</v>
      </c>
      <c r="G646">
        <v>16464.401999999998</v>
      </c>
      <c r="H646">
        <v>1.3919120779483909E-3</v>
      </c>
      <c r="I646">
        <v>1.27958488865856E-2</v>
      </c>
      <c r="J646">
        <v>5.5792836178125693E-3</v>
      </c>
    </row>
    <row r="647" spans="1:10" x14ac:dyDescent="0.2">
      <c r="A647" s="53">
        <v>41395</v>
      </c>
      <c r="B647">
        <v>89.2</v>
      </c>
      <c r="C647">
        <v>1630.739990234375</v>
      </c>
      <c r="D647">
        <v>84.5</v>
      </c>
      <c r="E647">
        <v>98</v>
      </c>
      <c r="F647">
        <v>75.8</v>
      </c>
    </row>
    <row r="648" spans="1:10" x14ac:dyDescent="0.2">
      <c r="A648" s="53">
        <v>41426</v>
      </c>
      <c r="B648">
        <v>89.3</v>
      </c>
      <c r="C648">
        <v>1606.280029296875</v>
      </c>
      <c r="D648">
        <v>84.1</v>
      </c>
      <c r="E648">
        <v>93.8</v>
      </c>
      <c r="F648">
        <v>77.8</v>
      </c>
    </row>
    <row r="649" spans="1:10" x14ac:dyDescent="0.2">
      <c r="A649" s="53">
        <v>41456</v>
      </c>
      <c r="B649">
        <v>89.4</v>
      </c>
      <c r="C649">
        <v>1685.72998046875</v>
      </c>
      <c r="D649">
        <v>85.1</v>
      </c>
      <c r="E649">
        <v>98.6</v>
      </c>
      <c r="F649">
        <v>76.5</v>
      </c>
      <c r="G649">
        <v>16594.742999999999</v>
      </c>
      <c r="H649">
        <v>7.8543548399634972E-3</v>
      </c>
      <c r="I649">
        <v>1.8836808741177779E-2</v>
      </c>
      <c r="J649">
        <v>3.1789506673892243E-2</v>
      </c>
    </row>
    <row r="650" spans="1:10" x14ac:dyDescent="0.2">
      <c r="A650" s="53">
        <v>41487</v>
      </c>
      <c r="B650">
        <v>90.1</v>
      </c>
      <c r="C650">
        <v>1632.969970703125</v>
      </c>
      <c r="D650">
        <v>82.1</v>
      </c>
      <c r="E650">
        <v>95.2</v>
      </c>
      <c r="F650">
        <v>73.7</v>
      </c>
    </row>
    <row r="651" spans="1:10" x14ac:dyDescent="0.2">
      <c r="A651" s="53">
        <v>41518</v>
      </c>
      <c r="B651">
        <v>90.9</v>
      </c>
      <c r="C651">
        <v>1681.550048828125</v>
      </c>
      <c r="D651">
        <v>77.5</v>
      </c>
      <c r="E651">
        <v>92.6</v>
      </c>
      <c r="F651">
        <v>67.8</v>
      </c>
    </row>
    <row r="652" spans="1:10" x14ac:dyDescent="0.2">
      <c r="A652" s="53">
        <v>41548</v>
      </c>
      <c r="B652">
        <v>90.8</v>
      </c>
      <c r="C652">
        <v>1756.5400390625</v>
      </c>
      <c r="D652">
        <v>73.2</v>
      </c>
      <c r="E652">
        <v>89.9</v>
      </c>
      <c r="F652">
        <v>62.5</v>
      </c>
      <c r="G652">
        <v>16712.759999999998</v>
      </c>
      <c r="H652">
        <v>7.0614907412061114E-3</v>
      </c>
      <c r="I652">
        <v>2.469520294673044E-2</v>
      </c>
      <c r="J652">
        <v>2.8546561835335989E-2</v>
      </c>
    </row>
    <row r="653" spans="1:10" x14ac:dyDescent="0.2">
      <c r="A653" s="53">
        <v>41579</v>
      </c>
      <c r="B653">
        <v>91.8</v>
      </c>
      <c r="C653">
        <v>1805.81005859375</v>
      </c>
      <c r="D653">
        <v>75.099999999999994</v>
      </c>
      <c r="E653">
        <v>88</v>
      </c>
      <c r="F653">
        <v>66.8</v>
      </c>
    </row>
    <row r="654" spans="1:10" x14ac:dyDescent="0.2">
      <c r="A654" s="53">
        <v>41609</v>
      </c>
      <c r="B654">
        <v>91.8</v>
      </c>
      <c r="C654">
        <v>1848.359985351562</v>
      </c>
      <c r="D654">
        <v>82.5</v>
      </c>
      <c r="E654">
        <v>98.6</v>
      </c>
      <c r="F654">
        <v>72.099999999999994</v>
      </c>
    </row>
    <row r="655" spans="1:10" x14ac:dyDescent="0.2">
      <c r="A655" s="53">
        <v>41640</v>
      </c>
      <c r="B655">
        <v>92</v>
      </c>
      <c r="C655">
        <v>1782.589965820312</v>
      </c>
      <c r="D655">
        <v>81.2</v>
      </c>
      <c r="E655">
        <v>96.8</v>
      </c>
      <c r="F655">
        <v>71.2</v>
      </c>
      <c r="G655">
        <v>16654.246999999999</v>
      </c>
      <c r="H655">
        <v>-3.513398114006536E-3</v>
      </c>
      <c r="I655">
        <v>1.277523985323376E-2</v>
      </c>
      <c r="J655">
        <v>-1.3979701982879339E-2</v>
      </c>
    </row>
    <row r="656" spans="1:10" x14ac:dyDescent="0.2">
      <c r="A656" s="53">
        <v>41671</v>
      </c>
      <c r="B656">
        <v>92.5</v>
      </c>
      <c r="C656">
        <v>1859.449951171875</v>
      </c>
      <c r="D656">
        <v>81.599999999999994</v>
      </c>
      <c r="E656">
        <v>95.4</v>
      </c>
      <c r="F656">
        <v>72.7</v>
      </c>
    </row>
    <row r="657" spans="1:10" x14ac:dyDescent="0.2">
      <c r="A657" s="53">
        <v>41699</v>
      </c>
      <c r="B657">
        <v>93.4</v>
      </c>
      <c r="C657">
        <v>1872.339965820312</v>
      </c>
      <c r="D657">
        <v>80</v>
      </c>
      <c r="E657">
        <v>95.7</v>
      </c>
      <c r="F657">
        <v>70</v>
      </c>
    </row>
    <row r="658" spans="1:10" x14ac:dyDescent="0.2">
      <c r="A658" s="53">
        <v>41730</v>
      </c>
      <c r="B658">
        <v>93.5</v>
      </c>
      <c r="C658">
        <v>1883.949951171875</v>
      </c>
      <c r="D658">
        <v>84.1</v>
      </c>
      <c r="E658">
        <v>98.7</v>
      </c>
      <c r="F658">
        <v>74.7</v>
      </c>
      <c r="G658">
        <v>16868.109</v>
      </c>
      <c r="H658">
        <v>1.2678481031869131E-2</v>
      </c>
      <c r="I658">
        <v>2.3933151012956001E-2</v>
      </c>
      <c r="J658">
        <v>5.1686565206723989E-2</v>
      </c>
    </row>
    <row r="659" spans="1:10" x14ac:dyDescent="0.2">
      <c r="A659" s="53">
        <v>41760</v>
      </c>
      <c r="B659">
        <v>94</v>
      </c>
      <c r="C659">
        <v>1923.569946289062</v>
      </c>
      <c r="D659">
        <v>81.900000000000006</v>
      </c>
      <c r="E659">
        <v>94.5</v>
      </c>
      <c r="F659">
        <v>73.7</v>
      </c>
    </row>
    <row r="660" spans="1:10" x14ac:dyDescent="0.2">
      <c r="A660" s="53">
        <v>41791</v>
      </c>
      <c r="B660">
        <v>94.7</v>
      </c>
      <c r="C660">
        <v>1960.22998046875</v>
      </c>
      <c r="D660">
        <v>82.5</v>
      </c>
      <c r="E660">
        <v>96.6</v>
      </c>
      <c r="F660">
        <v>73.5</v>
      </c>
    </row>
    <row r="661" spans="1:10" x14ac:dyDescent="0.2">
      <c r="A661" s="53">
        <v>41821</v>
      </c>
      <c r="B661">
        <v>95.2</v>
      </c>
      <c r="C661">
        <v>1930.670043945312</v>
      </c>
      <c r="D661">
        <v>81.8</v>
      </c>
      <c r="E661">
        <v>97.4</v>
      </c>
      <c r="F661">
        <v>71.8</v>
      </c>
      <c r="G661">
        <v>17064.616000000002</v>
      </c>
      <c r="H661">
        <v>1.1515465686423971E-2</v>
      </c>
      <c r="I661">
        <v>2.7534929587633449E-2</v>
      </c>
      <c r="J661">
        <v>4.686362410695244E-2</v>
      </c>
    </row>
    <row r="662" spans="1:10" x14ac:dyDescent="0.2">
      <c r="A662" s="53">
        <v>41852</v>
      </c>
      <c r="B662">
        <v>95.5</v>
      </c>
      <c r="C662">
        <v>2003.369995117188</v>
      </c>
      <c r="D662">
        <v>82.5</v>
      </c>
      <c r="E662">
        <v>99.8</v>
      </c>
      <c r="F662">
        <v>71.3</v>
      </c>
    </row>
    <row r="663" spans="1:10" x14ac:dyDescent="0.2">
      <c r="A663" s="53">
        <v>41883</v>
      </c>
      <c r="B663">
        <v>96.1</v>
      </c>
      <c r="C663">
        <v>1972.2900390625</v>
      </c>
      <c r="D663">
        <v>84.6</v>
      </c>
      <c r="E663">
        <v>98.9</v>
      </c>
      <c r="F663">
        <v>75.400000000000006</v>
      </c>
    </row>
    <row r="664" spans="1:10" x14ac:dyDescent="0.2">
      <c r="A664" s="53">
        <v>41913</v>
      </c>
      <c r="B664">
        <v>96.4</v>
      </c>
      <c r="C664">
        <v>2018.050048828125</v>
      </c>
      <c r="D664">
        <v>86.9</v>
      </c>
      <c r="E664">
        <v>98.3</v>
      </c>
      <c r="F664">
        <v>79.599999999999994</v>
      </c>
      <c r="G664">
        <v>17141.235000000001</v>
      </c>
      <c r="H664">
        <v>4.4698646276069816E-3</v>
      </c>
      <c r="I664">
        <v>2.4996740316552579E-2</v>
      </c>
      <c r="J664">
        <v>1.799969427438497E-2</v>
      </c>
    </row>
    <row r="665" spans="1:10" x14ac:dyDescent="0.2">
      <c r="A665" s="53">
        <v>41944</v>
      </c>
      <c r="B665">
        <v>96.8</v>
      </c>
      <c r="C665">
        <v>2067.56005859375</v>
      </c>
      <c r="D665">
        <v>88.8</v>
      </c>
      <c r="E665">
        <v>102.7</v>
      </c>
      <c r="F665">
        <v>79.900000000000006</v>
      </c>
    </row>
    <row r="666" spans="1:10" x14ac:dyDescent="0.2">
      <c r="A666" s="53">
        <v>41974</v>
      </c>
      <c r="B666">
        <v>97.3</v>
      </c>
      <c r="C666">
        <v>2058.89990234375</v>
      </c>
      <c r="D666">
        <v>93.6</v>
      </c>
      <c r="E666">
        <v>104.8</v>
      </c>
      <c r="F666">
        <v>86.4</v>
      </c>
    </row>
    <row r="667" spans="1:10" x14ac:dyDescent="0.2">
      <c r="A667" s="53">
        <v>42005</v>
      </c>
      <c r="B667">
        <v>97.4</v>
      </c>
      <c r="C667">
        <v>1994.989990234375</v>
      </c>
      <c r="D667">
        <v>98.1</v>
      </c>
      <c r="E667">
        <v>109.3</v>
      </c>
      <c r="F667">
        <v>91</v>
      </c>
      <c r="G667">
        <v>17280.647000000001</v>
      </c>
      <c r="H667">
        <v>8.0675220088692427E-3</v>
      </c>
      <c r="I667">
        <v>3.6248642773618452E-2</v>
      </c>
      <c r="J667">
        <v>3.2662702035523912E-2</v>
      </c>
    </row>
    <row r="668" spans="1:10" x14ac:dyDescent="0.2">
      <c r="A668" s="53">
        <v>42036</v>
      </c>
      <c r="B668">
        <v>97.4</v>
      </c>
      <c r="C668">
        <v>2104.5</v>
      </c>
      <c r="D668">
        <v>95.4</v>
      </c>
      <c r="E668">
        <v>106.9</v>
      </c>
      <c r="F668">
        <v>88</v>
      </c>
    </row>
    <row r="669" spans="1:10" x14ac:dyDescent="0.2">
      <c r="A669" s="53">
        <v>42064</v>
      </c>
      <c r="B669">
        <v>97.9</v>
      </c>
      <c r="C669">
        <v>2067.889892578125</v>
      </c>
      <c r="D669">
        <v>93</v>
      </c>
      <c r="E669">
        <v>105</v>
      </c>
      <c r="F669">
        <v>85.3</v>
      </c>
    </row>
    <row r="670" spans="1:10" x14ac:dyDescent="0.2">
      <c r="A670" s="53">
        <v>42095</v>
      </c>
      <c r="B670">
        <v>98.4</v>
      </c>
      <c r="C670">
        <v>2085.510009765625</v>
      </c>
      <c r="D670">
        <v>95.9</v>
      </c>
      <c r="E670">
        <v>107</v>
      </c>
      <c r="F670">
        <v>88.8</v>
      </c>
      <c r="G670">
        <v>17380.875</v>
      </c>
      <c r="H670">
        <v>5.7665681388307062E-3</v>
      </c>
      <c r="I670">
        <v>2.9501736822800901E-2</v>
      </c>
      <c r="J670">
        <v>2.3266560539572319E-2</v>
      </c>
    </row>
    <row r="671" spans="1:10" x14ac:dyDescent="0.2">
      <c r="A671" s="53">
        <v>42125</v>
      </c>
      <c r="B671">
        <v>98.8</v>
      </c>
      <c r="C671">
        <v>2107.389892578125</v>
      </c>
      <c r="D671">
        <v>90.7</v>
      </c>
      <c r="E671">
        <v>100.8</v>
      </c>
      <c r="F671">
        <v>84.2</v>
      </c>
    </row>
    <row r="672" spans="1:10" x14ac:dyDescent="0.2">
      <c r="A672" s="53">
        <v>42156</v>
      </c>
      <c r="B672">
        <v>99.3</v>
      </c>
      <c r="C672">
        <v>2063.110107421875</v>
      </c>
      <c r="D672">
        <v>96.1</v>
      </c>
      <c r="E672">
        <v>108.9</v>
      </c>
      <c r="F672">
        <v>87.8</v>
      </c>
    </row>
    <row r="673" spans="1:10" x14ac:dyDescent="0.2">
      <c r="A673" s="53">
        <v>42186</v>
      </c>
      <c r="B673">
        <v>99.1</v>
      </c>
      <c r="C673">
        <v>2103.840087890625</v>
      </c>
      <c r="D673">
        <v>93.1</v>
      </c>
      <c r="E673">
        <v>107.2</v>
      </c>
      <c r="F673">
        <v>84.1</v>
      </c>
      <c r="G673">
        <v>17437.080000000002</v>
      </c>
      <c r="H673">
        <v>3.2233034430077588E-3</v>
      </c>
      <c r="I673">
        <v>2.1360457140759799E-2</v>
      </c>
      <c r="J673">
        <v>1.295568594692176E-2</v>
      </c>
    </row>
    <row r="674" spans="1:10" x14ac:dyDescent="0.2">
      <c r="A674" s="53">
        <v>42217</v>
      </c>
      <c r="B674">
        <v>99.1</v>
      </c>
      <c r="C674">
        <v>1972.180053710938</v>
      </c>
      <c r="D674">
        <v>91.9</v>
      </c>
      <c r="E674">
        <v>105.1</v>
      </c>
      <c r="F674">
        <v>83.4</v>
      </c>
    </row>
    <row r="675" spans="1:10" x14ac:dyDescent="0.2">
      <c r="A675" s="53">
        <v>42248</v>
      </c>
      <c r="B675">
        <v>99</v>
      </c>
      <c r="C675">
        <v>1920.030029296875</v>
      </c>
      <c r="D675">
        <v>87.2</v>
      </c>
      <c r="E675">
        <v>101.2</v>
      </c>
      <c r="F675">
        <v>78.2</v>
      </c>
    </row>
    <row r="676" spans="1:10" x14ac:dyDescent="0.2">
      <c r="A676" s="53">
        <v>42278</v>
      </c>
      <c r="B676">
        <v>99.4</v>
      </c>
      <c r="C676">
        <v>2079.360107421875</v>
      </c>
      <c r="D676">
        <v>90</v>
      </c>
      <c r="E676">
        <v>102.3</v>
      </c>
      <c r="F676">
        <v>82.1</v>
      </c>
      <c r="G676">
        <v>17462.579000000002</v>
      </c>
      <c r="H676">
        <v>1.4602081399316669E-3</v>
      </c>
      <c r="I676">
        <v>1.8401863779685751E-2</v>
      </c>
      <c r="J676">
        <v>5.8536382650136174E-3</v>
      </c>
    </row>
    <row r="677" spans="1:10" x14ac:dyDescent="0.2">
      <c r="A677" s="53">
        <v>42309</v>
      </c>
      <c r="B677">
        <v>99.8</v>
      </c>
      <c r="C677">
        <v>2080.409912109375</v>
      </c>
      <c r="D677">
        <v>91.3</v>
      </c>
      <c r="E677">
        <v>104.3</v>
      </c>
      <c r="F677">
        <v>82.9</v>
      </c>
    </row>
    <row r="678" spans="1:10" x14ac:dyDescent="0.2">
      <c r="A678" s="53">
        <v>42339</v>
      </c>
      <c r="B678">
        <v>99.6</v>
      </c>
      <c r="C678">
        <v>2043.93994140625</v>
      </c>
      <c r="D678">
        <v>92.6</v>
      </c>
      <c r="E678">
        <v>108.1</v>
      </c>
      <c r="F678">
        <v>82.7</v>
      </c>
    </row>
    <row r="679" spans="1:10" x14ac:dyDescent="0.2">
      <c r="A679" s="53">
        <v>42370</v>
      </c>
      <c r="B679">
        <v>99.3</v>
      </c>
      <c r="C679">
        <v>1940.239990234375</v>
      </c>
      <c r="D679">
        <v>92</v>
      </c>
      <c r="E679">
        <v>106.4</v>
      </c>
      <c r="F679">
        <v>82.7</v>
      </c>
      <c r="G679">
        <v>17565.465</v>
      </c>
      <c r="H679">
        <v>5.8572887196552213E-3</v>
      </c>
      <c r="I679">
        <v>1.6214657568131521E-2</v>
      </c>
      <c r="J679">
        <v>2.3635806846010299E-2</v>
      </c>
    </row>
    <row r="680" spans="1:10" x14ac:dyDescent="0.2">
      <c r="A680" s="53">
        <v>42401</v>
      </c>
      <c r="B680">
        <v>99.2</v>
      </c>
      <c r="C680">
        <v>1932.22998046875</v>
      </c>
      <c r="D680">
        <v>91.7</v>
      </c>
      <c r="E680">
        <v>106.8</v>
      </c>
      <c r="F680">
        <v>81.900000000000006</v>
      </c>
    </row>
    <row r="681" spans="1:10" x14ac:dyDescent="0.2">
      <c r="A681" s="53">
        <v>42430</v>
      </c>
      <c r="B681">
        <v>99.2</v>
      </c>
      <c r="C681">
        <v>2059.739990234375</v>
      </c>
      <c r="D681">
        <v>91</v>
      </c>
      <c r="E681">
        <v>105.6</v>
      </c>
      <c r="F681">
        <v>81.5</v>
      </c>
    </row>
    <row r="682" spans="1:10" x14ac:dyDescent="0.2">
      <c r="A682" s="53">
        <v>42461</v>
      </c>
      <c r="B682">
        <v>99.7</v>
      </c>
      <c r="C682">
        <v>2065.300048828125</v>
      </c>
      <c r="D682">
        <v>89</v>
      </c>
      <c r="E682">
        <v>106.7</v>
      </c>
      <c r="F682">
        <v>77.599999999999994</v>
      </c>
      <c r="G682">
        <v>17618.580999999998</v>
      </c>
      <c r="H682">
        <v>3.0147717344545608E-3</v>
      </c>
      <c r="I682">
        <v>1.3491778934977701E-2</v>
      </c>
      <c r="J682">
        <v>1.2113729715306439E-2</v>
      </c>
    </row>
    <row r="683" spans="1:10" x14ac:dyDescent="0.2">
      <c r="A683" s="53">
        <v>42491</v>
      </c>
      <c r="B683">
        <v>99.5</v>
      </c>
      <c r="C683">
        <v>2096.949951171875</v>
      </c>
      <c r="D683">
        <v>94.7</v>
      </c>
      <c r="E683">
        <v>109.9</v>
      </c>
      <c r="F683">
        <v>84.9</v>
      </c>
    </row>
    <row r="684" spans="1:10" x14ac:dyDescent="0.2">
      <c r="A684" s="53">
        <v>42522</v>
      </c>
      <c r="B684">
        <v>99.8</v>
      </c>
      <c r="C684">
        <v>2098.860107421875</v>
      </c>
      <c r="D684">
        <v>93.5</v>
      </c>
      <c r="E684">
        <v>110.8</v>
      </c>
      <c r="F684">
        <v>82.4</v>
      </c>
    </row>
    <row r="685" spans="1:10" x14ac:dyDescent="0.2">
      <c r="A685" s="53">
        <v>42552</v>
      </c>
      <c r="B685">
        <v>100.2</v>
      </c>
      <c r="C685">
        <v>2173.60009765625</v>
      </c>
      <c r="D685">
        <v>90</v>
      </c>
      <c r="E685">
        <v>109</v>
      </c>
      <c r="F685">
        <v>77.8</v>
      </c>
      <c r="G685">
        <v>17724.489000000001</v>
      </c>
      <c r="H685">
        <v>5.9752357317609034E-3</v>
      </c>
      <c r="I685">
        <v>1.6215361695335741E-2</v>
      </c>
      <c r="J685">
        <v>2.4116018200010639E-2</v>
      </c>
    </row>
    <row r="686" spans="1:10" x14ac:dyDescent="0.2">
      <c r="A686" s="53">
        <v>42583</v>
      </c>
      <c r="B686">
        <v>100.2</v>
      </c>
      <c r="C686">
        <v>2170.949951171875</v>
      </c>
      <c r="D686">
        <v>89.8</v>
      </c>
      <c r="E686">
        <v>107</v>
      </c>
      <c r="F686">
        <v>78.7</v>
      </c>
    </row>
    <row r="687" spans="1:10" x14ac:dyDescent="0.2">
      <c r="A687" s="53">
        <v>42614</v>
      </c>
      <c r="B687">
        <v>100.4</v>
      </c>
      <c r="C687">
        <v>2168.27001953125</v>
      </c>
      <c r="D687">
        <v>91.2</v>
      </c>
      <c r="E687">
        <v>104.2</v>
      </c>
      <c r="F687">
        <v>82.7</v>
      </c>
    </row>
    <row r="688" spans="1:10" x14ac:dyDescent="0.2">
      <c r="A688" s="53">
        <v>42644</v>
      </c>
      <c r="B688">
        <v>100.5</v>
      </c>
      <c r="C688">
        <v>2126.14990234375</v>
      </c>
      <c r="D688">
        <v>87.2</v>
      </c>
      <c r="E688">
        <v>103.2</v>
      </c>
      <c r="F688">
        <v>76.8</v>
      </c>
      <c r="G688">
        <v>17812.560000000001</v>
      </c>
      <c r="H688">
        <v>4.9443201875530472E-3</v>
      </c>
      <c r="I688">
        <v>1.9647989957647851E-2</v>
      </c>
      <c r="J688">
        <v>1.9924442641916059E-2</v>
      </c>
    </row>
    <row r="689" spans="1:10" x14ac:dyDescent="0.2">
      <c r="A689" s="53">
        <v>42675</v>
      </c>
      <c r="B689">
        <v>100.7</v>
      </c>
      <c r="C689">
        <v>2198.81005859375</v>
      </c>
      <c r="D689">
        <v>93.8</v>
      </c>
      <c r="E689">
        <v>107.3</v>
      </c>
      <c r="F689">
        <v>85.2</v>
      </c>
    </row>
    <row r="690" spans="1:10" x14ac:dyDescent="0.2">
      <c r="A690" s="53">
        <v>42705</v>
      </c>
      <c r="B690">
        <v>101.2</v>
      </c>
      <c r="C690">
        <v>2238.830078125</v>
      </c>
      <c r="D690">
        <v>98.2</v>
      </c>
      <c r="E690">
        <v>111.9</v>
      </c>
      <c r="F690">
        <v>89.5</v>
      </c>
    </row>
    <row r="691" spans="1:10" x14ac:dyDescent="0.2">
      <c r="A691" s="53">
        <v>42736</v>
      </c>
      <c r="B691">
        <v>101.8</v>
      </c>
      <c r="C691">
        <v>2278.8701171875</v>
      </c>
      <c r="D691">
        <v>98.5</v>
      </c>
      <c r="E691">
        <v>111.3</v>
      </c>
      <c r="F691">
        <v>90.3</v>
      </c>
      <c r="G691">
        <v>17896.623</v>
      </c>
      <c r="H691">
        <v>4.6971431425916659E-3</v>
      </c>
      <c r="I691">
        <v>1.8503937865819681E-2</v>
      </c>
      <c r="J691">
        <v>1.8921366514526031E-2</v>
      </c>
    </row>
    <row r="692" spans="1:10" x14ac:dyDescent="0.2">
      <c r="A692" s="53">
        <v>42767</v>
      </c>
      <c r="B692">
        <v>102.1</v>
      </c>
      <c r="C692">
        <v>2363.639892578125</v>
      </c>
      <c r="D692">
        <v>96.3</v>
      </c>
      <c r="E692">
        <v>111.5</v>
      </c>
      <c r="F692">
        <v>86.5</v>
      </c>
    </row>
    <row r="693" spans="1:10" x14ac:dyDescent="0.2">
      <c r="A693" s="53">
        <v>42795</v>
      </c>
      <c r="B693">
        <v>102.6</v>
      </c>
      <c r="C693">
        <v>2362.719970703125</v>
      </c>
      <c r="D693">
        <v>96.9</v>
      </c>
      <c r="E693">
        <v>113.2</v>
      </c>
      <c r="F693">
        <v>86.5</v>
      </c>
    </row>
    <row r="694" spans="1:10" x14ac:dyDescent="0.2">
      <c r="A694" s="53">
        <v>42826</v>
      </c>
      <c r="B694">
        <v>102.8</v>
      </c>
      <c r="C694">
        <v>2384.199951171875</v>
      </c>
      <c r="D694">
        <v>97</v>
      </c>
      <c r="E694">
        <v>112.7</v>
      </c>
      <c r="F694">
        <v>87</v>
      </c>
      <c r="G694">
        <v>17996.802</v>
      </c>
      <c r="H694">
        <v>5.5664889795420374E-3</v>
      </c>
      <c r="I694">
        <v>2.1016011622509451E-2</v>
      </c>
      <c r="J694">
        <v>2.24525616040907E-2</v>
      </c>
    </row>
    <row r="695" spans="1:10" x14ac:dyDescent="0.2">
      <c r="A695" s="53">
        <v>42856</v>
      </c>
      <c r="B695">
        <v>103.2</v>
      </c>
      <c r="C695">
        <v>2411.800048828125</v>
      </c>
      <c r="D695">
        <v>97.1</v>
      </c>
      <c r="E695">
        <v>111.7</v>
      </c>
      <c r="F695">
        <v>87.7</v>
      </c>
    </row>
    <row r="696" spans="1:10" x14ac:dyDescent="0.2">
      <c r="A696" s="53">
        <v>42887</v>
      </c>
      <c r="B696">
        <v>103.8</v>
      </c>
      <c r="C696">
        <v>2423.409912109375</v>
      </c>
      <c r="D696">
        <v>95</v>
      </c>
      <c r="E696">
        <v>112.4</v>
      </c>
      <c r="F696">
        <v>83.8</v>
      </c>
    </row>
    <row r="697" spans="1:10" x14ac:dyDescent="0.2">
      <c r="A697" s="53">
        <v>42917</v>
      </c>
      <c r="B697">
        <v>104.1</v>
      </c>
      <c r="C697">
        <v>2470.300048828125</v>
      </c>
      <c r="D697">
        <v>93.4</v>
      </c>
      <c r="E697">
        <v>113.4</v>
      </c>
      <c r="F697">
        <v>80.5</v>
      </c>
      <c r="G697">
        <v>18126.225999999999</v>
      </c>
      <c r="H697">
        <v>7.1401515130617406E-3</v>
      </c>
      <c r="I697">
        <v>2.2163300843760711E-2</v>
      </c>
      <c r="J697">
        <v>2.886795530323116E-2</v>
      </c>
    </row>
    <row r="698" spans="1:10" x14ac:dyDescent="0.2">
      <c r="A698" s="53">
        <v>42948</v>
      </c>
      <c r="B698">
        <v>104.5</v>
      </c>
      <c r="C698">
        <v>2471.64990234375</v>
      </c>
      <c r="D698">
        <v>96.8</v>
      </c>
      <c r="E698">
        <v>110.9</v>
      </c>
      <c r="F698">
        <v>87.7</v>
      </c>
    </row>
    <row r="699" spans="1:10" x14ac:dyDescent="0.2">
      <c r="A699" s="53">
        <v>42979</v>
      </c>
      <c r="B699">
        <v>104.5</v>
      </c>
      <c r="C699">
        <v>2519.360107421875</v>
      </c>
      <c r="D699">
        <v>95.1</v>
      </c>
      <c r="E699">
        <v>111.7</v>
      </c>
      <c r="F699">
        <v>84.4</v>
      </c>
    </row>
    <row r="700" spans="1:10" x14ac:dyDescent="0.2">
      <c r="A700" s="53">
        <v>43009</v>
      </c>
      <c r="B700">
        <v>105.9</v>
      </c>
      <c r="C700">
        <v>2575.260009765625</v>
      </c>
      <c r="D700">
        <v>100.7</v>
      </c>
      <c r="E700">
        <v>116.5</v>
      </c>
      <c r="F700">
        <v>90.5</v>
      </c>
      <c r="G700">
        <v>18296.685000000001</v>
      </c>
      <c r="H700">
        <v>9.3163870941650115E-3</v>
      </c>
      <c r="I700">
        <v>2.6459711144395829E-2</v>
      </c>
      <c r="J700">
        <v>3.7789560786797738E-2</v>
      </c>
    </row>
    <row r="701" spans="1:10" x14ac:dyDescent="0.2">
      <c r="A701" s="53">
        <v>43040</v>
      </c>
      <c r="B701">
        <v>106.3</v>
      </c>
      <c r="C701">
        <v>2647.580078125</v>
      </c>
      <c r="D701">
        <v>98.5</v>
      </c>
      <c r="E701">
        <v>113.5</v>
      </c>
      <c r="F701">
        <v>88.9</v>
      </c>
    </row>
    <row r="702" spans="1:10" x14ac:dyDescent="0.2">
      <c r="A702" s="53">
        <v>43070</v>
      </c>
      <c r="B702">
        <v>107</v>
      </c>
      <c r="C702">
        <v>2673.610107421875</v>
      </c>
      <c r="D702">
        <v>95.9</v>
      </c>
      <c r="E702">
        <v>113.8</v>
      </c>
      <c r="F702">
        <v>84.3</v>
      </c>
    </row>
    <row r="703" spans="1:10" x14ac:dyDescent="0.2">
      <c r="A703" s="53">
        <v>43101</v>
      </c>
      <c r="B703">
        <v>107.9</v>
      </c>
      <c r="C703">
        <v>2823.81005859375</v>
      </c>
      <c r="D703">
        <v>95.7</v>
      </c>
      <c r="E703">
        <v>110.5</v>
      </c>
      <c r="F703">
        <v>86.3</v>
      </c>
      <c r="G703">
        <v>18436.261999999999</v>
      </c>
      <c r="H703">
        <v>7.5707863123228294E-3</v>
      </c>
      <c r="I703">
        <v>2.9270521323682599E-2</v>
      </c>
      <c r="J703">
        <v>3.0628785099971578E-2</v>
      </c>
    </row>
    <row r="704" spans="1:10" x14ac:dyDescent="0.2">
      <c r="A704" s="53">
        <v>43132</v>
      </c>
      <c r="B704">
        <v>108.7</v>
      </c>
      <c r="C704">
        <v>2713.830078125</v>
      </c>
      <c r="D704">
        <v>99.7</v>
      </c>
      <c r="E704">
        <v>114.9</v>
      </c>
      <c r="F704">
        <v>90</v>
      </c>
    </row>
    <row r="705" spans="1:10" x14ac:dyDescent="0.2">
      <c r="A705" s="53">
        <v>43160</v>
      </c>
      <c r="B705">
        <v>109</v>
      </c>
      <c r="C705">
        <v>2640.8701171875</v>
      </c>
      <c r="D705">
        <v>101.4</v>
      </c>
      <c r="E705">
        <v>121.2</v>
      </c>
      <c r="F705">
        <v>88.8</v>
      </c>
    </row>
    <row r="706" spans="1:10" x14ac:dyDescent="0.2">
      <c r="A706" s="53">
        <v>43191</v>
      </c>
      <c r="B706">
        <v>109.4</v>
      </c>
      <c r="C706">
        <v>2648.050048828125</v>
      </c>
      <c r="D706">
        <v>98.8</v>
      </c>
      <c r="E706">
        <v>114.9</v>
      </c>
      <c r="F706">
        <v>88.4</v>
      </c>
      <c r="G706">
        <v>18590.004000000001</v>
      </c>
      <c r="H706">
        <v>8.2701434598939309E-3</v>
      </c>
      <c r="I706">
        <v>3.1909729551429962E-2</v>
      </c>
      <c r="J706">
        <v>3.3493212709446267E-2</v>
      </c>
    </row>
    <row r="707" spans="1:10" x14ac:dyDescent="0.2">
      <c r="A707" s="53">
        <v>43221</v>
      </c>
      <c r="B707">
        <v>109.4</v>
      </c>
      <c r="C707">
        <v>2705.27001953125</v>
      </c>
      <c r="D707">
        <v>98</v>
      </c>
      <c r="E707">
        <v>111.8</v>
      </c>
      <c r="F707">
        <v>89.1</v>
      </c>
    </row>
    <row r="708" spans="1:10" x14ac:dyDescent="0.2">
      <c r="A708" s="53">
        <v>43252</v>
      </c>
      <c r="B708">
        <v>109.9</v>
      </c>
      <c r="C708">
        <v>2718.3701171875</v>
      </c>
      <c r="D708">
        <v>98.2</v>
      </c>
      <c r="E708">
        <v>116.5</v>
      </c>
      <c r="F708">
        <v>86.3</v>
      </c>
    </row>
    <row r="709" spans="1:10" x14ac:dyDescent="0.2">
      <c r="A709" s="53">
        <v>43282</v>
      </c>
      <c r="B709">
        <v>110.7</v>
      </c>
      <c r="C709">
        <v>2816.2900390625</v>
      </c>
      <c r="D709">
        <v>97.9</v>
      </c>
      <c r="E709">
        <v>114.4</v>
      </c>
      <c r="F709">
        <v>87.3</v>
      </c>
      <c r="G709">
        <v>18679.598999999998</v>
      </c>
      <c r="H709">
        <v>4.7964091734516096E-3</v>
      </c>
      <c r="I709">
        <v>2.9624458212405929E-2</v>
      </c>
      <c r="J709">
        <v>1.9324111844767119E-2</v>
      </c>
    </row>
    <row r="710" spans="1:10" x14ac:dyDescent="0.2">
      <c r="A710" s="53">
        <v>43313</v>
      </c>
      <c r="B710">
        <v>111.3</v>
      </c>
      <c r="C710">
        <v>2901.52001953125</v>
      </c>
      <c r="D710">
        <v>96.2</v>
      </c>
      <c r="E710">
        <v>110.3</v>
      </c>
      <c r="F710">
        <v>87.1</v>
      </c>
    </row>
    <row r="711" spans="1:10" x14ac:dyDescent="0.2">
      <c r="A711" s="53">
        <v>43344</v>
      </c>
      <c r="B711">
        <v>111.8</v>
      </c>
      <c r="C711">
        <v>2913.97998046875</v>
      </c>
      <c r="D711">
        <v>100.1</v>
      </c>
      <c r="E711">
        <v>115.2</v>
      </c>
      <c r="F711">
        <v>90.5</v>
      </c>
    </row>
    <row r="712" spans="1:10" x14ac:dyDescent="0.2">
      <c r="A712" s="53">
        <v>43374</v>
      </c>
      <c r="B712">
        <v>112.1</v>
      </c>
      <c r="C712">
        <v>2711.739990234375</v>
      </c>
      <c r="D712">
        <v>98.6</v>
      </c>
      <c r="E712">
        <v>113.1</v>
      </c>
      <c r="F712">
        <v>89.3</v>
      </c>
      <c r="G712">
        <v>18721.280999999999</v>
      </c>
      <c r="H712">
        <v>2.2264502092565509E-3</v>
      </c>
      <c r="I712">
        <v>2.2679858285338372E-2</v>
      </c>
      <c r="J712">
        <v>8.9355874915768574E-3</v>
      </c>
    </row>
    <row r="713" spans="1:10" x14ac:dyDescent="0.2">
      <c r="A713" s="53">
        <v>43405</v>
      </c>
      <c r="B713">
        <v>111.8</v>
      </c>
      <c r="C713">
        <v>2760.169921875</v>
      </c>
      <c r="D713">
        <v>97.5</v>
      </c>
      <c r="E713">
        <v>112.3</v>
      </c>
      <c r="F713">
        <v>88.1</v>
      </c>
    </row>
    <row r="714" spans="1:10" x14ac:dyDescent="0.2">
      <c r="A714" s="53">
        <v>43435</v>
      </c>
      <c r="B714">
        <v>111.7</v>
      </c>
      <c r="C714">
        <v>2506.85009765625</v>
      </c>
      <c r="D714">
        <v>98.3</v>
      </c>
      <c r="E714">
        <v>116.1</v>
      </c>
      <c r="F714">
        <v>87</v>
      </c>
    </row>
    <row r="715" spans="1:10" x14ac:dyDescent="0.2">
      <c r="A715" s="53">
        <v>43466</v>
      </c>
      <c r="B715">
        <v>111</v>
      </c>
      <c r="C715">
        <v>2704.10009765625</v>
      </c>
      <c r="D715">
        <v>91.2</v>
      </c>
      <c r="E715">
        <v>108.8</v>
      </c>
      <c r="F715">
        <v>79.900000000000006</v>
      </c>
      <c r="G715">
        <v>18833.195</v>
      </c>
      <c r="H715">
        <v>5.9423799307552804E-3</v>
      </c>
      <c r="I715">
        <v>2.1076243303380069E-2</v>
      </c>
      <c r="J715">
        <v>2.3982231591808349E-2</v>
      </c>
    </row>
    <row r="716" spans="1:10" x14ac:dyDescent="0.2">
      <c r="A716" s="53">
        <v>43497</v>
      </c>
      <c r="B716">
        <v>111.1</v>
      </c>
      <c r="C716">
        <v>2784.489990234375</v>
      </c>
      <c r="D716">
        <v>93.8</v>
      </c>
      <c r="E716">
        <v>108.5</v>
      </c>
      <c r="F716">
        <v>84.4</v>
      </c>
    </row>
    <row r="717" spans="1:10" x14ac:dyDescent="0.2">
      <c r="A717" s="53">
        <v>43525</v>
      </c>
      <c r="B717">
        <v>111.5</v>
      </c>
      <c r="C717">
        <v>2834.39990234375</v>
      </c>
      <c r="D717">
        <v>98.4</v>
      </c>
      <c r="E717">
        <v>113.3</v>
      </c>
      <c r="F717">
        <v>88.8</v>
      </c>
    </row>
    <row r="718" spans="1:10" x14ac:dyDescent="0.2">
      <c r="A718" s="53">
        <v>43556</v>
      </c>
      <c r="B718">
        <v>111.5</v>
      </c>
      <c r="C718">
        <v>2945.830078125</v>
      </c>
      <c r="D718">
        <v>97.2</v>
      </c>
      <c r="E718">
        <v>112.3</v>
      </c>
      <c r="F718">
        <v>87.4</v>
      </c>
      <c r="G718">
        <v>18982.527999999998</v>
      </c>
      <c r="H718">
        <v>7.8668657831032166E-3</v>
      </c>
      <c r="I718">
        <v>2.0678173107396319E-2</v>
      </c>
      <c r="J718">
        <v>3.1840739871036312E-2</v>
      </c>
    </row>
    <row r="719" spans="1:10" x14ac:dyDescent="0.2">
      <c r="A719" s="53">
        <v>43586</v>
      </c>
      <c r="B719">
        <v>111.4</v>
      </c>
      <c r="C719">
        <v>2752.06005859375</v>
      </c>
      <c r="D719">
        <v>100</v>
      </c>
      <c r="E719">
        <v>110</v>
      </c>
      <c r="F719">
        <v>93.5</v>
      </c>
    </row>
    <row r="720" spans="1:10" x14ac:dyDescent="0.2">
      <c r="A720" s="53">
        <v>43617</v>
      </c>
      <c r="B720">
        <v>111.5</v>
      </c>
      <c r="C720">
        <v>2941.760009765625</v>
      </c>
      <c r="D720">
        <v>98.2</v>
      </c>
      <c r="E720">
        <v>111.9</v>
      </c>
      <c r="F720">
        <v>89.3</v>
      </c>
    </row>
    <row r="721" spans="1:10" x14ac:dyDescent="0.2">
      <c r="A721" s="53">
        <v>43647</v>
      </c>
      <c r="B721">
        <v>112</v>
      </c>
      <c r="C721">
        <v>2980.3798828125</v>
      </c>
      <c r="D721">
        <v>98.4</v>
      </c>
      <c r="E721">
        <v>110.7</v>
      </c>
      <c r="F721">
        <v>90.5</v>
      </c>
      <c r="G721">
        <v>19112.652999999998</v>
      </c>
      <c r="H721">
        <v>6.8083169824722928E-3</v>
      </c>
      <c r="I721">
        <v>2.26579742749476E-2</v>
      </c>
      <c r="J721">
        <v>2.751265150788296E-2</v>
      </c>
    </row>
    <row r="722" spans="1:10" x14ac:dyDescent="0.2">
      <c r="A722" s="53">
        <v>43678</v>
      </c>
      <c r="B722">
        <v>111.8</v>
      </c>
      <c r="C722">
        <v>2926.4599609375</v>
      </c>
      <c r="D722">
        <v>89.8</v>
      </c>
      <c r="E722">
        <v>105.3</v>
      </c>
      <c r="F722">
        <v>79.900000000000006</v>
      </c>
    </row>
    <row r="723" spans="1:10" x14ac:dyDescent="0.2">
      <c r="A723" s="53">
        <v>43709</v>
      </c>
      <c r="B723">
        <v>111.7</v>
      </c>
      <c r="C723">
        <v>2976.739990234375</v>
      </c>
      <c r="D723">
        <v>93.2</v>
      </c>
      <c r="E723">
        <v>108.5</v>
      </c>
      <c r="F723">
        <v>83.4</v>
      </c>
    </row>
    <row r="724" spans="1:10" x14ac:dyDescent="0.2">
      <c r="A724" s="53">
        <v>43739</v>
      </c>
      <c r="B724">
        <v>111.4</v>
      </c>
      <c r="C724">
        <v>3037.56005859375</v>
      </c>
      <c r="D724">
        <v>95.5</v>
      </c>
      <c r="E724">
        <v>113.2</v>
      </c>
      <c r="F724">
        <v>84.2</v>
      </c>
      <c r="G724">
        <v>19202.310000000001</v>
      </c>
      <c r="H724">
        <v>4.6690736687410462E-3</v>
      </c>
      <c r="I724">
        <v>2.5050579852111659E-2</v>
      </c>
      <c r="J724">
        <v>1.8807503791633099E-2</v>
      </c>
    </row>
    <row r="725" spans="1:10" x14ac:dyDescent="0.2">
      <c r="A725" s="53">
        <v>43770</v>
      </c>
      <c r="B725">
        <v>111.6</v>
      </c>
      <c r="C725">
        <v>3140.97998046875</v>
      </c>
      <c r="D725">
        <v>96.8</v>
      </c>
      <c r="E725">
        <v>111.6</v>
      </c>
      <c r="F725">
        <v>87.3</v>
      </c>
    </row>
    <row r="726" spans="1:10" x14ac:dyDescent="0.2">
      <c r="A726" s="53">
        <v>43800</v>
      </c>
      <c r="B726">
        <v>111.4</v>
      </c>
      <c r="C726">
        <v>3230.780029296875</v>
      </c>
      <c r="D726">
        <v>99.3</v>
      </c>
      <c r="E726">
        <v>115.5</v>
      </c>
      <c r="F726">
        <v>88.9</v>
      </c>
    </row>
    <row r="727" spans="1:10" x14ac:dyDescent="0.2">
      <c r="A727" s="53">
        <v>43831</v>
      </c>
      <c r="B727">
        <v>112</v>
      </c>
      <c r="C727">
        <v>3225.52001953125</v>
      </c>
      <c r="D727">
        <v>99.8</v>
      </c>
      <c r="E727">
        <v>114.4</v>
      </c>
      <c r="F727">
        <v>90.5</v>
      </c>
      <c r="G727">
        <v>18951.991999999998</v>
      </c>
      <c r="H727">
        <v>-1.3208004731112329E-2</v>
      </c>
      <c r="I727">
        <v>6.2683120592283209E-3</v>
      </c>
      <c r="J727">
        <v>-5.179449677638337E-2</v>
      </c>
    </row>
    <row r="728" spans="1:10" x14ac:dyDescent="0.2">
      <c r="A728" s="53">
        <v>43862</v>
      </c>
      <c r="B728">
        <v>111.9</v>
      </c>
      <c r="C728">
        <v>2954.219970703125</v>
      </c>
      <c r="D728">
        <v>101</v>
      </c>
      <c r="E728">
        <v>114.8</v>
      </c>
      <c r="F728">
        <v>92.1</v>
      </c>
    </row>
    <row r="729" spans="1:10" x14ac:dyDescent="0.2">
      <c r="A729" s="53">
        <v>43891</v>
      </c>
      <c r="B729">
        <v>103.4</v>
      </c>
      <c r="C729">
        <v>2584.590087890625</v>
      </c>
      <c r="D729">
        <v>89.1</v>
      </c>
      <c r="E729">
        <v>103.7</v>
      </c>
      <c r="F729">
        <v>79.7</v>
      </c>
    </row>
    <row r="730" spans="1:10" x14ac:dyDescent="0.2">
      <c r="A730" s="53">
        <v>43922</v>
      </c>
      <c r="B730">
        <v>96.8</v>
      </c>
      <c r="C730">
        <v>2912.429931640625</v>
      </c>
      <c r="D730">
        <v>71.8</v>
      </c>
      <c r="E730">
        <v>74.3</v>
      </c>
      <c r="F730">
        <v>70.099999999999994</v>
      </c>
      <c r="G730">
        <v>17258.205000000002</v>
      </c>
      <c r="H730">
        <v>-9.8143868380286159E-2</v>
      </c>
      <c r="I730">
        <v>-9.9913229678289056E-2</v>
      </c>
      <c r="J730">
        <v>-0.33847075337229399</v>
      </c>
    </row>
    <row r="731" spans="1:10" x14ac:dyDescent="0.2">
      <c r="A731" s="53">
        <v>43952</v>
      </c>
      <c r="B731">
        <v>99.8</v>
      </c>
      <c r="C731">
        <v>3044.31005859375</v>
      </c>
      <c r="D731">
        <v>72.3</v>
      </c>
      <c r="E731">
        <v>82.3</v>
      </c>
      <c r="F731">
        <v>65.900000000000006</v>
      </c>
    </row>
    <row r="732" spans="1:10" x14ac:dyDescent="0.2">
      <c r="A732" s="53">
        <v>43983</v>
      </c>
      <c r="B732">
        <v>102.8</v>
      </c>
      <c r="C732">
        <v>3100.2900390625</v>
      </c>
      <c r="D732">
        <v>78.099999999999994</v>
      </c>
      <c r="E732">
        <v>87.1</v>
      </c>
      <c r="F732">
        <v>72.3</v>
      </c>
    </row>
    <row r="733" spans="1:10" x14ac:dyDescent="0.2">
      <c r="A733" s="53">
        <v>44013</v>
      </c>
      <c r="B733">
        <v>104.9</v>
      </c>
      <c r="C733">
        <v>3271.1201171875</v>
      </c>
      <c r="D733">
        <v>72.5</v>
      </c>
      <c r="E733">
        <v>82.8</v>
      </c>
      <c r="F733">
        <v>65.900000000000006</v>
      </c>
      <c r="G733">
        <v>18560.774000000001</v>
      </c>
      <c r="H733">
        <v>7.0178592767736914E-2</v>
      </c>
      <c r="I733">
        <v>-2.9733619944943949E-2</v>
      </c>
      <c r="J733">
        <v>0.31167136440634891</v>
      </c>
    </row>
    <row r="734" spans="1:10" x14ac:dyDescent="0.2">
      <c r="A734" s="53">
        <v>44044</v>
      </c>
      <c r="B734">
        <v>106.5</v>
      </c>
      <c r="C734">
        <v>3500.31005859375</v>
      </c>
      <c r="D734">
        <v>74.099999999999994</v>
      </c>
      <c r="E734">
        <v>82.9</v>
      </c>
      <c r="F734">
        <v>68.5</v>
      </c>
    </row>
    <row r="735" spans="1:10" x14ac:dyDescent="0.2">
      <c r="A735" s="53">
        <v>44075</v>
      </c>
      <c r="B735">
        <v>107.5</v>
      </c>
      <c r="C735">
        <v>3363</v>
      </c>
      <c r="D735">
        <v>80.400000000000006</v>
      </c>
      <c r="E735">
        <v>87.8</v>
      </c>
      <c r="F735">
        <v>75.599999999999994</v>
      </c>
    </row>
    <row r="736" spans="1:10" x14ac:dyDescent="0.2">
      <c r="A736" s="53">
        <v>44105</v>
      </c>
      <c r="B736">
        <v>108.2</v>
      </c>
      <c r="C736">
        <v>3269.9599609375</v>
      </c>
      <c r="D736">
        <v>81.8</v>
      </c>
      <c r="E736">
        <v>85.9</v>
      </c>
      <c r="F736">
        <v>79.2</v>
      </c>
      <c r="G736">
        <v>18767.777999999998</v>
      </c>
      <c r="H736">
        <v>1.1029755360490581E-2</v>
      </c>
      <c r="I736">
        <v>-2.3153087168870119E-2</v>
      </c>
      <c r="J736">
        <v>4.4854336583656451E-2</v>
      </c>
    </row>
    <row r="737" spans="1:10" x14ac:dyDescent="0.2">
      <c r="A737" s="53">
        <v>44136</v>
      </c>
      <c r="B737">
        <v>109.2</v>
      </c>
      <c r="C737">
        <v>3621.6298828125</v>
      </c>
      <c r="D737">
        <v>76.900000000000006</v>
      </c>
      <c r="E737">
        <v>87</v>
      </c>
      <c r="F737">
        <v>70.5</v>
      </c>
    </row>
    <row r="738" spans="1:10" x14ac:dyDescent="0.2">
      <c r="A738" s="53">
        <v>44166</v>
      </c>
      <c r="B738">
        <v>109.6</v>
      </c>
      <c r="C738">
        <v>3756.070068359375</v>
      </c>
      <c r="D738">
        <v>80.7</v>
      </c>
      <c r="E738">
        <v>90</v>
      </c>
      <c r="F738">
        <v>74.599999999999994</v>
      </c>
    </row>
    <row r="739" spans="1:10" x14ac:dyDescent="0.2">
      <c r="A739" s="53">
        <v>44197</v>
      </c>
      <c r="B739">
        <v>110.1</v>
      </c>
      <c r="C739">
        <v>3714.239990234375</v>
      </c>
      <c r="D739">
        <v>79</v>
      </c>
      <c r="E739">
        <v>86.7</v>
      </c>
      <c r="F739">
        <v>74</v>
      </c>
      <c r="G739">
        <v>19055.654999999999</v>
      </c>
      <c r="H739">
        <v>1.5107168974249401E-2</v>
      </c>
      <c r="I739">
        <v>5.440012426757331E-3</v>
      </c>
      <c r="J739">
        <v>6.1811878739345127E-2</v>
      </c>
    </row>
    <row r="740" spans="1:10" x14ac:dyDescent="0.2">
      <c r="A740" s="53">
        <v>44228</v>
      </c>
      <c r="B740">
        <v>110.1</v>
      </c>
      <c r="C740">
        <v>3811.14990234375</v>
      </c>
      <c r="D740">
        <v>76.8</v>
      </c>
      <c r="E740">
        <v>86.2</v>
      </c>
      <c r="F740">
        <v>70.7</v>
      </c>
    </row>
    <row r="741" spans="1:10" x14ac:dyDescent="0.2">
      <c r="A741" s="53">
        <v>44256</v>
      </c>
      <c r="B741">
        <v>111.6</v>
      </c>
      <c r="C741">
        <v>3972.889892578125</v>
      </c>
      <c r="D741">
        <v>84.9</v>
      </c>
      <c r="E741">
        <v>93</v>
      </c>
      <c r="F741">
        <v>79.7</v>
      </c>
    </row>
    <row r="742" spans="1:10" x14ac:dyDescent="0.2">
      <c r="A742" s="53">
        <v>44287</v>
      </c>
      <c r="B742">
        <v>113</v>
      </c>
      <c r="C742">
        <v>4181.169921875</v>
      </c>
      <c r="D742">
        <v>88.3</v>
      </c>
      <c r="E742">
        <v>97.2</v>
      </c>
      <c r="F742">
        <v>82.7</v>
      </c>
      <c r="G742">
        <v>19368.310000000001</v>
      </c>
      <c r="H742">
        <v>1.614260614374731E-2</v>
      </c>
      <c r="I742">
        <v>0.10894626325167241</v>
      </c>
      <c r="J742">
        <v>6.6150820879828487E-2</v>
      </c>
    </row>
    <row r="743" spans="1:10" x14ac:dyDescent="0.2">
      <c r="A743" s="53">
        <v>44317</v>
      </c>
      <c r="B743">
        <v>114.5</v>
      </c>
      <c r="C743">
        <v>4204.10986328125</v>
      </c>
      <c r="D743">
        <v>82.9</v>
      </c>
      <c r="E743">
        <v>89.4</v>
      </c>
      <c r="F743">
        <v>78.8</v>
      </c>
    </row>
    <row r="744" spans="1:10" x14ac:dyDescent="0.2">
      <c r="A744" s="53">
        <v>44348</v>
      </c>
      <c r="B744">
        <v>115.1</v>
      </c>
      <c r="C744">
        <v>4297.5</v>
      </c>
      <c r="D744">
        <v>85.5</v>
      </c>
      <c r="E744">
        <v>88.6</v>
      </c>
      <c r="F744">
        <v>83.5</v>
      </c>
    </row>
    <row r="745" spans="1:10" x14ac:dyDescent="0.2">
      <c r="A745" s="53">
        <v>44378</v>
      </c>
      <c r="B745">
        <v>116</v>
      </c>
      <c r="C745">
        <v>4395.259765625</v>
      </c>
      <c r="D745">
        <v>81.2</v>
      </c>
      <c r="E745">
        <v>84.5</v>
      </c>
      <c r="F745">
        <v>79</v>
      </c>
      <c r="G745">
        <v>19478.893</v>
      </c>
      <c r="H745">
        <v>5.6770679935455636E-3</v>
      </c>
      <c r="I745">
        <v>4.7134044013692089E-2</v>
      </c>
      <c r="J745">
        <v>2.2902379486108519E-2</v>
      </c>
    </row>
    <row r="746" spans="1:10" x14ac:dyDescent="0.2">
      <c r="A746" s="53">
        <v>44409</v>
      </c>
      <c r="B746">
        <v>117.1</v>
      </c>
      <c r="C746">
        <v>4522.68017578125</v>
      </c>
      <c r="D746">
        <v>70.3</v>
      </c>
      <c r="E746">
        <v>78.5</v>
      </c>
      <c r="F746">
        <v>65.099999999999994</v>
      </c>
    </row>
    <row r="747" spans="1:10" x14ac:dyDescent="0.2">
      <c r="A747" s="53">
        <v>44440</v>
      </c>
      <c r="B747">
        <v>117.5</v>
      </c>
      <c r="C747">
        <v>4307.5400390625</v>
      </c>
      <c r="D747">
        <v>72.8</v>
      </c>
      <c r="E747">
        <v>80.099999999999994</v>
      </c>
      <c r="F747">
        <v>68.099999999999994</v>
      </c>
    </row>
    <row r="748" spans="1:10" x14ac:dyDescent="0.2">
      <c r="A748" s="53">
        <v>44470</v>
      </c>
      <c r="B748">
        <v>118.3</v>
      </c>
      <c r="C748">
        <v>4605.3798828125</v>
      </c>
      <c r="D748">
        <v>71.7</v>
      </c>
      <c r="E748">
        <v>77.7</v>
      </c>
      <c r="F748">
        <v>67.900000000000006</v>
      </c>
    </row>
    <row r="749" spans="1:10" x14ac:dyDescent="0.2">
      <c r="A749" s="53">
        <v>44501</v>
      </c>
      <c r="B749">
        <v>119.9</v>
      </c>
      <c r="C749">
        <v>4567</v>
      </c>
      <c r="D749">
        <v>67.400000000000006</v>
      </c>
      <c r="E749">
        <v>73.599999999999994</v>
      </c>
      <c r="F749">
        <v>63.5</v>
      </c>
    </row>
    <row r="750" spans="1:10" x14ac:dyDescent="0.2">
      <c r="A750" s="53">
        <v>44531</v>
      </c>
      <c r="B750">
        <v>120.8</v>
      </c>
      <c r="C750">
        <v>4766.18017578125</v>
      </c>
      <c r="D750">
        <v>70.599999999999994</v>
      </c>
      <c r="E750">
        <v>74.2</v>
      </c>
      <c r="F750">
        <v>68.3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64"/>
  <sheetViews>
    <sheetView zoomScale="130" zoomScaleNormal="130" workbookViewId="0">
      <pane ySplit="9" topLeftCell="A715" activePane="bottomLeft" state="frozen"/>
      <selection activeCell="F487" sqref="F487"/>
      <selection pane="bottomLeft" activeCell="B762" sqref="B762"/>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18" width="9.1640625" style="51" customWidth="1"/>
    <col min="19" max="16384" width="9.1640625" style="51"/>
  </cols>
  <sheetData>
    <row r="1" spans="1:6" x14ac:dyDescent="0.2">
      <c r="A1" s="5" t="s">
        <v>9</v>
      </c>
    </row>
    <row r="9" spans="1:6" ht="27" customHeight="1" x14ac:dyDescent="0.2">
      <c r="A9" s="48" t="s">
        <v>29</v>
      </c>
      <c r="B9" s="49" t="s">
        <v>30</v>
      </c>
      <c r="C9" s="48" t="s">
        <v>31</v>
      </c>
      <c r="D9" s="50" t="s">
        <v>32</v>
      </c>
      <c r="E9" s="49" t="s">
        <v>33</v>
      </c>
      <c r="F9" s="50" t="s">
        <v>34</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Row],[S&amp;P 500]]-E10)/E10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Row],[S&amp;P 500]]-E11)/E11</f>
        <v>3.6094748240389882E-3</v>
      </c>
    </row>
    <row r="23" spans="1:6" x14ac:dyDescent="0.2">
      <c r="A23" s="6">
        <v>21947</v>
      </c>
      <c r="B23" s="2">
        <v>28.7</v>
      </c>
      <c r="C23" s="4">
        <f>(Table3[[#This Row],[Conference Board Leading Indicator]]-B11)/B11</f>
        <v>3.9855072463768036E-2</v>
      </c>
      <c r="E23" s="2">
        <v>56.119999</v>
      </c>
      <c r="F23" s="4">
        <f>(Table3[[#This Row],[S&amp;P 500]]-E12)/E12</f>
        <v>1.2265512486751663E-2</v>
      </c>
    </row>
    <row r="24" spans="1:6" x14ac:dyDescent="0.2">
      <c r="A24" s="6">
        <v>21976</v>
      </c>
      <c r="B24" s="2">
        <v>28.6</v>
      </c>
      <c r="C24" s="4">
        <f>(Table3[[#This Row],[Conference Board Leading Indicator]]-B12)/B12</f>
        <v>2.1428571428571481E-2</v>
      </c>
      <c r="E24" s="2">
        <v>55.34</v>
      </c>
      <c r="F24" s="4">
        <f>(Table3[[#This Row],[S&amp;P 500]]-E13)/E13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Row],[S&amp;P 500]]-E14)/E14</f>
        <v>-7.3449233128834349E-2</v>
      </c>
    </row>
    <row r="26" spans="1:6" x14ac:dyDescent="0.2">
      <c r="A26" s="6">
        <v>22037</v>
      </c>
      <c r="B26" s="2">
        <v>28.7</v>
      </c>
      <c r="C26" s="4">
        <f>(Table3[[#This Row],[Conference Board Leading Indicator]]-B14)/B14</f>
        <v>1.4134275618374508E-2</v>
      </c>
      <c r="E26" s="2">
        <v>55.830002</v>
      </c>
      <c r="F26" s="4">
        <f>(Table3[[#This Row],[S&amp;P 500]]-E15)/E15</f>
        <v>-4.5151341796624958E-2</v>
      </c>
    </row>
    <row r="27" spans="1:6" x14ac:dyDescent="0.2">
      <c r="A27" s="6">
        <v>22068</v>
      </c>
      <c r="B27" s="2">
        <v>28.8</v>
      </c>
      <c r="C27" s="4">
        <f>(Table3[[#This Row],[Conference Board Leading Indicator]]-B15)/B15</f>
        <v>1.4084507042253596E-2</v>
      </c>
      <c r="E27" s="2">
        <v>56.919998</v>
      </c>
      <c r="F27" s="4">
        <f>(Table3[[#This Row],[S&amp;P 500]]-E16)/E16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Row],[S&amp;P 500]]-E17)/E17</f>
        <v>-6.8624163376649713E-2</v>
      </c>
    </row>
    <row r="29" spans="1:6" x14ac:dyDescent="0.2">
      <c r="A29" s="6">
        <v>22129</v>
      </c>
      <c r="B29" s="2">
        <v>28.9</v>
      </c>
      <c r="C29" s="4">
        <f>(Table3[[#This Row],[Conference Board Leading Indicator]]-B17)/B17</f>
        <v>1.7605633802816902E-2</v>
      </c>
      <c r="E29" s="2">
        <v>56.959999000000003</v>
      </c>
      <c r="F29" s="4">
        <f>(Table3[[#This Row],[S&amp;P 500]]-E18)/E18</f>
        <v>1.4064345744298308E-3</v>
      </c>
    </row>
    <row r="30" spans="1:6" x14ac:dyDescent="0.2">
      <c r="A30" s="6">
        <v>22160</v>
      </c>
      <c r="B30" s="2">
        <v>28.9</v>
      </c>
      <c r="C30" s="4">
        <f>(Table3[[#This Row],[Conference Board Leading Indicator]]-B18)/B18</f>
        <v>1.7605633802816902E-2</v>
      </c>
      <c r="E30" s="2">
        <v>53.52</v>
      </c>
      <c r="F30" s="4">
        <f>(Table3[[#This Row],[S&amp;P 500]]-E19)/E19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Row],[S&amp;P 500]]-E20)/E20</f>
        <v>-8.3905286271538773E-2</v>
      </c>
    </row>
    <row r="32" spans="1:6" x14ac:dyDescent="0.2">
      <c r="A32" s="6">
        <v>22221</v>
      </c>
      <c r="B32" s="2">
        <v>28.9</v>
      </c>
      <c r="C32" s="4">
        <f>(Table3[[#This Row],[Conference Board Leading Indicator]]-B20)/B20</f>
        <v>2.8469750889679613E-2</v>
      </c>
      <c r="E32" s="2">
        <v>55.540000999999997</v>
      </c>
      <c r="F32" s="4">
        <f>(Table3[[#This Row],[S&amp;P 500]]-E21)/E21</f>
        <v>-7.2633128613009426E-2</v>
      </c>
    </row>
    <row r="33" spans="1:6" x14ac:dyDescent="0.2">
      <c r="A33" s="6">
        <v>22251</v>
      </c>
      <c r="B33" s="2">
        <v>28.9</v>
      </c>
      <c r="C33" s="4">
        <f>(Table3[[#This Row],[Conference Board Leading Indicator]]-B21)/B21</f>
        <v>6.9686411149825541E-3</v>
      </c>
      <c r="E33" s="2">
        <v>58.110000999999997</v>
      </c>
      <c r="F33" s="4">
        <f>(Table3[[#This Row],[S&amp;P 500]]-E22)/E22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Row],[S&amp;P 500]]-E23)/E23</f>
        <v>0.10085531184702973</v>
      </c>
    </row>
    <row r="35" spans="1:6" x14ac:dyDescent="0.2">
      <c r="A35" s="6">
        <v>22313</v>
      </c>
      <c r="B35" s="2">
        <v>29.2</v>
      </c>
      <c r="C35" s="4">
        <f>(Table3[[#This Row],[Conference Board Leading Indicator]]-B23)/B23</f>
        <v>1.7421602787456445E-2</v>
      </c>
      <c r="E35" s="2">
        <v>63.439999</v>
      </c>
      <c r="F35" s="4">
        <f>(Table3[[#This Row],[S&amp;P 500]]-E24)/E24</f>
        <v>0.14636788941091428</v>
      </c>
    </row>
    <row r="36" spans="1:6" x14ac:dyDescent="0.2">
      <c r="A36" s="6">
        <v>22341</v>
      </c>
      <c r="B36" s="2">
        <v>29.6</v>
      </c>
      <c r="C36" s="4">
        <f>(Table3[[#This Row],[Conference Board Leading Indicator]]-B24)/B24</f>
        <v>3.4965034965034961E-2</v>
      </c>
      <c r="E36" s="2">
        <v>65.059997999999993</v>
      </c>
      <c r="F36" s="4">
        <f>(Table3[[#This Row],[S&amp;P 500]]-E25)/E25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Row],[S&amp;P 500]]-E26)/E26</f>
        <v>0.16980110443126964</v>
      </c>
    </row>
    <row r="38" spans="1:6" x14ac:dyDescent="0.2">
      <c r="A38" s="6">
        <v>22402</v>
      </c>
      <c r="B38" s="2">
        <v>30.2</v>
      </c>
      <c r="C38" s="4">
        <f>(Table3[[#This Row],[Conference Board Leading Indicator]]-B26)/B26</f>
        <v>5.2264808362369339E-2</v>
      </c>
      <c r="E38" s="2">
        <v>66.559997999999993</v>
      </c>
      <c r="F38" s="4">
        <f>(Table3[[#This Row],[S&amp;P 500]]-E27)/E27</f>
        <v>0.16936051192412188</v>
      </c>
    </row>
    <row r="39" spans="1:6" x14ac:dyDescent="0.2">
      <c r="A39" s="6">
        <v>22433</v>
      </c>
      <c r="B39" s="2">
        <v>30.6</v>
      </c>
      <c r="C39" s="4">
        <f>(Table3[[#This Row],[Conference Board Leading Indicator]]-B27)/B27</f>
        <v>6.2500000000000028E-2</v>
      </c>
      <c r="E39" s="2">
        <v>64.639999000000003</v>
      </c>
      <c r="F39" s="4">
        <f>(Table3[[#This Row],[S&amp;P 500]]-E28)/E28</f>
        <v>0.16447489333362972</v>
      </c>
    </row>
    <row r="40" spans="1:6" x14ac:dyDescent="0.2">
      <c r="A40" s="6">
        <v>22463</v>
      </c>
      <c r="B40" s="2">
        <v>30.7</v>
      </c>
      <c r="C40" s="4">
        <f>(Table3[[#This Row],[Conference Board Leading Indicator]]-B28)/B28</f>
        <v>6.5972222222222168E-2</v>
      </c>
      <c r="D40" s="3">
        <v>3.0101138383319188E-2</v>
      </c>
      <c r="E40" s="2">
        <v>66.760002</v>
      </c>
      <c r="F40" s="4">
        <f>(Table3[[#This Row],[S&amp;P 500]]-E29)/E29</f>
        <v>0.17205061748684364</v>
      </c>
    </row>
    <row r="41" spans="1:6" x14ac:dyDescent="0.2">
      <c r="A41" s="6">
        <v>22494</v>
      </c>
      <c r="B41" s="2">
        <v>31.2</v>
      </c>
      <c r="C41" s="4">
        <f>(Table3[[#This Row],[Conference Board Leading Indicator]]-B29)/B29</f>
        <v>7.9584775086505216E-2</v>
      </c>
      <c r="E41" s="2">
        <v>68.069999999999993</v>
      </c>
      <c r="F41" s="4">
        <f>(Table3[[#This Row],[S&amp;P 500]]-E30)/E30</f>
        <v>0.27186098654708502</v>
      </c>
    </row>
    <row r="42" spans="1:6" x14ac:dyDescent="0.2">
      <c r="A42" s="6">
        <v>22525</v>
      </c>
      <c r="B42" s="2">
        <v>31.2</v>
      </c>
      <c r="C42" s="4">
        <f>(Table3[[#This Row],[Conference Board Leading Indicator]]-B30)/B30</f>
        <v>7.9584775086505216E-2</v>
      </c>
      <c r="E42" s="2">
        <v>66.730002999999996</v>
      </c>
      <c r="F42" s="4">
        <f>(Table3[[#This Row],[S&amp;P 500]]-E31)/E31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Row],[S&amp;P 500]]-E32)/E32</f>
        <v>0.23550597343345386</v>
      </c>
    </row>
    <row r="44" spans="1:6" x14ac:dyDescent="0.2">
      <c r="A44" s="6">
        <v>22586</v>
      </c>
      <c r="B44" s="2">
        <v>32.1</v>
      </c>
      <c r="C44" s="4">
        <f>(Table3[[#This Row],[Conference Board Leading Indicator]]-B32)/B32</f>
        <v>0.11072664359861602</v>
      </c>
      <c r="E44" s="2">
        <v>71.319999999999993</v>
      </c>
      <c r="F44" s="4">
        <f>(Table3[[#This Row],[S&amp;P 500]]-E33)/E33</f>
        <v>0.22732746124027767</v>
      </c>
    </row>
    <row r="45" spans="1:6" x14ac:dyDescent="0.2">
      <c r="A45" s="6">
        <v>22616</v>
      </c>
      <c r="B45" s="2">
        <v>32.4</v>
      </c>
      <c r="C45" s="4">
        <f>(Table3[[#This Row],[Conference Board Leading Indicator]]-B33)/B33</f>
        <v>0.12110726643598617</v>
      </c>
      <c r="E45" s="2">
        <v>71.550003000000004</v>
      </c>
      <c r="F45" s="4">
        <f>(Table3[[#This Row],[S&amp;P 500]]-E34)/E34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Row],[S&amp;P 500]]-E35)/E35</f>
        <v>8.5119752287511841E-2</v>
      </c>
    </row>
    <row r="47" spans="1:6" x14ac:dyDescent="0.2">
      <c r="A47" s="6">
        <v>22678</v>
      </c>
      <c r="B47" s="2">
        <v>32.799999999999997</v>
      </c>
      <c r="C47" s="4">
        <f>(Table3[[#This Row],[Conference Board Leading Indicator]]-B35)/B35</f>
        <v>0.12328767123287664</v>
      </c>
      <c r="E47" s="2">
        <v>69.959998999999996</v>
      </c>
      <c r="F47" s="4">
        <f>(Table3[[#This Row],[S&amp;P 500]]-E36)/E36</f>
        <v>7.5315111445284758E-2</v>
      </c>
    </row>
    <row r="48" spans="1:6" x14ac:dyDescent="0.2">
      <c r="A48" s="6">
        <v>22706</v>
      </c>
      <c r="B48" s="2">
        <v>32.9</v>
      </c>
      <c r="C48" s="4">
        <f>(Table3[[#This Row],[Conference Board Leading Indicator]]-B36)/B36</f>
        <v>0.11148648648648639</v>
      </c>
      <c r="E48" s="2">
        <v>69.550003000000004</v>
      </c>
      <c r="F48" s="4">
        <f>(Table3[[#This Row],[S&amp;P 500]]-E37)/E37</f>
        <v>6.492122385304637E-2</v>
      </c>
    </row>
    <row r="49" spans="1:6" x14ac:dyDescent="0.2">
      <c r="A49" s="6">
        <v>22737</v>
      </c>
      <c r="B49" s="2">
        <v>33.1</v>
      </c>
      <c r="C49" s="4">
        <f>(Table3[[#This Row],[Conference Board Leading Indicator]]-B37)/B37</f>
        <v>0.10702341137123755</v>
      </c>
      <c r="D49" s="3">
        <v>6.7277132260258818E-2</v>
      </c>
      <c r="E49" s="2">
        <v>65.239998</v>
      </c>
      <c r="F49" s="4">
        <f>(Table3[[#This Row],[S&amp;P 500]]-E38)/E38</f>
        <v>-1.9831731365136059E-2</v>
      </c>
    </row>
    <row r="50" spans="1:6" x14ac:dyDescent="0.2">
      <c r="A50" s="6">
        <v>22767</v>
      </c>
      <c r="B50" s="2">
        <v>33.1</v>
      </c>
      <c r="C50" s="4">
        <f>(Table3[[#This Row],[Conference Board Leading Indicator]]-B38)/B38</f>
        <v>9.602649006622524E-2</v>
      </c>
      <c r="E50" s="2">
        <v>59.630001</v>
      </c>
      <c r="F50" s="4">
        <f>(Table3[[#This Row],[S&amp;P 500]]-E39)/E39</f>
        <v>-7.7506158377261158E-2</v>
      </c>
    </row>
    <row r="51" spans="1:6" x14ac:dyDescent="0.2">
      <c r="A51" s="6">
        <v>22798</v>
      </c>
      <c r="B51" s="2">
        <v>33</v>
      </c>
      <c r="C51" s="4">
        <f>(Table3[[#This Row],[Conference Board Leading Indicator]]-B39)/B39</f>
        <v>7.8431372549019551E-2</v>
      </c>
      <c r="E51" s="2">
        <v>54.75</v>
      </c>
      <c r="F51" s="4">
        <f>(Table3[[#This Row],[S&amp;P 500]]-E40)/E40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Row],[S&amp;P 500]]-E41)/E41</f>
        <v>-0.1445570736007051</v>
      </c>
    </row>
    <row r="53" spans="1:6" x14ac:dyDescent="0.2">
      <c r="A53" s="6">
        <v>22859</v>
      </c>
      <c r="B53" s="2">
        <v>33.4</v>
      </c>
      <c r="C53" s="4">
        <f>(Table3[[#This Row],[Conference Board Leading Indicator]]-B41)/B41</f>
        <v>7.0512820512820498E-2</v>
      </c>
      <c r="E53" s="2">
        <v>59.119999</v>
      </c>
      <c r="F53" s="4">
        <f>(Table3[[#This Row],[S&amp;P 500]]-E42)/E42</f>
        <v>-0.11404171523864605</v>
      </c>
    </row>
    <row r="54" spans="1:6" x14ac:dyDescent="0.2">
      <c r="A54" s="6">
        <v>22890</v>
      </c>
      <c r="B54" s="2">
        <v>33.5</v>
      </c>
      <c r="C54" s="4">
        <f>(Table3[[#This Row],[Conference Board Leading Indicator]]-B42)/B42</f>
        <v>7.3717948717948747E-2</v>
      </c>
      <c r="E54" s="2">
        <v>56.27</v>
      </c>
      <c r="F54" s="4">
        <f>(Table3[[#This Row],[S&amp;P 500]]-E43)/E43</f>
        <v>-0.17997671903336981</v>
      </c>
    </row>
    <row r="55" spans="1:6" x14ac:dyDescent="0.2">
      <c r="A55" s="6">
        <v>22920</v>
      </c>
      <c r="B55" s="2">
        <v>33.6</v>
      </c>
      <c r="C55" s="4">
        <f>(Table3[[#This Row],[Conference Board Leading Indicator]]-B43)/B43</f>
        <v>5.9936908517350229E-2</v>
      </c>
      <c r="D55" s="3">
        <v>4.3070083324584993E-2</v>
      </c>
      <c r="E55" s="2">
        <v>56.52</v>
      </c>
      <c r="F55" s="4">
        <f>(Table3[[#This Row],[S&amp;P 500]]-E44)/E44</f>
        <v>-0.20751542344363422</v>
      </c>
    </row>
    <row r="56" spans="1:6" x14ac:dyDescent="0.2">
      <c r="A56" s="6">
        <v>22951</v>
      </c>
      <c r="B56" s="2">
        <v>34</v>
      </c>
      <c r="C56" s="4">
        <f>(Table3[[#This Row],[Conference Board Leading Indicator]]-B44)/B44</f>
        <v>5.9190031152647926E-2</v>
      </c>
      <c r="E56" s="2">
        <v>62.259998000000003</v>
      </c>
      <c r="F56" s="4">
        <f>(Table3[[#This Row],[S&amp;P 500]]-E45)/E45</f>
        <v>-0.12983933767270422</v>
      </c>
    </row>
    <row r="57" spans="1:6" x14ac:dyDescent="0.2">
      <c r="A57" s="6">
        <v>22981</v>
      </c>
      <c r="B57" s="2">
        <v>34.1</v>
      </c>
      <c r="C57" s="4">
        <f>(Table3[[#This Row],[Conference Board Leading Indicator]]-B45)/B45</f>
        <v>5.2469135802469223E-2</v>
      </c>
      <c r="E57" s="2">
        <v>63.099997999999999</v>
      </c>
      <c r="F57" s="4">
        <f>(Table3[[#This Row],[S&amp;P 500]]-E46)/E46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Row],[S&amp;P 500]]-E47)/E47</f>
        <v>-5.3745026497213078E-2</v>
      </c>
    </row>
    <row r="59" spans="1:6" x14ac:dyDescent="0.2">
      <c r="A59" s="6">
        <v>23043</v>
      </c>
      <c r="B59" s="2">
        <v>34.700000000000003</v>
      </c>
      <c r="C59" s="4">
        <f>(Table3[[#This Row],[Conference Board Leading Indicator]]-B47)/B47</f>
        <v>5.7926829268292859E-2</v>
      </c>
      <c r="E59" s="2">
        <v>64.290001000000004</v>
      </c>
      <c r="F59" s="4">
        <f>(Table3[[#This Row],[S&amp;P 500]]-E48)/E48</f>
        <v>-7.5629069347416131E-2</v>
      </c>
    </row>
    <row r="60" spans="1:6" x14ac:dyDescent="0.2">
      <c r="A60" s="6">
        <v>23071</v>
      </c>
      <c r="B60" s="2">
        <v>35</v>
      </c>
      <c r="C60" s="4">
        <f>(Table3[[#This Row],[Conference Board Leading Indicator]]-B48)/B48</f>
        <v>6.3829787234042604E-2</v>
      </c>
      <c r="E60" s="2">
        <v>66.569999999999993</v>
      </c>
      <c r="F60" s="4">
        <f>(Table3[[#This Row],[S&amp;P 500]]-E49)/E49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Row],[S&amp;P 500]]-E50)/E50</f>
        <v>0.17055176638350222</v>
      </c>
    </row>
    <row r="62" spans="1:6" x14ac:dyDescent="0.2">
      <c r="A62" s="6">
        <v>23132</v>
      </c>
      <c r="B62" s="2">
        <v>35.6</v>
      </c>
      <c r="C62" s="4">
        <f>(Table3[[#This Row],[Conference Board Leading Indicator]]-B50)/B50</f>
        <v>7.5528700906344406E-2</v>
      </c>
      <c r="E62" s="2">
        <v>70.800003000000004</v>
      </c>
      <c r="F62" s="4">
        <f>(Table3[[#This Row],[S&amp;P 500]]-E51)/E51</f>
        <v>0.29315073972602745</v>
      </c>
    </row>
    <row r="63" spans="1:6" x14ac:dyDescent="0.2">
      <c r="A63" s="6">
        <v>23163</v>
      </c>
      <c r="B63" s="2">
        <v>35.700000000000003</v>
      </c>
      <c r="C63" s="4">
        <f>(Table3[[#This Row],[Conference Board Leading Indicator]]-B51)/B51</f>
        <v>8.1818181818181901E-2</v>
      </c>
      <c r="E63" s="2">
        <v>69.370002999999997</v>
      </c>
      <c r="F63" s="4">
        <f>(Table3[[#This Row],[S&amp;P 500]]-E52)/E52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Row],[S&amp;P 500]]-E53)/E53</f>
        <v>0.16931661314811597</v>
      </c>
    </row>
    <row r="65" spans="1:6" x14ac:dyDescent="0.2">
      <c r="A65" s="6">
        <v>23224</v>
      </c>
      <c r="B65" s="2">
        <v>36</v>
      </c>
      <c r="C65" s="4">
        <f>(Table3[[#This Row],[Conference Board Leading Indicator]]-B53)/B53</f>
        <v>7.7844311377245554E-2</v>
      </c>
      <c r="E65" s="2">
        <v>72.5</v>
      </c>
      <c r="F65" s="4">
        <f>(Table3[[#This Row],[S&amp;P 500]]-E54)/E54</f>
        <v>0.28843078016705165</v>
      </c>
    </row>
    <row r="66" spans="1:6" x14ac:dyDescent="0.2">
      <c r="A66" s="6">
        <v>23255</v>
      </c>
      <c r="B66" s="2">
        <v>36.4</v>
      </c>
      <c r="C66" s="4">
        <f>(Table3[[#This Row],[Conference Board Leading Indicator]]-B54)/B54</f>
        <v>8.6567164179104442E-2</v>
      </c>
      <c r="E66" s="2">
        <v>71.699996999999996</v>
      </c>
      <c r="F66" s="4">
        <f>(Table3[[#This Row],[S&amp;P 500]]-E55)/E55</f>
        <v>0.26857744161358799</v>
      </c>
    </row>
    <row r="67" spans="1:6" x14ac:dyDescent="0.2">
      <c r="A67" s="6">
        <v>23285</v>
      </c>
      <c r="B67" s="2">
        <v>36.6</v>
      </c>
      <c r="C67" s="4">
        <f>(Table3[[#This Row],[Conference Board Leading Indicator]]-B55)/B55</f>
        <v>8.9285714285714288E-2</v>
      </c>
      <c r="D67" s="3">
        <v>5.1582638359753498E-2</v>
      </c>
      <c r="E67" s="2">
        <v>74.010002</v>
      </c>
      <c r="F67" s="4">
        <f>(Table3[[#This Row],[S&amp;P 500]]-E56)/E56</f>
        <v>0.18872477316815842</v>
      </c>
    </row>
    <row r="68" spans="1:6" x14ac:dyDescent="0.2">
      <c r="A68" s="6">
        <v>23316</v>
      </c>
      <c r="B68" s="2">
        <v>36.799999999999997</v>
      </c>
      <c r="C68" s="4">
        <f>(Table3[[#This Row],[Conference Board Leading Indicator]]-B56)/B56</f>
        <v>8.2352941176470504E-2</v>
      </c>
      <c r="E68" s="2">
        <v>73.230002999999996</v>
      </c>
      <c r="F68" s="4">
        <f>(Table3[[#This Row],[S&amp;P 500]]-E57)/E57</f>
        <v>0.16053891158601935</v>
      </c>
    </row>
    <row r="69" spans="1:6" x14ac:dyDescent="0.2">
      <c r="A69" s="6">
        <v>23346</v>
      </c>
      <c r="B69" s="2">
        <v>37</v>
      </c>
      <c r="C69" s="4">
        <f>(Table3[[#This Row],[Conference Board Leading Indicator]]-B57)/B57</f>
        <v>8.5043988269794674E-2</v>
      </c>
      <c r="E69" s="2">
        <v>75.019997000000004</v>
      </c>
      <c r="F69" s="4">
        <f>(Table3[[#This Row],[S&amp;P 500]]-E58)/E58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Row],[S&amp;P 500]]-E59)/E59</f>
        <v>0.19832010890776</v>
      </c>
    </row>
    <row r="71" spans="1:6" x14ac:dyDescent="0.2">
      <c r="A71" s="6">
        <v>23408</v>
      </c>
      <c r="B71" s="2">
        <v>37.5</v>
      </c>
      <c r="C71" s="4">
        <f>(Table3[[#This Row],[Conference Board Leading Indicator]]-B59)/B59</f>
        <v>8.0691642651296747E-2</v>
      </c>
      <c r="E71" s="2">
        <v>77.800003000000004</v>
      </c>
      <c r="F71" s="4">
        <f>(Table3[[#This Row],[S&amp;P 500]]-E60)/E60</f>
        <v>0.16869465224575653</v>
      </c>
    </row>
    <row r="72" spans="1:6" x14ac:dyDescent="0.2">
      <c r="A72" s="6">
        <v>23437</v>
      </c>
      <c r="B72" s="2">
        <v>37.700000000000003</v>
      </c>
      <c r="C72" s="4">
        <f>(Table3[[#This Row],[Conference Board Leading Indicator]]-B60)/B60</f>
        <v>7.7142857142857221E-2</v>
      </c>
      <c r="E72" s="2">
        <v>78.980002999999996</v>
      </c>
      <c r="F72" s="4">
        <f>(Table3[[#This Row],[S&amp;P 500]]-E61)/E61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Row],[S&amp;P 500]]-E62)/E62</f>
        <v>0.12231632250072068</v>
      </c>
    </row>
    <row r="74" spans="1:6" x14ac:dyDescent="0.2">
      <c r="A74" s="6">
        <v>23498</v>
      </c>
      <c r="B74" s="2">
        <v>38.299999999999997</v>
      </c>
      <c r="C74" s="4">
        <f>(Table3[[#This Row],[Conference Board Leading Indicator]]-B62)/B62</f>
        <v>7.5842696629213363E-2</v>
      </c>
      <c r="E74" s="2">
        <v>80.370002999999997</v>
      </c>
      <c r="F74" s="4">
        <f>(Table3[[#This Row],[S&amp;P 500]]-E63)/E63</f>
        <v>0.1585699801685175</v>
      </c>
    </row>
    <row r="75" spans="1:6" x14ac:dyDescent="0.2">
      <c r="A75" s="6">
        <v>23529</v>
      </c>
      <c r="B75" s="2">
        <v>38.5</v>
      </c>
      <c r="C75" s="4">
        <f>(Table3[[#This Row],[Conference Board Leading Indicator]]-B63)/B63</f>
        <v>7.8431372549019523E-2</v>
      </c>
      <c r="E75" s="2">
        <v>81.690002000000007</v>
      </c>
      <c r="F75" s="4">
        <f>(Table3[[#This Row],[S&amp;P 500]]-E64)/E64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Row],[S&amp;P 500]]-E65)/E65</f>
        <v>0.14731034482758631</v>
      </c>
    </row>
    <row r="77" spans="1:6" x14ac:dyDescent="0.2">
      <c r="A77" s="6">
        <v>23590</v>
      </c>
      <c r="B77" s="2">
        <v>39.1</v>
      </c>
      <c r="C77" s="4">
        <f>(Table3[[#This Row],[Conference Board Leading Indicator]]-B65)/B65</f>
        <v>8.6111111111111152E-2</v>
      </c>
      <c r="E77" s="2">
        <v>81.830001999999993</v>
      </c>
      <c r="F77" s="4">
        <f>(Table3[[#This Row],[S&amp;P 500]]-E66)/E66</f>
        <v>0.14128319977475032</v>
      </c>
    </row>
    <row r="78" spans="1:6" x14ac:dyDescent="0.2">
      <c r="A78" s="6">
        <v>23621</v>
      </c>
      <c r="B78" s="2">
        <v>39.4</v>
      </c>
      <c r="C78" s="4">
        <f>(Table3[[#This Row],[Conference Board Leading Indicator]]-B66)/B66</f>
        <v>8.2417582417582416E-2</v>
      </c>
      <c r="E78" s="2">
        <v>84.18</v>
      </c>
      <c r="F78" s="4">
        <f>(Table3[[#This Row],[S&amp;P 500]]-E67)/E67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Row],[S&amp;P 500]]-E68)/E68</f>
        <v>0.15881465961431138</v>
      </c>
    </row>
    <row r="80" spans="1:6" x14ac:dyDescent="0.2">
      <c r="A80" s="6">
        <v>23682</v>
      </c>
      <c r="B80" s="2">
        <v>39.799999999999997</v>
      </c>
      <c r="C80" s="4">
        <f>(Table3[[#This Row],[Conference Board Leading Indicator]]-B68)/B68</f>
        <v>8.1521739130434784E-2</v>
      </c>
      <c r="E80" s="2">
        <v>84.419998000000007</v>
      </c>
      <c r="F80" s="4">
        <f>(Table3[[#This Row],[S&amp;P 500]]-E69)/E69</f>
        <v>0.12529993836176775</v>
      </c>
    </row>
    <row r="81" spans="1:6" x14ac:dyDescent="0.2">
      <c r="A81" s="6">
        <v>23712</v>
      </c>
      <c r="B81" s="2">
        <v>40.1</v>
      </c>
      <c r="C81" s="4">
        <f>(Table3[[#This Row],[Conference Board Leading Indicator]]-B69)/B69</f>
        <v>8.3783783783783816E-2</v>
      </c>
      <c r="E81" s="2">
        <v>84.75</v>
      </c>
      <c r="F81" s="4">
        <f>(Table3[[#This Row],[S&amp;P 500]]-E70)/E70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Row],[S&amp;P 500]]-E71)/E71</f>
        <v>0.12544980236054731</v>
      </c>
    </row>
    <row r="83" spans="1:6" x14ac:dyDescent="0.2">
      <c r="A83" s="6">
        <v>23774</v>
      </c>
      <c r="B83" s="2">
        <v>40.6</v>
      </c>
      <c r="C83" s="4">
        <f>(Table3[[#This Row],[Conference Board Leading Indicator]]-B71)/B71</f>
        <v>8.2666666666666708E-2</v>
      </c>
      <c r="E83" s="2">
        <v>87.43</v>
      </c>
      <c r="F83" s="4">
        <f>(Table3[[#This Row],[S&amp;P 500]]-E72)/E72</f>
        <v>0.10698906911917959</v>
      </c>
    </row>
    <row r="84" spans="1:6" x14ac:dyDescent="0.2">
      <c r="A84" s="6">
        <v>23802</v>
      </c>
      <c r="B84" s="2">
        <v>41.1</v>
      </c>
      <c r="C84" s="4">
        <f>(Table3[[#This Row],[Conference Board Leading Indicator]]-B72)/B72</f>
        <v>9.0185676392572897E-2</v>
      </c>
      <c r="E84" s="2">
        <v>86.160004000000001</v>
      </c>
      <c r="F84" s="4">
        <f>(Table3[[#This Row],[S&amp;P 500]]-E73)/E73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Row],[S&amp;P 500]]-E74)/E74</f>
        <v>0.10874701597311126</v>
      </c>
    </row>
    <row r="86" spans="1:6" x14ac:dyDescent="0.2">
      <c r="A86" s="6">
        <v>23863</v>
      </c>
      <c r="B86" s="2">
        <v>41.4</v>
      </c>
      <c r="C86" s="4">
        <f>(Table3[[#This Row],[Conference Board Leading Indicator]]-B74)/B74</f>
        <v>8.0939947780678895E-2</v>
      </c>
      <c r="E86" s="2">
        <v>88.419998000000007</v>
      </c>
      <c r="F86" s="4">
        <f>(Table3[[#This Row],[S&amp;P 500]]-E75)/E75</f>
        <v>8.2384573818470461E-2</v>
      </c>
    </row>
    <row r="87" spans="1:6" x14ac:dyDescent="0.2">
      <c r="A87" s="6">
        <v>23894</v>
      </c>
      <c r="B87" s="2">
        <v>41.6</v>
      </c>
      <c r="C87" s="4">
        <f>(Table3[[#This Row],[Conference Board Leading Indicator]]-B75)/B75</f>
        <v>8.051948051948056E-2</v>
      </c>
      <c r="E87" s="2">
        <v>84.120002999999997</v>
      </c>
      <c r="F87" s="4">
        <f>(Table3[[#This Row],[S&amp;P 500]]-E76)/E76</f>
        <v>1.1300829526328325E-2</v>
      </c>
    </row>
    <row r="88" spans="1:6" x14ac:dyDescent="0.2">
      <c r="A88" s="6">
        <v>23924</v>
      </c>
      <c r="B88" s="2">
        <v>41.8</v>
      </c>
      <c r="C88" s="4">
        <f>(Table3[[#This Row],[Conference Board Leading Indicator]]-B76)/B76</f>
        <v>7.7319587628865982E-2</v>
      </c>
      <c r="D88" s="3">
        <v>6.3469226156710967E-2</v>
      </c>
      <c r="E88" s="2">
        <v>85.25</v>
      </c>
      <c r="F88" s="4">
        <f>(Table3[[#This Row],[S&amp;P 500]]-E77)/E77</f>
        <v>4.179393763182368E-2</v>
      </c>
    </row>
    <row r="89" spans="1:6" x14ac:dyDescent="0.2">
      <c r="A89" s="6">
        <v>23955</v>
      </c>
      <c r="B89" s="2">
        <v>41.9</v>
      </c>
      <c r="C89" s="4">
        <f>(Table3[[#This Row],[Conference Board Leading Indicator]]-B77)/B77</f>
        <v>7.1611253196930874E-2</v>
      </c>
      <c r="E89" s="2">
        <v>87.169998000000007</v>
      </c>
      <c r="F89" s="4">
        <f>(Table3[[#This Row],[S&amp;P 500]]-E78)/E78</f>
        <v>3.5519101924447606E-2</v>
      </c>
    </row>
    <row r="90" spans="1:6" x14ac:dyDescent="0.2">
      <c r="A90" s="6">
        <v>23986</v>
      </c>
      <c r="B90" s="2">
        <v>42.3</v>
      </c>
      <c r="C90" s="4">
        <f>(Table3[[#This Row],[Conference Board Leading Indicator]]-B78)/B78</f>
        <v>7.3604060913705555E-2</v>
      </c>
      <c r="E90" s="2">
        <v>89.959998999999996</v>
      </c>
      <c r="F90" s="4">
        <f>(Table3[[#This Row],[S&amp;P 500]]-E79)/E79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Row],[S&amp;P 500]]-E80)/E80</f>
        <v>9.4764276113818421E-2</v>
      </c>
    </row>
    <row r="92" spans="1:6" x14ac:dyDescent="0.2">
      <c r="A92" s="6">
        <v>24047</v>
      </c>
      <c r="B92" s="2">
        <v>43.1</v>
      </c>
      <c r="C92" s="4">
        <f>(Table3[[#This Row],[Conference Board Leading Indicator]]-B80)/B80</f>
        <v>8.2914572864321717E-2</v>
      </c>
      <c r="E92" s="2">
        <v>91.610000999999997</v>
      </c>
      <c r="F92" s="4">
        <f>(Table3[[#This Row],[S&amp;P 500]]-E81)/E81</f>
        <v>8.0943964601769877E-2</v>
      </c>
    </row>
    <row r="93" spans="1:6" x14ac:dyDescent="0.2">
      <c r="A93" s="6">
        <v>24077</v>
      </c>
      <c r="B93" s="2">
        <v>43.5</v>
      </c>
      <c r="C93" s="4">
        <f>(Table3[[#This Row],[Conference Board Leading Indicator]]-B81)/B81</f>
        <v>8.4788029925186997E-2</v>
      </c>
      <c r="E93" s="2">
        <v>92.43</v>
      </c>
      <c r="F93" s="4">
        <f>(Table3[[#This Row],[S&amp;P 500]]-E82)/E82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Row],[S&amp;P 500]]-E83)/E83</f>
        <v>6.233554843875095E-2</v>
      </c>
    </row>
    <row r="95" spans="1:6" x14ac:dyDescent="0.2">
      <c r="A95" s="6">
        <v>24139</v>
      </c>
      <c r="B95" s="2">
        <v>43.9</v>
      </c>
      <c r="C95" s="4">
        <f>(Table3[[#This Row],[Conference Board Leading Indicator]]-B83)/B83</f>
        <v>8.128078817733983E-2</v>
      </c>
      <c r="E95" s="2">
        <v>91.220000999999996</v>
      </c>
      <c r="F95" s="4">
        <f>(Table3[[#This Row],[S&amp;P 500]]-E84)/E84</f>
        <v>5.8727910458314228E-2</v>
      </c>
    </row>
    <row r="96" spans="1:6" x14ac:dyDescent="0.2">
      <c r="A96" s="6">
        <v>24167</v>
      </c>
      <c r="B96" s="2">
        <v>44.3</v>
      </c>
      <c r="C96" s="4">
        <f>(Table3[[#This Row],[Conference Board Leading Indicator]]-B84)/B84</f>
        <v>7.7858880778588699E-2</v>
      </c>
      <c r="E96" s="2">
        <v>89.230002999999996</v>
      </c>
      <c r="F96" s="4">
        <f>(Table3[[#This Row],[S&amp;P 500]]-E85)/E85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Row],[S&amp;P 500]]-E86)/E86</f>
        <v>2.9857498978907309E-2</v>
      </c>
    </row>
    <row r="98" spans="1:6" x14ac:dyDescent="0.2">
      <c r="A98" s="6">
        <v>24228</v>
      </c>
      <c r="B98" s="2">
        <v>44.3</v>
      </c>
      <c r="C98" s="4">
        <f>(Table3[[#This Row],[Conference Board Leading Indicator]]-B86)/B86</f>
        <v>7.0048309178743925E-2</v>
      </c>
      <c r="E98" s="2">
        <v>86.129997000000003</v>
      </c>
      <c r="F98" s="4">
        <f>(Table3[[#This Row],[S&amp;P 500]]-E87)/E87</f>
        <v>2.3894364340429304E-2</v>
      </c>
    </row>
    <row r="99" spans="1:6" x14ac:dyDescent="0.2">
      <c r="A99" s="6">
        <v>24259</v>
      </c>
      <c r="B99" s="2">
        <v>44.2</v>
      </c>
      <c r="C99" s="4">
        <f>(Table3[[#This Row],[Conference Board Leading Indicator]]-B87)/B87</f>
        <v>6.2500000000000028E-2</v>
      </c>
      <c r="E99" s="2">
        <v>84.739998</v>
      </c>
      <c r="F99" s="4">
        <f>(Table3[[#This Row],[S&amp;P 500]]-E88)/E88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Row],[S&amp;P 500]]-E89)/E89</f>
        <v>-4.0954457748180829E-2</v>
      </c>
    </row>
    <row r="101" spans="1:6" x14ac:dyDescent="0.2">
      <c r="A101" s="6">
        <v>24320</v>
      </c>
      <c r="B101" s="2">
        <v>44</v>
      </c>
      <c r="C101" s="4">
        <f>(Table3[[#This Row],[Conference Board Leading Indicator]]-B89)/B89</f>
        <v>5.0119331742243471E-2</v>
      </c>
      <c r="E101" s="2">
        <v>77.099997999999999</v>
      </c>
      <c r="F101" s="4">
        <f>(Table3[[#This Row],[S&amp;P 500]]-E90)/E90</f>
        <v>-0.1429524360043623</v>
      </c>
    </row>
    <row r="102" spans="1:6" x14ac:dyDescent="0.2">
      <c r="A102" s="6">
        <v>24351</v>
      </c>
      <c r="B102" s="2">
        <v>43.9</v>
      </c>
      <c r="C102" s="4">
        <f>(Table3[[#This Row],[Conference Board Leading Indicator]]-B90)/B90</f>
        <v>3.782505910165488E-2</v>
      </c>
      <c r="E102" s="2">
        <v>76.559997999999993</v>
      </c>
      <c r="F102" s="4">
        <f>(Table3[[#This Row],[S&amp;P 500]]-E91)/E91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Row],[S&amp;P 500]]-E92)/E92</f>
        <v>-0.12454976394989889</v>
      </c>
    </row>
    <row r="104" spans="1:6" x14ac:dyDescent="0.2">
      <c r="A104" s="6">
        <v>24412</v>
      </c>
      <c r="B104" s="2">
        <v>43.8</v>
      </c>
      <c r="C104" s="4">
        <f>(Table3[[#This Row],[Conference Board Leading Indicator]]-B92)/B92</f>
        <v>1.6241299303944218E-2</v>
      </c>
      <c r="E104" s="2">
        <v>80.449996999999996</v>
      </c>
      <c r="F104" s="4">
        <f>(Table3[[#This Row],[S&amp;P 500]]-E93)/E93</f>
        <v>-0.12961163042302293</v>
      </c>
    </row>
    <row r="105" spans="1:6" x14ac:dyDescent="0.2">
      <c r="A105" s="6">
        <v>24442</v>
      </c>
      <c r="B105" s="2">
        <v>43.7</v>
      </c>
      <c r="C105" s="4">
        <f>(Table3[[#This Row],[Conference Board Leading Indicator]]-B93)/B93</f>
        <v>4.5977011494253523E-3</v>
      </c>
      <c r="E105" s="2">
        <v>80.330001999999993</v>
      </c>
      <c r="F105" s="4">
        <f>(Table3[[#This Row],[S&amp;P 500]]-E94)/E94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Row],[S&amp;P 500]]-E95)/E95</f>
        <v>-5.0537162348858113E-2</v>
      </c>
    </row>
    <row r="107" spans="1:6" x14ac:dyDescent="0.2">
      <c r="A107" s="6">
        <v>24504</v>
      </c>
      <c r="B107" s="2">
        <v>43.7</v>
      </c>
      <c r="C107" s="4">
        <f>(Table3[[#This Row],[Conference Board Leading Indicator]]-B95)/B95</f>
        <v>-4.5558086560363491E-3</v>
      </c>
      <c r="E107" s="2">
        <v>86.779999000000004</v>
      </c>
      <c r="F107" s="4">
        <f>(Table3[[#This Row],[S&amp;P 500]]-E96)/E96</f>
        <v>-2.74571771559841E-2</v>
      </c>
    </row>
    <row r="108" spans="1:6" x14ac:dyDescent="0.2">
      <c r="A108" s="6">
        <v>24532</v>
      </c>
      <c r="B108" s="2">
        <v>44</v>
      </c>
      <c r="C108" s="4">
        <f>(Table3[[#This Row],[Conference Board Leading Indicator]]-B96)/B96</f>
        <v>-6.772009029345309E-3</v>
      </c>
      <c r="E108" s="2">
        <v>90.199996999999996</v>
      </c>
      <c r="F108" s="4">
        <f>(Table3[[#This Row],[S&amp;P 500]]-E97)/E97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Row],[S&amp;P 500]]-E98)/E98</f>
        <v>9.1489669969453236E-2</v>
      </c>
    </row>
    <row r="110" spans="1:6" x14ac:dyDescent="0.2">
      <c r="A110" s="6">
        <v>24593</v>
      </c>
      <c r="B110" s="2">
        <v>44.5</v>
      </c>
      <c r="C110" s="4">
        <f>(Table3[[#This Row],[Conference Board Leading Indicator]]-B98)/B98</f>
        <v>4.514672686230313E-3</v>
      </c>
      <c r="E110" s="2">
        <v>89.080001999999993</v>
      </c>
      <c r="F110" s="4">
        <f>(Table3[[#This Row],[S&amp;P 500]]-E99)/E99</f>
        <v>5.1215531064798862E-2</v>
      </c>
    </row>
    <row r="111" spans="1:6" x14ac:dyDescent="0.2">
      <c r="A111" s="6">
        <v>24624</v>
      </c>
      <c r="B111" s="2">
        <v>44.8</v>
      </c>
      <c r="C111" s="4">
        <f>(Table3[[#This Row],[Conference Board Leading Indicator]]-B99)/B99</f>
        <v>1.3574660633484033E-2</v>
      </c>
      <c r="E111" s="2">
        <v>90.639999000000003</v>
      </c>
      <c r="F111" s="4">
        <f>(Table3[[#This Row],[S&amp;P 500]]-E100)/E100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Row],[S&amp;P 500]]-E101)/E101</f>
        <v>0.2289235078838783</v>
      </c>
    </row>
    <row r="113" spans="1:6" x14ac:dyDescent="0.2">
      <c r="A113" s="6">
        <v>24685</v>
      </c>
      <c r="B113" s="2">
        <v>45.5</v>
      </c>
      <c r="C113" s="4">
        <f>(Table3[[#This Row],[Conference Board Leading Indicator]]-B101)/B101</f>
        <v>3.4090909090909088E-2</v>
      </c>
      <c r="E113" s="2">
        <v>93.639999000000003</v>
      </c>
      <c r="F113" s="4">
        <f>(Table3[[#This Row],[S&amp;P 500]]-E102)/E102</f>
        <v>0.22309301784464533</v>
      </c>
    </row>
    <row r="114" spans="1:6" x14ac:dyDescent="0.2">
      <c r="A114" s="6">
        <v>24716</v>
      </c>
      <c r="B114" s="2">
        <v>45.7</v>
      </c>
      <c r="C114" s="4">
        <f>(Table3[[#This Row],[Conference Board Leading Indicator]]-B102)/B102</f>
        <v>4.1002277904328116E-2</v>
      </c>
      <c r="E114" s="2">
        <v>96.709998999999996</v>
      </c>
      <c r="F114" s="4">
        <f>(Table3[[#This Row],[S&amp;P 500]]-E103)/E103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Row],[S&amp;P 500]]-E104)/E104</f>
        <v>0.15972661875922764</v>
      </c>
    </row>
    <row r="116" spans="1:6" x14ac:dyDescent="0.2">
      <c r="A116" s="6">
        <v>24777</v>
      </c>
      <c r="B116" s="2">
        <v>46.1</v>
      </c>
      <c r="C116" s="4">
        <f>(Table3[[#This Row],[Conference Board Leading Indicator]]-B104)/B104</f>
        <v>5.2511415525114256E-2</v>
      </c>
      <c r="E116" s="2">
        <v>94</v>
      </c>
      <c r="F116" s="4">
        <f>(Table3[[#This Row],[S&amp;P 500]]-E105)/E105</f>
        <v>0.1701730070914228</v>
      </c>
    </row>
    <row r="117" spans="1:6" x14ac:dyDescent="0.2">
      <c r="A117" s="6">
        <v>24807</v>
      </c>
      <c r="B117" s="2">
        <v>46.5</v>
      </c>
      <c r="C117" s="4">
        <f>(Table3[[#This Row],[Conference Board Leading Indicator]]-B105)/B105</f>
        <v>6.4073226544622358E-2</v>
      </c>
      <c r="E117" s="2">
        <v>96.470000999999996</v>
      </c>
      <c r="F117" s="4">
        <f>(Table3[[#This Row],[S&amp;P 500]]-E106)/E106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Row],[S&amp;P 500]]-E107)/E107</f>
        <v>6.291771217927758E-2</v>
      </c>
    </row>
    <row r="119" spans="1:6" x14ac:dyDescent="0.2">
      <c r="A119" s="6">
        <v>24869</v>
      </c>
      <c r="B119" s="2">
        <v>46.8</v>
      </c>
      <c r="C119" s="4">
        <f>(Table3[[#This Row],[Conference Board Leading Indicator]]-B107)/B107</f>
        <v>7.0938215102974697E-2</v>
      </c>
      <c r="E119" s="2">
        <v>89.360000999999997</v>
      </c>
      <c r="F119" s="4">
        <f>(Table3[[#This Row],[S&amp;P 500]]-E108)/E108</f>
        <v>-9.3125945447647771E-3</v>
      </c>
    </row>
    <row r="120" spans="1:6" x14ac:dyDescent="0.2">
      <c r="A120" s="6">
        <v>24898</v>
      </c>
      <c r="B120" s="2">
        <v>46.9</v>
      </c>
      <c r="C120" s="4">
        <f>(Table3[[#This Row],[Conference Board Leading Indicator]]-B108)/B108</f>
        <v>6.5909090909090876E-2</v>
      </c>
      <c r="E120" s="2">
        <v>90.199996999999996</v>
      </c>
      <c r="F120" s="4">
        <f>(Table3[[#This Row],[S&amp;P 500]]-E109)/E109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Row],[S&amp;P 500]]-E110)/E110</f>
        <v>9.4072707811569248E-2</v>
      </c>
    </row>
    <row r="122" spans="1:6" x14ac:dyDescent="0.2">
      <c r="A122" s="6">
        <v>24959</v>
      </c>
      <c r="B122" s="2">
        <v>47.3</v>
      </c>
      <c r="C122" s="4">
        <f>(Table3[[#This Row],[Conference Board Leading Indicator]]-B110)/B110</f>
        <v>6.2921348314606676E-2</v>
      </c>
      <c r="E122" s="2">
        <v>98.68</v>
      </c>
      <c r="F122" s="4">
        <f>(Table3[[#This Row],[S&amp;P 500]]-E111)/E111</f>
        <v>8.8702571587627704E-2</v>
      </c>
    </row>
    <row r="123" spans="1:6" x14ac:dyDescent="0.2">
      <c r="A123" s="6">
        <v>24990</v>
      </c>
      <c r="B123" s="2">
        <v>47.5</v>
      </c>
      <c r="C123" s="4">
        <f>(Table3[[#This Row],[Conference Board Leading Indicator]]-B111)/B111</f>
        <v>6.0267857142857213E-2</v>
      </c>
      <c r="E123" s="2">
        <v>99.580001999999993</v>
      </c>
      <c r="F123" s="4">
        <f>(Table3[[#This Row],[S&amp;P 500]]-E112)/E112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Row],[S&amp;P 500]]-E113)/E113</f>
        <v>4.3784697178392715E-2</v>
      </c>
    </row>
    <row r="125" spans="1:6" x14ac:dyDescent="0.2">
      <c r="A125" s="6">
        <v>25051</v>
      </c>
      <c r="B125" s="2">
        <v>47.5</v>
      </c>
      <c r="C125" s="4">
        <f>(Table3[[#This Row],[Conference Board Leading Indicator]]-B113)/B113</f>
        <v>4.3956043956043959E-2</v>
      </c>
      <c r="E125" s="2">
        <v>98.860000999999997</v>
      </c>
      <c r="F125" s="4">
        <f>(Table3[[#This Row],[S&amp;P 500]]-E114)/E114</f>
        <v>2.223143441455315E-2</v>
      </c>
    </row>
    <row r="126" spans="1:6" x14ac:dyDescent="0.2">
      <c r="A126" s="6">
        <v>25082</v>
      </c>
      <c r="B126" s="2">
        <v>48</v>
      </c>
      <c r="C126" s="4">
        <f>(Table3[[#This Row],[Conference Board Leading Indicator]]-B114)/B114</f>
        <v>5.0328227571115908E-2</v>
      </c>
      <c r="E126" s="2">
        <v>102.66999800000001</v>
      </c>
      <c r="F126" s="4">
        <f>(Table3[[#This Row],[S&amp;P 500]]-E115)/E115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Row],[S&amp;P 500]]-E116)/E116</f>
        <v>0.1001064255319149</v>
      </c>
    </row>
    <row r="128" spans="1:6" x14ac:dyDescent="0.2">
      <c r="A128" s="6">
        <v>25143</v>
      </c>
      <c r="B128" s="2">
        <v>48.4</v>
      </c>
      <c r="C128" s="4">
        <f>(Table3[[#This Row],[Conference Board Leading Indicator]]-B116)/B116</f>
        <v>4.9891540130151783E-2</v>
      </c>
      <c r="E128" s="2">
        <v>108.370003</v>
      </c>
      <c r="F128" s="4">
        <f>(Table3[[#This Row],[S&amp;P 500]]-E117)/E117</f>
        <v>0.12335443015077818</v>
      </c>
    </row>
    <row r="129" spans="1:6" x14ac:dyDescent="0.2">
      <c r="A129" s="6">
        <v>25173</v>
      </c>
      <c r="B129" s="2">
        <v>48.4</v>
      </c>
      <c r="C129" s="4">
        <f>(Table3[[#This Row],[Conference Board Leading Indicator]]-B117)/B117</f>
        <v>4.0860215053763409E-2</v>
      </c>
      <c r="E129" s="2">
        <v>103.860001</v>
      </c>
      <c r="F129" s="4">
        <f>(Table3[[#This Row],[S&amp;P 500]]-E118)/E118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Row],[S&amp;P 500]]-E119)/E119</f>
        <v>0.152752919060509</v>
      </c>
    </row>
    <row r="131" spans="1:6" x14ac:dyDescent="0.2">
      <c r="A131" s="6">
        <v>25235</v>
      </c>
      <c r="B131" s="2">
        <v>48.7</v>
      </c>
      <c r="C131" s="4">
        <f>(Table3[[#This Row],[Conference Board Leading Indicator]]-B119)/B119</f>
        <v>4.0598290598290725E-2</v>
      </c>
      <c r="E131" s="2">
        <v>98.129997000000003</v>
      </c>
      <c r="F131" s="4">
        <f>(Table3[[#This Row],[S&amp;P 500]]-E120)/E120</f>
        <v>8.7915745717818669E-2</v>
      </c>
    </row>
    <row r="132" spans="1:6" x14ac:dyDescent="0.2">
      <c r="A132" s="6">
        <v>25263</v>
      </c>
      <c r="B132" s="2">
        <v>48.8</v>
      </c>
      <c r="C132" s="4">
        <f>(Table3[[#This Row],[Conference Board Leading Indicator]]-B120)/B120</f>
        <v>4.0511727078891231E-2</v>
      </c>
      <c r="E132" s="2">
        <v>101.510002</v>
      </c>
      <c r="F132" s="4">
        <f>(Table3[[#This Row],[S&amp;P 500]]-E121)/E121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Row],[S&amp;P 500]]-E122)/E122</f>
        <v>5.0770186461289009E-2</v>
      </c>
    </row>
    <row r="134" spans="1:6" x14ac:dyDescent="0.2">
      <c r="A134" s="6">
        <v>25324</v>
      </c>
      <c r="B134" s="2">
        <v>48.8</v>
      </c>
      <c r="C134" s="4">
        <f>(Table3[[#This Row],[Conference Board Leading Indicator]]-B122)/B122</f>
        <v>3.1712473572938694E-2</v>
      </c>
      <c r="E134" s="2">
        <v>103.459999</v>
      </c>
      <c r="F134" s="4">
        <f>(Table3[[#This Row],[S&amp;P 500]]-E123)/E123</f>
        <v>3.8963616409648225E-2</v>
      </c>
    </row>
    <row r="135" spans="1:6" x14ac:dyDescent="0.2">
      <c r="A135" s="6">
        <v>25355</v>
      </c>
      <c r="B135" s="2">
        <v>48.5</v>
      </c>
      <c r="C135" s="4">
        <f>(Table3[[#This Row],[Conference Board Leading Indicator]]-B123)/B123</f>
        <v>2.1052631578947368E-2</v>
      </c>
      <c r="E135" s="2">
        <v>97.709998999999996</v>
      </c>
      <c r="F135" s="4">
        <f>(Table3[[#This Row],[S&amp;P 500]]-E124)/E124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Row],[S&amp;P 500]]-E125)/E125</f>
        <v>-7.1110650706952799E-2</v>
      </c>
    </row>
    <row r="137" spans="1:6" x14ac:dyDescent="0.2">
      <c r="A137" s="6">
        <v>25416</v>
      </c>
      <c r="B137" s="2">
        <v>48.1</v>
      </c>
      <c r="C137" s="4">
        <f>(Table3[[#This Row],[Conference Board Leading Indicator]]-B125)/B125</f>
        <v>1.263157894736845E-2</v>
      </c>
      <c r="E137" s="2">
        <v>95.510002</v>
      </c>
      <c r="F137" s="4">
        <f>(Table3[[#This Row],[S&amp;P 500]]-E126)/E126</f>
        <v>-6.973795791833956E-2</v>
      </c>
    </row>
    <row r="138" spans="1:6" x14ac:dyDescent="0.2">
      <c r="A138" s="6">
        <v>25447</v>
      </c>
      <c r="B138" s="2">
        <v>48.2</v>
      </c>
      <c r="C138" s="4">
        <f>(Table3[[#This Row],[Conference Board Leading Indicator]]-B126)/B126</f>
        <v>4.1666666666667256E-3</v>
      </c>
      <c r="E138" s="2">
        <v>93.120002999999997</v>
      </c>
      <c r="F138" s="4">
        <f>(Table3[[#This Row],[S&amp;P 500]]-E127)/E127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Row],[S&amp;P 500]]-E128)/E128</f>
        <v>-0.10381101493556294</v>
      </c>
    </row>
    <row r="140" spans="1:6" x14ac:dyDescent="0.2">
      <c r="A140" s="6">
        <v>25508</v>
      </c>
      <c r="B140" s="2">
        <v>47.7</v>
      </c>
      <c r="C140" s="4">
        <f>(Table3[[#This Row],[Conference Board Leading Indicator]]-B128)/B128</f>
        <v>-1.4462809917355284E-2</v>
      </c>
      <c r="E140" s="2">
        <v>93.809997999999993</v>
      </c>
      <c r="F140" s="4">
        <f>(Table3[[#This Row],[S&amp;P 500]]-E129)/E129</f>
        <v>-9.6764903747690159E-2</v>
      </c>
    </row>
    <row r="141" spans="1:6" x14ac:dyDescent="0.2">
      <c r="A141" s="6">
        <v>25538</v>
      </c>
      <c r="B141" s="2">
        <v>47.4</v>
      </c>
      <c r="C141" s="4">
        <f>(Table3[[#This Row],[Conference Board Leading Indicator]]-B129)/B129</f>
        <v>-2.0661157024793389E-2</v>
      </c>
      <c r="E141" s="2">
        <v>92.059997999999993</v>
      </c>
      <c r="F141" s="4">
        <f>(Table3[[#This Row],[S&amp;P 500]]-E130)/E130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Row],[S&amp;P 500]]-E131)/E131</f>
        <v>-0.13359829206965124</v>
      </c>
    </row>
    <row r="143" spans="1:6" x14ac:dyDescent="0.2">
      <c r="A143" s="6">
        <v>25600</v>
      </c>
      <c r="B143" s="2">
        <v>46.5</v>
      </c>
      <c r="C143" s="4">
        <f>(Table3[[#This Row],[Conference Board Leading Indicator]]-B131)/B131</f>
        <v>-4.517453798767973E-2</v>
      </c>
      <c r="E143" s="2">
        <v>89.5</v>
      </c>
      <c r="F143" s="4">
        <f>(Table3[[#This Row],[S&amp;P 500]]-E132)/E132</f>
        <v>-0.11831348402495352</v>
      </c>
    </row>
    <row r="144" spans="1:6" x14ac:dyDescent="0.2">
      <c r="A144" s="6">
        <v>25628</v>
      </c>
      <c r="B144" s="2">
        <v>46.2</v>
      </c>
      <c r="C144" s="4">
        <f>(Table3[[#This Row],[Conference Board Leading Indicator]]-B132)/B132</f>
        <v>-5.327868852459005E-2</v>
      </c>
      <c r="E144" s="2">
        <v>89.629997000000003</v>
      </c>
      <c r="F144" s="4">
        <f>(Table3[[#This Row],[S&amp;P 500]]-E133)/E133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Row],[S&amp;P 500]]-E134)/E134</f>
        <v>-0.21206265428245358</v>
      </c>
    </row>
    <row r="146" spans="1:6" x14ac:dyDescent="0.2">
      <c r="A146" s="6">
        <v>25689</v>
      </c>
      <c r="B146" s="2">
        <v>45.8</v>
      </c>
      <c r="C146" s="4">
        <f>(Table3[[#This Row],[Conference Board Leading Indicator]]-B134)/B134</f>
        <v>-6.147540983606558E-2</v>
      </c>
      <c r="E146" s="2">
        <v>76.550003000000004</v>
      </c>
      <c r="F146" s="4">
        <f>(Table3[[#This Row],[S&amp;P 500]]-E135)/E135</f>
        <v>-0.21655916709199838</v>
      </c>
    </row>
    <row r="147" spans="1:6" x14ac:dyDescent="0.2">
      <c r="A147" s="6">
        <v>25720</v>
      </c>
      <c r="B147" s="2">
        <v>45.8</v>
      </c>
      <c r="C147" s="4">
        <f>(Table3[[#This Row],[Conference Board Leading Indicator]]-B135)/B135</f>
        <v>-5.5670103092783564E-2</v>
      </c>
      <c r="E147" s="2">
        <v>72.720000999999996</v>
      </c>
      <c r="F147" s="4">
        <f>(Table3[[#This Row],[S&amp;P 500]]-E136)/E136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Row],[S&amp;P 500]]-E137)/E137</f>
        <v>-0.18280806862510585</v>
      </c>
    </row>
    <row r="149" spans="1:6" x14ac:dyDescent="0.2">
      <c r="A149" s="6">
        <v>25781</v>
      </c>
      <c r="B149" s="2">
        <v>46</v>
      </c>
      <c r="C149" s="4">
        <f>(Table3[[#This Row],[Conference Board Leading Indicator]]-B137)/B137</f>
        <v>-4.3659043659043689E-2</v>
      </c>
      <c r="E149" s="2">
        <v>81.519997000000004</v>
      </c>
      <c r="F149" s="4">
        <f>(Table3[[#This Row],[S&amp;P 500]]-E138)/E138</f>
        <v>-0.12457050715515972</v>
      </c>
    </row>
    <row r="150" spans="1:6" x14ac:dyDescent="0.2">
      <c r="A150" s="6">
        <v>25812</v>
      </c>
      <c r="B150" s="2">
        <v>46</v>
      </c>
      <c r="C150" s="4">
        <f>(Table3[[#This Row],[Conference Board Leading Indicator]]-B138)/B138</f>
        <v>-4.5643153526971007E-2</v>
      </c>
      <c r="E150" s="2">
        <v>84.300003000000004</v>
      </c>
      <c r="F150" s="4">
        <f>(Table3[[#This Row],[S&amp;P 500]]-E139)/E139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Row],[S&amp;P 500]]-E140)/E140</f>
        <v>-0.11256793758805958</v>
      </c>
    </row>
    <row r="152" spans="1:6" x14ac:dyDescent="0.2">
      <c r="A152" s="6">
        <v>25873</v>
      </c>
      <c r="B152" s="2">
        <v>45.9</v>
      </c>
      <c r="C152" s="4">
        <f>(Table3[[#This Row],[Conference Board Leading Indicator]]-B140)/B140</f>
        <v>-3.7735849056603862E-2</v>
      </c>
      <c r="E152" s="2">
        <v>87.199996999999996</v>
      </c>
      <c r="F152" s="4">
        <f>(Table3[[#This Row],[S&amp;P 500]]-E141)/E141</f>
        <v>-5.2791669623977154E-2</v>
      </c>
    </row>
    <row r="153" spans="1:6" x14ac:dyDescent="0.2">
      <c r="A153" s="6">
        <v>25903</v>
      </c>
      <c r="B153" s="2">
        <v>46.5</v>
      </c>
      <c r="C153" s="4">
        <f>(Table3[[#This Row],[Conference Board Leading Indicator]]-B141)/B141</f>
        <v>-1.8987341772151868E-2</v>
      </c>
      <c r="E153" s="2">
        <v>92.150002000000001</v>
      </c>
      <c r="F153" s="4">
        <f>(Table3[[#This Row],[S&amp;P 500]]-E142)/E142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Row],[S&amp;P 500]]-E143)/E143</f>
        <v>7.1284882681564285E-2</v>
      </c>
    </row>
    <row r="155" spans="1:6" x14ac:dyDescent="0.2">
      <c r="A155" s="6">
        <v>25965</v>
      </c>
      <c r="B155" s="2">
        <v>47.2</v>
      </c>
      <c r="C155" s="4">
        <f>(Table3[[#This Row],[Conference Board Leading Indicator]]-B143)/B143</f>
        <v>1.5053763440860277E-2</v>
      </c>
      <c r="E155" s="2">
        <v>96.75</v>
      </c>
      <c r="F155" s="4">
        <f>(Table3[[#This Row],[S&amp;P 500]]-E144)/E144</f>
        <v>7.943772440380642E-2</v>
      </c>
    </row>
    <row r="156" spans="1:6" x14ac:dyDescent="0.2">
      <c r="A156" s="6">
        <v>25993</v>
      </c>
      <c r="B156" s="2">
        <v>47.6</v>
      </c>
      <c r="C156" s="4">
        <f>(Table3[[#This Row],[Conference Board Leading Indicator]]-B144)/B144</f>
        <v>3.0303030303030269E-2</v>
      </c>
      <c r="E156" s="2">
        <v>100.30999799999999</v>
      </c>
      <c r="F156" s="4">
        <f>(Table3[[#This Row],[S&amp;P 500]]-E145)/E145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Row],[S&amp;P 500]]-E146)/E146</f>
        <v>0.35793589714163682</v>
      </c>
    </row>
    <row r="158" spans="1:6" x14ac:dyDescent="0.2">
      <c r="A158" s="6">
        <v>26054</v>
      </c>
      <c r="B158" s="2">
        <v>48.1</v>
      </c>
      <c r="C158" s="4">
        <f>(Table3[[#This Row],[Conference Board Leading Indicator]]-B146)/B146</f>
        <v>5.0218340611353808E-2</v>
      </c>
      <c r="E158" s="2">
        <v>99.629997000000003</v>
      </c>
      <c r="F158" s="4">
        <f>(Table3[[#This Row],[S&amp;P 500]]-E147)/E147</f>
        <v>0.37004944485630586</v>
      </c>
    </row>
    <row r="159" spans="1:6" x14ac:dyDescent="0.2">
      <c r="A159" s="6">
        <v>26085</v>
      </c>
      <c r="B159" s="2">
        <v>48.2</v>
      </c>
      <c r="C159" s="4">
        <f>(Table3[[#This Row],[Conference Board Leading Indicator]]-B147)/B147</f>
        <v>5.2401746724890959E-2</v>
      </c>
      <c r="E159" s="2">
        <v>98.699996999999996</v>
      </c>
      <c r="F159" s="4">
        <f>(Table3[[#This Row],[S&amp;P 500]]-E148)/E148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Row],[S&amp;P 500]]-E149)/E149</f>
        <v>0.17247308043939194</v>
      </c>
    </row>
    <row r="161" spans="1:6" x14ac:dyDescent="0.2">
      <c r="A161" s="6">
        <v>26146</v>
      </c>
      <c r="B161" s="2">
        <v>48.5</v>
      </c>
      <c r="C161" s="4">
        <f>(Table3[[#This Row],[Conference Board Leading Indicator]]-B149)/B149</f>
        <v>5.434782608695652E-2</v>
      </c>
      <c r="E161" s="2">
        <v>99.029999000000004</v>
      </c>
      <c r="F161" s="4">
        <f>(Table3[[#This Row],[S&amp;P 500]]-E150)/E150</f>
        <v>0.17473304241756668</v>
      </c>
    </row>
    <row r="162" spans="1:6" x14ac:dyDescent="0.2">
      <c r="A162" s="6">
        <v>26177</v>
      </c>
      <c r="B162" s="2">
        <v>48.7</v>
      </c>
      <c r="C162" s="4">
        <f>(Table3[[#This Row],[Conference Board Leading Indicator]]-B150)/B150</f>
        <v>5.8695652173913107E-2</v>
      </c>
      <c r="E162" s="2">
        <v>98.339995999999999</v>
      </c>
      <c r="F162" s="4">
        <f>(Table3[[#This Row],[S&amp;P 500]]-E151)/E151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Row],[S&amp;P 500]]-E152)/E152</f>
        <v>8.0619337635986388E-2</v>
      </c>
    </row>
    <row r="164" spans="1:6" x14ac:dyDescent="0.2">
      <c r="A164" s="6">
        <v>26238</v>
      </c>
      <c r="B164" s="2">
        <v>49.2</v>
      </c>
      <c r="C164" s="4">
        <f>(Table3[[#This Row],[Conference Board Leading Indicator]]-B152)/B152</f>
        <v>7.1895424836601399E-2</v>
      </c>
      <c r="E164" s="2">
        <v>93.989998</v>
      </c>
      <c r="F164" s="4">
        <f>(Table3[[#This Row],[S&amp;P 500]]-E153)/E153</f>
        <v>1.9967400543301119E-2</v>
      </c>
    </row>
    <row r="165" spans="1:6" x14ac:dyDescent="0.2">
      <c r="A165" s="6">
        <v>26268</v>
      </c>
      <c r="B165" s="2">
        <v>49.7</v>
      </c>
      <c r="C165" s="4">
        <f>(Table3[[#This Row],[Conference Board Leading Indicator]]-B153)/B153</f>
        <v>6.8817204301075324E-2</v>
      </c>
      <c r="E165" s="2">
        <v>102.089996</v>
      </c>
      <c r="F165" s="4">
        <f>(Table3[[#This Row],[S&amp;P 500]]-E154)/E154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Row],[S&amp;P 500]]-E155)/E155</f>
        <v>7.4315266149870871E-2</v>
      </c>
    </row>
    <row r="167" spans="1:6" x14ac:dyDescent="0.2">
      <c r="A167" s="6">
        <v>26330</v>
      </c>
      <c r="B167" s="2">
        <v>50.8</v>
      </c>
      <c r="C167" s="4">
        <f>(Table3[[#This Row],[Conference Board Leading Indicator]]-B155)/B155</f>
        <v>7.6271186440677846E-2</v>
      </c>
      <c r="E167" s="2">
        <v>106.57</v>
      </c>
      <c r="F167" s="4">
        <f>(Table3[[#This Row],[S&amp;P 500]]-E156)/E156</f>
        <v>6.2406560909312354E-2</v>
      </c>
    </row>
    <row r="168" spans="1:6" x14ac:dyDescent="0.2">
      <c r="A168" s="6">
        <v>26359</v>
      </c>
      <c r="B168" s="2">
        <v>51.2</v>
      </c>
      <c r="C168" s="4">
        <f>(Table3[[#This Row],[Conference Board Leading Indicator]]-B156)/B156</f>
        <v>7.5630252100840359E-2</v>
      </c>
      <c r="E168" s="2">
        <v>107.199997</v>
      </c>
      <c r="F168" s="4">
        <f>(Table3[[#This Row],[S&amp;P 500]]-E157)/E157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Row],[S&amp;P 500]]-E158)/E158</f>
        <v>8.0698597230711586E-2</v>
      </c>
    </row>
    <row r="170" spans="1:6" x14ac:dyDescent="0.2">
      <c r="A170" s="6">
        <v>26420</v>
      </c>
      <c r="B170" s="2">
        <v>51.7</v>
      </c>
      <c r="C170" s="4">
        <f>(Table3[[#This Row],[Conference Board Leading Indicator]]-B158)/B158</f>
        <v>7.4844074844074876E-2</v>
      </c>
      <c r="E170" s="2">
        <v>109.529999</v>
      </c>
      <c r="F170" s="4">
        <f>(Table3[[#This Row],[S&amp;P 500]]-E159)/E159</f>
        <v>0.10972646736757254</v>
      </c>
    </row>
    <row r="171" spans="1:6" x14ac:dyDescent="0.2">
      <c r="A171" s="6">
        <v>26451</v>
      </c>
      <c r="B171" s="2">
        <v>52.1</v>
      </c>
      <c r="C171" s="4">
        <f>(Table3[[#This Row],[Conference Board Leading Indicator]]-B159)/B159</f>
        <v>8.0912863070539381E-2</v>
      </c>
      <c r="E171" s="2">
        <v>107.139999</v>
      </c>
      <c r="F171" s="4">
        <f>(Table3[[#This Row],[S&amp;P 500]]-E160)/E160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Row],[S&amp;P 500]]-E161)/E161</f>
        <v>8.441886382327439E-2</v>
      </c>
    </row>
    <row r="173" spans="1:6" x14ac:dyDescent="0.2">
      <c r="A173" s="6">
        <v>26512</v>
      </c>
      <c r="B173" s="2">
        <v>53.1</v>
      </c>
      <c r="C173" s="4">
        <f>(Table3[[#This Row],[Conference Board Leading Indicator]]-B161)/B161</f>
        <v>9.4845360824742292E-2</v>
      </c>
      <c r="E173" s="2">
        <v>111.089996</v>
      </c>
      <c r="F173" s="4">
        <f>(Table3[[#This Row],[S&amp;P 500]]-E162)/E162</f>
        <v>0.1296522322412948</v>
      </c>
    </row>
    <row r="174" spans="1:6" x14ac:dyDescent="0.2">
      <c r="A174" s="6">
        <v>26543</v>
      </c>
      <c r="B174" s="2">
        <v>53.7</v>
      </c>
      <c r="C174" s="4">
        <f>(Table3[[#This Row],[Conference Board Leading Indicator]]-B162)/B162</f>
        <v>0.10266940451745379</v>
      </c>
      <c r="E174" s="2">
        <v>110.550003</v>
      </c>
      <c r="F174" s="4">
        <f>(Table3[[#This Row],[S&amp;P 500]]-E163)/E163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Row],[S&amp;P 500]]-E164)/E164</f>
        <v>0.18714761543031411</v>
      </c>
    </row>
    <row r="176" spans="1:6" x14ac:dyDescent="0.2">
      <c r="A176" s="6">
        <v>26604</v>
      </c>
      <c r="B176" s="2">
        <v>54.7</v>
      </c>
      <c r="C176" s="4">
        <f>(Table3[[#This Row],[Conference Board Leading Indicator]]-B164)/B164</f>
        <v>0.11178861788617886</v>
      </c>
      <c r="E176" s="2">
        <v>116.66999800000001</v>
      </c>
      <c r="F176" s="4">
        <f>(Table3[[#This Row],[S&amp;P 500]]-E165)/E165</f>
        <v>0.14281518827760564</v>
      </c>
    </row>
    <row r="177" spans="1:6" x14ac:dyDescent="0.2">
      <c r="A177" s="6">
        <v>26634</v>
      </c>
      <c r="B177" s="2">
        <v>55.3</v>
      </c>
      <c r="C177" s="4">
        <f>(Table3[[#This Row],[Conference Board Leading Indicator]]-B165)/B165</f>
        <v>0.11267605633802805</v>
      </c>
      <c r="E177" s="2">
        <v>118.050003</v>
      </c>
      <c r="F177" s="4">
        <f>(Table3[[#This Row],[S&amp;P 500]]-E166)/E166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Row],[S&amp;P 500]]-E167)/E167</f>
        <v>8.8767936567514416E-2</v>
      </c>
    </row>
    <row r="179" spans="1:6" x14ac:dyDescent="0.2">
      <c r="A179" s="6">
        <v>26696</v>
      </c>
      <c r="B179" s="2">
        <v>55.8</v>
      </c>
      <c r="C179" s="4">
        <f>(Table3[[#This Row],[Conference Board Leading Indicator]]-B167)/B167</f>
        <v>9.8425196850393706E-2</v>
      </c>
      <c r="E179" s="2">
        <v>111.68</v>
      </c>
      <c r="F179" s="4">
        <f>(Table3[[#This Row],[S&amp;P 500]]-E168)/E168</f>
        <v>4.179107393072045E-2</v>
      </c>
    </row>
    <row r="180" spans="1:6" x14ac:dyDescent="0.2">
      <c r="A180" s="6">
        <v>26724</v>
      </c>
      <c r="B180" s="2">
        <v>55.7</v>
      </c>
      <c r="C180" s="4">
        <f>(Table3[[#This Row],[Conference Board Leading Indicator]]-B168)/B168</f>
        <v>8.7890625E-2</v>
      </c>
      <c r="E180" s="2">
        <v>111.519997</v>
      </c>
      <c r="F180" s="4">
        <f>(Table3[[#This Row],[S&amp;P 500]]-E169)/E169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Row],[S&amp;P 500]]-E170)/E170</f>
        <v>-2.3372573937483623E-2</v>
      </c>
    </row>
    <row r="182" spans="1:6" x14ac:dyDescent="0.2">
      <c r="A182" s="6">
        <v>26785</v>
      </c>
      <c r="B182" s="2">
        <v>55.4</v>
      </c>
      <c r="C182" s="4">
        <f>(Table3[[#This Row],[Conference Board Leading Indicator]]-B170)/B170</f>
        <v>7.1566731141199144E-2</v>
      </c>
      <c r="E182" s="2">
        <v>104.949997</v>
      </c>
      <c r="F182" s="4">
        <f>(Table3[[#This Row],[S&amp;P 500]]-E171)/E171</f>
        <v>-2.044056393915037E-2</v>
      </c>
    </row>
    <row r="183" spans="1:6" x14ac:dyDescent="0.2">
      <c r="A183" s="6">
        <v>26816</v>
      </c>
      <c r="B183" s="2">
        <v>55.3</v>
      </c>
      <c r="C183" s="4">
        <f>(Table3[[#This Row],[Conference Board Leading Indicator]]-B171)/B171</f>
        <v>6.1420345489443293E-2</v>
      </c>
      <c r="E183" s="2">
        <v>104.260002</v>
      </c>
      <c r="F183" s="4">
        <f>(Table3[[#This Row],[S&amp;P 500]]-E172)/E172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Row],[S&amp;P 500]]-E173)/E173</f>
        <v>-2.5834864554320471E-2</v>
      </c>
    </row>
    <row r="185" spans="1:6" x14ac:dyDescent="0.2">
      <c r="A185" s="6">
        <v>26877</v>
      </c>
      <c r="B185" s="2">
        <v>54.4</v>
      </c>
      <c r="C185" s="4">
        <f>(Table3[[#This Row],[Conference Board Leading Indicator]]-B173)/B173</f>
        <v>2.4482109227871886E-2</v>
      </c>
      <c r="E185" s="2">
        <v>104.25</v>
      </c>
      <c r="F185" s="4">
        <f>(Table3[[#This Row],[S&amp;P 500]]-E174)/E174</f>
        <v>-5.6987813921633303E-2</v>
      </c>
    </row>
    <row r="186" spans="1:6" x14ac:dyDescent="0.2">
      <c r="A186" s="6">
        <v>26908</v>
      </c>
      <c r="B186" s="2">
        <v>54.2</v>
      </c>
      <c r="C186" s="4">
        <f>(Table3[[#This Row],[Conference Board Leading Indicator]]-B174)/B174</f>
        <v>9.3109869646182484E-3</v>
      </c>
      <c r="E186" s="2">
        <v>108.43</v>
      </c>
      <c r="F186" s="4">
        <f>(Table3[[#This Row],[S&amp;P 500]]-E175)/E175</f>
        <v>-2.8230883164888153E-2</v>
      </c>
    </row>
    <row r="187" spans="1:6" x14ac:dyDescent="0.2">
      <c r="A187" s="6">
        <v>26938</v>
      </c>
      <c r="B187" s="2">
        <v>54.1</v>
      </c>
      <c r="C187" s="4">
        <f>(Table3[[#This Row],[Conference Board Leading Indicator]]-B175)/B175</f>
        <v>0</v>
      </c>
      <c r="D187" s="3">
        <v>4.0237570999252563E-2</v>
      </c>
      <c r="E187" s="2">
        <v>108.290001</v>
      </c>
      <c r="F187" s="4">
        <f>(Table3[[#This Row],[S&amp;P 500]]-E176)/E176</f>
        <v>-7.18264947600325E-2</v>
      </c>
    </row>
    <row r="188" spans="1:6" x14ac:dyDescent="0.2">
      <c r="A188" s="6">
        <v>26969</v>
      </c>
      <c r="B188" s="2">
        <v>53.8</v>
      </c>
      <c r="C188" s="4">
        <f>(Table3[[#This Row],[Conference Board Leading Indicator]]-B176)/B176</f>
        <v>-1.6453382084095167E-2</v>
      </c>
      <c r="E188" s="2">
        <v>95.959998999999996</v>
      </c>
      <c r="F188" s="4">
        <f>(Table3[[#This Row],[S&amp;P 500]]-E177)/E177</f>
        <v>-0.18712412908621448</v>
      </c>
    </row>
    <row r="189" spans="1:6" x14ac:dyDescent="0.2">
      <c r="A189" s="6">
        <v>26999</v>
      </c>
      <c r="B189" s="2">
        <v>53.2</v>
      </c>
      <c r="C189" s="4">
        <f>(Table3[[#This Row],[Conference Board Leading Indicator]]-B177)/B177</f>
        <v>-3.7974683544303695E-2</v>
      </c>
      <c r="E189" s="2">
        <v>97.550003000000004</v>
      </c>
      <c r="F189" s="4">
        <f>(Table3[[#This Row],[S&amp;P 500]]-E178)/E178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Row],[S&amp;P 500]]-E179)/E179</f>
        <v>-0.13529727793696286</v>
      </c>
    </row>
    <row r="191" spans="1:6" x14ac:dyDescent="0.2">
      <c r="A191" s="6">
        <v>27061</v>
      </c>
      <c r="B191" s="2">
        <v>52.5</v>
      </c>
      <c r="C191" s="4">
        <f>(Table3[[#This Row],[Conference Board Leading Indicator]]-B179)/B179</f>
        <v>-5.9139784946236514E-2</v>
      </c>
      <c r="E191" s="2">
        <v>96.220000999999996</v>
      </c>
      <c r="F191" s="4">
        <f>(Table3[[#This Row],[S&amp;P 500]]-E180)/E180</f>
        <v>-0.13719508977389955</v>
      </c>
    </row>
    <row r="192" spans="1:6" x14ac:dyDescent="0.2">
      <c r="A192" s="6">
        <v>27089</v>
      </c>
      <c r="B192" s="2">
        <v>52.4</v>
      </c>
      <c r="C192" s="4">
        <f>(Table3[[#This Row],[Conference Board Leading Indicator]]-B180)/B180</f>
        <v>-5.9245960502693075E-2</v>
      </c>
      <c r="E192" s="2">
        <v>93.980002999999996</v>
      </c>
      <c r="F192" s="4">
        <f>(Table3[[#This Row],[S&amp;P 500]]-E181)/E181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Row],[S&amp;P 500]]-E182)/E182</f>
        <v>-0.1394949920770365</v>
      </c>
    </row>
    <row r="194" spans="1:6" x14ac:dyDescent="0.2">
      <c r="A194" s="6">
        <v>27150</v>
      </c>
      <c r="B194" s="2">
        <v>51.4</v>
      </c>
      <c r="C194" s="4">
        <f>(Table3[[#This Row],[Conference Board Leading Indicator]]-B182)/B182</f>
        <v>-7.2202166064981949E-2</v>
      </c>
      <c r="E194" s="2">
        <v>87.279999000000004</v>
      </c>
      <c r="F194" s="4">
        <f>(Table3[[#This Row],[S&amp;P 500]]-E183)/E183</f>
        <v>-0.16286210123034522</v>
      </c>
    </row>
    <row r="195" spans="1:6" x14ac:dyDescent="0.2">
      <c r="A195" s="6">
        <v>27181</v>
      </c>
      <c r="B195" s="2">
        <v>50.8</v>
      </c>
      <c r="C195" s="4">
        <f>(Table3[[#This Row],[Conference Board Leading Indicator]]-B183)/B183</f>
        <v>-8.1374321880650996E-2</v>
      </c>
      <c r="E195" s="2">
        <v>86</v>
      </c>
      <c r="F195" s="4">
        <f>(Table3[[#This Row],[S&amp;P 500]]-E184)/E184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Row],[S&amp;P 500]]-E185)/E185</f>
        <v>-0.23923263309352524</v>
      </c>
    </row>
    <row r="197" spans="1:6" x14ac:dyDescent="0.2">
      <c r="A197" s="6">
        <v>27242</v>
      </c>
      <c r="B197" s="2">
        <v>49.4</v>
      </c>
      <c r="C197" s="4">
        <f>(Table3[[#This Row],[Conference Board Leading Indicator]]-B185)/B185</f>
        <v>-9.1911764705882359E-2</v>
      </c>
      <c r="E197" s="2">
        <v>72.150002000000001</v>
      </c>
      <c r="F197" s="4">
        <f>(Table3[[#This Row],[S&amp;P 500]]-E186)/E186</f>
        <v>-0.33459372867287657</v>
      </c>
    </row>
    <row r="198" spans="1:6" x14ac:dyDescent="0.2">
      <c r="A198" s="6">
        <v>27273</v>
      </c>
      <c r="B198" s="2">
        <v>48.5</v>
      </c>
      <c r="C198" s="4">
        <f>(Table3[[#This Row],[Conference Board Leading Indicator]]-B186)/B186</f>
        <v>-0.10516605166051665</v>
      </c>
      <c r="E198" s="2">
        <v>63.540000999999997</v>
      </c>
      <c r="F198" s="4">
        <f>(Table3[[#This Row],[S&amp;P 500]]-E187)/E187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Row],[S&amp;P 500]]-E188)/E188</f>
        <v>-0.22988742423809316</v>
      </c>
    </row>
    <row r="200" spans="1:6" x14ac:dyDescent="0.2">
      <c r="A200" s="6">
        <v>27334</v>
      </c>
      <c r="B200" s="2">
        <v>47.1</v>
      </c>
      <c r="C200" s="4">
        <f>(Table3[[#This Row],[Conference Board Leading Indicator]]-B188)/B188</f>
        <v>-0.12453531598513004</v>
      </c>
      <c r="E200" s="2">
        <v>69.970000999999996</v>
      </c>
      <c r="F200" s="4">
        <f>(Table3[[#This Row],[S&amp;P 500]]-E189)/E189</f>
        <v>-0.28272681857323989</v>
      </c>
    </row>
    <row r="201" spans="1:6" x14ac:dyDescent="0.2">
      <c r="A201" s="6">
        <v>27364</v>
      </c>
      <c r="B201" s="2">
        <v>46.3</v>
      </c>
      <c r="C201" s="4">
        <f>(Table3[[#This Row],[Conference Board Leading Indicator]]-B189)/B189</f>
        <v>-0.12969924812030084</v>
      </c>
      <c r="E201" s="2">
        <v>68.559997999999993</v>
      </c>
      <c r="F201" s="4">
        <f>(Table3[[#This Row],[S&amp;P 500]]-E190)/E190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Row],[S&amp;P 500]]-E191)/E191</f>
        <v>-0.19995840573728532</v>
      </c>
    </row>
    <row r="203" spans="1:6" x14ac:dyDescent="0.2">
      <c r="A203" s="6">
        <v>27426</v>
      </c>
      <c r="B203" s="2">
        <v>45.8</v>
      </c>
      <c r="C203" s="4">
        <f>(Table3[[#This Row],[Conference Board Leading Indicator]]-B191)/B191</f>
        <v>-0.12761904761904766</v>
      </c>
      <c r="E203" s="2">
        <v>81.589995999999999</v>
      </c>
      <c r="F203" s="4">
        <f>(Table3[[#This Row],[S&amp;P 500]]-E192)/E192</f>
        <v>-0.1318366312459045</v>
      </c>
    </row>
    <row r="204" spans="1:6" x14ac:dyDescent="0.2">
      <c r="A204" s="6">
        <v>27454</v>
      </c>
      <c r="B204" s="2">
        <v>45.6</v>
      </c>
      <c r="C204" s="4">
        <f>(Table3[[#This Row],[Conference Board Leading Indicator]]-B192)/B192</f>
        <v>-0.12977099236641215</v>
      </c>
      <c r="E204" s="2">
        <v>83.360000999999997</v>
      </c>
      <c r="F204" s="4">
        <f>(Table3[[#This Row],[S&amp;P 500]]-E193)/E193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Row],[S&amp;P 500]]-E194)/E194</f>
        <v>2.2919340317591126E-4</v>
      </c>
    </row>
    <row r="206" spans="1:6" x14ac:dyDescent="0.2">
      <c r="A206" s="6">
        <v>27515</v>
      </c>
      <c r="B206" s="2">
        <v>46.5</v>
      </c>
      <c r="C206" s="4">
        <f>(Table3[[#This Row],[Conference Board Leading Indicator]]-B194)/B194</f>
        <v>-9.5330739299610875E-2</v>
      </c>
      <c r="E206" s="2">
        <v>91.150002000000001</v>
      </c>
      <c r="F206" s="4">
        <f>(Table3[[#This Row],[S&amp;P 500]]-E195)/E195</f>
        <v>5.9883744186046521E-2</v>
      </c>
    </row>
    <row r="207" spans="1:6" x14ac:dyDescent="0.2">
      <c r="A207" s="6">
        <v>27546</v>
      </c>
      <c r="B207" s="2">
        <v>46.8</v>
      </c>
      <c r="C207" s="4">
        <f>(Table3[[#This Row],[Conference Board Leading Indicator]]-B195)/B195</f>
        <v>-7.874015748031496E-2</v>
      </c>
      <c r="E207" s="2">
        <v>95.190002000000007</v>
      </c>
      <c r="F207" s="4">
        <f>(Table3[[#This Row],[S&amp;P 500]]-E196)/E196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Row],[S&amp;P 500]]-E197)/E197</f>
        <v>0.23007619597848381</v>
      </c>
    </row>
    <row r="209" spans="1:6" x14ac:dyDescent="0.2">
      <c r="A209" s="6">
        <v>27607</v>
      </c>
      <c r="B209" s="2">
        <v>47.4</v>
      </c>
      <c r="C209" s="4">
        <f>(Table3[[#This Row],[Conference Board Leading Indicator]]-B197)/B197</f>
        <v>-4.048582995951417E-2</v>
      </c>
      <c r="E209" s="2">
        <v>86.879997000000003</v>
      </c>
      <c r="F209" s="4">
        <f>(Table3[[#This Row],[S&amp;P 500]]-E198)/E198</f>
        <v>0.36732759887743799</v>
      </c>
    </row>
    <row r="210" spans="1:6" x14ac:dyDescent="0.2">
      <c r="A210" s="6">
        <v>27638</v>
      </c>
      <c r="B210" s="2">
        <v>47.6</v>
      </c>
      <c r="C210" s="4">
        <f>(Table3[[#This Row],[Conference Board Leading Indicator]]-B198)/B198</f>
        <v>-1.8556701030927807E-2</v>
      </c>
      <c r="E210" s="2">
        <v>83.870002999999997</v>
      </c>
      <c r="F210" s="4">
        <f>(Table3[[#This Row],[S&amp;P 500]]-E199)/E199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Row],[S&amp;P 500]]-E200)/E200</f>
        <v>0.27254537269479256</v>
      </c>
    </row>
    <row r="212" spans="1:6" x14ac:dyDescent="0.2">
      <c r="A212" s="6">
        <v>27699</v>
      </c>
      <c r="B212" s="2">
        <v>48.2</v>
      </c>
      <c r="C212" s="4">
        <f>(Table3[[#This Row],[Conference Board Leading Indicator]]-B200)/B200</f>
        <v>2.3354564755838671E-2</v>
      </c>
      <c r="E212" s="2">
        <v>91.239998</v>
      </c>
      <c r="F212" s="4">
        <f>(Table3[[#This Row],[S&amp;P 500]]-E201)/E201</f>
        <v>0.33080514383912335</v>
      </c>
    </row>
    <row r="213" spans="1:6" x14ac:dyDescent="0.2">
      <c r="A213" s="6">
        <v>27729</v>
      </c>
      <c r="B213" s="2">
        <v>48.5</v>
      </c>
      <c r="C213" s="4">
        <f>(Table3[[#This Row],[Conference Board Leading Indicator]]-B201)/B201</f>
        <v>4.7516198704103736E-2</v>
      </c>
      <c r="E213" s="2">
        <v>90.190002000000007</v>
      </c>
      <c r="F213" s="4">
        <f>(Table3[[#This Row],[S&amp;P 500]]-E202)/E202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Row],[S&amp;P 500]]-E203)/E203</f>
        <v>0.23618097738355076</v>
      </c>
    </row>
    <row r="215" spans="1:6" x14ac:dyDescent="0.2">
      <c r="A215" s="6">
        <v>27791</v>
      </c>
      <c r="B215" s="2">
        <v>49.9</v>
      </c>
      <c r="C215" s="4">
        <f>(Table3[[#This Row],[Conference Board Leading Indicator]]-B203)/B203</f>
        <v>8.9519650655021876E-2</v>
      </c>
      <c r="E215" s="2">
        <v>99.709998999999996</v>
      </c>
      <c r="F215" s="4">
        <f>(Table3[[#This Row],[S&amp;P 500]]-E204)/E204</f>
        <v>0.19613720973923693</v>
      </c>
    </row>
    <row r="216" spans="1:6" x14ac:dyDescent="0.2">
      <c r="A216" s="6">
        <v>27820</v>
      </c>
      <c r="B216" s="2">
        <v>50.1</v>
      </c>
      <c r="C216" s="4">
        <f>(Table3[[#This Row],[Conference Board Leading Indicator]]-B204)/B204</f>
        <v>9.8684210526315791E-2</v>
      </c>
      <c r="E216" s="2">
        <v>102.769997</v>
      </c>
      <c r="F216" s="4">
        <f>(Table3[[#This Row],[S&amp;P 500]]-E205)/E205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Row],[S&amp;P 500]]-E206)/E206</f>
        <v>0.1150849892466267</v>
      </c>
    </row>
    <row r="218" spans="1:6" x14ac:dyDescent="0.2">
      <c r="A218" s="6">
        <v>27881</v>
      </c>
      <c r="B218" s="2">
        <v>50.7</v>
      </c>
      <c r="C218" s="4">
        <f>(Table3[[#This Row],[Conference Board Leading Indicator]]-B206)/B206</f>
        <v>9.0322580645161354E-2</v>
      </c>
      <c r="E218" s="2">
        <v>100.18</v>
      </c>
      <c r="F218" s="4">
        <f>(Table3[[#This Row],[S&amp;P 500]]-E207)/E207</f>
        <v>5.242145073176907E-2</v>
      </c>
    </row>
    <row r="219" spans="1:6" x14ac:dyDescent="0.2">
      <c r="A219" s="6">
        <v>27912</v>
      </c>
      <c r="B219" s="2">
        <v>50.8</v>
      </c>
      <c r="C219" s="4">
        <f>(Table3[[#This Row],[Conference Board Leading Indicator]]-B207)/B207</f>
        <v>8.5470085470085472E-2</v>
      </c>
      <c r="E219" s="2">
        <v>104.279999</v>
      </c>
      <c r="F219" s="4">
        <f>(Table3[[#This Row],[S&amp;P 500]]-E208)/E208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Row],[S&amp;P 500]]-E209)/E209</f>
        <v>0.19060779893903546</v>
      </c>
    </row>
    <row r="221" spans="1:6" x14ac:dyDescent="0.2">
      <c r="A221" s="6">
        <v>27973</v>
      </c>
      <c r="B221" s="2">
        <v>51.5</v>
      </c>
      <c r="C221" s="4">
        <f>(Table3[[#This Row],[Conference Board Leading Indicator]]-B209)/B209</f>
        <v>8.6497890295358676E-2</v>
      </c>
      <c r="E221" s="2">
        <v>102.910004</v>
      </c>
      <c r="F221" s="4">
        <f>(Table3[[#This Row],[S&amp;P 500]]-E210)/E210</f>
        <v>0.22701800785675427</v>
      </c>
    </row>
    <row r="222" spans="1:6" x14ac:dyDescent="0.2">
      <c r="A222" s="6">
        <v>28004</v>
      </c>
      <c r="B222" s="2">
        <v>51.9</v>
      </c>
      <c r="C222" s="4">
        <f>(Table3[[#This Row],[Conference Board Leading Indicator]]-B210)/B210</f>
        <v>9.0336134453781455E-2</v>
      </c>
      <c r="E222" s="2">
        <v>105.239998</v>
      </c>
      <c r="F222" s="4">
        <f>(Table3[[#This Row],[S&amp;P 500]]-E211)/E211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Row],[S&amp;P 500]]-E212)/E212</f>
        <v>0.12779487347204896</v>
      </c>
    </row>
    <row r="224" spans="1:6" x14ac:dyDescent="0.2">
      <c r="A224" s="6">
        <v>28065</v>
      </c>
      <c r="B224" s="2">
        <v>52.4</v>
      </c>
      <c r="C224" s="4">
        <f>(Table3[[#This Row],[Conference Board Leading Indicator]]-B212)/B212</f>
        <v>8.7136929460580825E-2</v>
      </c>
      <c r="E224" s="2">
        <v>102.099998</v>
      </c>
      <c r="F224" s="4">
        <f>(Table3[[#This Row],[S&amp;P 500]]-E213)/E213</f>
        <v>0.13205450422320639</v>
      </c>
    </row>
    <row r="225" spans="1:6" x14ac:dyDescent="0.2">
      <c r="A225" s="6">
        <v>28095</v>
      </c>
      <c r="B225" s="2">
        <v>52.9</v>
      </c>
      <c r="C225" s="4">
        <f>(Table3[[#This Row],[Conference Board Leading Indicator]]-B213)/B213</f>
        <v>9.0721649484536052E-2</v>
      </c>
      <c r="E225" s="2">
        <v>107.459999</v>
      </c>
      <c r="F225" s="4">
        <f>(Table3[[#This Row],[S&amp;P 500]]-E214)/E214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Row],[S&amp;P 500]]-E215)/E215</f>
        <v>2.3267475912822019E-2</v>
      </c>
    </row>
    <row r="227" spans="1:6" x14ac:dyDescent="0.2">
      <c r="A227" s="6">
        <v>28157</v>
      </c>
      <c r="B227" s="2">
        <v>53.2</v>
      </c>
      <c r="C227" s="4">
        <f>(Table3[[#This Row],[Conference Board Leading Indicator]]-B215)/B215</f>
        <v>6.613226452905821E-2</v>
      </c>
      <c r="E227" s="2">
        <v>99.82</v>
      </c>
      <c r="F227" s="4">
        <f>(Table3[[#This Row],[S&amp;P 500]]-E216)/E216</f>
        <v>-2.8704846610047192E-2</v>
      </c>
    </row>
    <row r="228" spans="1:6" x14ac:dyDescent="0.2">
      <c r="A228" s="6">
        <v>28185</v>
      </c>
      <c r="B228" s="2">
        <v>54</v>
      </c>
      <c r="C228" s="4">
        <f>(Table3[[#This Row],[Conference Board Leading Indicator]]-B216)/B216</f>
        <v>7.7844311377245484E-2</v>
      </c>
      <c r="E228" s="2">
        <v>98.419998000000007</v>
      </c>
      <c r="F228" s="4">
        <f>(Table3[[#This Row],[S&amp;P 500]]-E217)/E217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Row],[S&amp;P 500]]-E218)/E218</f>
        <v>-1.7368716310640846E-2</v>
      </c>
    </row>
    <row r="230" spans="1:6" x14ac:dyDescent="0.2">
      <c r="A230" s="6">
        <v>28246</v>
      </c>
      <c r="B230" s="2">
        <v>54.4</v>
      </c>
      <c r="C230" s="4">
        <f>(Table3[[#This Row],[Conference Board Leading Indicator]]-B218)/B218</f>
        <v>7.2978303747534432E-2</v>
      </c>
      <c r="E230" s="2">
        <v>96.120002999999997</v>
      </c>
      <c r="F230" s="4">
        <f>(Table3[[#This Row],[S&amp;P 500]]-E219)/E219</f>
        <v>-7.8250825453115E-2</v>
      </c>
    </row>
    <row r="231" spans="1:6" x14ac:dyDescent="0.2">
      <c r="A231" s="6">
        <v>28277</v>
      </c>
      <c r="B231" s="2">
        <v>54.8</v>
      </c>
      <c r="C231" s="4">
        <f>(Table3[[#This Row],[Conference Board Leading Indicator]]-B219)/B219</f>
        <v>7.874015748031496E-2</v>
      </c>
      <c r="E231" s="2">
        <v>100.480003</v>
      </c>
      <c r="F231" s="4">
        <f>(Table3[[#This Row],[S&amp;P 500]]-E220)/E220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Row],[S&amp;P 500]]-E221)/E221</f>
        <v>-3.9452005074258875E-2</v>
      </c>
    </row>
    <row r="233" spans="1:6" x14ac:dyDescent="0.2">
      <c r="A233" s="6">
        <v>28338</v>
      </c>
      <c r="B233" s="2">
        <v>55.1</v>
      </c>
      <c r="C233" s="4">
        <f>(Table3[[#This Row],[Conference Board Leading Indicator]]-B221)/B221</f>
        <v>6.9902912621359253E-2</v>
      </c>
      <c r="E233" s="2">
        <v>96.769997000000004</v>
      </c>
      <c r="F233" s="4">
        <f>(Table3[[#This Row],[S&amp;P 500]]-E222)/E222</f>
        <v>-8.0482717226961528E-2</v>
      </c>
    </row>
    <row r="234" spans="1:6" x14ac:dyDescent="0.2">
      <c r="A234" s="6">
        <v>28369</v>
      </c>
      <c r="B234" s="2">
        <v>55.2</v>
      </c>
      <c r="C234" s="4">
        <f>(Table3[[#This Row],[Conference Board Leading Indicator]]-B222)/B222</f>
        <v>6.3583815028901813E-2</v>
      </c>
      <c r="E234" s="2">
        <v>96.529999000000004</v>
      </c>
      <c r="F234" s="4">
        <f>(Table3[[#This Row],[S&amp;P 500]]-E223)/E223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Row],[S&amp;P 500]]-E224)/E224</f>
        <v>-9.5592577778502996E-2</v>
      </c>
    </row>
    <row r="236" spans="1:6" x14ac:dyDescent="0.2">
      <c r="A236" s="6">
        <v>28430</v>
      </c>
      <c r="B236" s="2">
        <v>55.5</v>
      </c>
      <c r="C236" s="4">
        <f>(Table3[[#This Row],[Conference Board Leading Indicator]]-B224)/B224</f>
        <v>5.916030534351148E-2</v>
      </c>
      <c r="E236" s="2">
        <v>94.830001999999993</v>
      </c>
      <c r="F236" s="4">
        <f>(Table3[[#This Row],[S&amp;P 500]]-E225)/E225</f>
        <v>-0.11753207814565496</v>
      </c>
    </row>
    <row r="237" spans="1:6" x14ac:dyDescent="0.2">
      <c r="A237" s="6">
        <v>28460</v>
      </c>
      <c r="B237" s="2">
        <v>55.6</v>
      </c>
      <c r="C237" s="4">
        <f>(Table3[[#This Row],[Conference Board Leading Indicator]]-B225)/B225</f>
        <v>5.1039697542533138E-2</v>
      </c>
      <c r="E237" s="2">
        <v>95.099997999999999</v>
      </c>
      <c r="F237" s="4">
        <f>(Table3[[#This Row],[S&amp;P 500]]-E226)/E226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Row],[S&amp;P 500]]-E227)/E227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Row],[S&amp;P 500]]-E228)/E228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Row],[S&amp;P 500]]-E229)/E229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Row],[S&amp;P 500]]-E230)/E230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Row],[S&amp;P 500]]-E231)/E231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Row],[S&amp;P 500]]-E232)/E232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Row],[S&amp;P 500]]-E233)/E233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Row],[S&amp;P 500]]-E234)/E234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Row],[S&amp;P 500]]-E235)/E235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Row],[S&amp;P 500]]-E236)/E236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Row],[S&amp;P 500]]-E237)/E237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Row],[S&amp;P 500]]-E238)/E238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Row],[S&amp;P 500]]-E239)/E239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Row],[S&amp;P 500]]-E240)/E240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Row],[S&amp;P 500]]-E241)/E241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Row],[S&amp;P 500]]-E242)/E242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Row],[S&amp;P 500]]-E243)/E243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Row],[S&amp;P 500]]-E244)/E244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Row],[S&amp;P 500]]-E245)/E245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Row],[S&amp;P 500]]-E246)/E246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Row],[S&amp;P 500]]-E247)/E247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Row],[S&amp;P 500]]-E248)/E248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Row],[S&amp;P 500]]-E249)/E249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Row],[S&amp;P 500]]-E250)/E250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Row],[S&amp;P 500]]-E251)/E251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Row],[S&amp;P 500]]-E252)/E252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Row],[S&amp;P 500]]-E253)/E253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Row],[S&amp;P 500]]-E254)/E254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Row],[S&amp;P 500]]-E255)/E255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Row],[S&amp;P 500]]-E256)/E256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Row],[S&amp;P 500]]-E257)/E257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Row],[S&amp;P 500]]-E258)/E258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Row],[S&amp;P 500]]-E259)/E259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Row],[S&amp;P 500]]-E260)/E260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Row],[S&amp;P 500]]-E261)/E261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Row],[S&amp;P 500]]-E262)/E262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Row],[S&amp;P 500]]-E263)/E263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Row],[S&amp;P 500]]-E264)/E264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Row],[S&amp;P 500]]-E265)/E265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Row],[S&amp;P 500]]-E266)/E266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Row],[S&amp;P 500]]-E267)/E267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Row],[S&amp;P 500]]-E268)/E268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Row],[S&amp;P 500]]-E269)/E269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Row],[S&amp;P 500]]-E270)/E270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Row],[S&amp;P 500]]-E271)/E271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Row],[S&amp;P 500]]-E272)/E272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Row],[S&amp;P 500]]-E273)/E273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Row],[S&amp;P 500]]-E274)/E274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Row],[S&amp;P 500]]-E275)/E275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Row],[S&amp;P 500]]-E276)/E276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Row],[S&amp;P 500]]-E277)/E277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Row],[S&amp;P 500]]-E278)/E278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Row],[S&amp;P 500]]-E279)/E279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Row],[S&amp;P 500]]-E280)/E280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Row],[S&amp;P 500]]-E281)/E281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Row],[S&amp;P 500]]-E282)/E282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Row],[S&amp;P 500]]-E283)/E283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Row],[S&amp;P 500]]-E284)/E284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Row],[S&amp;P 500]]-E285)/E285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Row],[S&amp;P 500]]-E286)/E286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Row],[S&amp;P 500]]-E287)/E287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Row],[S&amp;P 500]]-E288)/E288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Row],[S&amp;P 500]]-E289)/E289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Row],[S&amp;P 500]]-E290)/E290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Row],[S&amp;P 500]]-E291)/E291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Row],[S&amp;P 500]]-E292)/E292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Row],[S&amp;P 500]]-E293)/E293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Row],[S&amp;P 500]]-E294)/E294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Row],[S&amp;P 500]]-E295)/E295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Row],[S&amp;P 500]]-E296)/E296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Row],[S&amp;P 500]]-E297)/E297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Row],[S&amp;P 500]]-E298)/E298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Row],[S&amp;P 500]]-E299)/E299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Row],[S&amp;P 500]]-E300)/E300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Row],[S&amp;P 500]]-E301)/E301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Row],[S&amp;P 500]]-E302)/E302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Row],[S&amp;P 500]]-E303)/E303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Row],[S&amp;P 500]]-E304)/E304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Row],[S&amp;P 500]]-E305)/E305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Row],[S&amp;P 500]]-E306)/E306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Row],[S&amp;P 500]]-E307)/E307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Row],[S&amp;P 500]]-E308)/E308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Row],[S&amp;P 500]]-E309)/E309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Row],[S&amp;P 500]]-E310)/E310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Row],[S&amp;P 500]]-E311)/E311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Row],[S&amp;P 500]]-E312)/E312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Row],[S&amp;P 500]]-E313)/E313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Row],[S&amp;P 500]]-E314)/E314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Row],[S&amp;P 500]]-E315)/E315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Row],[S&amp;P 500]]-E316)/E316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Row],[S&amp;P 500]]-E317)/E317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Row],[S&amp;P 500]]-E318)/E318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Row],[S&amp;P 500]]-E319)/E319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Row],[S&amp;P 500]]-E320)/E320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Row],[S&amp;P 500]]-E321)/E321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Row],[S&amp;P 500]]-E322)/E322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Row],[S&amp;P 500]]-E323)/E323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Row],[S&amp;P 500]]-E324)/E324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Row],[S&amp;P 500]]-E325)/E325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Row],[S&amp;P 500]]-E326)/E326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Row],[S&amp;P 500]]-E327)/E327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Row],[S&amp;P 500]]-E328)/E328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Row],[S&amp;P 500]]-E329)/E329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Row],[S&amp;P 500]]-E330)/E330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Row],[S&amp;P 500]]-E331)/E331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Row],[S&amp;P 500]]-E332)/E332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Row],[S&amp;P 500]]-E333)/E333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Row],[S&amp;P 500]]-E334)/E334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Row],[S&amp;P 500]]-E335)/E335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Row],[S&amp;P 500]]-E336)/E336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Row],[S&amp;P 500]]-E337)/E337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Row],[S&amp;P 500]]-E338)/E338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Row],[S&amp;P 500]]-E339)/E339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Row],[S&amp;P 500]]-E340)/E340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Row],[S&amp;P 500]]-E341)/E341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Row],[S&amp;P 500]]-E342)/E342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Row],[S&amp;P 500]]-E343)/E343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Row],[S&amp;P 500]]-E344)/E344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Row],[S&amp;P 500]]-E345)/E345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Row],[S&amp;P 500]]-E346)/E346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Row],[S&amp;P 500]]-E347)/E347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Row],[S&amp;P 500]]-E348)/E348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Row],[S&amp;P 500]]-E349)/E349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Row],[S&amp;P 500]]-E350)/E350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Row],[S&amp;P 500]]-E351)/E351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Row],[S&amp;P 500]]-E352)/E352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Row],[S&amp;P 500]]-E353)/E353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Row],[S&amp;P 500]]-E354)/E354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Row],[S&amp;P 500]]-E355)/E355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Row],[S&amp;P 500]]-E356)/E356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Row],[S&amp;P 500]]-E357)/E357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Row],[S&amp;P 500]]-E358)/E358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Row],[S&amp;P 500]]-E359)/E359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Row],[S&amp;P 500]]-E360)/E360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Row],[S&amp;P 500]]-E361)/E361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Row],[S&amp;P 500]]-E362)/E362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Row],[S&amp;P 500]]-E363)/E363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Row],[S&amp;P 500]]-E364)/E364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Row],[S&amp;P 500]]-E365)/E365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Row],[S&amp;P 500]]-E366)/E366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Row],[S&amp;P 500]]-E367)/E367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Row],[S&amp;P 500]]-E368)/E368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Row],[S&amp;P 500]]-E369)/E369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Row],[S&amp;P 500]]-E370)/E370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Row],[S&amp;P 500]]-E371)/E371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Row],[S&amp;P 500]]-E372)/E372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Row],[S&amp;P 500]]-E373)/E373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Row],[S&amp;P 500]]-E374)/E374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Row],[S&amp;P 500]]-E375)/E375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Row],[S&amp;P 500]]-E376)/E376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Row],[S&amp;P 500]]-E377)/E377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Row],[S&amp;P 500]]-E378)/E378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Row],[S&amp;P 500]]-E379)/E379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Row],[S&amp;P 500]]-E380)/E380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Row],[S&amp;P 500]]-E381)/E381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Row],[S&amp;P 500]]-E382)/E382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Row],[S&amp;P 500]]-E383)/E383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Row],[S&amp;P 500]]-E384)/E384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Row],[S&amp;P 500]]-E385)/E385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Row],[S&amp;P 500]]-E386)/E386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Row],[S&amp;P 500]]-E387)/E387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Row],[S&amp;P 500]]-E388)/E388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Row],[S&amp;P 500]]-E389)/E389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Row],[S&amp;P 500]]-E390)/E390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Row],[S&amp;P 500]]-E391)/E391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Row],[S&amp;P 500]]-E392)/E392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Row],[S&amp;P 500]]-E393)/E393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Row],[S&amp;P 500]]-E394)/E394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Row],[S&amp;P 500]]-E395)/E395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Row],[S&amp;P 500]]-E396)/E396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Row],[S&amp;P 500]]-E397)/E397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Row],[S&amp;P 500]]-E398)/E398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Row],[S&amp;P 500]]-E399)/E399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Row],[S&amp;P 500]]-E400)/E400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Row],[S&amp;P 500]]-E401)/E401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Row],[S&amp;P 500]]-E402)/E402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Row],[S&amp;P 500]]-E403)/E403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Row],[S&amp;P 500]]-E404)/E404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Row],[S&amp;P 500]]-E405)/E405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Row],[S&amp;P 500]]-E406)/E406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Row],[S&amp;P 500]]-E407)/E407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Row],[S&amp;P 500]]-E408)/E408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Row],[S&amp;P 500]]-E409)/E409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Row],[S&amp;P 500]]-E410)/E410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Row],[S&amp;P 500]]-E411)/E411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Row],[S&amp;P 500]]-E412)/E412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Row],[S&amp;P 500]]-E413)/E413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Row],[S&amp;P 500]]-E414)/E414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Row],[S&amp;P 500]]-E415)/E415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Row],[S&amp;P 500]]-E416)/E416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Row],[S&amp;P 500]]-E417)/E417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Row],[S&amp;P 500]]-E418)/E418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Row],[S&amp;P 500]]-E419)/E419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Row],[S&amp;P 500]]-E420)/E420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Row],[S&amp;P 500]]-E421)/E421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Row],[S&amp;P 500]]-E422)/E422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Row],[S&amp;P 500]]-E423)/E423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Row],[S&amp;P 500]]-E424)/E424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Row],[S&amp;P 500]]-E425)/E425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Row],[S&amp;P 500]]-E426)/E426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Row],[S&amp;P 500]]-E427)/E427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Row],[S&amp;P 500]]-E428)/E428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Row],[S&amp;P 500]]-E429)/E429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Row],[S&amp;P 500]]-E430)/E430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Row],[S&amp;P 500]]-E431)/E431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Row],[S&amp;P 500]]-E432)/E432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Row],[S&amp;P 500]]-E433)/E433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Row],[S&amp;P 500]]-E434)/E434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Row],[S&amp;P 500]]-E435)/E435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Row],[S&amp;P 500]]-E436)/E436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Row],[S&amp;P 500]]-E437)/E437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Row],[S&amp;P 500]]-E438)/E438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Row],[S&amp;P 500]]-E439)/E439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Row],[S&amp;P 500]]-E440)/E440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Row],[S&amp;P 500]]-E441)/E441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Row],[S&amp;P 500]]-E442)/E442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Row],[S&amp;P 500]]-E443)/E443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Row],[S&amp;P 500]]-E444)/E444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Row],[S&amp;P 500]]-E445)/E445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Row],[S&amp;P 500]]-E446)/E446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Row],[S&amp;P 500]]-E447)/E447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Row],[S&amp;P 500]]-E448)/E448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Row],[S&amp;P 500]]-E449)/E449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Row],[S&amp;P 500]]-E450)/E450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Row],[S&amp;P 500]]-E451)/E451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Row],[S&amp;P 500]]-E452)/E452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Row],[S&amp;P 500]]-E453)/E453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Row],[S&amp;P 500]]-E454)/E454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Row],[S&amp;P 500]]-E455)/E455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Row],[S&amp;P 500]]-E456)/E456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Row],[S&amp;P 500]]-E457)/E457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Row],[S&amp;P 500]]-E458)/E458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Row],[S&amp;P 500]]-E459)/E459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Row],[S&amp;P 500]]-E460)/E460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Row],[S&amp;P 500]]-E461)/E461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Row],[S&amp;P 500]]-E462)/E462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Row],[S&amp;P 500]]-E463)/E463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Row],[S&amp;P 500]]-E464)/E464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Row],[S&amp;P 500]]-E465)/E465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Row],[S&amp;P 500]]-E466)/E466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Row],[S&amp;P 500]]-E467)/E467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Row],[S&amp;P 500]]-E468)/E468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Row],[S&amp;P 500]]-E469)/E469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Row],[S&amp;P 500]]-E470)/E470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Row],[S&amp;P 500]]-E471)/E471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Row],[S&amp;P 500]]-E472)/E472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Row],[S&amp;P 500]]-E473)/E473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Row],[S&amp;P 500]]-E474)/E474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Row],[S&amp;P 500]]-E475)/E475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Row],[S&amp;P 500]]-E476)/E476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Row],[S&amp;P 500]]-E477)/E477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Row],[S&amp;P 500]]-E478)/E478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Row],[S&amp;P 500]]-E479)/E479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Row],[S&amp;P 500]]-E480)/E480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Row],[S&amp;P 500]]-E481)/E481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Row],[S&amp;P 500]]-E482)/E482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Row],[S&amp;P 500]]-E483)/E483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Row],[S&amp;P 500]]-E484)/E484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Row],[S&amp;P 500]]-E485)/E485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Row],[S&amp;P 500]]-E486)/E486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Row],[S&amp;P 500]]-E487)/E487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Row],[S&amp;P 500]]-E488)/E488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Row],[S&amp;P 500]]-E489)/E489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Row],[S&amp;P 500]]-E490)/E490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Row],[S&amp;P 500]]-E491)/E491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Row],[S&amp;P 500]]-E492)/E492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Row],[S&amp;P 500]]-E493)/E493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Row],[S&amp;P 500]]-E494)/E494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Row],[S&amp;P 500]]-E495)/E495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Row],[S&amp;P 500]]-E496)/E496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Row],[S&amp;P 500]]-E497)/E497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Row],[S&amp;P 500]]-E498)/E498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Row],[S&amp;P 500]]-E499)/E499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Row],[S&amp;P 500]]-E500)/E500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Row],[S&amp;P 500]]-E501)/E501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Row],[S&amp;P 500]]-E502)/E502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Row],[S&amp;P 500]]-E503)/E503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Row],[S&amp;P 500]]-E504)/E504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Row],[S&amp;P 500]]-E505)/E505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Row],[S&amp;P 500]]-E506)/E506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Row],[S&amp;P 500]]-E507)/E507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Row],[S&amp;P 500]]-E508)/E508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Row],[S&amp;P 500]]-E509)/E509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Row],[S&amp;P 500]]-E510)/E510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Row],[S&amp;P 500]]-E511)/E511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Row],[S&amp;P 500]]-E512)/E512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Row],[S&amp;P 500]]-E513)/E513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Row],[S&amp;P 500]]-E514)/E514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Row],[S&amp;P 500]]-E515)/E515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Row],[S&amp;P 500]]-E516)/E516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Row],[S&amp;P 500]]-E517)/E517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Row],[S&amp;P 500]]-E518)/E518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Row],[S&amp;P 500]]-E519)/E519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Row],[S&amp;P 500]]-E520)/E520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Row],[S&amp;P 500]]-E521)/E521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Row],[S&amp;P 500]]-E522)/E522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Row],[S&amp;P 500]]-E523)/E523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Row],[S&amp;P 500]]-E524)/E524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Row],[S&amp;P 500]]-E525)/E525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Row],[S&amp;P 500]]-E526)/E526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Row],[S&amp;P 500]]-E527)/E527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Row],[S&amp;P 500]]-E528)/E528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Row],[S&amp;P 500]]-E529)/E529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Row],[S&amp;P 500]]-E530)/E530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Row],[S&amp;P 500]]-E531)/E531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Row],[S&amp;P 500]]-E532)/E532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Row],[S&amp;P 500]]-E533)/E533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Row],[S&amp;P 500]]-E534)/E534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Row],[S&amp;P 500]]-E535)/E535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Row],[S&amp;P 500]]-E536)/E536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Row],[S&amp;P 500]]-E537)/E537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Row],[S&amp;P 500]]-E538)/E538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Row],[S&amp;P 500]]-E539)/E539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Row],[S&amp;P 500]]-E540)/E540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Row],[S&amp;P 500]]-E541)/E541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Row],[S&amp;P 500]]-E542)/E542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Row],[S&amp;P 500]]-E543)/E543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Row],[S&amp;P 500]]-E544)/E544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Row],[S&amp;P 500]]-E545)/E545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Row],[S&amp;P 500]]-E546)/E546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Row],[S&amp;P 500]]-E547)/E547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Row],[S&amp;P 500]]-E548)/E548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Row],[S&amp;P 500]]-E549)/E549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Row],[S&amp;P 500]]-E550)/E550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Row],[S&amp;P 500]]-E551)/E551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Row],[S&amp;P 500]]-E552)/E552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Row],[S&amp;P 500]]-E553)/E553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Row],[S&amp;P 500]]-E554)/E554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Row],[S&amp;P 500]]-E555)/E555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Row],[S&amp;P 500]]-E556)/E556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Row],[S&amp;P 500]]-E557)/E557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Row],[S&amp;P 500]]-E558)/E558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Row],[S&amp;P 500]]-E559)/E559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Row],[S&amp;P 500]]-E560)/E560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Row],[S&amp;P 500]]-E561)/E561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Row],[S&amp;P 500]]-E562)/E562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Row],[S&amp;P 500]]-E563)/E563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Row],[S&amp;P 500]]-E564)/E564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Row],[S&amp;P 500]]-E565)/E565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Row],[S&amp;P 500]]-E566)/E566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Row],[S&amp;P 500]]-E567)/E567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Row],[S&amp;P 500]]-E568)/E568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Row],[S&amp;P 500]]-E569)/E569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Row],[S&amp;P 500]]-E570)/E570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Row],[S&amp;P 500]]-E571)/E571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Row],[S&amp;P 500]]-E572)/E572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Row],[S&amp;P 500]]-E573)/E573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Row],[S&amp;P 500]]-E574)/E574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Row],[S&amp;P 500]]-E575)/E575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Row],[S&amp;P 500]]-E576)/E576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Row],[S&amp;P 500]]-E577)/E577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Row],[S&amp;P 500]]-E578)/E578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Row],[S&amp;P 500]]-E579)/E579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Row],[S&amp;P 500]]-E580)/E580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Row],[S&amp;P 500]]-E581)/E581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Row],[S&amp;P 500]]-E582)/E582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Row],[S&amp;P 500]]-E583)/E583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Row],[S&amp;P 500]]-E584)/E584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Row],[S&amp;P 500]]-E585)/E585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Row],[S&amp;P 500]]-E586)/E586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Row],[S&amp;P 500]]-E587)/E587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Row],[S&amp;P 500]]-E588)/E588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Row],[S&amp;P 500]]-E589)/E589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Row],[S&amp;P 500]]-E590)/E590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Row],[S&amp;P 500]]-E591)/E591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Row],[S&amp;P 500]]-E592)/E592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Row],[S&amp;P 500]]-E593)/E593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Row],[S&amp;P 500]]-E594)/E594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Row],[S&amp;P 500]]-E595)/E595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Row],[S&amp;P 500]]-E596)/E596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Row],[S&amp;P 500]]-E597)/E597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Row],[S&amp;P 500]]-E598)/E598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Row],[S&amp;P 500]]-E599)/E599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Row],[S&amp;P 500]]-E600)/E600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Row],[S&amp;P 500]]-E601)/E601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Row],[S&amp;P 500]]-E602)/E602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Row],[S&amp;P 500]]-E603)/E603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Row],[S&amp;P 500]]-E604)/E604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Row],[S&amp;P 500]]-E605)/E605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Row],[S&amp;P 500]]-E606)/E606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Row],[S&amp;P 500]]-E607)/E607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Row],[S&amp;P 500]]-E608)/E608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Row],[S&amp;P 500]]-E609)/E609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Row],[S&amp;P 500]]-E610)/E610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Row],[S&amp;P 500]]-E611)/E611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Row],[S&amp;P 500]]-E612)/E612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Row],[S&amp;P 500]]-E613)/E613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Row],[S&amp;P 500]]-E614)/E614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Row],[S&amp;P 500]]-E615)/E615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Row],[S&amp;P 500]]-E616)/E616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Row],[S&amp;P 500]]-E617)/E617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Row],[S&amp;P 500]]-E618)/E618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Row],[S&amp;P 500]]-E619)/E619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Row],[S&amp;P 500]]-E620)/E620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Row],[S&amp;P 500]]-E621)/E621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Row],[S&amp;P 500]]-E622)/E622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Row],[S&amp;P 500]]-E623)/E623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Row],[S&amp;P 500]]-E624)/E624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Row],[S&amp;P 500]]-E625)/E625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Row],[S&amp;P 500]]-E626)/E626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Row],[S&amp;P 500]]-E627)/E627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Row],[S&amp;P 500]]-E628)/E628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Row],[S&amp;P 500]]-E629)/E629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Row],[S&amp;P 500]]-E630)/E630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Row],[S&amp;P 500]]-E631)/E631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Row],[S&amp;P 500]]-E632)/E632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Row],[S&amp;P 500]]-E633)/E633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Row],[S&amp;P 500]]-E634)/E634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Row],[S&amp;P 500]]-E635)/E635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Row],[S&amp;P 500]]-E636)/E636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Row],[S&amp;P 500]]-E637)/E637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Row],[S&amp;P 500]]-E638)/E638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Row],[S&amp;P 500]]-E639)/E639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Row],[S&amp;P 500]]-E640)/E640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Row],[S&amp;P 500]]-E641)/E641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Row],[S&amp;P 500]]-E642)/E642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Row],[S&amp;P 500]]-E643)/E643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Row],[S&amp;P 500]]-E644)/E644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Row],[S&amp;P 500]]-E645)/E645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Row],[S&amp;P 500]]-E646)/E646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Row],[S&amp;P 500]]-E647)/E647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Row],[S&amp;P 500]]-E648)/E648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Row],[S&amp;P 500]]-E649)/E649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Row],[S&amp;P 500]]-E650)/E650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Row],[S&amp;P 500]]-E651)/E651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Row],[S&amp;P 500]]-E652)/E652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Row],[S&amp;P 500]]-E653)/E653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Row],[S&amp;P 500]]-E654)/E654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Row],[S&amp;P 500]]-E655)/E655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Row],[S&amp;P 500]]-E656)/E656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Row],[S&amp;P 500]]-E657)/E657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Row],[S&amp;P 500]]-E658)/E658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Row],[S&amp;P 500]]-E659)/E659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Row],[S&amp;P 500]]-E660)/E660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Row],[S&amp;P 500]]-E661)/E661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Row],[S&amp;P 500]]-E662)/E662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Row],[S&amp;P 500]]-E663)/E663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Row],[S&amp;P 500]]-E664)/E664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Row],[S&amp;P 500]]-E665)/E665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Row],[S&amp;P 500]]-E666)/E666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Row],[S&amp;P 500]]-E667)/E667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Row],[S&amp;P 500]]-E668)/E668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Row],[S&amp;P 500]]-E669)/E669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Row],[S&amp;P 500]]-E670)/E670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Row],[S&amp;P 500]]-E671)/E671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Row],[S&amp;P 500]]-E672)/E672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Row],[S&amp;P 500]]-E673)/E673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Row],[S&amp;P 500]]-E674)/E674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Row],[S&amp;P 500]]-E675)/E675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Row],[S&amp;P 500]]-E676)/E676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Row],[S&amp;P 500]]-E677)/E677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Row],[S&amp;P 500]]-E678)/E678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Row],[S&amp;P 500]]-E679)/E679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Row],[S&amp;P 500]]-E680)/E680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Row],[S&amp;P 500]]-E681)/E681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Row],[S&amp;P 500]]-E682)/E682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Row],[S&amp;P 500]]-E683)/E683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Row],[S&amp;P 500]]-E684)/E684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Row],[S&amp;P 500]]-E685)/E685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Row],[S&amp;P 500]]-E686)/E686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Row],[S&amp;P 500]]-E687)/E687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Row],[S&amp;P 500]]-E688)/E688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Row],[S&amp;P 500]]-E689)/E689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Row],[S&amp;P 500]]-E690)/E690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Row],[S&amp;P 500]]-E691)/E691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Row],[S&amp;P 500]]-E692)/E692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Row],[S&amp;P 500]]-E693)/E693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Row],[S&amp;P 500]]-E694)/E694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Row],[S&amp;P 500]]-E695)/E695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Row],[S&amp;P 500]]-E696)/E696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Row],[S&amp;P 500]]-E697)/E697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Row],[S&amp;P 500]]-E698)/E698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Row],[S&amp;P 500]]-E699)/E699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Row],[S&amp;P 500]]-E700)/E700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Row],[S&amp;P 500]]-E701)/E701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Row],[S&amp;P 500]]-E702)/E702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Row],[S&amp;P 500]]-E703)/E703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Row],[S&amp;P 500]]-E704)/E704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Row],[S&amp;P 500]]-E705)/E705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Row],[S&amp;P 500]]-E706)/E706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Row],[S&amp;P 500]]-E707)/E707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Row],[S&amp;P 500]]-E708)/E708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Row],[S&amp;P 500]]-E709)/E709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Row],[S&amp;P 500]]-E710)/E710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Row],[S&amp;P 500]]-E711)/E711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Row],[S&amp;P 500]]-E712)/E712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Row],[S&amp;P 500]]-E713)/E713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Row],[S&amp;P 500]]-E714)/E714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Row],[S&amp;P 500]]-E715)/E715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Row],[S&amp;P 500]]-E716)/E716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Row],[S&amp;P 500]]-E717)/E717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Row],[S&amp;P 500]]-E718)/E718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Row],[S&amp;P 500]]-E719)/E719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Row],[S&amp;P 500]]-E720)/E720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Row],[S&amp;P 500]]-E721)/E721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Row],[S&amp;P 500]]-E722)/E722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Row],[S&amp;P 500]]-E723)/E723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Row],[S&amp;P 500]]-E724)/E724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Row],[S&amp;P 500]]-E725)/E725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Row],[S&amp;P 500]]-E726)/E726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Row],[S&amp;P 500]]-E727)/E727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Row],[S&amp;P 500]]-E728)/E728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Row],[S&amp;P 500]]-E729)/E729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Row],[S&amp;P 500]]-E730)/E730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Row],[S&amp;P 500]]-E731)/E731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Row],[S&amp;P 500]]-E732)/E732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Row],[S&amp;P 500]]-E733)/E733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Row],[S&amp;P 500]]-E734)/E734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Row],[S&amp;P 500]]-E735)/E735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Row],[S&amp;P 500]]-E736)/E736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Row],[S&amp;P 500]]-E737)/E737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Row],[S&amp;P 500]]-E738)/E738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Row],[S&amp;P 500]]-E739)/E739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Row],[S&amp;P 500]]-E740)/E740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Row],[S&amp;P 500]]-E741)/E741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Row],[S&amp;P 500]]-E742)/E742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Row],[S&amp;P 500]]-E743)/E743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Row],[S&amp;P 500]]-E744)/E744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Row],[S&amp;P 500]]-E745)/E745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Row],[S&amp;P 500]]-E746)/E746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Row],[S&amp;P 500]]-E747)/E747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Row],[S&amp;P 500]]-E748)/E748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Row],[S&amp;P 500]]-E749)/E749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Row],[S&amp;P 500]]-E750)/E750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Row],[S&amp;P 500]]-E751)/E751</f>
        <v>-0.11002444987775062</v>
      </c>
    </row>
    <row r="763" spans="1:6" x14ac:dyDescent="0.2">
      <c r="A763" s="6">
        <v>44470</v>
      </c>
      <c r="B763" s="2">
        <f>VLOOKUP(Table3[[#This Row],[Date]],'DB LEI'!$A:$F,2)</f>
        <v>118.3</v>
      </c>
      <c r="C763" s="4">
        <f>(Table3[[#This Row],[Conference Board Leading Indicator]]-B751)/B751</f>
        <v>9.3345656192236545E-2</v>
      </c>
      <c r="D763" s="3" t="str">
        <f>IF(VLOOKUP(Table3[[#This Row],[Date]],'DB LEI'!$A:$I,9)=0,"",VLOOKUP(Table3[[#This Row],[Date]],'DB LEI'!$A:$I,9))</f>
        <v/>
      </c>
      <c r="E763" s="2">
        <f>VLOOKUP(Table3[[#This Row],[Date]],'DB LEI'!$A:$F,4)</f>
        <v>71.7</v>
      </c>
      <c r="F763" s="4">
        <f>(Table3[[#This Row],[S&amp;P 500]]-E752)/E752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Row],[S&amp;P 500]]-E753)/E753</f>
        <v>-0.16480793060718707</v>
      </c>
    </row>
  </sheetData>
  <conditionalFormatting sqref="B622:B764">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0"/>
  <sheetViews>
    <sheetView zoomScale="150" zoomScaleNormal="150" workbookViewId="0">
      <pane ySplit="6" topLeftCell="A207" activePane="bottomLeft" state="frozen"/>
      <selection pane="bottomLeft" activeCell="V214" sqref="V214"/>
    </sheetView>
  </sheetViews>
  <sheetFormatPr baseColWidth="10" defaultColWidth="9.1640625" defaultRowHeight="15" x14ac:dyDescent="0.2"/>
  <cols>
    <col min="1" max="1" width="14.1640625" style="16" customWidth="1"/>
    <col min="2" max="4" width="16" style="16" customWidth="1"/>
    <col min="5" max="16" width="9.1640625" style="51" customWidth="1"/>
    <col min="17" max="16384" width="9.1640625" style="51"/>
  </cols>
  <sheetData>
    <row r="1" spans="1:4" ht="19" customHeight="1" x14ac:dyDescent="0.25">
      <c r="A1" s="17" t="s">
        <v>35</v>
      </c>
    </row>
    <row r="5" spans="1:4" ht="16" customHeight="1" thickBot="1" x14ac:dyDescent="0.25"/>
    <row r="6" spans="1:4" ht="39.75" customHeight="1" x14ac:dyDescent="0.2">
      <c r="A6" s="11" t="s">
        <v>29</v>
      </c>
      <c r="B6" s="12" t="s">
        <v>16</v>
      </c>
      <c r="C6" s="12" t="s">
        <v>36</v>
      </c>
      <c r="D6" s="13" t="s">
        <v>37</v>
      </c>
    </row>
    <row r="7" spans="1:4" x14ac:dyDescent="0.2">
      <c r="A7" s="14">
        <v>36526</v>
      </c>
      <c r="B7" s="15">
        <f>VLOOKUP(Table2[[#This Row],[Date]],'DB LEI'!$A:$F,5)</f>
        <v>117.3</v>
      </c>
      <c r="C7" s="15">
        <f>VLOOKUP(Table2[[#This Row],[Date]],'DB LEI'!$A:$F,5)</f>
        <v>117.3</v>
      </c>
      <c r="D7" s="15">
        <f>VLOOKUP(Table2[[#This Row],[Date]],'DB LEI'!$A:$F,6)</f>
        <v>108.6</v>
      </c>
    </row>
    <row r="8" spans="1:4" x14ac:dyDescent="0.2">
      <c r="A8" s="14">
        <v>36557</v>
      </c>
      <c r="B8" s="15">
        <f>VLOOKUP(Table2[[#This Row],[Date]],'DB LEI'!$A:$F,5)</f>
        <v>116.8</v>
      </c>
      <c r="C8" s="15">
        <f>VLOOKUP(Table2[[#This Row],[Date]],'DB LEI'!$A:$F,5)</f>
        <v>116.8</v>
      </c>
      <c r="D8" s="15">
        <f>VLOOKUP(Table2[[#This Row],[Date]],'DB LEI'!$A:$F,6)</f>
        <v>107.8</v>
      </c>
    </row>
    <row r="9" spans="1:4" x14ac:dyDescent="0.2">
      <c r="A9" s="14">
        <v>36586</v>
      </c>
      <c r="B9" s="15">
        <f>VLOOKUP(Table2[[#This Row],[Date]],'DB LEI'!$A:$F,5)</f>
        <v>115.4</v>
      </c>
      <c r="C9" s="15">
        <f>VLOOKUP(Table2[[#This Row],[Date]],'DB LEI'!$A:$F,5)</f>
        <v>115.4</v>
      </c>
      <c r="D9" s="15">
        <f>VLOOKUP(Table2[[#This Row],[Date]],'DB LEI'!$A:$F,6)</f>
        <v>101.7</v>
      </c>
    </row>
    <row r="10" spans="1:4" x14ac:dyDescent="0.2">
      <c r="A10" s="14">
        <v>36617</v>
      </c>
      <c r="B10" s="15">
        <f>VLOOKUP(Table2[[#This Row],[Date]],'DB LEI'!$A:$F,5)</f>
        <v>117.8</v>
      </c>
      <c r="C10" s="15">
        <f>VLOOKUP(Table2[[#This Row],[Date]],'DB LEI'!$A:$F,5)</f>
        <v>117.8</v>
      </c>
      <c r="D10" s="15">
        <f>VLOOKUP(Table2[[#This Row],[Date]],'DB LEI'!$A:$F,6)</f>
        <v>103.7</v>
      </c>
    </row>
    <row r="11" spans="1:4" x14ac:dyDescent="0.2">
      <c r="A11" s="14">
        <v>36647</v>
      </c>
      <c r="B11" s="15">
        <f>VLOOKUP(Table2[[#This Row],[Date]],'DB LEI'!$A:$F,5)</f>
        <v>119.9</v>
      </c>
      <c r="C11" s="15">
        <f>VLOOKUP(Table2[[#This Row],[Date]],'DB LEI'!$A:$F,5)</f>
        <v>119.9</v>
      </c>
      <c r="D11" s="15">
        <f>VLOOKUP(Table2[[#This Row],[Date]],'DB LEI'!$A:$F,6)</f>
        <v>104.8</v>
      </c>
    </row>
    <row r="12" spans="1:4" x14ac:dyDescent="0.2">
      <c r="A12" s="14">
        <v>36678</v>
      </c>
      <c r="B12" s="15">
        <f>VLOOKUP(Table2[[#This Row],[Date]],'DB LEI'!$A:$F,5)</f>
        <v>115.1</v>
      </c>
      <c r="C12" s="15">
        <f>VLOOKUP(Table2[[#This Row],[Date]],'DB LEI'!$A:$F,5)</f>
        <v>115.1</v>
      </c>
      <c r="D12" s="15">
        <f>VLOOKUP(Table2[[#This Row],[Date]],'DB LEI'!$A:$F,6)</f>
        <v>100.8</v>
      </c>
    </row>
    <row r="13" spans="1:4" x14ac:dyDescent="0.2">
      <c r="A13" s="14">
        <v>36708</v>
      </c>
      <c r="B13" s="15">
        <f>VLOOKUP(Table2[[#This Row],[Date]],'DB LEI'!$A:$F,5)</f>
        <v>114.2</v>
      </c>
      <c r="C13" s="15">
        <f>VLOOKUP(Table2[[#This Row],[Date]],'DB LEI'!$A:$F,5)</f>
        <v>114.2</v>
      </c>
      <c r="D13" s="15">
        <f>VLOOKUP(Table2[[#This Row],[Date]],'DB LEI'!$A:$F,6)</f>
        <v>104.5</v>
      </c>
    </row>
    <row r="14" spans="1:4" x14ac:dyDescent="0.2">
      <c r="A14" s="14">
        <v>36739</v>
      </c>
      <c r="B14" s="15">
        <f>VLOOKUP(Table2[[#This Row],[Date]],'DB LEI'!$A:$F,5)</f>
        <v>112.4</v>
      </c>
      <c r="C14" s="15">
        <f>VLOOKUP(Table2[[#This Row],[Date]],'DB LEI'!$A:$F,5)</f>
        <v>112.4</v>
      </c>
      <c r="D14" s="15">
        <f>VLOOKUP(Table2[[#This Row],[Date]],'DB LEI'!$A:$F,6)</f>
        <v>104</v>
      </c>
    </row>
    <row r="15" spans="1:4" x14ac:dyDescent="0.2">
      <c r="A15" s="14">
        <v>36770</v>
      </c>
      <c r="B15" s="15">
        <f>VLOOKUP(Table2[[#This Row],[Date]],'DB LEI'!$A:$F,5)</f>
        <v>112</v>
      </c>
      <c r="C15" s="15">
        <f>VLOOKUP(Table2[[#This Row],[Date]],'DB LEI'!$A:$F,5)</f>
        <v>112</v>
      </c>
      <c r="D15" s="15">
        <f>VLOOKUP(Table2[[#This Row],[Date]],'DB LEI'!$A:$F,6)</f>
        <v>103.4</v>
      </c>
    </row>
    <row r="16" spans="1:4" x14ac:dyDescent="0.2">
      <c r="A16" s="14">
        <v>36800</v>
      </c>
      <c r="B16" s="15">
        <f>VLOOKUP(Table2[[#This Row],[Date]],'DB LEI'!$A:$F,5)</f>
        <v>113.6</v>
      </c>
      <c r="C16" s="15">
        <f>VLOOKUP(Table2[[#This Row],[Date]],'DB LEI'!$A:$F,5)</f>
        <v>113.6</v>
      </c>
      <c r="D16" s="15">
        <f>VLOOKUP(Table2[[#This Row],[Date]],'DB LEI'!$A:$F,6)</f>
        <v>100.7</v>
      </c>
    </row>
    <row r="17" spans="1:4" x14ac:dyDescent="0.2">
      <c r="A17" s="14">
        <v>36831</v>
      </c>
      <c r="B17" s="15">
        <f>VLOOKUP(Table2[[#This Row],[Date]],'DB LEI'!$A:$F,5)</f>
        <v>116.9</v>
      </c>
      <c r="C17" s="15">
        <f>VLOOKUP(Table2[[#This Row],[Date]],'DB LEI'!$A:$F,5)</f>
        <v>116.9</v>
      </c>
      <c r="D17" s="15">
        <f>VLOOKUP(Table2[[#This Row],[Date]],'DB LEI'!$A:$F,6)</f>
        <v>101.6</v>
      </c>
    </row>
    <row r="18" spans="1:4" x14ac:dyDescent="0.2">
      <c r="A18" s="14">
        <v>36861</v>
      </c>
      <c r="B18" s="15">
        <f>VLOOKUP(Table2[[#This Row],[Date]],'DB LEI'!$A:$F,5)</f>
        <v>110.5</v>
      </c>
      <c r="C18" s="15">
        <f>VLOOKUP(Table2[[#This Row],[Date]],'DB LEI'!$A:$F,5)</f>
        <v>110.5</v>
      </c>
      <c r="D18" s="15">
        <f>VLOOKUP(Table2[[#This Row],[Date]],'DB LEI'!$A:$F,6)</f>
        <v>90.7</v>
      </c>
    </row>
    <row r="19" spans="1:4" x14ac:dyDescent="0.2">
      <c r="A19" s="14">
        <v>36892</v>
      </c>
      <c r="B19" s="15">
        <f>VLOOKUP(Table2[[#This Row],[Date]],'DB LEI'!$A:$F,5)</f>
        <v>107.7</v>
      </c>
      <c r="C19" s="15">
        <f>VLOOKUP(Table2[[#This Row],[Date]],'DB LEI'!$A:$F,5)</f>
        <v>107.7</v>
      </c>
      <c r="D19" s="15">
        <f>VLOOKUP(Table2[[#This Row],[Date]],'DB LEI'!$A:$F,6)</f>
        <v>86.4</v>
      </c>
    </row>
    <row r="20" spans="1:4" x14ac:dyDescent="0.2">
      <c r="A20" s="14">
        <v>36923</v>
      </c>
      <c r="B20" s="15">
        <f>VLOOKUP(Table2[[#This Row],[Date]],'DB LEI'!$A:$F,5)</f>
        <v>105.8</v>
      </c>
      <c r="C20" s="15">
        <f>VLOOKUP(Table2[[#This Row],[Date]],'DB LEI'!$A:$F,5)</f>
        <v>105.8</v>
      </c>
      <c r="D20" s="15">
        <f>VLOOKUP(Table2[[#This Row],[Date]],'DB LEI'!$A:$F,6)</f>
        <v>80.8</v>
      </c>
    </row>
    <row r="21" spans="1:4" x14ac:dyDescent="0.2">
      <c r="A21" s="14">
        <v>36951</v>
      </c>
      <c r="B21" s="15">
        <f>VLOOKUP(Table2[[#This Row],[Date]],'DB LEI'!$A:$F,5)</f>
        <v>103.4</v>
      </c>
      <c r="C21" s="15">
        <f>VLOOKUP(Table2[[#This Row],[Date]],'DB LEI'!$A:$F,5)</f>
        <v>103.4</v>
      </c>
      <c r="D21" s="15">
        <f>VLOOKUP(Table2[[#This Row],[Date]],'DB LEI'!$A:$F,6)</f>
        <v>83.9</v>
      </c>
    </row>
    <row r="22" spans="1:4" x14ac:dyDescent="0.2">
      <c r="A22" s="14">
        <v>36982</v>
      </c>
      <c r="B22" s="15">
        <f>VLOOKUP(Table2[[#This Row],[Date]],'DB LEI'!$A:$F,5)</f>
        <v>98</v>
      </c>
      <c r="C22" s="15">
        <f>VLOOKUP(Table2[[#This Row],[Date]],'DB LEI'!$A:$F,5)</f>
        <v>98</v>
      </c>
      <c r="D22" s="15">
        <f>VLOOKUP(Table2[[#This Row],[Date]],'DB LEI'!$A:$F,6)</f>
        <v>82.2</v>
      </c>
    </row>
    <row r="23" spans="1:4" x14ac:dyDescent="0.2">
      <c r="A23" s="14">
        <v>37012</v>
      </c>
      <c r="B23" s="15">
        <f>VLOOKUP(Table2[[#This Row],[Date]],'DB LEI'!$A:$F,5)</f>
        <v>102.2</v>
      </c>
      <c r="C23" s="15">
        <f>VLOOKUP(Table2[[#This Row],[Date]],'DB LEI'!$A:$F,5)</f>
        <v>102.2</v>
      </c>
      <c r="D23" s="15">
        <f>VLOOKUP(Table2[[#This Row],[Date]],'DB LEI'!$A:$F,6)</f>
        <v>85.4</v>
      </c>
    </row>
    <row r="24" spans="1:4" x14ac:dyDescent="0.2">
      <c r="A24" s="14">
        <v>37043</v>
      </c>
      <c r="B24" s="15">
        <f>VLOOKUP(Table2[[#This Row],[Date]],'DB LEI'!$A:$F,5)</f>
        <v>101.6</v>
      </c>
      <c r="C24" s="15">
        <f>VLOOKUP(Table2[[#This Row],[Date]],'DB LEI'!$A:$F,5)</f>
        <v>101.6</v>
      </c>
      <c r="D24" s="15">
        <f>VLOOKUP(Table2[[#This Row],[Date]],'DB LEI'!$A:$F,6)</f>
        <v>86.9</v>
      </c>
    </row>
    <row r="25" spans="1:4" x14ac:dyDescent="0.2">
      <c r="A25" s="14">
        <v>37073</v>
      </c>
      <c r="B25" s="15">
        <f>VLOOKUP(Table2[[#This Row],[Date]],'DB LEI'!$A:$F,5)</f>
        <v>98.6</v>
      </c>
      <c r="C25" s="15">
        <f>VLOOKUP(Table2[[#This Row],[Date]],'DB LEI'!$A:$F,5)</f>
        <v>98.6</v>
      </c>
      <c r="D25" s="15">
        <f>VLOOKUP(Table2[[#This Row],[Date]],'DB LEI'!$A:$F,6)</f>
        <v>88.4</v>
      </c>
    </row>
    <row r="26" spans="1:4" x14ac:dyDescent="0.2">
      <c r="A26" s="14">
        <v>37104</v>
      </c>
      <c r="B26" s="15">
        <f>VLOOKUP(Table2[[#This Row],[Date]],'DB LEI'!$A:$F,5)</f>
        <v>101.2</v>
      </c>
      <c r="C26" s="15">
        <f>VLOOKUP(Table2[[#This Row],[Date]],'DB LEI'!$A:$F,5)</f>
        <v>101.2</v>
      </c>
      <c r="D26" s="15">
        <f>VLOOKUP(Table2[[#This Row],[Date]],'DB LEI'!$A:$F,6)</f>
        <v>85.2</v>
      </c>
    </row>
    <row r="27" spans="1:4" x14ac:dyDescent="0.2">
      <c r="A27" s="14">
        <v>37135</v>
      </c>
      <c r="B27" s="15">
        <f>VLOOKUP(Table2[[#This Row],[Date]],'DB LEI'!$A:$F,5)</f>
        <v>94.6</v>
      </c>
      <c r="C27" s="15">
        <f>VLOOKUP(Table2[[#This Row],[Date]],'DB LEI'!$A:$F,5)</f>
        <v>94.6</v>
      </c>
      <c r="D27" s="15">
        <f>VLOOKUP(Table2[[#This Row],[Date]],'DB LEI'!$A:$F,6)</f>
        <v>73.5</v>
      </c>
    </row>
    <row r="28" spans="1:4" x14ac:dyDescent="0.2">
      <c r="A28" s="14">
        <v>37165</v>
      </c>
      <c r="B28" s="15">
        <f>VLOOKUP(Table2[[#This Row],[Date]],'DB LEI'!$A:$F,5)</f>
        <v>94</v>
      </c>
      <c r="C28" s="15">
        <f>VLOOKUP(Table2[[#This Row],[Date]],'DB LEI'!$A:$F,5)</f>
        <v>94</v>
      </c>
      <c r="D28" s="15">
        <f>VLOOKUP(Table2[[#This Row],[Date]],'DB LEI'!$A:$F,6)</f>
        <v>75.5</v>
      </c>
    </row>
    <row r="29" spans="1:4" x14ac:dyDescent="0.2">
      <c r="A29" s="14">
        <v>37196</v>
      </c>
      <c r="B29" s="15">
        <f>VLOOKUP(Table2[[#This Row],[Date]],'DB LEI'!$A:$F,5)</f>
        <v>95.3</v>
      </c>
      <c r="C29" s="15">
        <f>VLOOKUP(Table2[[#This Row],[Date]],'DB LEI'!$A:$F,5)</f>
        <v>95.3</v>
      </c>
      <c r="D29" s="15">
        <f>VLOOKUP(Table2[[#This Row],[Date]],'DB LEI'!$A:$F,6)</f>
        <v>76.599999999999994</v>
      </c>
    </row>
    <row r="30" spans="1:4" x14ac:dyDescent="0.2">
      <c r="A30" s="14">
        <v>37226</v>
      </c>
      <c r="B30" s="15">
        <f>VLOOKUP(Table2[[#This Row],[Date]],'DB LEI'!$A:$F,5)</f>
        <v>99</v>
      </c>
      <c r="C30" s="15">
        <f>VLOOKUP(Table2[[#This Row],[Date]],'DB LEI'!$A:$F,5)</f>
        <v>99</v>
      </c>
      <c r="D30" s="15">
        <f>VLOOKUP(Table2[[#This Row],[Date]],'DB LEI'!$A:$F,6)</f>
        <v>82.3</v>
      </c>
    </row>
    <row r="31" spans="1:4" x14ac:dyDescent="0.2">
      <c r="A31" s="14">
        <v>37257</v>
      </c>
      <c r="B31" s="15">
        <f>VLOOKUP(Table2[[#This Row],[Date]],'DB LEI'!$A:$F,5)</f>
        <v>95.7</v>
      </c>
      <c r="C31" s="15">
        <f>VLOOKUP(Table2[[#This Row],[Date]],'DB LEI'!$A:$F,5)</f>
        <v>95.7</v>
      </c>
      <c r="D31" s="15">
        <f>VLOOKUP(Table2[[#This Row],[Date]],'DB LEI'!$A:$F,6)</f>
        <v>91.3</v>
      </c>
    </row>
    <row r="32" spans="1:4" x14ac:dyDescent="0.2">
      <c r="A32" s="14">
        <v>37288</v>
      </c>
      <c r="B32" s="15">
        <f>VLOOKUP(Table2[[#This Row],[Date]],'DB LEI'!$A:$F,5)</f>
        <v>96.2</v>
      </c>
      <c r="C32" s="15">
        <f>VLOOKUP(Table2[[#This Row],[Date]],'DB LEI'!$A:$F,5)</f>
        <v>96.2</v>
      </c>
      <c r="D32" s="15">
        <f>VLOOKUP(Table2[[#This Row],[Date]],'DB LEI'!$A:$F,6)</f>
        <v>87.2</v>
      </c>
    </row>
    <row r="33" spans="1:4" x14ac:dyDescent="0.2">
      <c r="A33" s="14">
        <v>37316</v>
      </c>
      <c r="B33" s="15">
        <f>VLOOKUP(Table2[[#This Row],[Date]],'DB LEI'!$A:$F,5)</f>
        <v>100.4</v>
      </c>
      <c r="C33" s="15">
        <f>VLOOKUP(Table2[[#This Row],[Date]],'DB LEI'!$A:$F,5)</f>
        <v>100.4</v>
      </c>
      <c r="D33" s="15">
        <f>VLOOKUP(Table2[[#This Row],[Date]],'DB LEI'!$A:$F,6)</f>
        <v>92.7</v>
      </c>
    </row>
    <row r="34" spans="1:4" x14ac:dyDescent="0.2">
      <c r="A34" s="14">
        <v>37347</v>
      </c>
      <c r="B34" s="15">
        <f>VLOOKUP(Table2[[#This Row],[Date]],'DB LEI'!$A:$F,5)</f>
        <v>99.2</v>
      </c>
      <c r="C34" s="15">
        <f>VLOOKUP(Table2[[#This Row],[Date]],'DB LEI'!$A:$F,5)</f>
        <v>99.2</v>
      </c>
      <c r="D34" s="15">
        <f>VLOOKUP(Table2[[#This Row],[Date]],'DB LEI'!$A:$F,6)</f>
        <v>89.1</v>
      </c>
    </row>
    <row r="35" spans="1:4" x14ac:dyDescent="0.2">
      <c r="A35" s="14">
        <v>37377</v>
      </c>
      <c r="B35" s="15">
        <f>VLOOKUP(Table2[[#This Row],[Date]],'DB LEI'!$A:$F,5)</f>
        <v>103.5</v>
      </c>
      <c r="C35" s="15">
        <f>VLOOKUP(Table2[[#This Row],[Date]],'DB LEI'!$A:$F,5)</f>
        <v>103.5</v>
      </c>
      <c r="D35" s="15">
        <f>VLOOKUP(Table2[[#This Row],[Date]],'DB LEI'!$A:$F,6)</f>
        <v>92.7</v>
      </c>
    </row>
    <row r="36" spans="1:4" x14ac:dyDescent="0.2">
      <c r="A36" s="14">
        <v>37408</v>
      </c>
      <c r="B36" s="15">
        <f>VLOOKUP(Table2[[#This Row],[Date]],'DB LEI'!$A:$F,5)</f>
        <v>99.5</v>
      </c>
      <c r="C36" s="15">
        <f>VLOOKUP(Table2[[#This Row],[Date]],'DB LEI'!$A:$F,5)</f>
        <v>99.5</v>
      </c>
      <c r="D36" s="15">
        <f>VLOOKUP(Table2[[#This Row],[Date]],'DB LEI'!$A:$F,6)</f>
        <v>87.9</v>
      </c>
    </row>
    <row r="37" spans="1:4" x14ac:dyDescent="0.2">
      <c r="A37" s="14">
        <v>37438</v>
      </c>
      <c r="B37" s="15">
        <f>VLOOKUP(Table2[[#This Row],[Date]],'DB LEI'!$A:$F,5)</f>
        <v>99.3</v>
      </c>
      <c r="C37" s="15">
        <f>VLOOKUP(Table2[[#This Row],[Date]],'DB LEI'!$A:$F,5)</f>
        <v>99.3</v>
      </c>
      <c r="D37" s="15">
        <f>VLOOKUP(Table2[[#This Row],[Date]],'DB LEI'!$A:$F,6)</f>
        <v>81</v>
      </c>
    </row>
    <row r="38" spans="1:4" x14ac:dyDescent="0.2">
      <c r="A38" s="14">
        <v>37469</v>
      </c>
      <c r="B38" s="15">
        <f>VLOOKUP(Table2[[#This Row],[Date]],'DB LEI'!$A:$F,5)</f>
        <v>98.5</v>
      </c>
      <c r="C38" s="15">
        <f>VLOOKUP(Table2[[#This Row],[Date]],'DB LEI'!$A:$F,5)</f>
        <v>98.5</v>
      </c>
      <c r="D38" s="15">
        <f>VLOOKUP(Table2[[#This Row],[Date]],'DB LEI'!$A:$F,6)</f>
        <v>80.599999999999994</v>
      </c>
    </row>
    <row r="39" spans="1:4" x14ac:dyDescent="0.2">
      <c r="A39" s="14">
        <v>37500</v>
      </c>
      <c r="B39" s="15">
        <f>VLOOKUP(Table2[[#This Row],[Date]],'DB LEI'!$A:$F,5)</f>
        <v>95.8</v>
      </c>
      <c r="C39" s="15">
        <f>VLOOKUP(Table2[[#This Row],[Date]],'DB LEI'!$A:$F,5)</f>
        <v>95.8</v>
      </c>
      <c r="D39" s="15">
        <f>VLOOKUP(Table2[[#This Row],[Date]],'DB LEI'!$A:$F,6)</f>
        <v>79.900000000000006</v>
      </c>
    </row>
    <row r="40" spans="1:4" x14ac:dyDescent="0.2">
      <c r="A40" s="14">
        <v>37530</v>
      </c>
      <c r="B40" s="15">
        <f>VLOOKUP(Table2[[#This Row],[Date]],'DB LEI'!$A:$F,5)</f>
        <v>92.4</v>
      </c>
      <c r="C40" s="15">
        <f>VLOOKUP(Table2[[#This Row],[Date]],'DB LEI'!$A:$F,5)</f>
        <v>92.4</v>
      </c>
      <c r="D40" s="15">
        <f>VLOOKUP(Table2[[#This Row],[Date]],'DB LEI'!$A:$F,6)</f>
        <v>73.099999999999994</v>
      </c>
    </row>
    <row r="41" spans="1:4" x14ac:dyDescent="0.2">
      <c r="A41" s="14">
        <v>37561</v>
      </c>
      <c r="B41" s="15">
        <f>VLOOKUP(Table2[[#This Row],[Date]],'DB LEI'!$A:$F,5)</f>
        <v>93.1</v>
      </c>
      <c r="C41" s="15">
        <f>VLOOKUP(Table2[[#This Row],[Date]],'DB LEI'!$A:$F,5)</f>
        <v>93.1</v>
      </c>
      <c r="D41" s="15">
        <f>VLOOKUP(Table2[[#This Row],[Date]],'DB LEI'!$A:$F,6)</f>
        <v>78.5</v>
      </c>
    </row>
    <row r="42" spans="1:4" x14ac:dyDescent="0.2">
      <c r="A42" s="14">
        <v>37591</v>
      </c>
      <c r="B42" s="15">
        <f>VLOOKUP(Table2[[#This Row],[Date]],'DB LEI'!$A:$F,5)</f>
        <v>96</v>
      </c>
      <c r="C42" s="15">
        <f>VLOOKUP(Table2[[#This Row],[Date]],'DB LEI'!$A:$F,5)</f>
        <v>96</v>
      </c>
      <c r="D42" s="15">
        <f>VLOOKUP(Table2[[#This Row],[Date]],'DB LEI'!$A:$F,6)</f>
        <v>80.8</v>
      </c>
    </row>
    <row r="43" spans="1:4" x14ac:dyDescent="0.2">
      <c r="A43" s="14">
        <v>37622</v>
      </c>
      <c r="B43" s="15">
        <f>VLOOKUP(Table2[[#This Row],[Date]],'DB LEI'!$A:$F,5)</f>
        <v>97.2</v>
      </c>
      <c r="C43" s="15">
        <f>VLOOKUP(Table2[[#This Row],[Date]],'DB LEI'!$A:$F,5)</f>
        <v>97.2</v>
      </c>
      <c r="D43" s="15">
        <f>VLOOKUP(Table2[[#This Row],[Date]],'DB LEI'!$A:$F,6)</f>
        <v>72.8</v>
      </c>
    </row>
    <row r="44" spans="1:4" x14ac:dyDescent="0.2">
      <c r="A44" s="14">
        <v>37653</v>
      </c>
      <c r="B44" s="15">
        <f>VLOOKUP(Table2[[#This Row],[Date]],'DB LEI'!$A:$F,5)</f>
        <v>95.4</v>
      </c>
      <c r="C44" s="15">
        <f>VLOOKUP(Table2[[#This Row],[Date]],'DB LEI'!$A:$F,5)</f>
        <v>95.4</v>
      </c>
      <c r="D44" s="15">
        <f>VLOOKUP(Table2[[#This Row],[Date]],'DB LEI'!$A:$F,6)</f>
        <v>69.900000000000006</v>
      </c>
    </row>
    <row r="45" spans="1:4" x14ac:dyDescent="0.2">
      <c r="A45" s="14">
        <v>37681</v>
      </c>
      <c r="B45" s="15">
        <f>VLOOKUP(Table2[[#This Row],[Date]],'DB LEI'!$A:$F,5)</f>
        <v>90</v>
      </c>
      <c r="C45" s="15">
        <f>VLOOKUP(Table2[[#This Row],[Date]],'DB LEI'!$A:$F,5)</f>
        <v>90</v>
      </c>
      <c r="D45" s="15">
        <f>VLOOKUP(Table2[[#This Row],[Date]],'DB LEI'!$A:$F,6)</f>
        <v>69.599999999999994</v>
      </c>
    </row>
    <row r="46" spans="1:4" x14ac:dyDescent="0.2">
      <c r="A46" s="14">
        <v>37712</v>
      </c>
      <c r="B46" s="15">
        <f>VLOOKUP(Table2[[#This Row],[Date]],'DB LEI'!$A:$F,5)</f>
        <v>96.4</v>
      </c>
      <c r="C46" s="15">
        <f>VLOOKUP(Table2[[#This Row],[Date]],'DB LEI'!$A:$F,5)</f>
        <v>96.4</v>
      </c>
      <c r="D46" s="15">
        <f>VLOOKUP(Table2[[#This Row],[Date]],'DB LEI'!$A:$F,6)</f>
        <v>79.3</v>
      </c>
    </row>
    <row r="47" spans="1:4" x14ac:dyDescent="0.2">
      <c r="A47" s="14">
        <v>37742</v>
      </c>
      <c r="B47" s="15">
        <f>VLOOKUP(Table2[[#This Row],[Date]],'DB LEI'!$A:$F,5)</f>
        <v>93.2</v>
      </c>
      <c r="C47" s="15">
        <f>VLOOKUP(Table2[[#This Row],[Date]],'DB LEI'!$A:$F,5)</f>
        <v>93.2</v>
      </c>
      <c r="D47" s="15">
        <f>VLOOKUP(Table2[[#This Row],[Date]],'DB LEI'!$A:$F,6)</f>
        <v>91.4</v>
      </c>
    </row>
    <row r="48" spans="1:4" x14ac:dyDescent="0.2">
      <c r="A48" s="14">
        <v>37773</v>
      </c>
      <c r="B48" s="15">
        <f>VLOOKUP(Table2[[#This Row],[Date]],'DB LEI'!$A:$F,5)</f>
        <v>94.7</v>
      </c>
      <c r="C48" s="15">
        <f>VLOOKUP(Table2[[#This Row],[Date]],'DB LEI'!$A:$F,5)</f>
        <v>94.7</v>
      </c>
      <c r="D48" s="15">
        <f>VLOOKUP(Table2[[#This Row],[Date]],'DB LEI'!$A:$F,6)</f>
        <v>86.4</v>
      </c>
    </row>
    <row r="49" spans="1:4" x14ac:dyDescent="0.2">
      <c r="A49" s="14">
        <v>37803</v>
      </c>
      <c r="B49" s="15">
        <f>VLOOKUP(Table2[[#This Row],[Date]],'DB LEI'!$A:$F,5)</f>
        <v>102.1</v>
      </c>
      <c r="C49" s="15">
        <f>VLOOKUP(Table2[[#This Row],[Date]],'DB LEI'!$A:$F,5)</f>
        <v>102.1</v>
      </c>
      <c r="D49" s="15">
        <f>VLOOKUP(Table2[[#This Row],[Date]],'DB LEI'!$A:$F,6)</f>
        <v>83.7</v>
      </c>
    </row>
    <row r="50" spans="1:4" x14ac:dyDescent="0.2">
      <c r="A50" s="14">
        <v>37834</v>
      </c>
      <c r="B50" s="15">
        <f>VLOOKUP(Table2[[#This Row],[Date]],'DB LEI'!$A:$F,5)</f>
        <v>99.7</v>
      </c>
      <c r="C50" s="15">
        <f>VLOOKUP(Table2[[#This Row],[Date]],'DB LEI'!$A:$F,5)</f>
        <v>99.7</v>
      </c>
      <c r="D50" s="15">
        <f>VLOOKUP(Table2[[#This Row],[Date]],'DB LEI'!$A:$F,6)</f>
        <v>82.5</v>
      </c>
    </row>
    <row r="51" spans="1:4" x14ac:dyDescent="0.2">
      <c r="A51" s="14">
        <v>37865</v>
      </c>
      <c r="B51" s="15">
        <f>VLOOKUP(Table2[[#This Row],[Date]],'DB LEI'!$A:$F,5)</f>
        <v>98.4</v>
      </c>
      <c r="C51" s="15">
        <f>VLOOKUP(Table2[[#This Row],[Date]],'DB LEI'!$A:$F,5)</f>
        <v>98.4</v>
      </c>
      <c r="D51" s="15">
        <f>VLOOKUP(Table2[[#This Row],[Date]],'DB LEI'!$A:$F,6)</f>
        <v>80.8</v>
      </c>
    </row>
    <row r="52" spans="1:4" x14ac:dyDescent="0.2">
      <c r="A52" s="14">
        <v>37895</v>
      </c>
      <c r="B52" s="15">
        <f>VLOOKUP(Table2[[#This Row],[Date]],'DB LEI'!$A:$F,5)</f>
        <v>99.9</v>
      </c>
      <c r="C52" s="15">
        <f>VLOOKUP(Table2[[#This Row],[Date]],'DB LEI'!$A:$F,5)</f>
        <v>99.9</v>
      </c>
      <c r="D52" s="15">
        <f>VLOOKUP(Table2[[#This Row],[Date]],'DB LEI'!$A:$F,6)</f>
        <v>83</v>
      </c>
    </row>
    <row r="53" spans="1:4" x14ac:dyDescent="0.2">
      <c r="A53" s="14">
        <v>37926</v>
      </c>
      <c r="B53" s="15">
        <f>VLOOKUP(Table2[[#This Row],[Date]],'DB LEI'!$A:$F,5)</f>
        <v>102.5</v>
      </c>
      <c r="C53" s="15">
        <f>VLOOKUP(Table2[[#This Row],[Date]],'DB LEI'!$A:$F,5)</f>
        <v>102.5</v>
      </c>
      <c r="D53" s="15">
        <f>VLOOKUP(Table2[[#This Row],[Date]],'DB LEI'!$A:$F,6)</f>
        <v>88.1</v>
      </c>
    </row>
    <row r="54" spans="1:4" x14ac:dyDescent="0.2">
      <c r="A54" s="14">
        <v>37956</v>
      </c>
      <c r="B54" s="15">
        <f>VLOOKUP(Table2[[#This Row],[Date]],'DB LEI'!$A:$F,5)</f>
        <v>97</v>
      </c>
      <c r="C54" s="15">
        <f>VLOOKUP(Table2[[#This Row],[Date]],'DB LEI'!$A:$F,5)</f>
        <v>97</v>
      </c>
      <c r="D54" s="15">
        <f>VLOOKUP(Table2[[#This Row],[Date]],'DB LEI'!$A:$F,6)</f>
        <v>89.8</v>
      </c>
    </row>
    <row r="55" spans="1:4" x14ac:dyDescent="0.2">
      <c r="A55" s="14">
        <v>37987</v>
      </c>
      <c r="B55" s="15">
        <f>VLOOKUP(Table2[[#This Row],[Date]],'DB LEI'!$A:$F,5)</f>
        <v>109.5</v>
      </c>
      <c r="C55" s="15">
        <f>VLOOKUP(Table2[[#This Row],[Date]],'DB LEI'!$A:$F,5)</f>
        <v>109.5</v>
      </c>
      <c r="D55" s="15">
        <f>VLOOKUP(Table2[[#This Row],[Date]],'DB LEI'!$A:$F,6)</f>
        <v>100.1</v>
      </c>
    </row>
    <row r="56" spans="1:4" x14ac:dyDescent="0.2">
      <c r="A56" s="14">
        <v>38018</v>
      </c>
      <c r="B56" s="15">
        <f>VLOOKUP(Table2[[#This Row],[Date]],'DB LEI'!$A:$F,5)</f>
        <v>103.6</v>
      </c>
      <c r="C56" s="15">
        <f>VLOOKUP(Table2[[#This Row],[Date]],'DB LEI'!$A:$F,5)</f>
        <v>103.6</v>
      </c>
      <c r="D56" s="15">
        <f>VLOOKUP(Table2[[#This Row],[Date]],'DB LEI'!$A:$F,6)</f>
        <v>88.5</v>
      </c>
    </row>
    <row r="57" spans="1:4" x14ac:dyDescent="0.2">
      <c r="A57" s="14">
        <v>38047</v>
      </c>
      <c r="B57" s="15">
        <f>VLOOKUP(Table2[[#This Row],[Date]],'DB LEI'!$A:$F,5)</f>
        <v>106.8</v>
      </c>
      <c r="C57" s="15">
        <f>VLOOKUP(Table2[[#This Row],[Date]],'DB LEI'!$A:$F,5)</f>
        <v>106.8</v>
      </c>
      <c r="D57" s="15">
        <f>VLOOKUP(Table2[[#This Row],[Date]],'DB LEI'!$A:$F,6)</f>
        <v>88.8</v>
      </c>
    </row>
    <row r="58" spans="1:4" x14ac:dyDescent="0.2">
      <c r="A58" s="14">
        <v>38078</v>
      </c>
      <c r="B58" s="15">
        <f>VLOOKUP(Table2[[#This Row],[Date]],'DB LEI'!$A:$F,5)</f>
        <v>105</v>
      </c>
      <c r="C58" s="15">
        <f>VLOOKUP(Table2[[#This Row],[Date]],'DB LEI'!$A:$F,5)</f>
        <v>105</v>
      </c>
      <c r="D58" s="15">
        <f>VLOOKUP(Table2[[#This Row],[Date]],'DB LEI'!$A:$F,6)</f>
        <v>87.3</v>
      </c>
    </row>
    <row r="59" spans="1:4" x14ac:dyDescent="0.2">
      <c r="A59" s="14">
        <v>38108</v>
      </c>
      <c r="B59" s="15">
        <f>VLOOKUP(Table2[[#This Row],[Date]],'DB LEI'!$A:$F,5)</f>
        <v>103.6</v>
      </c>
      <c r="C59" s="15">
        <f>VLOOKUP(Table2[[#This Row],[Date]],'DB LEI'!$A:$F,5)</f>
        <v>103.6</v>
      </c>
      <c r="D59" s="15">
        <f>VLOOKUP(Table2[[#This Row],[Date]],'DB LEI'!$A:$F,6)</f>
        <v>81.599999999999994</v>
      </c>
    </row>
    <row r="60" spans="1:4" x14ac:dyDescent="0.2">
      <c r="A60" s="14">
        <v>38139</v>
      </c>
      <c r="B60" s="15">
        <f>VLOOKUP(Table2[[#This Row],[Date]],'DB LEI'!$A:$F,5)</f>
        <v>106.7</v>
      </c>
      <c r="C60" s="15">
        <f>VLOOKUP(Table2[[#This Row],[Date]],'DB LEI'!$A:$F,5)</f>
        <v>106.7</v>
      </c>
      <c r="D60" s="15">
        <f>VLOOKUP(Table2[[#This Row],[Date]],'DB LEI'!$A:$F,6)</f>
        <v>88.5</v>
      </c>
    </row>
    <row r="61" spans="1:4" x14ac:dyDescent="0.2">
      <c r="A61" s="14">
        <v>38169</v>
      </c>
      <c r="B61" s="15">
        <f>VLOOKUP(Table2[[#This Row],[Date]],'DB LEI'!$A:$F,5)</f>
        <v>105.2</v>
      </c>
      <c r="C61" s="15">
        <f>VLOOKUP(Table2[[#This Row],[Date]],'DB LEI'!$A:$F,5)</f>
        <v>105.2</v>
      </c>
      <c r="D61" s="15">
        <f>VLOOKUP(Table2[[#This Row],[Date]],'DB LEI'!$A:$F,6)</f>
        <v>91.2</v>
      </c>
    </row>
    <row r="62" spans="1:4" x14ac:dyDescent="0.2">
      <c r="A62" s="14">
        <v>38200</v>
      </c>
      <c r="B62" s="15">
        <f>VLOOKUP(Table2[[#This Row],[Date]],'DB LEI'!$A:$F,5)</f>
        <v>107.9</v>
      </c>
      <c r="C62" s="15">
        <f>VLOOKUP(Table2[[#This Row],[Date]],'DB LEI'!$A:$F,5)</f>
        <v>107.9</v>
      </c>
      <c r="D62" s="15">
        <f>VLOOKUP(Table2[[#This Row],[Date]],'DB LEI'!$A:$F,6)</f>
        <v>88.2</v>
      </c>
    </row>
    <row r="63" spans="1:4" x14ac:dyDescent="0.2">
      <c r="A63" s="14">
        <v>38231</v>
      </c>
      <c r="B63" s="15">
        <f>VLOOKUP(Table2[[#This Row],[Date]],'DB LEI'!$A:$F,5)</f>
        <v>103.7</v>
      </c>
      <c r="C63" s="15">
        <f>VLOOKUP(Table2[[#This Row],[Date]],'DB LEI'!$A:$F,5)</f>
        <v>103.7</v>
      </c>
      <c r="D63" s="15">
        <f>VLOOKUP(Table2[[#This Row],[Date]],'DB LEI'!$A:$F,6)</f>
        <v>88</v>
      </c>
    </row>
    <row r="64" spans="1:4" x14ac:dyDescent="0.2">
      <c r="A64" s="14">
        <v>38261</v>
      </c>
      <c r="B64" s="15">
        <f>VLOOKUP(Table2[[#This Row],[Date]],'DB LEI'!$A:$F,5)</f>
        <v>104</v>
      </c>
      <c r="C64" s="15">
        <f>VLOOKUP(Table2[[#This Row],[Date]],'DB LEI'!$A:$F,5)</f>
        <v>104</v>
      </c>
      <c r="D64" s="15">
        <f>VLOOKUP(Table2[[#This Row],[Date]],'DB LEI'!$A:$F,6)</f>
        <v>83.8</v>
      </c>
    </row>
    <row r="65" spans="1:4" x14ac:dyDescent="0.2">
      <c r="A65" s="14">
        <v>38292</v>
      </c>
      <c r="B65" s="15">
        <f>VLOOKUP(Table2[[#This Row],[Date]],'DB LEI'!$A:$F,5)</f>
        <v>104.7</v>
      </c>
      <c r="C65" s="15">
        <f>VLOOKUP(Table2[[#This Row],[Date]],'DB LEI'!$A:$F,5)</f>
        <v>104.7</v>
      </c>
      <c r="D65" s="15">
        <f>VLOOKUP(Table2[[#This Row],[Date]],'DB LEI'!$A:$F,6)</f>
        <v>85.2</v>
      </c>
    </row>
    <row r="66" spans="1:4" x14ac:dyDescent="0.2">
      <c r="A66" s="14">
        <v>38322</v>
      </c>
      <c r="B66" s="15">
        <f>VLOOKUP(Table2[[#This Row],[Date]],'DB LEI'!$A:$F,5)</f>
        <v>106.7</v>
      </c>
      <c r="C66" s="15">
        <f>VLOOKUP(Table2[[#This Row],[Date]],'DB LEI'!$A:$F,5)</f>
        <v>106.7</v>
      </c>
      <c r="D66" s="15">
        <f>VLOOKUP(Table2[[#This Row],[Date]],'DB LEI'!$A:$F,6)</f>
        <v>90.9</v>
      </c>
    </row>
    <row r="67" spans="1:4" x14ac:dyDescent="0.2">
      <c r="A67" s="14">
        <v>38353</v>
      </c>
      <c r="B67" s="15">
        <f>VLOOKUP(Table2[[#This Row],[Date]],'DB LEI'!$A:$F,5)</f>
        <v>110.9</v>
      </c>
      <c r="C67" s="15">
        <f>VLOOKUP(Table2[[#This Row],[Date]],'DB LEI'!$A:$F,5)</f>
        <v>110.9</v>
      </c>
      <c r="D67" s="15">
        <f>VLOOKUP(Table2[[#This Row],[Date]],'DB LEI'!$A:$F,6)</f>
        <v>85.7</v>
      </c>
    </row>
    <row r="68" spans="1:4" x14ac:dyDescent="0.2">
      <c r="A68" s="14">
        <v>38384</v>
      </c>
      <c r="B68" s="15">
        <f>VLOOKUP(Table2[[#This Row],[Date]],'DB LEI'!$A:$F,5)</f>
        <v>109.2</v>
      </c>
      <c r="C68" s="15">
        <f>VLOOKUP(Table2[[#This Row],[Date]],'DB LEI'!$A:$F,5)</f>
        <v>109.2</v>
      </c>
      <c r="D68" s="15">
        <f>VLOOKUP(Table2[[#This Row],[Date]],'DB LEI'!$A:$F,6)</f>
        <v>84.4</v>
      </c>
    </row>
    <row r="69" spans="1:4" x14ac:dyDescent="0.2">
      <c r="A69" s="14">
        <v>38412</v>
      </c>
      <c r="B69" s="15">
        <f>VLOOKUP(Table2[[#This Row],[Date]],'DB LEI'!$A:$F,5)</f>
        <v>108</v>
      </c>
      <c r="C69" s="15">
        <f>VLOOKUP(Table2[[#This Row],[Date]],'DB LEI'!$A:$F,5)</f>
        <v>108</v>
      </c>
      <c r="D69" s="15">
        <f>VLOOKUP(Table2[[#This Row],[Date]],'DB LEI'!$A:$F,6)</f>
        <v>82.8</v>
      </c>
    </row>
    <row r="70" spans="1:4" x14ac:dyDescent="0.2">
      <c r="A70" s="14">
        <v>38443</v>
      </c>
      <c r="B70" s="15">
        <f>VLOOKUP(Table2[[#This Row],[Date]],'DB LEI'!$A:$F,5)</f>
        <v>104.4</v>
      </c>
      <c r="C70" s="15">
        <f>VLOOKUP(Table2[[#This Row],[Date]],'DB LEI'!$A:$F,5)</f>
        <v>104.4</v>
      </c>
      <c r="D70" s="15">
        <f>VLOOKUP(Table2[[#This Row],[Date]],'DB LEI'!$A:$F,6)</f>
        <v>77</v>
      </c>
    </row>
    <row r="71" spans="1:4" x14ac:dyDescent="0.2">
      <c r="A71" s="14">
        <v>38473</v>
      </c>
      <c r="B71" s="15">
        <f>VLOOKUP(Table2[[#This Row],[Date]],'DB LEI'!$A:$F,5)</f>
        <v>104.9</v>
      </c>
      <c r="C71" s="15">
        <f>VLOOKUP(Table2[[#This Row],[Date]],'DB LEI'!$A:$F,5)</f>
        <v>104.9</v>
      </c>
      <c r="D71" s="15">
        <f>VLOOKUP(Table2[[#This Row],[Date]],'DB LEI'!$A:$F,6)</f>
        <v>75.3</v>
      </c>
    </row>
    <row r="72" spans="1:4" x14ac:dyDescent="0.2">
      <c r="A72" s="14">
        <v>38504</v>
      </c>
      <c r="B72" s="15">
        <f>VLOOKUP(Table2[[#This Row],[Date]],'DB LEI'!$A:$F,5)</f>
        <v>113.2</v>
      </c>
      <c r="C72" s="15">
        <f>VLOOKUP(Table2[[#This Row],[Date]],'DB LEI'!$A:$F,5)</f>
        <v>113.2</v>
      </c>
      <c r="D72" s="15">
        <f>VLOOKUP(Table2[[#This Row],[Date]],'DB LEI'!$A:$F,6)</f>
        <v>85</v>
      </c>
    </row>
    <row r="73" spans="1:4" x14ac:dyDescent="0.2">
      <c r="A73" s="14">
        <v>38534</v>
      </c>
      <c r="B73" s="15">
        <f>VLOOKUP(Table2[[#This Row],[Date]],'DB LEI'!$A:$F,5)</f>
        <v>113.5</v>
      </c>
      <c r="C73" s="15">
        <f>VLOOKUP(Table2[[#This Row],[Date]],'DB LEI'!$A:$F,5)</f>
        <v>113.5</v>
      </c>
      <c r="D73" s="15">
        <f>VLOOKUP(Table2[[#This Row],[Date]],'DB LEI'!$A:$F,6)</f>
        <v>85.5</v>
      </c>
    </row>
    <row r="74" spans="1:4" x14ac:dyDescent="0.2">
      <c r="A74" s="14">
        <v>38565</v>
      </c>
      <c r="B74" s="15">
        <f>VLOOKUP(Table2[[#This Row],[Date]],'DB LEI'!$A:$F,5)</f>
        <v>108.2</v>
      </c>
      <c r="C74" s="15">
        <f>VLOOKUP(Table2[[#This Row],[Date]],'DB LEI'!$A:$F,5)</f>
        <v>108.2</v>
      </c>
      <c r="D74" s="15">
        <f>VLOOKUP(Table2[[#This Row],[Date]],'DB LEI'!$A:$F,6)</f>
        <v>76.900000000000006</v>
      </c>
    </row>
    <row r="75" spans="1:4" x14ac:dyDescent="0.2">
      <c r="A75" s="14">
        <v>38596</v>
      </c>
      <c r="B75" s="15">
        <f>VLOOKUP(Table2[[#This Row],[Date]],'DB LEI'!$A:$F,5)</f>
        <v>98.1</v>
      </c>
      <c r="C75" s="15">
        <f>VLOOKUP(Table2[[#This Row],[Date]],'DB LEI'!$A:$F,5)</f>
        <v>98.1</v>
      </c>
      <c r="D75" s="15">
        <f>VLOOKUP(Table2[[#This Row],[Date]],'DB LEI'!$A:$F,6)</f>
        <v>63.3</v>
      </c>
    </row>
    <row r="76" spans="1:4" x14ac:dyDescent="0.2">
      <c r="A76" s="14">
        <v>38626</v>
      </c>
      <c r="B76" s="15">
        <f>VLOOKUP(Table2[[#This Row],[Date]],'DB LEI'!$A:$F,5)</f>
        <v>91.2</v>
      </c>
      <c r="C76" s="15">
        <f>VLOOKUP(Table2[[#This Row],[Date]],'DB LEI'!$A:$F,5)</f>
        <v>91.2</v>
      </c>
      <c r="D76" s="15">
        <f>VLOOKUP(Table2[[#This Row],[Date]],'DB LEI'!$A:$F,6)</f>
        <v>63.2</v>
      </c>
    </row>
    <row r="77" spans="1:4" x14ac:dyDescent="0.2">
      <c r="A77" s="14">
        <v>38657</v>
      </c>
      <c r="B77" s="15">
        <f>VLOOKUP(Table2[[#This Row],[Date]],'DB LEI'!$A:$F,5)</f>
        <v>100.2</v>
      </c>
      <c r="C77" s="15">
        <f>VLOOKUP(Table2[[#This Row],[Date]],'DB LEI'!$A:$F,5)</f>
        <v>100.2</v>
      </c>
      <c r="D77" s="15">
        <f>VLOOKUP(Table2[[#This Row],[Date]],'DB LEI'!$A:$F,6)</f>
        <v>69.599999999999994</v>
      </c>
    </row>
    <row r="78" spans="1:4" x14ac:dyDescent="0.2">
      <c r="A78" s="14">
        <v>38687</v>
      </c>
      <c r="B78" s="15">
        <f>VLOOKUP(Table2[[#This Row],[Date]],'DB LEI'!$A:$F,5)</f>
        <v>109.1</v>
      </c>
      <c r="C78" s="15">
        <f>VLOOKUP(Table2[[#This Row],[Date]],'DB LEI'!$A:$F,5)</f>
        <v>109.1</v>
      </c>
      <c r="D78" s="15">
        <f>VLOOKUP(Table2[[#This Row],[Date]],'DB LEI'!$A:$F,6)</f>
        <v>80.2</v>
      </c>
    </row>
    <row r="79" spans="1:4" x14ac:dyDescent="0.2">
      <c r="A79" s="14">
        <v>38718</v>
      </c>
      <c r="B79" s="15">
        <f>VLOOKUP(Table2[[#This Row],[Date]],'DB LEI'!$A:$F,5)</f>
        <v>110.3</v>
      </c>
      <c r="C79" s="15">
        <f>VLOOKUP(Table2[[#This Row],[Date]],'DB LEI'!$A:$F,5)</f>
        <v>110.3</v>
      </c>
      <c r="D79" s="15">
        <f>VLOOKUP(Table2[[#This Row],[Date]],'DB LEI'!$A:$F,6)</f>
        <v>78.900000000000006</v>
      </c>
    </row>
    <row r="80" spans="1:4" x14ac:dyDescent="0.2">
      <c r="A80" s="14">
        <v>38749</v>
      </c>
      <c r="B80" s="15">
        <f>VLOOKUP(Table2[[#This Row],[Date]],'DB LEI'!$A:$F,5)</f>
        <v>105.6</v>
      </c>
      <c r="C80" s="15">
        <f>VLOOKUP(Table2[[#This Row],[Date]],'DB LEI'!$A:$F,5)</f>
        <v>105.6</v>
      </c>
      <c r="D80" s="15">
        <f>VLOOKUP(Table2[[#This Row],[Date]],'DB LEI'!$A:$F,6)</f>
        <v>74.5</v>
      </c>
    </row>
    <row r="81" spans="1:4" x14ac:dyDescent="0.2">
      <c r="A81" s="14">
        <v>38777</v>
      </c>
      <c r="B81" s="15">
        <f>VLOOKUP(Table2[[#This Row],[Date]],'DB LEI'!$A:$F,5)</f>
        <v>109.1</v>
      </c>
      <c r="C81" s="15">
        <f>VLOOKUP(Table2[[#This Row],[Date]],'DB LEI'!$A:$F,5)</f>
        <v>109.1</v>
      </c>
      <c r="D81" s="15">
        <f>VLOOKUP(Table2[[#This Row],[Date]],'DB LEI'!$A:$F,6)</f>
        <v>76</v>
      </c>
    </row>
    <row r="82" spans="1:4" x14ac:dyDescent="0.2">
      <c r="A82" s="14">
        <v>38808</v>
      </c>
      <c r="B82" s="15">
        <f>VLOOKUP(Table2[[#This Row],[Date]],'DB LEI'!$A:$F,5)</f>
        <v>109.2</v>
      </c>
      <c r="C82" s="15">
        <f>VLOOKUP(Table2[[#This Row],[Date]],'DB LEI'!$A:$F,5)</f>
        <v>109.2</v>
      </c>
      <c r="D82" s="15">
        <f>VLOOKUP(Table2[[#This Row],[Date]],'DB LEI'!$A:$F,6)</f>
        <v>73.400000000000006</v>
      </c>
    </row>
    <row r="83" spans="1:4" x14ac:dyDescent="0.2">
      <c r="A83" s="14">
        <v>38838</v>
      </c>
      <c r="B83" s="15">
        <f>VLOOKUP(Table2[[#This Row],[Date]],'DB LEI'!$A:$F,5)</f>
        <v>96.1</v>
      </c>
      <c r="C83" s="15">
        <f>VLOOKUP(Table2[[#This Row],[Date]],'DB LEI'!$A:$F,5)</f>
        <v>96.1</v>
      </c>
      <c r="D83" s="15">
        <f>VLOOKUP(Table2[[#This Row],[Date]],'DB LEI'!$A:$F,6)</f>
        <v>68.2</v>
      </c>
    </row>
    <row r="84" spans="1:4" x14ac:dyDescent="0.2">
      <c r="A84" s="14">
        <v>38869</v>
      </c>
      <c r="B84" s="15">
        <f>VLOOKUP(Table2[[#This Row],[Date]],'DB LEI'!$A:$F,5)</f>
        <v>105</v>
      </c>
      <c r="C84" s="15">
        <f>VLOOKUP(Table2[[#This Row],[Date]],'DB LEI'!$A:$F,5)</f>
        <v>105</v>
      </c>
      <c r="D84" s="15">
        <f>VLOOKUP(Table2[[#This Row],[Date]],'DB LEI'!$A:$F,6)</f>
        <v>72</v>
      </c>
    </row>
    <row r="85" spans="1:4" x14ac:dyDescent="0.2">
      <c r="A85" s="14">
        <v>38899</v>
      </c>
      <c r="B85" s="15">
        <f>VLOOKUP(Table2[[#This Row],[Date]],'DB LEI'!$A:$F,5)</f>
        <v>103.5</v>
      </c>
      <c r="C85" s="15">
        <f>VLOOKUP(Table2[[#This Row],[Date]],'DB LEI'!$A:$F,5)</f>
        <v>103.5</v>
      </c>
      <c r="D85" s="15">
        <f>VLOOKUP(Table2[[#This Row],[Date]],'DB LEI'!$A:$F,6)</f>
        <v>72.5</v>
      </c>
    </row>
    <row r="86" spans="1:4" x14ac:dyDescent="0.2">
      <c r="A86" s="14">
        <v>38930</v>
      </c>
      <c r="B86" s="15">
        <f>VLOOKUP(Table2[[#This Row],[Date]],'DB LEI'!$A:$F,5)</f>
        <v>103.8</v>
      </c>
      <c r="C86" s="15">
        <f>VLOOKUP(Table2[[#This Row],[Date]],'DB LEI'!$A:$F,5)</f>
        <v>103.8</v>
      </c>
      <c r="D86" s="15">
        <f>VLOOKUP(Table2[[#This Row],[Date]],'DB LEI'!$A:$F,6)</f>
        <v>68</v>
      </c>
    </row>
    <row r="87" spans="1:4" x14ac:dyDescent="0.2">
      <c r="A87" s="14">
        <v>38961</v>
      </c>
      <c r="B87" s="15">
        <f>VLOOKUP(Table2[[#This Row],[Date]],'DB LEI'!$A:$F,5)</f>
        <v>96.6</v>
      </c>
      <c r="C87" s="15">
        <f>VLOOKUP(Table2[[#This Row],[Date]],'DB LEI'!$A:$F,5)</f>
        <v>96.6</v>
      </c>
      <c r="D87" s="15">
        <f>VLOOKUP(Table2[[#This Row],[Date]],'DB LEI'!$A:$F,6)</f>
        <v>78.2</v>
      </c>
    </row>
    <row r="88" spans="1:4" x14ac:dyDescent="0.2">
      <c r="A88" s="14">
        <v>38991</v>
      </c>
      <c r="B88" s="15">
        <f>VLOOKUP(Table2[[#This Row],[Date]],'DB LEI'!$A:$F,5)</f>
        <v>107.3</v>
      </c>
      <c r="C88" s="15">
        <f>VLOOKUP(Table2[[#This Row],[Date]],'DB LEI'!$A:$F,5)</f>
        <v>107.3</v>
      </c>
      <c r="D88" s="15">
        <f>VLOOKUP(Table2[[#This Row],[Date]],'DB LEI'!$A:$F,6)</f>
        <v>84.8</v>
      </c>
    </row>
    <row r="89" spans="1:4" x14ac:dyDescent="0.2">
      <c r="A89" s="14">
        <v>39022</v>
      </c>
      <c r="B89" s="15">
        <f>VLOOKUP(Table2[[#This Row],[Date]],'DB LEI'!$A:$F,5)</f>
        <v>106</v>
      </c>
      <c r="C89" s="15">
        <f>VLOOKUP(Table2[[#This Row],[Date]],'DB LEI'!$A:$F,5)</f>
        <v>106</v>
      </c>
      <c r="D89" s="15">
        <f>VLOOKUP(Table2[[#This Row],[Date]],'DB LEI'!$A:$F,6)</f>
        <v>83.2</v>
      </c>
    </row>
    <row r="90" spans="1:4" x14ac:dyDescent="0.2">
      <c r="A90" s="14">
        <v>39052</v>
      </c>
      <c r="B90" s="15">
        <f>VLOOKUP(Table2[[#This Row],[Date]],'DB LEI'!$A:$F,5)</f>
        <v>108.1</v>
      </c>
      <c r="C90" s="15">
        <f>VLOOKUP(Table2[[#This Row],[Date]],'DB LEI'!$A:$F,5)</f>
        <v>108.1</v>
      </c>
      <c r="D90" s="15">
        <f>VLOOKUP(Table2[[#This Row],[Date]],'DB LEI'!$A:$F,6)</f>
        <v>81.2</v>
      </c>
    </row>
    <row r="91" spans="1:4" x14ac:dyDescent="0.2">
      <c r="A91" s="14">
        <v>39083</v>
      </c>
      <c r="B91" s="15">
        <f>VLOOKUP(Table2[[#This Row],[Date]],'DB LEI'!$A:$F,5)</f>
        <v>111.3</v>
      </c>
      <c r="C91" s="15">
        <f>VLOOKUP(Table2[[#This Row],[Date]],'DB LEI'!$A:$F,5)</f>
        <v>111.3</v>
      </c>
      <c r="D91" s="15">
        <f>VLOOKUP(Table2[[#This Row],[Date]],'DB LEI'!$A:$F,6)</f>
        <v>87.6</v>
      </c>
    </row>
    <row r="92" spans="1:4" x14ac:dyDescent="0.2">
      <c r="A92" s="14">
        <v>39114</v>
      </c>
      <c r="B92" s="15">
        <f>VLOOKUP(Table2[[#This Row],[Date]],'DB LEI'!$A:$F,5)</f>
        <v>106.7</v>
      </c>
      <c r="C92" s="15">
        <f>VLOOKUP(Table2[[#This Row],[Date]],'DB LEI'!$A:$F,5)</f>
        <v>106.7</v>
      </c>
      <c r="D92" s="15">
        <f>VLOOKUP(Table2[[#This Row],[Date]],'DB LEI'!$A:$F,6)</f>
        <v>81.5</v>
      </c>
    </row>
    <row r="93" spans="1:4" x14ac:dyDescent="0.2">
      <c r="A93" s="14">
        <v>39142</v>
      </c>
      <c r="B93" s="15">
        <f>VLOOKUP(Table2[[#This Row],[Date]],'DB LEI'!$A:$F,5)</f>
        <v>103.5</v>
      </c>
      <c r="C93" s="15">
        <f>VLOOKUP(Table2[[#This Row],[Date]],'DB LEI'!$A:$F,5)</f>
        <v>103.5</v>
      </c>
      <c r="D93" s="15">
        <f>VLOOKUP(Table2[[#This Row],[Date]],'DB LEI'!$A:$F,6)</f>
        <v>78.7</v>
      </c>
    </row>
    <row r="94" spans="1:4" x14ac:dyDescent="0.2">
      <c r="A94" s="14">
        <v>39173</v>
      </c>
      <c r="B94" s="15">
        <f>VLOOKUP(Table2[[#This Row],[Date]],'DB LEI'!$A:$F,5)</f>
        <v>104.6</v>
      </c>
      <c r="C94" s="15">
        <f>VLOOKUP(Table2[[#This Row],[Date]],'DB LEI'!$A:$F,5)</f>
        <v>104.6</v>
      </c>
      <c r="D94" s="15">
        <f>VLOOKUP(Table2[[#This Row],[Date]],'DB LEI'!$A:$F,6)</f>
        <v>75.900000000000006</v>
      </c>
    </row>
    <row r="95" spans="1:4" x14ac:dyDescent="0.2">
      <c r="A95" s="14">
        <v>39203</v>
      </c>
      <c r="B95" s="15">
        <f>VLOOKUP(Table2[[#This Row],[Date]],'DB LEI'!$A:$F,5)</f>
        <v>105.1</v>
      </c>
      <c r="C95" s="15">
        <f>VLOOKUP(Table2[[#This Row],[Date]],'DB LEI'!$A:$F,5)</f>
        <v>105.1</v>
      </c>
      <c r="D95" s="15">
        <f>VLOOKUP(Table2[[#This Row],[Date]],'DB LEI'!$A:$F,6)</f>
        <v>77.599999999999994</v>
      </c>
    </row>
    <row r="96" spans="1:4" x14ac:dyDescent="0.2">
      <c r="A96" s="14">
        <v>39234</v>
      </c>
      <c r="B96" s="15">
        <f>VLOOKUP(Table2[[#This Row],[Date]],'DB LEI'!$A:$F,5)</f>
        <v>101.9</v>
      </c>
      <c r="C96" s="15">
        <f>VLOOKUP(Table2[[#This Row],[Date]],'DB LEI'!$A:$F,5)</f>
        <v>101.9</v>
      </c>
      <c r="D96" s="15">
        <f>VLOOKUP(Table2[[#This Row],[Date]],'DB LEI'!$A:$F,6)</f>
        <v>74.7</v>
      </c>
    </row>
    <row r="97" spans="1:4" x14ac:dyDescent="0.2">
      <c r="A97" s="14">
        <v>39264</v>
      </c>
      <c r="B97" s="15">
        <f>VLOOKUP(Table2[[#This Row],[Date]],'DB LEI'!$A:$F,5)</f>
        <v>104.5</v>
      </c>
      <c r="C97" s="15">
        <f>VLOOKUP(Table2[[#This Row],[Date]],'DB LEI'!$A:$F,5)</f>
        <v>104.5</v>
      </c>
      <c r="D97" s="15">
        <f>VLOOKUP(Table2[[#This Row],[Date]],'DB LEI'!$A:$F,6)</f>
        <v>81.5</v>
      </c>
    </row>
    <row r="98" spans="1:4" x14ac:dyDescent="0.2">
      <c r="A98" s="14">
        <v>39295</v>
      </c>
      <c r="B98" s="15">
        <f>VLOOKUP(Table2[[#This Row],[Date]],'DB LEI'!$A:$F,5)</f>
        <v>98.4</v>
      </c>
      <c r="C98" s="15">
        <f>VLOOKUP(Table2[[#This Row],[Date]],'DB LEI'!$A:$F,5)</f>
        <v>98.4</v>
      </c>
      <c r="D98" s="15">
        <f>VLOOKUP(Table2[[#This Row],[Date]],'DB LEI'!$A:$F,6)</f>
        <v>73.7</v>
      </c>
    </row>
    <row r="99" spans="1:4" x14ac:dyDescent="0.2">
      <c r="A99" s="14">
        <v>39326</v>
      </c>
      <c r="B99" s="15">
        <f>VLOOKUP(Table2[[#This Row],[Date]],'DB LEI'!$A:$F,5)</f>
        <v>97.9</v>
      </c>
      <c r="C99" s="15">
        <f>VLOOKUP(Table2[[#This Row],[Date]],'DB LEI'!$A:$F,5)</f>
        <v>97.9</v>
      </c>
      <c r="D99" s="15">
        <f>VLOOKUP(Table2[[#This Row],[Date]],'DB LEI'!$A:$F,6)</f>
        <v>74.099999999999994</v>
      </c>
    </row>
    <row r="100" spans="1:4" x14ac:dyDescent="0.2">
      <c r="A100" s="14">
        <v>39356</v>
      </c>
      <c r="B100" s="15">
        <f>VLOOKUP(Table2[[#This Row],[Date]],'DB LEI'!$A:$F,5)</f>
        <v>97.6</v>
      </c>
      <c r="C100" s="15">
        <f>VLOOKUP(Table2[[#This Row],[Date]],'DB LEI'!$A:$F,5)</f>
        <v>97.6</v>
      </c>
      <c r="D100" s="15">
        <f>VLOOKUP(Table2[[#This Row],[Date]],'DB LEI'!$A:$F,6)</f>
        <v>70.099999999999994</v>
      </c>
    </row>
    <row r="101" spans="1:4" x14ac:dyDescent="0.2">
      <c r="A101" s="14">
        <v>39387</v>
      </c>
      <c r="B101" s="15">
        <f>VLOOKUP(Table2[[#This Row],[Date]],'DB LEI'!$A:$F,5)</f>
        <v>91.5</v>
      </c>
      <c r="C101" s="15">
        <f>VLOOKUP(Table2[[#This Row],[Date]],'DB LEI'!$A:$F,5)</f>
        <v>91.5</v>
      </c>
      <c r="D101" s="15">
        <f>VLOOKUP(Table2[[#This Row],[Date]],'DB LEI'!$A:$F,6)</f>
        <v>66.2</v>
      </c>
    </row>
    <row r="102" spans="1:4" x14ac:dyDescent="0.2">
      <c r="A102" s="14">
        <v>39417</v>
      </c>
      <c r="B102" s="15">
        <f>VLOOKUP(Table2[[#This Row],[Date]],'DB LEI'!$A:$F,5)</f>
        <v>91</v>
      </c>
      <c r="C102" s="15">
        <f>VLOOKUP(Table2[[#This Row],[Date]],'DB LEI'!$A:$F,5)</f>
        <v>91</v>
      </c>
      <c r="D102" s="15">
        <f>VLOOKUP(Table2[[#This Row],[Date]],'DB LEI'!$A:$F,6)</f>
        <v>65.599999999999994</v>
      </c>
    </row>
    <row r="103" spans="1:4" x14ac:dyDescent="0.2">
      <c r="A103" s="14">
        <v>39448</v>
      </c>
      <c r="B103" s="15">
        <f>VLOOKUP(Table2[[#This Row],[Date]],'DB LEI'!$A:$F,5)</f>
        <v>94.4</v>
      </c>
      <c r="C103" s="15">
        <f>VLOOKUP(Table2[[#This Row],[Date]],'DB LEI'!$A:$F,5)</f>
        <v>94.4</v>
      </c>
      <c r="D103" s="15">
        <f>VLOOKUP(Table2[[#This Row],[Date]],'DB LEI'!$A:$F,6)</f>
        <v>68.099999999999994</v>
      </c>
    </row>
    <row r="104" spans="1:4" x14ac:dyDescent="0.2">
      <c r="A104" s="14">
        <v>39479</v>
      </c>
      <c r="B104" s="15">
        <f>VLOOKUP(Table2[[#This Row],[Date]],'DB LEI'!$A:$F,5)</f>
        <v>83.8</v>
      </c>
      <c r="C104" s="15">
        <f>VLOOKUP(Table2[[#This Row],[Date]],'DB LEI'!$A:$F,5)</f>
        <v>83.8</v>
      </c>
      <c r="D104" s="15">
        <f>VLOOKUP(Table2[[#This Row],[Date]],'DB LEI'!$A:$F,6)</f>
        <v>62.4</v>
      </c>
    </row>
    <row r="105" spans="1:4" x14ac:dyDescent="0.2">
      <c r="A105" s="14">
        <v>39508</v>
      </c>
      <c r="B105" s="15">
        <f>VLOOKUP(Table2[[#This Row],[Date]],'DB LEI'!$A:$F,5)</f>
        <v>84.2</v>
      </c>
      <c r="C105" s="15">
        <f>VLOOKUP(Table2[[#This Row],[Date]],'DB LEI'!$A:$F,5)</f>
        <v>84.2</v>
      </c>
      <c r="D105" s="15">
        <f>VLOOKUP(Table2[[#This Row],[Date]],'DB LEI'!$A:$F,6)</f>
        <v>60.1</v>
      </c>
    </row>
    <row r="106" spans="1:4" x14ac:dyDescent="0.2">
      <c r="A106" s="14">
        <v>39539</v>
      </c>
      <c r="B106" s="15">
        <f>VLOOKUP(Table2[[#This Row],[Date]],'DB LEI'!$A:$F,5)</f>
        <v>77</v>
      </c>
      <c r="C106" s="15">
        <f>VLOOKUP(Table2[[#This Row],[Date]],'DB LEI'!$A:$F,5)</f>
        <v>77</v>
      </c>
      <c r="D106" s="15">
        <f>VLOOKUP(Table2[[#This Row],[Date]],'DB LEI'!$A:$F,6)</f>
        <v>53.3</v>
      </c>
    </row>
    <row r="107" spans="1:4" x14ac:dyDescent="0.2">
      <c r="A107" s="14">
        <v>39569</v>
      </c>
      <c r="B107" s="15">
        <f>VLOOKUP(Table2[[#This Row],[Date]],'DB LEI'!$A:$F,5)</f>
        <v>73.3</v>
      </c>
      <c r="C107" s="15">
        <f>VLOOKUP(Table2[[#This Row],[Date]],'DB LEI'!$A:$F,5)</f>
        <v>73.3</v>
      </c>
      <c r="D107" s="15">
        <f>VLOOKUP(Table2[[#This Row],[Date]],'DB LEI'!$A:$F,6)</f>
        <v>51.1</v>
      </c>
    </row>
    <row r="108" spans="1:4" x14ac:dyDescent="0.2">
      <c r="A108" s="14">
        <v>39600</v>
      </c>
      <c r="B108" s="15">
        <f>VLOOKUP(Table2[[#This Row],[Date]],'DB LEI'!$A:$F,5)</f>
        <v>67.599999999999994</v>
      </c>
      <c r="C108" s="15">
        <f>VLOOKUP(Table2[[#This Row],[Date]],'DB LEI'!$A:$F,5)</f>
        <v>67.599999999999994</v>
      </c>
      <c r="D108" s="15">
        <f>VLOOKUP(Table2[[#This Row],[Date]],'DB LEI'!$A:$F,6)</f>
        <v>49.2</v>
      </c>
    </row>
    <row r="109" spans="1:4" x14ac:dyDescent="0.2">
      <c r="A109" s="14">
        <v>39630</v>
      </c>
      <c r="B109" s="15">
        <f>VLOOKUP(Table2[[#This Row],[Date]],'DB LEI'!$A:$F,5)</f>
        <v>73.099999999999994</v>
      </c>
      <c r="C109" s="15">
        <f>VLOOKUP(Table2[[#This Row],[Date]],'DB LEI'!$A:$F,5)</f>
        <v>73.099999999999994</v>
      </c>
      <c r="D109" s="15">
        <f>VLOOKUP(Table2[[#This Row],[Date]],'DB LEI'!$A:$F,6)</f>
        <v>53.5</v>
      </c>
    </row>
    <row r="110" spans="1:4" x14ac:dyDescent="0.2">
      <c r="A110" s="14">
        <v>39661</v>
      </c>
      <c r="B110" s="15">
        <f>VLOOKUP(Table2[[#This Row],[Date]],'DB LEI'!$A:$F,5)</f>
        <v>71</v>
      </c>
      <c r="C110" s="15">
        <f>VLOOKUP(Table2[[#This Row],[Date]],'DB LEI'!$A:$F,5)</f>
        <v>71</v>
      </c>
      <c r="D110" s="15">
        <f>VLOOKUP(Table2[[#This Row],[Date]],'DB LEI'!$A:$F,6)</f>
        <v>57.9</v>
      </c>
    </row>
    <row r="111" spans="1:4" x14ac:dyDescent="0.2">
      <c r="A111" s="14">
        <v>39692</v>
      </c>
      <c r="B111" s="15">
        <f>VLOOKUP(Table2[[#This Row],[Date]],'DB LEI'!$A:$F,5)</f>
        <v>75</v>
      </c>
      <c r="C111" s="15">
        <f>VLOOKUP(Table2[[#This Row],[Date]],'DB LEI'!$A:$F,5)</f>
        <v>75</v>
      </c>
      <c r="D111" s="15">
        <f>VLOOKUP(Table2[[#This Row],[Date]],'DB LEI'!$A:$F,6)</f>
        <v>67.2</v>
      </c>
    </row>
    <row r="112" spans="1:4" x14ac:dyDescent="0.2">
      <c r="A112" s="14">
        <v>39722</v>
      </c>
      <c r="B112" s="15">
        <f>VLOOKUP(Table2[[#This Row],[Date]],'DB LEI'!$A:$F,5)</f>
        <v>58.4</v>
      </c>
      <c r="C112" s="15">
        <f>VLOOKUP(Table2[[#This Row],[Date]],'DB LEI'!$A:$F,5)</f>
        <v>58.4</v>
      </c>
      <c r="D112" s="15">
        <f>VLOOKUP(Table2[[#This Row],[Date]],'DB LEI'!$A:$F,6)</f>
        <v>57</v>
      </c>
    </row>
    <row r="113" spans="1:4" x14ac:dyDescent="0.2">
      <c r="A113" s="14">
        <v>39753</v>
      </c>
      <c r="B113" s="15">
        <f>VLOOKUP(Table2[[#This Row],[Date]],'DB LEI'!$A:$F,5)</f>
        <v>57.5</v>
      </c>
      <c r="C113" s="15">
        <f>VLOOKUP(Table2[[#This Row],[Date]],'DB LEI'!$A:$F,5)</f>
        <v>57.5</v>
      </c>
      <c r="D113" s="15">
        <f>VLOOKUP(Table2[[#This Row],[Date]],'DB LEI'!$A:$F,6)</f>
        <v>53.9</v>
      </c>
    </row>
    <row r="114" spans="1:4" x14ac:dyDescent="0.2">
      <c r="A114" s="14">
        <v>39783</v>
      </c>
      <c r="B114" s="15">
        <f>VLOOKUP(Table2[[#This Row],[Date]],'DB LEI'!$A:$F,5)</f>
        <v>69.5</v>
      </c>
      <c r="C114" s="15">
        <f>VLOOKUP(Table2[[#This Row],[Date]],'DB LEI'!$A:$F,5)</f>
        <v>69.5</v>
      </c>
      <c r="D114" s="15">
        <f>VLOOKUP(Table2[[#This Row],[Date]],'DB LEI'!$A:$F,6)</f>
        <v>54</v>
      </c>
    </row>
    <row r="115" spans="1:4" x14ac:dyDescent="0.2">
      <c r="A115" s="14">
        <v>39814</v>
      </c>
      <c r="B115" s="15">
        <f>VLOOKUP(Table2[[#This Row],[Date]],'DB LEI'!$A:$F,5)</f>
        <v>66.5</v>
      </c>
      <c r="C115" s="15">
        <f>VLOOKUP(Table2[[#This Row],[Date]],'DB LEI'!$A:$F,5)</f>
        <v>66.5</v>
      </c>
      <c r="D115" s="15">
        <f>VLOOKUP(Table2[[#This Row],[Date]],'DB LEI'!$A:$F,6)</f>
        <v>57.8</v>
      </c>
    </row>
    <row r="116" spans="1:4" x14ac:dyDescent="0.2">
      <c r="A116" s="14">
        <v>39845</v>
      </c>
      <c r="B116" s="15">
        <f>VLOOKUP(Table2[[#This Row],[Date]],'DB LEI'!$A:$F,5)</f>
        <v>65.5</v>
      </c>
      <c r="C116" s="15">
        <f>VLOOKUP(Table2[[#This Row],[Date]],'DB LEI'!$A:$F,5)</f>
        <v>65.5</v>
      </c>
      <c r="D116" s="15">
        <f>VLOOKUP(Table2[[#This Row],[Date]],'DB LEI'!$A:$F,6)</f>
        <v>50.5</v>
      </c>
    </row>
    <row r="117" spans="1:4" x14ac:dyDescent="0.2">
      <c r="A117" s="14">
        <v>39873</v>
      </c>
      <c r="B117" s="15">
        <f>VLOOKUP(Table2[[#This Row],[Date]],'DB LEI'!$A:$F,5)</f>
        <v>63.3</v>
      </c>
      <c r="C117" s="15">
        <f>VLOOKUP(Table2[[#This Row],[Date]],'DB LEI'!$A:$F,5)</f>
        <v>63.3</v>
      </c>
      <c r="D117" s="15">
        <f>VLOOKUP(Table2[[#This Row],[Date]],'DB LEI'!$A:$F,6)</f>
        <v>53.5</v>
      </c>
    </row>
    <row r="118" spans="1:4" x14ac:dyDescent="0.2">
      <c r="A118" s="14">
        <v>39904</v>
      </c>
      <c r="B118" s="15">
        <f>VLOOKUP(Table2[[#This Row],[Date]],'DB LEI'!$A:$F,5)</f>
        <v>68.3</v>
      </c>
      <c r="C118" s="15">
        <f>VLOOKUP(Table2[[#This Row],[Date]],'DB LEI'!$A:$F,5)</f>
        <v>68.3</v>
      </c>
      <c r="D118" s="15">
        <f>VLOOKUP(Table2[[#This Row],[Date]],'DB LEI'!$A:$F,6)</f>
        <v>63.1</v>
      </c>
    </row>
    <row r="119" spans="1:4" x14ac:dyDescent="0.2">
      <c r="A119" s="14">
        <v>39934</v>
      </c>
      <c r="B119" s="15">
        <f>VLOOKUP(Table2[[#This Row],[Date]],'DB LEI'!$A:$F,5)</f>
        <v>67.7</v>
      </c>
      <c r="C119" s="15">
        <f>VLOOKUP(Table2[[#This Row],[Date]],'DB LEI'!$A:$F,5)</f>
        <v>67.7</v>
      </c>
      <c r="D119" s="15">
        <f>VLOOKUP(Table2[[#This Row],[Date]],'DB LEI'!$A:$F,6)</f>
        <v>69.400000000000006</v>
      </c>
    </row>
    <row r="120" spans="1:4" x14ac:dyDescent="0.2">
      <c r="A120" s="14">
        <v>39973</v>
      </c>
      <c r="B120" s="15">
        <f>VLOOKUP(Table2[[#This Row],[Date]],'DB LEI'!$A:$F,5)</f>
        <v>73.2</v>
      </c>
      <c r="C120" s="15">
        <f>VLOOKUP(Table2[[#This Row],[Date]],'DB LEI'!$A:$F,5)</f>
        <v>73.2</v>
      </c>
      <c r="D120" s="15">
        <f>VLOOKUP(Table2[[#This Row],[Date]],'DB LEI'!$A:$F,6)</f>
        <v>69.2</v>
      </c>
    </row>
    <row r="121" spans="1:4" x14ac:dyDescent="0.2">
      <c r="A121" s="14">
        <v>39995</v>
      </c>
      <c r="B121" s="15">
        <f>VLOOKUP(Table2[[#This Row],[Date]],'DB LEI'!$A:$F,5)</f>
        <v>70.5</v>
      </c>
      <c r="C121" s="15">
        <f>VLOOKUP(Table2[[#This Row],[Date]],'DB LEI'!$A:$F,5)</f>
        <v>70.5</v>
      </c>
      <c r="D121" s="15">
        <f>VLOOKUP(Table2[[#This Row],[Date]],'DB LEI'!$A:$F,6)</f>
        <v>63.2</v>
      </c>
    </row>
    <row r="122" spans="1:4" x14ac:dyDescent="0.2">
      <c r="A122" s="14">
        <v>40026</v>
      </c>
      <c r="B122" s="15">
        <f>VLOOKUP(Table2[[#This Row],[Date]],'DB LEI'!$A:$F,5)</f>
        <v>66.599999999999994</v>
      </c>
      <c r="C122" s="15">
        <f>VLOOKUP(Table2[[#This Row],[Date]],'DB LEI'!$A:$F,5)</f>
        <v>66.599999999999994</v>
      </c>
      <c r="D122" s="15">
        <f>VLOOKUP(Table2[[#This Row],[Date]],'DB LEI'!$A:$F,6)</f>
        <v>65</v>
      </c>
    </row>
    <row r="123" spans="1:4" x14ac:dyDescent="0.2">
      <c r="A123" s="14">
        <v>40057</v>
      </c>
      <c r="B123" s="15">
        <f>VLOOKUP(Table2[[#This Row],[Date]],'DB LEI'!$A:$F,5)</f>
        <v>73.400000000000006</v>
      </c>
      <c r="C123" s="15">
        <f>VLOOKUP(Table2[[#This Row],[Date]],'DB LEI'!$A:$F,5)</f>
        <v>73.400000000000006</v>
      </c>
      <c r="D123" s="15">
        <f>VLOOKUP(Table2[[#This Row],[Date]],'DB LEI'!$A:$F,6)</f>
        <v>73.5</v>
      </c>
    </row>
    <row r="124" spans="1:4" x14ac:dyDescent="0.2">
      <c r="A124" s="14">
        <v>40087</v>
      </c>
      <c r="B124" s="15">
        <f>VLOOKUP(Table2[[#This Row],[Date]],'DB LEI'!$A:$F,5)</f>
        <v>73.7</v>
      </c>
      <c r="C124" s="15">
        <f>VLOOKUP(Table2[[#This Row],[Date]],'DB LEI'!$A:$F,5)</f>
        <v>73.7</v>
      </c>
      <c r="D124" s="15">
        <f>VLOOKUP(Table2[[#This Row],[Date]],'DB LEI'!$A:$F,6)</f>
        <v>68.599999999999994</v>
      </c>
    </row>
    <row r="125" spans="1:4" x14ac:dyDescent="0.2">
      <c r="A125" s="14">
        <v>40118</v>
      </c>
      <c r="B125" s="15">
        <f>VLOOKUP(Table2[[#This Row],[Date]],'DB LEI'!$A:$F,5)</f>
        <v>68.8</v>
      </c>
      <c r="C125" s="15">
        <f>VLOOKUP(Table2[[#This Row],[Date]],'DB LEI'!$A:$F,5)</f>
        <v>68.8</v>
      </c>
      <c r="D125" s="15">
        <f>VLOOKUP(Table2[[#This Row],[Date]],'DB LEI'!$A:$F,6)</f>
        <v>66.5</v>
      </c>
    </row>
    <row r="126" spans="1:4" x14ac:dyDescent="0.2">
      <c r="A126" s="14">
        <v>40148</v>
      </c>
      <c r="B126" s="15">
        <f>VLOOKUP(Table2[[#This Row],[Date]],'DB LEI'!$A:$F,5)</f>
        <v>78</v>
      </c>
      <c r="C126" s="15">
        <f>VLOOKUP(Table2[[#This Row],[Date]],'DB LEI'!$A:$F,5)</f>
        <v>78</v>
      </c>
      <c r="D126" s="15">
        <f>VLOOKUP(Table2[[#This Row],[Date]],'DB LEI'!$A:$F,6)</f>
        <v>68.900000000000006</v>
      </c>
    </row>
    <row r="127" spans="1:4" x14ac:dyDescent="0.2">
      <c r="A127" s="14">
        <v>40179</v>
      </c>
      <c r="B127" s="15">
        <f>VLOOKUP(Table2[[#This Row],[Date]],'DB LEI'!$A:$F,5)</f>
        <v>81.099999999999994</v>
      </c>
      <c r="C127" s="15">
        <f>VLOOKUP(Table2[[#This Row],[Date]],'DB LEI'!$A:$F,5)</f>
        <v>81.099999999999994</v>
      </c>
      <c r="D127" s="15">
        <f>VLOOKUP(Table2[[#This Row],[Date]],'DB LEI'!$A:$F,6)</f>
        <v>70.099999999999994</v>
      </c>
    </row>
    <row r="128" spans="1:4" x14ac:dyDescent="0.2">
      <c r="A128" s="14">
        <v>40210</v>
      </c>
      <c r="B128" s="15">
        <f>VLOOKUP(Table2[[#This Row],[Date]],'DB LEI'!$A:$F,5)</f>
        <v>81.8</v>
      </c>
      <c r="C128" s="15">
        <f>VLOOKUP(Table2[[#This Row],[Date]],'DB LEI'!$A:$F,5)</f>
        <v>81.8</v>
      </c>
      <c r="D128" s="15">
        <f>VLOOKUP(Table2[[#This Row],[Date]],'DB LEI'!$A:$F,6)</f>
        <v>68.400000000000006</v>
      </c>
    </row>
    <row r="129" spans="1:4" x14ac:dyDescent="0.2">
      <c r="A129" s="14">
        <v>40238</v>
      </c>
      <c r="B129" s="15">
        <f>VLOOKUP(Table2[[#This Row],[Date]],'DB LEI'!$A:$F,5)</f>
        <v>82.4</v>
      </c>
      <c r="C129" s="15">
        <f>VLOOKUP(Table2[[#This Row],[Date]],'DB LEI'!$A:$F,5)</f>
        <v>82.4</v>
      </c>
      <c r="D129" s="15">
        <f>VLOOKUP(Table2[[#This Row],[Date]],'DB LEI'!$A:$F,6)</f>
        <v>67.900000000000006</v>
      </c>
    </row>
    <row r="130" spans="1:4" x14ac:dyDescent="0.2">
      <c r="A130" s="14">
        <v>40269</v>
      </c>
      <c r="B130" s="15">
        <f>VLOOKUP(Table2[[#This Row],[Date]],'DB LEI'!$A:$F,5)</f>
        <v>81</v>
      </c>
      <c r="C130" s="15">
        <f>VLOOKUP(Table2[[#This Row],[Date]],'DB LEI'!$A:$F,5)</f>
        <v>81</v>
      </c>
      <c r="D130" s="15">
        <f>VLOOKUP(Table2[[#This Row],[Date]],'DB LEI'!$A:$F,6)</f>
        <v>66.5</v>
      </c>
    </row>
    <row r="131" spans="1:4" x14ac:dyDescent="0.2">
      <c r="A131" s="14">
        <v>40299</v>
      </c>
      <c r="B131" s="15">
        <f>VLOOKUP(Table2[[#This Row],[Date]],'DB LEI'!$A:$F,5)</f>
        <v>81</v>
      </c>
      <c r="C131" s="15">
        <f>VLOOKUP(Table2[[#This Row],[Date]],'DB LEI'!$A:$F,5)</f>
        <v>81</v>
      </c>
      <c r="D131" s="15">
        <f>VLOOKUP(Table2[[#This Row],[Date]],'DB LEI'!$A:$F,6)</f>
        <v>68.8</v>
      </c>
    </row>
    <row r="132" spans="1:4" x14ac:dyDescent="0.2">
      <c r="A132" s="14">
        <v>40330</v>
      </c>
      <c r="B132" s="15">
        <f>VLOOKUP(Table2[[#This Row],[Date]],'DB LEI'!$A:$F,5)</f>
        <v>85.6</v>
      </c>
      <c r="C132" s="15">
        <f>VLOOKUP(Table2[[#This Row],[Date]],'DB LEI'!$A:$F,5)</f>
        <v>85.6</v>
      </c>
      <c r="D132" s="15">
        <f>VLOOKUP(Table2[[#This Row],[Date]],'DB LEI'!$A:$F,6)</f>
        <v>69.8</v>
      </c>
    </row>
    <row r="133" spans="1:4" x14ac:dyDescent="0.2">
      <c r="A133" s="14">
        <v>40360</v>
      </c>
      <c r="B133" s="15">
        <f>VLOOKUP(Table2[[#This Row],[Date]],'DB LEI'!$A:$F,5)</f>
        <v>76.5</v>
      </c>
      <c r="C133" s="15">
        <f>VLOOKUP(Table2[[#This Row],[Date]],'DB LEI'!$A:$F,5)</f>
        <v>76.5</v>
      </c>
      <c r="D133" s="15">
        <f>VLOOKUP(Table2[[#This Row],[Date]],'DB LEI'!$A:$F,6)</f>
        <v>62.3</v>
      </c>
    </row>
    <row r="134" spans="1:4" x14ac:dyDescent="0.2">
      <c r="A134" s="14">
        <v>40391</v>
      </c>
      <c r="B134" s="15">
        <f>VLOOKUP(Table2[[#This Row],[Date]],'DB LEI'!$A:$F,5)</f>
        <v>78.3</v>
      </c>
      <c r="C134" s="15">
        <f>VLOOKUP(Table2[[#This Row],[Date]],'DB LEI'!$A:$F,5)</f>
        <v>78.3</v>
      </c>
      <c r="D134" s="15">
        <f>VLOOKUP(Table2[[#This Row],[Date]],'DB LEI'!$A:$F,6)</f>
        <v>62.9</v>
      </c>
    </row>
    <row r="135" spans="1:4" x14ac:dyDescent="0.2">
      <c r="A135" s="14">
        <v>40422</v>
      </c>
      <c r="B135" s="15">
        <f>VLOOKUP(Table2[[#This Row],[Date]],'DB LEI'!$A:$F,5)</f>
        <v>79.599999999999994</v>
      </c>
      <c r="C135" s="15">
        <f>VLOOKUP(Table2[[#This Row],[Date]],'DB LEI'!$A:$F,5)</f>
        <v>79.599999999999994</v>
      </c>
      <c r="D135" s="15">
        <f>VLOOKUP(Table2[[#This Row],[Date]],'DB LEI'!$A:$F,6)</f>
        <v>60.9</v>
      </c>
    </row>
    <row r="136" spans="1:4" x14ac:dyDescent="0.2">
      <c r="A136" s="14">
        <v>40452</v>
      </c>
      <c r="B136" s="15">
        <f>VLOOKUP(Table2[[#This Row],[Date]],'DB LEI'!$A:$F,5)</f>
        <v>76.599999999999994</v>
      </c>
      <c r="C136" s="15">
        <f>VLOOKUP(Table2[[#This Row],[Date]],'DB LEI'!$A:$F,5)</f>
        <v>76.599999999999994</v>
      </c>
      <c r="D136" s="15">
        <f>VLOOKUP(Table2[[#This Row],[Date]],'DB LEI'!$A:$F,6)</f>
        <v>61.9</v>
      </c>
    </row>
    <row r="137" spans="1:4" x14ac:dyDescent="0.2">
      <c r="A137" s="14">
        <v>40483</v>
      </c>
      <c r="B137" s="15">
        <f>VLOOKUP(Table2[[#This Row],[Date]],'DB LEI'!$A:$F,5)</f>
        <v>82.1</v>
      </c>
      <c r="C137" s="15">
        <f>VLOOKUP(Table2[[#This Row],[Date]],'DB LEI'!$A:$F,5)</f>
        <v>82.1</v>
      </c>
      <c r="D137" s="15">
        <f>VLOOKUP(Table2[[#This Row],[Date]],'DB LEI'!$A:$F,6)</f>
        <v>64.8</v>
      </c>
    </row>
    <row r="138" spans="1:4" x14ac:dyDescent="0.2">
      <c r="A138" s="14">
        <v>40513</v>
      </c>
      <c r="B138" s="15">
        <f>VLOOKUP(Table2[[#This Row],[Date]],'DB LEI'!$A:$F,5)</f>
        <v>85.3</v>
      </c>
      <c r="C138" s="15">
        <f>VLOOKUP(Table2[[#This Row],[Date]],'DB LEI'!$A:$F,5)</f>
        <v>85.3</v>
      </c>
      <c r="D138" s="15">
        <f>VLOOKUP(Table2[[#This Row],[Date]],'DB LEI'!$A:$F,6)</f>
        <v>67.5</v>
      </c>
    </row>
    <row r="139" spans="1:4" x14ac:dyDescent="0.2">
      <c r="A139" s="14">
        <v>40544</v>
      </c>
      <c r="B139" s="15">
        <f>VLOOKUP(Table2[[#This Row],[Date]],'DB LEI'!$A:$F,5)</f>
        <v>81.8</v>
      </c>
      <c r="C139" s="15">
        <f>VLOOKUP(Table2[[#This Row],[Date]],'DB LEI'!$A:$F,5)</f>
        <v>81.8</v>
      </c>
      <c r="D139" s="15">
        <f>VLOOKUP(Table2[[#This Row],[Date]],'DB LEI'!$A:$F,6)</f>
        <v>69.3</v>
      </c>
    </row>
    <row r="140" spans="1:4" x14ac:dyDescent="0.2">
      <c r="A140" s="14">
        <v>40575</v>
      </c>
      <c r="B140" s="15">
        <f>VLOOKUP(Table2[[#This Row],[Date]],'DB LEI'!$A:$F,5)</f>
        <v>86.9</v>
      </c>
      <c r="C140" s="15">
        <f>VLOOKUP(Table2[[#This Row],[Date]],'DB LEI'!$A:$F,5)</f>
        <v>86.9</v>
      </c>
      <c r="D140" s="15">
        <f>VLOOKUP(Table2[[#This Row],[Date]],'DB LEI'!$A:$F,6)</f>
        <v>71.599999999999994</v>
      </c>
    </row>
    <row r="141" spans="1:4" x14ac:dyDescent="0.2">
      <c r="A141" s="14">
        <v>40603</v>
      </c>
      <c r="B141" s="15">
        <f>VLOOKUP(Table2[[#This Row],[Date]],'DB LEI'!$A:$F,5)</f>
        <v>82.5</v>
      </c>
      <c r="C141" s="15">
        <f>VLOOKUP(Table2[[#This Row],[Date]],'DB LEI'!$A:$F,5)</f>
        <v>82.5</v>
      </c>
      <c r="D141" s="15">
        <f>VLOOKUP(Table2[[#This Row],[Date]],'DB LEI'!$A:$F,6)</f>
        <v>57.9</v>
      </c>
    </row>
    <row r="142" spans="1:4" x14ac:dyDescent="0.2">
      <c r="A142" s="14">
        <v>40634</v>
      </c>
      <c r="B142" s="15">
        <f>VLOOKUP(Table2[[#This Row],[Date]],'DB LEI'!$A:$F,5)</f>
        <v>82.5</v>
      </c>
      <c r="C142" s="15">
        <f>VLOOKUP(Table2[[#This Row],[Date]],'DB LEI'!$A:$F,5)</f>
        <v>82.5</v>
      </c>
      <c r="D142" s="15">
        <f>VLOOKUP(Table2[[#This Row],[Date]],'DB LEI'!$A:$F,6)</f>
        <v>61.6</v>
      </c>
    </row>
    <row r="143" spans="1:4" x14ac:dyDescent="0.2">
      <c r="A143" s="14">
        <v>40664</v>
      </c>
      <c r="B143" s="15">
        <f>VLOOKUP(Table2[[#This Row],[Date]],'DB LEI'!$A:$F,5)</f>
        <v>81.900000000000006</v>
      </c>
      <c r="C143" s="15">
        <f>VLOOKUP(Table2[[#This Row],[Date]],'DB LEI'!$A:$F,5)</f>
        <v>81.900000000000006</v>
      </c>
      <c r="D143" s="15">
        <f>VLOOKUP(Table2[[#This Row],[Date]],'DB LEI'!$A:$F,6)</f>
        <v>69.5</v>
      </c>
    </row>
    <row r="144" spans="1:4" x14ac:dyDescent="0.2">
      <c r="A144" s="14">
        <v>40695</v>
      </c>
      <c r="B144" s="15">
        <f>VLOOKUP(Table2[[#This Row],[Date]],'DB LEI'!$A:$F,5)</f>
        <v>82</v>
      </c>
      <c r="C144" s="15">
        <f>VLOOKUP(Table2[[#This Row],[Date]],'DB LEI'!$A:$F,5)</f>
        <v>82</v>
      </c>
      <c r="D144" s="15">
        <f>VLOOKUP(Table2[[#This Row],[Date]],'DB LEI'!$A:$F,6)</f>
        <v>64.7</v>
      </c>
    </row>
    <row r="145" spans="1:4" x14ac:dyDescent="0.2">
      <c r="A145" s="14">
        <v>40725</v>
      </c>
      <c r="B145" s="15">
        <f>VLOOKUP(Table2[[#This Row],[Date]],'DB LEI'!$A:$F,5)</f>
        <v>75.7</v>
      </c>
      <c r="C145" s="15">
        <f>VLOOKUP(Table2[[#This Row],[Date]],'DB LEI'!$A:$F,5)</f>
        <v>75.7</v>
      </c>
      <c r="D145" s="15">
        <f>VLOOKUP(Table2[[#This Row],[Date]],'DB LEI'!$A:$F,6)</f>
        <v>55.9</v>
      </c>
    </row>
    <row r="146" spans="1:4" x14ac:dyDescent="0.2">
      <c r="A146" s="14">
        <v>40756</v>
      </c>
      <c r="B146" s="15">
        <f>VLOOKUP(Table2[[#This Row],[Date]],'DB LEI'!$A:$F,5)</f>
        <v>68.5</v>
      </c>
      <c r="C146" s="15">
        <f>VLOOKUP(Table2[[#This Row],[Date]],'DB LEI'!$A:$F,5)</f>
        <v>68.5</v>
      </c>
      <c r="D146" s="15">
        <f>VLOOKUP(Table2[[#This Row],[Date]],'DB LEI'!$A:$F,6)</f>
        <v>47.6</v>
      </c>
    </row>
    <row r="147" spans="1:4" x14ac:dyDescent="0.2">
      <c r="A147" s="14">
        <v>40787</v>
      </c>
      <c r="B147" s="15">
        <f>VLOOKUP(Table2[[#This Row],[Date]],'DB LEI'!$A:$F,5)</f>
        <v>75.2</v>
      </c>
      <c r="C147" s="15">
        <f>VLOOKUP(Table2[[#This Row],[Date]],'DB LEI'!$A:$F,5)</f>
        <v>75.2</v>
      </c>
      <c r="D147" s="15">
        <f>VLOOKUP(Table2[[#This Row],[Date]],'DB LEI'!$A:$F,6)</f>
        <v>49.4</v>
      </c>
    </row>
    <row r="148" spans="1:4" x14ac:dyDescent="0.2">
      <c r="A148" s="14">
        <v>40817</v>
      </c>
      <c r="B148" s="15">
        <f>VLOOKUP(Table2[[#This Row],[Date]],'DB LEI'!$A:$F,5)</f>
        <v>74.900000000000006</v>
      </c>
      <c r="C148" s="15">
        <f>VLOOKUP(Table2[[#This Row],[Date]],'DB LEI'!$A:$F,5)</f>
        <v>74.900000000000006</v>
      </c>
      <c r="D148" s="15">
        <f>VLOOKUP(Table2[[#This Row],[Date]],'DB LEI'!$A:$F,6)</f>
        <v>51.7</v>
      </c>
    </row>
    <row r="149" spans="1:4" x14ac:dyDescent="0.2">
      <c r="A149" s="14">
        <v>40848</v>
      </c>
      <c r="B149" s="15">
        <f>VLOOKUP(Table2[[#This Row],[Date]],'DB LEI'!$A:$F,5)</f>
        <v>77.400000000000006</v>
      </c>
      <c r="C149" s="15">
        <f>VLOOKUP(Table2[[#This Row],[Date]],'DB LEI'!$A:$F,5)</f>
        <v>77.400000000000006</v>
      </c>
      <c r="D149" s="15">
        <f>VLOOKUP(Table2[[#This Row],[Date]],'DB LEI'!$A:$F,6)</f>
        <v>54.9</v>
      </c>
    </row>
    <row r="150" spans="1:4" x14ac:dyDescent="0.2">
      <c r="A150" s="14">
        <v>40878</v>
      </c>
      <c r="B150" s="15">
        <f>VLOOKUP(Table2[[#This Row],[Date]],'DB LEI'!$A:$F,5)</f>
        <v>79.599999999999994</v>
      </c>
      <c r="C150" s="15">
        <f>VLOOKUP(Table2[[#This Row],[Date]],'DB LEI'!$A:$F,5)</f>
        <v>79.599999999999994</v>
      </c>
      <c r="D150" s="15">
        <f>VLOOKUP(Table2[[#This Row],[Date]],'DB LEI'!$A:$F,6)</f>
        <v>63.6</v>
      </c>
    </row>
    <row r="151" spans="1:4" x14ac:dyDescent="0.2">
      <c r="A151" s="14">
        <v>40909</v>
      </c>
      <c r="B151" s="15">
        <f>VLOOKUP(Table2[[#This Row],[Date]],'DB LEI'!$A:$F,5)</f>
        <v>84.2</v>
      </c>
      <c r="C151" s="15">
        <f>VLOOKUP(Table2[[#This Row],[Date]],'DB LEI'!$A:$F,5)</f>
        <v>84.2</v>
      </c>
      <c r="D151" s="15">
        <f>VLOOKUP(Table2[[#This Row],[Date]],'DB LEI'!$A:$F,6)</f>
        <v>69.099999999999994</v>
      </c>
    </row>
    <row r="152" spans="1:4" x14ac:dyDescent="0.2">
      <c r="A152" s="14">
        <v>40940</v>
      </c>
      <c r="B152" s="15">
        <f>VLOOKUP(Table2[[#This Row],[Date]],'DB LEI'!$A:$F,5)</f>
        <v>83</v>
      </c>
      <c r="C152" s="15">
        <f>VLOOKUP(Table2[[#This Row],[Date]],'DB LEI'!$A:$F,5)</f>
        <v>83</v>
      </c>
      <c r="D152" s="15">
        <f>VLOOKUP(Table2[[#This Row],[Date]],'DB LEI'!$A:$F,6)</f>
        <v>70.3</v>
      </c>
    </row>
    <row r="153" spans="1:4" x14ac:dyDescent="0.2">
      <c r="A153" s="14">
        <v>40969</v>
      </c>
      <c r="B153" s="15">
        <f>VLOOKUP(Table2[[#This Row],[Date]],'DB LEI'!$A:$F,5)</f>
        <v>86</v>
      </c>
      <c r="C153" s="15">
        <f>VLOOKUP(Table2[[#This Row],[Date]],'DB LEI'!$A:$F,5)</f>
        <v>86</v>
      </c>
      <c r="D153" s="15">
        <f>VLOOKUP(Table2[[#This Row],[Date]],'DB LEI'!$A:$F,6)</f>
        <v>69.8</v>
      </c>
    </row>
    <row r="154" spans="1:4" x14ac:dyDescent="0.2">
      <c r="A154" s="14">
        <v>41000</v>
      </c>
      <c r="B154" s="15">
        <f>VLOOKUP(Table2[[#This Row],[Date]],'DB LEI'!$A:$F,5)</f>
        <v>82.9</v>
      </c>
      <c r="C154" s="15">
        <f>VLOOKUP(Table2[[#This Row],[Date]],'DB LEI'!$A:$F,5)</f>
        <v>82.9</v>
      </c>
      <c r="D154" s="15">
        <f>VLOOKUP(Table2[[#This Row],[Date]],'DB LEI'!$A:$F,6)</f>
        <v>72.3</v>
      </c>
    </row>
    <row r="155" spans="1:4" x14ac:dyDescent="0.2">
      <c r="A155" s="14">
        <v>41030</v>
      </c>
      <c r="B155" s="15">
        <f>VLOOKUP(Table2[[#This Row],[Date]],'DB LEI'!$A:$F,5)</f>
        <v>87.2</v>
      </c>
      <c r="C155" s="15">
        <f>VLOOKUP(Table2[[#This Row],[Date]],'DB LEI'!$A:$F,5)</f>
        <v>87.2</v>
      </c>
      <c r="D155" s="15">
        <f>VLOOKUP(Table2[[#This Row],[Date]],'DB LEI'!$A:$F,6)</f>
        <v>74.3</v>
      </c>
    </row>
    <row r="156" spans="1:4" x14ac:dyDescent="0.2">
      <c r="A156" s="14">
        <v>41061</v>
      </c>
      <c r="B156" s="15">
        <f>VLOOKUP(Table2[[#This Row],[Date]],'DB LEI'!$A:$F,5)</f>
        <v>81.5</v>
      </c>
      <c r="C156" s="15">
        <f>VLOOKUP(Table2[[#This Row],[Date]],'DB LEI'!$A:$F,5)</f>
        <v>81.5</v>
      </c>
      <c r="D156" s="15">
        <f>VLOOKUP(Table2[[#This Row],[Date]],'DB LEI'!$A:$F,6)</f>
        <v>67.8</v>
      </c>
    </row>
    <row r="157" spans="1:4" x14ac:dyDescent="0.2">
      <c r="A157" s="14">
        <v>41091</v>
      </c>
      <c r="B157" s="15">
        <f>VLOOKUP(Table2[[#This Row],[Date]],'DB LEI'!$A:$F,5)</f>
        <v>82.7</v>
      </c>
      <c r="C157" s="15">
        <f>VLOOKUP(Table2[[#This Row],[Date]],'DB LEI'!$A:$F,5)</f>
        <v>82.7</v>
      </c>
      <c r="D157" s="15">
        <f>VLOOKUP(Table2[[#This Row],[Date]],'DB LEI'!$A:$F,6)</f>
        <v>65.599999999999994</v>
      </c>
    </row>
    <row r="158" spans="1:4" x14ac:dyDescent="0.2">
      <c r="A158" s="14">
        <v>41122</v>
      </c>
      <c r="B158" s="15">
        <f>VLOOKUP(Table2[[#This Row],[Date]],'DB LEI'!$A:$F,5)</f>
        <v>88.7</v>
      </c>
      <c r="C158" s="15">
        <f>VLOOKUP(Table2[[#This Row],[Date]],'DB LEI'!$A:$F,5)</f>
        <v>88.7</v>
      </c>
      <c r="D158" s="15">
        <f>VLOOKUP(Table2[[#This Row],[Date]],'DB LEI'!$A:$F,6)</f>
        <v>65.099999999999994</v>
      </c>
    </row>
    <row r="159" spans="1:4" x14ac:dyDescent="0.2">
      <c r="A159" s="14">
        <v>41153</v>
      </c>
      <c r="B159" s="15">
        <f>VLOOKUP(Table2[[#This Row],[Date]],'DB LEI'!$A:$F,5)</f>
        <v>85.7</v>
      </c>
      <c r="C159" s="15">
        <f>VLOOKUP(Table2[[#This Row],[Date]],'DB LEI'!$A:$F,5)</f>
        <v>85.7</v>
      </c>
      <c r="D159" s="15">
        <f>VLOOKUP(Table2[[#This Row],[Date]],'DB LEI'!$A:$F,6)</f>
        <v>73.5</v>
      </c>
    </row>
    <row r="160" spans="1:4" x14ac:dyDescent="0.2">
      <c r="A160" s="14">
        <v>41183</v>
      </c>
      <c r="B160" s="15">
        <f>VLOOKUP(Table2[[#This Row],[Date]],'DB LEI'!$A:$F,5)</f>
        <v>88.1</v>
      </c>
      <c r="C160" s="15">
        <f>VLOOKUP(Table2[[#This Row],[Date]],'DB LEI'!$A:$F,5)</f>
        <v>88.1</v>
      </c>
      <c r="D160" s="15">
        <f>VLOOKUP(Table2[[#This Row],[Date]],'DB LEI'!$A:$F,6)</f>
        <v>79</v>
      </c>
    </row>
    <row r="161" spans="1:4" x14ac:dyDescent="0.2">
      <c r="A161" s="14">
        <v>41214</v>
      </c>
      <c r="B161" s="15">
        <f>VLOOKUP(Table2[[#This Row],[Date]],'DB LEI'!$A:$F,5)</f>
        <v>90.6</v>
      </c>
      <c r="C161" s="15">
        <f>VLOOKUP(Table2[[#This Row],[Date]],'DB LEI'!$A:$F,5)</f>
        <v>90.6</v>
      </c>
      <c r="D161" s="15">
        <f>VLOOKUP(Table2[[#This Row],[Date]],'DB LEI'!$A:$F,6)</f>
        <v>77.7</v>
      </c>
    </row>
    <row r="162" spans="1:4" x14ac:dyDescent="0.2">
      <c r="A162" s="14">
        <v>41244</v>
      </c>
      <c r="B162" s="15">
        <f>VLOOKUP(Table2[[#This Row],[Date]],'DB LEI'!$A:$F,5)</f>
        <v>87</v>
      </c>
      <c r="C162" s="15">
        <f>VLOOKUP(Table2[[#This Row],[Date]],'DB LEI'!$A:$F,5)</f>
        <v>87</v>
      </c>
      <c r="D162" s="15">
        <f>VLOOKUP(Table2[[#This Row],[Date]],'DB LEI'!$A:$F,6)</f>
        <v>63.8</v>
      </c>
    </row>
    <row r="163" spans="1:4" x14ac:dyDescent="0.2">
      <c r="A163" s="14">
        <v>41275</v>
      </c>
      <c r="B163" s="15">
        <f>VLOOKUP(Table2[[#This Row],[Date]],'DB LEI'!$A:$F,5)</f>
        <v>85</v>
      </c>
      <c r="C163" s="15">
        <f>VLOOKUP(Table2[[#This Row],[Date]],'DB LEI'!$A:$F,5)</f>
        <v>85</v>
      </c>
      <c r="D163" s="15">
        <f>VLOOKUP(Table2[[#This Row],[Date]],'DB LEI'!$A:$F,6)</f>
        <v>66.599999999999994</v>
      </c>
    </row>
    <row r="164" spans="1:4" x14ac:dyDescent="0.2">
      <c r="A164" s="14">
        <v>41306</v>
      </c>
      <c r="B164" s="15">
        <f>VLOOKUP(Table2[[#This Row],[Date]],'DB LEI'!$A:$F,5)</f>
        <v>89</v>
      </c>
      <c r="C164" s="15">
        <f>VLOOKUP(Table2[[#This Row],[Date]],'DB LEI'!$A:$F,5)</f>
        <v>89</v>
      </c>
      <c r="D164" s="15">
        <f>VLOOKUP(Table2[[#This Row],[Date]],'DB LEI'!$A:$F,6)</f>
        <v>70.2</v>
      </c>
    </row>
    <row r="165" spans="1:4" x14ac:dyDescent="0.2">
      <c r="A165" s="14">
        <v>41334</v>
      </c>
      <c r="B165" s="15">
        <f>VLOOKUP(Table2[[#This Row],[Date]],'DB LEI'!$A:$F,5)</f>
        <v>90.7</v>
      </c>
      <c r="C165" s="15">
        <f>VLOOKUP(Table2[[#This Row],[Date]],'DB LEI'!$A:$F,5)</f>
        <v>90.7</v>
      </c>
      <c r="D165" s="15">
        <f>VLOOKUP(Table2[[#This Row],[Date]],'DB LEI'!$A:$F,6)</f>
        <v>70.8</v>
      </c>
    </row>
    <row r="166" spans="1:4" x14ac:dyDescent="0.2">
      <c r="A166" s="14">
        <v>41365</v>
      </c>
      <c r="B166" s="15">
        <f>VLOOKUP(Table2[[#This Row],[Date]],'DB LEI'!$A:$F,5)</f>
        <v>89.9</v>
      </c>
      <c r="C166" s="15">
        <f>VLOOKUP(Table2[[#This Row],[Date]],'DB LEI'!$A:$F,5)</f>
        <v>89.9</v>
      </c>
      <c r="D166" s="15">
        <f>VLOOKUP(Table2[[#This Row],[Date]],'DB LEI'!$A:$F,6)</f>
        <v>67.8</v>
      </c>
    </row>
    <row r="167" spans="1:4" x14ac:dyDescent="0.2">
      <c r="A167" s="14">
        <v>41395</v>
      </c>
      <c r="B167" s="15">
        <f>VLOOKUP(Table2[[#This Row],[Date]],'DB LEI'!$A:$F,5)</f>
        <v>98</v>
      </c>
      <c r="C167" s="15">
        <f>VLOOKUP(Table2[[#This Row],[Date]],'DB LEI'!$A:$F,5)</f>
        <v>98</v>
      </c>
      <c r="D167" s="15">
        <f>VLOOKUP(Table2[[#This Row],[Date]],'DB LEI'!$A:$F,6)</f>
        <v>75.8</v>
      </c>
    </row>
    <row r="168" spans="1:4" x14ac:dyDescent="0.2">
      <c r="A168" s="14">
        <v>41426</v>
      </c>
      <c r="B168" s="15">
        <f>VLOOKUP(Table2[[#This Row],[Date]],'DB LEI'!$A:$F,5)</f>
        <v>93.8</v>
      </c>
      <c r="C168" s="15">
        <f>VLOOKUP(Table2[[#This Row],[Date]],'DB LEI'!$A:$F,5)</f>
        <v>93.8</v>
      </c>
      <c r="D168" s="15">
        <f>VLOOKUP(Table2[[#This Row],[Date]],'DB LEI'!$A:$F,6)</f>
        <v>77.8</v>
      </c>
    </row>
    <row r="169" spans="1:4" x14ac:dyDescent="0.2">
      <c r="A169" s="14">
        <v>41456</v>
      </c>
      <c r="B169" s="15">
        <f>VLOOKUP(Table2[[#This Row],[Date]],'DB LEI'!$A:$F,5)</f>
        <v>98.6</v>
      </c>
      <c r="C169" s="15">
        <f>VLOOKUP(Table2[[#This Row],[Date]],'DB LEI'!$A:$F,5)</f>
        <v>98.6</v>
      </c>
      <c r="D169" s="15">
        <f>VLOOKUP(Table2[[#This Row],[Date]],'DB LEI'!$A:$F,6)</f>
        <v>76.5</v>
      </c>
    </row>
    <row r="170" spans="1:4" x14ac:dyDescent="0.2">
      <c r="A170" s="14">
        <v>41487</v>
      </c>
      <c r="B170" s="15">
        <f>VLOOKUP(Table2[[#This Row],[Date]],'DB LEI'!$A:$F,5)</f>
        <v>95.2</v>
      </c>
      <c r="C170" s="15">
        <f>VLOOKUP(Table2[[#This Row],[Date]],'DB LEI'!$A:$F,5)</f>
        <v>95.2</v>
      </c>
      <c r="D170" s="15">
        <f>VLOOKUP(Table2[[#This Row],[Date]],'DB LEI'!$A:$F,6)</f>
        <v>73.7</v>
      </c>
    </row>
    <row r="171" spans="1:4" x14ac:dyDescent="0.2">
      <c r="A171" s="14">
        <v>41518</v>
      </c>
      <c r="B171" s="15">
        <f>VLOOKUP(Table2[[#This Row],[Date]],'DB LEI'!$A:$F,5)</f>
        <v>92.6</v>
      </c>
      <c r="C171" s="15">
        <f>VLOOKUP(Table2[[#This Row],[Date]],'DB LEI'!$A:$F,5)</f>
        <v>92.6</v>
      </c>
      <c r="D171" s="15">
        <f>VLOOKUP(Table2[[#This Row],[Date]],'DB LEI'!$A:$F,6)</f>
        <v>67.8</v>
      </c>
    </row>
    <row r="172" spans="1:4" x14ac:dyDescent="0.2">
      <c r="A172" s="14">
        <v>41548</v>
      </c>
      <c r="B172" s="15">
        <f>VLOOKUP(Table2[[#This Row],[Date]],'DB LEI'!$A:$F,5)</f>
        <v>89.9</v>
      </c>
      <c r="C172" s="15">
        <f>VLOOKUP(Table2[[#This Row],[Date]],'DB LEI'!$A:$F,5)</f>
        <v>89.9</v>
      </c>
      <c r="D172" s="15">
        <f>VLOOKUP(Table2[[#This Row],[Date]],'DB LEI'!$A:$F,6)</f>
        <v>62.5</v>
      </c>
    </row>
    <row r="173" spans="1:4" x14ac:dyDescent="0.2">
      <c r="A173" s="14">
        <v>41579</v>
      </c>
      <c r="B173" s="15">
        <f>VLOOKUP(Table2[[#This Row],[Date]],'DB LEI'!$A:$F,5)</f>
        <v>88</v>
      </c>
      <c r="C173" s="15">
        <f>VLOOKUP(Table2[[#This Row],[Date]],'DB LEI'!$A:$F,5)</f>
        <v>88</v>
      </c>
      <c r="D173" s="15">
        <f>VLOOKUP(Table2[[#This Row],[Date]],'DB LEI'!$A:$F,6)</f>
        <v>66.8</v>
      </c>
    </row>
    <row r="174" spans="1:4" x14ac:dyDescent="0.2">
      <c r="A174" s="14">
        <v>41609</v>
      </c>
      <c r="B174" s="15">
        <f>VLOOKUP(Table2[[#This Row],[Date]],'DB LEI'!$A:$F,5)</f>
        <v>98.6</v>
      </c>
      <c r="C174" s="15">
        <f>VLOOKUP(Table2[[#This Row],[Date]],'DB LEI'!$A:$F,5)</f>
        <v>98.6</v>
      </c>
      <c r="D174" s="15">
        <f>VLOOKUP(Table2[[#This Row],[Date]],'DB LEI'!$A:$F,6)</f>
        <v>72.099999999999994</v>
      </c>
    </row>
    <row r="175" spans="1:4" x14ac:dyDescent="0.2">
      <c r="A175" s="14">
        <v>41640</v>
      </c>
      <c r="B175" s="15">
        <f>VLOOKUP(Table2[[#This Row],[Date]],'DB LEI'!$A:$F,5)</f>
        <v>96.8</v>
      </c>
      <c r="C175" s="15">
        <f>VLOOKUP(Table2[[#This Row],[Date]],'DB LEI'!$A:$F,5)</f>
        <v>96.8</v>
      </c>
      <c r="D175" s="15">
        <f>VLOOKUP(Table2[[#This Row],[Date]],'DB LEI'!$A:$F,6)</f>
        <v>71.2</v>
      </c>
    </row>
    <row r="176" spans="1:4" x14ac:dyDescent="0.2">
      <c r="A176" s="14">
        <v>41671</v>
      </c>
      <c r="B176" s="15">
        <f>VLOOKUP(Table2[[#This Row],[Date]],'DB LEI'!$A:$F,5)</f>
        <v>95.4</v>
      </c>
      <c r="C176" s="15">
        <f>VLOOKUP(Table2[[#This Row],[Date]],'DB LEI'!$A:$F,5)</f>
        <v>95.4</v>
      </c>
      <c r="D176" s="15">
        <f>VLOOKUP(Table2[[#This Row],[Date]],'DB LEI'!$A:$F,6)</f>
        <v>72.7</v>
      </c>
    </row>
    <row r="177" spans="1:4" x14ac:dyDescent="0.2">
      <c r="A177" s="14">
        <v>41699</v>
      </c>
      <c r="B177" s="15">
        <f>VLOOKUP(Table2[[#This Row],[Date]],'DB LEI'!$A:$F,5)</f>
        <v>95.7</v>
      </c>
      <c r="C177" s="15">
        <f>VLOOKUP(Table2[[#This Row],[Date]],'DB LEI'!$A:$F,5)</f>
        <v>95.7</v>
      </c>
      <c r="D177" s="15">
        <f>VLOOKUP(Table2[[#This Row],[Date]],'DB LEI'!$A:$F,6)</f>
        <v>70</v>
      </c>
    </row>
    <row r="178" spans="1:4" x14ac:dyDescent="0.2">
      <c r="A178" s="14">
        <v>41730</v>
      </c>
      <c r="B178" s="15">
        <f>VLOOKUP(Table2[[#This Row],[Date]],'DB LEI'!$A:$F,5)</f>
        <v>98.7</v>
      </c>
      <c r="C178" s="15">
        <f>VLOOKUP(Table2[[#This Row],[Date]],'DB LEI'!$A:$F,5)</f>
        <v>98.7</v>
      </c>
      <c r="D178" s="15">
        <f>VLOOKUP(Table2[[#This Row],[Date]],'DB LEI'!$A:$F,6)</f>
        <v>74.7</v>
      </c>
    </row>
    <row r="179" spans="1:4" x14ac:dyDescent="0.2">
      <c r="A179" s="14">
        <v>41760</v>
      </c>
      <c r="B179" s="15">
        <f>VLOOKUP(Table2[[#This Row],[Date]],'DB LEI'!$A:$F,5)</f>
        <v>94.5</v>
      </c>
      <c r="C179" s="15">
        <f>VLOOKUP(Table2[[#This Row],[Date]],'DB LEI'!$A:$F,5)</f>
        <v>94.5</v>
      </c>
      <c r="D179" s="15">
        <f>VLOOKUP(Table2[[#This Row],[Date]],'DB LEI'!$A:$F,6)</f>
        <v>73.7</v>
      </c>
    </row>
    <row r="180" spans="1:4" x14ac:dyDescent="0.2">
      <c r="A180" s="14">
        <v>41791</v>
      </c>
      <c r="B180" s="15">
        <f>VLOOKUP(Table2[[#This Row],[Date]],'DB LEI'!$A:$F,5)</f>
        <v>96.6</v>
      </c>
      <c r="C180" s="15">
        <f>VLOOKUP(Table2[[#This Row],[Date]],'DB LEI'!$A:$F,5)</f>
        <v>96.6</v>
      </c>
      <c r="D180" s="15">
        <f>VLOOKUP(Table2[[#This Row],[Date]],'DB LEI'!$A:$F,6)</f>
        <v>73.5</v>
      </c>
    </row>
    <row r="181" spans="1:4" x14ac:dyDescent="0.2">
      <c r="A181" s="14">
        <v>41821</v>
      </c>
      <c r="B181" s="15">
        <f>VLOOKUP(Table2[[#This Row],[Date]],'DB LEI'!$A:$F,5)</f>
        <v>97.4</v>
      </c>
      <c r="C181" s="15">
        <f>VLOOKUP(Table2[[#This Row],[Date]],'DB LEI'!$A:$F,5)</f>
        <v>97.4</v>
      </c>
      <c r="D181" s="15">
        <f>VLOOKUP(Table2[[#This Row],[Date]],'DB LEI'!$A:$F,6)</f>
        <v>71.8</v>
      </c>
    </row>
    <row r="182" spans="1:4" x14ac:dyDescent="0.2">
      <c r="A182" s="14">
        <v>41852</v>
      </c>
      <c r="B182" s="15">
        <f>VLOOKUP(Table2[[#This Row],[Date]],'DB LEI'!$A:$F,5)</f>
        <v>99.8</v>
      </c>
      <c r="C182" s="15">
        <f>VLOOKUP(Table2[[#This Row],[Date]],'DB LEI'!$A:$F,5)</f>
        <v>99.8</v>
      </c>
      <c r="D182" s="15">
        <f>VLOOKUP(Table2[[#This Row],[Date]],'DB LEI'!$A:$F,6)</f>
        <v>71.3</v>
      </c>
    </row>
    <row r="183" spans="1:4" x14ac:dyDescent="0.2">
      <c r="A183" s="14">
        <v>41883</v>
      </c>
      <c r="B183" s="15">
        <f>VLOOKUP(Table2[[#This Row],[Date]],'DB LEI'!$A:$F,5)</f>
        <v>98.9</v>
      </c>
      <c r="C183" s="15">
        <f>VLOOKUP(Table2[[#This Row],[Date]],'DB LEI'!$A:$F,5)</f>
        <v>98.9</v>
      </c>
      <c r="D183" s="15">
        <f>VLOOKUP(Table2[[#This Row],[Date]],'DB LEI'!$A:$F,6)</f>
        <v>75.400000000000006</v>
      </c>
    </row>
    <row r="184" spans="1:4" x14ac:dyDescent="0.2">
      <c r="A184" s="14">
        <v>41913</v>
      </c>
      <c r="B184" s="15">
        <f>VLOOKUP(Table2[[#This Row],[Date]],'DB LEI'!$A:$F,5)</f>
        <v>98.3</v>
      </c>
      <c r="C184" s="15">
        <f>VLOOKUP(Table2[[#This Row],[Date]],'DB LEI'!$A:$F,5)</f>
        <v>98.3</v>
      </c>
      <c r="D184" s="15">
        <f>VLOOKUP(Table2[[#This Row],[Date]],'DB LEI'!$A:$F,6)</f>
        <v>79.599999999999994</v>
      </c>
    </row>
    <row r="185" spans="1:4" x14ac:dyDescent="0.2">
      <c r="A185" s="14">
        <v>41944</v>
      </c>
      <c r="B185" s="15">
        <f>VLOOKUP(Table2[[#This Row],[Date]],'DB LEI'!$A:$F,5)</f>
        <v>102.7</v>
      </c>
      <c r="C185" s="15">
        <f>VLOOKUP(Table2[[#This Row],[Date]],'DB LEI'!$A:$F,5)</f>
        <v>102.7</v>
      </c>
      <c r="D185" s="15">
        <f>VLOOKUP(Table2[[#This Row],[Date]],'DB LEI'!$A:$F,6)</f>
        <v>79.900000000000006</v>
      </c>
    </row>
    <row r="186" spans="1:4" x14ac:dyDescent="0.2">
      <c r="A186" s="14">
        <v>41974</v>
      </c>
      <c r="B186" s="15">
        <f>VLOOKUP(Table2[[#This Row],[Date]],'DB LEI'!$A:$F,5)</f>
        <v>104.8</v>
      </c>
      <c r="C186" s="15">
        <f>VLOOKUP(Table2[[#This Row],[Date]],'DB LEI'!$A:$F,5)</f>
        <v>104.8</v>
      </c>
      <c r="D186" s="15">
        <f>VLOOKUP(Table2[[#This Row],[Date]],'DB LEI'!$A:$F,6)</f>
        <v>86.4</v>
      </c>
    </row>
    <row r="187" spans="1:4" x14ac:dyDescent="0.2">
      <c r="A187" s="14">
        <v>42005</v>
      </c>
      <c r="B187" s="15">
        <f>VLOOKUP(Table2[[#This Row],[Date]],'DB LEI'!$A:$F,5)</f>
        <v>109.3</v>
      </c>
      <c r="C187" s="15">
        <f>VLOOKUP(Table2[[#This Row],[Date]],'DB LEI'!$A:$F,5)</f>
        <v>109.3</v>
      </c>
      <c r="D187" s="15">
        <f>VLOOKUP(Table2[[#This Row],[Date]],'DB LEI'!$A:$F,6)</f>
        <v>91</v>
      </c>
    </row>
    <row r="188" spans="1:4" x14ac:dyDescent="0.2">
      <c r="A188" s="14">
        <v>42036</v>
      </c>
      <c r="B188" s="15">
        <f>VLOOKUP(Table2[[#This Row],[Date]],'DB LEI'!$A:$F,5)</f>
        <v>106.9</v>
      </c>
      <c r="C188" s="15">
        <f>VLOOKUP(Table2[[#This Row],[Date]],'DB LEI'!$A:$F,5)</f>
        <v>106.9</v>
      </c>
      <c r="D188" s="15">
        <f>VLOOKUP(Table2[[#This Row],[Date]],'DB LEI'!$A:$F,6)</f>
        <v>88</v>
      </c>
    </row>
    <row r="189" spans="1:4" x14ac:dyDescent="0.2">
      <c r="A189" s="14">
        <v>42064</v>
      </c>
      <c r="B189" s="15">
        <f>VLOOKUP(Table2[[#This Row],[Date]],'DB LEI'!$A:$F,5)</f>
        <v>105</v>
      </c>
      <c r="C189" s="15">
        <f>VLOOKUP(Table2[[#This Row],[Date]],'DB LEI'!$A:$F,5)</f>
        <v>105</v>
      </c>
      <c r="D189" s="15">
        <f>VLOOKUP(Table2[[#This Row],[Date]],'DB LEI'!$A:$F,6)</f>
        <v>85.3</v>
      </c>
    </row>
    <row r="190" spans="1:4" x14ac:dyDescent="0.2">
      <c r="A190" s="14">
        <v>42095</v>
      </c>
      <c r="B190" s="15">
        <f>VLOOKUP(Table2[[#This Row],[Date]],'DB LEI'!$A:$F,5)</f>
        <v>107</v>
      </c>
      <c r="C190" s="15">
        <f>VLOOKUP(Table2[[#This Row],[Date]],'DB LEI'!$A:$F,5)</f>
        <v>107</v>
      </c>
      <c r="D190" s="15">
        <f>VLOOKUP(Table2[[#This Row],[Date]],'DB LEI'!$A:$F,6)</f>
        <v>88.8</v>
      </c>
    </row>
    <row r="191" spans="1:4" x14ac:dyDescent="0.2">
      <c r="A191" s="14">
        <v>42125</v>
      </c>
      <c r="B191" s="15">
        <f>VLOOKUP(Table2[[#This Row],[Date]],'DB LEI'!$A:$F,5)</f>
        <v>100.8</v>
      </c>
      <c r="C191" s="15">
        <f>VLOOKUP(Table2[[#This Row],[Date]],'DB LEI'!$A:$F,5)</f>
        <v>100.8</v>
      </c>
      <c r="D191" s="15">
        <f>VLOOKUP(Table2[[#This Row],[Date]],'DB LEI'!$A:$F,6)</f>
        <v>84.2</v>
      </c>
    </row>
    <row r="192" spans="1:4" x14ac:dyDescent="0.2">
      <c r="A192" s="14">
        <v>42156</v>
      </c>
      <c r="B192" s="15">
        <f>VLOOKUP(Table2[[#This Row],[Date]],'DB LEI'!$A:$F,5)</f>
        <v>108.9</v>
      </c>
      <c r="C192" s="15">
        <f>VLOOKUP(Table2[[#This Row],[Date]],'DB LEI'!$A:$F,5)</f>
        <v>108.9</v>
      </c>
      <c r="D192" s="15">
        <f>VLOOKUP(Table2[[#This Row],[Date]],'DB LEI'!$A:$F,6)</f>
        <v>87.8</v>
      </c>
    </row>
    <row r="193" spans="1:4" x14ac:dyDescent="0.2">
      <c r="A193" s="14">
        <v>42186</v>
      </c>
      <c r="B193" s="15">
        <f>VLOOKUP(Table2[[#This Row],[Date]],'DB LEI'!$A:$F,5)</f>
        <v>107.2</v>
      </c>
      <c r="C193" s="15">
        <f>VLOOKUP(Table2[[#This Row],[Date]],'DB LEI'!$A:$F,5)</f>
        <v>107.2</v>
      </c>
      <c r="D193" s="15">
        <f>VLOOKUP(Table2[[#This Row],[Date]],'DB LEI'!$A:$F,6)</f>
        <v>84.1</v>
      </c>
    </row>
    <row r="194" spans="1:4" x14ac:dyDescent="0.2">
      <c r="A194" s="14">
        <v>42217</v>
      </c>
      <c r="B194" s="15">
        <f>VLOOKUP(Table2[[#This Row],[Date]],'DB LEI'!$A:$F,5)</f>
        <v>105.1</v>
      </c>
      <c r="C194" s="15">
        <f>VLOOKUP(Table2[[#This Row],[Date]],'DB LEI'!$A:$F,5)</f>
        <v>105.1</v>
      </c>
      <c r="D194" s="15">
        <f>VLOOKUP(Table2[[#This Row],[Date]],'DB LEI'!$A:$F,6)</f>
        <v>83.4</v>
      </c>
    </row>
    <row r="195" spans="1:4" x14ac:dyDescent="0.2">
      <c r="A195" s="14">
        <v>42248</v>
      </c>
      <c r="B195" s="15">
        <f>VLOOKUP(Table2[[#This Row],[Date]],'DB LEI'!$A:$F,5)</f>
        <v>101.2</v>
      </c>
      <c r="C195" s="15">
        <f>VLOOKUP(Table2[[#This Row],[Date]],'DB LEI'!$A:$F,5)</f>
        <v>101.2</v>
      </c>
      <c r="D195" s="15">
        <f>VLOOKUP(Table2[[#This Row],[Date]],'DB LEI'!$A:$F,6)</f>
        <v>78.2</v>
      </c>
    </row>
    <row r="196" spans="1:4" x14ac:dyDescent="0.2">
      <c r="A196" s="14">
        <v>42278</v>
      </c>
      <c r="B196" s="15">
        <f>VLOOKUP(Table2[[#This Row],[Date]],'DB LEI'!$A:$F,5)</f>
        <v>102.3</v>
      </c>
      <c r="C196" s="15">
        <f>VLOOKUP(Table2[[#This Row],[Date]],'DB LEI'!$A:$F,5)</f>
        <v>102.3</v>
      </c>
      <c r="D196" s="15">
        <f>VLOOKUP(Table2[[#This Row],[Date]],'DB LEI'!$A:$F,6)</f>
        <v>82.1</v>
      </c>
    </row>
    <row r="197" spans="1:4" x14ac:dyDescent="0.2">
      <c r="A197" s="14">
        <v>42309</v>
      </c>
      <c r="B197" s="15">
        <f>VLOOKUP(Table2[[#This Row],[Date]],'DB LEI'!$A:$F,5)</f>
        <v>104.3</v>
      </c>
      <c r="C197" s="15">
        <f>VLOOKUP(Table2[[#This Row],[Date]],'DB LEI'!$A:$F,5)</f>
        <v>104.3</v>
      </c>
      <c r="D197" s="15">
        <f>VLOOKUP(Table2[[#This Row],[Date]],'DB LEI'!$A:$F,6)</f>
        <v>82.9</v>
      </c>
    </row>
    <row r="198" spans="1:4" x14ac:dyDescent="0.2">
      <c r="A198" s="14">
        <v>42339</v>
      </c>
      <c r="B198" s="15">
        <f>VLOOKUP(Table2[[#This Row],[Date]],'DB LEI'!$A:$F,5)</f>
        <v>108.1</v>
      </c>
      <c r="C198" s="15">
        <f>VLOOKUP(Table2[[#This Row],[Date]],'DB LEI'!$A:$F,5)</f>
        <v>108.1</v>
      </c>
      <c r="D198" s="15">
        <f>VLOOKUP(Table2[[#This Row],[Date]],'DB LEI'!$A:$F,6)</f>
        <v>82.7</v>
      </c>
    </row>
    <row r="199" spans="1:4" x14ac:dyDescent="0.2">
      <c r="A199" s="14">
        <v>42370</v>
      </c>
      <c r="B199" s="15">
        <f>VLOOKUP(Table2[[#This Row],[Date]],'DB LEI'!$A:$F,5)</f>
        <v>106.4</v>
      </c>
      <c r="C199" s="15">
        <f>VLOOKUP(Table2[[#This Row],[Date]],'DB LEI'!$A:$F,5)</f>
        <v>106.4</v>
      </c>
      <c r="D199" s="15">
        <f>VLOOKUP(Table2[[#This Row],[Date]],'DB LEI'!$A:$F,6)</f>
        <v>82.7</v>
      </c>
    </row>
    <row r="200" spans="1:4" x14ac:dyDescent="0.2">
      <c r="A200" s="14">
        <v>42401</v>
      </c>
      <c r="B200" s="15">
        <f>VLOOKUP(Table2[[#This Row],[Date]],'DB LEI'!$A:$F,5)</f>
        <v>106.8</v>
      </c>
      <c r="C200" s="15">
        <f>VLOOKUP(Table2[[#This Row],[Date]],'DB LEI'!$A:$F,5)</f>
        <v>106.8</v>
      </c>
      <c r="D200" s="15">
        <f>VLOOKUP(Table2[[#This Row],[Date]],'DB LEI'!$A:$F,6)</f>
        <v>81.900000000000006</v>
      </c>
    </row>
    <row r="201" spans="1:4" x14ac:dyDescent="0.2">
      <c r="A201" s="14">
        <v>42430</v>
      </c>
      <c r="B201" s="15">
        <f>VLOOKUP(Table2[[#This Row],[Date]],'DB LEI'!$A:$F,5)</f>
        <v>105.6</v>
      </c>
      <c r="C201" s="15">
        <f>VLOOKUP(Table2[[#This Row],[Date]],'DB LEI'!$A:$F,5)</f>
        <v>105.6</v>
      </c>
      <c r="D201" s="15">
        <f>VLOOKUP(Table2[[#This Row],[Date]],'DB LEI'!$A:$F,6)</f>
        <v>81.5</v>
      </c>
    </row>
    <row r="202" spans="1:4" x14ac:dyDescent="0.2">
      <c r="A202" s="14">
        <v>42461</v>
      </c>
      <c r="B202" s="15">
        <f>VLOOKUP(Table2[[#This Row],[Date]],'DB LEI'!$A:$F,5)</f>
        <v>106.7</v>
      </c>
      <c r="C202" s="15">
        <f>VLOOKUP(Table2[[#This Row],[Date]],'DB LEI'!$A:$F,5)</f>
        <v>106.7</v>
      </c>
      <c r="D202" s="15">
        <f>VLOOKUP(Table2[[#This Row],[Date]],'DB LEI'!$A:$F,6)</f>
        <v>77.599999999999994</v>
      </c>
    </row>
    <row r="203" spans="1:4" x14ac:dyDescent="0.2">
      <c r="A203" s="14">
        <v>42491</v>
      </c>
      <c r="B203" s="15">
        <f>VLOOKUP(Table2[[#This Row],[Date]],'DB LEI'!$A:$F,5)</f>
        <v>109.9</v>
      </c>
      <c r="C203" s="15">
        <f>VLOOKUP(Table2[[#This Row],[Date]],'DB LEI'!$A:$F,5)</f>
        <v>109.9</v>
      </c>
      <c r="D203" s="15">
        <f>VLOOKUP(Table2[[#This Row],[Date]],'DB LEI'!$A:$F,6)</f>
        <v>84.9</v>
      </c>
    </row>
    <row r="204" spans="1:4" x14ac:dyDescent="0.2">
      <c r="A204" s="14">
        <v>42522</v>
      </c>
      <c r="B204" s="15">
        <f>VLOOKUP(Table2[[#This Row],[Date]],'DB LEI'!$A:$F,5)</f>
        <v>110.8</v>
      </c>
      <c r="C204" s="15">
        <f>VLOOKUP(Table2[[#This Row],[Date]],'DB LEI'!$A:$F,5)</f>
        <v>110.8</v>
      </c>
      <c r="D204" s="15">
        <f>VLOOKUP(Table2[[#This Row],[Date]],'DB LEI'!$A:$F,6)</f>
        <v>82.4</v>
      </c>
    </row>
    <row r="205" spans="1:4" x14ac:dyDescent="0.2">
      <c r="A205" s="14">
        <v>42552</v>
      </c>
      <c r="B205" s="15">
        <f>VLOOKUP(Table2[[#This Row],[Date]],'DB LEI'!$A:$F,5)</f>
        <v>109</v>
      </c>
      <c r="C205" s="15">
        <f>VLOOKUP(Table2[[#This Row],[Date]],'DB LEI'!$A:$F,5)</f>
        <v>109</v>
      </c>
      <c r="D205" s="15">
        <f>VLOOKUP(Table2[[#This Row],[Date]],'DB LEI'!$A:$F,6)</f>
        <v>77.8</v>
      </c>
    </row>
    <row r="206" spans="1:4" x14ac:dyDescent="0.2">
      <c r="A206" s="14">
        <v>42583</v>
      </c>
      <c r="B206" s="15">
        <f>VLOOKUP(Table2[[#This Row],[Date]],'DB LEI'!$A:$F,5)</f>
        <v>107</v>
      </c>
      <c r="C206" s="15">
        <f>VLOOKUP(Table2[[#This Row],[Date]],'DB LEI'!$A:$F,5)</f>
        <v>107</v>
      </c>
      <c r="D206" s="15">
        <f>VLOOKUP(Table2[[#This Row],[Date]],'DB LEI'!$A:$F,6)</f>
        <v>78.7</v>
      </c>
    </row>
    <row r="207" spans="1:4" x14ac:dyDescent="0.2">
      <c r="A207" s="14">
        <v>42614</v>
      </c>
      <c r="B207" s="15">
        <f>VLOOKUP(Table2[[#This Row],[Date]],'DB LEI'!$A:$F,5)</f>
        <v>104.2</v>
      </c>
      <c r="C207" s="15">
        <f>VLOOKUP(Table2[[#This Row],[Date]],'DB LEI'!$A:$F,5)</f>
        <v>104.2</v>
      </c>
      <c r="D207" s="15">
        <f>VLOOKUP(Table2[[#This Row],[Date]],'DB LEI'!$A:$F,6)</f>
        <v>82.7</v>
      </c>
    </row>
    <row r="208" spans="1:4" x14ac:dyDescent="0.2">
      <c r="A208" s="14">
        <v>42644</v>
      </c>
      <c r="B208" s="15">
        <f>VLOOKUP(Table2[[#This Row],[Date]],'DB LEI'!$A:$F,5)</f>
        <v>103.2</v>
      </c>
      <c r="C208" s="15">
        <f>VLOOKUP(Table2[[#This Row],[Date]],'DB LEI'!$A:$F,5)</f>
        <v>103.2</v>
      </c>
      <c r="D208" s="15">
        <f>VLOOKUP(Table2[[#This Row],[Date]],'DB LEI'!$A:$F,6)</f>
        <v>76.8</v>
      </c>
    </row>
    <row r="209" spans="1:4" x14ac:dyDescent="0.2">
      <c r="A209" s="14">
        <v>42675</v>
      </c>
      <c r="B209" s="15">
        <f>VLOOKUP(Table2[[#This Row],[Date]],'DB LEI'!$A:$F,5)</f>
        <v>107.3</v>
      </c>
      <c r="C209" s="15">
        <f>VLOOKUP(Table2[[#This Row],[Date]],'DB LEI'!$A:$F,5)</f>
        <v>107.3</v>
      </c>
      <c r="D209" s="15">
        <f>VLOOKUP(Table2[[#This Row],[Date]],'DB LEI'!$A:$F,6)</f>
        <v>85.2</v>
      </c>
    </row>
    <row r="210" spans="1:4" x14ac:dyDescent="0.2">
      <c r="A210" s="14">
        <v>42705</v>
      </c>
      <c r="B210" s="15">
        <f>VLOOKUP(Table2[[#This Row],[Date]],'DB LEI'!$A:$F,5)</f>
        <v>111.9</v>
      </c>
      <c r="C210" s="15">
        <f>VLOOKUP(Table2[[#This Row],[Date]],'DB LEI'!$A:$F,5)</f>
        <v>111.9</v>
      </c>
      <c r="D210" s="15">
        <f>VLOOKUP(Table2[[#This Row],[Date]],'DB LEI'!$A:$F,6)</f>
        <v>89.5</v>
      </c>
    </row>
    <row r="211" spans="1:4" x14ac:dyDescent="0.2">
      <c r="A211" s="14">
        <v>42736</v>
      </c>
      <c r="B211" s="15">
        <f>VLOOKUP(Table2[[#This Row],[Date]],'DB LEI'!$A:$F,5)</f>
        <v>111.3</v>
      </c>
      <c r="C211" s="15">
        <f>VLOOKUP(Table2[[#This Row],[Date]],'DB LEI'!$A:$F,5)</f>
        <v>111.3</v>
      </c>
      <c r="D211" s="15">
        <f>VLOOKUP(Table2[[#This Row],[Date]],'DB LEI'!$A:$F,6)</f>
        <v>90.3</v>
      </c>
    </row>
    <row r="212" spans="1:4" x14ac:dyDescent="0.2">
      <c r="A212" s="14">
        <v>42767</v>
      </c>
      <c r="B212" s="15">
        <f>VLOOKUP(Table2[[#This Row],[Date]],'DB LEI'!$A:$F,5)</f>
        <v>111.5</v>
      </c>
      <c r="C212" s="15">
        <f>VLOOKUP(Table2[[#This Row],[Date]],'DB LEI'!$A:$F,5)</f>
        <v>111.5</v>
      </c>
      <c r="D212" s="15">
        <f>VLOOKUP(Table2[[#This Row],[Date]],'DB LEI'!$A:$F,6)</f>
        <v>86.5</v>
      </c>
    </row>
    <row r="213" spans="1:4" x14ac:dyDescent="0.2">
      <c r="A213" s="14">
        <v>42795</v>
      </c>
      <c r="B213" s="15">
        <f>VLOOKUP(Table2[[#This Row],[Date]],'DB LEI'!$A:$F,5)</f>
        <v>113.2</v>
      </c>
      <c r="C213" s="15">
        <f>VLOOKUP(Table2[[#This Row],[Date]],'DB LEI'!$A:$F,5)</f>
        <v>113.2</v>
      </c>
      <c r="D213" s="15">
        <f>VLOOKUP(Table2[[#This Row],[Date]],'DB LEI'!$A:$F,6)</f>
        <v>86.5</v>
      </c>
    </row>
    <row r="214" spans="1:4" x14ac:dyDescent="0.2">
      <c r="A214" s="14">
        <v>42826</v>
      </c>
      <c r="B214" s="15">
        <f>VLOOKUP(Table2[[#This Row],[Date]],'DB LEI'!$A:$F,5)</f>
        <v>112.7</v>
      </c>
      <c r="C214" s="15">
        <f>VLOOKUP(Table2[[#This Row],[Date]],'DB LEI'!$A:$F,5)</f>
        <v>112.7</v>
      </c>
      <c r="D214" s="15">
        <f>VLOOKUP(Table2[[#This Row],[Date]],'DB LEI'!$A:$F,6)</f>
        <v>87</v>
      </c>
    </row>
    <row r="215" spans="1:4" x14ac:dyDescent="0.2">
      <c r="A215" s="14">
        <v>42856</v>
      </c>
      <c r="B215" s="15">
        <f>VLOOKUP(Table2[[#This Row],[Date]],'DB LEI'!$A:$F,5)</f>
        <v>111.7</v>
      </c>
      <c r="C215" s="15">
        <f>VLOOKUP(Table2[[#This Row],[Date]],'DB LEI'!$A:$F,5)</f>
        <v>111.7</v>
      </c>
      <c r="D215" s="15">
        <f>VLOOKUP(Table2[[#This Row],[Date]],'DB LEI'!$A:$F,6)</f>
        <v>87.7</v>
      </c>
    </row>
    <row r="216" spans="1:4" x14ac:dyDescent="0.2">
      <c r="A216" s="14">
        <v>42887</v>
      </c>
      <c r="B216" s="15">
        <f>VLOOKUP(Table2[[#This Row],[Date]],'DB LEI'!$A:$F,5)</f>
        <v>112.4</v>
      </c>
      <c r="C216" s="15">
        <f>VLOOKUP(Table2[[#This Row],[Date]],'DB LEI'!$A:$F,5)</f>
        <v>112.4</v>
      </c>
      <c r="D216" s="15">
        <f>VLOOKUP(Table2[[#This Row],[Date]],'DB LEI'!$A:$F,6)</f>
        <v>83.8</v>
      </c>
    </row>
    <row r="217" spans="1:4" x14ac:dyDescent="0.2">
      <c r="A217" s="14">
        <v>42917</v>
      </c>
      <c r="B217" s="15">
        <f>VLOOKUP(Table2[[#This Row],[Date]],'DB LEI'!$A:$F,5)</f>
        <v>113.4</v>
      </c>
      <c r="C217" s="15">
        <f>VLOOKUP(Table2[[#This Row],[Date]],'DB LEI'!$A:$F,5)</f>
        <v>113.4</v>
      </c>
      <c r="D217" s="15">
        <f>VLOOKUP(Table2[[#This Row],[Date]],'DB LEI'!$A:$F,6)</f>
        <v>80.5</v>
      </c>
    </row>
    <row r="218" spans="1:4" x14ac:dyDescent="0.2">
      <c r="A218" s="14">
        <v>42948</v>
      </c>
      <c r="B218" s="15">
        <f>VLOOKUP(Table2[[#This Row],[Date]],'DB LEI'!$A:$F,5)</f>
        <v>110.9</v>
      </c>
      <c r="C218" s="15">
        <f>VLOOKUP(Table2[[#This Row],[Date]],'DB LEI'!$A:$F,5)</f>
        <v>110.9</v>
      </c>
      <c r="D218" s="15">
        <f>VLOOKUP(Table2[[#This Row],[Date]],'DB LEI'!$A:$F,6)</f>
        <v>87.7</v>
      </c>
    </row>
    <row r="219" spans="1:4" x14ac:dyDescent="0.2">
      <c r="A219" s="14">
        <v>42979</v>
      </c>
      <c r="B219" s="15">
        <f>VLOOKUP(Table2[[#This Row],[Date]],'DB LEI'!$A:$F,5)</f>
        <v>111.7</v>
      </c>
      <c r="C219" s="15">
        <f>VLOOKUP(Table2[[#This Row],[Date]],'DB LEI'!$A:$F,5)</f>
        <v>111.7</v>
      </c>
      <c r="D219" s="15">
        <f>VLOOKUP(Table2[[#This Row],[Date]],'DB LEI'!$A:$F,6)</f>
        <v>84.4</v>
      </c>
    </row>
    <row r="220" spans="1:4" x14ac:dyDescent="0.2">
      <c r="A220" s="14">
        <v>43009</v>
      </c>
      <c r="B220" s="15">
        <f>VLOOKUP(Table2[[#This Row],[Date]],'DB LEI'!$A:$F,5)</f>
        <v>116.5</v>
      </c>
      <c r="C220" s="15">
        <f>VLOOKUP(Table2[[#This Row],[Date]],'DB LEI'!$A:$F,5)</f>
        <v>116.5</v>
      </c>
      <c r="D220" s="15">
        <f>VLOOKUP(Table2[[#This Row],[Date]],'DB LEI'!$A:$F,6)</f>
        <v>90.5</v>
      </c>
    </row>
    <row r="221" spans="1:4" x14ac:dyDescent="0.2">
      <c r="A221" s="14">
        <v>43040</v>
      </c>
      <c r="B221" s="15">
        <f>VLOOKUP(Table2[[#This Row],[Date]],'DB LEI'!$A:$F,5)</f>
        <v>113.5</v>
      </c>
      <c r="C221" s="15">
        <f>VLOOKUP(Table2[[#This Row],[Date]],'DB LEI'!$A:$F,5)</f>
        <v>113.5</v>
      </c>
      <c r="D221" s="15">
        <f>VLOOKUP(Table2[[#This Row],[Date]],'DB LEI'!$A:$F,6)</f>
        <v>88.9</v>
      </c>
    </row>
    <row r="222" spans="1:4" x14ac:dyDescent="0.2">
      <c r="A222" s="14">
        <v>43070</v>
      </c>
      <c r="B222" s="15">
        <f>VLOOKUP(Table2[[#This Row],[Date]],'DB LEI'!$A:$F,5)</f>
        <v>113.8</v>
      </c>
      <c r="C222" s="15">
        <f>VLOOKUP(Table2[[#This Row],[Date]],'DB LEI'!$A:$F,5)</f>
        <v>113.8</v>
      </c>
      <c r="D222" s="15">
        <f>VLOOKUP(Table2[[#This Row],[Date]],'DB LEI'!$A:$F,6)</f>
        <v>84.3</v>
      </c>
    </row>
    <row r="223" spans="1:4" x14ac:dyDescent="0.2">
      <c r="A223" s="14">
        <v>43101</v>
      </c>
      <c r="B223" s="15">
        <f>VLOOKUP(Table2[[#This Row],[Date]],'DB LEI'!$A:$F,5)</f>
        <v>110.5</v>
      </c>
      <c r="C223" s="15">
        <f>VLOOKUP(Table2[[#This Row],[Date]],'DB LEI'!$A:$F,5)</f>
        <v>110.5</v>
      </c>
      <c r="D223" s="15">
        <f>VLOOKUP(Table2[[#This Row],[Date]],'DB LEI'!$A:$F,6)</f>
        <v>86.3</v>
      </c>
    </row>
    <row r="224" spans="1:4" x14ac:dyDescent="0.2">
      <c r="A224" s="14">
        <v>43132</v>
      </c>
      <c r="B224" s="15">
        <f>VLOOKUP(Table2[[#This Row],[Date]],'DB LEI'!$A:$F,5)</f>
        <v>114.9</v>
      </c>
      <c r="C224" s="15">
        <f>VLOOKUP(Table2[[#This Row],[Date]],'DB LEI'!$A:$F,5)</f>
        <v>114.9</v>
      </c>
      <c r="D224" s="15">
        <f>VLOOKUP(Table2[[#This Row],[Date]],'DB LEI'!$A:$F,6)</f>
        <v>90</v>
      </c>
    </row>
    <row r="225" spans="1:4" x14ac:dyDescent="0.2">
      <c r="A225" s="14">
        <v>43160</v>
      </c>
      <c r="B225" s="15">
        <f>VLOOKUP(Table2[[#This Row],[Date]],'DB LEI'!$A:$F,5)</f>
        <v>121.2</v>
      </c>
      <c r="C225" s="15">
        <f>VLOOKUP(Table2[[#This Row],[Date]],'DB LEI'!$A:$F,5)</f>
        <v>121.2</v>
      </c>
      <c r="D225" s="15">
        <f>VLOOKUP(Table2[[#This Row],[Date]],'DB LEI'!$A:$F,6)</f>
        <v>88.8</v>
      </c>
    </row>
    <row r="226" spans="1:4" x14ac:dyDescent="0.2">
      <c r="A226" s="14">
        <v>43191</v>
      </c>
      <c r="B226" s="15">
        <f>VLOOKUP(Table2[[#This Row],[Date]],'DB LEI'!$A:$F,5)</f>
        <v>114.9</v>
      </c>
      <c r="C226" s="15">
        <f>VLOOKUP(Table2[[#This Row],[Date]],'DB LEI'!$A:$F,5)</f>
        <v>114.9</v>
      </c>
      <c r="D226" s="15">
        <f>VLOOKUP(Table2[[#This Row],[Date]],'DB LEI'!$A:$F,6)</f>
        <v>88.4</v>
      </c>
    </row>
    <row r="227" spans="1:4" x14ac:dyDescent="0.2">
      <c r="A227" s="28">
        <v>43221</v>
      </c>
      <c r="B227" s="15">
        <f>VLOOKUP(Table2[[#This Row],[Date]],'DB LEI'!$A:$F,5)</f>
        <v>111.8</v>
      </c>
      <c r="C227" s="15">
        <f>VLOOKUP(Table2[[#This Row],[Date]],'DB LEI'!$A:$F,5)</f>
        <v>111.8</v>
      </c>
      <c r="D227" s="15">
        <f>VLOOKUP(Table2[[#This Row],[Date]],'DB LEI'!$A:$F,6)</f>
        <v>89.1</v>
      </c>
    </row>
    <row r="228" spans="1:4" x14ac:dyDescent="0.2">
      <c r="A228" s="28">
        <v>43252</v>
      </c>
      <c r="B228" s="15">
        <f>VLOOKUP(Table2[[#This Row],[Date]],'DB LEI'!$A:$F,5)</f>
        <v>116.5</v>
      </c>
      <c r="C228" s="15">
        <f>VLOOKUP(Table2[[#This Row],[Date]],'DB LEI'!$A:$F,5)</f>
        <v>116.5</v>
      </c>
      <c r="D228" s="15">
        <f>VLOOKUP(Table2[[#This Row],[Date]],'DB LEI'!$A:$F,6)</f>
        <v>86.3</v>
      </c>
    </row>
    <row r="229" spans="1:4" x14ac:dyDescent="0.2">
      <c r="A229" s="28">
        <v>43282</v>
      </c>
      <c r="B229" s="15">
        <f>VLOOKUP(Table2[[#This Row],[Date]],'DB LEI'!$A:$F,5)</f>
        <v>114.4</v>
      </c>
      <c r="C229" s="15">
        <f>VLOOKUP(Table2[[#This Row],[Date]],'DB LEI'!$A:$F,5)</f>
        <v>114.4</v>
      </c>
      <c r="D229" s="15">
        <f>VLOOKUP(Table2[[#This Row],[Date]],'DB LEI'!$A:$F,6)</f>
        <v>87.3</v>
      </c>
    </row>
    <row r="230" spans="1:4" x14ac:dyDescent="0.2">
      <c r="A230" s="28">
        <v>43313</v>
      </c>
      <c r="B230" s="15">
        <f>VLOOKUP(Table2[[#This Row],[Date]],'DB LEI'!$A:$F,5)</f>
        <v>110.3</v>
      </c>
      <c r="C230" s="15">
        <f>VLOOKUP(Table2[[#This Row],[Date]],'DB LEI'!$A:$F,5)</f>
        <v>110.3</v>
      </c>
      <c r="D230" s="15">
        <f>VLOOKUP(Table2[[#This Row],[Date]],'DB LEI'!$A:$F,6)</f>
        <v>87.1</v>
      </c>
    </row>
    <row r="231" spans="1:4" x14ac:dyDescent="0.2">
      <c r="A231" s="28">
        <v>43344</v>
      </c>
      <c r="B231" s="15">
        <f>VLOOKUP(Table2[[#This Row],[Date]],'DB LEI'!$A:$F,5)</f>
        <v>115.2</v>
      </c>
      <c r="C231" s="15">
        <f>VLOOKUP(Table2[[#This Row],[Date]],'DB LEI'!$A:$F,5)</f>
        <v>115.2</v>
      </c>
      <c r="D231" s="15">
        <f>VLOOKUP(Table2[[#This Row],[Date]],'DB LEI'!$A:$F,6)</f>
        <v>90.5</v>
      </c>
    </row>
    <row r="232" spans="1:4" x14ac:dyDescent="0.2">
      <c r="A232" s="28">
        <v>43374</v>
      </c>
      <c r="B232" s="15">
        <f>VLOOKUP(Table2[[#This Row],[Date]],'DB LEI'!$A:$F,5)</f>
        <v>113.1</v>
      </c>
      <c r="C232" s="15">
        <f>VLOOKUP(Table2[[#This Row],[Date]],'DB LEI'!$A:$F,5)</f>
        <v>113.1</v>
      </c>
      <c r="D232" s="15">
        <f>VLOOKUP(Table2[[#This Row],[Date]],'DB LEI'!$A:$F,6)</f>
        <v>89.3</v>
      </c>
    </row>
    <row r="233" spans="1:4" x14ac:dyDescent="0.2">
      <c r="A233" s="28">
        <v>43405</v>
      </c>
      <c r="B233" s="15">
        <f>VLOOKUP(Table2[[#This Row],[Date]],'DB LEI'!$A:$F,5)</f>
        <v>112.3</v>
      </c>
      <c r="C233" s="15">
        <f>VLOOKUP(Table2[[#This Row],[Date]],'DB LEI'!$A:$F,5)</f>
        <v>112.3</v>
      </c>
      <c r="D233" s="15">
        <f>VLOOKUP(Table2[[#This Row],[Date]],'DB LEI'!$A:$F,6)</f>
        <v>88.1</v>
      </c>
    </row>
    <row r="234" spans="1:4" x14ac:dyDescent="0.2">
      <c r="A234" s="28">
        <v>43435</v>
      </c>
      <c r="B234" s="15">
        <f>VLOOKUP(Table2[[#This Row],[Date]],'DB LEI'!$A:$F,5)</f>
        <v>116.1</v>
      </c>
      <c r="C234" s="15">
        <f>VLOOKUP(Table2[[#This Row],[Date]],'DB LEI'!$A:$F,5)</f>
        <v>116.1</v>
      </c>
      <c r="D234" s="15">
        <f>VLOOKUP(Table2[[#This Row],[Date]],'DB LEI'!$A:$F,6)</f>
        <v>87</v>
      </c>
    </row>
    <row r="235" spans="1:4" x14ac:dyDescent="0.2">
      <c r="A235" s="28">
        <v>43466</v>
      </c>
      <c r="B235" s="15">
        <f>VLOOKUP(Table2[[#This Row],[Date]],'DB LEI'!$A:$F,5)</f>
        <v>108.8</v>
      </c>
      <c r="C235" s="15">
        <f>VLOOKUP(Table2[[#This Row],[Date]],'DB LEI'!$A:$F,5)</f>
        <v>108.8</v>
      </c>
      <c r="D235" s="15">
        <f>VLOOKUP(Table2[[#This Row],[Date]],'DB LEI'!$A:$F,6)</f>
        <v>79.900000000000006</v>
      </c>
    </row>
    <row r="236" spans="1:4" x14ac:dyDescent="0.2">
      <c r="A236" s="28">
        <v>43497</v>
      </c>
      <c r="B236" s="15">
        <f>VLOOKUP(Table2[[#This Row],[Date]],'DB LEI'!$A:$F,5)</f>
        <v>108.5</v>
      </c>
      <c r="C236" s="15">
        <f>VLOOKUP(Table2[[#This Row],[Date]],'DB LEI'!$A:$F,5)</f>
        <v>108.5</v>
      </c>
      <c r="D236" s="15">
        <f>VLOOKUP(Table2[[#This Row],[Date]],'DB LEI'!$A:$F,6)</f>
        <v>84.4</v>
      </c>
    </row>
    <row r="237" spans="1:4" x14ac:dyDescent="0.2">
      <c r="A237" s="28">
        <v>43525</v>
      </c>
      <c r="B237" s="15">
        <f>VLOOKUP(Table2[[#This Row],[Date]],'DB LEI'!$A:$F,5)</f>
        <v>113.3</v>
      </c>
      <c r="C237" s="15">
        <f>VLOOKUP(Table2[[#This Row],[Date]],'DB LEI'!$A:$F,5)</f>
        <v>113.3</v>
      </c>
      <c r="D237" s="15">
        <f>VLOOKUP(Table2[[#This Row],[Date]],'DB LEI'!$A:$F,6)</f>
        <v>88.8</v>
      </c>
    </row>
    <row r="238" spans="1:4" x14ac:dyDescent="0.2">
      <c r="A238" s="28">
        <v>43556</v>
      </c>
      <c r="B238" s="15">
        <f>VLOOKUP(Table2[[#This Row],[Date]],'DB LEI'!$A:$F,5)</f>
        <v>112.3</v>
      </c>
      <c r="C238" s="15">
        <f>VLOOKUP(Table2[[#This Row],[Date]],'DB LEI'!$A:$F,5)</f>
        <v>112.3</v>
      </c>
      <c r="D238" s="15">
        <f>VLOOKUP(Table2[[#This Row],[Date]],'DB LEI'!$A:$F,6)</f>
        <v>87.4</v>
      </c>
    </row>
    <row r="239" spans="1:4" x14ac:dyDescent="0.2">
      <c r="A239" s="28">
        <v>43586</v>
      </c>
      <c r="B239" s="15">
        <f>VLOOKUP(Table2[[#This Row],[Date]],'DB LEI'!$A:$F,5)</f>
        <v>110</v>
      </c>
      <c r="C239" s="15">
        <f>VLOOKUP(Table2[[#This Row],[Date]],'DB LEI'!$A:$F,5)</f>
        <v>110</v>
      </c>
      <c r="D239" s="15">
        <f>VLOOKUP(Table2[[#This Row],[Date]],'DB LEI'!$A:$F,6)</f>
        <v>93.5</v>
      </c>
    </row>
    <row r="240" spans="1:4" x14ac:dyDescent="0.2">
      <c r="A240" s="28">
        <v>43617</v>
      </c>
      <c r="B240" s="15">
        <f>VLOOKUP(Table2[[#This Row],[Date]],'DB LEI'!$A:$F,5)</f>
        <v>111.9</v>
      </c>
      <c r="C240" s="15">
        <f>VLOOKUP(Table2[[#This Row],[Date]],'DB LEI'!$A:$F,5)</f>
        <v>111.9</v>
      </c>
      <c r="D240" s="15">
        <f>VLOOKUP(Table2[[#This Row],[Date]],'DB LEI'!$A:$F,6)</f>
        <v>89.3</v>
      </c>
    </row>
    <row r="241" spans="1:4" x14ac:dyDescent="0.2">
      <c r="A241" s="28">
        <v>43647</v>
      </c>
      <c r="B241" s="15">
        <f>VLOOKUP(Table2[[#This Row],[Date]],'DB LEI'!$A:$F,5)</f>
        <v>110.7</v>
      </c>
      <c r="C241" s="15">
        <f>VLOOKUP(Table2[[#This Row],[Date]],'DB LEI'!$A:$F,5)</f>
        <v>110.7</v>
      </c>
      <c r="D241" s="15">
        <f>VLOOKUP(Table2[[#This Row],[Date]],'DB LEI'!$A:$F,6)</f>
        <v>90.5</v>
      </c>
    </row>
    <row r="242" spans="1:4" x14ac:dyDescent="0.2">
      <c r="A242" s="28">
        <v>43678</v>
      </c>
      <c r="B242" s="15">
        <f>VLOOKUP(Table2[[#This Row],[Date]],'DB LEI'!$A:$F,5)</f>
        <v>105.3</v>
      </c>
      <c r="C242" s="15">
        <f>VLOOKUP(Table2[[#This Row],[Date]],'DB LEI'!$A:$F,5)</f>
        <v>105.3</v>
      </c>
      <c r="D242" s="15">
        <f>VLOOKUP(Table2[[#This Row],[Date]],'DB LEI'!$A:$F,6)</f>
        <v>79.900000000000006</v>
      </c>
    </row>
    <row r="243" spans="1:4" x14ac:dyDescent="0.2">
      <c r="A243" s="28">
        <v>43709</v>
      </c>
      <c r="B243" s="15">
        <f>VLOOKUP(Table2[[#This Row],[Date]],'DB LEI'!$A:$F,5)</f>
        <v>108.5</v>
      </c>
      <c r="C243" s="15">
        <f>VLOOKUP(Table2[[#This Row],[Date]],'DB LEI'!$A:$F,5)</f>
        <v>108.5</v>
      </c>
      <c r="D243" s="15">
        <f>VLOOKUP(Table2[[#This Row],[Date]],'DB LEI'!$A:$F,6)</f>
        <v>83.4</v>
      </c>
    </row>
    <row r="244" spans="1:4" x14ac:dyDescent="0.2">
      <c r="A244" s="28">
        <v>43739</v>
      </c>
      <c r="B244" s="15">
        <f>VLOOKUP(Table2[[#This Row],[Date]],'DB LEI'!$A:$F,5)</f>
        <v>113.2</v>
      </c>
      <c r="C244" s="15">
        <f>VLOOKUP(Table2[[#This Row],[Date]],'DB LEI'!$A:$F,5)</f>
        <v>113.2</v>
      </c>
      <c r="D244" s="15">
        <f>VLOOKUP(Table2[[#This Row],[Date]],'DB LEI'!$A:$F,6)</f>
        <v>84.2</v>
      </c>
    </row>
    <row r="245" spans="1:4" x14ac:dyDescent="0.2">
      <c r="A245" s="28">
        <v>43770</v>
      </c>
      <c r="B245" s="15">
        <f>VLOOKUP(Table2[[#This Row],[Date]],'DB LEI'!$A:$F,5)</f>
        <v>111.6</v>
      </c>
      <c r="C245" s="15">
        <f>VLOOKUP(Table2[[#This Row],[Date]],'DB LEI'!$A:$F,5)</f>
        <v>111.6</v>
      </c>
      <c r="D245" s="15">
        <f>VLOOKUP(Table2[[#This Row],[Date]],'DB LEI'!$A:$F,6)</f>
        <v>87.3</v>
      </c>
    </row>
    <row r="246" spans="1:4" x14ac:dyDescent="0.2">
      <c r="A246" s="28">
        <v>43800</v>
      </c>
      <c r="B246" s="15">
        <f>VLOOKUP(Table2[[#This Row],[Date]],'DB LEI'!$A:$F,5)</f>
        <v>115.5</v>
      </c>
      <c r="C246" s="15">
        <f>VLOOKUP(Table2[[#This Row],[Date]],'DB LEI'!$A:$F,5)</f>
        <v>115.5</v>
      </c>
      <c r="D246" s="15">
        <f>VLOOKUP(Table2[[#This Row],[Date]],'DB LEI'!$A:$F,6)</f>
        <v>88.9</v>
      </c>
    </row>
    <row r="247" spans="1:4" x14ac:dyDescent="0.2">
      <c r="A247" s="28">
        <v>43831</v>
      </c>
      <c r="B247" s="15">
        <f>VLOOKUP(Table2[[#This Row],[Date]],'DB LEI'!$A:$F,5)</f>
        <v>114.4</v>
      </c>
      <c r="C247" s="15">
        <f>VLOOKUP(Table2[[#This Row],[Date]],'DB LEI'!$A:$F,5)</f>
        <v>114.4</v>
      </c>
      <c r="D247" s="15">
        <f>VLOOKUP(Table2[[#This Row],[Date]],'DB LEI'!$A:$F,6)</f>
        <v>90.5</v>
      </c>
    </row>
    <row r="248" spans="1:4" x14ac:dyDescent="0.2">
      <c r="A248" s="28">
        <v>43862</v>
      </c>
      <c r="B248" s="15">
        <f>VLOOKUP(Table2[[#This Row],[Date]],'DB LEI'!$A:$F,5)</f>
        <v>114.8</v>
      </c>
      <c r="C248" s="15">
        <f>VLOOKUP(Table2[[#This Row],[Date]],'DB LEI'!$A:$F,5)</f>
        <v>114.8</v>
      </c>
      <c r="D248" s="15">
        <f>VLOOKUP(Table2[[#This Row],[Date]],'DB LEI'!$A:$F,6)</f>
        <v>92.1</v>
      </c>
    </row>
    <row r="249" spans="1:4" x14ac:dyDescent="0.2">
      <c r="A249" s="28">
        <v>43891</v>
      </c>
      <c r="B249" s="15">
        <f>VLOOKUP(Table2[[#This Row],[Date]],'DB LEI'!$A:$F,5)</f>
        <v>103.7</v>
      </c>
      <c r="C249" s="15">
        <f>VLOOKUP(Table2[[#This Row],[Date]],'DB LEI'!$A:$F,5)</f>
        <v>103.7</v>
      </c>
      <c r="D249" s="15">
        <f>VLOOKUP(Table2[[#This Row],[Date]],'DB LEI'!$A:$F,6)</f>
        <v>79.7</v>
      </c>
    </row>
    <row r="250" spans="1:4" x14ac:dyDescent="0.2">
      <c r="A250" s="28">
        <v>43922</v>
      </c>
      <c r="B250" s="15">
        <f>VLOOKUP(Table2[[#This Row],[Date]],'DB LEI'!$A:$F,5)</f>
        <v>74.3</v>
      </c>
      <c r="C250" s="15">
        <f>VLOOKUP(Table2[[#This Row],[Date]],'DB LEI'!$A:$F,5)</f>
        <v>74.3</v>
      </c>
      <c r="D250" s="15">
        <f>VLOOKUP(Table2[[#This Row],[Date]],'DB LEI'!$A:$F,6)</f>
        <v>70.099999999999994</v>
      </c>
    </row>
    <row r="251" spans="1:4" x14ac:dyDescent="0.2">
      <c r="A251" s="28">
        <v>43952</v>
      </c>
      <c r="B251" s="15">
        <f>VLOOKUP(Table2[[#This Row],[Date]],'DB LEI'!$A:$F,5)</f>
        <v>82.3</v>
      </c>
      <c r="C251" s="15">
        <f>VLOOKUP(Table2[[#This Row],[Date]],'DB LEI'!$A:$F,5)</f>
        <v>82.3</v>
      </c>
      <c r="D251" s="15">
        <f>VLOOKUP(Table2[[#This Row],[Date]],'DB LEI'!$A:$F,6)</f>
        <v>65.900000000000006</v>
      </c>
    </row>
    <row r="252" spans="1:4" x14ac:dyDescent="0.2">
      <c r="A252" s="28">
        <v>43983</v>
      </c>
      <c r="B252" s="15">
        <f>VLOOKUP(Table2[[#This Row],[Date]],'DB LEI'!$A:$F,5)</f>
        <v>87.1</v>
      </c>
      <c r="C252" s="15">
        <f>VLOOKUP(Table2[[#This Row],[Date]],'DB LEI'!$A:$F,5)</f>
        <v>87.1</v>
      </c>
      <c r="D252" s="15">
        <f>VLOOKUP(Table2[[#This Row],[Date]],'DB LEI'!$A:$F,6)</f>
        <v>72.3</v>
      </c>
    </row>
    <row r="253" spans="1:4" x14ac:dyDescent="0.2">
      <c r="A253" s="28">
        <v>44013</v>
      </c>
      <c r="B253" s="15">
        <f>VLOOKUP(Table2[[#This Row],[Date]],'DB LEI'!$A:$F,5)</f>
        <v>82.8</v>
      </c>
      <c r="C253" s="15">
        <f>VLOOKUP(Table2[[#This Row],[Date]],'DB LEI'!$A:$F,5)</f>
        <v>82.8</v>
      </c>
      <c r="D253" s="15">
        <f>VLOOKUP(Table2[[#This Row],[Date]],'DB LEI'!$A:$F,6)</f>
        <v>65.900000000000006</v>
      </c>
    </row>
    <row r="254" spans="1:4" x14ac:dyDescent="0.2">
      <c r="A254" s="28">
        <v>44044</v>
      </c>
      <c r="B254" s="15">
        <f>VLOOKUP(Table2[[#This Row],[Date]],'DB LEI'!$A:$F,5)</f>
        <v>82.9</v>
      </c>
      <c r="C254" s="15">
        <f>VLOOKUP(Table2[[#This Row],[Date]],'DB LEI'!$A:$F,5)</f>
        <v>82.9</v>
      </c>
      <c r="D254" s="15">
        <f>VLOOKUP(Table2[[#This Row],[Date]],'DB LEI'!$A:$F,6)</f>
        <v>68.5</v>
      </c>
    </row>
    <row r="255" spans="1:4" x14ac:dyDescent="0.2">
      <c r="A255" s="28">
        <v>44075</v>
      </c>
      <c r="B255" s="15">
        <f>VLOOKUP(Table2[[#This Row],[Date]],'DB LEI'!$A:$F,5)</f>
        <v>87.8</v>
      </c>
      <c r="C255" s="15">
        <f>VLOOKUP(Table2[[#This Row],[Date]],'DB LEI'!$A:$F,5)</f>
        <v>87.8</v>
      </c>
      <c r="D255" s="15">
        <f>VLOOKUP(Table2[[#This Row],[Date]],'DB LEI'!$A:$F,6)</f>
        <v>75.599999999999994</v>
      </c>
    </row>
    <row r="256" spans="1:4" x14ac:dyDescent="0.2">
      <c r="A256" s="28">
        <v>44105</v>
      </c>
      <c r="B256" s="15">
        <f>VLOOKUP(Table2[[#This Row],[Date]],'DB LEI'!$A:$F,5)</f>
        <v>85.9</v>
      </c>
      <c r="C256" s="15">
        <f>VLOOKUP(Table2[[#This Row],[Date]],'DB LEI'!$A:$F,5)</f>
        <v>85.9</v>
      </c>
      <c r="D256" s="15">
        <f>VLOOKUP(Table2[[#This Row],[Date]],'DB LEI'!$A:$F,6)</f>
        <v>79.2</v>
      </c>
    </row>
    <row r="257" spans="1:4" x14ac:dyDescent="0.2">
      <c r="A257" s="28">
        <v>44136</v>
      </c>
      <c r="B257" s="15">
        <f>VLOOKUP(Table2[[#This Row],[Date]],'DB LEI'!$A:$F,5)</f>
        <v>87</v>
      </c>
      <c r="C257" s="15">
        <f>VLOOKUP(Table2[[#This Row],[Date]],'DB LEI'!$A:$F,5)</f>
        <v>87</v>
      </c>
      <c r="D257" s="15">
        <f>VLOOKUP(Table2[[#This Row],[Date]],'DB LEI'!$A:$F,6)</f>
        <v>70.5</v>
      </c>
    </row>
    <row r="258" spans="1:4" x14ac:dyDescent="0.2">
      <c r="A258" s="28">
        <v>44166</v>
      </c>
      <c r="B258" s="15">
        <f>VLOOKUP(Table2[[#This Row],[Date]],'DB LEI'!$A:$F,5)</f>
        <v>90</v>
      </c>
      <c r="C258" s="15">
        <f>VLOOKUP(Table2[[#This Row],[Date]],'DB LEI'!$A:$F,5)</f>
        <v>90</v>
      </c>
      <c r="D258" s="15">
        <f>VLOOKUP(Table2[[#This Row],[Date]],'DB LEI'!$A:$F,6)</f>
        <v>74.599999999999994</v>
      </c>
    </row>
    <row r="259" spans="1:4" x14ac:dyDescent="0.2">
      <c r="A259" s="28">
        <v>44197</v>
      </c>
      <c r="B259" s="15">
        <f>VLOOKUP(Table2[[#This Row],[Date]],'DB LEI'!$A:$F,5)</f>
        <v>86.7</v>
      </c>
      <c r="C259" s="15">
        <f>VLOOKUP(Table2[[#This Row],[Date]],'DB LEI'!$A:$F,5)</f>
        <v>86.7</v>
      </c>
      <c r="D259" s="15">
        <f>VLOOKUP(Table2[[#This Row],[Date]],'DB LEI'!$A:$F,6)</f>
        <v>74</v>
      </c>
    </row>
    <row r="260" spans="1:4" x14ac:dyDescent="0.2">
      <c r="A260" s="28">
        <v>44228</v>
      </c>
      <c r="B260" s="15">
        <f>VLOOKUP(Table2[[#This Row],[Date]],'DB LEI'!$A:$F,5)</f>
        <v>86.2</v>
      </c>
      <c r="C260" s="15">
        <f>VLOOKUP(Table2[[#This Row],[Date]],'DB LEI'!$A:$F,5)</f>
        <v>86.2</v>
      </c>
      <c r="D260" s="15">
        <f>VLOOKUP(Table2[[#This Row],[Date]],'DB LEI'!$A:$F,6)</f>
        <v>70.7</v>
      </c>
    </row>
    <row r="261" spans="1:4" x14ac:dyDescent="0.2">
      <c r="A261" s="28">
        <v>44256</v>
      </c>
      <c r="B261" s="15">
        <f>VLOOKUP(Table2[[#This Row],[Date]],'DB LEI'!$A:$F,5)</f>
        <v>93</v>
      </c>
      <c r="C261" s="15">
        <f>VLOOKUP(Table2[[#This Row],[Date]],'DB LEI'!$A:$F,5)</f>
        <v>93</v>
      </c>
      <c r="D261" s="15">
        <f>VLOOKUP(Table2[[#This Row],[Date]],'DB LEI'!$A:$F,6)</f>
        <v>79.7</v>
      </c>
    </row>
    <row r="262" spans="1:4" x14ac:dyDescent="0.2">
      <c r="A262" s="28">
        <v>44287</v>
      </c>
      <c r="B262" s="15">
        <f>VLOOKUP(Table2[[#This Row],[Date]],'DB LEI'!$A:$F,5)</f>
        <v>97.2</v>
      </c>
      <c r="C262" s="15">
        <f>VLOOKUP(Table2[[#This Row],[Date]],'DB LEI'!$A:$F,5)</f>
        <v>97.2</v>
      </c>
      <c r="D262" s="15">
        <f>VLOOKUP(Table2[[#This Row],[Date]],'DB LEI'!$A:$F,6)</f>
        <v>82.7</v>
      </c>
    </row>
    <row r="263" spans="1:4" x14ac:dyDescent="0.2">
      <c r="A263" s="28">
        <v>44317</v>
      </c>
      <c r="B263" s="15">
        <f>VLOOKUP(Table2[[#This Row],[Date]],'DB LEI'!$A:$F,5)</f>
        <v>89.4</v>
      </c>
      <c r="C263" s="15">
        <f>VLOOKUP(Table2[[#This Row],[Date]],'DB LEI'!$A:$F,5)</f>
        <v>89.4</v>
      </c>
      <c r="D263" s="15">
        <f>VLOOKUP(Table2[[#This Row],[Date]],'DB LEI'!$A:$F,6)</f>
        <v>78.8</v>
      </c>
    </row>
    <row r="264" spans="1:4" x14ac:dyDescent="0.2">
      <c r="A264" s="28">
        <v>44348</v>
      </c>
      <c r="B264" s="15">
        <f>VLOOKUP(Table2[[#This Row],[Date]],'DB LEI'!$A:$F,5)</f>
        <v>88.6</v>
      </c>
      <c r="C264" s="15">
        <f>VLOOKUP(Table2[[#This Row],[Date]],'DB LEI'!$A:$F,5)</f>
        <v>88.6</v>
      </c>
      <c r="D264" s="15">
        <f>VLOOKUP(Table2[[#This Row],[Date]],'DB LEI'!$A:$F,6)</f>
        <v>83.5</v>
      </c>
    </row>
    <row r="265" spans="1:4" x14ac:dyDescent="0.2">
      <c r="A265" s="28">
        <v>44378</v>
      </c>
      <c r="B265" s="15">
        <f>VLOOKUP(Table2[[#This Row],[Date]],'DB LEI'!$A:$F,5)</f>
        <v>84.5</v>
      </c>
      <c r="C265" s="15">
        <f>VLOOKUP(Table2[[#This Row],[Date]],'DB LEI'!$A:$F,5)</f>
        <v>84.5</v>
      </c>
      <c r="D265" s="15">
        <f>VLOOKUP(Table2[[#This Row],[Date]],'DB LEI'!$A:$F,6)</f>
        <v>79</v>
      </c>
    </row>
    <row r="266" spans="1:4" x14ac:dyDescent="0.2">
      <c r="A266" s="28">
        <v>44409</v>
      </c>
      <c r="B266" s="15">
        <f>VLOOKUP(Table2[[#This Row],[Date]],'DB LEI'!$A:$F,5)</f>
        <v>78.5</v>
      </c>
      <c r="C266" s="15">
        <f>VLOOKUP(Table2[[#This Row],[Date]],'DB LEI'!$A:$F,5)</f>
        <v>78.5</v>
      </c>
      <c r="D266" s="15">
        <f>VLOOKUP(Table2[[#This Row],[Date]],'DB LEI'!$A:$F,6)</f>
        <v>65.099999999999994</v>
      </c>
    </row>
    <row r="267" spans="1:4" x14ac:dyDescent="0.2">
      <c r="A267" s="28">
        <v>44440</v>
      </c>
      <c r="B267" s="15">
        <f>VLOOKUP(Table2[[#This Row],[Date]],'DB LEI'!$A:$F,5)</f>
        <v>80.099999999999994</v>
      </c>
      <c r="C267" s="15">
        <f>VLOOKUP(Table2[[#This Row],[Date]],'DB LEI'!$A:$F,5)</f>
        <v>80.099999999999994</v>
      </c>
      <c r="D267" s="15">
        <f>VLOOKUP(Table2[[#This Row],[Date]],'DB LEI'!$A:$F,6)</f>
        <v>68.099999999999994</v>
      </c>
    </row>
    <row r="268" spans="1:4" x14ac:dyDescent="0.2">
      <c r="A268" s="28">
        <v>44470</v>
      </c>
      <c r="B268" s="15">
        <f>VLOOKUP(Table2[[#This Row],[Date]],'DB LEI'!$A:$F,5)</f>
        <v>77.7</v>
      </c>
      <c r="C268" s="15">
        <f>VLOOKUP(Table2[[#This Row],[Date]],'DB LEI'!$A:$F,5)</f>
        <v>77.7</v>
      </c>
      <c r="D268" s="15">
        <f>VLOOKUP(Table2[[#This Row],[Date]],'DB LEI'!$A:$F,6)</f>
        <v>67.900000000000006</v>
      </c>
    </row>
    <row r="269" spans="1:4" x14ac:dyDescent="0.2">
      <c r="A269" s="28">
        <v>44501</v>
      </c>
      <c r="B269" s="15">
        <f>VLOOKUP(Table2[[#This Row],[Date]],'DB LEI'!$A:$F,5)</f>
        <v>73.599999999999994</v>
      </c>
      <c r="C269" s="15">
        <f>VLOOKUP(Table2[[#This Row],[Date]],'DB LEI'!$A:$F,5)</f>
        <v>73.599999999999994</v>
      </c>
      <c r="D269" s="15">
        <f>VLOOKUP(Table2[[#This Row],[Date]],'DB LEI'!$A:$F,6)</f>
        <v>63.5</v>
      </c>
    </row>
    <row r="270" spans="1:4" x14ac:dyDescent="0.2">
      <c r="A270" s="28">
        <v>44531</v>
      </c>
      <c r="B270" s="15">
        <f>VLOOKUP(Table2[[#This Row],[Date]],'DB LEI'!$A:$F,5)</f>
        <v>74.2</v>
      </c>
      <c r="C270" s="15">
        <f>VLOOKUP(Table2[[#This Row],[Date]],'DB LEI'!$A:$F,5)</f>
        <v>74.2</v>
      </c>
      <c r="D270" s="15">
        <f>VLOOKUP(Table2[[#This Row],[Date]],'DB LEI'!$A:$F,6)</f>
        <v>68.3</v>
      </c>
    </row>
  </sheetData>
  <conditionalFormatting sqref="B127:B27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34"/>
  <sheetViews>
    <sheetView zoomScale="170" zoomScaleNormal="170" workbookViewId="0">
      <pane ySplit="6" topLeftCell="A471" activePane="bottomLeft" state="frozen"/>
      <selection pane="bottomLeft" activeCell="A28" sqref="A28"/>
    </sheetView>
  </sheetViews>
  <sheetFormatPr baseColWidth="10" defaultColWidth="9.1640625" defaultRowHeight="15" x14ac:dyDescent="0.2"/>
  <cols>
    <col min="1" max="1" width="11.6640625" style="16" customWidth="1"/>
    <col min="2" max="4" width="15" style="16" customWidth="1"/>
    <col min="5" max="16" width="9.1640625" style="51" customWidth="1"/>
    <col min="17" max="16384" width="9.1640625" style="51"/>
  </cols>
  <sheetData>
    <row r="1" spans="1:4" x14ac:dyDescent="0.2">
      <c r="A1" s="26" t="s">
        <v>38</v>
      </c>
    </row>
    <row r="5" spans="1:4" ht="16" customHeight="1" thickBot="1" x14ac:dyDescent="0.25"/>
    <row r="6" spans="1:4" ht="16" customHeight="1" x14ac:dyDescent="0.2">
      <c r="A6" s="19" t="s">
        <v>29</v>
      </c>
      <c r="B6" s="20" t="s">
        <v>16</v>
      </c>
      <c r="C6" s="21" t="s">
        <v>39</v>
      </c>
      <c r="D6" s="22" t="s">
        <v>40</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t="str">
        <f>IF(VLOOKUP(Table48[[#This Row],[Date]],'DB LEI'!$A:$I,9)=0,"",VLOOKUP(Table48[[#This Row],[Date]],'DB LEI'!$A:$I,9))</f>
        <v/>
      </c>
      <c r="D532" s="24" t="str">
        <f>IF(VLOOKUP(Table48[[#This Row],[Date]],'DB LEI'!$A:$I,8)=0,"",VLOOKUP(Table48[[#This Row],[Date]],'DB LEI'!$A:$I,8))</f>
        <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sheetData>
  <conditionalFormatting sqref="B391:B53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2022-01-22T00:45:28Z</dcterms:modified>
</cp:coreProperties>
</file>