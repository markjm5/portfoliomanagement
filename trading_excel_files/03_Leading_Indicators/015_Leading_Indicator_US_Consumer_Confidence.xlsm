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defaultThemeVersion="166925"/>
  <mc:AlternateContent xmlns:mc="http://schemas.openxmlformats.org/markup-compatibility/2006">
    <mc:Choice Requires="x15">
      <x15ac:absPath xmlns:x15ac="http://schemas.microsoft.com/office/spreadsheetml/2010/11/ac" url="/Users/markmukherjee/Desktop/Trading_Excel_Files/03_Leading_Indicators/"/>
    </mc:Choice>
  </mc:AlternateContent>
  <xr:revisionPtr revIDLastSave="0" documentId="13_ncr:1_{752E5DC2-69BB-FD46-851A-029BE935EB0B}" xr6:coauthVersionLast="47" xr6:coauthVersionMax="47" xr10:uidLastSave="{00000000-0000-0000-0000-000000000000}"/>
  <bookViews>
    <workbookView xWindow="-59660" yWindow="1940" windowWidth="54680" windowHeight="25720" activeTab="3" xr2:uid="{D920B30F-5B95-4C68-816C-8728A96283AF}"/>
  </bookViews>
  <sheets>
    <sheet name="Note" sheetId="2" r:id="rId1"/>
    <sheet name="Conference Board" sheetId="1" r:id="rId2"/>
    <sheet name="UMCSI" sheetId="3" r:id="rId3"/>
    <sheet name="UMCSI vs GDP" sheetId="5"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59" i="1" l="1"/>
  <c r="F759" i="1"/>
  <c r="B525" i="5"/>
  <c r="B526" i="5"/>
  <c r="B527" i="5"/>
  <c r="C757" i="1"/>
  <c r="F757" i="1"/>
  <c r="C758" i="1"/>
  <c r="F758" i="1"/>
  <c r="C756" i="1"/>
  <c r="F756" i="1"/>
  <c r="C755" i="1"/>
  <c r="F755" i="1"/>
  <c r="B523" i="5"/>
  <c r="B524" i="5"/>
  <c r="C753" i="1"/>
  <c r="F753" i="1"/>
  <c r="C754" i="1"/>
  <c r="F754" i="1"/>
  <c r="B520" i="5"/>
  <c r="B521" i="5"/>
  <c r="B522" i="5"/>
  <c r="C752" i="1"/>
  <c r="F752" i="1"/>
  <c r="C750" i="1"/>
  <c r="F750" i="1"/>
  <c r="C751" i="1"/>
  <c r="F751" i="1"/>
  <c r="B506" i="5" l="1"/>
  <c r="B507" i="5"/>
  <c r="B508" i="5"/>
  <c r="B509" i="5"/>
  <c r="B510" i="5"/>
  <c r="B511" i="5"/>
  <c r="B512" i="5"/>
  <c r="B513" i="5"/>
  <c r="B514" i="5"/>
  <c r="B515" i="5"/>
  <c r="B516" i="5"/>
  <c r="B517" i="5"/>
  <c r="B518" i="5"/>
  <c r="B519" i="5"/>
  <c r="C749" i="1"/>
  <c r="F749" i="1"/>
  <c r="C746" i="1"/>
  <c r="F746" i="1"/>
  <c r="C747" i="1"/>
  <c r="F747" i="1"/>
  <c r="C748" i="1"/>
  <c r="F748" i="1"/>
  <c r="F744" i="1" l="1"/>
  <c r="F745" i="1"/>
  <c r="C744" i="1"/>
  <c r="C745" i="1"/>
  <c r="C741" i="1" l="1"/>
  <c r="F741" i="1"/>
  <c r="C742" i="1"/>
  <c r="F742" i="1"/>
  <c r="C743" i="1"/>
  <c r="F743" i="1"/>
  <c r="B463" i="5" l="1"/>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449" i="5"/>
  <c r="B450" i="5"/>
  <c r="B451" i="5"/>
  <c r="B452" i="5"/>
  <c r="B453" i="5"/>
  <c r="B454" i="5"/>
  <c r="B455" i="5"/>
  <c r="B456" i="5"/>
  <c r="B457" i="5"/>
  <c r="B458" i="5"/>
  <c r="B459" i="5"/>
  <c r="B460" i="5"/>
  <c r="B461" i="5"/>
  <c r="B462" i="5"/>
  <c r="B448" i="5"/>
  <c r="C740" i="1" l="1"/>
  <c r="F740" i="1"/>
  <c r="C738" i="1" l="1"/>
  <c r="F738" i="1"/>
  <c r="C739" i="1"/>
  <c r="F739" i="1"/>
  <c r="C737" i="1" l="1"/>
  <c r="F737" i="1"/>
  <c r="R18" i="2" l="1"/>
  <c r="P18" i="2"/>
  <c r="O18" i="2"/>
  <c r="R17" i="2"/>
  <c r="P17" i="2"/>
  <c r="O17" i="2"/>
  <c r="R16" i="2"/>
  <c r="P16" i="2"/>
  <c r="O16" i="2"/>
  <c r="Q16" i="2" l="1"/>
  <c r="S17" i="2"/>
  <c r="S18" i="2"/>
  <c r="S16" i="2"/>
  <c r="Q17" i="2"/>
  <c r="Q18" i="2"/>
  <c r="F29" i="1" l="1"/>
  <c r="F21" i="1"/>
  <c r="C22" i="1"/>
  <c r="F22" i="1"/>
  <c r="C23" i="1"/>
  <c r="F23" i="1"/>
  <c r="C24" i="1"/>
  <c r="F24" i="1"/>
  <c r="C25" i="1"/>
  <c r="F25" i="1"/>
  <c r="C26" i="1"/>
  <c r="F26" i="1"/>
  <c r="C27" i="1"/>
  <c r="F27" i="1"/>
  <c r="C28" i="1"/>
  <c r="C29" i="1"/>
  <c r="C30" i="1"/>
  <c r="F30" i="1"/>
  <c r="C31" i="1"/>
  <c r="F31" i="1"/>
  <c r="C32" i="1"/>
  <c r="F32" i="1"/>
  <c r="C33" i="1"/>
  <c r="F33" i="1"/>
  <c r="C34" i="1"/>
  <c r="C35" i="1"/>
  <c r="F35" i="1"/>
  <c r="C36" i="1"/>
  <c r="F36" i="1"/>
  <c r="C37" i="1"/>
  <c r="F37" i="1"/>
  <c r="C38" i="1"/>
  <c r="C39" i="1"/>
  <c r="F39" i="1"/>
  <c r="C40" i="1"/>
  <c r="F40" i="1"/>
  <c r="C41" i="1"/>
  <c r="F41" i="1"/>
  <c r="C42" i="1"/>
  <c r="F42" i="1"/>
  <c r="C43" i="1"/>
  <c r="F43" i="1"/>
  <c r="C44" i="1"/>
  <c r="F44" i="1"/>
  <c r="C45" i="1"/>
  <c r="F45" i="1"/>
  <c r="C46" i="1"/>
  <c r="F46" i="1"/>
  <c r="C47" i="1"/>
  <c r="F47" i="1"/>
  <c r="C48" i="1"/>
  <c r="F48" i="1"/>
  <c r="C49" i="1"/>
  <c r="F49" i="1"/>
  <c r="C50" i="1"/>
  <c r="F50" i="1"/>
  <c r="C51" i="1"/>
  <c r="F51" i="1"/>
  <c r="C52" i="1"/>
  <c r="F52" i="1"/>
  <c r="C53" i="1"/>
  <c r="F53" i="1"/>
  <c r="C54" i="1"/>
  <c r="F54" i="1"/>
  <c r="C55" i="1"/>
  <c r="F55" i="1"/>
  <c r="C56" i="1"/>
  <c r="C57" i="1"/>
  <c r="F57" i="1"/>
  <c r="C58" i="1"/>
  <c r="F58" i="1"/>
  <c r="C59" i="1"/>
  <c r="F59" i="1"/>
  <c r="C60" i="1"/>
  <c r="F60" i="1"/>
  <c r="C61" i="1"/>
  <c r="F61" i="1"/>
  <c r="C62" i="1"/>
  <c r="F62" i="1"/>
  <c r="C63" i="1"/>
  <c r="F63" i="1"/>
  <c r="C64" i="1"/>
  <c r="F64" i="1"/>
  <c r="C65" i="1"/>
  <c r="F65" i="1"/>
  <c r="C66" i="1"/>
  <c r="F66" i="1"/>
  <c r="C67" i="1"/>
  <c r="F67" i="1"/>
  <c r="C68" i="1"/>
  <c r="F68" i="1"/>
  <c r="C69" i="1"/>
  <c r="F69" i="1"/>
  <c r="C70" i="1"/>
  <c r="C71" i="1"/>
  <c r="F71" i="1"/>
  <c r="C72" i="1"/>
  <c r="F72" i="1"/>
  <c r="C73" i="1"/>
  <c r="F73" i="1"/>
  <c r="C74" i="1"/>
  <c r="C75" i="1"/>
  <c r="F75" i="1"/>
  <c r="C76" i="1"/>
  <c r="F76" i="1"/>
  <c r="C77" i="1"/>
  <c r="F77" i="1"/>
  <c r="C78" i="1"/>
  <c r="F78" i="1"/>
  <c r="C79" i="1"/>
  <c r="F79" i="1"/>
  <c r="C80" i="1"/>
  <c r="F80" i="1"/>
  <c r="C81" i="1"/>
  <c r="F81" i="1"/>
  <c r="C82" i="1"/>
  <c r="F82" i="1"/>
  <c r="C83" i="1"/>
  <c r="F83" i="1"/>
  <c r="C84" i="1"/>
  <c r="F84" i="1"/>
  <c r="C85" i="1"/>
  <c r="F85" i="1"/>
  <c r="C86" i="1"/>
  <c r="F86" i="1"/>
  <c r="C87" i="1"/>
  <c r="F87" i="1"/>
  <c r="C88" i="1"/>
  <c r="C89" i="1"/>
  <c r="F89" i="1"/>
  <c r="C90" i="1"/>
  <c r="F90" i="1"/>
  <c r="C91" i="1"/>
  <c r="F91" i="1"/>
  <c r="C92" i="1"/>
  <c r="C93" i="1"/>
  <c r="F93" i="1"/>
  <c r="C94" i="1"/>
  <c r="F94" i="1"/>
  <c r="C95" i="1"/>
  <c r="F95" i="1"/>
  <c r="C96" i="1"/>
  <c r="F96" i="1"/>
  <c r="C97" i="1"/>
  <c r="F97" i="1"/>
  <c r="C98" i="1"/>
  <c r="F98" i="1"/>
  <c r="C99" i="1"/>
  <c r="F99" i="1"/>
  <c r="C100" i="1"/>
  <c r="F100" i="1"/>
  <c r="C101" i="1"/>
  <c r="F101" i="1"/>
  <c r="C102" i="1"/>
  <c r="F102" i="1"/>
  <c r="C103" i="1"/>
  <c r="F103" i="1"/>
  <c r="C104" i="1"/>
  <c r="F104" i="1"/>
  <c r="C105" i="1"/>
  <c r="F105" i="1"/>
  <c r="C106" i="1"/>
  <c r="F106" i="1"/>
  <c r="C107" i="1"/>
  <c r="F107" i="1"/>
  <c r="C108" i="1"/>
  <c r="F108" i="1"/>
  <c r="C109" i="1"/>
  <c r="F109" i="1"/>
  <c r="C110" i="1"/>
  <c r="C111" i="1"/>
  <c r="F111" i="1"/>
  <c r="C112" i="1"/>
  <c r="F112" i="1"/>
  <c r="C113" i="1"/>
  <c r="F113" i="1"/>
  <c r="C114" i="1"/>
  <c r="F114" i="1"/>
  <c r="C115" i="1"/>
  <c r="F115" i="1"/>
  <c r="C116" i="1"/>
  <c r="F116" i="1"/>
  <c r="C117" i="1"/>
  <c r="F117" i="1"/>
  <c r="C118" i="1"/>
  <c r="F118" i="1"/>
  <c r="C119" i="1"/>
  <c r="F119" i="1"/>
  <c r="C120" i="1"/>
  <c r="F120" i="1"/>
  <c r="C121" i="1"/>
  <c r="F121" i="1"/>
  <c r="C122" i="1"/>
  <c r="F122" i="1"/>
  <c r="C123" i="1"/>
  <c r="F123" i="1"/>
  <c r="C124" i="1"/>
  <c r="F124" i="1"/>
  <c r="C125" i="1"/>
  <c r="F125" i="1"/>
  <c r="C126" i="1"/>
  <c r="F126" i="1"/>
  <c r="C127" i="1"/>
  <c r="F127" i="1"/>
  <c r="C128" i="1"/>
  <c r="C129" i="1"/>
  <c r="F129" i="1"/>
  <c r="C130" i="1"/>
  <c r="F130" i="1"/>
  <c r="C131" i="1"/>
  <c r="F131" i="1"/>
  <c r="C132" i="1"/>
  <c r="F132" i="1"/>
  <c r="C133" i="1"/>
  <c r="F133" i="1"/>
  <c r="C134" i="1"/>
  <c r="F134" i="1"/>
  <c r="C135" i="1"/>
  <c r="F135" i="1"/>
  <c r="C136" i="1"/>
  <c r="F136" i="1"/>
  <c r="C137" i="1"/>
  <c r="F137" i="1"/>
  <c r="C138" i="1"/>
  <c r="F138" i="1"/>
  <c r="C139" i="1"/>
  <c r="F139" i="1"/>
  <c r="C140" i="1"/>
  <c r="F140" i="1"/>
  <c r="C141" i="1"/>
  <c r="F141" i="1"/>
  <c r="C142" i="1"/>
  <c r="C143" i="1"/>
  <c r="F143" i="1"/>
  <c r="C144" i="1"/>
  <c r="F144" i="1"/>
  <c r="C145" i="1"/>
  <c r="F145" i="1"/>
  <c r="C146" i="1"/>
  <c r="C147" i="1"/>
  <c r="F147" i="1"/>
  <c r="C148" i="1"/>
  <c r="F148" i="1"/>
  <c r="C149" i="1"/>
  <c r="F149" i="1"/>
  <c r="C150" i="1"/>
  <c r="F150" i="1"/>
  <c r="C151" i="1"/>
  <c r="F151" i="1"/>
  <c r="C152" i="1"/>
  <c r="F152" i="1"/>
  <c r="C153" i="1"/>
  <c r="F153" i="1"/>
  <c r="C154" i="1"/>
  <c r="F154" i="1"/>
  <c r="C155" i="1"/>
  <c r="F155" i="1"/>
  <c r="C156" i="1"/>
  <c r="F156" i="1"/>
  <c r="C157" i="1"/>
  <c r="F157" i="1"/>
  <c r="C158" i="1"/>
  <c r="F158" i="1"/>
  <c r="C159" i="1"/>
  <c r="F159" i="1"/>
  <c r="C160" i="1"/>
  <c r="C161" i="1"/>
  <c r="F161" i="1"/>
  <c r="C162" i="1"/>
  <c r="F162" i="1"/>
  <c r="C163" i="1"/>
  <c r="F163" i="1"/>
  <c r="C164" i="1"/>
  <c r="C165" i="1"/>
  <c r="F165" i="1"/>
  <c r="C166" i="1"/>
  <c r="F166" i="1"/>
  <c r="C167" i="1"/>
  <c r="F167" i="1"/>
  <c r="C168" i="1"/>
  <c r="F168" i="1"/>
  <c r="C169" i="1"/>
  <c r="F169" i="1"/>
  <c r="C170" i="1"/>
  <c r="F170" i="1"/>
  <c r="C171" i="1"/>
  <c r="F171" i="1"/>
  <c r="C172" i="1"/>
  <c r="F172" i="1"/>
  <c r="C173" i="1"/>
  <c r="F173" i="1"/>
  <c r="C174" i="1"/>
  <c r="F174" i="1"/>
  <c r="C175" i="1"/>
  <c r="F175" i="1"/>
  <c r="C176" i="1"/>
  <c r="F176" i="1"/>
  <c r="C177" i="1"/>
  <c r="F177" i="1"/>
  <c r="C178" i="1"/>
  <c r="C179" i="1"/>
  <c r="F179" i="1"/>
  <c r="C180" i="1"/>
  <c r="F180" i="1"/>
  <c r="C181" i="1"/>
  <c r="F181" i="1"/>
  <c r="C182" i="1"/>
  <c r="C183" i="1"/>
  <c r="F183" i="1"/>
  <c r="C184" i="1"/>
  <c r="F184" i="1"/>
  <c r="C185" i="1"/>
  <c r="F185" i="1"/>
  <c r="C186" i="1"/>
  <c r="F186" i="1"/>
  <c r="C187" i="1"/>
  <c r="F187" i="1"/>
  <c r="C188" i="1"/>
  <c r="F188" i="1"/>
  <c r="C189" i="1"/>
  <c r="F189" i="1"/>
  <c r="C190" i="1"/>
  <c r="F190" i="1"/>
  <c r="C191" i="1"/>
  <c r="F191" i="1"/>
  <c r="C192" i="1"/>
  <c r="F192" i="1"/>
  <c r="C193" i="1"/>
  <c r="F193" i="1"/>
  <c r="C194" i="1"/>
  <c r="F194" i="1"/>
  <c r="C195" i="1"/>
  <c r="F195" i="1"/>
  <c r="C196" i="1"/>
  <c r="C197" i="1"/>
  <c r="F197" i="1"/>
  <c r="C198" i="1"/>
  <c r="F198" i="1"/>
  <c r="C199" i="1"/>
  <c r="F199" i="1"/>
  <c r="C200" i="1"/>
  <c r="C201" i="1"/>
  <c r="F201" i="1"/>
  <c r="C202" i="1"/>
  <c r="F202" i="1"/>
  <c r="C203" i="1"/>
  <c r="F203" i="1"/>
  <c r="C204" i="1"/>
  <c r="F204" i="1"/>
  <c r="C205" i="1"/>
  <c r="F205" i="1"/>
  <c r="C206" i="1"/>
  <c r="F206" i="1"/>
  <c r="C207" i="1"/>
  <c r="F207" i="1"/>
  <c r="C208" i="1"/>
  <c r="F208" i="1"/>
  <c r="C209" i="1"/>
  <c r="F209" i="1"/>
  <c r="C210" i="1"/>
  <c r="F210" i="1"/>
  <c r="C211" i="1"/>
  <c r="F211" i="1"/>
  <c r="C212" i="1"/>
  <c r="F212" i="1"/>
  <c r="C213" i="1"/>
  <c r="F213" i="1"/>
  <c r="C214" i="1"/>
  <c r="C215" i="1"/>
  <c r="F215" i="1"/>
  <c r="C216" i="1"/>
  <c r="F216" i="1"/>
  <c r="C217" i="1"/>
  <c r="F217" i="1"/>
  <c r="C218" i="1"/>
  <c r="C219" i="1"/>
  <c r="F219" i="1"/>
  <c r="C220" i="1"/>
  <c r="F220" i="1"/>
  <c r="C221" i="1"/>
  <c r="F221" i="1"/>
  <c r="C222" i="1"/>
  <c r="F222" i="1"/>
  <c r="C223" i="1"/>
  <c r="F223" i="1"/>
  <c r="C224" i="1"/>
  <c r="F224" i="1"/>
  <c r="C225" i="1"/>
  <c r="F225" i="1"/>
  <c r="C226" i="1"/>
  <c r="F226" i="1"/>
  <c r="C227" i="1"/>
  <c r="F227" i="1"/>
  <c r="C228" i="1"/>
  <c r="F228" i="1"/>
  <c r="C229" i="1"/>
  <c r="F229" i="1"/>
  <c r="C230" i="1"/>
  <c r="F230" i="1"/>
  <c r="C231" i="1"/>
  <c r="F231" i="1"/>
  <c r="C232" i="1"/>
  <c r="C233" i="1"/>
  <c r="F233" i="1"/>
  <c r="C234" i="1"/>
  <c r="F234" i="1"/>
  <c r="C235" i="1"/>
  <c r="F235" i="1"/>
  <c r="C236" i="1"/>
  <c r="C237" i="1"/>
  <c r="F237" i="1"/>
  <c r="C238" i="1"/>
  <c r="F238" i="1"/>
  <c r="C239" i="1"/>
  <c r="F239" i="1"/>
  <c r="C240" i="1"/>
  <c r="F240" i="1"/>
  <c r="C241" i="1"/>
  <c r="F241" i="1"/>
  <c r="C242" i="1"/>
  <c r="F242" i="1"/>
  <c r="C243" i="1"/>
  <c r="F243" i="1"/>
  <c r="C244" i="1"/>
  <c r="F244" i="1"/>
  <c r="C245" i="1"/>
  <c r="F245" i="1"/>
  <c r="C246" i="1"/>
  <c r="F246" i="1"/>
  <c r="C247" i="1"/>
  <c r="F247" i="1"/>
  <c r="C248" i="1"/>
  <c r="F248" i="1"/>
  <c r="C249" i="1"/>
  <c r="F249" i="1"/>
  <c r="C250" i="1"/>
  <c r="C251" i="1"/>
  <c r="F251" i="1"/>
  <c r="C252" i="1"/>
  <c r="F252" i="1"/>
  <c r="C253" i="1"/>
  <c r="F253" i="1"/>
  <c r="C254" i="1"/>
  <c r="C255" i="1"/>
  <c r="F255" i="1"/>
  <c r="C256" i="1"/>
  <c r="F256" i="1"/>
  <c r="C257" i="1"/>
  <c r="F257" i="1"/>
  <c r="C258" i="1"/>
  <c r="F258" i="1"/>
  <c r="C259" i="1"/>
  <c r="F259" i="1"/>
  <c r="C260" i="1"/>
  <c r="F260" i="1"/>
  <c r="C261" i="1"/>
  <c r="F261" i="1"/>
  <c r="C262" i="1"/>
  <c r="F262" i="1"/>
  <c r="C263" i="1"/>
  <c r="F263" i="1"/>
  <c r="C264" i="1"/>
  <c r="F264" i="1"/>
  <c r="C265" i="1"/>
  <c r="F265" i="1"/>
  <c r="C266" i="1"/>
  <c r="F266" i="1"/>
  <c r="C267" i="1"/>
  <c r="F267" i="1"/>
  <c r="C268" i="1"/>
  <c r="C269" i="1"/>
  <c r="F269" i="1"/>
  <c r="C270" i="1"/>
  <c r="F270" i="1"/>
  <c r="C271" i="1"/>
  <c r="F271" i="1"/>
  <c r="C272" i="1"/>
  <c r="C273" i="1"/>
  <c r="F273" i="1"/>
  <c r="C274" i="1"/>
  <c r="F274" i="1"/>
  <c r="C275" i="1"/>
  <c r="F275" i="1"/>
  <c r="C276" i="1"/>
  <c r="F276" i="1"/>
  <c r="C277" i="1"/>
  <c r="F277" i="1"/>
  <c r="C278" i="1"/>
  <c r="F278" i="1"/>
  <c r="C279" i="1"/>
  <c r="F279" i="1"/>
  <c r="C280" i="1"/>
  <c r="F280" i="1"/>
  <c r="C281" i="1"/>
  <c r="F281" i="1"/>
  <c r="C282" i="1"/>
  <c r="F282" i="1"/>
  <c r="C283" i="1"/>
  <c r="F283" i="1"/>
  <c r="C284" i="1"/>
  <c r="F284" i="1"/>
  <c r="C285" i="1"/>
  <c r="F285" i="1"/>
  <c r="C286" i="1"/>
  <c r="C287" i="1"/>
  <c r="C288" i="1"/>
  <c r="F288" i="1"/>
  <c r="C289" i="1"/>
  <c r="F289" i="1"/>
  <c r="C290" i="1"/>
  <c r="C291" i="1"/>
  <c r="F291" i="1"/>
  <c r="C292" i="1"/>
  <c r="F292" i="1"/>
  <c r="C293" i="1"/>
  <c r="F293" i="1"/>
  <c r="C294" i="1"/>
  <c r="F294" i="1"/>
  <c r="C295" i="1"/>
  <c r="F295" i="1"/>
  <c r="C296" i="1"/>
  <c r="F296" i="1"/>
  <c r="C297" i="1"/>
  <c r="F297" i="1"/>
  <c r="C298" i="1"/>
  <c r="F298" i="1"/>
  <c r="C299" i="1"/>
  <c r="C300" i="1"/>
  <c r="F300" i="1"/>
  <c r="C301" i="1"/>
  <c r="F301" i="1"/>
  <c r="C302" i="1"/>
  <c r="F302" i="1"/>
  <c r="C303" i="1"/>
  <c r="F303" i="1"/>
  <c r="C304" i="1"/>
  <c r="F304" i="1"/>
  <c r="C305" i="1"/>
  <c r="C306" i="1"/>
  <c r="F306" i="1"/>
  <c r="C307" i="1"/>
  <c r="F307" i="1"/>
  <c r="C308" i="1"/>
  <c r="C309" i="1"/>
  <c r="F309" i="1"/>
  <c r="C310" i="1"/>
  <c r="F310" i="1"/>
  <c r="C311" i="1"/>
  <c r="F311" i="1"/>
  <c r="C312" i="1"/>
  <c r="F312" i="1"/>
  <c r="C313" i="1"/>
  <c r="F313" i="1"/>
  <c r="C314" i="1"/>
  <c r="F314" i="1"/>
  <c r="C315" i="1"/>
  <c r="F315" i="1"/>
  <c r="C316" i="1"/>
  <c r="F316" i="1"/>
  <c r="C317" i="1"/>
  <c r="C318" i="1"/>
  <c r="F318" i="1"/>
  <c r="C319" i="1"/>
  <c r="F319" i="1"/>
  <c r="C320" i="1"/>
  <c r="F320" i="1"/>
  <c r="C321" i="1"/>
  <c r="F321" i="1"/>
  <c r="C322" i="1"/>
  <c r="F322" i="1"/>
  <c r="C323" i="1"/>
  <c r="C324" i="1"/>
  <c r="F324" i="1"/>
  <c r="C325" i="1"/>
  <c r="F325" i="1"/>
  <c r="C326" i="1"/>
  <c r="C327" i="1"/>
  <c r="F327" i="1"/>
  <c r="C328" i="1"/>
  <c r="F328" i="1"/>
  <c r="C329" i="1"/>
  <c r="F329" i="1"/>
  <c r="C330" i="1"/>
  <c r="F330" i="1"/>
  <c r="C331" i="1"/>
  <c r="F331" i="1"/>
  <c r="C332" i="1"/>
  <c r="F332" i="1"/>
  <c r="C333" i="1"/>
  <c r="F333" i="1"/>
  <c r="C334" i="1"/>
  <c r="F334" i="1"/>
  <c r="C335" i="1"/>
  <c r="C336" i="1"/>
  <c r="F336" i="1"/>
  <c r="C337" i="1"/>
  <c r="F337" i="1"/>
  <c r="C338" i="1"/>
  <c r="F338" i="1"/>
  <c r="C339" i="1"/>
  <c r="F339" i="1"/>
  <c r="C340" i="1"/>
  <c r="F340" i="1"/>
  <c r="C341" i="1"/>
  <c r="C342" i="1"/>
  <c r="F342" i="1"/>
  <c r="C343" i="1"/>
  <c r="F343" i="1"/>
  <c r="C344" i="1"/>
  <c r="C345" i="1"/>
  <c r="F345" i="1"/>
  <c r="C346" i="1"/>
  <c r="F346" i="1"/>
  <c r="C347" i="1"/>
  <c r="F347" i="1"/>
  <c r="C348" i="1"/>
  <c r="F348" i="1"/>
  <c r="C349" i="1"/>
  <c r="F349" i="1"/>
  <c r="C350" i="1"/>
  <c r="F350" i="1"/>
  <c r="C351" i="1"/>
  <c r="F351" i="1"/>
  <c r="C352" i="1"/>
  <c r="F352" i="1"/>
  <c r="C353" i="1"/>
  <c r="C354" i="1"/>
  <c r="F354" i="1"/>
  <c r="C355" i="1"/>
  <c r="F355" i="1"/>
  <c r="C356" i="1"/>
  <c r="F356" i="1"/>
  <c r="C357" i="1"/>
  <c r="F357" i="1"/>
  <c r="C358" i="1"/>
  <c r="F358" i="1"/>
  <c r="C359" i="1"/>
  <c r="C360" i="1"/>
  <c r="F360" i="1"/>
  <c r="C361" i="1"/>
  <c r="F361" i="1"/>
  <c r="C362" i="1"/>
  <c r="C363" i="1"/>
  <c r="F363" i="1"/>
  <c r="C364" i="1"/>
  <c r="F364" i="1"/>
  <c r="C365" i="1"/>
  <c r="F365" i="1"/>
  <c r="C366" i="1"/>
  <c r="F366" i="1"/>
  <c r="C367" i="1"/>
  <c r="F367" i="1"/>
  <c r="C368" i="1"/>
  <c r="F368" i="1"/>
  <c r="C369" i="1"/>
  <c r="F369" i="1"/>
  <c r="C370" i="1"/>
  <c r="F370" i="1"/>
  <c r="C371" i="1"/>
  <c r="C372" i="1"/>
  <c r="F372" i="1"/>
  <c r="C373" i="1"/>
  <c r="F373" i="1"/>
  <c r="C374" i="1"/>
  <c r="F374" i="1"/>
  <c r="C375" i="1"/>
  <c r="F375" i="1"/>
  <c r="C376" i="1"/>
  <c r="C377" i="1"/>
  <c r="C378" i="1"/>
  <c r="F378" i="1"/>
  <c r="C379" i="1"/>
  <c r="F379" i="1"/>
  <c r="C380" i="1"/>
  <c r="C381" i="1"/>
  <c r="F381" i="1"/>
  <c r="C382" i="1"/>
  <c r="F382" i="1"/>
  <c r="C383" i="1"/>
  <c r="F383" i="1"/>
  <c r="C384" i="1"/>
  <c r="F384" i="1"/>
  <c r="C385" i="1"/>
  <c r="F385" i="1"/>
  <c r="C386" i="1"/>
  <c r="F386" i="1"/>
  <c r="C387" i="1"/>
  <c r="F387" i="1"/>
  <c r="C388" i="1"/>
  <c r="F388" i="1"/>
  <c r="C389" i="1"/>
  <c r="C390" i="1"/>
  <c r="F390" i="1"/>
  <c r="C391" i="1"/>
  <c r="F391" i="1"/>
  <c r="C392" i="1"/>
  <c r="F392" i="1"/>
  <c r="C393" i="1"/>
  <c r="F393" i="1"/>
  <c r="C394" i="1"/>
  <c r="C395" i="1"/>
  <c r="C396" i="1"/>
  <c r="F396" i="1"/>
  <c r="C397" i="1"/>
  <c r="F397" i="1"/>
  <c r="C398" i="1"/>
  <c r="C399" i="1"/>
  <c r="F399" i="1"/>
  <c r="C400" i="1"/>
  <c r="F400" i="1"/>
  <c r="C401" i="1"/>
  <c r="F401" i="1"/>
  <c r="C402" i="1"/>
  <c r="F402" i="1"/>
  <c r="C403" i="1"/>
  <c r="F403" i="1"/>
  <c r="C404" i="1"/>
  <c r="F404" i="1"/>
  <c r="C405" i="1"/>
  <c r="F405" i="1"/>
  <c r="C406" i="1"/>
  <c r="F406" i="1"/>
  <c r="C407" i="1"/>
  <c r="C408" i="1"/>
  <c r="F408" i="1"/>
  <c r="C409" i="1"/>
  <c r="F409" i="1"/>
  <c r="C410" i="1"/>
  <c r="F410" i="1"/>
  <c r="C411" i="1"/>
  <c r="F411" i="1"/>
  <c r="C412" i="1"/>
  <c r="C413" i="1"/>
  <c r="C414" i="1"/>
  <c r="F414" i="1"/>
  <c r="C415" i="1"/>
  <c r="F415" i="1"/>
  <c r="C416" i="1"/>
  <c r="C417" i="1"/>
  <c r="F417" i="1"/>
  <c r="C418" i="1"/>
  <c r="F418" i="1"/>
  <c r="C419" i="1"/>
  <c r="F419" i="1"/>
  <c r="C420" i="1"/>
  <c r="F420" i="1"/>
  <c r="C421" i="1"/>
  <c r="F421" i="1"/>
  <c r="C422" i="1"/>
  <c r="F422" i="1"/>
  <c r="C423" i="1"/>
  <c r="F423" i="1"/>
  <c r="C424" i="1"/>
  <c r="F424" i="1"/>
  <c r="C425" i="1"/>
  <c r="C426" i="1"/>
  <c r="F426" i="1"/>
  <c r="C427" i="1"/>
  <c r="F427" i="1"/>
  <c r="C428" i="1"/>
  <c r="F428" i="1"/>
  <c r="C429" i="1"/>
  <c r="F429" i="1"/>
  <c r="C430" i="1"/>
  <c r="C431" i="1"/>
  <c r="C432" i="1"/>
  <c r="F432" i="1"/>
  <c r="C433" i="1"/>
  <c r="F433" i="1"/>
  <c r="C434" i="1"/>
  <c r="C435" i="1"/>
  <c r="F435" i="1"/>
  <c r="C436" i="1"/>
  <c r="F436" i="1"/>
  <c r="C437" i="1"/>
  <c r="F437" i="1"/>
  <c r="C438" i="1"/>
  <c r="F438" i="1"/>
  <c r="C439" i="1"/>
  <c r="F439" i="1"/>
  <c r="C440" i="1"/>
  <c r="F440" i="1"/>
  <c r="C441" i="1"/>
  <c r="F441" i="1"/>
  <c r="C442" i="1"/>
  <c r="F442" i="1"/>
  <c r="C443" i="1"/>
  <c r="C444" i="1"/>
  <c r="F444" i="1"/>
  <c r="C445" i="1"/>
  <c r="F445" i="1"/>
  <c r="C446" i="1"/>
  <c r="F446" i="1"/>
  <c r="C447" i="1"/>
  <c r="F447" i="1"/>
  <c r="C448" i="1"/>
  <c r="F448" i="1"/>
  <c r="C449" i="1"/>
  <c r="C450" i="1"/>
  <c r="F450" i="1"/>
  <c r="C451" i="1"/>
  <c r="F451" i="1"/>
  <c r="C452" i="1"/>
  <c r="C453" i="1"/>
  <c r="F453" i="1"/>
  <c r="C454" i="1"/>
  <c r="F454" i="1"/>
  <c r="C455" i="1"/>
  <c r="F455" i="1"/>
  <c r="C456" i="1"/>
  <c r="F456" i="1"/>
  <c r="C457" i="1"/>
  <c r="F457" i="1"/>
  <c r="C458" i="1"/>
  <c r="F458" i="1"/>
  <c r="C459" i="1"/>
  <c r="F459" i="1"/>
  <c r="C460" i="1"/>
  <c r="F460" i="1"/>
  <c r="C461" i="1"/>
  <c r="C462" i="1"/>
  <c r="F462" i="1"/>
  <c r="C463" i="1"/>
  <c r="F463" i="1"/>
  <c r="C464" i="1"/>
  <c r="F464" i="1"/>
  <c r="C465" i="1"/>
  <c r="F465" i="1"/>
  <c r="C466" i="1"/>
  <c r="F466" i="1"/>
  <c r="C467" i="1"/>
  <c r="C468" i="1"/>
  <c r="F468" i="1"/>
  <c r="C469" i="1"/>
  <c r="F469" i="1"/>
  <c r="C470" i="1"/>
  <c r="C471" i="1"/>
  <c r="F471" i="1"/>
  <c r="C472" i="1"/>
  <c r="F472" i="1"/>
  <c r="C473" i="1"/>
  <c r="F473" i="1"/>
  <c r="C474" i="1"/>
  <c r="F474" i="1"/>
  <c r="C475" i="1"/>
  <c r="F475" i="1"/>
  <c r="C476" i="1"/>
  <c r="F476" i="1"/>
  <c r="C477" i="1"/>
  <c r="F477" i="1"/>
  <c r="C478" i="1"/>
  <c r="F478" i="1"/>
  <c r="C479" i="1"/>
  <c r="C480" i="1"/>
  <c r="F480" i="1"/>
  <c r="C481" i="1"/>
  <c r="F481" i="1"/>
  <c r="C482" i="1"/>
  <c r="F482" i="1"/>
  <c r="C483" i="1"/>
  <c r="F483" i="1"/>
  <c r="C484" i="1"/>
  <c r="F484" i="1"/>
  <c r="C485" i="1"/>
  <c r="F485" i="1"/>
  <c r="C486" i="1"/>
  <c r="F486" i="1"/>
  <c r="C487" i="1"/>
  <c r="F487" i="1"/>
  <c r="C488" i="1"/>
  <c r="C489" i="1"/>
  <c r="F489" i="1"/>
  <c r="C490" i="1"/>
  <c r="F490" i="1"/>
  <c r="C491" i="1"/>
  <c r="F491" i="1"/>
  <c r="C492" i="1"/>
  <c r="F492" i="1"/>
  <c r="C493" i="1"/>
  <c r="F493" i="1"/>
  <c r="C494" i="1"/>
  <c r="F494" i="1"/>
  <c r="C495" i="1"/>
  <c r="F495" i="1"/>
  <c r="C496" i="1"/>
  <c r="F496" i="1"/>
  <c r="C497" i="1"/>
  <c r="F497" i="1"/>
  <c r="C498" i="1"/>
  <c r="F498" i="1"/>
  <c r="C499" i="1"/>
  <c r="F499" i="1"/>
  <c r="C500" i="1"/>
  <c r="F500" i="1"/>
  <c r="C501" i="1"/>
  <c r="F501" i="1"/>
  <c r="C502" i="1"/>
  <c r="C503" i="1"/>
  <c r="F503" i="1"/>
  <c r="C504" i="1"/>
  <c r="F504" i="1"/>
  <c r="C505" i="1"/>
  <c r="F505" i="1"/>
  <c r="C506" i="1"/>
  <c r="C507" i="1"/>
  <c r="F507" i="1"/>
  <c r="C508" i="1"/>
  <c r="F508" i="1"/>
  <c r="C509" i="1"/>
  <c r="F509" i="1"/>
  <c r="C510" i="1"/>
  <c r="F510" i="1"/>
  <c r="C511" i="1"/>
  <c r="F511" i="1"/>
  <c r="C512" i="1"/>
  <c r="F512" i="1"/>
  <c r="C513" i="1"/>
  <c r="F513" i="1"/>
  <c r="C514" i="1"/>
  <c r="F514" i="1"/>
  <c r="C515" i="1"/>
  <c r="C516" i="1"/>
  <c r="F516" i="1"/>
  <c r="C517" i="1"/>
  <c r="F517" i="1"/>
  <c r="C518" i="1"/>
  <c r="F518" i="1"/>
  <c r="C519" i="1"/>
  <c r="F519" i="1"/>
  <c r="C520" i="1"/>
  <c r="C521" i="1"/>
  <c r="F521" i="1"/>
  <c r="C522" i="1"/>
  <c r="F522" i="1"/>
  <c r="C523" i="1"/>
  <c r="F523" i="1"/>
  <c r="C524" i="1"/>
  <c r="C525" i="1"/>
  <c r="F525" i="1"/>
  <c r="C526" i="1"/>
  <c r="F526" i="1"/>
  <c r="C527" i="1"/>
  <c r="F527" i="1"/>
  <c r="C528" i="1"/>
  <c r="F528" i="1"/>
  <c r="C529" i="1"/>
  <c r="F529" i="1"/>
  <c r="C530" i="1"/>
  <c r="F530" i="1"/>
  <c r="C531" i="1"/>
  <c r="F531" i="1"/>
  <c r="C532" i="1"/>
  <c r="F532" i="1"/>
  <c r="C533" i="1"/>
  <c r="C534" i="1"/>
  <c r="F534" i="1"/>
  <c r="C535" i="1"/>
  <c r="F535" i="1"/>
  <c r="C536" i="1"/>
  <c r="F536" i="1"/>
  <c r="C537" i="1"/>
  <c r="F537" i="1"/>
  <c r="C538" i="1"/>
  <c r="C539" i="1"/>
  <c r="F539" i="1"/>
  <c r="C540" i="1"/>
  <c r="F540" i="1"/>
  <c r="C541" i="1"/>
  <c r="F541" i="1"/>
  <c r="C542" i="1"/>
  <c r="C543" i="1"/>
  <c r="F543" i="1"/>
  <c r="C544" i="1"/>
  <c r="F544" i="1"/>
  <c r="C545" i="1"/>
  <c r="F545" i="1"/>
  <c r="C546" i="1"/>
  <c r="F546" i="1"/>
  <c r="C547" i="1"/>
  <c r="F547" i="1"/>
  <c r="C548" i="1"/>
  <c r="F548" i="1"/>
  <c r="C549" i="1"/>
  <c r="F549" i="1"/>
  <c r="C550" i="1"/>
  <c r="F550" i="1"/>
  <c r="C551" i="1"/>
  <c r="C552" i="1"/>
  <c r="F552" i="1"/>
  <c r="C553" i="1"/>
  <c r="F553" i="1"/>
  <c r="C554" i="1"/>
  <c r="F554" i="1"/>
  <c r="C555" i="1"/>
  <c r="F555" i="1"/>
  <c r="C556" i="1"/>
  <c r="C557" i="1"/>
  <c r="F557" i="1"/>
  <c r="C558" i="1"/>
  <c r="F558" i="1"/>
  <c r="C559" i="1"/>
  <c r="F559" i="1"/>
  <c r="C560" i="1"/>
  <c r="F560" i="1"/>
  <c r="C561" i="1"/>
  <c r="F561" i="1"/>
  <c r="C562" i="1"/>
  <c r="F562" i="1"/>
  <c r="C563" i="1"/>
  <c r="F563" i="1"/>
  <c r="C564" i="1"/>
  <c r="F564" i="1"/>
  <c r="C565" i="1"/>
  <c r="F565" i="1"/>
  <c r="C566" i="1"/>
  <c r="F566" i="1"/>
  <c r="C567" i="1"/>
  <c r="F567" i="1"/>
  <c r="C568" i="1"/>
  <c r="F568" i="1"/>
  <c r="C569" i="1"/>
  <c r="C570" i="1"/>
  <c r="F570" i="1"/>
  <c r="C571" i="1"/>
  <c r="F571" i="1"/>
  <c r="C572" i="1"/>
  <c r="F572" i="1"/>
  <c r="C573" i="1"/>
  <c r="F573" i="1"/>
  <c r="C574" i="1"/>
  <c r="C575" i="1"/>
  <c r="F575" i="1"/>
  <c r="C576" i="1"/>
  <c r="F576" i="1"/>
  <c r="C577" i="1"/>
  <c r="F577" i="1"/>
  <c r="C578" i="1"/>
  <c r="C579" i="1"/>
  <c r="F579" i="1"/>
  <c r="C580" i="1"/>
  <c r="F580" i="1"/>
  <c r="C581" i="1"/>
  <c r="F581" i="1"/>
  <c r="C582" i="1"/>
  <c r="F582" i="1"/>
  <c r="C583" i="1"/>
  <c r="F583" i="1"/>
  <c r="C584" i="1"/>
  <c r="F584" i="1"/>
  <c r="C585" i="1"/>
  <c r="C586" i="1"/>
  <c r="F586" i="1"/>
  <c r="C587" i="1"/>
  <c r="F587" i="1"/>
  <c r="C588" i="1"/>
  <c r="F588" i="1"/>
  <c r="C589" i="1"/>
  <c r="F589" i="1"/>
  <c r="C590" i="1"/>
  <c r="F590" i="1"/>
  <c r="C591" i="1"/>
  <c r="F591" i="1"/>
  <c r="C592" i="1"/>
  <c r="C593" i="1"/>
  <c r="F593" i="1"/>
  <c r="C594" i="1"/>
  <c r="F594" i="1"/>
  <c r="C595" i="1"/>
  <c r="F595" i="1"/>
  <c r="C596" i="1"/>
  <c r="C597" i="1"/>
  <c r="F597" i="1"/>
  <c r="C598" i="1"/>
  <c r="F598" i="1"/>
  <c r="C599" i="1"/>
  <c r="F599" i="1"/>
  <c r="C600" i="1"/>
  <c r="F600" i="1"/>
  <c r="C601" i="1"/>
  <c r="F601" i="1"/>
  <c r="C602" i="1"/>
  <c r="F602" i="1"/>
  <c r="C603" i="1"/>
  <c r="C604" i="1"/>
  <c r="F604" i="1"/>
  <c r="C605" i="1"/>
  <c r="C606" i="1"/>
  <c r="F606" i="1"/>
  <c r="C607" i="1"/>
  <c r="F607" i="1"/>
  <c r="C608" i="1"/>
  <c r="F608" i="1"/>
  <c r="C609" i="1"/>
  <c r="F609" i="1"/>
  <c r="C610" i="1"/>
  <c r="F610" i="1"/>
  <c r="C611" i="1"/>
  <c r="F611" i="1"/>
  <c r="C612" i="1"/>
  <c r="F612" i="1"/>
  <c r="C613" i="1"/>
  <c r="F613" i="1"/>
  <c r="C614" i="1"/>
  <c r="C615" i="1"/>
  <c r="F615" i="1"/>
  <c r="C616" i="1"/>
  <c r="F616" i="1"/>
  <c r="C617" i="1"/>
  <c r="F617" i="1"/>
  <c r="C618" i="1"/>
  <c r="F618" i="1"/>
  <c r="C619" i="1"/>
  <c r="F619" i="1"/>
  <c r="C620" i="1"/>
  <c r="F620" i="1"/>
  <c r="C621" i="1"/>
  <c r="C622" i="1"/>
  <c r="F622" i="1"/>
  <c r="C623" i="1"/>
  <c r="C624" i="1"/>
  <c r="F624" i="1"/>
  <c r="C625" i="1"/>
  <c r="F625" i="1"/>
  <c r="C626" i="1"/>
  <c r="F626" i="1"/>
  <c r="C627" i="1"/>
  <c r="F627" i="1"/>
  <c r="C628" i="1"/>
  <c r="F628" i="1"/>
  <c r="C629" i="1"/>
  <c r="F629" i="1"/>
  <c r="C630" i="1"/>
  <c r="F630" i="1"/>
  <c r="C631" i="1"/>
  <c r="F631" i="1"/>
  <c r="C632" i="1"/>
  <c r="C633" i="1"/>
  <c r="F633" i="1"/>
  <c r="C634" i="1"/>
  <c r="F634" i="1"/>
  <c r="C635" i="1"/>
  <c r="F635" i="1"/>
  <c r="C636" i="1"/>
  <c r="F636" i="1"/>
  <c r="C637" i="1"/>
  <c r="F637" i="1"/>
  <c r="C638" i="1"/>
  <c r="F638" i="1"/>
  <c r="C639" i="1"/>
  <c r="C640" i="1"/>
  <c r="F640" i="1"/>
  <c r="C641" i="1"/>
  <c r="C642" i="1"/>
  <c r="F642" i="1"/>
  <c r="C643" i="1"/>
  <c r="F643" i="1"/>
  <c r="C644" i="1"/>
  <c r="F644" i="1"/>
  <c r="C645" i="1"/>
  <c r="F645" i="1"/>
  <c r="C646" i="1"/>
  <c r="C647" i="1"/>
  <c r="F647" i="1"/>
  <c r="C648" i="1"/>
  <c r="F648" i="1"/>
  <c r="C649" i="1"/>
  <c r="F649" i="1"/>
  <c r="C650" i="1"/>
  <c r="C651" i="1"/>
  <c r="F651" i="1"/>
  <c r="C652" i="1"/>
  <c r="F652" i="1"/>
  <c r="C653" i="1"/>
  <c r="F653" i="1"/>
  <c r="C654" i="1"/>
  <c r="F654" i="1"/>
  <c r="C655" i="1"/>
  <c r="F655" i="1"/>
  <c r="C656" i="1"/>
  <c r="F656" i="1"/>
  <c r="C657" i="1"/>
  <c r="F657" i="1"/>
  <c r="C658" i="1"/>
  <c r="F658" i="1"/>
  <c r="C659" i="1"/>
  <c r="C660" i="1"/>
  <c r="F660" i="1"/>
  <c r="C661" i="1"/>
  <c r="F661" i="1"/>
  <c r="C662" i="1"/>
  <c r="F662" i="1"/>
  <c r="C663" i="1"/>
  <c r="F663" i="1"/>
  <c r="C664" i="1"/>
  <c r="C665" i="1"/>
  <c r="F665" i="1"/>
  <c r="C666" i="1"/>
  <c r="F666" i="1"/>
  <c r="C667" i="1"/>
  <c r="F667" i="1"/>
  <c r="C668" i="1"/>
  <c r="C669" i="1"/>
  <c r="F680" i="1"/>
  <c r="C670" i="1"/>
  <c r="F670" i="1"/>
  <c r="C671" i="1"/>
  <c r="F671" i="1"/>
  <c r="C672" i="1"/>
  <c r="F672" i="1"/>
  <c r="C673" i="1"/>
  <c r="F673" i="1"/>
  <c r="C674" i="1"/>
  <c r="F674" i="1"/>
  <c r="C675" i="1"/>
  <c r="C676" i="1"/>
  <c r="F676" i="1"/>
  <c r="C677" i="1"/>
  <c r="C678" i="1"/>
  <c r="F678" i="1"/>
  <c r="C679" i="1"/>
  <c r="F679" i="1"/>
  <c r="C680" i="1"/>
  <c r="C681" i="1"/>
  <c r="F681" i="1"/>
  <c r="C682" i="1"/>
  <c r="C683" i="1"/>
  <c r="C684" i="1"/>
  <c r="F684" i="1"/>
  <c r="C685" i="1"/>
  <c r="F696" i="1"/>
  <c r="F685" i="1"/>
  <c r="C686" i="1"/>
  <c r="C687" i="1"/>
  <c r="F687" i="1"/>
  <c r="C688" i="1"/>
  <c r="F688" i="1"/>
  <c r="C689" i="1"/>
  <c r="F689" i="1"/>
  <c r="C690" i="1"/>
  <c r="F690" i="1"/>
  <c r="C691" i="1"/>
  <c r="F691" i="1"/>
  <c r="C692" i="1"/>
  <c r="F692" i="1"/>
  <c r="C693" i="1"/>
  <c r="C694" i="1"/>
  <c r="F694" i="1"/>
  <c r="C695" i="1"/>
  <c r="F695" i="1"/>
  <c r="C696" i="1"/>
  <c r="C697" i="1"/>
  <c r="F697" i="1"/>
  <c r="C698" i="1"/>
  <c r="F698" i="1"/>
  <c r="C699" i="1"/>
  <c r="F699" i="1"/>
  <c r="C700" i="1"/>
  <c r="C701" i="1"/>
  <c r="F701" i="1"/>
  <c r="C702" i="1"/>
  <c r="F702" i="1"/>
  <c r="C703" i="1"/>
  <c r="F703" i="1"/>
  <c r="C704" i="1"/>
  <c r="C705" i="1"/>
  <c r="F705" i="1"/>
  <c r="C706" i="1"/>
  <c r="F706" i="1"/>
  <c r="C707" i="1"/>
  <c r="F707" i="1"/>
  <c r="C708" i="1"/>
  <c r="F708" i="1"/>
  <c r="C709" i="1"/>
  <c r="F709" i="1"/>
  <c r="C710" i="1"/>
  <c r="F710" i="1"/>
  <c r="C711" i="1"/>
  <c r="C712" i="1"/>
  <c r="F712" i="1"/>
  <c r="C713" i="1"/>
  <c r="F713" i="1"/>
  <c r="C714" i="1"/>
  <c r="F725" i="1"/>
  <c r="F714" i="1"/>
  <c r="C715" i="1"/>
  <c r="F715" i="1"/>
  <c r="C716" i="1"/>
  <c r="F716" i="1"/>
  <c r="C717" i="1"/>
  <c r="F717" i="1"/>
  <c r="C718" i="1"/>
  <c r="F718" i="1"/>
  <c r="C719" i="1"/>
  <c r="F719" i="1"/>
  <c r="C720" i="1"/>
  <c r="F720" i="1"/>
  <c r="C721" i="1"/>
  <c r="F721" i="1"/>
  <c r="C722" i="1"/>
  <c r="C723" i="1"/>
  <c r="F723" i="1"/>
  <c r="C724" i="1"/>
  <c r="C725" i="1"/>
  <c r="C726" i="1"/>
  <c r="F726" i="1"/>
  <c r="C727" i="1"/>
  <c r="F727" i="1"/>
  <c r="C728" i="1"/>
  <c r="F728" i="1"/>
  <c r="C729" i="1"/>
  <c r="C730" i="1"/>
  <c r="F730" i="1"/>
  <c r="C731" i="1"/>
  <c r="F731" i="1"/>
  <c r="C732" i="1"/>
  <c r="F732" i="1"/>
  <c r="C733" i="1"/>
  <c r="F733" i="1"/>
  <c r="C734" i="1"/>
  <c r="F734" i="1"/>
  <c r="C735" i="1"/>
  <c r="F735" i="1"/>
  <c r="C736" i="1"/>
  <c r="F736" i="1"/>
  <c r="F693" i="1" l="1"/>
  <c r="F704" i="1"/>
  <c r="F34" i="1"/>
  <c r="F675" i="1"/>
  <c r="F686" i="1"/>
  <c r="F700" i="1"/>
  <c r="F70" i="1"/>
  <c r="F88" i="1"/>
  <c r="F621" i="1"/>
  <c r="F632" i="1"/>
  <c r="F556" i="1"/>
  <c r="F538" i="1"/>
  <c r="F412" i="1"/>
  <c r="F592" i="1"/>
  <c r="F729" i="1"/>
  <c r="F639" i="1"/>
  <c r="F650" i="1"/>
  <c r="F376" i="1"/>
  <c r="F664" i="1"/>
  <c r="F585" i="1"/>
  <c r="F596" i="1"/>
  <c r="F394" i="1"/>
  <c r="F574" i="1"/>
  <c r="F682" i="1"/>
  <c r="F520" i="1"/>
  <c r="F711" i="1"/>
  <c r="F722" i="1"/>
  <c r="F668" i="1"/>
  <c r="F646" i="1"/>
  <c r="F603" i="1"/>
  <c r="F614" i="1"/>
  <c r="F502" i="1"/>
  <c r="F430" i="1"/>
  <c r="F286" i="1"/>
  <c r="F268" i="1"/>
  <c r="F250" i="1"/>
  <c r="F232" i="1"/>
  <c r="F214" i="1"/>
  <c r="F196" i="1"/>
  <c r="F178" i="1"/>
  <c r="F160" i="1"/>
  <c r="F142" i="1"/>
  <c r="F28" i="1"/>
  <c r="F677" i="1"/>
  <c r="F659" i="1"/>
  <c r="F641" i="1"/>
  <c r="F623" i="1"/>
  <c r="F605" i="1"/>
  <c r="F569" i="1"/>
  <c r="F551" i="1"/>
  <c r="F533" i="1"/>
  <c r="F515" i="1"/>
  <c r="F479" i="1"/>
  <c r="F461" i="1"/>
  <c r="F443" i="1"/>
  <c r="F425" i="1"/>
  <c r="F407" i="1"/>
  <c r="F389" i="1"/>
  <c r="F371" i="1"/>
  <c r="F353" i="1"/>
  <c r="F335" i="1"/>
  <c r="F317" i="1"/>
  <c r="F299" i="1"/>
  <c r="F467" i="1"/>
  <c r="F449" i="1"/>
  <c r="F431" i="1"/>
  <c r="F413" i="1"/>
  <c r="F395" i="1"/>
  <c r="F377" i="1"/>
  <c r="F359" i="1"/>
  <c r="F341" i="1"/>
  <c r="F323" i="1"/>
  <c r="F305" i="1"/>
  <c r="F287" i="1"/>
  <c r="F724" i="1"/>
  <c r="F669" i="1"/>
  <c r="F683" i="1"/>
  <c r="F578" i="1"/>
  <c r="F542" i="1"/>
  <c r="F524" i="1"/>
  <c r="F506" i="1"/>
  <c r="F488" i="1"/>
  <c r="F470" i="1"/>
  <c r="F452" i="1"/>
  <c r="F434" i="1"/>
  <c r="F416" i="1"/>
  <c r="F398" i="1"/>
  <c r="F380" i="1"/>
  <c r="F362" i="1"/>
  <c r="F344" i="1"/>
  <c r="F326" i="1"/>
  <c r="F308" i="1"/>
  <c r="F290" i="1"/>
  <c r="F272" i="1"/>
  <c r="F254" i="1"/>
  <c r="F236" i="1"/>
  <c r="F218" i="1"/>
  <c r="F200" i="1"/>
  <c r="F182" i="1"/>
  <c r="F164" i="1"/>
  <c r="F146" i="1"/>
  <c r="F128" i="1"/>
  <c r="F110" i="1"/>
  <c r="F92" i="1"/>
  <c r="F74" i="1"/>
  <c r="F56" i="1"/>
  <c r="F38" i="1"/>
</calcChain>
</file>

<file path=xl/sharedStrings.xml><?xml version="1.0" encoding="utf-8"?>
<sst xmlns="http://schemas.openxmlformats.org/spreadsheetml/2006/main" count="41" uniqueCount="32">
  <si>
    <t>https://www.conference-board.org/data/bcicountry.cfm?cid=1</t>
  </si>
  <si>
    <t>Date</t>
  </si>
  <si>
    <t>Conference Board Leading Indicator</t>
  </si>
  <si>
    <t>Var y/y %</t>
  </si>
  <si>
    <t>GDP y/y %</t>
  </si>
  <si>
    <t>S&amp;P 500</t>
  </si>
  <si>
    <t>S&amp;P y/y %</t>
  </si>
  <si>
    <t>Definition</t>
  </si>
  <si>
    <t>Process / TO DO LIST</t>
  </si>
  <si>
    <t>TO DO LIST</t>
  </si>
  <si>
    <t>Comments</t>
  </si>
  <si>
    <t>Consumer Confidence</t>
  </si>
  <si>
    <t>Mich Current Index</t>
  </si>
  <si>
    <t>Mich Expected Index</t>
  </si>
  <si>
    <t>UMCSI</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</si>
  <si>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</si>
  <si>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</si>
  <si>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 xml:space="preserve">University of Michigan Consumer Sentiment Index (MCSI) </t>
  </si>
  <si>
    <t>UMCSI vs GDP</t>
  </si>
  <si>
    <t>GDP yoy %</t>
  </si>
  <si>
    <t>GDP q0q %</t>
  </si>
  <si>
    <t>Conference Board</t>
  </si>
  <si>
    <t>http://www.sca.isr.umich.edu/tables.html</t>
  </si>
  <si>
    <t>https://fred.stlouisfed.org/series/GDPC1</t>
  </si>
  <si>
    <t>Real Gross Domestic Product</t>
  </si>
  <si>
    <t>Current Index</t>
  </si>
  <si>
    <t>Expected Index</t>
  </si>
  <si>
    <t>mom</t>
  </si>
  <si>
    <t>yoy</t>
  </si>
  <si>
    <t>Last</t>
  </si>
  <si>
    <t>Var.</t>
  </si>
  <si>
    <t>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</si>
</sst>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sz val="8"/>
      <name val="Calibri"/>
      <family val="2"/>
      <scheme val="minor"/>
    </font>
    <font>
      <sz val="8"/>
      <color theme="1"/>
      <name val="Garamond"/>
      <family val="1"/>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5" fillId="0" borderId="0"/>
  </cellStyleXfs>
  <cellXfs count="77">
    <xf numFmtId="0" fontId="0" fillId="0" borderId="0" xfId="0"/>
    <xf numFmtId="0" fontId="4" fillId="2" borderId="0" xfId="2" applyFill="1"/>
    <xf numFmtId="0" fontId="0" fillId="2" borderId="0" xfId="0" applyFill="1"/>
    <xf numFmtId="14" fontId="0" fillId="2" borderId="0" xfId="0" applyNumberFormat="1" applyFill="1"/>
    <xf numFmtId="2" fontId="0" fillId="2" borderId="0" xfId="0" applyNumberFormat="1" applyFill="1" applyAlignment="1">
      <alignment horizontal="center"/>
    </xf>
    <xf numFmtId="0" fontId="0" fillId="2" borderId="0" xfId="0"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9" xfId="0" applyFill="1" applyBorder="1" applyAlignment="1">
      <alignment horizontal="center" wrapText="1"/>
    </xf>
    <xf numFmtId="0" fontId="0" fillId="3" borderId="10" xfId="0" applyFill="1" applyBorder="1" applyAlignment="1">
      <alignment horizontal="center" wrapText="1"/>
    </xf>
    <xf numFmtId="0" fontId="0" fillId="3" borderId="11" xfId="0" applyFill="1" applyBorder="1" applyAlignment="1">
      <alignment horizontal="center" wrapText="1"/>
    </xf>
    <xf numFmtId="14" fontId="0" fillId="2" borderId="8" xfId="0" applyNumberFormat="1" applyFill="1" applyBorder="1" applyAlignment="1">
      <alignment horizontal="center"/>
    </xf>
    <xf numFmtId="0" fontId="0" fillId="2" borderId="8" xfId="0" applyFill="1" applyBorder="1" applyAlignment="1">
      <alignment horizontal="center" wrapText="1"/>
    </xf>
    <xf numFmtId="0" fontId="0" fillId="2" borderId="8" xfId="0" applyFill="1" applyBorder="1" applyAlignment="1">
      <alignment horizontal="center"/>
    </xf>
    <xf numFmtId="0" fontId="0" fillId="2" borderId="0" xfId="0" applyFill="1" applyBorder="1" applyAlignment="1">
      <alignment horizontal="center"/>
    </xf>
    <xf numFmtId="0" fontId="8" fillId="0" borderId="0" xfId="0" applyFont="1"/>
    <xf numFmtId="164" fontId="10" fillId="2" borderId="8" xfId="0" applyNumberFormat="1" applyFont="1" applyFill="1" applyBorder="1" applyAlignment="1">
      <alignment horizontal="center"/>
    </xf>
    <xf numFmtId="164" fontId="11" fillId="2" borderId="8" xfId="0" applyNumberFormat="1" applyFont="1" applyFill="1" applyBorder="1" applyAlignment="1" applyProtection="1">
      <alignment horizontal="center"/>
      <protection locked="0"/>
    </xf>
    <xf numFmtId="164" fontId="12" fillId="2" borderId="8" xfId="0" applyNumberFormat="1" applyFont="1" applyFill="1" applyBorder="1" applyAlignment="1">
      <alignment horizontal="center"/>
    </xf>
    <xf numFmtId="0" fontId="14" fillId="3" borderId="12" xfId="0" applyFont="1" applyFill="1" applyBorder="1" applyAlignment="1">
      <alignment horizontal="center"/>
    </xf>
    <xf numFmtId="164" fontId="14" fillId="3" borderId="13" xfId="0" applyNumberFormat="1" applyFont="1" applyFill="1" applyBorder="1" applyAlignment="1">
      <alignment horizontal="center"/>
    </xf>
    <xf numFmtId="0" fontId="14" fillId="3" borderId="10" xfId="0" applyFont="1" applyFill="1" applyBorder="1" applyAlignment="1">
      <alignment horizontal="center"/>
    </xf>
    <xf numFmtId="165" fontId="14" fillId="3" borderId="11" xfId="0" applyNumberFormat="1" applyFont="1" applyFill="1" applyBorder="1" applyAlignment="1">
      <alignment horizontal="center"/>
    </xf>
    <xf numFmtId="17" fontId="9" fillId="2" borderId="8" xfId="0" applyNumberFormat="1" applyFont="1" applyFill="1" applyBorder="1" applyAlignment="1">
      <alignment horizontal="center" vertical="top" wrapText="1"/>
    </xf>
    <xf numFmtId="10" fontId="0" fillId="2" borderId="8" xfId="0" applyNumberFormat="1" applyFill="1" applyBorder="1" applyAlignment="1">
      <alignment horizontal="center"/>
    </xf>
    <xf numFmtId="17" fontId="13" fillId="2" borderId="8"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8" xfId="0" applyNumberFormat="1" applyFill="1" applyBorder="1" applyAlignment="1">
      <alignment horizontal="center" wrapText="1"/>
    </xf>
    <xf numFmtId="0" fontId="0" fillId="2" borderId="10" xfId="0" applyFill="1" applyBorder="1" applyAlignment="1">
      <alignment horizontal="center"/>
    </xf>
    <xf numFmtId="0" fontId="0" fillId="2" borderId="11" xfId="0"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0" fillId="2" borderId="1" xfId="0" applyFill="1" applyBorder="1" applyAlignment="1">
      <alignment horizontal="center"/>
    </xf>
    <xf numFmtId="0" fontId="0" fillId="2" borderId="17" xfId="0" applyFill="1" applyBorder="1" applyAlignment="1">
      <alignment horizontal="center"/>
    </xf>
    <xf numFmtId="0" fontId="0" fillId="2" borderId="9" xfId="0" applyFill="1" applyBorder="1" applyAlignment="1">
      <alignment horizontal="center"/>
    </xf>
    <xf numFmtId="0" fontId="0" fillId="2" borderId="16" xfId="0" applyFill="1" applyBorder="1" applyAlignment="1">
      <alignment horizontal="center"/>
    </xf>
    <xf numFmtId="0" fontId="3" fillId="2" borderId="18" xfId="0" applyFont="1" applyFill="1" applyBorder="1" applyAlignment="1"/>
    <xf numFmtId="0" fontId="3" fillId="2" borderId="20" xfId="0" applyFont="1" applyFill="1" applyBorder="1" applyAlignment="1"/>
    <xf numFmtId="0" fontId="3" fillId="2" borderId="19" xfId="0" applyFont="1" applyFill="1" applyBorder="1" applyAlignment="1"/>
    <xf numFmtId="14" fontId="15" fillId="2" borderId="18" xfId="0" applyNumberFormat="1"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3" fillId="2" borderId="9" xfId="0" applyFont="1" applyFill="1" applyBorder="1" applyAlignment="1">
      <alignment horizontal="center"/>
    </xf>
    <xf numFmtId="0" fontId="3" fillId="2" borderId="19" xfId="0" applyFont="1" applyFill="1" applyBorder="1" applyAlignment="1">
      <alignment horizontal="center"/>
    </xf>
    <xf numFmtId="0" fontId="3" fillId="2" borderId="0" xfId="0" applyFont="1" applyFill="1" applyBorder="1" applyAlignment="1">
      <alignment horizontal="center"/>
    </xf>
    <xf numFmtId="0" fontId="3" fillId="2" borderId="15" xfId="0" applyFont="1" applyFill="1" applyBorder="1" applyAlignment="1">
      <alignment horizontal="center"/>
    </xf>
    <xf numFmtId="0" fontId="3" fillId="2" borderId="14"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10" fontId="10" fillId="2" borderId="8" xfId="0" applyNumberFormat="1" applyFont="1" applyFill="1" applyBorder="1" applyAlignment="1">
      <alignment horizontal="center"/>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 fillId="4" borderId="5" xfId="0" applyFont="1"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2" borderId="0" xfId="0" applyFill="1" applyAlignment="1">
      <alignment vertical="center" wrapText="1"/>
    </xf>
    <xf numFmtId="0" fontId="0" fillId="0" borderId="0" xfId="0" applyAlignment="1">
      <alignment wrapText="1"/>
    </xf>
    <xf numFmtId="0" fontId="4" fillId="2" borderId="0" xfId="2" applyFill="1"/>
    <xf numFmtId="0" fontId="0" fillId="0" borderId="0" xfId="0"/>
    <xf numFmtId="0" fontId="7" fillId="2" borderId="0" xfId="0" applyFont="1" applyFill="1" applyAlignment="1">
      <alignment wrapText="1"/>
    </xf>
    <xf numFmtId="0" fontId="0" fillId="2" borderId="0" xfId="0" applyFill="1" applyAlignment="1">
      <alignment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xf numFmtId="0" fontId="0" fillId="4" borderId="6" xfId="0" applyFill="1" applyBorder="1" applyAlignment="1">
      <alignment horizontal="center"/>
    </xf>
    <xf numFmtId="0" fontId="0" fillId="4" borderId="7" xfId="0" applyFill="1" applyBorder="1" applyAlignment="1">
      <alignment horizontal="center"/>
    </xf>
  </cellXfs>
  <cellStyles count="4">
    <cellStyle name="Hyperlink" xfId="2" builtinId="8"/>
    <cellStyle name="Normal" xfId="0" builtinId="0"/>
    <cellStyle name="Normal 3" xfId="3" xr:uid="{C2910B4D-EE5A-46D6-8E54-CB808BC05A1D}"/>
    <cellStyle name="Per cent" xfId="1" builtinId="5"/>
  </cellStyles>
  <dxfs count="25">
    <dxf>
      <numFmt numFmtId="165" formatCode="0.0%"/>
      <fill>
        <patternFill>
          <fgColor indexed="64"/>
          <bgColor theme="0"/>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scheme val="minor"/>
      </font>
      <numFmt numFmtId="164" formatCode="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1"/>
        <name val="Calibri"/>
        <scheme val="minor"/>
      </font>
      <numFmt numFmtId="22" formatCode="mmm\-yy"/>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textRotation="0" indent="0" justifyLastLine="0" shrinkToFit="0" readingOrder="0"/>
    </dxf>
    <dxf>
      <border>
        <bottom style="medium">
          <color indexed="64"/>
        </bottom>
      </border>
    </dxf>
    <dxf>
      <font>
        <strike val="0"/>
        <outline val="0"/>
        <shadow val="0"/>
        <u val="none"/>
        <vertAlign val="baseline"/>
        <sz val="12"/>
        <color theme="0"/>
        <name val="Calibri"/>
        <family val="2"/>
        <scheme val="minor"/>
      </font>
      <fill>
        <patternFill patternType="solid">
          <fgColor indexed="64"/>
          <bgColor rgb="FF00B05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right/>
        <top/>
        <bottom/>
        <vertical/>
        <horizontal/>
      </border>
    </dxf>
    <dxf>
      <fill>
        <patternFill patternType="solid">
          <fgColor indexed="64"/>
          <bgColor theme="0"/>
        </patternFill>
      </fill>
      <alignment horizontal="center" vertical="bottom" textRotation="0" wrapText="0" indent="0" justifyLastLine="0" shrinkToFit="0" readingOrder="0"/>
    </dxf>
    <dxf>
      <numFmt numFmtId="2" formatCode="0.00"/>
      <fill>
        <patternFill patternType="solid">
          <fgColor indexed="64"/>
          <bgColor theme="0"/>
        </patternFill>
      </fill>
      <alignment horizontal="center" vertical="bottom" textRotation="0" wrapText="0" indent="0" justifyLastLine="0" shrinkToFit="0" readingOrder="0"/>
    </dxf>
    <dxf>
      <numFmt numFmtId="14" formatCode="0.0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2" formatCode="0.00"/>
      <fill>
        <patternFill>
          <fgColor indexed="64"/>
          <bgColor theme="0"/>
        </patternFill>
      </fill>
      <alignment horizontal="center" vertical="bottom" textRotation="0" wrapText="0" indent="0" justifyLastLine="0" shrinkToFit="0" readingOrder="0"/>
    </dxf>
    <dxf>
      <numFmt numFmtId="166" formatCode="dd/mm/yyyy"/>
      <fill>
        <patternFill>
          <fgColor indexed="64"/>
          <bgColor theme="0"/>
        </patternFill>
      </fill>
      <alignment horizontal="center" vertical="bottom" textRotation="0" wrapText="0" indent="0" justifyLastLine="0" shrinkToFit="0" readingOrder="0"/>
    </dxf>
    <dxf>
      <fill>
        <patternFill>
          <fgColor indexed="64"/>
          <bgColor theme="0"/>
        </patternFill>
      </fill>
    </dxf>
    <dxf>
      <fill>
        <patternFill patternType="solid">
          <fgColor indexed="64"/>
          <bgColor rgb="FF00B050"/>
        </patternFill>
      </fill>
      <alignment horizontal="center" vertical="bottom" textRotation="0" wrapText="1" indent="0" justifyLastLine="0" shrinkToFit="0" readingOrder="0"/>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A902-47E0-AB47-AD6D986A78AC}"/>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05"/>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Board'!$B$10:$B$759</c:f>
              <c:numCache>
                <c:formatCode>0.00</c:formatCode>
                <c:ptCount val="750"/>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114.3</c:v>
                </c:pt>
                <c:pt idx="749">
                  <c:v>115.1</c:v>
                </c:pt>
              </c:numCache>
            </c:numRef>
          </c:val>
          <c:smooth val="0"/>
          <c:extLst>
            <c:ext xmlns:c16="http://schemas.microsoft.com/office/drawing/2014/chart" uri="{C3380CC4-5D6E-409C-BE32-E72D297353CC}">
              <c16:uniqueId val="{00000000-3052-4494-B246-7A99F12B7E56}"/>
            </c:ext>
          </c:extLst>
        </c:ser>
        <c:dLbls>
          <c:showLegendKey val="0"/>
          <c:showVal val="0"/>
          <c:showCatName val="0"/>
          <c:showSerName val="0"/>
          <c:showPercent val="0"/>
          <c:showBubbleSize val="0"/>
        </c:dLbls>
        <c:smooth val="0"/>
        <c:axId val="1131136992"/>
        <c:axId val="1131137648"/>
      </c:lineChart>
      <c:dateAx>
        <c:axId val="113113699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7648"/>
        <c:crosses val="autoZero"/>
        <c:auto val="1"/>
        <c:lblOffset val="100"/>
        <c:baseTimeUnit val="months"/>
      </c:dateAx>
      <c:valAx>
        <c:axId val="1131137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1"/>
          <c:tx>
            <c:strRef>
              <c:f>'Conference Board'!$D$9</c:f>
              <c:strCache>
                <c:ptCount val="1"/>
                <c:pt idx="0">
                  <c:v>GDP y/y %</c:v>
                </c:pt>
              </c:strCache>
            </c:strRef>
          </c:tx>
          <c:spPr>
            <a:solidFill>
              <a:schemeClr val="accent3"/>
            </a:solidFill>
            <a:ln>
              <a:noFill/>
            </a:ln>
            <a:effectLst/>
          </c:spPr>
          <c:invertIfNegative val="0"/>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Board'!$D$10:$D$759</c:f>
              <c:numCache>
                <c:formatCode>0.00%</c:formatCode>
                <c:ptCount val="750"/>
                <c:pt idx="0">
                  <c:v>7.4205666774708884E-2</c:v>
                </c:pt>
                <c:pt idx="3">
                  <c:v>9.1270566993199923E-2</c:v>
                </c:pt>
                <c:pt idx="6">
                  <c:v>6.7350624843805607E-2</c:v>
                </c:pt>
                <c:pt idx="9">
                  <c:v>4.5925594621109102E-2</c:v>
                </c:pt>
                <c:pt idx="12">
                  <c:v>4.9271029258767605E-2</c:v>
                </c:pt>
                <c:pt idx="15">
                  <c:v>2.0582762703688182E-2</c:v>
                </c:pt>
                <c:pt idx="18">
                  <c:v>2.4846516976961257E-2</c:v>
                </c:pt>
                <c:pt idx="21">
                  <c:v>8.8177668794687733E-3</c:v>
                </c:pt>
                <c:pt idx="24">
                  <c:v>-6.6949410472144418E-3</c:v>
                </c:pt>
                <c:pt idx="27">
                  <c:v>1.5644451592467731E-2</c:v>
                </c:pt>
                <c:pt idx="30">
                  <c:v>3.0101138383319188E-2</c:v>
                </c:pt>
                <c:pt idx="33">
                  <c:v>6.3957742691929387E-2</c:v>
                </c:pt>
                <c:pt idx="36">
                  <c:v>7.5673376511220969E-2</c:v>
                </c:pt>
                <c:pt idx="39">
                  <c:v>6.7277132260258818E-2</c:v>
                </c:pt>
                <c:pt idx="42">
                  <c:v>6.0039773692611098E-2</c:v>
                </c:pt>
                <c:pt idx="45">
                  <c:v>4.3070083324584993E-2</c:v>
                </c:pt>
                <c:pt idx="48">
                  <c:v>3.5978587758931757E-2</c:v>
                </c:pt>
                <c:pt idx="51">
                  <c:v>3.8221437201470199E-2</c:v>
                </c:pt>
                <c:pt idx="54">
                  <c:v>4.8169126758357071E-2</c:v>
                </c:pt>
                <c:pt idx="57">
                  <c:v>5.1582638359753498E-2</c:v>
                </c:pt>
                <c:pt idx="60">
                  <c:v>6.2158351077956489E-2</c:v>
                </c:pt>
                <c:pt idx="63">
                  <c:v>6.1807324304429978E-2</c:v>
                </c:pt>
                <c:pt idx="66">
                  <c:v>5.5198199866676644E-2</c:v>
                </c:pt>
                <c:pt idx="69">
                  <c:v>5.1563624698257815E-2</c:v>
                </c:pt>
                <c:pt idx="72">
                  <c:v>5.4771475886737371E-2</c:v>
                </c:pt>
                <c:pt idx="75">
                  <c:v>5.6592922808848874E-2</c:v>
                </c:pt>
                <c:pt idx="78">
                  <c:v>6.3469226156710967E-2</c:v>
                </c:pt>
                <c:pt idx="81">
                  <c:v>8.4621697360409531E-2</c:v>
                </c:pt>
                <c:pt idx="84">
                  <c:v>8.4774897835246998E-2</c:v>
                </c:pt>
                <c:pt idx="87">
                  <c:v>7.490174733793456E-2</c:v>
                </c:pt>
                <c:pt idx="90">
                  <c:v>6.0428966256575838E-2</c:v>
                </c:pt>
                <c:pt idx="93">
                  <c:v>4.5050027045729968E-2</c:v>
                </c:pt>
                <c:pt idx="96">
                  <c:v>2.925050599168132E-2</c:v>
                </c:pt>
                <c:pt idx="99">
                  <c:v>2.6374869480320692E-2</c:v>
                </c:pt>
                <c:pt idx="102">
                  <c:v>2.7384763393392866E-2</c:v>
                </c:pt>
                <c:pt idx="105">
                  <c:v>2.6708620111718179E-2</c:v>
                </c:pt>
                <c:pt idx="108">
                  <c:v>3.8451879810150434E-2</c:v>
                </c:pt>
                <c:pt idx="111">
                  <c:v>5.5155926026304647E-2</c:v>
                </c:pt>
                <c:pt idx="114">
                  <c:v>5.3366843406545982E-2</c:v>
                </c:pt>
                <c:pt idx="117">
                  <c:v>4.9595600206505795E-2</c:v>
                </c:pt>
                <c:pt idx="120">
                  <c:v>4.4715990023764189E-2</c:v>
                </c:pt>
                <c:pt idx="123">
                  <c:v>3.06714490482571E-2</c:v>
                </c:pt>
                <c:pt idx="126">
                  <c:v>2.9500814269305412E-2</c:v>
                </c:pt>
                <c:pt idx="129">
                  <c:v>2.0466568237684307E-2</c:v>
                </c:pt>
                <c:pt idx="132">
                  <c:v>3.2493971777861645E-3</c:v>
                </c:pt>
                <c:pt idx="135">
                  <c:v>1.6281827163015326E-3</c:v>
                </c:pt>
                <c:pt idx="138">
                  <c:v>4.2259071963002617E-3</c:v>
                </c:pt>
                <c:pt idx="141">
                  <c:v>-1.66709311509965E-3</c:v>
                </c:pt>
                <c:pt idx="144">
                  <c:v>2.6972442943454543E-2</c:v>
                </c:pt>
                <c:pt idx="147">
                  <c:v>3.1066227041022677E-2</c:v>
                </c:pt>
                <c:pt idx="150">
                  <c:v>3.0058973867138742E-2</c:v>
                </c:pt>
                <c:pt idx="153">
                  <c:v>4.367208414299667E-2</c:v>
                </c:pt>
                <c:pt idx="156">
                  <c:v>3.4760715822843999E-2</c:v>
                </c:pt>
                <c:pt idx="159">
                  <c:v>5.2551813463878744E-2</c:v>
                </c:pt>
                <c:pt idx="162">
                  <c:v>5.3819247156327056E-2</c:v>
                </c:pt>
                <c:pt idx="165">
                  <c:v>6.8944692011348688E-2</c:v>
                </c:pt>
                <c:pt idx="168">
                  <c:v>7.5618941306228302E-2</c:v>
                </c:pt>
                <c:pt idx="171">
                  <c:v>6.3196674026033309E-2</c:v>
                </c:pt>
                <c:pt idx="174">
                  <c:v>4.7710808846556076E-2</c:v>
                </c:pt>
                <c:pt idx="177">
                  <c:v>4.0237570999252563E-2</c:v>
                </c:pt>
                <c:pt idx="180">
                  <c:v>6.3877572829453347E-3</c:v>
                </c:pt>
                <c:pt idx="183">
                  <c:v>-2.0841156656144265E-3</c:v>
                </c:pt>
                <c:pt idx="186">
                  <c:v>-6.2898080752895264E-3</c:v>
                </c:pt>
                <c:pt idx="189">
                  <c:v>-1.9454395631254444E-2</c:v>
                </c:pt>
                <c:pt idx="192">
                  <c:v>-2.2990596636949218E-2</c:v>
                </c:pt>
                <c:pt idx="195">
                  <c:v>-1.8342612096180544E-2</c:v>
                </c:pt>
                <c:pt idx="198">
                  <c:v>7.9868246568049681E-3</c:v>
                </c:pt>
                <c:pt idx="201">
                  <c:v>2.5539986817473988E-2</c:v>
                </c:pt>
                <c:pt idx="204">
                  <c:v>6.1523864866092452E-2</c:v>
                </c:pt>
                <c:pt idx="207">
                  <c:v>6.1725723898493151E-2</c:v>
                </c:pt>
                <c:pt idx="210">
                  <c:v>4.9586307175719491E-2</c:v>
                </c:pt>
                <c:pt idx="213">
                  <c:v>4.3148126414503434E-2</c:v>
                </c:pt>
                <c:pt idx="216">
                  <c:v>3.2259784362000117E-2</c:v>
                </c:pt>
                <c:pt idx="219">
                  <c:v>4.4663392503022557E-2</c:v>
                </c:pt>
                <c:pt idx="222">
                  <c:v>5.7708919888722426E-2</c:v>
                </c:pt>
                <c:pt idx="225">
                  <c:v>5.0120296166899475E-2</c:v>
                </c:pt>
                <c:pt idx="228">
                  <c:v>4.1170696113854294E-2</c:v>
                </c:pt>
                <c:pt idx="231">
                  <c:v>6.0781394862534283E-2</c:v>
                </c:pt>
                <c:pt idx="234">
                  <c:v>5.2457764575845327E-2</c:v>
                </c:pt>
                <c:pt idx="237">
                  <c:v>6.6581009539036395E-2</c:v>
                </c:pt>
                <c:pt idx="240">
                  <c:v>6.5098989840264881E-2</c:v>
                </c:pt>
                <c:pt idx="243">
                  <c:v>2.6568700670328314E-2</c:v>
                </c:pt>
                <c:pt idx="246">
                  <c:v>2.3899265371251505E-2</c:v>
                </c:pt>
                <c:pt idx="249">
                  <c:v>1.2845638511357444E-2</c:v>
                </c:pt>
                <c:pt idx="252">
                  <c:v>1.4207812865719037E-2</c:v>
                </c:pt>
                <c:pt idx="255">
                  <c:v>-7.7507055423842392E-3</c:v>
                </c:pt>
                <c:pt idx="258">
                  <c:v>-1.6238086833745138E-2</c:v>
                </c:pt>
                <c:pt idx="261">
                  <c:v>-3.9142026726618538E-4</c:v>
                </c:pt>
                <c:pt idx="264">
                  <c:v>1.5999816310917868E-2</c:v>
                </c:pt>
                <c:pt idx="267">
                  <c:v>2.9686924394553674E-2</c:v>
                </c:pt>
                <c:pt idx="270">
                  <c:v>4.3257573786844139E-2</c:v>
                </c:pt>
                <c:pt idx="273">
                  <c:v>1.2999126004342785E-2</c:v>
                </c:pt>
                <c:pt idx="276">
                  <c:v>-2.1903423068408204E-2</c:v>
                </c:pt>
                <c:pt idx="279">
                  <c:v>-1.0105489634705466E-2</c:v>
                </c:pt>
                <c:pt idx="282">
                  <c:v>-2.5558978151038962E-2</c:v>
                </c:pt>
                <c:pt idx="285">
                  <c:v>-1.4431539363715747E-2</c:v>
                </c:pt>
                <c:pt idx="288">
                  <c:v>1.431460579571856E-2</c:v>
                </c:pt>
                <c:pt idx="291">
                  <c:v>3.2685328593721856E-2</c:v>
                </c:pt>
                <c:pt idx="294">
                  <c:v>5.7371700647417881E-2</c:v>
                </c:pt>
                <c:pt idx="297">
                  <c:v>7.8999814332883903E-2</c:v>
                </c:pt>
                <c:pt idx="300">
                  <c:v>8.5782740465086021E-2</c:v>
                </c:pt>
                <c:pt idx="303">
                  <c:v>7.9967008002006484E-2</c:v>
                </c:pt>
                <c:pt idx="306">
                  <c:v>6.900836952300847E-2</c:v>
                </c:pt>
                <c:pt idx="309">
                  <c:v>5.5758033529916554E-2</c:v>
                </c:pt>
                <c:pt idx="312">
                  <c:v>4.5551129297211133E-2</c:v>
                </c:pt>
                <c:pt idx="315">
                  <c:v>3.6842273957041177E-2</c:v>
                </c:pt>
                <c:pt idx="318">
                  <c:v>4.2624575221189398E-2</c:v>
                </c:pt>
                <c:pt idx="321">
                  <c:v>4.1822388026765737E-2</c:v>
                </c:pt>
                <c:pt idx="324">
                  <c:v>4.1455235245001817E-2</c:v>
                </c:pt>
                <c:pt idx="327">
                  <c:v>3.7015325720980791E-2</c:v>
                </c:pt>
                <c:pt idx="330">
                  <c:v>3.1192309544910268E-2</c:v>
                </c:pt>
                <c:pt idx="333">
                  <c:v>2.9081512389265457E-2</c:v>
                </c:pt>
                <c:pt idx="336">
                  <c:v>2.7161342870673687E-2</c:v>
                </c:pt>
                <c:pt idx="339">
                  <c:v>3.3588249573656623E-2</c:v>
                </c:pt>
                <c:pt idx="342">
                  <c:v>3.2672772854671052E-2</c:v>
                </c:pt>
                <c:pt idx="345">
                  <c:v>4.4792977774129314E-2</c:v>
                </c:pt>
                <c:pt idx="348">
                  <c:v>4.24228159614237E-2</c:v>
                </c:pt>
                <c:pt idx="351">
                  <c:v>4.484604620227356E-2</c:v>
                </c:pt>
                <c:pt idx="354">
                  <c:v>4.1928205272430713E-2</c:v>
                </c:pt>
                <c:pt idx="357">
                  <c:v>3.7989037531788027E-2</c:v>
                </c:pt>
                <c:pt idx="360">
                  <c:v>4.3152062015774019E-2</c:v>
                </c:pt>
                <c:pt idx="363">
                  <c:v>3.7482970179445199E-2</c:v>
                </c:pt>
                <c:pt idx="366">
                  <c:v>3.908120567714899E-2</c:v>
                </c:pt>
                <c:pt idx="369">
                  <c:v>2.7438111777549921E-2</c:v>
                </c:pt>
                <c:pt idx="372">
                  <c:v>2.8213017007731121E-2</c:v>
                </c:pt>
                <c:pt idx="375">
                  <c:v>2.4127636564784692E-2</c:v>
                </c:pt>
                <c:pt idx="378">
                  <c:v>1.7272143084210042E-2</c:v>
                </c:pt>
                <c:pt idx="381">
                  <c:v>6.0287596757870564E-3</c:v>
                </c:pt>
                <c:pt idx="384">
                  <c:v>-9.501950623666407E-3</c:v>
                </c:pt>
                <c:pt idx="387">
                  <c:v>-5.388378142790304E-3</c:v>
                </c:pt>
                <c:pt idx="390">
                  <c:v>-1.0271852984184444E-3</c:v>
                </c:pt>
                <c:pt idx="393">
                  <c:v>1.1664204321365066E-2</c:v>
                </c:pt>
                <c:pt idx="396">
                  <c:v>2.8586525919191606E-2</c:v>
                </c:pt>
                <c:pt idx="399">
                  <c:v>3.1695712595280374E-2</c:v>
                </c:pt>
                <c:pt idx="402">
                  <c:v>3.6653496782618103E-2</c:v>
                </c:pt>
                <c:pt idx="405">
                  <c:v>4.3829767135290125E-2</c:v>
                </c:pt>
                <c:pt idx="408">
                  <c:v>3.3209094782169685E-2</c:v>
                </c:pt>
                <c:pt idx="411">
                  <c:v>2.8078701503631745E-2</c:v>
                </c:pt>
                <c:pt idx="414">
                  <c:v>2.2877065695919026E-2</c:v>
                </c:pt>
                <c:pt idx="417">
                  <c:v>2.6085590436127543E-2</c:v>
                </c:pt>
                <c:pt idx="420">
                  <c:v>3.430940273615609E-2</c:v>
                </c:pt>
                <c:pt idx="423">
                  <c:v>4.2254474939159931E-2</c:v>
                </c:pt>
                <c:pt idx="426">
                  <c:v>4.3366469321262188E-2</c:v>
                </c:pt>
                <c:pt idx="429">
                  <c:v>4.1157564491065148E-2</c:v>
                </c:pt>
                <c:pt idx="432">
                  <c:v>3.4811227923887036E-2</c:v>
                </c:pt>
                <c:pt idx="435">
                  <c:v>2.4022518018026316E-2</c:v>
                </c:pt>
                <c:pt idx="438">
                  <c:v>2.6732241097901271E-2</c:v>
                </c:pt>
                <c:pt idx="441">
                  <c:v>2.1996746355449796E-2</c:v>
                </c:pt>
                <c:pt idx="444">
                  <c:v>2.6011121012811167E-2</c:v>
                </c:pt>
                <c:pt idx="447">
                  <c:v>4.0020614462274562E-2</c:v>
                </c:pt>
                <c:pt idx="450">
                  <c:v>4.049822504514753E-2</c:v>
                </c:pt>
                <c:pt idx="453">
                  <c:v>4.4212151121520417E-2</c:v>
                </c:pt>
                <c:pt idx="456">
                  <c:v>4.3140643984745174E-2</c:v>
                </c:pt>
                <c:pt idx="459">
                  <c:v>4.3080662668359818E-2</c:v>
                </c:pt>
                <c:pt idx="462">
                  <c:v>4.6738859307256304E-2</c:v>
                </c:pt>
                <c:pt idx="465">
                  <c:v>4.4878594353207076E-2</c:v>
                </c:pt>
                <c:pt idx="468">
                  <c:v>4.8552862413130518E-2</c:v>
                </c:pt>
                <c:pt idx="471">
                  <c:v>4.0959674731917743E-2</c:v>
                </c:pt>
                <c:pt idx="474">
                  <c:v>4.0977351563013784E-2</c:v>
                </c:pt>
                <c:pt idx="477">
                  <c:v>4.8791107562503447E-2</c:v>
                </c:pt>
                <c:pt idx="480">
                  <c:v>4.8240665571038822E-2</c:v>
                </c:pt>
                <c:pt idx="483">
                  <c:v>4.6613675126645139E-2</c:v>
                </c:pt>
                <c:pt idx="486">
                  <c:v>4.7203872038918931E-2</c:v>
                </c:pt>
                <c:pt idx="489">
                  <c:v>4.8066493041425962E-2</c:v>
                </c:pt>
                <c:pt idx="492">
                  <c:v>4.199578289410727E-2</c:v>
                </c:pt>
                <c:pt idx="495">
                  <c:v>5.2977375076148039E-2</c:v>
                </c:pt>
                <c:pt idx="498">
                  <c:v>4.0753302004322221E-2</c:v>
                </c:pt>
                <c:pt idx="501">
                  <c:v>2.9734826997560696E-2</c:v>
                </c:pt>
                <c:pt idx="504">
                  <c:v>2.3097095761363286E-2</c:v>
                </c:pt>
                <c:pt idx="507">
                  <c:v>1.0572423861634371E-2</c:v>
                </c:pt>
                <c:pt idx="510">
                  <c:v>5.035884805301742E-3</c:v>
                </c:pt>
                <c:pt idx="513">
                  <c:v>1.534858473726491E-3</c:v>
                </c:pt>
                <c:pt idx="516">
                  <c:v>1.3182794121317213E-2</c:v>
                </c:pt>
                <c:pt idx="519">
                  <c:v>1.3396106341180535E-2</c:v>
                </c:pt>
                <c:pt idx="522">
                  <c:v>2.2143660477966304E-2</c:v>
                </c:pt>
                <c:pt idx="525">
                  <c:v>2.0945407221023796E-2</c:v>
                </c:pt>
                <c:pt idx="528">
                  <c:v>1.7709260624130696E-2</c:v>
                </c:pt>
                <c:pt idx="531">
                  <c:v>2.0284012229569721E-2</c:v>
                </c:pt>
                <c:pt idx="534">
                  <c:v>3.3018069338085973E-2</c:v>
                </c:pt>
                <c:pt idx="537">
                  <c:v>4.3263634159134756E-2</c:v>
                </c:pt>
                <c:pt idx="540">
                  <c:v>4.304555592447934E-2</c:v>
                </c:pt>
                <c:pt idx="543">
                  <c:v>4.2030192539120853E-2</c:v>
                </c:pt>
                <c:pt idx="546">
                  <c:v>3.4315945293957352E-2</c:v>
                </c:pt>
                <c:pt idx="549">
                  <c:v>3.2817945028310813E-2</c:v>
                </c:pt>
                <c:pt idx="552">
                  <c:v>3.8706793481566561E-2</c:v>
                </c:pt>
                <c:pt idx="555">
                  <c:v>3.5608931295200826E-2</c:v>
                </c:pt>
                <c:pt idx="558">
                  <c:v>3.5054999023849572E-2</c:v>
                </c:pt>
                <c:pt idx="561">
                  <c:v>3.1261114057367735E-2</c:v>
                </c:pt>
                <c:pt idx="564">
                  <c:v>3.3538948585265092E-2</c:v>
                </c:pt>
                <c:pt idx="567">
                  <c:v>3.119473048862852E-2</c:v>
                </c:pt>
                <c:pt idx="570">
                  <c:v>2.3665022848568428E-2</c:v>
                </c:pt>
                <c:pt idx="573">
                  <c:v>2.5907044570183974E-2</c:v>
                </c:pt>
                <c:pt idx="576">
                  <c:v>1.4822926220208159E-2</c:v>
                </c:pt>
                <c:pt idx="579">
                  <c:v>1.8256902946243766E-2</c:v>
                </c:pt>
                <c:pt idx="582">
                  <c:v>2.2208131763507111E-2</c:v>
                </c:pt>
                <c:pt idx="585">
                  <c:v>1.9734775241238147E-2</c:v>
                </c:pt>
                <c:pt idx="588">
                  <c:v>1.1492366262432467E-2</c:v>
                </c:pt>
                <c:pt idx="591">
                  <c:v>1.0924276179985013E-2</c:v>
                </c:pt>
                <c:pt idx="594">
                  <c:v>1.876587200219146E-5</c:v>
                </c:pt>
                <c:pt idx="597">
                  <c:v>-2.7530827846549893E-2</c:v>
                </c:pt>
                <c:pt idx="600">
                  <c:v>-3.2890715516301232E-2</c:v>
                </c:pt>
                <c:pt idx="603">
                  <c:v>-3.9244471349849222E-2</c:v>
                </c:pt>
                <c:pt idx="606">
                  <c:v>-3.0497799455570112E-2</c:v>
                </c:pt>
                <c:pt idx="609">
                  <c:v>1.8287415594975698E-3</c:v>
                </c:pt>
                <c:pt idx="612">
                  <c:v>1.7102535375568915E-2</c:v>
                </c:pt>
                <c:pt idx="615">
                  <c:v>2.7960666618343167E-2</c:v>
                </c:pt>
                <c:pt idx="618">
                  <c:v>3.1782075474306767E-2</c:v>
                </c:pt>
                <c:pt idx="621">
                  <c:v>2.5694549994536298E-2</c:v>
                </c:pt>
                <c:pt idx="624">
                  <c:v>1.9306273148906504E-2</c:v>
                </c:pt>
                <c:pt idx="627">
                  <c:v>1.7215030625217995E-2</c:v>
                </c:pt>
                <c:pt idx="630">
                  <c:v>9.4903849657161834E-3</c:v>
                </c:pt>
                <c:pt idx="633">
                  <c:v>1.6093456608864725E-2</c:v>
                </c:pt>
                <c:pt idx="636">
                  <c:v>2.6517566557714759E-2</c:v>
                </c:pt>
                <c:pt idx="639">
                  <c:v>2.3615085810537968E-2</c:v>
                </c:pt>
                <c:pt idx="642">
                  <c:v>2.528124545690132E-2</c:v>
                </c:pt>
                <c:pt idx="645">
                  <c:v>1.4685667872627999E-2</c:v>
                </c:pt>
                <c:pt idx="648">
                  <c:v>1.5719476053010734E-2</c:v>
                </c:pt>
                <c:pt idx="651">
                  <c:v>1.2616546391348423E-2</c:v>
                </c:pt>
                <c:pt idx="654">
                  <c:v>1.9174180691829863E-2</c:v>
                </c:pt>
                <c:pt idx="657">
                  <c:v>2.6141227446924854E-2</c:v>
                </c:pt>
                <c:pt idx="660">
                  <c:v>1.4257249176644771E-2</c:v>
                </c:pt>
                <c:pt idx="663">
                  <c:v>2.6720123780876529E-2</c:v>
                </c:pt>
                <c:pt idx="666">
                  <c:v>3.1177281686652052E-2</c:v>
                </c:pt>
                <c:pt idx="669">
                  <c:v>2.8768548833451736E-2</c:v>
                </c:pt>
                <c:pt idx="672">
                  <c:v>3.9782048489035673E-2</c:v>
                </c:pt>
                <c:pt idx="675">
                  <c:v>3.3500272393006146E-2</c:v>
                </c:pt>
                <c:pt idx="678">
                  <c:v>2.4410254460905882E-2</c:v>
                </c:pt>
                <c:pt idx="681">
                  <c:v>1.9008532793312233E-2</c:v>
                </c:pt>
                <c:pt idx="684">
                  <c:v>1.616308533949767E-2</c:v>
                </c:pt>
                <c:pt idx="687">
                  <c:v>1.3429417737404956E-2</c:v>
                </c:pt>
                <c:pt idx="690">
                  <c:v>1.556711585067171E-2</c:v>
                </c:pt>
                <c:pt idx="693">
                  <c:v>2.0340660220087192E-2</c:v>
                </c:pt>
                <c:pt idx="696">
                  <c:v>2.0984244373375028E-2</c:v>
                </c:pt>
                <c:pt idx="699">
                  <c:v>2.1635125469282663E-2</c:v>
                </c:pt>
                <c:pt idx="702">
                  <c:v>2.4160260058683734E-2</c:v>
                </c:pt>
                <c:pt idx="705">
                  <c:v>2.7952566368781923E-2</c:v>
                </c:pt>
                <c:pt idx="708">
                  <c:v>2.8618726561004181E-2</c:v>
                </c:pt>
                <c:pt idx="711">
                  <c:v>3.2022943393747109E-2</c:v>
                </c:pt>
                <c:pt idx="714">
                  <c:v>3.1335380435925618E-2</c:v>
                </c:pt>
                <c:pt idx="717">
                  <c:v>2.51649559797197E-2</c:v>
                </c:pt>
                <c:pt idx="720">
                  <c:v>2.6522413673225144E-2</c:v>
                </c:pt>
                <c:pt idx="723">
                  <c:v>2.2845677805866153E-2</c:v>
                </c:pt>
                <c:pt idx="726">
                  <c:v>2.0733347853381667E-2</c:v>
                </c:pt>
                <c:pt idx="729">
                  <c:v>2.3223461297088334E-2</c:v>
                </c:pt>
              </c:numCache>
            </c:numRef>
          </c:val>
          <c:extLst>
            <c:ext xmlns:c16="http://schemas.microsoft.com/office/drawing/2014/chart" uri="{C3380CC4-5D6E-409C-BE32-E72D297353CC}">
              <c16:uniqueId val="{00000002-1540-44E5-81FB-0F9458867B87}"/>
            </c:ext>
          </c:extLst>
        </c:ser>
        <c:dLbls>
          <c:showLegendKey val="0"/>
          <c:showVal val="0"/>
          <c:showCatName val="0"/>
          <c:showSerName val="0"/>
          <c:showPercent val="0"/>
          <c:showBubbleSize val="0"/>
        </c:dLbls>
        <c:gapWidth val="150"/>
        <c:axId val="1178469144"/>
        <c:axId val="1178468816"/>
      </c:barChart>
      <c:lineChart>
        <c:grouping val="standard"/>
        <c:varyColors val="0"/>
        <c:ser>
          <c:idx val="1"/>
          <c:order val="0"/>
          <c:tx>
            <c:strRef>
              <c:f>'Conference Board'!$C$9</c:f>
              <c:strCache>
                <c:ptCount val="1"/>
                <c:pt idx="0">
                  <c:v>Var y/y %</c:v>
                </c:pt>
              </c:strCache>
            </c:strRef>
          </c:tx>
          <c:spPr>
            <a:ln w="28575" cap="rnd">
              <a:solidFill>
                <a:schemeClr val="accent2"/>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Board'!$C$10:$C$759</c:f>
              <c:numCache>
                <c:formatCode>General</c:formatCode>
                <c:ptCount val="750"/>
                <c:pt idx="12" formatCode="0.00%">
                  <c:v>5.514705882352941E-2</c:v>
                </c:pt>
                <c:pt idx="13" formatCode="0.00%">
                  <c:v>3.9855072463768036E-2</c:v>
                </c:pt>
                <c:pt idx="14" formatCode="0.00%">
                  <c:v>2.1428571428571481E-2</c:v>
                </c:pt>
                <c:pt idx="15" formatCode="0.00%">
                  <c:v>2.1352313167259711E-2</c:v>
                </c:pt>
                <c:pt idx="16" formatCode="0.00%">
                  <c:v>1.4134275618374508E-2</c:v>
                </c:pt>
                <c:pt idx="17" formatCode="0.00%">
                  <c:v>1.4084507042253596E-2</c:v>
                </c:pt>
                <c:pt idx="18" formatCode="0.00%">
                  <c:v>1.052631578947371E-2</c:v>
                </c:pt>
                <c:pt idx="19" formatCode="0.00%">
                  <c:v>1.7605633802816902E-2</c:v>
                </c:pt>
                <c:pt idx="20" formatCode="0.00%">
                  <c:v>1.7605633802816902E-2</c:v>
                </c:pt>
                <c:pt idx="21" formatCode="0.00%">
                  <c:v>2.1201413427561763E-2</c:v>
                </c:pt>
                <c:pt idx="22" formatCode="0.00%">
                  <c:v>2.8469750889679613E-2</c:v>
                </c:pt>
                <c:pt idx="23" formatCode="0.00%">
                  <c:v>6.9686411149825541E-3</c:v>
                </c:pt>
                <c:pt idx="24" formatCode="0.00%">
                  <c:v>1.3937282229965231E-2</c:v>
                </c:pt>
                <c:pt idx="25" formatCode="0.00%">
                  <c:v>1.7421602787456445E-2</c:v>
                </c:pt>
                <c:pt idx="26" formatCode="0.00%">
                  <c:v>3.4965034965034961E-2</c:v>
                </c:pt>
                <c:pt idx="27" formatCode="0.00%">
                  <c:v>4.1811846689895446E-2</c:v>
                </c:pt>
                <c:pt idx="28" formatCode="0.00%">
                  <c:v>5.2264808362369339E-2</c:v>
                </c:pt>
                <c:pt idx="29" formatCode="0.00%">
                  <c:v>6.2500000000000028E-2</c:v>
                </c:pt>
                <c:pt idx="30" formatCode="0.00%">
                  <c:v>6.5972222222222168E-2</c:v>
                </c:pt>
                <c:pt idx="31" formatCode="0.00%">
                  <c:v>7.9584775086505216E-2</c:v>
                </c:pt>
                <c:pt idx="32" formatCode="0.00%">
                  <c:v>7.9584775086505216E-2</c:v>
                </c:pt>
                <c:pt idx="33" formatCode="0.00%">
                  <c:v>9.6885813148788955E-2</c:v>
                </c:pt>
                <c:pt idx="34" formatCode="0.00%">
                  <c:v>0.11072664359861602</c:v>
                </c:pt>
                <c:pt idx="35" formatCode="0.00%">
                  <c:v>0.12110726643598617</c:v>
                </c:pt>
                <c:pt idx="36" formatCode="0.00%">
                  <c:v>0.11340206185567001</c:v>
                </c:pt>
                <c:pt idx="37" formatCode="0.00%">
                  <c:v>0.12328767123287664</c:v>
                </c:pt>
                <c:pt idx="38" formatCode="0.00%">
                  <c:v>0.11148648648648639</c:v>
                </c:pt>
                <c:pt idx="39" formatCode="0.00%">
                  <c:v>0.10702341137123755</c:v>
                </c:pt>
                <c:pt idx="40" formatCode="0.00%">
                  <c:v>9.602649006622524E-2</c:v>
                </c:pt>
                <c:pt idx="41" formatCode="0.00%">
                  <c:v>7.8431372549019551E-2</c:v>
                </c:pt>
                <c:pt idx="42" formatCode="0.00%">
                  <c:v>8.1433224755700445E-2</c:v>
                </c:pt>
                <c:pt idx="43" formatCode="0.00%">
                  <c:v>7.0512820512820498E-2</c:v>
                </c:pt>
                <c:pt idx="44" formatCode="0.00%">
                  <c:v>7.3717948717948747E-2</c:v>
                </c:pt>
                <c:pt idx="45" formatCode="0.00%">
                  <c:v>5.9936908517350229E-2</c:v>
                </c:pt>
                <c:pt idx="46" formatCode="0.00%">
                  <c:v>5.9190031152647926E-2</c:v>
                </c:pt>
                <c:pt idx="47" formatCode="0.00%">
                  <c:v>5.2469135802469223E-2</c:v>
                </c:pt>
                <c:pt idx="48" formatCode="0.00%">
                  <c:v>6.1728395061728399E-2</c:v>
                </c:pt>
                <c:pt idx="49" formatCode="0.00%">
                  <c:v>5.7926829268292859E-2</c:v>
                </c:pt>
                <c:pt idx="50" formatCode="0.00%">
                  <c:v>6.3829787234042604E-2</c:v>
                </c:pt>
                <c:pt idx="51" formatCode="0.00%">
                  <c:v>6.6465256797582944E-2</c:v>
                </c:pt>
                <c:pt idx="52" formatCode="0.00%">
                  <c:v>7.5528700906344406E-2</c:v>
                </c:pt>
                <c:pt idx="53" formatCode="0.00%">
                  <c:v>8.1818181818181901E-2</c:v>
                </c:pt>
                <c:pt idx="54" formatCode="0.00%">
                  <c:v>8.1325301204819136E-2</c:v>
                </c:pt>
                <c:pt idx="55" formatCode="0.00%">
                  <c:v>7.7844311377245554E-2</c:v>
                </c:pt>
                <c:pt idx="56" formatCode="0.00%">
                  <c:v>8.6567164179104442E-2</c:v>
                </c:pt>
                <c:pt idx="57" formatCode="0.00%">
                  <c:v>8.9285714285714288E-2</c:v>
                </c:pt>
                <c:pt idx="58" formatCode="0.00%">
                  <c:v>8.2352941176470504E-2</c:v>
                </c:pt>
                <c:pt idx="59" formatCode="0.00%">
                  <c:v>8.5043988269794674E-2</c:v>
                </c:pt>
                <c:pt idx="60" formatCode="0.00%">
                  <c:v>8.1395348837209433E-2</c:v>
                </c:pt>
                <c:pt idx="61" formatCode="0.00%">
                  <c:v>8.0691642651296747E-2</c:v>
                </c:pt>
                <c:pt idx="62" formatCode="0.00%">
                  <c:v>7.7142857142857221E-2</c:v>
                </c:pt>
                <c:pt idx="63" formatCode="0.00%">
                  <c:v>7.648725212464598E-2</c:v>
                </c:pt>
                <c:pt idx="64" formatCode="0.00%">
                  <c:v>7.5842696629213363E-2</c:v>
                </c:pt>
                <c:pt idx="65" formatCode="0.00%">
                  <c:v>7.8431372549019523E-2</c:v>
                </c:pt>
                <c:pt idx="66" formatCode="0.00%">
                  <c:v>8.0779944289693553E-2</c:v>
                </c:pt>
                <c:pt idx="67" formatCode="0.00%">
                  <c:v>8.6111111111111152E-2</c:v>
                </c:pt>
                <c:pt idx="68" formatCode="0.00%">
                  <c:v>8.2417582417582416E-2</c:v>
                </c:pt>
                <c:pt idx="69" formatCode="0.00%">
                  <c:v>7.9234972677595591E-2</c:v>
                </c:pt>
                <c:pt idx="70" formatCode="0.00%">
                  <c:v>8.1521739130434784E-2</c:v>
                </c:pt>
                <c:pt idx="71" formatCode="0.00%">
                  <c:v>8.3783783783783816E-2</c:v>
                </c:pt>
                <c:pt idx="72" formatCode="0.00%">
                  <c:v>8.870967741935476E-2</c:v>
                </c:pt>
                <c:pt idx="73" formatCode="0.00%">
                  <c:v>8.2666666666666708E-2</c:v>
                </c:pt>
                <c:pt idx="74" formatCode="0.00%">
                  <c:v>9.0185676392572897E-2</c:v>
                </c:pt>
                <c:pt idx="75" formatCode="0.00%">
                  <c:v>8.4210526315789555E-2</c:v>
                </c:pt>
                <c:pt idx="76" formatCode="0.00%">
                  <c:v>8.0939947780678895E-2</c:v>
                </c:pt>
                <c:pt idx="77" formatCode="0.00%">
                  <c:v>8.051948051948056E-2</c:v>
                </c:pt>
                <c:pt idx="78" formatCode="0.00%">
                  <c:v>7.7319587628865982E-2</c:v>
                </c:pt>
                <c:pt idx="79" formatCode="0.00%">
                  <c:v>7.1611253196930874E-2</c:v>
                </c:pt>
                <c:pt idx="80" formatCode="0.00%">
                  <c:v>7.3604060913705555E-2</c:v>
                </c:pt>
                <c:pt idx="81" formatCode="0.00%">
                  <c:v>8.3544303797468286E-2</c:v>
                </c:pt>
                <c:pt idx="82" formatCode="0.00%">
                  <c:v>8.2914572864321717E-2</c:v>
                </c:pt>
                <c:pt idx="83" formatCode="0.00%">
                  <c:v>8.4788029925186997E-2</c:v>
                </c:pt>
                <c:pt idx="84" formatCode="0.00%">
                  <c:v>7.9012345679012413E-2</c:v>
                </c:pt>
                <c:pt idx="85" formatCode="0.00%">
                  <c:v>8.128078817733983E-2</c:v>
                </c:pt>
                <c:pt idx="86" formatCode="0.00%">
                  <c:v>7.7858880778588699E-2</c:v>
                </c:pt>
                <c:pt idx="87" formatCode="0.00%">
                  <c:v>8.0097087378640699E-2</c:v>
                </c:pt>
                <c:pt idx="88" formatCode="0.00%">
                  <c:v>7.0048309178743925E-2</c:v>
                </c:pt>
                <c:pt idx="89" formatCode="0.00%">
                  <c:v>6.2500000000000028E-2</c:v>
                </c:pt>
                <c:pt idx="90" formatCode="0.00%">
                  <c:v>5.5023923444976183E-2</c:v>
                </c:pt>
                <c:pt idx="91" formatCode="0.00%">
                  <c:v>5.0119331742243471E-2</c:v>
                </c:pt>
                <c:pt idx="92" formatCode="0.00%">
                  <c:v>3.782505910165488E-2</c:v>
                </c:pt>
                <c:pt idx="93" formatCode="0.00%">
                  <c:v>2.3364485981308414E-2</c:v>
                </c:pt>
                <c:pt idx="94" formatCode="0.00%">
                  <c:v>1.6241299303944218E-2</c:v>
                </c:pt>
                <c:pt idx="95" formatCode="0.00%">
                  <c:v>4.5977011494253523E-3</c:v>
                </c:pt>
                <c:pt idx="96" formatCode="0.00%">
                  <c:v>6.8649885583523373E-3</c:v>
                </c:pt>
                <c:pt idx="97" formatCode="0.00%">
                  <c:v>-4.5558086560363491E-3</c:v>
                </c:pt>
                <c:pt idx="98" formatCode="0.00%">
                  <c:v>-6.772009029345309E-3</c:v>
                </c:pt>
                <c:pt idx="99" formatCode="0.00%">
                  <c:v>-8.9887640449437881E-3</c:v>
                </c:pt>
                <c:pt idx="100" formatCode="0.00%">
                  <c:v>4.514672686230313E-3</c:v>
                </c:pt>
                <c:pt idx="101" formatCode="0.00%">
                  <c:v>1.3574660633484033E-2</c:v>
                </c:pt>
                <c:pt idx="102" formatCode="0.00%">
                  <c:v>2.040816326530609E-2</c:v>
                </c:pt>
                <c:pt idx="103" formatCode="0.00%">
                  <c:v>3.4090909090909088E-2</c:v>
                </c:pt>
                <c:pt idx="104" formatCode="0.00%">
                  <c:v>4.1002277904328116E-2</c:v>
                </c:pt>
                <c:pt idx="105" formatCode="0.00%">
                  <c:v>4.5662100456621009E-2</c:v>
                </c:pt>
                <c:pt idx="106" formatCode="0.00%">
                  <c:v>5.2511415525114256E-2</c:v>
                </c:pt>
                <c:pt idx="107" formatCode="0.00%">
                  <c:v>6.4073226544622358E-2</c:v>
                </c:pt>
                <c:pt idx="108" formatCode="0.00%">
                  <c:v>5.9090909090909124E-2</c:v>
                </c:pt>
                <c:pt idx="109" formatCode="0.00%">
                  <c:v>7.0938215102974697E-2</c:v>
                </c:pt>
                <c:pt idx="110" formatCode="0.00%">
                  <c:v>6.5909090909090876E-2</c:v>
                </c:pt>
                <c:pt idx="111" formatCode="0.00%">
                  <c:v>6.5759637188208583E-2</c:v>
                </c:pt>
                <c:pt idx="112" formatCode="0.00%">
                  <c:v>6.2921348314606676E-2</c:v>
                </c:pt>
                <c:pt idx="113" formatCode="0.00%">
                  <c:v>6.0267857142857213E-2</c:v>
                </c:pt>
                <c:pt idx="114" formatCode="0.00%">
                  <c:v>5.777777777777781E-2</c:v>
                </c:pt>
                <c:pt idx="115" formatCode="0.00%">
                  <c:v>4.3956043956043959E-2</c:v>
                </c:pt>
                <c:pt idx="116" formatCode="0.00%">
                  <c:v>5.0328227571115908E-2</c:v>
                </c:pt>
                <c:pt idx="117" formatCode="0.00%">
                  <c:v>5.458515283842795E-2</c:v>
                </c:pt>
                <c:pt idx="118" formatCode="0.00%">
                  <c:v>4.9891540130151783E-2</c:v>
                </c:pt>
                <c:pt idx="119" formatCode="0.00%">
                  <c:v>4.0860215053763409E-2</c:v>
                </c:pt>
                <c:pt idx="120" formatCode="0.00%">
                  <c:v>4.0772532188841172E-2</c:v>
                </c:pt>
                <c:pt idx="121" formatCode="0.00%">
                  <c:v>4.0598290598290725E-2</c:v>
                </c:pt>
                <c:pt idx="122" formatCode="0.00%">
                  <c:v>4.0511727078891231E-2</c:v>
                </c:pt>
                <c:pt idx="123" formatCode="0.00%">
                  <c:v>4.4680851063829817E-2</c:v>
                </c:pt>
                <c:pt idx="124" formatCode="0.00%">
                  <c:v>3.1712473572938694E-2</c:v>
                </c:pt>
                <c:pt idx="125" formatCode="0.00%">
                  <c:v>2.1052631578947368E-2</c:v>
                </c:pt>
                <c:pt idx="126" formatCode="0.00%">
                  <c:v>1.2605042016806753E-2</c:v>
                </c:pt>
                <c:pt idx="127" formatCode="0.00%">
                  <c:v>1.263157894736845E-2</c:v>
                </c:pt>
                <c:pt idx="128" formatCode="0.00%">
                  <c:v>4.1666666666667256E-3</c:v>
                </c:pt>
                <c:pt idx="129" formatCode="0.00%">
                  <c:v>-8.2815734989647744E-3</c:v>
                </c:pt>
                <c:pt idx="130" formatCode="0.00%">
                  <c:v>-1.4462809917355284E-2</c:v>
                </c:pt>
                <c:pt idx="131" formatCode="0.00%">
                  <c:v>-2.0661157024793389E-2</c:v>
                </c:pt>
                <c:pt idx="132" formatCode="0.00%">
                  <c:v>-3.2989690721649513E-2</c:v>
                </c:pt>
                <c:pt idx="133" formatCode="0.00%">
                  <c:v>-4.517453798767973E-2</c:v>
                </c:pt>
                <c:pt idx="134" formatCode="0.00%">
                  <c:v>-5.327868852459005E-2</c:v>
                </c:pt>
                <c:pt idx="135" formatCode="0.00%">
                  <c:v>-6.7209775967413524E-2</c:v>
                </c:pt>
                <c:pt idx="136" formatCode="0.00%">
                  <c:v>-6.147540983606558E-2</c:v>
                </c:pt>
                <c:pt idx="137" formatCode="0.00%">
                  <c:v>-5.5670103092783564E-2</c:v>
                </c:pt>
                <c:pt idx="138" formatCode="0.00%">
                  <c:v>-4.7717842323651539E-2</c:v>
                </c:pt>
                <c:pt idx="139" formatCode="0.00%">
                  <c:v>-4.3659043659043689E-2</c:v>
                </c:pt>
                <c:pt idx="140" formatCode="0.00%">
                  <c:v>-4.5643153526971007E-2</c:v>
                </c:pt>
                <c:pt idx="141" formatCode="0.00%">
                  <c:v>-4.1753653444676408E-2</c:v>
                </c:pt>
                <c:pt idx="142" formatCode="0.00%">
                  <c:v>-3.7735849056603862E-2</c:v>
                </c:pt>
                <c:pt idx="143" formatCode="0.00%">
                  <c:v>-1.8987341772151868E-2</c:v>
                </c:pt>
                <c:pt idx="144" formatCode="0.00%">
                  <c:v>-2.1321961620469386E-3</c:v>
                </c:pt>
                <c:pt idx="145" formatCode="0.00%">
                  <c:v>1.5053763440860277E-2</c:v>
                </c:pt>
                <c:pt idx="146" formatCode="0.00%">
                  <c:v>3.0303030303030269E-2</c:v>
                </c:pt>
                <c:pt idx="147" formatCode="0.00%">
                  <c:v>4.3668122270742363E-2</c:v>
                </c:pt>
                <c:pt idx="148" formatCode="0.00%">
                  <c:v>5.0218340611353808E-2</c:v>
                </c:pt>
                <c:pt idx="149" formatCode="0.00%">
                  <c:v>5.2401746724890959E-2</c:v>
                </c:pt>
                <c:pt idx="150" formatCode="0.00%">
                  <c:v>5.4466230936819175E-2</c:v>
                </c:pt>
                <c:pt idx="151" formatCode="0.00%">
                  <c:v>5.434782608695652E-2</c:v>
                </c:pt>
                <c:pt idx="152" formatCode="0.00%">
                  <c:v>5.8695652173913107E-2</c:v>
                </c:pt>
                <c:pt idx="153" formatCode="0.00%">
                  <c:v>6.7538126361655806E-2</c:v>
                </c:pt>
                <c:pt idx="154" formatCode="0.00%">
                  <c:v>7.1895424836601399E-2</c:v>
                </c:pt>
                <c:pt idx="155" formatCode="0.00%">
                  <c:v>6.8817204301075324E-2</c:v>
                </c:pt>
                <c:pt idx="156" formatCode="0.00%">
                  <c:v>7.264957264957278E-2</c:v>
                </c:pt>
                <c:pt idx="157" formatCode="0.00%">
                  <c:v>7.6271186440677846E-2</c:v>
                </c:pt>
                <c:pt idx="158" formatCode="0.00%">
                  <c:v>7.5630252100840359E-2</c:v>
                </c:pt>
                <c:pt idx="159" formatCode="0.00%">
                  <c:v>7.7405857740585837E-2</c:v>
                </c:pt>
                <c:pt idx="160" formatCode="0.00%">
                  <c:v>7.4844074844074876E-2</c:v>
                </c:pt>
                <c:pt idx="161" formatCode="0.00%">
                  <c:v>8.0912863070539381E-2</c:v>
                </c:pt>
                <c:pt idx="162" formatCode="0.00%">
                  <c:v>8.2644628099173556E-2</c:v>
                </c:pt>
                <c:pt idx="163" formatCode="0.00%">
                  <c:v>9.4845360824742292E-2</c:v>
                </c:pt>
                <c:pt idx="164" formatCode="0.00%">
                  <c:v>0.10266940451745379</c:v>
                </c:pt>
                <c:pt idx="165" formatCode="0.00%">
                  <c:v>0.10408163265306125</c:v>
                </c:pt>
                <c:pt idx="166" formatCode="0.00%">
                  <c:v>0.11178861788617886</c:v>
                </c:pt>
                <c:pt idx="167" formatCode="0.00%">
                  <c:v>0.11267605633802805</c:v>
                </c:pt>
                <c:pt idx="168" formatCode="0.00%">
                  <c:v>0.10756972111553781</c:v>
                </c:pt>
                <c:pt idx="169" formatCode="0.00%">
                  <c:v>9.8425196850393706E-2</c:v>
                </c:pt>
                <c:pt idx="170" formatCode="0.00%">
                  <c:v>8.7890625E-2</c:v>
                </c:pt>
                <c:pt idx="171" formatCode="0.00%">
                  <c:v>7.57281553398058E-2</c:v>
                </c:pt>
                <c:pt idx="172" formatCode="0.00%">
                  <c:v>7.1566731141199144E-2</c:v>
                </c:pt>
                <c:pt idx="173" formatCode="0.00%">
                  <c:v>6.1420345489443293E-2</c:v>
                </c:pt>
                <c:pt idx="174" formatCode="0.00%">
                  <c:v>4.7709923664122141E-2</c:v>
                </c:pt>
                <c:pt idx="175" formatCode="0.00%">
                  <c:v>2.4482109227871886E-2</c:v>
                </c:pt>
                <c:pt idx="176" formatCode="0.00%">
                  <c:v>9.3109869646182484E-3</c:v>
                </c:pt>
                <c:pt idx="177" formatCode="0.00%">
                  <c:v>0</c:v>
                </c:pt>
                <c:pt idx="178" formatCode="0.00%">
                  <c:v>-1.6453382084095167E-2</c:v>
                </c:pt>
                <c:pt idx="179" formatCode="0.00%">
                  <c:v>-3.7974683544303695E-2</c:v>
                </c:pt>
                <c:pt idx="180" formatCode="0.00%">
                  <c:v>-5.0359712230215903E-2</c:v>
                </c:pt>
                <c:pt idx="181" formatCode="0.00%">
                  <c:v>-5.9139784946236514E-2</c:v>
                </c:pt>
                <c:pt idx="182" formatCode="0.00%">
                  <c:v>-5.9245960502693075E-2</c:v>
                </c:pt>
                <c:pt idx="183" formatCode="0.00%">
                  <c:v>-6.85920577617328E-2</c:v>
                </c:pt>
                <c:pt idx="184" formatCode="0.00%">
                  <c:v>-7.2202166064981949E-2</c:v>
                </c:pt>
                <c:pt idx="185" formatCode="0.00%">
                  <c:v>-8.1374321880650996E-2</c:v>
                </c:pt>
                <c:pt idx="186" formatCode="0.00%">
                  <c:v>-8.3788706739526445E-2</c:v>
                </c:pt>
                <c:pt idx="187" formatCode="0.00%">
                  <c:v>-9.1911764705882359E-2</c:v>
                </c:pt>
                <c:pt idx="188" formatCode="0.00%">
                  <c:v>-0.10516605166051665</c:v>
                </c:pt>
                <c:pt idx="189" formatCode="0.00%">
                  <c:v>-0.11460258780036973</c:v>
                </c:pt>
                <c:pt idx="190" formatCode="0.00%">
                  <c:v>-0.12453531598513004</c:v>
                </c:pt>
                <c:pt idx="191" formatCode="0.00%">
                  <c:v>-0.12969924812030084</c:v>
                </c:pt>
                <c:pt idx="192" formatCode="0.00%">
                  <c:v>-0.13068181818181815</c:v>
                </c:pt>
                <c:pt idx="193" formatCode="0.00%">
                  <c:v>-0.12761904761904766</c:v>
                </c:pt>
                <c:pt idx="194" formatCode="0.00%">
                  <c:v>-0.12977099236641215</c:v>
                </c:pt>
                <c:pt idx="195" formatCode="0.00%">
                  <c:v>-0.10465116279069764</c:v>
                </c:pt>
                <c:pt idx="196" formatCode="0.00%">
                  <c:v>-9.5330739299610875E-2</c:v>
                </c:pt>
                <c:pt idx="197" formatCode="0.00%">
                  <c:v>-7.874015748031496E-2</c:v>
                </c:pt>
                <c:pt idx="198" formatCode="0.00%">
                  <c:v>-5.9642147117296228E-2</c:v>
                </c:pt>
                <c:pt idx="199" formatCode="0.00%">
                  <c:v>-4.048582995951417E-2</c:v>
                </c:pt>
                <c:pt idx="200" formatCode="0.00%">
                  <c:v>-1.8556701030927807E-2</c:v>
                </c:pt>
                <c:pt idx="201" formatCode="0.00%">
                  <c:v>2.0876826722338502E-3</c:v>
                </c:pt>
                <c:pt idx="202" formatCode="0.00%">
                  <c:v>2.3354564755838671E-2</c:v>
                </c:pt>
                <c:pt idx="203" formatCode="0.00%">
                  <c:v>4.7516198704103736E-2</c:v>
                </c:pt>
                <c:pt idx="204" formatCode="0.00%">
                  <c:v>7.1895424836601399E-2</c:v>
                </c:pt>
                <c:pt idx="205" formatCode="0.00%">
                  <c:v>8.9519650655021876E-2</c:v>
                </c:pt>
                <c:pt idx="206" formatCode="0.00%">
                  <c:v>9.8684210526315791E-2</c:v>
                </c:pt>
                <c:pt idx="207" formatCode="0.00%">
                  <c:v>8.8744588744588612E-2</c:v>
                </c:pt>
                <c:pt idx="208" formatCode="0.00%">
                  <c:v>9.0322580645161354E-2</c:v>
                </c:pt>
                <c:pt idx="209" formatCode="0.00%">
                  <c:v>8.5470085470085472E-2</c:v>
                </c:pt>
                <c:pt idx="210" formatCode="0.00%">
                  <c:v>8.4566596194503171E-2</c:v>
                </c:pt>
                <c:pt idx="211" formatCode="0.00%">
                  <c:v>8.6497890295358676E-2</c:v>
                </c:pt>
                <c:pt idx="212" formatCode="0.00%">
                  <c:v>9.0336134453781455E-2</c:v>
                </c:pt>
                <c:pt idx="213" formatCode="0.00%">
                  <c:v>8.1249999999999975E-2</c:v>
                </c:pt>
                <c:pt idx="214" formatCode="0.00%">
                  <c:v>8.7136929460580825E-2</c:v>
                </c:pt>
                <c:pt idx="215" formatCode="0.00%">
                  <c:v>9.0721649484536052E-2</c:v>
                </c:pt>
                <c:pt idx="216" formatCode="0.00%">
                  <c:v>7.5203252032520235E-2</c:v>
                </c:pt>
                <c:pt idx="217" formatCode="0.00%">
                  <c:v>6.613226452905821E-2</c:v>
                </c:pt>
                <c:pt idx="218" formatCode="0.00%">
                  <c:v>7.7844311377245484E-2</c:v>
                </c:pt>
                <c:pt idx="219" formatCode="0.00%">
                  <c:v>7.5546719681908639E-2</c:v>
                </c:pt>
                <c:pt idx="220" formatCode="0.00%">
                  <c:v>7.2978303747534432E-2</c:v>
                </c:pt>
                <c:pt idx="221" formatCode="0.00%">
                  <c:v>7.874015748031496E-2</c:v>
                </c:pt>
                <c:pt idx="222" formatCode="0.00%">
                  <c:v>6.8226120857699815E-2</c:v>
                </c:pt>
                <c:pt idx="223" formatCode="0.00%">
                  <c:v>6.9902912621359253E-2</c:v>
                </c:pt>
                <c:pt idx="224" formatCode="0.00%">
                  <c:v>6.3583815028901813E-2</c:v>
                </c:pt>
                <c:pt idx="225" formatCode="0.00%">
                  <c:v>6.5510597302504789E-2</c:v>
                </c:pt>
                <c:pt idx="226" formatCode="0.00%">
                  <c:v>5.916030534351148E-2</c:v>
                </c:pt>
                <c:pt idx="227" formatCode="0.00%">
                  <c:v>5.1039697542533138E-2</c:v>
                </c:pt>
                <c:pt idx="228" formatCode="0.00%">
                  <c:v>4.3478260869565299E-2</c:v>
                </c:pt>
                <c:pt idx="229" formatCode="0.00%">
                  <c:v>4.3233082706766859E-2</c:v>
                </c:pt>
                <c:pt idx="230" formatCode="0.00%">
                  <c:v>3.7037037037037035E-2</c:v>
                </c:pt>
                <c:pt idx="231" formatCode="0.00%">
                  <c:v>4.6210720887245843E-2</c:v>
                </c:pt>
                <c:pt idx="232" formatCode="0.00%">
                  <c:v>4.595588235294118E-2</c:v>
                </c:pt>
                <c:pt idx="233" formatCode="0.00%">
                  <c:v>4.197080291970811E-2</c:v>
                </c:pt>
                <c:pt idx="234" formatCode="0.00%">
                  <c:v>4.0145985401459909E-2</c:v>
                </c:pt>
                <c:pt idx="235" formatCode="0.00%">
                  <c:v>4.1742286751361109E-2</c:v>
                </c:pt>
                <c:pt idx="236" formatCode="0.00%">
                  <c:v>4.3478260869565188E-2</c:v>
                </c:pt>
                <c:pt idx="237" formatCode="0.00%">
                  <c:v>4.1591320072332807E-2</c:v>
                </c:pt>
                <c:pt idx="238" formatCode="0.00%">
                  <c:v>3.2432432432432379E-2</c:v>
                </c:pt>
                <c:pt idx="239" formatCode="0.00%">
                  <c:v>3.0575539568345245E-2</c:v>
                </c:pt>
                <c:pt idx="240" formatCode="0.00%">
                  <c:v>3.2608695652173857E-2</c:v>
                </c:pt>
                <c:pt idx="241" formatCode="0.00%">
                  <c:v>2.52252252252252E-2</c:v>
                </c:pt>
                <c:pt idx="242" formatCode="0.00%">
                  <c:v>2.4999999999999974E-2</c:v>
                </c:pt>
                <c:pt idx="243" formatCode="0.00%">
                  <c:v>-3.5335689045936898E-3</c:v>
                </c:pt>
                <c:pt idx="244" formatCode="0.00%">
                  <c:v>-3.5149384885763751E-3</c:v>
                </c:pt>
                <c:pt idx="245" formatCode="0.00%">
                  <c:v>-1.2259194395796896E-2</c:v>
                </c:pt>
                <c:pt idx="246" formatCode="0.00%">
                  <c:v>-1.9298245614035113E-2</c:v>
                </c:pt>
                <c:pt idx="247" formatCode="0.00%">
                  <c:v>-2.9616724738675885E-2</c:v>
                </c:pt>
                <c:pt idx="248" formatCode="0.00%">
                  <c:v>-3.8194444444444496E-2</c:v>
                </c:pt>
                <c:pt idx="249" formatCode="0.00%">
                  <c:v>-4.6875000000000049E-2</c:v>
                </c:pt>
                <c:pt idx="250" formatCode="0.00%">
                  <c:v>-5.4101221640488563E-2</c:v>
                </c:pt>
                <c:pt idx="251" formatCode="0.00%">
                  <c:v>-6.1082024432809773E-2</c:v>
                </c:pt>
                <c:pt idx="252" formatCode="0.00%">
                  <c:v>-5.7894736842105214E-2</c:v>
                </c:pt>
                <c:pt idx="253" formatCode="0.00%">
                  <c:v>-5.9753954305799627E-2</c:v>
                </c:pt>
                <c:pt idx="254" formatCode="0.00%">
                  <c:v>-9.0592334494773441E-2</c:v>
                </c:pt>
                <c:pt idx="255" formatCode="0.00%">
                  <c:v>-0.10283687943262407</c:v>
                </c:pt>
                <c:pt idx="256" formatCode="0.00%">
                  <c:v>-0.11992945326278666</c:v>
                </c:pt>
                <c:pt idx="257" formatCode="0.00%">
                  <c:v>-0.10992907801418432</c:v>
                </c:pt>
                <c:pt idx="258" formatCode="0.00%">
                  <c:v>-9.4812164579606395E-2</c:v>
                </c:pt>
                <c:pt idx="259" formatCode="0.00%">
                  <c:v>-8.6175942549371706E-2</c:v>
                </c:pt>
                <c:pt idx="260" formatCode="0.00%">
                  <c:v>-7.2202166064981949E-2</c:v>
                </c:pt>
                <c:pt idx="261" formatCode="0.00%">
                  <c:v>-5.8287795992713949E-2</c:v>
                </c:pt>
                <c:pt idx="262" formatCode="0.00%">
                  <c:v>-4.4280442804428145E-2</c:v>
                </c:pt>
                <c:pt idx="263" formatCode="0.00%">
                  <c:v>-4.275092936802969E-2</c:v>
                </c:pt>
                <c:pt idx="264" formatCode="0.00%">
                  <c:v>-5.2141527001862274E-2</c:v>
                </c:pt>
                <c:pt idx="265" formatCode="0.00%">
                  <c:v>-5.6074766355140186E-2</c:v>
                </c:pt>
                <c:pt idx="266" formatCode="0.00%">
                  <c:v>-2.8735632183908046E-2</c:v>
                </c:pt>
                <c:pt idx="267" formatCode="0.00%">
                  <c:v>7.9051383399209203E-3</c:v>
                </c:pt>
                <c:pt idx="268" formatCode="0.00%">
                  <c:v>1.4028056112224506E-2</c:v>
                </c:pt>
                <c:pt idx="269" formatCode="0.00%">
                  <c:v>0</c:v>
                </c:pt>
                <c:pt idx="270" formatCode="0.00%">
                  <c:v>-1.5810276679841979E-2</c:v>
                </c:pt>
                <c:pt idx="271" formatCode="0.00%">
                  <c:v>-2.5540275049115858E-2</c:v>
                </c:pt>
                <c:pt idx="272" formatCode="0.00%">
                  <c:v>-4.8638132295719845E-2</c:v>
                </c:pt>
                <c:pt idx="273" formatCode="0.00%">
                  <c:v>-5.9961315280464243E-2</c:v>
                </c:pt>
                <c:pt idx="274" formatCode="0.00%">
                  <c:v>-6.5637065637065617E-2</c:v>
                </c:pt>
                <c:pt idx="275" formatCode="0.00%">
                  <c:v>-6.213592233009714E-2</c:v>
                </c:pt>
                <c:pt idx="276" formatCode="0.00%">
                  <c:v>-6.0903732809430282E-2</c:v>
                </c:pt>
                <c:pt idx="277" formatCode="0.00%">
                  <c:v>-4.9504950495049507E-2</c:v>
                </c:pt>
                <c:pt idx="278" formatCode="0.00%">
                  <c:v>-5.7199211045365003E-2</c:v>
                </c:pt>
                <c:pt idx="279" formatCode="0.00%">
                  <c:v>-6.2745098039215741E-2</c:v>
                </c:pt>
                <c:pt idx="280" formatCode="0.00%">
                  <c:v>-6.126482213438738E-2</c:v>
                </c:pt>
                <c:pt idx="281" formatCode="0.00%">
                  <c:v>-5.97609561752988E-2</c:v>
                </c:pt>
                <c:pt idx="282" formatCode="0.00%">
                  <c:v>-5.2208835341365348E-2</c:v>
                </c:pt>
                <c:pt idx="283" formatCode="0.00%">
                  <c:v>-5.4435483870967798E-2</c:v>
                </c:pt>
                <c:pt idx="284" formatCode="0.00%">
                  <c:v>-3.2719836400818027E-2</c:v>
                </c:pt>
                <c:pt idx="285" formatCode="0.00%">
                  <c:v>-2.4691358024691416E-2</c:v>
                </c:pt>
                <c:pt idx="286" formatCode="0.00%">
                  <c:v>-1.6528925619834652E-2</c:v>
                </c:pt>
                <c:pt idx="287" formatCode="0.00%">
                  <c:v>-6.211180124223544E-3</c:v>
                </c:pt>
                <c:pt idx="288" formatCode="0.00%">
                  <c:v>2.3012552301255262E-2</c:v>
                </c:pt>
                <c:pt idx="289" formatCode="0.00%">
                  <c:v>2.9166666666666636E-2</c:v>
                </c:pt>
                <c:pt idx="290" formatCode="0.00%">
                  <c:v>4.8117154811715572E-2</c:v>
                </c:pt>
                <c:pt idx="291" formatCode="0.00%">
                  <c:v>5.6485355648535629E-2</c:v>
                </c:pt>
                <c:pt idx="292" formatCode="0.00%">
                  <c:v>7.7894736842105322E-2</c:v>
                </c:pt>
                <c:pt idx="293" formatCode="0.00%">
                  <c:v>9.9576271186440579E-2</c:v>
                </c:pt>
                <c:pt idx="294" formatCode="0.00%">
                  <c:v>0.11016949152542363</c:v>
                </c:pt>
                <c:pt idx="295" formatCode="0.00%">
                  <c:v>0.12153518123667384</c:v>
                </c:pt>
                <c:pt idx="296" formatCode="0.00%">
                  <c:v>0.1247357293868923</c:v>
                </c:pt>
                <c:pt idx="297" formatCode="0.00%">
                  <c:v>0.1371308016877637</c:v>
                </c:pt>
                <c:pt idx="298" formatCode="0.00%">
                  <c:v>0.14075630252100832</c:v>
                </c:pt>
                <c:pt idx="299" formatCode="0.00%">
                  <c:v>0.14374999999999996</c:v>
                </c:pt>
                <c:pt idx="300" formatCode="0.00%">
                  <c:v>0.13496932515337426</c:v>
                </c:pt>
                <c:pt idx="301" formatCode="0.00%">
                  <c:v>0.1336032388663968</c:v>
                </c:pt>
                <c:pt idx="302" formatCode="0.00%">
                  <c:v>0.11976047904191617</c:v>
                </c:pt>
                <c:pt idx="303" formatCode="0.00%">
                  <c:v>0.1168316831683168</c:v>
                </c:pt>
                <c:pt idx="304" formatCode="0.00%">
                  <c:v>0.10937499999999989</c:v>
                </c:pt>
                <c:pt idx="305" formatCode="0.00%">
                  <c:v>9.826589595375726E-2</c:v>
                </c:pt>
                <c:pt idx="306" formatCode="0.00%">
                  <c:v>9.1603053435114587E-2</c:v>
                </c:pt>
                <c:pt idx="307" formatCode="0.00%">
                  <c:v>8.745247148288976E-2</c:v>
                </c:pt>
                <c:pt idx="308" formatCode="0.00%">
                  <c:v>7.5187969924812026E-2</c:v>
                </c:pt>
                <c:pt idx="309" formatCode="0.00%">
                  <c:v>6.4935064935064943E-2</c:v>
                </c:pt>
                <c:pt idx="310" formatCode="0.00%">
                  <c:v>6.2615101289134542E-2</c:v>
                </c:pt>
                <c:pt idx="311" formatCode="0.00%">
                  <c:v>5.8287795992714081E-2</c:v>
                </c:pt>
                <c:pt idx="312" formatCode="0.00%">
                  <c:v>5.2252252252252225E-2</c:v>
                </c:pt>
                <c:pt idx="313" formatCode="0.00%">
                  <c:v>4.8214285714285765E-2</c:v>
                </c:pt>
                <c:pt idx="314" formatCode="0.00%">
                  <c:v>4.991087344028515E-2</c:v>
                </c:pt>
                <c:pt idx="315" formatCode="0.00%">
                  <c:v>4.6099290780141869E-2</c:v>
                </c:pt>
                <c:pt idx="316" formatCode="0.00%">
                  <c:v>4.2253521126760667E-2</c:v>
                </c:pt>
                <c:pt idx="317" formatCode="0.00%">
                  <c:v>4.5614035087719322E-2</c:v>
                </c:pt>
                <c:pt idx="318" formatCode="0.00%">
                  <c:v>4.5454545454545352E-2</c:v>
                </c:pt>
                <c:pt idx="319" formatCode="0.00%">
                  <c:v>4.8951048951048896E-2</c:v>
                </c:pt>
                <c:pt idx="320" formatCode="0.00%">
                  <c:v>5.2447552447552448E-2</c:v>
                </c:pt>
                <c:pt idx="321" formatCode="0.00%">
                  <c:v>5.0522648083623667E-2</c:v>
                </c:pt>
                <c:pt idx="322" formatCode="0.00%">
                  <c:v>4.8526863084921962E-2</c:v>
                </c:pt>
                <c:pt idx="323" formatCode="0.00%">
                  <c:v>4.6471600688468083E-2</c:v>
                </c:pt>
                <c:pt idx="324" formatCode="0.00%">
                  <c:v>4.4520547945205505E-2</c:v>
                </c:pt>
                <c:pt idx="325" formatCode="0.00%">
                  <c:v>4.2589437819420782E-2</c:v>
                </c:pt>
                <c:pt idx="326" formatCode="0.00%">
                  <c:v>4.0747028862478753E-2</c:v>
                </c:pt>
                <c:pt idx="327" formatCode="0.00%">
                  <c:v>4.4067796610169518E-2</c:v>
                </c:pt>
                <c:pt idx="328" formatCode="0.00%">
                  <c:v>4.3918918918918824E-2</c:v>
                </c:pt>
                <c:pt idx="329" formatCode="0.00%">
                  <c:v>4.530201342281872E-2</c:v>
                </c:pt>
                <c:pt idx="330" formatCode="0.00%">
                  <c:v>4.1806020066889632E-2</c:v>
                </c:pt>
                <c:pt idx="331" formatCode="0.00%">
                  <c:v>3.9999999999999973E-2</c:v>
                </c:pt>
                <c:pt idx="332" formatCode="0.00%">
                  <c:v>3.9867109634551472E-2</c:v>
                </c:pt>
                <c:pt idx="333" formatCode="0.00%">
                  <c:v>3.9800995024875718E-2</c:v>
                </c:pt>
                <c:pt idx="334" formatCode="0.00%">
                  <c:v>3.9669421487603281E-2</c:v>
                </c:pt>
                <c:pt idx="335" formatCode="0.00%">
                  <c:v>4.1118421052631582E-2</c:v>
                </c:pt>
                <c:pt idx="336" formatCode="0.00%">
                  <c:v>3.770491803278684E-2</c:v>
                </c:pt>
                <c:pt idx="337" formatCode="0.00%">
                  <c:v>4.2483660130718859E-2</c:v>
                </c:pt>
                <c:pt idx="338" formatCode="0.00%">
                  <c:v>4.2414355628058752E-2</c:v>
                </c:pt>
                <c:pt idx="339" formatCode="0.00%">
                  <c:v>3.8961038961038939E-2</c:v>
                </c:pt>
                <c:pt idx="340" formatCode="0.00%">
                  <c:v>3.8834951456310773E-2</c:v>
                </c:pt>
                <c:pt idx="341" formatCode="0.00%">
                  <c:v>3.5313001605136486E-2</c:v>
                </c:pt>
                <c:pt idx="342" formatCode="0.00%">
                  <c:v>4.0128410914927769E-2</c:v>
                </c:pt>
                <c:pt idx="343" formatCode="0.00%">
                  <c:v>4.1666666666666692E-2</c:v>
                </c:pt>
                <c:pt idx="344" formatCode="0.00%">
                  <c:v>4.47284345047924E-2</c:v>
                </c:pt>
                <c:pt idx="345" formatCode="0.00%">
                  <c:v>4.6251993620414537E-2</c:v>
                </c:pt>
                <c:pt idx="346" formatCode="0.00%">
                  <c:v>3.974562798092221E-2</c:v>
                </c:pt>
                <c:pt idx="347" formatCode="0.00%">
                  <c:v>3.3175355450237101E-2</c:v>
                </c:pt>
                <c:pt idx="348" formatCode="0.00%">
                  <c:v>3.6334913112164254E-2</c:v>
                </c:pt>
                <c:pt idx="349" formatCode="0.00%">
                  <c:v>3.6050156739811871E-2</c:v>
                </c:pt>
                <c:pt idx="350" formatCode="0.00%">
                  <c:v>3.9123630672926561E-2</c:v>
                </c:pt>
                <c:pt idx="351" formatCode="0.00%">
                  <c:v>3.90625E-2</c:v>
                </c:pt>
                <c:pt idx="352" formatCode="0.00%">
                  <c:v>4.0498442367601153E-2</c:v>
                </c:pt>
                <c:pt idx="353" formatCode="0.00%">
                  <c:v>4.1860465116279111E-2</c:v>
                </c:pt>
                <c:pt idx="354" formatCode="0.00%">
                  <c:v>3.7037037037037125E-2</c:v>
                </c:pt>
                <c:pt idx="355" formatCode="0.00%">
                  <c:v>3.5384615384615341E-2</c:v>
                </c:pt>
                <c:pt idx="356" formatCode="0.00%">
                  <c:v>3.2110091743119178E-2</c:v>
                </c:pt>
                <c:pt idx="357" formatCode="0.00%">
                  <c:v>3.3536585365853702E-2</c:v>
                </c:pt>
                <c:pt idx="358" formatCode="0.00%">
                  <c:v>3.82262996941896E-2</c:v>
                </c:pt>
                <c:pt idx="359" formatCode="0.00%">
                  <c:v>4.1284403669724593E-2</c:v>
                </c:pt>
                <c:pt idx="360" formatCode="0.00%">
                  <c:v>3.9634146341463547E-2</c:v>
                </c:pt>
                <c:pt idx="361" formatCode="0.00%">
                  <c:v>3.1770045385779253E-2</c:v>
                </c:pt>
                <c:pt idx="362" formatCode="0.00%">
                  <c:v>2.2590361445783129E-2</c:v>
                </c:pt>
                <c:pt idx="363" formatCode="0.00%">
                  <c:v>2.2556390977443608E-2</c:v>
                </c:pt>
                <c:pt idx="364" formatCode="0.00%">
                  <c:v>1.4970059880239521E-2</c:v>
                </c:pt>
                <c:pt idx="365" formatCode="0.00%">
                  <c:v>7.4404761904761901E-3</c:v>
                </c:pt>
                <c:pt idx="366" formatCode="0.00%">
                  <c:v>2.9761904761905185E-3</c:v>
                </c:pt>
                <c:pt idx="367" formatCode="0.00%">
                  <c:v>4.4576523031203148E-3</c:v>
                </c:pt>
                <c:pt idx="368" formatCode="0.00%">
                  <c:v>1.4814814814813973E-3</c:v>
                </c:pt>
                <c:pt idx="369" formatCode="0.00%">
                  <c:v>-5.8997050147491367E-3</c:v>
                </c:pt>
                <c:pt idx="370" formatCode="0.00%">
                  <c:v>-5.891016200294634E-3</c:v>
                </c:pt>
                <c:pt idx="371" formatCode="0.00%">
                  <c:v>-8.8105726872245872E-3</c:v>
                </c:pt>
                <c:pt idx="372" formatCode="0.00%">
                  <c:v>-1.1730205278592334E-2</c:v>
                </c:pt>
                <c:pt idx="373" formatCode="0.00%">
                  <c:v>-1.3196480938416504E-2</c:v>
                </c:pt>
                <c:pt idx="374" formatCode="0.00%">
                  <c:v>-8.8365243004419509E-3</c:v>
                </c:pt>
                <c:pt idx="375" formatCode="0.00%">
                  <c:v>-1.3235294117647142E-2</c:v>
                </c:pt>
                <c:pt idx="376" formatCode="0.00%">
                  <c:v>-1.0324483775811251E-2</c:v>
                </c:pt>
                <c:pt idx="377" formatCode="0.00%">
                  <c:v>-8.8626292466766395E-3</c:v>
                </c:pt>
                <c:pt idx="378" formatCode="0.00%">
                  <c:v>-8.9020771513354368E-3</c:v>
                </c:pt>
                <c:pt idx="379" formatCode="0.00%">
                  <c:v>-2.5147928994082674E-2</c:v>
                </c:pt>
                <c:pt idx="380" formatCode="0.00%">
                  <c:v>-3.6982248520710061E-2</c:v>
                </c:pt>
                <c:pt idx="381" formatCode="0.00%">
                  <c:v>-4.7477744807121698E-2</c:v>
                </c:pt>
                <c:pt idx="382" formatCode="0.00%">
                  <c:v>-6.5185185185185165E-2</c:v>
                </c:pt>
                <c:pt idx="383" formatCode="0.00%">
                  <c:v>-7.555555555555557E-2</c:v>
                </c:pt>
                <c:pt idx="384" formatCode="0.00%">
                  <c:v>-8.4569732937685493E-2</c:v>
                </c:pt>
                <c:pt idx="385" formatCode="0.00%">
                  <c:v>-8.6181277860326852E-2</c:v>
                </c:pt>
                <c:pt idx="386" formatCode="0.00%">
                  <c:v>-9.0638930163447165E-2</c:v>
                </c:pt>
                <c:pt idx="387" formatCode="0.00%">
                  <c:v>-7.7496274217585634E-2</c:v>
                </c:pt>
                <c:pt idx="388" formatCode="0.00%">
                  <c:v>-7.1535022354694444E-2</c:v>
                </c:pt>
                <c:pt idx="389" formatCode="0.00%">
                  <c:v>-7.0044709388971629E-2</c:v>
                </c:pt>
                <c:pt idx="390" formatCode="0.00%">
                  <c:v>-5.6886227544910142E-2</c:v>
                </c:pt>
                <c:pt idx="391" formatCode="0.00%">
                  <c:v>-4.2488619119878668E-2</c:v>
                </c:pt>
                <c:pt idx="392" formatCode="0.00%">
                  <c:v>-2.3041474654377773E-2</c:v>
                </c:pt>
                <c:pt idx="393" formatCode="0.00%">
                  <c:v>-1.0903426791277303E-2</c:v>
                </c:pt>
                <c:pt idx="394" formatCode="0.00%">
                  <c:v>6.339144215530881E-3</c:v>
                </c:pt>
                <c:pt idx="395" formatCode="0.00%">
                  <c:v>1.4423076923076901E-2</c:v>
                </c:pt>
                <c:pt idx="396" formatCode="0.00%">
                  <c:v>3.4035656401944801E-2</c:v>
                </c:pt>
                <c:pt idx="397" formatCode="0.00%">
                  <c:v>4.065040650406504E-2</c:v>
                </c:pt>
                <c:pt idx="398" formatCode="0.00%">
                  <c:v>5.5555555555555414E-2</c:v>
                </c:pt>
                <c:pt idx="399" formatCode="0.00%">
                  <c:v>5.1696284329563746E-2</c:v>
                </c:pt>
                <c:pt idx="400" formatCode="0.00%">
                  <c:v>5.2969502407704615E-2</c:v>
                </c:pt>
                <c:pt idx="401" formatCode="0.00%">
                  <c:v>5.6089743589743703E-2</c:v>
                </c:pt>
                <c:pt idx="402" formatCode="0.00%">
                  <c:v>4.9206349206349115E-2</c:v>
                </c:pt>
                <c:pt idx="403" formatCode="0.00%">
                  <c:v>5.3882725832012653E-2</c:v>
                </c:pt>
                <c:pt idx="404" formatCode="0.00%">
                  <c:v>4.7169811320754602E-2</c:v>
                </c:pt>
                <c:pt idx="405" formatCode="0.00%">
                  <c:v>5.1968503937007832E-2</c:v>
                </c:pt>
                <c:pt idx="406" formatCode="0.00%">
                  <c:v>6.1417322834645759E-2</c:v>
                </c:pt>
                <c:pt idx="407" formatCode="0.00%">
                  <c:v>7.8988941548183256E-2</c:v>
                </c:pt>
                <c:pt idx="408" formatCode="0.00%">
                  <c:v>7.6802507836990691E-2</c:v>
                </c:pt>
                <c:pt idx="409" formatCode="0.00%">
                  <c:v>7.9687499999999911E-2</c:v>
                </c:pt>
                <c:pt idx="410" formatCode="0.00%">
                  <c:v>6.8111455108359226E-2</c:v>
                </c:pt>
                <c:pt idx="411" formatCode="0.00%">
                  <c:v>6.7588325652841869E-2</c:v>
                </c:pt>
                <c:pt idx="412" formatCode="0.00%">
                  <c:v>6.0975609756097567E-2</c:v>
                </c:pt>
                <c:pt idx="413" formatCode="0.00%">
                  <c:v>6.0698027314112286E-2</c:v>
                </c:pt>
                <c:pt idx="414" formatCode="0.00%">
                  <c:v>5.7488653555219545E-2</c:v>
                </c:pt>
                <c:pt idx="415" formatCode="0.00%">
                  <c:v>5.8646616541353468E-2</c:v>
                </c:pt>
                <c:pt idx="416" formatCode="0.00%">
                  <c:v>6.3063063063063113E-2</c:v>
                </c:pt>
                <c:pt idx="417" formatCode="0.00%">
                  <c:v>6.4371257485029906E-2</c:v>
                </c:pt>
                <c:pt idx="418" formatCode="0.00%">
                  <c:v>6.0830860534124537E-2</c:v>
                </c:pt>
                <c:pt idx="419" formatCode="0.00%">
                  <c:v>6.1493411420205021E-2</c:v>
                </c:pt>
                <c:pt idx="420" formatCode="0.00%">
                  <c:v>5.2401746724890744E-2</c:v>
                </c:pt>
                <c:pt idx="421" formatCode="0.00%">
                  <c:v>5.0651230101302465E-2</c:v>
                </c:pt>
                <c:pt idx="422" formatCode="0.00%">
                  <c:v>6.6666666666666582E-2</c:v>
                </c:pt>
                <c:pt idx="423" formatCode="0.00%">
                  <c:v>6.6187050359712146E-2</c:v>
                </c:pt>
                <c:pt idx="424" formatCode="0.00%">
                  <c:v>7.0402298850574793E-2</c:v>
                </c:pt>
                <c:pt idx="425" formatCode="0.00%">
                  <c:v>7.4391988555078517E-2</c:v>
                </c:pt>
                <c:pt idx="426" formatCode="0.00%">
                  <c:v>7.8683834048640905E-2</c:v>
                </c:pt>
                <c:pt idx="427" formatCode="0.00%">
                  <c:v>7.9545454545454461E-2</c:v>
                </c:pt>
                <c:pt idx="428" formatCode="0.00%">
                  <c:v>8.0508474576271236E-2</c:v>
                </c:pt>
                <c:pt idx="429" formatCode="0.00%">
                  <c:v>8.298171589310839E-2</c:v>
                </c:pt>
                <c:pt idx="430" formatCode="0.00%">
                  <c:v>7.8321678321678245E-2</c:v>
                </c:pt>
                <c:pt idx="431" formatCode="0.00%">
                  <c:v>7.1724137931034521E-2</c:v>
                </c:pt>
                <c:pt idx="432" formatCode="0.00%">
                  <c:v>7.6071922544951598E-2</c:v>
                </c:pt>
                <c:pt idx="433" formatCode="0.00%">
                  <c:v>7.1625344352617124E-2</c:v>
                </c:pt>
                <c:pt idx="434" formatCode="0.00%">
                  <c:v>5.7065217391304393E-2</c:v>
                </c:pt>
                <c:pt idx="435" formatCode="0.00%">
                  <c:v>4.8582995951417123E-2</c:v>
                </c:pt>
                <c:pt idx="436" formatCode="0.00%">
                  <c:v>4.2953020134228227E-2</c:v>
                </c:pt>
                <c:pt idx="437" formatCode="0.00%">
                  <c:v>3.4620505992010768E-2</c:v>
                </c:pt>
                <c:pt idx="438" formatCode="0.00%">
                  <c:v>3.0503978779840808E-2</c:v>
                </c:pt>
                <c:pt idx="439" formatCode="0.00%">
                  <c:v>2.894736842105267E-2</c:v>
                </c:pt>
                <c:pt idx="440" formatCode="0.00%">
                  <c:v>2.4836601307189617E-2</c:v>
                </c:pt>
                <c:pt idx="441" formatCode="0.00%">
                  <c:v>1.6883116883116847E-2</c:v>
                </c:pt>
                <c:pt idx="442" formatCode="0.00%">
                  <c:v>1.5564202334630389E-2</c:v>
                </c:pt>
                <c:pt idx="443" formatCode="0.00%">
                  <c:v>9.0090090090090454E-3</c:v>
                </c:pt>
                <c:pt idx="444" formatCode="0.00%">
                  <c:v>-1.1568123393316086E-2</c:v>
                </c:pt>
                <c:pt idx="445" formatCode="0.00%">
                  <c:v>0</c:v>
                </c:pt>
                <c:pt idx="446" formatCode="0.00%">
                  <c:v>2.5706940874036356E-3</c:v>
                </c:pt>
                <c:pt idx="447" formatCode="0.00%">
                  <c:v>9.0090090090090454E-3</c:v>
                </c:pt>
                <c:pt idx="448" formatCode="0.00%">
                  <c:v>1.8018018018017907E-2</c:v>
                </c:pt>
                <c:pt idx="449" formatCode="0.00%">
                  <c:v>2.4453024453024344E-2</c:v>
                </c:pt>
                <c:pt idx="450" formatCode="0.00%">
                  <c:v>2.316602316602313E-2</c:v>
                </c:pt>
                <c:pt idx="451" formatCode="0.00%">
                  <c:v>1.9181585677749361E-2</c:v>
                </c:pt>
                <c:pt idx="452" formatCode="0.00%">
                  <c:v>2.0408163265306048E-2</c:v>
                </c:pt>
                <c:pt idx="453" formatCode="0.00%">
                  <c:v>2.4265644955300199E-2</c:v>
                </c:pt>
                <c:pt idx="454" formatCode="0.00%">
                  <c:v>3.1928480204342274E-2</c:v>
                </c:pt>
                <c:pt idx="455" formatCode="0.00%">
                  <c:v>3.0612244897959072E-2</c:v>
                </c:pt>
                <c:pt idx="456" formatCode="0.00%">
                  <c:v>5.7217165149544745E-2</c:v>
                </c:pt>
                <c:pt idx="457" formatCode="0.00%">
                  <c:v>5.9125964010282889E-2</c:v>
                </c:pt>
                <c:pt idx="458" formatCode="0.00%">
                  <c:v>6.15384615384615E-2</c:v>
                </c:pt>
                <c:pt idx="459" formatCode="0.00%">
                  <c:v>5.7397959183673464E-2</c:v>
                </c:pt>
                <c:pt idx="460" formatCode="0.00%">
                  <c:v>5.4361567635904065E-2</c:v>
                </c:pt>
                <c:pt idx="461" formatCode="0.00%">
                  <c:v>5.5276381909547811E-2</c:v>
                </c:pt>
                <c:pt idx="462" formatCode="0.00%">
                  <c:v>6.9182389937106917E-2</c:v>
                </c:pt>
                <c:pt idx="463" formatCode="0.00%">
                  <c:v>6.9008782936010038E-2</c:v>
                </c:pt>
                <c:pt idx="464" formatCode="0.00%">
                  <c:v>7.2499999999999967E-2</c:v>
                </c:pt>
                <c:pt idx="465" formatCode="0.00%">
                  <c:v>7.3566084788029812E-2</c:v>
                </c:pt>
                <c:pt idx="466" formatCode="0.00%">
                  <c:v>6.8069306930693074E-2</c:v>
                </c:pt>
                <c:pt idx="467" formatCode="0.00%">
                  <c:v>7.1782178217821749E-2</c:v>
                </c:pt>
                <c:pt idx="468" formatCode="0.00%">
                  <c:v>6.5190651906519029E-2</c:v>
                </c:pt>
                <c:pt idx="469" formatCode="0.00%">
                  <c:v>6.189320388349507E-2</c:v>
                </c:pt>
                <c:pt idx="470" formatCode="0.00%">
                  <c:v>5.7971014492753589E-2</c:v>
                </c:pt>
                <c:pt idx="471" formatCode="0.00%">
                  <c:v>5.5488540410132618E-2</c:v>
                </c:pt>
                <c:pt idx="472" formatCode="0.00%">
                  <c:v>5.515587529976012E-2</c:v>
                </c:pt>
                <c:pt idx="473" formatCode="0.00%">
                  <c:v>4.0476190476190541E-2</c:v>
                </c:pt>
                <c:pt idx="474" formatCode="0.00%">
                  <c:v>3.1764705882352973E-2</c:v>
                </c:pt>
                <c:pt idx="475" formatCode="0.00%">
                  <c:v>3.0516431924882563E-2</c:v>
                </c:pt>
                <c:pt idx="476" formatCode="0.00%">
                  <c:v>1.7482517482517484E-2</c:v>
                </c:pt>
                <c:pt idx="477" formatCode="0.00%">
                  <c:v>8.130081300813042E-3</c:v>
                </c:pt>
                <c:pt idx="478" formatCode="0.00%">
                  <c:v>9.2699884125144513E-3</c:v>
                </c:pt>
                <c:pt idx="479" formatCode="0.00%">
                  <c:v>8.0831408775981859E-3</c:v>
                </c:pt>
                <c:pt idx="480" formatCode="0.00%">
                  <c:v>6.9284064665128013E-3</c:v>
                </c:pt>
                <c:pt idx="481" formatCode="0.00%">
                  <c:v>2.2857142857143184E-3</c:v>
                </c:pt>
                <c:pt idx="482" formatCode="0.00%">
                  <c:v>1.1415525114156226E-3</c:v>
                </c:pt>
                <c:pt idx="483" formatCode="0.00%">
                  <c:v>3.4285714285713963E-3</c:v>
                </c:pt>
                <c:pt idx="484" formatCode="0.00%">
                  <c:v>3.4090909090908768E-3</c:v>
                </c:pt>
                <c:pt idx="485" formatCode="0.00%">
                  <c:v>1.3729977116704675E-2</c:v>
                </c:pt>
                <c:pt idx="486" formatCode="0.00%">
                  <c:v>1.3683010262257728E-2</c:v>
                </c:pt>
                <c:pt idx="487" formatCode="0.00%">
                  <c:v>1.4806378132118419E-2</c:v>
                </c:pt>
                <c:pt idx="488" formatCode="0.00%">
                  <c:v>2.0618556701030896E-2</c:v>
                </c:pt>
                <c:pt idx="489" formatCode="0.00%">
                  <c:v>2.9953917050691344E-2</c:v>
                </c:pt>
                <c:pt idx="490" formatCode="0.00%">
                  <c:v>3.214695752009198E-2</c:v>
                </c:pt>
                <c:pt idx="491" formatCode="0.00%">
                  <c:v>3.8946162657502933E-2</c:v>
                </c:pt>
                <c:pt idx="492" formatCode="0.00%">
                  <c:v>4.5871559633027519E-2</c:v>
                </c:pt>
                <c:pt idx="493" formatCode="0.00%">
                  <c:v>3.3067274800456001E-2</c:v>
                </c:pt>
                <c:pt idx="494" formatCode="0.00%">
                  <c:v>4.4469783352337415E-2</c:v>
                </c:pt>
                <c:pt idx="495" formatCode="0.00%">
                  <c:v>4.441913439635542E-2</c:v>
                </c:pt>
                <c:pt idx="496" formatCode="0.00%">
                  <c:v>2.7180067950169941E-2</c:v>
                </c:pt>
                <c:pt idx="497" formatCode="0.00%">
                  <c:v>2.7088036117381555E-2</c:v>
                </c:pt>
                <c:pt idx="498" formatCode="0.00%">
                  <c:v>1.9122609673790647E-2</c:v>
                </c:pt>
                <c:pt idx="499" formatCode="0.00%">
                  <c:v>1.0101010101010166E-2</c:v>
                </c:pt>
                <c:pt idx="500" formatCode="0.00%">
                  <c:v>1.34680134680135E-2</c:v>
                </c:pt>
                <c:pt idx="501" formatCode="0.00%">
                  <c:v>0</c:v>
                </c:pt>
                <c:pt idx="502" formatCode="0.00%">
                  <c:v>-1.3348164627363768E-2</c:v>
                </c:pt>
                <c:pt idx="503" formatCode="0.00%">
                  <c:v>-3.6383682469680233E-2</c:v>
                </c:pt>
                <c:pt idx="504" formatCode="0.00%">
                  <c:v>-4.714912280701751E-2</c:v>
                </c:pt>
                <c:pt idx="505" formatCode="0.00%">
                  <c:v>-5.1876379690949104E-2</c:v>
                </c:pt>
                <c:pt idx="506" formatCode="0.00%">
                  <c:v>-7.6419213973799138E-2</c:v>
                </c:pt>
                <c:pt idx="507" formatCode="0.00%">
                  <c:v>-8.7241003271537623E-2</c:v>
                </c:pt>
                <c:pt idx="508" formatCode="0.00%">
                  <c:v>-7.3869900771775118E-2</c:v>
                </c:pt>
                <c:pt idx="509" formatCode="0.00%">
                  <c:v>-8.1318681318681377E-2</c:v>
                </c:pt>
                <c:pt idx="510" formatCode="0.00%">
                  <c:v>-7.9470198675496567E-2</c:v>
                </c:pt>
                <c:pt idx="511" formatCode="0.00%">
                  <c:v>-7.5555555555555529E-2</c:v>
                </c:pt>
                <c:pt idx="512" formatCode="0.00%">
                  <c:v>-9.5238095238095177E-2</c:v>
                </c:pt>
                <c:pt idx="513" formatCode="0.00%">
                  <c:v>-9.2841163310962094E-2</c:v>
                </c:pt>
                <c:pt idx="514" formatCode="0.00%">
                  <c:v>-8.0045095828635948E-2</c:v>
                </c:pt>
                <c:pt idx="515" formatCode="0.00%">
                  <c:v>-5.9496567505720854E-2</c:v>
                </c:pt>
                <c:pt idx="516" formatCode="0.00%">
                  <c:v>-5.4085155350978166E-2</c:v>
                </c:pt>
                <c:pt idx="517" formatCode="0.00%">
                  <c:v>-3.3760186263096688E-2</c:v>
                </c:pt>
                <c:pt idx="518" formatCode="0.00%">
                  <c:v>-1.4184397163120433E-2</c:v>
                </c:pt>
                <c:pt idx="519" formatCode="0.00%">
                  <c:v>3.5842293906809693E-3</c:v>
                </c:pt>
                <c:pt idx="520" formatCode="0.00%">
                  <c:v>9.52380952380949E-3</c:v>
                </c:pt>
                <c:pt idx="521" formatCode="0.00%">
                  <c:v>1.6746411483253659E-2</c:v>
                </c:pt>
                <c:pt idx="522" formatCode="0.00%">
                  <c:v>1.4388489208632955E-2</c:v>
                </c:pt>
                <c:pt idx="523" formatCode="0.00%">
                  <c:v>1.8028846153846152E-2</c:v>
                </c:pt>
                <c:pt idx="524" formatCode="0.00%">
                  <c:v>3.3047735618115089E-2</c:v>
                </c:pt>
                <c:pt idx="525" formatCode="0.00%">
                  <c:v>3.9457459926017298E-2</c:v>
                </c:pt>
                <c:pt idx="526" formatCode="0.00%">
                  <c:v>3.9215686274509838E-2</c:v>
                </c:pt>
                <c:pt idx="527" formatCode="0.00%">
                  <c:v>3.163017031630163E-2</c:v>
                </c:pt>
                <c:pt idx="528" formatCode="0.00%">
                  <c:v>3.4063260340632569E-2</c:v>
                </c:pt>
                <c:pt idx="529" formatCode="0.00%">
                  <c:v>2.1686746987951772E-2</c:v>
                </c:pt>
                <c:pt idx="530" formatCode="0.00%">
                  <c:v>1.558752997601915E-2</c:v>
                </c:pt>
                <c:pt idx="531" formatCode="0.00%">
                  <c:v>4.76190476190483E-3</c:v>
                </c:pt>
                <c:pt idx="532" formatCode="0.00%">
                  <c:v>5.89622641509434E-3</c:v>
                </c:pt>
                <c:pt idx="533" formatCode="0.00%">
                  <c:v>1.1764705882352941E-2</c:v>
                </c:pt>
                <c:pt idx="534" formatCode="0.00%">
                  <c:v>2.0094562647754173E-2</c:v>
                </c:pt>
                <c:pt idx="535" formatCode="0.00%">
                  <c:v>2.5974025974026007E-2</c:v>
                </c:pt>
                <c:pt idx="536" formatCode="0.00%">
                  <c:v>4.1469194312796206E-2</c:v>
                </c:pt>
                <c:pt idx="537" formatCode="0.00%">
                  <c:v>5.3380782918149468E-2</c:v>
                </c:pt>
                <c:pt idx="538" formatCode="0.00%">
                  <c:v>5.8962264150943397E-2</c:v>
                </c:pt>
                <c:pt idx="539" formatCode="0.00%">
                  <c:v>6.8396226415094311E-2</c:v>
                </c:pt>
                <c:pt idx="540" formatCode="0.00%">
                  <c:v>7.6470588235294124E-2</c:v>
                </c:pt>
                <c:pt idx="541" formatCode="0.00%">
                  <c:v>8.8443396226415102E-2</c:v>
                </c:pt>
                <c:pt idx="542" formatCode="0.00%">
                  <c:v>0.10507674144037769</c:v>
                </c:pt>
                <c:pt idx="543" formatCode="0.00%">
                  <c:v>0.11137440758293828</c:v>
                </c:pt>
                <c:pt idx="544" formatCode="0.00%">
                  <c:v>0.11019929660023453</c:v>
                </c:pt>
                <c:pt idx="545" formatCode="0.00%">
                  <c:v>0.10581395348837203</c:v>
                </c:pt>
                <c:pt idx="546" formatCode="0.00%">
                  <c:v>0.10776361529548086</c:v>
                </c:pt>
                <c:pt idx="547" formatCode="0.00%">
                  <c:v>0.10471806674338313</c:v>
                </c:pt>
                <c:pt idx="548" formatCode="0.00%">
                  <c:v>0.10011376564277584</c:v>
                </c:pt>
                <c:pt idx="549" formatCode="0.00%">
                  <c:v>9.2342342342342371E-2</c:v>
                </c:pt>
                <c:pt idx="550" formatCode="0.00%">
                  <c:v>8.7973273942093602E-2</c:v>
                </c:pt>
                <c:pt idx="551" formatCode="0.00%">
                  <c:v>8.8300220750551883E-2</c:v>
                </c:pt>
                <c:pt idx="552" formatCode="0.00%">
                  <c:v>8.306010928961742E-2</c:v>
                </c:pt>
                <c:pt idx="553" formatCode="0.00%">
                  <c:v>7.9089924160346672E-2</c:v>
                </c:pt>
                <c:pt idx="554" formatCode="0.00%">
                  <c:v>5.9829059829059922E-2</c:v>
                </c:pt>
                <c:pt idx="555" formatCode="0.00%">
                  <c:v>6.2899786780383854E-2</c:v>
                </c:pt>
                <c:pt idx="556" formatCode="0.00%">
                  <c:v>5.174234424498407E-2</c:v>
                </c:pt>
                <c:pt idx="557" formatCode="0.00%">
                  <c:v>5.467928496319667E-2</c:v>
                </c:pt>
                <c:pt idx="558" formatCode="0.00%">
                  <c:v>5.0209205020920626E-2</c:v>
                </c:pt>
                <c:pt idx="559" formatCode="0.00%">
                  <c:v>5.2083333333333336E-2</c:v>
                </c:pt>
                <c:pt idx="560" formatCode="0.00%">
                  <c:v>3.7228541882109556E-2</c:v>
                </c:pt>
                <c:pt idx="561" formatCode="0.00%">
                  <c:v>3.8144329896907248E-2</c:v>
                </c:pt>
                <c:pt idx="562" formatCode="0.00%">
                  <c:v>3.6847492323439042E-2</c:v>
                </c:pt>
                <c:pt idx="563" formatCode="0.00%">
                  <c:v>2.7383367139959463E-2</c:v>
                </c:pt>
                <c:pt idx="564" formatCode="0.00%">
                  <c:v>3.0272452068617561E-2</c:v>
                </c:pt>
                <c:pt idx="565" formatCode="0.00%">
                  <c:v>2.5100401606425703E-2</c:v>
                </c:pt>
                <c:pt idx="566" formatCode="0.00%">
                  <c:v>3.2258064516129059E-2</c:v>
                </c:pt>
                <c:pt idx="567" formatCode="0.00%">
                  <c:v>2.1063189568706061E-2</c:v>
                </c:pt>
                <c:pt idx="568" formatCode="0.00%">
                  <c:v>1.6064257028112535E-2</c:v>
                </c:pt>
                <c:pt idx="569" formatCode="0.00%">
                  <c:v>7.9760717846460334E-3</c:v>
                </c:pt>
                <c:pt idx="570" formatCode="0.00%">
                  <c:v>1.9920318725098469E-3</c:v>
                </c:pt>
                <c:pt idx="571" formatCode="0.00%">
                  <c:v>-5.9405940594058843E-3</c:v>
                </c:pt>
                <c:pt idx="572" formatCode="0.00%">
                  <c:v>9.9700897308084287E-4</c:v>
                </c:pt>
                <c:pt idx="573" formatCode="0.00%">
                  <c:v>-4.9652432969215492E-3</c:v>
                </c:pt>
                <c:pt idx="574" formatCode="0.00%">
                  <c:v>-1.2833168805528107E-2</c:v>
                </c:pt>
                <c:pt idx="575" formatCode="0.00%">
                  <c:v>-8.8845014807501631E-3</c:v>
                </c:pt>
                <c:pt idx="576" formatCode="0.00%">
                  <c:v>-2.0568070519098869E-2</c:v>
                </c:pt>
                <c:pt idx="577" formatCode="0.00%">
                  <c:v>-2.1547502448579715E-2</c:v>
                </c:pt>
                <c:pt idx="578" formatCode="0.00%">
                  <c:v>-2.1484375000000028E-2</c:v>
                </c:pt>
                <c:pt idx="579" formatCode="0.00%">
                  <c:v>-1.9646365422396856E-2</c:v>
                </c:pt>
                <c:pt idx="580" formatCode="0.00%">
                  <c:v>-1.2845849802371512E-2</c:v>
                </c:pt>
                <c:pt idx="581" formatCode="0.00%">
                  <c:v>-1.3847675568743735E-2</c:v>
                </c:pt>
                <c:pt idx="582" formatCode="0.00%">
                  <c:v>-9.9403578528827041E-3</c:v>
                </c:pt>
                <c:pt idx="583" formatCode="0.00%">
                  <c:v>-1.3944223107569776E-2</c:v>
                </c:pt>
                <c:pt idx="584" formatCode="0.00%">
                  <c:v>-2.0916334661354664E-2</c:v>
                </c:pt>
                <c:pt idx="585" formatCode="0.00%">
                  <c:v>-2.4950099800399202E-2</c:v>
                </c:pt>
                <c:pt idx="586" formatCode="0.00%">
                  <c:v>-3.2000000000000028E-2</c:v>
                </c:pt>
                <c:pt idx="587" formatCode="0.00%">
                  <c:v>-4.5816733067729168E-2</c:v>
                </c:pt>
                <c:pt idx="588" formatCode="0.00%">
                  <c:v>-5.2999999999999971E-2</c:v>
                </c:pt>
                <c:pt idx="589" formatCode="0.00%">
                  <c:v>-6.3063063063063168E-2</c:v>
                </c:pt>
                <c:pt idx="590" formatCode="0.00%">
                  <c:v>-8.0838323353293495E-2</c:v>
                </c:pt>
                <c:pt idx="591" formatCode="0.00%">
                  <c:v>-8.2164328657314656E-2</c:v>
                </c:pt>
                <c:pt idx="592" formatCode="0.00%">
                  <c:v>-9.1091091091091175E-2</c:v>
                </c:pt>
                <c:pt idx="593" formatCode="0.00%">
                  <c:v>-9.4282848545636969E-2</c:v>
                </c:pt>
                <c:pt idx="594" formatCode="0.00%">
                  <c:v>-0.11345381526104416</c:v>
                </c:pt>
                <c:pt idx="595" formatCode="0.00%">
                  <c:v>-0.11919191919191917</c:v>
                </c:pt>
                <c:pt idx="596" formatCode="0.00%">
                  <c:v>-0.13326551373346893</c:v>
                </c:pt>
                <c:pt idx="597" formatCode="0.00%">
                  <c:v>-0.15660184237461613</c:v>
                </c:pt>
                <c:pt idx="598" formatCode="0.00%">
                  <c:v>-0.17458677685950405</c:v>
                </c:pt>
                <c:pt idx="599" formatCode="0.00%">
                  <c:v>-0.1899791231732777</c:v>
                </c:pt>
                <c:pt idx="600" formatCode="0.00%">
                  <c:v>-0.19746568109820489</c:v>
                </c:pt>
                <c:pt idx="601" formatCode="0.00%">
                  <c:v>-0.20085470085470084</c:v>
                </c:pt>
                <c:pt idx="602" formatCode="0.00%">
                  <c:v>-0.20195439739413676</c:v>
                </c:pt>
                <c:pt idx="603" formatCode="0.00%">
                  <c:v>-0.19541484716157198</c:v>
                </c:pt>
                <c:pt idx="604" formatCode="0.00%">
                  <c:v>-0.18502202643171803</c:v>
                </c:pt>
                <c:pt idx="605" formatCode="0.00%">
                  <c:v>-0.1738648947951274</c:v>
                </c:pt>
                <c:pt idx="606" formatCode="0.00%">
                  <c:v>-0.14835787089467717</c:v>
                </c:pt>
                <c:pt idx="607" formatCode="0.00%">
                  <c:v>-0.1284403669724771</c:v>
                </c:pt>
                <c:pt idx="608" formatCode="0.00%">
                  <c:v>-0.10093896713615033</c:v>
                </c:pt>
                <c:pt idx="609" formatCode="0.00%">
                  <c:v>-6.553398058252434E-2</c:v>
                </c:pt>
                <c:pt idx="610" formatCode="0.00%">
                  <c:v>-2.6282853566958805E-2</c:v>
                </c:pt>
                <c:pt idx="611" formatCode="0.00%">
                  <c:v>1.2886597938144331E-2</c:v>
                </c:pt>
                <c:pt idx="612" formatCode="0.00%">
                  <c:v>4.0789473684210452E-2</c:v>
                </c:pt>
                <c:pt idx="613" formatCode="0.00%">
                  <c:v>5.7486631016042747E-2</c:v>
                </c:pt>
                <c:pt idx="614" formatCode="0.00%">
                  <c:v>9.5238095238095233E-2</c:v>
                </c:pt>
                <c:pt idx="615" formatCode="0.00%">
                  <c:v>9.7693351424694749E-2</c:v>
                </c:pt>
                <c:pt idx="616" formatCode="0.00%">
                  <c:v>9.45945945945946E-2</c:v>
                </c:pt>
                <c:pt idx="617" formatCode="0.00%">
                  <c:v>8.7131367292225204E-2</c:v>
                </c:pt>
                <c:pt idx="618" formatCode="0.00%">
                  <c:v>7.9787234042553182E-2</c:v>
                </c:pt>
                <c:pt idx="619" formatCode="0.00%">
                  <c:v>7.2368421052631582E-2</c:v>
                </c:pt>
                <c:pt idx="620" formatCode="0.00%">
                  <c:v>7.0496083550913913E-2</c:v>
                </c:pt>
                <c:pt idx="621" formatCode="0.00%">
                  <c:v>6.6233766233766159E-2</c:v>
                </c:pt>
                <c:pt idx="622" formatCode="0.00%">
                  <c:v>6.4267352185089971E-2</c:v>
                </c:pt>
                <c:pt idx="623" formatCode="0.00%">
                  <c:v>6.4885496183206215E-2</c:v>
                </c:pt>
                <c:pt idx="624" formatCode="0.00%">
                  <c:v>5.9418457648546183E-2</c:v>
                </c:pt>
                <c:pt idx="625" formatCode="0.00%">
                  <c:v>6.7003792667509623E-2</c:v>
                </c:pt>
                <c:pt idx="626" formatCode="0.00%">
                  <c:v>5.9627329192546548E-2</c:v>
                </c:pt>
                <c:pt idx="627" formatCode="0.00%">
                  <c:v>5.4388133498145752E-2</c:v>
                </c:pt>
                <c:pt idx="628" formatCode="0.00%">
                  <c:v>5.9259259259259227E-2</c:v>
                </c:pt>
                <c:pt idx="629" formatCode="0.00%">
                  <c:v>5.6720098643649922E-2</c:v>
                </c:pt>
                <c:pt idx="630" formatCode="0.00%">
                  <c:v>6.1576354679802957E-2</c:v>
                </c:pt>
                <c:pt idx="631" formatCode="0.00%">
                  <c:v>5.03067484662576E-2</c:v>
                </c:pt>
                <c:pt idx="632" formatCode="0.00%">
                  <c:v>3.9024390243902474E-2</c:v>
                </c:pt>
                <c:pt idx="633" formatCode="0.00%">
                  <c:v>4.5066991473812462E-2</c:v>
                </c:pt>
                <c:pt idx="634" formatCode="0.00%">
                  <c:v>3.7439613526570152E-2</c:v>
                </c:pt>
                <c:pt idx="635" formatCode="0.00%">
                  <c:v>3.1063321385901961E-2</c:v>
                </c:pt>
                <c:pt idx="636" formatCode="0.00%">
                  <c:v>3.2219570405727961E-2</c:v>
                </c:pt>
                <c:pt idx="637" formatCode="0.00%">
                  <c:v>3.0805687203791399E-2</c:v>
                </c:pt>
                <c:pt idx="638" formatCode="0.00%">
                  <c:v>2.5791324736225123E-2</c:v>
                </c:pt>
                <c:pt idx="639" formatCode="0.00%">
                  <c:v>2.3446658851113716E-2</c:v>
                </c:pt>
                <c:pt idx="640" formatCode="0.00%">
                  <c:v>1.8648018648018749E-2</c:v>
                </c:pt>
                <c:pt idx="641" formatCode="0.00%">
                  <c:v>1.5169194865810936E-2</c:v>
                </c:pt>
                <c:pt idx="642" formatCode="0.00%">
                  <c:v>1.1600928074245939E-2</c:v>
                </c:pt>
                <c:pt idx="643" formatCode="0.00%">
                  <c:v>1.5186915887850601E-2</c:v>
                </c:pt>
                <c:pt idx="644" formatCode="0.00%">
                  <c:v>2.5821596244131488E-2</c:v>
                </c:pt>
                <c:pt idx="645" formatCode="0.00%">
                  <c:v>1.9813519813519847E-2</c:v>
                </c:pt>
                <c:pt idx="646" formatCode="0.00%">
                  <c:v>1.8626309662398071E-2</c:v>
                </c:pt>
                <c:pt idx="647" formatCode="0.00%">
                  <c:v>1.7381228273464659E-2</c:v>
                </c:pt>
                <c:pt idx="648" formatCode="0.00%">
                  <c:v>1.9653179190751477E-2</c:v>
                </c:pt>
                <c:pt idx="649" formatCode="0.00%">
                  <c:v>1.8390804597701083E-2</c:v>
                </c:pt>
                <c:pt idx="650" formatCode="0.00%">
                  <c:v>1.1428571428571429E-2</c:v>
                </c:pt>
                <c:pt idx="651" formatCode="0.00%">
                  <c:v>1.8327605956472034E-2</c:v>
                </c:pt>
                <c:pt idx="652" formatCode="0.00%">
                  <c:v>2.0594965675057173E-2</c:v>
                </c:pt>
                <c:pt idx="653" formatCode="0.00%">
                  <c:v>2.6436781609195371E-2</c:v>
                </c:pt>
                <c:pt idx="654" formatCode="0.00%">
                  <c:v>2.522935779816517E-2</c:v>
                </c:pt>
                <c:pt idx="655" formatCode="0.00%">
                  <c:v>3.6823935558112642E-2</c:v>
                </c:pt>
                <c:pt idx="656" formatCode="0.00%">
                  <c:v>4.0045766590389012E-2</c:v>
                </c:pt>
                <c:pt idx="657" formatCode="0.00%">
                  <c:v>3.7714285714285679E-2</c:v>
                </c:pt>
                <c:pt idx="658" formatCode="0.00%">
                  <c:v>4.9142857142857113E-2</c:v>
                </c:pt>
                <c:pt idx="659" formatCode="0.00%">
                  <c:v>4.5558086560364468E-2</c:v>
                </c:pt>
                <c:pt idx="660" formatCode="0.00%">
                  <c:v>4.3083900226757336E-2</c:v>
                </c:pt>
                <c:pt idx="661" formatCode="0.00%">
                  <c:v>4.4018058690744988E-2</c:v>
                </c:pt>
                <c:pt idx="662" formatCode="0.00%">
                  <c:v>5.5367231638418141E-2</c:v>
                </c:pt>
                <c:pt idx="663" formatCode="0.00%">
                  <c:v>5.1743532058492622E-2</c:v>
                </c:pt>
                <c:pt idx="664" formatCode="0.00%">
                  <c:v>5.381165919282508E-2</c:v>
                </c:pt>
                <c:pt idx="665" formatCode="0.00%">
                  <c:v>6.0470324748040379E-2</c:v>
                </c:pt>
                <c:pt idx="666" formatCode="0.00%">
                  <c:v>6.4876957494407125E-2</c:v>
                </c:pt>
                <c:pt idx="667" formatCode="0.00%">
                  <c:v>5.9933407325194296E-2</c:v>
                </c:pt>
                <c:pt idx="668" formatCode="0.00%">
                  <c:v>5.7205720572057077E-2</c:v>
                </c:pt>
                <c:pt idx="669" formatCode="0.00%">
                  <c:v>6.1674008810572785E-2</c:v>
                </c:pt>
                <c:pt idx="670" formatCode="0.00%">
                  <c:v>5.4466230936819175E-2</c:v>
                </c:pt>
                <c:pt idx="671" formatCode="0.00%">
                  <c:v>5.9912854030501089E-2</c:v>
                </c:pt>
                <c:pt idx="672" formatCode="0.00%">
                  <c:v>5.8695652173913107E-2</c:v>
                </c:pt>
                <c:pt idx="673" formatCode="0.00%">
                  <c:v>5.2972972972973036E-2</c:v>
                </c:pt>
                <c:pt idx="674" formatCode="0.00%">
                  <c:v>4.8179871520342608E-2</c:v>
                </c:pt>
                <c:pt idx="675" formatCode="0.00%">
                  <c:v>5.2406417112299528E-2</c:v>
                </c:pt>
                <c:pt idx="676" formatCode="0.00%">
                  <c:v>5.1063829787234012E-2</c:v>
                </c:pt>
                <c:pt idx="677" formatCode="0.00%">
                  <c:v>4.8574445617740172E-2</c:v>
                </c:pt>
                <c:pt idx="678" formatCode="0.00%">
                  <c:v>4.0966386554621759E-2</c:v>
                </c:pt>
                <c:pt idx="679" formatCode="0.00%">
                  <c:v>3.7696335078533968E-2</c:v>
                </c:pt>
                <c:pt idx="680" formatCode="0.00%">
                  <c:v>3.0176899063475607E-2</c:v>
                </c:pt>
                <c:pt idx="681" formatCode="0.00%">
                  <c:v>3.1120331950207466E-2</c:v>
                </c:pt>
                <c:pt idx="682" formatCode="0.00%">
                  <c:v>3.0991735537190084E-2</c:v>
                </c:pt>
                <c:pt idx="683" formatCode="0.00%">
                  <c:v>2.3638232271325769E-2</c:v>
                </c:pt>
                <c:pt idx="684" formatCode="0.00%">
                  <c:v>1.9507186858316133E-2</c:v>
                </c:pt>
                <c:pt idx="685" formatCode="0.00%">
                  <c:v>1.8480492813141652E-2</c:v>
                </c:pt>
                <c:pt idx="686" formatCode="0.00%">
                  <c:v>1.3278855975485159E-2</c:v>
                </c:pt>
                <c:pt idx="687" formatCode="0.00%">
                  <c:v>1.3211382113821108E-2</c:v>
                </c:pt>
                <c:pt idx="688" formatCode="0.00%">
                  <c:v>7.0850202429150085E-3</c:v>
                </c:pt>
                <c:pt idx="689" formatCode="0.00%">
                  <c:v>5.0352467270896274E-3</c:v>
                </c:pt>
                <c:pt idx="690" formatCode="0.00%">
                  <c:v>1.1099899091826525E-2</c:v>
                </c:pt>
                <c:pt idx="691" formatCode="0.00%">
                  <c:v>1.1099899091826525E-2</c:v>
                </c:pt>
                <c:pt idx="692" formatCode="0.00%">
                  <c:v>1.41414141414142E-2</c:v>
                </c:pt>
                <c:pt idx="693" formatCode="0.00%">
                  <c:v>1.1066398390341995E-2</c:v>
                </c:pt>
                <c:pt idx="694" formatCode="0.00%">
                  <c:v>9.0180360721443462E-3</c:v>
                </c:pt>
                <c:pt idx="695" formatCode="0.00%">
                  <c:v>1.6064257028112535E-2</c:v>
                </c:pt>
                <c:pt idx="696" formatCode="0.00%">
                  <c:v>2.5176233635448138E-2</c:v>
                </c:pt>
                <c:pt idx="697" formatCode="0.00%">
                  <c:v>2.9233870967741847E-2</c:v>
                </c:pt>
                <c:pt idx="698" formatCode="0.00%">
                  <c:v>3.4274193548387011E-2</c:v>
                </c:pt>
                <c:pt idx="699" formatCode="0.00%">
                  <c:v>3.1093279839518498E-2</c:v>
                </c:pt>
                <c:pt idx="700" formatCode="0.00%">
                  <c:v>3.7185929648241238E-2</c:v>
                </c:pt>
                <c:pt idx="701" formatCode="0.00%">
                  <c:v>4.0080160320641281E-2</c:v>
                </c:pt>
                <c:pt idx="702" formatCode="0.00%">
                  <c:v>3.8922155688622666E-2</c:v>
                </c:pt>
                <c:pt idx="703" formatCode="0.00%">
                  <c:v>4.2914171656686595E-2</c:v>
                </c:pt>
                <c:pt idx="704" formatCode="0.00%">
                  <c:v>4.0836653386454126E-2</c:v>
                </c:pt>
                <c:pt idx="705" formatCode="0.00%">
                  <c:v>5.3731343283582145E-2</c:v>
                </c:pt>
                <c:pt idx="706" formatCode="0.00%">
                  <c:v>5.5610724925521292E-2</c:v>
                </c:pt>
                <c:pt idx="707" formatCode="0.00%">
                  <c:v>5.7312252964426845E-2</c:v>
                </c:pt>
                <c:pt idx="708" formatCode="0.00%">
                  <c:v>5.99214145383105E-2</c:v>
                </c:pt>
                <c:pt idx="709" formatCode="0.00%">
                  <c:v>6.4642507345739564E-2</c:v>
                </c:pt>
                <c:pt idx="710" formatCode="0.00%">
                  <c:v>6.2378167641325595E-2</c:v>
                </c:pt>
                <c:pt idx="711" formatCode="0.00%">
                  <c:v>6.4202334630350286E-2</c:v>
                </c:pt>
                <c:pt idx="712" formatCode="0.00%">
                  <c:v>6.0077519379844985E-2</c:v>
                </c:pt>
                <c:pt idx="713" formatCode="0.00%">
                  <c:v>5.8766859344894111E-2</c:v>
                </c:pt>
                <c:pt idx="714" formatCode="0.00%">
                  <c:v>6.3400576368876166E-2</c:v>
                </c:pt>
                <c:pt idx="715" formatCode="0.00%">
                  <c:v>6.5071770334928197E-2</c:v>
                </c:pt>
                <c:pt idx="716" formatCode="0.00%">
                  <c:v>6.9856459330143519E-2</c:v>
                </c:pt>
                <c:pt idx="717" formatCode="0.00%">
                  <c:v>5.8545797922568352E-2</c:v>
                </c:pt>
                <c:pt idx="718" formatCode="0.00%">
                  <c:v>5.1740357478833494E-2</c:v>
                </c:pt>
                <c:pt idx="719" formatCode="0.00%">
                  <c:v>4.392523364485984E-2</c:v>
                </c:pt>
                <c:pt idx="720" formatCode="0.00%">
                  <c:v>2.873030583873952E-2</c:v>
                </c:pt>
                <c:pt idx="721" formatCode="0.00%">
                  <c:v>2.2079116835326509E-2</c:v>
                </c:pt>
                <c:pt idx="722" formatCode="0.00%">
                  <c:v>2.2935779816513763E-2</c:v>
                </c:pt>
                <c:pt idx="723" formatCode="0.00%">
                  <c:v>1.9195612431444187E-2</c:v>
                </c:pt>
                <c:pt idx="724" formatCode="0.00%">
                  <c:v>1.8281535648994516E-2</c:v>
                </c:pt>
                <c:pt idx="725" formatCode="0.00%">
                  <c:v>1.4558689717925333E-2</c:v>
                </c:pt>
                <c:pt idx="726" formatCode="0.00%">
                  <c:v>1.1743450767840986E-2</c:v>
                </c:pt>
                <c:pt idx="727" formatCode="0.00%">
                  <c:v>4.4923629829290209E-3</c:v>
                </c:pt>
                <c:pt idx="728" formatCode="0.00%">
                  <c:v>-8.94454382826425E-4</c:v>
                </c:pt>
                <c:pt idx="729" formatCode="0.00%">
                  <c:v>-6.2444246208741188E-3</c:v>
                </c:pt>
                <c:pt idx="730" formatCode="0.00%">
                  <c:v>-1.7889087656529771E-3</c:v>
                </c:pt>
                <c:pt idx="731" formatCode="0.00%">
                  <c:v>-2.6857654431512727E-3</c:v>
                </c:pt>
                <c:pt idx="732" formatCode="0.00%">
                  <c:v>9.0090090090090089E-3</c:v>
                </c:pt>
                <c:pt idx="733" formatCode="0.00%">
                  <c:v>7.2007200720073036E-3</c:v>
                </c:pt>
                <c:pt idx="734" formatCode="0.00%">
                  <c:v>-7.2645739910313853E-2</c:v>
                </c:pt>
                <c:pt idx="735" formatCode="0.00%">
                  <c:v>-0.13183856502242156</c:v>
                </c:pt>
                <c:pt idx="736" formatCode="0.00%">
                  <c:v>-0.10412926391382413</c:v>
                </c:pt>
                <c:pt idx="737" formatCode="0.00%">
                  <c:v>-7.8026905829596441E-2</c:v>
                </c:pt>
                <c:pt idx="738" formatCode="0.00%">
                  <c:v>-6.3392857142857098E-2</c:v>
                </c:pt>
                <c:pt idx="739" formatCode="0.00%">
                  <c:v>-4.7406082289803197E-2</c:v>
                </c:pt>
                <c:pt idx="740" formatCode="0.00%">
                  <c:v>-3.7600716204118201E-2</c:v>
                </c:pt>
                <c:pt idx="741" formatCode="0.00%">
                  <c:v>-2.8725314183123903E-2</c:v>
                </c:pt>
                <c:pt idx="742" formatCode="0.00%">
                  <c:v>-2.1505376344085947E-2</c:v>
                </c:pt>
                <c:pt idx="743" formatCode="0.00%">
                  <c:v>-1.6157989228007284E-2</c:v>
                </c:pt>
                <c:pt idx="744" formatCode="0.00%">
                  <c:v>-1.6964285714285765E-2</c:v>
                </c:pt>
                <c:pt idx="745" formatCode="0.00%">
                  <c:v>-1.60857908847186E-2</c:v>
                </c:pt>
                <c:pt idx="746" formatCode="0.00%">
                  <c:v>7.9303675048355782E-2</c:v>
                </c:pt>
                <c:pt idx="747" formatCode="0.00%">
                  <c:v>0.16735537190082647</c:v>
                </c:pt>
                <c:pt idx="748" formatCode="0.00%">
                  <c:v>0.14529058116232466</c:v>
                </c:pt>
                <c:pt idx="749" formatCode="0.00%">
                  <c:v>0.11964980544747079</c:v>
                </c:pt>
              </c:numCache>
            </c:numRef>
          </c:val>
          <c:smooth val="0"/>
          <c:extLst>
            <c:ext xmlns:c16="http://schemas.microsoft.com/office/drawing/2014/chart" uri="{C3380CC4-5D6E-409C-BE32-E72D297353CC}">
              <c16:uniqueId val="{00000001-1540-44E5-81FB-0F9458867B87}"/>
            </c:ext>
          </c:extLst>
        </c:ser>
        <c:dLbls>
          <c:showLegendKey val="0"/>
          <c:showVal val="0"/>
          <c:showCatName val="0"/>
          <c:showSerName val="0"/>
          <c:showPercent val="0"/>
          <c:showBubbleSize val="0"/>
        </c:dLbls>
        <c:marker val="1"/>
        <c:smooth val="0"/>
        <c:axId val="1131136992"/>
        <c:axId val="1131137648"/>
      </c:lineChart>
      <c:dateAx>
        <c:axId val="1131136992"/>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7648"/>
        <c:crosses val="autoZero"/>
        <c:auto val="1"/>
        <c:lblOffset val="100"/>
        <c:baseTimeUnit val="months"/>
      </c:dateAx>
      <c:valAx>
        <c:axId val="1131137648"/>
        <c:scaling>
          <c:orientation val="minMax"/>
          <c:min val="-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6992"/>
        <c:crosses val="autoZero"/>
        <c:crossBetween val="between"/>
      </c:valAx>
      <c:valAx>
        <c:axId val="1178468816"/>
        <c:scaling>
          <c:orientation val="minMax"/>
          <c:max val="0.12000000000000001"/>
          <c:min val="-0.12000000000000001"/>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469144"/>
        <c:crosses val="max"/>
        <c:crossBetween val="between"/>
      </c:valAx>
      <c:dateAx>
        <c:axId val="1178469144"/>
        <c:scaling>
          <c:orientation val="minMax"/>
        </c:scaling>
        <c:delete val="1"/>
        <c:axPos val="b"/>
        <c:numFmt formatCode="m/d/yy" sourceLinked="1"/>
        <c:majorTickMark val="out"/>
        <c:minorTickMark val="none"/>
        <c:tickLblPos val="nextTo"/>
        <c:crossAx val="1178468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219"/>
        <c:overlap val="-27"/>
        <c:axId val="1179503040"/>
        <c:axId val="1178471112"/>
        <c:extLst>
          <c:ext xmlns:c15="http://schemas.microsoft.com/office/drawing/2012/chart" uri="{02D57815-91ED-43cb-92C2-25804820EDAC}">
            <c15:filteredBarSeries>
              <c15:ser>
                <c:idx val="1"/>
                <c:order val="1"/>
                <c:tx>
                  <c:strRef>
                    <c:extLst>
                      <c:ext uri="{02D57815-91ED-43cb-92C2-25804820EDAC}">
                        <c15:formulaRef>
                          <c15:sqref>'Conference Board'!$C$9</c15:sqref>
                        </c15:formulaRef>
                      </c:ext>
                    </c:extLst>
                    <c:strCache>
                      <c:ptCount val="1"/>
                      <c:pt idx="0">
                        <c:v>Var y/y %</c:v>
                      </c:pt>
                    </c:strCache>
                  </c:strRef>
                </c:tx>
                <c:spPr>
                  <a:solidFill>
                    <a:schemeClr val="accent2"/>
                  </a:solidFill>
                  <a:ln>
                    <a:noFill/>
                  </a:ln>
                  <a:effectLst/>
                </c:spPr>
                <c:invertIfNegative val="0"/>
                <c:cat>
                  <c:numRef>
                    <c:extLst>
                      <c:ext uri="{02D57815-91ED-43cb-92C2-25804820EDAC}">
                        <c15:formulaRef>
                          <c15:sqref>'Conference Board'!$A$10:$A$759</c15:sqref>
                        </c15:formulaRef>
                      </c:ext>
                    </c:extLst>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extLst>
                      <c:ext uri="{02D57815-91ED-43cb-92C2-25804820EDAC}">
                        <c15:formulaRef>
                          <c15:sqref>'Conference Board'!$C$10:$C$759</c15:sqref>
                        </c15:formulaRef>
                      </c:ext>
                    </c:extLst>
                    <c:numCache>
                      <c:formatCode>General</c:formatCode>
                      <c:ptCount val="750"/>
                      <c:pt idx="12" formatCode="0.00%">
                        <c:v>5.514705882352941E-2</c:v>
                      </c:pt>
                      <c:pt idx="13" formatCode="0.00%">
                        <c:v>3.9855072463768036E-2</c:v>
                      </c:pt>
                      <c:pt idx="14" formatCode="0.00%">
                        <c:v>2.1428571428571481E-2</c:v>
                      </c:pt>
                      <c:pt idx="15" formatCode="0.00%">
                        <c:v>2.1352313167259711E-2</c:v>
                      </c:pt>
                      <c:pt idx="16" formatCode="0.00%">
                        <c:v>1.4134275618374508E-2</c:v>
                      </c:pt>
                      <c:pt idx="17" formatCode="0.00%">
                        <c:v>1.4084507042253596E-2</c:v>
                      </c:pt>
                      <c:pt idx="18" formatCode="0.00%">
                        <c:v>1.052631578947371E-2</c:v>
                      </c:pt>
                      <c:pt idx="19" formatCode="0.00%">
                        <c:v>1.7605633802816902E-2</c:v>
                      </c:pt>
                      <c:pt idx="20" formatCode="0.00%">
                        <c:v>1.7605633802816902E-2</c:v>
                      </c:pt>
                      <c:pt idx="21" formatCode="0.00%">
                        <c:v>2.1201413427561763E-2</c:v>
                      </c:pt>
                      <c:pt idx="22" formatCode="0.00%">
                        <c:v>2.8469750889679613E-2</c:v>
                      </c:pt>
                      <c:pt idx="23" formatCode="0.00%">
                        <c:v>6.9686411149825541E-3</c:v>
                      </c:pt>
                      <c:pt idx="24" formatCode="0.00%">
                        <c:v>1.3937282229965231E-2</c:v>
                      </c:pt>
                      <c:pt idx="25" formatCode="0.00%">
                        <c:v>1.7421602787456445E-2</c:v>
                      </c:pt>
                      <c:pt idx="26" formatCode="0.00%">
                        <c:v>3.4965034965034961E-2</c:v>
                      </c:pt>
                      <c:pt idx="27" formatCode="0.00%">
                        <c:v>4.1811846689895446E-2</c:v>
                      </c:pt>
                      <c:pt idx="28" formatCode="0.00%">
                        <c:v>5.2264808362369339E-2</c:v>
                      </c:pt>
                      <c:pt idx="29" formatCode="0.00%">
                        <c:v>6.2500000000000028E-2</c:v>
                      </c:pt>
                      <c:pt idx="30" formatCode="0.00%">
                        <c:v>6.5972222222222168E-2</c:v>
                      </c:pt>
                      <c:pt idx="31" formatCode="0.00%">
                        <c:v>7.9584775086505216E-2</c:v>
                      </c:pt>
                      <c:pt idx="32" formatCode="0.00%">
                        <c:v>7.9584775086505216E-2</c:v>
                      </c:pt>
                      <c:pt idx="33" formatCode="0.00%">
                        <c:v>9.6885813148788955E-2</c:v>
                      </c:pt>
                      <c:pt idx="34" formatCode="0.00%">
                        <c:v>0.11072664359861602</c:v>
                      </c:pt>
                      <c:pt idx="35" formatCode="0.00%">
                        <c:v>0.12110726643598617</c:v>
                      </c:pt>
                      <c:pt idx="36" formatCode="0.00%">
                        <c:v>0.11340206185567001</c:v>
                      </c:pt>
                      <c:pt idx="37" formatCode="0.00%">
                        <c:v>0.12328767123287664</c:v>
                      </c:pt>
                      <c:pt idx="38" formatCode="0.00%">
                        <c:v>0.11148648648648639</c:v>
                      </c:pt>
                      <c:pt idx="39" formatCode="0.00%">
                        <c:v>0.10702341137123755</c:v>
                      </c:pt>
                      <c:pt idx="40" formatCode="0.00%">
                        <c:v>9.602649006622524E-2</c:v>
                      </c:pt>
                      <c:pt idx="41" formatCode="0.00%">
                        <c:v>7.8431372549019551E-2</c:v>
                      </c:pt>
                      <c:pt idx="42" formatCode="0.00%">
                        <c:v>8.1433224755700445E-2</c:v>
                      </c:pt>
                      <c:pt idx="43" formatCode="0.00%">
                        <c:v>7.0512820512820498E-2</c:v>
                      </c:pt>
                      <c:pt idx="44" formatCode="0.00%">
                        <c:v>7.3717948717948747E-2</c:v>
                      </c:pt>
                      <c:pt idx="45" formatCode="0.00%">
                        <c:v>5.9936908517350229E-2</c:v>
                      </c:pt>
                      <c:pt idx="46" formatCode="0.00%">
                        <c:v>5.9190031152647926E-2</c:v>
                      </c:pt>
                      <c:pt idx="47" formatCode="0.00%">
                        <c:v>5.2469135802469223E-2</c:v>
                      </c:pt>
                      <c:pt idx="48" formatCode="0.00%">
                        <c:v>6.1728395061728399E-2</c:v>
                      </c:pt>
                      <c:pt idx="49" formatCode="0.00%">
                        <c:v>5.7926829268292859E-2</c:v>
                      </c:pt>
                      <c:pt idx="50" formatCode="0.00%">
                        <c:v>6.3829787234042604E-2</c:v>
                      </c:pt>
                      <c:pt idx="51" formatCode="0.00%">
                        <c:v>6.6465256797582944E-2</c:v>
                      </c:pt>
                      <c:pt idx="52" formatCode="0.00%">
                        <c:v>7.5528700906344406E-2</c:v>
                      </c:pt>
                      <c:pt idx="53" formatCode="0.00%">
                        <c:v>8.1818181818181901E-2</c:v>
                      </c:pt>
                      <c:pt idx="54" formatCode="0.00%">
                        <c:v>8.1325301204819136E-2</c:v>
                      </c:pt>
                      <c:pt idx="55" formatCode="0.00%">
                        <c:v>7.7844311377245554E-2</c:v>
                      </c:pt>
                      <c:pt idx="56" formatCode="0.00%">
                        <c:v>8.6567164179104442E-2</c:v>
                      </c:pt>
                      <c:pt idx="57" formatCode="0.00%">
                        <c:v>8.9285714285714288E-2</c:v>
                      </c:pt>
                      <c:pt idx="58" formatCode="0.00%">
                        <c:v>8.2352941176470504E-2</c:v>
                      </c:pt>
                      <c:pt idx="59" formatCode="0.00%">
                        <c:v>8.5043988269794674E-2</c:v>
                      </c:pt>
                      <c:pt idx="60" formatCode="0.00%">
                        <c:v>8.1395348837209433E-2</c:v>
                      </c:pt>
                      <c:pt idx="61" formatCode="0.00%">
                        <c:v>8.0691642651296747E-2</c:v>
                      </c:pt>
                      <c:pt idx="62" formatCode="0.00%">
                        <c:v>7.7142857142857221E-2</c:v>
                      </c:pt>
                      <c:pt idx="63" formatCode="0.00%">
                        <c:v>7.648725212464598E-2</c:v>
                      </c:pt>
                      <c:pt idx="64" formatCode="0.00%">
                        <c:v>7.5842696629213363E-2</c:v>
                      </c:pt>
                      <c:pt idx="65" formatCode="0.00%">
                        <c:v>7.8431372549019523E-2</c:v>
                      </c:pt>
                      <c:pt idx="66" formatCode="0.00%">
                        <c:v>8.0779944289693553E-2</c:v>
                      </c:pt>
                      <c:pt idx="67" formatCode="0.00%">
                        <c:v>8.6111111111111152E-2</c:v>
                      </c:pt>
                      <c:pt idx="68" formatCode="0.00%">
                        <c:v>8.2417582417582416E-2</c:v>
                      </c:pt>
                      <c:pt idx="69" formatCode="0.00%">
                        <c:v>7.9234972677595591E-2</c:v>
                      </c:pt>
                      <c:pt idx="70" formatCode="0.00%">
                        <c:v>8.1521739130434784E-2</c:v>
                      </c:pt>
                      <c:pt idx="71" formatCode="0.00%">
                        <c:v>8.3783783783783816E-2</c:v>
                      </c:pt>
                      <c:pt idx="72" formatCode="0.00%">
                        <c:v>8.870967741935476E-2</c:v>
                      </c:pt>
                      <c:pt idx="73" formatCode="0.00%">
                        <c:v>8.2666666666666708E-2</c:v>
                      </c:pt>
                      <c:pt idx="74" formatCode="0.00%">
                        <c:v>9.0185676392572897E-2</c:v>
                      </c:pt>
                      <c:pt idx="75" formatCode="0.00%">
                        <c:v>8.4210526315789555E-2</c:v>
                      </c:pt>
                      <c:pt idx="76" formatCode="0.00%">
                        <c:v>8.0939947780678895E-2</c:v>
                      </c:pt>
                      <c:pt idx="77" formatCode="0.00%">
                        <c:v>8.051948051948056E-2</c:v>
                      </c:pt>
                      <c:pt idx="78" formatCode="0.00%">
                        <c:v>7.7319587628865982E-2</c:v>
                      </c:pt>
                      <c:pt idx="79" formatCode="0.00%">
                        <c:v>7.1611253196930874E-2</c:v>
                      </c:pt>
                      <c:pt idx="80" formatCode="0.00%">
                        <c:v>7.3604060913705555E-2</c:v>
                      </c:pt>
                      <c:pt idx="81" formatCode="0.00%">
                        <c:v>8.3544303797468286E-2</c:v>
                      </c:pt>
                      <c:pt idx="82" formatCode="0.00%">
                        <c:v>8.2914572864321717E-2</c:v>
                      </c:pt>
                      <c:pt idx="83" formatCode="0.00%">
                        <c:v>8.4788029925186997E-2</c:v>
                      </c:pt>
                      <c:pt idx="84" formatCode="0.00%">
                        <c:v>7.9012345679012413E-2</c:v>
                      </c:pt>
                      <c:pt idx="85" formatCode="0.00%">
                        <c:v>8.128078817733983E-2</c:v>
                      </c:pt>
                      <c:pt idx="86" formatCode="0.00%">
                        <c:v>7.7858880778588699E-2</c:v>
                      </c:pt>
                      <c:pt idx="87" formatCode="0.00%">
                        <c:v>8.0097087378640699E-2</c:v>
                      </c:pt>
                      <c:pt idx="88" formatCode="0.00%">
                        <c:v>7.0048309178743925E-2</c:v>
                      </c:pt>
                      <c:pt idx="89" formatCode="0.00%">
                        <c:v>6.2500000000000028E-2</c:v>
                      </c:pt>
                      <c:pt idx="90" formatCode="0.00%">
                        <c:v>5.5023923444976183E-2</c:v>
                      </c:pt>
                      <c:pt idx="91" formatCode="0.00%">
                        <c:v>5.0119331742243471E-2</c:v>
                      </c:pt>
                      <c:pt idx="92" formatCode="0.00%">
                        <c:v>3.782505910165488E-2</c:v>
                      </c:pt>
                      <c:pt idx="93" formatCode="0.00%">
                        <c:v>2.3364485981308414E-2</c:v>
                      </c:pt>
                      <c:pt idx="94" formatCode="0.00%">
                        <c:v>1.6241299303944218E-2</c:v>
                      </c:pt>
                      <c:pt idx="95" formatCode="0.00%">
                        <c:v>4.5977011494253523E-3</c:v>
                      </c:pt>
                      <c:pt idx="96" formatCode="0.00%">
                        <c:v>6.8649885583523373E-3</c:v>
                      </c:pt>
                      <c:pt idx="97" formatCode="0.00%">
                        <c:v>-4.5558086560363491E-3</c:v>
                      </c:pt>
                      <c:pt idx="98" formatCode="0.00%">
                        <c:v>-6.772009029345309E-3</c:v>
                      </c:pt>
                      <c:pt idx="99" formatCode="0.00%">
                        <c:v>-8.9887640449437881E-3</c:v>
                      </c:pt>
                      <c:pt idx="100" formatCode="0.00%">
                        <c:v>4.514672686230313E-3</c:v>
                      </c:pt>
                      <c:pt idx="101" formatCode="0.00%">
                        <c:v>1.3574660633484033E-2</c:v>
                      </c:pt>
                      <c:pt idx="102" formatCode="0.00%">
                        <c:v>2.040816326530609E-2</c:v>
                      </c:pt>
                      <c:pt idx="103" formatCode="0.00%">
                        <c:v>3.4090909090909088E-2</c:v>
                      </c:pt>
                      <c:pt idx="104" formatCode="0.00%">
                        <c:v>4.1002277904328116E-2</c:v>
                      </c:pt>
                      <c:pt idx="105" formatCode="0.00%">
                        <c:v>4.5662100456621009E-2</c:v>
                      </c:pt>
                      <c:pt idx="106" formatCode="0.00%">
                        <c:v>5.2511415525114256E-2</c:v>
                      </c:pt>
                      <c:pt idx="107" formatCode="0.00%">
                        <c:v>6.4073226544622358E-2</c:v>
                      </c:pt>
                      <c:pt idx="108" formatCode="0.00%">
                        <c:v>5.9090909090909124E-2</c:v>
                      </c:pt>
                      <c:pt idx="109" formatCode="0.00%">
                        <c:v>7.0938215102974697E-2</c:v>
                      </c:pt>
                      <c:pt idx="110" formatCode="0.00%">
                        <c:v>6.5909090909090876E-2</c:v>
                      </c:pt>
                      <c:pt idx="111" formatCode="0.00%">
                        <c:v>6.5759637188208583E-2</c:v>
                      </c:pt>
                      <c:pt idx="112" formatCode="0.00%">
                        <c:v>6.2921348314606676E-2</c:v>
                      </c:pt>
                      <c:pt idx="113" formatCode="0.00%">
                        <c:v>6.0267857142857213E-2</c:v>
                      </c:pt>
                      <c:pt idx="114" formatCode="0.00%">
                        <c:v>5.777777777777781E-2</c:v>
                      </c:pt>
                      <c:pt idx="115" formatCode="0.00%">
                        <c:v>4.3956043956043959E-2</c:v>
                      </c:pt>
                      <c:pt idx="116" formatCode="0.00%">
                        <c:v>5.0328227571115908E-2</c:v>
                      </c:pt>
                      <c:pt idx="117" formatCode="0.00%">
                        <c:v>5.458515283842795E-2</c:v>
                      </c:pt>
                      <c:pt idx="118" formatCode="0.00%">
                        <c:v>4.9891540130151783E-2</c:v>
                      </c:pt>
                      <c:pt idx="119" formatCode="0.00%">
                        <c:v>4.0860215053763409E-2</c:v>
                      </c:pt>
                      <c:pt idx="120" formatCode="0.00%">
                        <c:v>4.0772532188841172E-2</c:v>
                      </c:pt>
                      <c:pt idx="121" formatCode="0.00%">
                        <c:v>4.0598290598290725E-2</c:v>
                      </c:pt>
                      <c:pt idx="122" formatCode="0.00%">
                        <c:v>4.0511727078891231E-2</c:v>
                      </c:pt>
                      <c:pt idx="123" formatCode="0.00%">
                        <c:v>4.4680851063829817E-2</c:v>
                      </c:pt>
                      <c:pt idx="124" formatCode="0.00%">
                        <c:v>3.1712473572938694E-2</c:v>
                      </c:pt>
                      <c:pt idx="125" formatCode="0.00%">
                        <c:v>2.1052631578947368E-2</c:v>
                      </c:pt>
                      <c:pt idx="126" formatCode="0.00%">
                        <c:v>1.2605042016806753E-2</c:v>
                      </c:pt>
                      <c:pt idx="127" formatCode="0.00%">
                        <c:v>1.263157894736845E-2</c:v>
                      </c:pt>
                      <c:pt idx="128" formatCode="0.00%">
                        <c:v>4.1666666666667256E-3</c:v>
                      </c:pt>
                      <c:pt idx="129" formatCode="0.00%">
                        <c:v>-8.2815734989647744E-3</c:v>
                      </c:pt>
                      <c:pt idx="130" formatCode="0.00%">
                        <c:v>-1.4462809917355284E-2</c:v>
                      </c:pt>
                      <c:pt idx="131" formatCode="0.00%">
                        <c:v>-2.0661157024793389E-2</c:v>
                      </c:pt>
                      <c:pt idx="132" formatCode="0.00%">
                        <c:v>-3.2989690721649513E-2</c:v>
                      </c:pt>
                      <c:pt idx="133" formatCode="0.00%">
                        <c:v>-4.517453798767973E-2</c:v>
                      </c:pt>
                      <c:pt idx="134" formatCode="0.00%">
                        <c:v>-5.327868852459005E-2</c:v>
                      </c:pt>
                      <c:pt idx="135" formatCode="0.00%">
                        <c:v>-6.7209775967413524E-2</c:v>
                      </c:pt>
                      <c:pt idx="136" formatCode="0.00%">
                        <c:v>-6.147540983606558E-2</c:v>
                      </c:pt>
                      <c:pt idx="137" formatCode="0.00%">
                        <c:v>-5.5670103092783564E-2</c:v>
                      </c:pt>
                      <c:pt idx="138" formatCode="0.00%">
                        <c:v>-4.7717842323651539E-2</c:v>
                      </c:pt>
                      <c:pt idx="139" formatCode="0.00%">
                        <c:v>-4.3659043659043689E-2</c:v>
                      </c:pt>
                      <c:pt idx="140" formatCode="0.00%">
                        <c:v>-4.5643153526971007E-2</c:v>
                      </c:pt>
                      <c:pt idx="141" formatCode="0.00%">
                        <c:v>-4.1753653444676408E-2</c:v>
                      </c:pt>
                      <c:pt idx="142" formatCode="0.00%">
                        <c:v>-3.7735849056603862E-2</c:v>
                      </c:pt>
                      <c:pt idx="143" formatCode="0.00%">
                        <c:v>-1.8987341772151868E-2</c:v>
                      </c:pt>
                      <c:pt idx="144" formatCode="0.00%">
                        <c:v>-2.1321961620469386E-3</c:v>
                      </c:pt>
                      <c:pt idx="145" formatCode="0.00%">
                        <c:v>1.5053763440860277E-2</c:v>
                      </c:pt>
                      <c:pt idx="146" formatCode="0.00%">
                        <c:v>3.0303030303030269E-2</c:v>
                      </c:pt>
                      <c:pt idx="147" formatCode="0.00%">
                        <c:v>4.3668122270742363E-2</c:v>
                      </c:pt>
                      <c:pt idx="148" formatCode="0.00%">
                        <c:v>5.0218340611353808E-2</c:v>
                      </c:pt>
                      <c:pt idx="149" formatCode="0.00%">
                        <c:v>5.2401746724890959E-2</c:v>
                      </c:pt>
                      <c:pt idx="150" formatCode="0.00%">
                        <c:v>5.4466230936819175E-2</c:v>
                      </c:pt>
                      <c:pt idx="151" formatCode="0.00%">
                        <c:v>5.434782608695652E-2</c:v>
                      </c:pt>
                      <c:pt idx="152" formatCode="0.00%">
                        <c:v>5.8695652173913107E-2</c:v>
                      </c:pt>
                      <c:pt idx="153" formatCode="0.00%">
                        <c:v>6.7538126361655806E-2</c:v>
                      </c:pt>
                      <c:pt idx="154" formatCode="0.00%">
                        <c:v>7.1895424836601399E-2</c:v>
                      </c:pt>
                      <c:pt idx="155" formatCode="0.00%">
                        <c:v>6.8817204301075324E-2</c:v>
                      </c:pt>
                      <c:pt idx="156" formatCode="0.00%">
                        <c:v>7.264957264957278E-2</c:v>
                      </c:pt>
                      <c:pt idx="157" formatCode="0.00%">
                        <c:v>7.6271186440677846E-2</c:v>
                      </c:pt>
                      <c:pt idx="158" formatCode="0.00%">
                        <c:v>7.5630252100840359E-2</c:v>
                      </c:pt>
                      <c:pt idx="159" formatCode="0.00%">
                        <c:v>7.7405857740585837E-2</c:v>
                      </c:pt>
                      <c:pt idx="160" formatCode="0.00%">
                        <c:v>7.4844074844074876E-2</c:v>
                      </c:pt>
                      <c:pt idx="161" formatCode="0.00%">
                        <c:v>8.0912863070539381E-2</c:v>
                      </c:pt>
                      <c:pt idx="162" formatCode="0.00%">
                        <c:v>8.2644628099173556E-2</c:v>
                      </c:pt>
                      <c:pt idx="163" formatCode="0.00%">
                        <c:v>9.4845360824742292E-2</c:v>
                      </c:pt>
                      <c:pt idx="164" formatCode="0.00%">
                        <c:v>0.10266940451745379</c:v>
                      </c:pt>
                      <c:pt idx="165" formatCode="0.00%">
                        <c:v>0.10408163265306125</c:v>
                      </c:pt>
                      <c:pt idx="166" formatCode="0.00%">
                        <c:v>0.11178861788617886</c:v>
                      </c:pt>
                      <c:pt idx="167" formatCode="0.00%">
                        <c:v>0.11267605633802805</c:v>
                      </c:pt>
                      <c:pt idx="168" formatCode="0.00%">
                        <c:v>0.10756972111553781</c:v>
                      </c:pt>
                      <c:pt idx="169" formatCode="0.00%">
                        <c:v>9.8425196850393706E-2</c:v>
                      </c:pt>
                      <c:pt idx="170" formatCode="0.00%">
                        <c:v>8.7890625E-2</c:v>
                      </c:pt>
                      <c:pt idx="171" formatCode="0.00%">
                        <c:v>7.57281553398058E-2</c:v>
                      </c:pt>
                      <c:pt idx="172" formatCode="0.00%">
                        <c:v>7.1566731141199144E-2</c:v>
                      </c:pt>
                      <c:pt idx="173" formatCode="0.00%">
                        <c:v>6.1420345489443293E-2</c:v>
                      </c:pt>
                      <c:pt idx="174" formatCode="0.00%">
                        <c:v>4.7709923664122141E-2</c:v>
                      </c:pt>
                      <c:pt idx="175" formatCode="0.00%">
                        <c:v>2.4482109227871886E-2</c:v>
                      </c:pt>
                      <c:pt idx="176" formatCode="0.00%">
                        <c:v>9.3109869646182484E-3</c:v>
                      </c:pt>
                      <c:pt idx="177" formatCode="0.00%">
                        <c:v>0</c:v>
                      </c:pt>
                      <c:pt idx="178" formatCode="0.00%">
                        <c:v>-1.6453382084095167E-2</c:v>
                      </c:pt>
                      <c:pt idx="179" formatCode="0.00%">
                        <c:v>-3.7974683544303695E-2</c:v>
                      </c:pt>
                      <c:pt idx="180" formatCode="0.00%">
                        <c:v>-5.0359712230215903E-2</c:v>
                      </c:pt>
                      <c:pt idx="181" formatCode="0.00%">
                        <c:v>-5.9139784946236514E-2</c:v>
                      </c:pt>
                      <c:pt idx="182" formatCode="0.00%">
                        <c:v>-5.9245960502693075E-2</c:v>
                      </c:pt>
                      <c:pt idx="183" formatCode="0.00%">
                        <c:v>-6.85920577617328E-2</c:v>
                      </c:pt>
                      <c:pt idx="184" formatCode="0.00%">
                        <c:v>-7.2202166064981949E-2</c:v>
                      </c:pt>
                      <c:pt idx="185" formatCode="0.00%">
                        <c:v>-8.1374321880650996E-2</c:v>
                      </c:pt>
                      <c:pt idx="186" formatCode="0.00%">
                        <c:v>-8.3788706739526445E-2</c:v>
                      </c:pt>
                      <c:pt idx="187" formatCode="0.00%">
                        <c:v>-9.1911764705882359E-2</c:v>
                      </c:pt>
                      <c:pt idx="188" formatCode="0.00%">
                        <c:v>-0.10516605166051665</c:v>
                      </c:pt>
                      <c:pt idx="189" formatCode="0.00%">
                        <c:v>-0.11460258780036973</c:v>
                      </c:pt>
                      <c:pt idx="190" formatCode="0.00%">
                        <c:v>-0.12453531598513004</c:v>
                      </c:pt>
                      <c:pt idx="191" formatCode="0.00%">
                        <c:v>-0.12969924812030084</c:v>
                      </c:pt>
                      <c:pt idx="192" formatCode="0.00%">
                        <c:v>-0.13068181818181815</c:v>
                      </c:pt>
                      <c:pt idx="193" formatCode="0.00%">
                        <c:v>-0.12761904761904766</c:v>
                      </c:pt>
                      <c:pt idx="194" formatCode="0.00%">
                        <c:v>-0.12977099236641215</c:v>
                      </c:pt>
                      <c:pt idx="195" formatCode="0.00%">
                        <c:v>-0.10465116279069764</c:v>
                      </c:pt>
                      <c:pt idx="196" formatCode="0.00%">
                        <c:v>-9.5330739299610875E-2</c:v>
                      </c:pt>
                      <c:pt idx="197" formatCode="0.00%">
                        <c:v>-7.874015748031496E-2</c:v>
                      </c:pt>
                      <c:pt idx="198" formatCode="0.00%">
                        <c:v>-5.9642147117296228E-2</c:v>
                      </c:pt>
                      <c:pt idx="199" formatCode="0.00%">
                        <c:v>-4.048582995951417E-2</c:v>
                      </c:pt>
                      <c:pt idx="200" formatCode="0.00%">
                        <c:v>-1.8556701030927807E-2</c:v>
                      </c:pt>
                      <c:pt idx="201" formatCode="0.00%">
                        <c:v>2.0876826722338502E-3</c:v>
                      </c:pt>
                      <c:pt idx="202" formatCode="0.00%">
                        <c:v>2.3354564755838671E-2</c:v>
                      </c:pt>
                      <c:pt idx="203" formatCode="0.00%">
                        <c:v>4.7516198704103736E-2</c:v>
                      </c:pt>
                      <c:pt idx="204" formatCode="0.00%">
                        <c:v>7.1895424836601399E-2</c:v>
                      </c:pt>
                      <c:pt idx="205" formatCode="0.00%">
                        <c:v>8.9519650655021876E-2</c:v>
                      </c:pt>
                      <c:pt idx="206" formatCode="0.00%">
                        <c:v>9.8684210526315791E-2</c:v>
                      </c:pt>
                      <c:pt idx="207" formatCode="0.00%">
                        <c:v>8.8744588744588612E-2</c:v>
                      </c:pt>
                      <c:pt idx="208" formatCode="0.00%">
                        <c:v>9.0322580645161354E-2</c:v>
                      </c:pt>
                      <c:pt idx="209" formatCode="0.00%">
                        <c:v>8.5470085470085472E-2</c:v>
                      </c:pt>
                      <c:pt idx="210" formatCode="0.00%">
                        <c:v>8.4566596194503171E-2</c:v>
                      </c:pt>
                      <c:pt idx="211" formatCode="0.00%">
                        <c:v>8.6497890295358676E-2</c:v>
                      </c:pt>
                      <c:pt idx="212" formatCode="0.00%">
                        <c:v>9.0336134453781455E-2</c:v>
                      </c:pt>
                      <c:pt idx="213" formatCode="0.00%">
                        <c:v>8.1249999999999975E-2</c:v>
                      </c:pt>
                      <c:pt idx="214" formatCode="0.00%">
                        <c:v>8.7136929460580825E-2</c:v>
                      </c:pt>
                      <c:pt idx="215" formatCode="0.00%">
                        <c:v>9.0721649484536052E-2</c:v>
                      </c:pt>
                      <c:pt idx="216" formatCode="0.00%">
                        <c:v>7.5203252032520235E-2</c:v>
                      </c:pt>
                      <c:pt idx="217" formatCode="0.00%">
                        <c:v>6.613226452905821E-2</c:v>
                      </c:pt>
                      <c:pt idx="218" formatCode="0.00%">
                        <c:v>7.7844311377245484E-2</c:v>
                      </c:pt>
                      <c:pt idx="219" formatCode="0.00%">
                        <c:v>7.5546719681908639E-2</c:v>
                      </c:pt>
                      <c:pt idx="220" formatCode="0.00%">
                        <c:v>7.2978303747534432E-2</c:v>
                      </c:pt>
                      <c:pt idx="221" formatCode="0.00%">
                        <c:v>7.874015748031496E-2</c:v>
                      </c:pt>
                      <c:pt idx="222" formatCode="0.00%">
                        <c:v>6.8226120857699815E-2</c:v>
                      </c:pt>
                      <c:pt idx="223" formatCode="0.00%">
                        <c:v>6.9902912621359253E-2</c:v>
                      </c:pt>
                      <c:pt idx="224" formatCode="0.00%">
                        <c:v>6.3583815028901813E-2</c:v>
                      </c:pt>
                      <c:pt idx="225" formatCode="0.00%">
                        <c:v>6.5510597302504789E-2</c:v>
                      </c:pt>
                      <c:pt idx="226" formatCode="0.00%">
                        <c:v>5.916030534351148E-2</c:v>
                      </c:pt>
                      <c:pt idx="227" formatCode="0.00%">
                        <c:v>5.1039697542533138E-2</c:v>
                      </c:pt>
                      <c:pt idx="228" formatCode="0.00%">
                        <c:v>4.3478260869565299E-2</c:v>
                      </c:pt>
                      <c:pt idx="229" formatCode="0.00%">
                        <c:v>4.3233082706766859E-2</c:v>
                      </c:pt>
                      <c:pt idx="230" formatCode="0.00%">
                        <c:v>3.7037037037037035E-2</c:v>
                      </c:pt>
                      <c:pt idx="231" formatCode="0.00%">
                        <c:v>4.6210720887245843E-2</c:v>
                      </c:pt>
                      <c:pt idx="232" formatCode="0.00%">
                        <c:v>4.595588235294118E-2</c:v>
                      </c:pt>
                      <c:pt idx="233" formatCode="0.00%">
                        <c:v>4.197080291970811E-2</c:v>
                      </c:pt>
                      <c:pt idx="234" formatCode="0.00%">
                        <c:v>4.0145985401459909E-2</c:v>
                      </c:pt>
                      <c:pt idx="235" formatCode="0.00%">
                        <c:v>4.1742286751361109E-2</c:v>
                      </c:pt>
                      <c:pt idx="236" formatCode="0.00%">
                        <c:v>4.3478260869565188E-2</c:v>
                      </c:pt>
                      <c:pt idx="237" formatCode="0.00%">
                        <c:v>4.1591320072332807E-2</c:v>
                      </c:pt>
                      <c:pt idx="238" formatCode="0.00%">
                        <c:v>3.2432432432432379E-2</c:v>
                      </c:pt>
                      <c:pt idx="239" formatCode="0.00%">
                        <c:v>3.0575539568345245E-2</c:v>
                      </c:pt>
                      <c:pt idx="240" formatCode="0.00%">
                        <c:v>3.2608695652173857E-2</c:v>
                      </c:pt>
                      <c:pt idx="241" formatCode="0.00%">
                        <c:v>2.52252252252252E-2</c:v>
                      </c:pt>
                      <c:pt idx="242" formatCode="0.00%">
                        <c:v>2.4999999999999974E-2</c:v>
                      </c:pt>
                      <c:pt idx="243" formatCode="0.00%">
                        <c:v>-3.5335689045936898E-3</c:v>
                      </c:pt>
                      <c:pt idx="244" formatCode="0.00%">
                        <c:v>-3.5149384885763751E-3</c:v>
                      </c:pt>
                      <c:pt idx="245" formatCode="0.00%">
                        <c:v>-1.2259194395796896E-2</c:v>
                      </c:pt>
                      <c:pt idx="246" formatCode="0.00%">
                        <c:v>-1.9298245614035113E-2</c:v>
                      </c:pt>
                      <c:pt idx="247" formatCode="0.00%">
                        <c:v>-2.9616724738675885E-2</c:v>
                      </c:pt>
                      <c:pt idx="248" formatCode="0.00%">
                        <c:v>-3.8194444444444496E-2</c:v>
                      </c:pt>
                      <c:pt idx="249" formatCode="0.00%">
                        <c:v>-4.6875000000000049E-2</c:v>
                      </c:pt>
                      <c:pt idx="250" formatCode="0.00%">
                        <c:v>-5.4101221640488563E-2</c:v>
                      </c:pt>
                      <c:pt idx="251" formatCode="0.00%">
                        <c:v>-6.1082024432809773E-2</c:v>
                      </c:pt>
                      <c:pt idx="252" formatCode="0.00%">
                        <c:v>-5.7894736842105214E-2</c:v>
                      </c:pt>
                      <c:pt idx="253" formatCode="0.00%">
                        <c:v>-5.9753954305799627E-2</c:v>
                      </c:pt>
                      <c:pt idx="254" formatCode="0.00%">
                        <c:v>-9.0592334494773441E-2</c:v>
                      </c:pt>
                      <c:pt idx="255" formatCode="0.00%">
                        <c:v>-0.10283687943262407</c:v>
                      </c:pt>
                      <c:pt idx="256" formatCode="0.00%">
                        <c:v>-0.11992945326278666</c:v>
                      </c:pt>
                      <c:pt idx="257" formatCode="0.00%">
                        <c:v>-0.10992907801418432</c:v>
                      </c:pt>
                      <c:pt idx="258" formatCode="0.00%">
                        <c:v>-9.4812164579606395E-2</c:v>
                      </c:pt>
                      <c:pt idx="259" formatCode="0.00%">
                        <c:v>-8.6175942549371706E-2</c:v>
                      </c:pt>
                      <c:pt idx="260" formatCode="0.00%">
                        <c:v>-7.2202166064981949E-2</c:v>
                      </c:pt>
                      <c:pt idx="261" formatCode="0.00%">
                        <c:v>-5.8287795992713949E-2</c:v>
                      </c:pt>
                      <c:pt idx="262" formatCode="0.00%">
                        <c:v>-4.4280442804428145E-2</c:v>
                      </c:pt>
                      <c:pt idx="263" formatCode="0.00%">
                        <c:v>-4.275092936802969E-2</c:v>
                      </c:pt>
                      <c:pt idx="264" formatCode="0.00%">
                        <c:v>-5.2141527001862274E-2</c:v>
                      </c:pt>
                      <c:pt idx="265" formatCode="0.00%">
                        <c:v>-5.6074766355140186E-2</c:v>
                      </c:pt>
                      <c:pt idx="266" formatCode="0.00%">
                        <c:v>-2.8735632183908046E-2</c:v>
                      </c:pt>
                      <c:pt idx="267" formatCode="0.00%">
                        <c:v>7.9051383399209203E-3</c:v>
                      </c:pt>
                      <c:pt idx="268" formatCode="0.00%">
                        <c:v>1.4028056112224506E-2</c:v>
                      </c:pt>
                      <c:pt idx="269" formatCode="0.00%">
                        <c:v>0</c:v>
                      </c:pt>
                      <c:pt idx="270" formatCode="0.00%">
                        <c:v>-1.5810276679841979E-2</c:v>
                      </c:pt>
                      <c:pt idx="271" formatCode="0.00%">
                        <c:v>-2.5540275049115858E-2</c:v>
                      </c:pt>
                      <c:pt idx="272" formatCode="0.00%">
                        <c:v>-4.8638132295719845E-2</c:v>
                      </c:pt>
                      <c:pt idx="273" formatCode="0.00%">
                        <c:v>-5.9961315280464243E-2</c:v>
                      </c:pt>
                      <c:pt idx="274" formatCode="0.00%">
                        <c:v>-6.5637065637065617E-2</c:v>
                      </c:pt>
                      <c:pt idx="275" formatCode="0.00%">
                        <c:v>-6.213592233009714E-2</c:v>
                      </c:pt>
                      <c:pt idx="276" formatCode="0.00%">
                        <c:v>-6.0903732809430282E-2</c:v>
                      </c:pt>
                      <c:pt idx="277" formatCode="0.00%">
                        <c:v>-4.9504950495049507E-2</c:v>
                      </c:pt>
                      <c:pt idx="278" formatCode="0.00%">
                        <c:v>-5.7199211045365003E-2</c:v>
                      </c:pt>
                      <c:pt idx="279" formatCode="0.00%">
                        <c:v>-6.2745098039215741E-2</c:v>
                      </c:pt>
                      <c:pt idx="280" formatCode="0.00%">
                        <c:v>-6.126482213438738E-2</c:v>
                      </c:pt>
                      <c:pt idx="281" formatCode="0.00%">
                        <c:v>-5.97609561752988E-2</c:v>
                      </c:pt>
                      <c:pt idx="282" formatCode="0.00%">
                        <c:v>-5.2208835341365348E-2</c:v>
                      </c:pt>
                      <c:pt idx="283" formatCode="0.00%">
                        <c:v>-5.4435483870967798E-2</c:v>
                      </c:pt>
                      <c:pt idx="284" formatCode="0.00%">
                        <c:v>-3.2719836400818027E-2</c:v>
                      </c:pt>
                      <c:pt idx="285" formatCode="0.00%">
                        <c:v>-2.4691358024691416E-2</c:v>
                      </c:pt>
                      <c:pt idx="286" formatCode="0.00%">
                        <c:v>-1.6528925619834652E-2</c:v>
                      </c:pt>
                      <c:pt idx="287" formatCode="0.00%">
                        <c:v>-6.211180124223544E-3</c:v>
                      </c:pt>
                      <c:pt idx="288" formatCode="0.00%">
                        <c:v>2.3012552301255262E-2</c:v>
                      </c:pt>
                      <c:pt idx="289" formatCode="0.00%">
                        <c:v>2.9166666666666636E-2</c:v>
                      </c:pt>
                      <c:pt idx="290" formatCode="0.00%">
                        <c:v>4.8117154811715572E-2</c:v>
                      </c:pt>
                      <c:pt idx="291" formatCode="0.00%">
                        <c:v>5.6485355648535629E-2</c:v>
                      </c:pt>
                      <c:pt idx="292" formatCode="0.00%">
                        <c:v>7.7894736842105322E-2</c:v>
                      </c:pt>
                      <c:pt idx="293" formatCode="0.00%">
                        <c:v>9.9576271186440579E-2</c:v>
                      </c:pt>
                      <c:pt idx="294" formatCode="0.00%">
                        <c:v>0.11016949152542363</c:v>
                      </c:pt>
                      <c:pt idx="295" formatCode="0.00%">
                        <c:v>0.12153518123667384</c:v>
                      </c:pt>
                      <c:pt idx="296" formatCode="0.00%">
                        <c:v>0.1247357293868923</c:v>
                      </c:pt>
                      <c:pt idx="297" formatCode="0.00%">
                        <c:v>0.1371308016877637</c:v>
                      </c:pt>
                      <c:pt idx="298" formatCode="0.00%">
                        <c:v>0.14075630252100832</c:v>
                      </c:pt>
                      <c:pt idx="299" formatCode="0.00%">
                        <c:v>0.14374999999999996</c:v>
                      </c:pt>
                      <c:pt idx="300" formatCode="0.00%">
                        <c:v>0.13496932515337426</c:v>
                      </c:pt>
                      <c:pt idx="301" formatCode="0.00%">
                        <c:v>0.1336032388663968</c:v>
                      </c:pt>
                      <c:pt idx="302" formatCode="0.00%">
                        <c:v>0.11976047904191617</c:v>
                      </c:pt>
                      <c:pt idx="303" formatCode="0.00%">
                        <c:v>0.1168316831683168</c:v>
                      </c:pt>
                      <c:pt idx="304" formatCode="0.00%">
                        <c:v>0.10937499999999989</c:v>
                      </c:pt>
                      <c:pt idx="305" formatCode="0.00%">
                        <c:v>9.826589595375726E-2</c:v>
                      </c:pt>
                      <c:pt idx="306" formatCode="0.00%">
                        <c:v>9.1603053435114587E-2</c:v>
                      </c:pt>
                      <c:pt idx="307" formatCode="0.00%">
                        <c:v>8.745247148288976E-2</c:v>
                      </c:pt>
                      <c:pt idx="308" formatCode="0.00%">
                        <c:v>7.5187969924812026E-2</c:v>
                      </c:pt>
                      <c:pt idx="309" formatCode="0.00%">
                        <c:v>6.4935064935064943E-2</c:v>
                      </c:pt>
                      <c:pt idx="310" formatCode="0.00%">
                        <c:v>6.2615101289134542E-2</c:v>
                      </c:pt>
                      <c:pt idx="311" formatCode="0.00%">
                        <c:v>5.8287795992714081E-2</c:v>
                      </c:pt>
                      <c:pt idx="312" formatCode="0.00%">
                        <c:v>5.2252252252252225E-2</c:v>
                      </c:pt>
                      <c:pt idx="313" formatCode="0.00%">
                        <c:v>4.8214285714285765E-2</c:v>
                      </c:pt>
                      <c:pt idx="314" formatCode="0.00%">
                        <c:v>4.991087344028515E-2</c:v>
                      </c:pt>
                      <c:pt idx="315" formatCode="0.00%">
                        <c:v>4.6099290780141869E-2</c:v>
                      </c:pt>
                      <c:pt idx="316" formatCode="0.00%">
                        <c:v>4.2253521126760667E-2</c:v>
                      </c:pt>
                      <c:pt idx="317" formatCode="0.00%">
                        <c:v>4.5614035087719322E-2</c:v>
                      </c:pt>
                      <c:pt idx="318" formatCode="0.00%">
                        <c:v>4.5454545454545352E-2</c:v>
                      </c:pt>
                      <c:pt idx="319" formatCode="0.00%">
                        <c:v>4.8951048951048896E-2</c:v>
                      </c:pt>
                      <c:pt idx="320" formatCode="0.00%">
                        <c:v>5.2447552447552448E-2</c:v>
                      </c:pt>
                      <c:pt idx="321" formatCode="0.00%">
                        <c:v>5.0522648083623667E-2</c:v>
                      </c:pt>
                      <c:pt idx="322" formatCode="0.00%">
                        <c:v>4.8526863084921962E-2</c:v>
                      </c:pt>
                      <c:pt idx="323" formatCode="0.00%">
                        <c:v>4.6471600688468083E-2</c:v>
                      </c:pt>
                      <c:pt idx="324" formatCode="0.00%">
                        <c:v>4.4520547945205505E-2</c:v>
                      </c:pt>
                      <c:pt idx="325" formatCode="0.00%">
                        <c:v>4.2589437819420782E-2</c:v>
                      </c:pt>
                      <c:pt idx="326" formatCode="0.00%">
                        <c:v>4.0747028862478753E-2</c:v>
                      </c:pt>
                      <c:pt idx="327" formatCode="0.00%">
                        <c:v>4.4067796610169518E-2</c:v>
                      </c:pt>
                      <c:pt idx="328" formatCode="0.00%">
                        <c:v>4.3918918918918824E-2</c:v>
                      </c:pt>
                      <c:pt idx="329" formatCode="0.00%">
                        <c:v>4.530201342281872E-2</c:v>
                      </c:pt>
                      <c:pt idx="330" formatCode="0.00%">
                        <c:v>4.1806020066889632E-2</c:v>
                      </c:pt>
                      <c:pt idx="331" formatCode="0.00%">
                        <c:v>3.9999999999999973E-2</c:v>
                      </c:pt>
                      <c:pt idx="332" formatCode="0.00%">
                        <c:v>3.9867109634551472E-2</c:v>
                      </c:pt>
                      <c:pt idx="333" formatCode="0.00%">
                        <c:v>3.9800995024875718E-2</c:v>
                      </c:pt>
                      <c:pt idx="334" formatCode="0.00%">
                        <c:v>3.9669421487603281E-2</c:v>
                      </c:pt>
                      <c:pt idx="335" formatCode="0.00%">
                        <c:v>4.1118421052631582E-2</c:v>
                      </c:pt>
                      <c:pt idx="336" formatCode="0.00%">
                        <c:v>3.770491803278684E-2</c:v>
                      </c:pt>
                      <c:pt idx="337" formatCode="0.00%">
                        <c:v>4.2483660130718859E-2</c:v>
                      </c:pt>
                      <c:pt idx="338" formatCode="0.00%">
                        <c:v>4.2414355628058752E-2</c:v>
                      </c:pt>
                      <c:pt idx="339" formatCode="0.00%">
                        <c:v>3.8961038961038939E-2</c:v>
                      </c:pt>
                      <c:pt idx="340" formatCode="0.00%">
                        <c:v>3.8834951456310773E-2</c:v>
                      </c:pt>
                      <c:pt idx="341" formatCode="0.00%">
                        <c:v>3.5313001605136486E-2</c:v>
                      </c:pt>
                      <c:pt idx="342" formatCode="0.00%">
                        <c:v>4.0128410914927769E-2</c:v>
                      </c:pt>
                      <c:pt idx="343" formatCode="0.00%">
                        <c:v>4.1666666666666692E-2</c:v>
                      </c:pt>
                      <c:pt idx="344" formatCode="0.00%">
                        <c:v>4.47284345047924E-2</c:v>
                      </c:pt>
                      <c:pt idx="345" formatCode="0.00%">
                        <c:v>4.6251993620414537E-2</c:v>
                      </c:pt>
                      <c:pt idx="346" formatCode="0.00%">
                        <c:v>3.974562798092221E-2</c:v>
                      </c:pt>
                      <c:pt idx="347" formatCode="0.00%">
                        <c:v>3.3175355450237101E-2</c:v>
                      </c:pt>
                      <c:pt idx="348" formatCode="0.00%">
                        <c:v>3.6334913112164254E-2</c:v>
                      </c:pt>
                      <c:pt idx="349" formatCode="0.00%">
                        <c:v>3.6050156739811871E-2</c:v>
                      </c:pt>
                      <c:pt idx="350" formatCode="0.00%">
                        <c:v>3.9123630672926561E-2</c:v>
                      </c:pt>
                      <c:pt idx="351" formatCode="0.00%">
                        <c:v>3.90625E-2</c:v>
                      </c:pt>
                      <c:pt idx="352" formatCode="0.00%">
                        <c:v>4.0498442367601153E-2</c:v>
                      </c:pt>
                      <c:pt idx="353" formatCode="0.00%">
                        <c:v>4.1860465116279111E-2</c:v>
                      </c:pt>
                      <c:pt idx="354" formatCode="0.00%">
                        <c:v>3.7037037037037125E-2</c:v>
                      </c:pt>
                      <c:pt idx="355" formatCode="0.00%">
                        <c:v>3.5384615384615341E-2</c:v>
                      </c:pt>
                      <c:pt idx="356" formatCode="0.00%">
                        <c:v>3.2110091743119178E-2</c:v>
                      </c:pt>
                      <c:pt idx="357" formatCode="0.00%">
                        <c:v>3.3536585365853702E-2</c:v>
                      </c:pt>
                      <c:pt idx="358" formatCode="0.00%">
                        <c:v>3.82262996941896E-2</c:v>
                      </c:pt>
                      <c:pt idx="359" formatCode="0.00%">
                        <c:v>4.1284403669724593E-2</c:v>
                      </c:pt>
                      <c:pt idx="360" formatCode="0.00%">
                        <c:v>3.9634146341463547E-2</c:v>
                      </c:pt>
                      <c:pt idx="361" formatCode="0.00%">
                        <c:v>3.1770045385779253E-2</c:v>
                      </c:pt>
                      <c:pt idx="362" formatCode="0.00%">
                        <c:v>2.2590361445783129E-2</c:v>
                      </c:pt>
                      <c:pt idx="363" formatCode="0.00%">
                        <c:v>2.2556390977443608E-2</c:v>
                      </c:pt>
                      <c:pt idx="364" formatCode="0.00%">
                        <c:v>1.4970059880239521E-2</c:v>
                      </c:pt>
                      <c:pt idx="365" formatCode="0.00%">
                        <c:v>7.4404761904761901E-3</c:v>
                      </c:pt>
                      <c:pt idx="366" formatCode="0.00%">
                        <c:v>2.9761904761905185E-3</c:v>
                      </c:pt>
                      <c:pt idx="367" formatCode="0.00%">
                        <c:v>4.4576523031203148E-3</c:v>
                      </c:pt>
                      <c:pt idx="368" formatCode="0.00%">
                        <c:v>1.4814814814813973E-3</c:v>
                      </c:pt>
                      <c:pt idx="369" formatCode="0.00%">
                        <c:v>-5.8997050147491367E-3</c:v>
                      </c:pt>
                      <c:pt idx="370" formatCode="0.00%">
                        <c:v>-5.891016200294634E-3</c:v>
                      </c:pt>
                      <c:pt idx="371" formatCode="0.00%">
                        <c:v>-8.8105726872245872E-3</c:v>
                      </c:pt>
                      <c:pt idx="372" formatCode="0.00%">
                        <c:v>-1.1730205278592334E-2</c:v>
                      </c:pt>
                      <c:pt idx="373" formatCode="0.00%">
                        <c:v>-1.3196480938416504E-2</c:v>
                      </c:pt>
                      <c:pt idx="374" formatCode="0.00%">
                        <c:v>-8.8365243004419509E-3</c:v>
                      </c:pt>
                      <c:pt idx="375" formatCode="0.00%">
                        <c:v>-1.3235294117647142E-2</c:v>
                      </c:pt>
                      <c:pt idx="376" formatCode="0.00%">
                        <c:v>-1.0324483775811251E-2</c:v>
                      </c:pt>
                      <c:pt idx="377" formatCode="0.00%">
                        <c:v>-8.8626292466766395E-3</c:v>
                      </c:pt>
                      <c:pt idx="378" formatCode="0.00%">
                        <c:v>-8.9020771513354368E-3</c:v>
                      </c:pt>
                      <c:pt idx="379" formatCode="0.00%">
                        <c:v>-2.5147928994082674E-2</c:v>
                      </c:pt>
                      <c:pt idx="380" formatCode="0.00%">
                        <c:v>-3.6982248520710061E-2</c:v>
                      </c:pt>
                      <c:pt idx="381" formatCode="0.00%">
                        <c:v>-4.7477744807121698E-2</c:v>
                      </c:pt>
                      <c:pt idx="382" formatCode="0.00%">
                        <c:v>-6.5185185185185165E-2</c:v>
                      </c:pt>
                      <c:pt idx="383" formatCode="0.00%">
                        <c:v>-7.555555555555557E-2</c:v>
                      </c:pt>
                      <c:pt idx="384" formatCode="0.00%">
                        <c:v>-8.4569732937685493E-2</c:v>
                      </c:pt>
                      <c:pt idx="385" formatCode="0.00%">
                        <c:v>-8.6181277860326852E-2</c:v>
                      </c:pt>
                      <c:pt idx="386" formatCode="0.00%">
                        <c:v>-9.0638930163447165E-2</c:v>
                      </c:pt>
                      <c:pt idx="387" formatCode="0.00%">
                        <c:v>-7.7496274217585634E-2</c:v>
                      </c:pt>
                      <c:pt idx="388" formatCode="0.00%">
                        <c:v>-7.1535022354694444E-2</c:v>
                      </c:pt>
                      <c:pt idx="389" formatCode="0.00%">
                        <c:v>-7.0044709388971629E-2</c:v>
                      </c:pt>
                      <c:pt idx="390" formatCode="0.00%">
                        <c:v>-5.6886227544910142E-2</c:v>
                      </c:pt>
                      <c:pt idx="391" formatCode="0.00%">
                        <c:v>-4.2488619119878668E-2</c:v>
                      </c:pt>
                      <c:pt idx="392" formatCode="0.00%">
                        <c:v>-2.3041474654377773E-2</c:v>
                      </c:pt>
                      <c:pt idx="393" formatCode="0.00%">
                        <c:v>-1.0903426791277303E-2</c:v>
                      </c:pt>
                      <c:pt idx="394" formatCode="0.00%">
                        <c:v>6.339144215530881E-3</c:v>
                      </c:pt>
                      <c:pt idx="395" formatCode="0.00%">
                        <c:v>1.4423076923076901E-2</c:v>
                      </c:pt>
                      <c:pt idx="396" formatCode="0.00%">
                        <c:v>3.4035656401944801E-2</c:v>
                      </c:pt>
                      <c:pt idx="397" formatCode="0.00%">
                        <c:v>4.065040650406504E-2</c:v>
                      </c:pt>
                      <c:pt idx="398" formatCode="0.00%">
                        <c:v>5.5555555555555414E-2</c:v>
                      </c:pt>
                      <c:pt idx="399" formatCode="0.00%">
                        <c:v>5.1696284329563746E-2</c:v>
                      </c:pt>
                      <c:pt idx="400" formatCode="0.00%">
                        <c:v>5.2969502407704615E-2</c:v>
                      </c:pt>
                      <c:pt idx="401" formatCode="0.00%">
                        <c:v>5.6089743589743703E-2</c:v>
                      </c:pt>
                      <c:pt idx="402" formatCode="0.00%">
                        <c:v>4.9206349206349115E-2</c:v>
                      </c:pt>
                      <c:pt idx="403" formatCode="0.00%">
                        <c:v>5.3882725832012653E-2</c:v>
                      </c:pt>
                      <c:pt idx="404" formatCode="0.00%">
                        <c:v>4.7169811320754602E-2</c:v>
                      </c:pt>
                      <c:pt idx="405" formatCode="0.00%">
                        <c:v>5.1968503937007832E-2</c:v>
                      </c:pt>
                      <c:pt idx="406" formatCode="0.00%">
                        <c:v>6.1417322834645759E-2</c:v>
                      </c:pt>
                      <c:pt idx="407" formatCode="0.00%">
                        <c:v>7.8988941548183256E-2</c:v>
                      </c:pt>
                      <c:pt idx="408" formatCode="0.00%">
                        <c:v>7.6802507836990691E-2</c:v>
                      </c:pt>
                      <c:pt idx="409" formatCode="0.00%">
                        <c:v>7.9687499999999911E-2</c:v>
                      </c:pt>
                      <c:pt idx="410" formatCode="0.00%">
                        <c:v>6.8111455108359226E-2</c:v>
                      </c:pt>
                      <c:pt idx="411" formatCode="0.00%">
                        <c:v>6.7588325652841869E-2</c:v>
                      </c:pt>
                      <c:pt idx="412" formatCode="0.00%">
                        <c:v>6.0975609756097567E-2</c:v>
                      </c:pt>
                      <c:pt idx="413" formatCode="0.00%">
                        <c:v>6.0698027314112286E-2</c:v>
                      </c:pt>
                      <c:pt idx="414" formatCode="0.00%">
                        <c:v>5.7488653555219545E-2</c:v>
                      </c:pt>
                      <c:pt idx="415" formatCode="0.00%">
                        <c:v>5.8646616541353468E-2</c:v>
                      </c:pt>
                      <c:pt idx="416" formatCode="0.00%">
                        <c:v>6.3063063063063113E-2</c:v>
                      </c:pt>
                      <c:pt idx="417" formatCode="0.00%">
                        <c:v>6.4371257485029906E-2</c:v>
                      </c:pt>
                      <c:pt idx="418" formatCode="0.00%">
                        <c:v>6.0830860534124537E-2</c:v>
                      </c:pt>
                      <c:pt idx="419" formatCode="0.00%">
                        <c:v>6.1493411420205021E-2</c:v>
                      </c:pt>
                      <c:pt idx="420" formatCode="0.00%">
                        <c:v>5.2401746724890744E-2</c:v>
                      </c:pt>
                      <c:pt idx="421" formatCode="0.00%">
                        <c:v>5.0651230101302465E-2</c:v>
                      </c:pt>
                      <c:pt idx="422" formatCode="0.00%">
                        <c:v>6.6666666666666582E-2</c:v>
                      </c:pt>
                      <c:pt idx="423" formatCode="0.00%">
                        <c:v>6.6187050359712146E-2</c:v>
                      </c:pt>
                      <c:pt idx="424" formatCode="0.00%">
                        <c:v>7.0402298850574793E-2</c:v>
                      </c:pt>
                      <c:pt idx="425" formatCode="0.00%">
                        <c:v>7.4391988555078517E-2</c:v>
                      </c:pt>
                      <c:pt idx="426" formatCode="0.00%">
                        <c:v>7.8683834048640905E-2</c:v>
                      </c:pt>
                      <c:pt idx="427" formatCode="0.00%">
                        <c:v>7.9545454545454461E-2</c:v>
                      </c:pt>
                      <c:pt idx="428" formatCode="0.00%">
                        <c:v>8.0508474576271236E-2</c:v>
                      </c:pt>
                      <c:pt idx="429" formatCode="0.00%">
                        <c:v>8.298171589310839E-2</c:v>
                      </c:pt>
                      <c:pt idx="430" formatCode="0.00%">
                        <c:v>7.8321678321678245E-2</c:v>
                      </c:pt>
                      <c:pt idx="431" formatCode="0.00%">
                        <c:v>7.1724137931034521E-2</c:v>
                      </c:pt>
                      <c:pt idx="432" formatCode="0.00%">
                        <c:v>7.6071922544951598E-2</c:v>
                      </c:pt>
                      <c:pt idx="433" formatCode="0.00%">
                        <c:v>7.1625344352617124E-2</c:v>
                      </c:pt>
                      <c:pt idx="434" formatCode="0.00%">
                        <c:v>5.7065217391304393E-2</c:v>
                      </c:pt>
                      <c:pt idx="435" formatCode="0.00%">
                        <c:v>4.8582995951417123E-2</c:v>
                      </c:pt>
                      <c:pt idx="436" formatCode="0.00%">
                        <c:v>4.2953020134228227E-2</c:v>
                      </c:pt>
                      <c:pt idx="437" formatCode="0.00%">
                        <c:v>3.4620505992010768E-2</c:v>
                      </c:pt>
                      <c:pt idx="438" formatCode="0.00%">
                        <c:v>3.0503978779840808E-2</c:v>
                      </c:pt>
                      <c:pt idx="439" formatCode="0.00%">
                        <c:v>2.894736842105267E-2</c:v>
                      </c:pt>
                      <c:pt idx="440" formatCode="0.00%">
                        <c:v>2.4836601307189617E-2</c:v>
                      </c:pt>
                      <c:pt idx="441" formatCode="0.00%">
                        <c:v>1.6883116883116847E-2</c:v>
                      </c:pt>
                      <c:pt idx="442" formatCode="0.00%">
                        <c:v>1.5564202334630389E-2</c:v>
                      </c:pt>
                      <c:pt idx="443" formatCode="0.00%">
                        <c:v>9.0090090090090454E-3</c:v>
                      </c:pt>
                      <c:pt idx="444" formatCode="0.00%">
                        <c:v>-1.1568123393316086E-2</c:v>
                      </c:pt>
                      <c:pt idx="445" formatCode="0.00%">
                        <c:v>0</c:v>
                      </c:pt>
                      <c:pt idx="446" formatCode="0.00%">
                        <c:v>2.5706940874036356E-3</c:v>
                      </c:pt>
                      <c:pt idx="447" formatCode="0.00%">
                        <c:v>9.0090090090090454E-3</c:v>
                      </c:pt>
                      <c:pt idx="448" formatCode="0.00%">
                        <c:v>1.8018018018017907E-2</c:v>
                      </c:pt>
                      <c:pt idx="449" formatCode="0.00%">
                        <c:v>2.4453024453024344E-2</c:v>
                      </c:pt>
                      <c:pt idx="450" formatCode="0.00%">
                        <c:v>2.316602316602313E-2</c:v>
                      </c:pt>
                      <c:pt idx="451" formatCode="0.00%">
                        <c:v>1.9181585677749361E-2</c:v>
                      </c:pt>
                      <c:pt idx="452" formatCode="0.00%">
                        <c:v>2.0408163265306048E-2</c:v>
                      </c:pt>
                      <c:pt idx="453" formatCode="0.00%">
                        <c:v>2.4265644955300199E-2</c:v>
                      </c:pt>
                      <c:pt idx="454" formatCode="0.00%">
                        <c:v>3.1928480204342274E-2</c:v>
                      </c:pt>
                      <c:pt idx="455" formatCode="0.00%">
                        <c:v>3.0612244897959072E-2</c:v>
                      </c:pt>
                      <c:pt idx="456" formatCode="0.00%">
                        <c:v>5.7217165149544745E-2</c:v>
                      </c:pt>
                      <c:pt idx="457" formatCode="0.00%">
                        <c:v>5.9125964010282889E-2</c:v>
                      </c:pt>
                      <c:pt idx="458" formatCode="0.00%">
                        <c:v>6.15384615384615E-2</c:v>
                      </c:pt>
                      <c:pt idx="459" formatCode="0.00%">
                        <c:v>5.7397959183673464E-2</c:v>
                      </c:pt>
                      <c:pt idx="460" formatCode="0.00%">
                        <c:v>5.4361567635904065E-2</c:v>
                      </c:pt>
                      <c:pt idx="461" formatCode="0.00%">
                        <c:v>5.5276381909547811E-2</c:v>
                      </c:pt>
                      <c:pt idx="462" formatCode="0.00%">
                        <c:v>6.9182389937106917E-2</c:v>
                      </c:pt>
                      <c:pt idx="463" formatCode="0.00%">
                        <c:v>6.9008782936010038E-2</c:v>
                      </c:pt>
                      <c:pt idx="464" formatCode="0.00%">
                        <c:v>7.2499999999999967E-2</c:v>
                      </c:pt>
                      <c:pt idx="465" formatCode="0.00%">
                        <c:v>7.3566084788029812E-2</c:v>
                      </c:pt>
                      <c:pt idx="466" formatCode="0.00%">
                        <c:v>6.8069306930693074E-2</c:v>
                      </c:pt>
                      <c:pt idx="467" formatCode="0.00%">
                        <c:v>7.1782178217821749E-2</c:v>
                      </c:pt>
                      <c:pt idx="468" formatCode="0.00%">
                        <c:v>6.5190651906519029E-2</c:v>
                      </c:pt>
                      <c:pt idx="469" formatCode="0.00%">
                        <c:v>6.189320388349507E-2</c:v>
                      </c:pt>
                      <c:pt idx="470" formatCode="0.00%">
                        <c:v>5.7971014492753589E-2</c:v>
                      </c:pt>
                      <c:pt idx="471" formatCode="0.00%">
                        <c:v>5.5488540410132618E-2</c:v>
                      </c:pt>
                      <c:pt idx="472" formatCode="0.00%">
                        <c:v>5.515587529976012E-2</c:v>
                      </c:pt>
                      <c:pt idx="473" formatCode="0.00%">
                        <c:v>4.0476190476190541E-2</c:v>
                      </c:pt>
                      <c:pt idx="474" formatCode="0.00%">
                        <c:v>3.1764705882352973E-2</c:v>
                      </c:pt>
                      <c:pt idx="475" formatCode="0.00%">
                        <c:v>3.0516431924882563E-2</c:v>
                      </c:pt>
                      <c:pt idx="476" formatCode="0.00%">
                        <c:v>1.7482517482517484E-2</c:v>
                      </c:pt>
                      <c:pt idx="477" formatCode="0.00%">
                        <c:v>8.130081300813042E-3</c:v>
                      </c:pt>
                      <c:pt idx="478" formatCode="0.00%">
                        <c:v>9.2699884125144513E-3</c:v>
                      </c:pt>
                      <c:pt idx="479" formatCode="0.00%">
                        <c:v>8.0831408775981859E-3</c:v>
                      </c:pt>
                      <c:pt idx="480" formatCode="0.00%">
                        <c:v>6.9284064665128013E-3</c:v>
                      </c:pt>
                      <c:pt idx="481" formatCode="0.00%">
                        <c:v>2.2857142857143184E-3</c:v>
                      </c:pt>
                      <c:pt idx="482" formatCode="0.00%">
                        <c:v>1.1415525114156226E-3</c:v>
                      </c:pt>
                      <c:pt idx="483" formatCode="0.00%">
                        <c:v>3.4285714285713963E-3</c:v>
                      </c:pt>
                      <c:pt idx="484" formatCode="0.00%">
                        <c:v>3.4090909090908768E-3</c:v>
                      </c:pt>
                      <c:pt idx="485" formatCode="0.00%">
                        <c:v>1.3729977116704675E-2</c:v>
                      </c:pt>
                      <c:pt idx="486" formatCode="0.00%">
                        <c:v>1.3683010262257728E-2</c:v>
                      </c:pt>
                      <c:pt idx="487" formatCode="0.00%">
                        <c:v>1.4806378132118419E-2</c:v>
                      </c:pt>
                      <c:pt idx="488" formatCode="0.00%">
                        <c:v>2.0618556701030896E-2</c:v>
                      </c:pt>
                      <c:pt idx="489" formatCode="0.00%">
                        <c:v>2.9953917050691344E-2</c:v>
                      </c:pt>
                      <c:pt idx="490" formatCode="0.00%">
                        <c:v>3.214695752009198E-2</c:v>
                      </c:pt>
                      <c:pt idx="491" formatCode="0.00%">
                        <c:v>3.8946162657502933E-2</c:v>
                      </c:pt>
                      <c:pt idx="492" formatCode="0.00%">
                        <c:v>4.5871559633027519E-2</c:v>
                      </c:pt>
                      <c:pt idx="493" formatCode="0.00%">
                        <c:v>3.3067274800456001E-2</c:v>
                      </c:pt>
                      <c:pt idx="494" formatCode="0.00%">
                        <c:v>4.4469783352337415E-2</c:v>
                      </c:pt>
                      <c:pt idx="495" formatCode="0.00%">
                        <c:v>4.441913439635542E-2</c:v>
                      </c:pt>
                      <c:pt idx="496" formatCode="0.00%">
                        <c:v>2.7180067950169941E-2</c:v>
                      </c:pt>
                      <c:pt idx="497" formatCode="0.00%">
                        <c:v>2.7088036117381555E-2</c:v>
                      </c:pt>
                      <c:pt idx="498" formatCode="0.00%">
                        <c:v>1.9122609673790647E-2</c:v>
                      </c:pt>
                      <c:pt idx="499" formatCode="0.00%">
                        <c:v>1.0101010101010166E-2</c:v>
                      </c:pt>
                      <c:pt idx="500" formatCode="0.00%">
                        <c:v>1.34680134680135E-2</c:v>
                      </c:pt>
                      <c:pt idx="501" formatCode="0.00%">
                        <c:v>0</c:v>
                      </c:pt>
                      <c:pt idx="502" formatCode="0.00%">
                        <c:v>-1.3348164627363768E-2</c:v>
                      </c:pt>
                      <c:pt idx="503" formatCode="0.00%">
                        <c:v>-3.6383682469680233E-2</c:v>
                      </c:pt>
                      <c:pt idx="504" formatCode="0.00%">
                        <c:v>-4.714912280701751E-2</c:v>
                      </c:pt>
                      <c:pt idx="505" formatCode="0.00%">
                        <c:v>-5.1876379690949104E-2</c:v>
                      </c:pt>
                      <c:pt idx="506" formatCode="0.00%">
                        <c:v>-7.6419213973799138E-2</c:v>
                      </c:pt>
                      <c:pt idx="507" formatCode="0.00%">
                        <c:v>-8.7241003271537623E-2</c:v>
                      </c:pt>
                      <c:pt idx="508" formatCode="0.00%">
                        <c:v>-7.3869900771775118E-2</c:v>
                      </c:pt>
                      <c:pt idx="509" formatCode="0.00%">
                        <c:v>-8.1318681318681377E-2</c:v>
                      </c:pt>
                      <c:pt idx="510" formatCode="0.00%">
                        <c:v>-7.9470198675496567E-2</c:v>
                      </c:pt>
                      <c:pt idx="511" formatCode="0.00%">
                        <c:v>-7.5555555555555529E-2</c:v>
                      </c:pt>
                      <c:pt idx="512" formatCode="0.00%">
                        <c:v>-9.5238095238095177E-2</c:v>
                      </c:pt>
                      <c:pt idx="513" formatCode="0.00%">
                        <c:v>-9.2841163310962094E-2</c:v>
                      </c:pt>
                      <c:pt idx="514" formatCode="0.00%">
                        <c:v>-8.0045095828635948E-2</c:v>
                      </c:pt>
                      <c:pt idx="515" formatCode="0.00%">
                        <c:v>-5.9496567505720854E-2</c:v>
                      </c:pt>
                      <c:pt idx="516" formatCode="0.00%">
                        <c:v>-5.4085155350978166E-2</c:v>
                      </c:pt>
                      <c:pt idx="517" formatCode="0.00%">
                        <c:v>-3.3760186263096688E-2</c:v>
                      </c:pt>
                      <c:pt idx="518" formatCode="0.00%">
                        <c:v>-1.4184397163120433E-2</c:v>
                      </c:pt>
                      <c:pt idx="519" formatCode="0.00%">
                        <c:v>3.5842293906809693E-3</c:v>
                      </c:pt>
                      <c:pt idx="520" formatCode="0.00%">
                        <c:v>9.52380952380949E-3</c:v>
                      </c:pt>
                      <c:pt idx="521" formatCode="0.00%">
                        <c:v>1.6746411483253659E-2</c:v>
                      </c:pt>
                      <c:pt idx="522" formatCode="0.00%">
                        <c:v>1.4388489208632955E-2</c:v>
                      </c:pt>
                      <c:pt idx="523" formatCode="0.00%">
                        <c:v>1.8028846153846152E-2</c:v>
                      </c:pt>
                      <c:pt idx="524" formatCode="0.00%">
                        <c:v>3.3047735618115089E-2</c:v>
                      </c:pt>
                      <c:pt idx="525" formatCode="0.00%">
                        <c:v>3.9457459926017298E-2</c:v>
                      </c:pt>
                      <c:pt idx="526" formatCode="0.00%">
                        <c:v>3.9215686274509838E-2</c:v>
                      </c:pt>
                      <c:pt idx="527" formatCode="0.00%">
                        <c:v>3.163017031630163E-2</c:v>
                      </c:pt>
                      <c:pt idx="528" formatCode="0.00%">
                        <c:v>3.4063260340632569E-2</c:v>
                      </c:pt>
                      <c:pt idx="529" formatCode="0.00%">
                        <c:v>2.1686746987951772E-2</c:v>
                      </c:pt>
                      <c:pt idx="530" formatCode="0.00%">
                        <c:v>1.558752997601915E-2</c:v>
                      </c:pt>
                      <c:pt idx="531" formatCode="0.00%">
                        <c:v>4.76190476190483E-3</c:v>
                      </c:pt>
                      <c:pt idx="532" formatCode="0.00%">
                        <c:v>5.89622641509434E-3</c:v>
                      </c:pt>
                      <c:pt idx="533" formatCode="0.00%">
                        <c:v>1.1764705882352941E-2</c:v>
                      </c:pt>
                      <c:pt idx="534" formatCode="0.00%">
                        <c:v>2.0094562647754173E-2</c:v>
                      </c:pt>
                      <c:pt idx="535" formatCode="0.00%">
                        <c:v>2.5974025974026007E-2</c:v>
                      </c:pt>
                      <c:pt idx="536" formatCode="0.00%">
                        <c:v>4.1469194312796206E-2</c:v>
                      </c:pt>
                      <c:pt idx="537" formatCode="0.00%">
                        <c:v>5.3380782918149468E-2</c:v>
                      </c:pt>
                      <c:pt idx="538" formatCode="0.00%">
                        <c:v>5.8962264150943397E-2</c:v>
                      </c:pt>
                      <c:pt idx="539" formatCode="0.00%">
                        <c:v>6.8396226415094311E-2</c:v>
                      </c:pt>
                      <c:pt idx="540" formatCode="0.00%">
                        <c:v>7.6470588235294124E-2</c:v>
                      </c:pt>
                      <c:pt idx="541" formatCode="0.00%">
                        <c:v>8.8443396226415102E-2</c:v>
                      </c:pt>
                      <c:pt idx="542" formatCode="0.00%">
                        <c:v>0.10507674144037769</c:v>
                      </c:pt>
                      <c:pt idx="543" formatCode="0.00%">
                        <c:v>0.11137440758293828</c:v>
                      </c:pt>
                      <c:pt idx="544" formatCode="0.00%">
                        <c:v>0.11019929660023453</c:v>
                      </c:pt>
                      <c:pt idx="545" formatCode="0.00%">
                        <c:v>0.10581395348837203</c:v>
                      </c:pt>
                      <c:pt idx="546" formatCode="0.00%">
                        <c:v>0.10776361529548086</c:v>
                      </c:pt>
                      <c:pt idx="547" formatCode="0.00%">
                        <c:v>0.10471806674338313</c:v>
                      </c:pt>
                      <c:pt idx="548" formatCode="0.00%">
                        <c:v>0.10011376564277584</c:v>
                      </c:pt>
                      <c:pt idx="549" formatCode="0.00%">
                        <c:v>9.2342342342342371E-2</c:v>
                      </c:pt>
                      <c:pt idx="550" formatCode="0.00%">
                        <c:v>8.7973273942093602E-2</c:v>
                      </c:pt>
                      <c:pt idx="551" formatCode="0.00%">
                        <c:v>8.8300220750551883E-2</c:v>
                      </c:pt>
                      <c:pt idx="552" formatCode="0.00%">
                        <c:v>8.306010928961742E-2</c:v>
                      </c:pt>
                      <c:pt idx="553" formatCode="0.00%">
                        <c:v>7.9089924160346672E-2</c:v>
                      </c:pt>
                      <c:pt idx="554" formatCode="0.00%">
                        <c:v>5.9829059829059922E-2</c:v>
                      </c:pt>
                      <c:pt idx="555" formatCode="0.00%">
                        <c:v>6.2899786780383854E-2</c:v>
                      </c:pt>
                      <c:pt idx="556" formatCode="0.00%">
                        <c:v>5.174234424498407E-2</c:v>
                      </c:pt>
                      <c:pt idx="557" formatCode="0.00%">
                        <c:v>5.467928496319667E-2</c:v>
                      </c:pt>
                      <c:pt idx="558" formatCode="0.00%">
                        <c:v>5.0209205020920626E-2</c:v>
                      </c:pt>
                      <c:pt idx="559" formatCode="0.00%">
                        <c:v>5.2083333333333336E-2</c:v>
                      </c:pt>
                      <c:pt idx="560" formatCode="0.00%">
                        <c:v>3.7228541882109556E-2</c:v>
                      </c:pt>
                      <c:pt idx="561" formatCode="0.00%">
                        <c:v>3.8144329896907248E-2</c:v>
                      </c:pt>
                      <c:pt idx="562" formatCode="0.00%">
                        <c:v>3.6847492323439042E-2</c:v>
                      </c:pt>
                      <c:pt idx="563" formatCode="0.00%">
                        <c:v>2.7383367139959463E-2</c:v>
                      </c:pt>
                      <c:pt idx="564" formatCode="0.00%">
                        <c:v>3.0272452068617561E-2</c:v>
                      </c:pt>
                      <c:pt idx="565" formatCode="0.00%">
                        <c:v>2.5100401606425703E-2</c:v>
                      </c:pt>
                      <c:pt idx="566" formatCode="0.00%">
                        <c:v>3.2258064516129059E-2</c:v>
                      </c:pt>
                      <c:pt idx="567" formatCode="0.00%">
                        <c:v>2.1063189568706061E-2</c:v>
                      </c:pt>
                      <c:pt idx="568" formatCode="0.00%">
                        <c:v>1.6064257028112535E-2</c:v>
                      </c:pt>
                      <c:pt idx="569" formatCode="0.00%">
                        <c:v>7.9760717846460334E-3</c:v>
                      </c:pt>
                      <c:pt idx="570" formatCode="0.00%">
                        <c:v>1.9920318725098469E-3</c:v>
                      </c:pt>
                      <c:pt idx="571" formatCode="0.00%">
                        <c:v>-5.9405940594058843E-3</c:v>
                      </c:pt>
                      <c:pt idx="572" formatCode="0.00%">
                        <c:v>9.9700897308084287E-4</c:v>
                      </c:pt>
                      <c:pt idx="573" formatCode="0.00%">
                        <c:v>-4.9652432969215492E-3</c:v>
                      </c:pt>
                      <c:pt idx="574" formatCode="0.00%">
                        <c:v>-1.2833168805528107E-2</c:v>
                      </c:pt>
                      <c:pt idx="575" formatCode="0.00%">
                        <c:v>-8.8845014807501631E-3</c:v>
                      </c:pt>
                      <c:pt idx="576" formatCode="0.00%">
                        <c:v>-2.0568070519098869E-2</c:v>
                      </c:pt>
                      <c:pt idx="577" formatCode="0.00%">
                        <c:v>-2.1547502448579715E-2</c:v>
                      </c:pt>
                      <c:pt idx="578" formatCode="0.00%">
                        <c:v>-2.1484375000000028E-2</c:v>
                      </c:pt>
                      <c:pt idx="579" formatCode="0.00%">
                        <c:v>-1.9646365422396856E-2</c:v>
                      </c:pt>
                      <c:pt idx="580" formatCode="0.00%">
                        <c:v>-1.2845849802371512E-2</c:v>
                      </c:pt>
                      <c:pt idx="581" formatCode="0.00%">
                        <c:v>-1.3847675568743735E-2</c:v>
                      </c:pt>
                      <c:pt idx="582" formatCode="0.00%">
                        <c:v>-9.9403578528827041E-3</c:v>
                      </c:pt>
                      <c:pt idx="583" formatCode="0.00%">
                        <c:v>-1.3944223107569776E-2</c:v>
                      </c:pt>
                      <c:pt idx="584" formatCode="0.00%">
                        <c:v>-2.0916334661354664E-2</c:v>
                      </c:pt>
                      <c:pt idx="585" formatCode="0.00%">
                        <c:v>-2.4950099800399202E-2</c:v>
                      </c:pt>
                      <c:pt idx="586" formatCode="0.00%">
                        <c:v>-3.2000000000000028E-2</c:v>
                      </c:pt>
                      <c:pt idx="587" formatCode="0.00%">
                        <c:v>-4.5816733067729168E-2</c:v>
                      </c:pt>
                      <c:pt idx="588" formatCode="0.00%">
                        <c:v>-5.2999999999999971E-2</c:v>
                      </c:pt>
                      <c:pt idx="589" formatCode="0.00%">
                        <c:v>-6.3063063063063168E-2</c:v>
                      </c:pt>
                      <c:pt idx="590" formatCode="0.00%">
                        <c:v>-8.0838323353293495E-2</c:v>
                      </c:pt>
                      <c:pt idx="591" formatCode="0.00%">
                        <c:v>-8.2164328657314656E-2</c:v>
                      </c:pt>
                      <c:pt idx="592" formatCode="0.00%">
                        <c:v>-9.1091091091091175E-2</c:v>
                      </c:pt>
                      <c:pt idx="593" formatCode="0.00%">
                        <c:v>-9.4282848545636969E-2</c:v>
                      </c:pt>
                      <c:pt idx="594" formatCode="0.00%">
                        <c:v>-0.11345381526104416</c:v>
                      </c:pt>
                      <c:pt idx="595" formatCode="0.00%">
                        <c:v>-0.11919191919191917</c:v>
                      </c:pt>
                      <c:pt idx="596" formatCode="0.00%">
                        <c:v>-0.13326551373346893</c:v>
                      </c:pt>
                      <c:pt idx="597" formatCode="0.00%">
                        <c:v>-0.15660184237461613</c:v>
                      </c:pt>
                      <c:pt idx="598" formatCode="0.00%">
                        <c:v>-0.17458677685950405</c:v>
                      </c:pt>
                      <c:pt idx="599" formatCode="0.00%">
                        <c:v>-0.1899791231732777</c:v>
                      </c:pt>
                      <c:pt idx="600" formatCode="0.00%">
                        <c:v>-0.19746568109820489</c:v>
                      </c:pt>
                      <c:pt idx="601" formatCode="0.00%">
                        <c:v>-0.20085470085470084</c:v>
                      </c:pt>
                      <c:pt idx="602" formatCode="0.00%">
                        <c:v>-0.20195439739413676</c:v>
                      </c:pt>
                      <c:pt idx="603" formatCode="0.00%">
                        <c:v>-0.19541484716157198</c:v>
                      </c:pt>
                      <c:pt idx="604" formatCode="0.00%">
                        <c:v>-0.18502202643171803</c:v>
                      </c:pt>
                      <c:pt idx="605" formatCode="0.00%">
                        <c:v>-0.1738648947951274</c:v>
                      </c:pt>
                      <c:pt idx="606" formatCode="0.00%">
                        <c:v>-0.14835787089467717</c:v>
                      </c:pt>
                      <c:pt idx="607" formatCode="0.00%">
                        <c:v>-0.1284403669724771</c:v>
                      </c:pt>
                      <c:pt idx="608" formatCode="0.00%">
                        <c:v>-0.10093896713615033</c:v>
                      </c:pt>
                      <c:pt idx="609" formatCode="0.00%">
                        <c:v>-6.553398058252434E-2</c:v>
                      </c:pt>
                      <c:pt idx="610" formatCode="0.00%">
                        <c:v>-2.6282853566958805E-2</c:v>
                      </c:pt>
                      <c:pt idx="611" formatCode="0.00%">
                        <c:v>1.2886597938144331E-2</c:v>
                      </c:pt>
                      <c:pt idx="612" formatCode="0.00%">
                        <c:v>4.0789473684210452E-2</c:v>
                      </c:pt>
                      <c:pt idx="613" formatCode="0.00%">
                        <c:v>5.7486631016042747E-2</c:v>
                      </c:pt>
                      <c:pt idx="614" formatCode="0.00%">
                        <c:v>9.5238095238095233E-2</c:v>
                      </c:pt>
                      <c:pt idx="615" formatCode="0.00%">
                        <c:v>9.7693351424694749E-2</c:v>
                      </c:pt>
                      <c:pt idx="616" formatCode="0.00%">
                        <c:v>9.45945945945946E-2</c:v>
                      </c:pt>
                      <c:pt idx="617" formatCode="0.00%">
                        <c:v>8.7131367292225204E-2</c:v>
                      </c:pt>
                      <c:pt idx="618" formatCode="0.00%">
                        <c:v>7.9787234042553182E-2</c:v>
                      </c:pt>
                      <c:pt idx="619" formatCode="0.00%">
                        <c:v>7.2368421052631582E-2</c:v>
                      </c:pt>
                      <c:pt idx="620" formatCode="0.00%">
                        <c:v>7.0496083550913913E-2</c:v>
                      </c:pt>
                      <c:pt idx="621" formatCode="0.00%">
                        <c:v>6.6233766233766159E-2</c:v>
                      </c:pt>
                      <c:pt idx="622" formatCode="0.00%">
                        <c:v>6.4267352185089971E-2</c:v>
                      </c:pt>
                      <c:pt idx="623" formatCode="0.00%">
                        <c:v>6.4885496183206215E-2</c:v>
                      </c:pt>
                      <c:pt idx="624" formatCode="0.00%">
                        <c:v>5.9418457648546183E-2</c:v>
                      </c:pt>
                      <c:pt idx="625" formatCode="0.00%">
                        <c:v>6.7003792667509623E-2</c:v>
                      </c:pt>
                      <c:pt idx="626" formatCode="0.00%">
                        <c:v>5.9627329192546548E-2</c:v>
                      </c:pt>
                      <c:pt idx="627" formatCode="0.00%">
                        <c:v>5.4388133498145752E-2</c:v>
                      </c:pt>
                      <c:pt idx="628" formatCode="0.00%">
                        <c:v>5.9259259259259227E-2</c:v>
                      </c:pt>
                      <c:pt idx="629" formatCode="0.00%">
                        <c:v>5.6720098643649922E-2</c:v>
                      </c:pt>
                      <c:pt idx="630" formatCode="0.00%">
                        <c:v>6.1576354679802957E-2</c:v>
                      </c:pt>
                      <c:pt idx="631" formatCode="0.00%">
                        <c:v>5.03067484662576E-2</c:v>
                      </c:pt>
                      <c:pt idx="632" formatCode="0.00%">
                        <c:v>3.9024390243902474E-2</c:v>
                      </c:pt>
                      <c:pt idx="633" formatCode="0.00%">
                        <c:v>4.5066991473812462E-2</c:v>
                      </c:pt>
                      <c:pt idx="634" formatCode="0.00%">
                        <c:v>3.7439613526570152E-2</c:v>
                      </c:pt>
                      <c:pt idx="635" formatCode="0.00%">
                        <c:v>3.1063321385901961E-2</c:v>
                      </c:pt>
                      <c:pt idx="636" formatCode="0.00%">
                        <c:v>3.2219570405727961E-2</c:v>
                      </c:pt>
                      <c:pt idx="637" formatCode="0.00%">
                        <c:v>3.0805687203791399E-2</c:v>
                      </c:pt>
                      <c:pt idx="638" formatCode="0.00%">
                        <c:v>2.5791324736225123E-2</c:v>
                      </c:pt>
                      <c:pt idx="639" formatCode="0.00%">
                        <c:v>2.3446658851113716E-2</c:v>
                      </c:pt>
                      <c:pt idx="640" formatCode="0.00%">
                        <c:v>1.8648018648018749E-2</c:v>
                      </c:pt>
                      <c:pt idx="641" formatCode="0.00%">
                        <c:v>1.5169194865810936E-2</c:v>
                      </c:pt>
                      <c:pt idx="642" formatCode="0.00%">
                        <c:v>1.1600928074245939E-2</c:v>
                      </c:pt>
                      <c:pt idx="643" formatCode="0.00%">
                        <c:v>1.5186915887850601E-2</c:v>
                      </c:pt>
                      <c:pt idx="644" formatCode="0.00%">
                        <c:v>2.5821596244131488E-2</c:v>
                      </c:pt>
                      <c:pt idx="645" formatCode="0.00%">
                        <c:v>1.9813519813519847E-2</c:v>
                      </c:pt>
                      <c:pt idx="646" formatCode="0.00%">
                        <c:v>1.8626309662398071E-2</c:v>
                      </c:pt>
                      <c:pt idx="647" formatCode="0.00%">
                        <c:v>1.7381228273464659E-2</c:v>
                      </c:pt>
                      <c:pt idx="648" formatCode="0.00%">
                        <c:v>1.9653179190751477E-2</c:v>
                      </c:pt>
                      <c:pt idx="649" formatCode="0.00%">
                        <c:v>1.8390804597701083E-2</c:v>
                      </c:pt>
                      <c:pt idx="650" formatCode="0.00%">
                        <c:v>1.1428571428571429E-2</c:v>
                      </c:pt>
                      <c:pt idx="651" formatCode="0.00%">
                        <c:v>1.8327605956472034E-2</c:v>
                      </c:pt>
                      <c:pt idx="652" formatCode="0.00%">
                        <c:v>2.0594965675057173E-2</c:v>
                      </c:pt>
                      <c:pt idx="653" formatCode="0.00%">
                        <c:v>2.6436781609195371E-2</c:v>
                      </c:pt>
                      <c:pt idx="654" formatCode="0.00%">
                        <c:v>2.522935779816517E-2</c:v>
                      </c:pt>
                      <c:pt idx="655" formatCode="0.00%">
                        <c:v>3.6823935558112642E-2</c:v>
                      </c:pt>
                      <c:pt idx="656" formatCode="0.00%">
                        <c:v>4.0045766590389012E-2</c:v>
                      </c:pt>
                      <c:pt idx="657" formatCode="0.00%">
                        <c:v>3.7714285714285679E-2</c:v>
                      </c:pt>
                      <c:pt idx="658" formatCode="0.00%">
                        <c:v>4.9142857142857113E-2</c:v>
                      </c:pt>
                      <c:pt idx="659" formatCode="0.00%">
                        <c:v>4.5558086560364468E-2</c:v>
                      </c:pt>
                      <c:pt idx="660" formatCode="0.00%">
                        <c:v>4.3083900226757336E-2</c:v>
                      </c:pt>
                      <c:pt idx="661" formatCode="0.00%">
                        <c:v>4.4018058690744988E-2</c:v>
                      </c:pt>
                      <c:pt idx="662" formatCode="0.00%">
                        <c:v>5.5367231638418141E-2</c:v>
                      </c:pt>
                      <c:pt idx="663" formatCode="0.00%">
                        <c:v>5.1743532058492622E-2</c:v>
                      </c:pt>
                      <c:pt idx="664" formatCode="0.00%">
                        <c:v>5.381165919282508E-2</c:v>
                      </c:pt>
                      <c:pt idx="665" formatCode="0.00%">
                        <c:v>6.0470324748040379E-2</c:v>
                      </c:pt>
                      <c:pt idx="666" formatCode="0.00%">
                        <c:v>6.4876957494407125E-2</c:v>
                      </c:pt>
                      <c:pt idx="667" formatCode="0.00%">
                        <c:v>5.9933407325194296E-2</c:v>
                      </c:pt>
                      <c:pt idx="668" formatCode="0.00%">
                        <c:v>5.7205720572057077E-2</c:v>
                      </c:pt>
                      <c:pt idx="669" formatCode="0.00%">
                        <c:v>6.1674008810572785E-2</c:v>
                      </c:pt>
                      <c:pt idx="670" formatCode="0.00%">
                        <c:v>5.4466230936819175E-2</c:v>
                      </c:pt>
                      <c:pt idx="671" formatCode="0.00%">
                        <c:v>5.9912854030501089E-2</c:v>
                      </c:pt>
                      <c:pt idx="672" formatCode="0.00%">
                        <c:v>5.8695652173913107E-2</c:v>
                      </c:pt>
                      <c:pt idx="673" formatCode="0.00%">
                        <c:v>5.2972972972973036E-2</c:v>
                      </c:pt>
                      <c:pt idx="674" formatCode="0.00%">
                        <c:v>4.8179871520342608E-2</c:v>
                      </c:pt>
                      <c:pt idx="675" formatCode="0.00%">
                        <c:v>5.2406417112299528E-2</c:v>
                      </c:pt>
                      <c:pt idx="676" formatCode="0.00%">
                        <c:v>5.1063829787234012E-2</c:v>
                      </c:pt>
                      <c:pt idx="677" formatCode="0.00%">
                        <c:v>4.8574445617740172E-2</c:v>
                      </c:pt>
                      <c:pt idx="678" formatCode="0.00%">
                        <c:v>4.0966386554621759E-2</c:v>
                      </c:pt>
                      <c:pt idx="679" formatCode="0.00%">
                        <c:v>3.7696335078533968E-2</c:v>
                      </c:pt>
                      <c:pt idx="680" formatCode="0.00%">
                        <c:v>3.0176899063475607E-2</c:v>
                      </c:pt>
                      <c:pt idx="681" formatCode="0.00%">
                        <c:v>3.1120331950207466E-2</c:v>
                      </c:pt>
                      <c:pt idx="682" formatCode="0.00%">
                        <c:v>3.0991735537190084E-2</c:v>
                      </c:pt>
                      <c:pt idx="683" formatCode="0.00%">
                        <c:v>2.3638232271325769E-2</c:v>
                      </c:pt>
                      <c:pt idx="684" formatCode="0.00%">
                        <c:v>1.9507186858316133E-2</c:v>
                      </c:pt>
                      <c:pt idx="685" formatCode="0.00%">
                        <c:v>1.8480492813141652E-2</c:v>
                      </c:pt>
                      <c:pt idx="686" formatCode="0.00%">
                        <c:v>1.3278855975485159E-2</c:v>
                      </c:pt>
                      <c:pt idx="687" formatCode="0.00%">
                        <c:v>1.3211382113821108E-2</c:v>
                      </c:pt>
                      <c:pt idx="688" formatCode="0.00%">
                        <c:v>7.0850202429150085E-3</c:v>
                      </c:pt>
                      <c:pt idx="689" formatCode="0.00%">
                        <c:v>5.0352467270896274E-3</c:v>
                      </c:pt>
                      <c:pt idx="690" formatCode="0.00%">
                        <c:v>1.1099899091826525E-2</c:v>
                      </c:pt>
                      <c:pt idx="691" formatCode="0.00%">
                        <c:v>1.1099899091826525E-2</c:v>
                      </c:pt>
                      <c:pt idx="692" formatCode="0.00%">
                        <c:v>1.41414141414142E-2</c:v>
                      </c:pt>
                      <c:pt idx="693" formatCode="0.00%">
                        <c:v>1.1066398390341995E-2</c:v>
                      </c:pt>
                      <c:pt idx="694" formatCode="0.00%">
                        <c:v>9.0180360721443462E-3</c:v>
                      </c:pt>
                      <c:pt idx="695" formatCode="0.00%">
                        <c:v>1.6064257028112535E-2</c:v>
                      </c:pt>
                      <c:pt idx="696" formatCode="0.00%">
                        <c:v>2.5176233635448138E-2</c:v>
                      </c:pt>
                      <c:pt idx="697" formatCode="0.00%">
                        <c:v>2.9233870967741847E-2</c:v>
                      </c:pt>
                      <c:pt idx="698" formatCode="0.00%">
                        <c:v>3.4274193548387011E-2</c:v>
                      </c:pt>
                      <c:pt idx="699" formatCode="0.00%">
                        <c:v>3.1093279839518498E-2</c:v>
                      </c:pt>
                      <c:pt idx="700" formatCode="0.00%">
                        <c:v>3.7185929648241238E-2</c:v>
                      </c:pt>
                      <c:pt idx="701" formatCode="0.00%">
                        <c:v>4.0080160320641281E-2</c:v>
                      </c:pt>
                      <c:pt idx="702" formatCode="0.00%">
                        <c:v>3.8922155688622666E-2</c:v>
                      </c:pt>
                      <c:pt idx="703" formatCode="0.00%">
                        <c:v>4.2914171656686595E-2</c:v>
                      </c:pt>
                      <c:pt idx="704" formatCode="0.00%">
                        <c:v>4.0836653386454126E-2</c:v>
                      </c:pt>
                      <c:pt idx="705" formatCode="0.00%">
                        <c:v>5.3731343283582145E-2</c:v>
                      </c:pt>
                      <c:pt idx="706" formatCode="0.00%">
                        <c:v>5.5610724925521292E-2</c:v>
                      </c:pt>
                      <c:pt idx="707" formatCode="0.00%">
                        <c:v>5.7312252964426845E-2</c:v>
                      </c:pt>
                      <c:pt idx="708" formatCode="0.00%">
                        <c:v>5.99214145383105E-2</c:v>
                      </c:pt>
                      <c:pt idx="709" formatCode="0.00%">
                        <c:v>6.4642507345739564E-2</c:v>
                      </c:pt>
                      <c:pt idx="710" formatCode="0.00%">
                        <c:v>6.2378167641325595E-2</c:v>
                      </c:pt>
                      <c:pt idx="711" formatCode="0.00%">
                        <c:v>6.4202334630350286E-2</c:v>
                      </c:pt>
                      <c:pt idx="712" formatCode="0.00%">
                        <c:v>6.0077519379844985E-2</c:v>
                      </c:pt>
                      <c:pt idx="713" formatCode="0.00%">
                        <c:v>5.8766859344894111E-2</c:v>
                      </c:pt>
                      <c:pt idx="714" formatCode="0.00%">
                        <c:v>6.3400576368876166E-2</c:v>
                      </c:pt>
                      <c:pt idx="715" formatCode="0.00%">
                        <c:v>6.5071770334928197E-2</c:v>
                      </c:pt>
                      <c:pt idx="716" formatCode="0.00%">
                        <c:v>6.9856459330143519E-2</c:v>
                      </c:pt>
                      <c:pt idx="717" formatCode="0.00%">
                        <c:v>5.8545797922568352E-2</c:v>
                      </c:pt>
                      <c:pt idx="718" formatCode="0.00%">
                        <c:v>5.1740357478833494E-2</c:v>
                      </c:pt>
                      <c:pt idx="719" formatCode="0.00%">
                        <c:v>4.392523364485984E-2</c:v>
                      </c:pt>
                      <c:pt idx="720" formatCode="0.00%">
                        <c:v>2.873030583873952E-2</c:v>
                      </c:pt>
                      <c:pt idx="721" formatCode="0.00%">
                        <c:v>2.2079116835326509E-2</c:v>
                      </c:pt>
                      <c:pt idx="722" formatCode="0.00%">
                        <c:v>2.2935779816513763E-2</c:v>
                      </c:pt>
                      <c:pt idx="723" formatCode="0.00%">
                        <c:v>1.9195612431444187E-2</c:v>
                      </c:pt>
                      <c:pt idx="724" formatCode="0.00%">
                        <c:v>1.8281535648994516E-2</c:v>
                      </c:pt>
                      <c:pt idx="725" formatCode="0.00%">
                        <c:v>1.4558689717925333E-2</c:v>
                      </c:pt>
                      <c:pt idx="726" formatCode="0.00%">
                        <c:v>1.1743450767840986E-2</c:v>
                      </c:pt>
                      <c:pt idx="727" formatCode="0.00%">
                        <c:v>4.4923629829290209E-3</c:v>
                      </c:pt>
                      <c:pt idx="728" formatCode="0.00%">
                        <c:v>-8.94454382826425E-4</c:v>
                      </c:pt>
                      <c:pt idx="729" formatCode="0.00%">
                        <c:v>-6.2444246208741188E-3</c:v>
                      </c:pt>
                      <c:pt idx="730" formatCode="0.00%">
                        <c:v>-1.7889087656529771E-3</c:v>
                      </c:pt>
                      <c:pt idx="731" formatCode="0.00%">
                        <c:v>-2.6857654431512727E-3</c:v>
                      </c:pt>
                      <c:pt idx="732" formatCode="0.00%">
                        <c:v>9.0090090090090089E-3</c:v>
                      </c:pt>
                      <c:pt idx="733" formatCode="0.00%">
                        <c:v>7.2007200720073036E-3</c:v>
                      </c:pt>
                      <c:pt idx="734" formatCode="0.00%">
                        <c:v>-7.2645739910313853E-2</c:v>
                      </c:pt>
                      <c:pt idx="735" formatCode="0.00%">
                        <c:v>-0.13183856502242156</c:v>
                      </c:pt>
                      <c:pt idx="736" formatCode="0.00%">
                        <c:v>-0.10412926391382413</c:v>
                      </c:pt>
                      <c:pt idx="737" formatCode="0.00%">
                        <c:v>-7.8026905829596441E-2</c:v>
                      </c:pt>
                      <c:pt idx="738" formatCode="0.00%">
                        <c:v>-6.3392857142857098E-2</c:v>
                      </c:pt>
                      <c:pt idx="739" formatCode="0.00%">
                        <c:v>-4.7406082289803197E-2</c:v>
                      </c:pt>
                      <c:pt idx="740" formatCode="0.00%">
                        <c:v>-3.7600716204118201E-2</c:v>
                      </c:pt>
                      <c:pt idx="741" formatCode="0.00%">
                        <c:v>-2.8725314183123903E-2</c:v>
                      </c:pt>
                      <c:pt idx="742" formatCode="0.00%">
                        <c:v>-2.1505376344085947E-2</c:v>
                      </c:pt>
                      <c:pt idx="743" formatCode="0.00%">
                        <c:v>-1.6157989228007284E-2</c:v>
                      </c:pt>
                      <c:pt idx="744" formatCode="0.00%">
                        <c:v>-1.6964285714285765E-2</c:v>
                      </c:pt>
                      <c:pt idx="745" formatCode="0.00%">
                        <c:v>-1.60857908847186E-2</c:v>
                      </c:pt>
                      <c:pt idx="746" formatCode="0.00%">
                        <c:v>7.9303675048355782E-2</c:v>
                      </c:pt>
                      <c:pt idx="747" formatCode="0.00%">
                        <c:v>0.16735537190082647</c:v>
                      </c:pt>
                      <c:pt idx="748" formatCode="0.00%">
                        <c:v>0.14529058116232466</c:v>
                      </c:pt>
                      <c:pt idx="749" formatCode="0.00%">
                        <c:v>0.11964980544747079</c:v>
                      </c:pt>
                    </c:numCache>
                  </c:numRef>
                </c:val>
                <c:extLst>
                  <c:ext xmlns:c16="http://schemas.microsoft.com/office/drawing/2014/chart" uri="{C3380CC4-5D6E-409C-BE32-E72D297353CC}">
                    <c16:uniqueId val="{00000001-DA1E-45BA-9D04-5BB87622B8E4}"/>
                  </c:ext>
                </c:extLst>
              </c15:ser>
            </c15:filteredBarSeries>
          </c:ext>
        </c:extLst>
      </c:barChar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Board'!$B$10:$B$759</c:f>
              <c:numCache>
                <c:formatCode>0.00</c:formatCode>
                <c:ptCount val="750"/>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114.3</c:v>
                </c:pt>
                <c:pt idx="749">
                  <c:v>115.1</c:v>
                </c:pt>
              </c:numCache>
            </c:numRef>
          </c:val>
          <c:smooth val="0"/>
          <c:extLst>
            <c:ext xmlns:c16="http://schemas.microsoft.com/office/drawing/2014/chart" uri="{C3380CC4-5D6E-409C-BE32-E72D297353CC}">
              <c16:uniqueId val="{00000000-DA1E-45BA-9D04-5BB87622B8E4}"/>
            </c:ext>
          </c:extLst>
        </c:ser>
        <c:dLbls>
          <c:showLegendKey val="0"/>
          <c:showVal val="0"/>
          <c:showCatName val="0"/>
          <c:showSerName val="0"/>
          <c:showPercent val="0"/>
          <c:showBubbleSize val="0"/>
        </c:dLbls>
        <c:marker val="1"/>
        <c:smooth val="0"/>
        <c:axId val="1179503040"/>
        <c:axId val="1178471112"/>
        <c:extLst>
          <c:ext xmlns:c15="http://schemas.microsoft.com/office/drawing/2012/chart" uri="{02D57815-91ED-43cb-92C2-25804820EDAC}">
            <c15:filteredLineSeries>
              <c15:ser>
                <c:idx val="2"/>
                <c:order val="2"/>
                <c:tx>
                  <c:strRef>
                    <c:extLst>
                      <c:ext uri="{02D57815-91ED-43cb-92C2-25804820EDAC}">
                        <c15:formulaRef>
                          <c15:sqref>'Conference Board'!$D$9</c15:sqref>
                        </c15:formulaRef>
                      </c:ext>
                    </c:extLst>
                    <c:strCache>
                      <c:ptCount val="1"/>
                      <c:pt idx="0">
                        <c:v>GDP y/y %</c:v>
                      </c:pt>
                    </c:strCache>
                  </c:strRef>
                </c:tx>
                <c:spPr>
                  <a:ln w="28575" cap="rnd">
                    <a:solidFill>
                      <a:schemeClr val="accent3"/>
                    </a:solidFill>
                    <a:round/>
                  </a:ln>
                  <a:effectLst/>
                </c:spPr>
                <c:marker>
                  <c:symbol val="none"/>
                </c:marker>
                <c:cat>
                  <c:numRef>
                    <c:extLst>
                      <c:ext uri="{02D57815-91ED-43cb-92C2-25804820EDAC}">
                        <c15:formulaRef>
                          <c15:sqref>'Conference Board'!$A$10:$A$759</c15:sqref>
                        </c15:formulaRef>
                      </c:ext>
                    </c:extLst>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extLst>
                      <c:ext uri="{02D57815-91ED-43cb-92C2-25804820EDAC}">
                        <c15:formulaRef>
                          <c15:sqref>'Conference Board'!$D$10:$D$759</c15:sqref>
                        </c15:formulaRef>
                      </c:ext>
                    </c:extLst>
                    <c:numCache>
                      <c:formatCode>0.00%</c:formatCode>
                      <c:ptCount val="750"/>
                      <c:pt idx="0">
                        <c:v>7.4205666774708884E-2</c:v>
                      </c:pt>
                      <c:pt idx="3">
                        <c:v>9.1270566993199923E-2</c:v>
                      </c:pt>
                      <c:pt idx="6">
                        <c:v>6.7350624843805607E-2</c:v>
                      </c:pt>
                      <c:pt idx="9">
                        <c:v>4.5925594621109102E-2</c:v>
                      </c:pt>
                      <c:pt idx="12">
                        <c:v>4.9271029258767605E-2</c:v>
                      </c:pt>
                      <c:pt idx="15">
                        <c:v>2.0582762703688182E-2</c:v>
                      </c:pt>
                      <c:pt idx="18">
                        <c:v>2.4846516976961257E-2</c:v>
                      </c:pt>
                      <c:pt idx="21">
                        <c:v>8.8177668794687733E-3</c:v>
                      </c:pt>
                      <c:pt idx="24">
                        <c:v>-6.6949410472144418E-3</c:v>
                      </c:pt>
                      <c:pt idx="27">
                        <c:v>1.5644451592467731E-2</c:v>
                      </c:pt>
                      <c:pt idx="30">
                        <c:v>3.0101138383319188E-2</c:v>
                      </c:pt>
                      <c:pt idx="33">
                        <c:v>6.3957742691929387E-2</c:v>
                      </c:pt>
                      <c:pt idx="36">
                        <c:v>7.5673376511220969E-2</c:v>
                      </c:pt>
                      <c:pt idx="39">
                        <c:v>6.7277132260258818E-2</c:v>
                      </c:pt>
                      <c:pt idx="42">
                        <c:v>6.0039773692611098E-2</c:v>
                      </c:pt>
                      <c:pt idx="45">
                        <c:v>4.3070083324584993E-2</c:v>
                      </c:pt>
                      <c:pt idx="48">
                        <c:v>3.5978587758931757E-2</c:v>
                      </c:pt>
                      <c:pt idx="51">
                        <c:v>3.8221437201470199E-2</c:v>
                      </c:pt>
                      <c:pt idx="54">
                        <c:v>4.8169126758357071E-2</c:v>
                      </c:pt>
                      <c:pt idx="57">
                        <c:v>5.1582638359753498E-2</c:v>
                      </c:pt>
                      <c:pt idx="60">
                        <c:v>6.2158351077956489E-2</c:v>
                      </c:pt>
                      <c:pt idx="63">
                        <c:v>6.1807324304429978E-2</c:v>
                      </c:pt>
                      <c:pt idx="66">
                        <c:v>5.5198199866676644E-2</c:v>
                      </c:pt>
                      <c:pt idx="69">
                        <c:v>5.1563624698257815E-2</c:v>
                      </c:pt>
                      <c:pt idx="72">
                        <c:v>5.4771475886737371E-2</c:v>
                      </c:pt>
                      <c:pt idx="75">
                        <c:v>5.6592922808848874E-2</c:v>
                      </c:pt>
                      <c:pt idx="78">
                        <c:v>6.3469226156710967E-2</c:v>
                      </c:pt>
                      <c:pt idx="81">
                        <c:v>8.4621697360409531E-2</c:v>
                      </c:pt>
                      <c:pt idx="84">
                        <c:v>8.4774897835246998E-2</c:v>
                      </c:pt>
                      <c:pt idx="87">
                        <c:v>7.490174733793456E-2</c:v>
                      </c:pt>
                      <c:pt idx="90">
                        <c:v>6.0428966256575838E-2</c:v>
                      </c:pt>
                      <c:pt idx="93">
                        <c:v>4.5050027045729968E-2</c:v>
                      </c:pt>
                      <c:pt idx="96">
                        <c:v>2.925050599168132E-2</c:v>
                      </c:pt>
                      <c:pt idx="99">
                        <c:v>2.6374869480320692E-2</c:v>
                      </c:pt>
                      <c:pt idx="102">
                        <c:v>2.7384763393392866E-2</c:v>
                      </c:pt>
                      <c:pt idx="105">
                        <c:v>2.6708620111718179E-2</c:v>
                      </c:pt>
                      <c:pt idx="108">
                        <c:v>3.8451879810150434E-2</c:v>
                      </c:pt>
                      <c:pt idx="111">
                        <c:v>5.5155926026304647E-2</c:v>
                      </c:pt>
                      <c:pt idx="114">
                        <c:v>5.3366843406545982E-2</c:v>
                      </c:pt>
                      <c:pt idx="117">
                        <c:v>4.9595600206505795E-2</c:v>
                      </c:pt>
                      <c:pt idx="120">
                        <c:v>4.4715990023764189E-2</c:v>
                      </c:pt>
                      <c:pt idx="123">
                        <c:v>3.06714490482571E-2</c:v>
                      </c:pt>
                      <c:pt idx="126">
                        <c:v>2.9500814269305412E-2</c:v>
                      </c:pt>
                      <c:pt idx="129">
                        <c:v>2.0466568237684307E-2</c:v>
                      </c:pt>
                      <c:pt idx="132">
                        <c:v>3.2493971777861645E-3</c:v>
                      </c:pt>
                      <c:pt idx="135">
                        <c:v>1.6281827163015326E-3</c:v>
                      </c:pt>
                      <c:pt idx="138">
                        <c:v>4.2259071963002617E-3</c:v>
                      </c:pt>
                      <c:pt idx="141">
                        <c:v>-1.66709311509965E-3</c:v>
                      </c:pt>
                      <c:pt idx="144">
                        <c:v>2.6972442943454543E-2</c:v>
                      </c:pt>
                      <c:pt idx="147">
                        <c:v>3.1066227041022677E-2</c:v>
                      </c:pt>
                      <c:pt idx="150">
                        <c:v>3.0058973867138742E-2</c:v>
                      </c:pt>
                      <c:pt idx="153">
                        <c:v>4.367208414299667E-2</c:v>
                      </c:pt>
                      <c:pt idx="156">
                        <c:v>3.4760715822843999E-2</c:v>
                      </c:pt>
                      <c:pt idx="159">
                        <c:v>5.2551813463878744E-2</c:v>
                      </c:pt>
                      <c:pt idx="162">
                        <c:v>5.3819247156327056E-2</c:v>
                      </c:pt>
                      <c:pt idx="165">
                        <c:v>6.8944692011348688E-2</c:v>
                      </c:pt>
                      <c:pt idx="168">
                        <c:v>7.5618941306228302E-2</c:v>
                      </c:pt>
                      <c:pt idx="171">
                        <c:v>6.3196674026033309E-2</c:v>
                      </c:pt>
                      <c:pt idx="174">
                        <c:v>4.7710808846556076E-2</c:v>
                      </c:pt>
                      <c:pt idx="177">
                        <c:v>4.0237570999252563E-2</c:v>
                      </c:pt>
                      <c:pt idx="180">
                        <c:v>6.3877572829453347E-3</c:v>
                      </c:pt>
                      <c:pt idx="183">
                        <c:v>-2.0841156656144265E-3</c:v>
                      </c:pt>
                      <c:pt idx="186">
                        <c:v>-6.2898080752895264E-3</c:v>
                      </c:pt>
                      <c:pt idx="189">
                        <c:v>-1.9454395631254444E-2</c:v>
                      </c:pt>
                      <c:pt idx="192">
                        <c:v>-2.2990596636949218E-2</c:v>
                      </c:pt>
                      <c:pt idx="195">
                        <c:v>-1.8342612096180544E-2</c:v>
                      </c:pt>
                      <c:pt idx="198">
                        <c:v>7.9868246568049681E-3</c:v>
                      </c:pt>
                      <c:pt idx="201">
                        <c:v>2.5539986817473988E-2</c:v>
                      </c:pt>
                      <c:pt idx="204">
                        <c:v>6.1523864866092452E-2</c:v>
                      </c:pt>
                      <c:pt idx="207">
                        <c:v>6.1725723898493151E-2</c:v>
                      </c:pt>
                      <c:pt idx="210">
                        <c:v>4.9586307175719491E-2</c:v>
                      </c:pt>
                      <c:pt idx="213">
                        <c:v>4.3148126414503434E-2</c:v>
                      </c:pt>
                      <c:pt idx="216">
                        <c:v>3.2259784362000117E-2</c:v>
                      </c:pt>
                      <c:pt idx="219">
                        <c:v>4.4663392503022557E-2</c:v>
                      </c:pt>
                      <c:pt idx="222">
                        <c:v>5.7708919888722426E-2</c:v>
                      </c:pt>
                      <c:pt idx="225">
                        <c:v>5.0120296166899475E-2</c:v>
                      </c:pt>
                      <c:pt idx="228">
                        <c:v>4.1170696113854294E-2</c:v>
                      </c:pt>
                      <c:pt idx="231">
                        <c:v>6.0781394862534283E-2</c:v>
                      </c:pt>
                      <c:pt idx="234">
                        <c:v>5.2457764575845327E-2</c:v>
                      </c:pt>
                      <c:pt idx="237">
                        <c:v>6.6581009539036395E-2</c:v>
                      </c:pt>
                      <c:pt idx="240">
                        <c:v>6.5098989840264881E-2</c:v>
                      </c:pt>
                      <c:pt idx="243">
                        <c:v>2.6568700670328314E-2</c:v>
                      </c:pt>
                      <c:pt idx="246">
                        <c:v>2.3899265371251505E-2</c:v>
                      </c:pt>
                      <c:pt idx="249">
                        <c:v>1.2845638511357444E-2</c:v>
                      </c:pt>
                      <c:pt idx="252">
                        <c:v>1.4207812865719037E-2</c:v>
                      </c:pt>
                      <c:pt idx="255">
                        <c:v>-7.7507055423842392E-3</c:v>
                      </c:pt>
                      <c:pt idx="258">
                        <c:v>-1.6238086833745138E-2</c:v>
                      </c:pt>
                      <c:pt idx="261">
                        <c:v>-3.9142026726618538E-4</c:v>
                      </c:pt>
                      <c:pt idx="264">
                        <c:v>1.5999816310917868E-2</c:v>
                      </c:pt>
                      <c:pt idx="267">
                        <c:v>2.9686924394553674E-2</c:v>
                      </c:pt>
                      <c:pt idx="270">
                        <c:v>4.3257573786844139E-2</c:v>
                      </c:pt>
                      <c:pt idx="273">
                        <c:v>1.2999126004342785E-2</c:v>
                      </c:pt>
                      <c:pt idx="276">
                        <c:v>-2.1903423068408204E-2</c:v>
                      </c:pt>
                      <c:pt idx="279">
                        <c:v>-1.0105489634705466E-2</c:v>
                      </c:pt>
                      <c:pt idx="282">
                        <c:v>-2.5558978151038962E-2</c:v>
                      </c:pt>
                      <c:pt idx="285">
                        <c:v>-1.4431539363715747E-2</c:v>
                      </c:pt>
                      <c:pt idx="288">
                        <c:v>1.431460579571856E-2</c:v>
                      </c:pt>
                      <c:pt idx="291">
                        <c:v>3.2685328593721856E-2</c:v>
                      </c:pt>
                      <c:pt idx="294">
                        <c:v>5.7371700647417881E-2</c:v>
                      </c:pt>
                      <c:pt idx="297">
                        <c:v>7.8999814332883903E-2</c:v>
                      </c:pt>
                      <c:pt idx="300">
                        <c:v>8.5782740465086021E-2</c:v>
                      </c:pt>
                      <c:pt idx="303">
                        <c:v>7.9967008002006484E-2</c:v>
                      </c:pt>
                      <c:pt idx="306">
                        <c:v>6.900836952300847E-2</c:v>
                      </c:pt>
                      <c:pt idx="309">
                        <c:v>5.5758033529916554E-2</c:v>
                      </c:pt>
                      <c:pt idx="312">
                        <c:v>4.5551129297211133E-2</c:v>
                      </c:pt>
                      <c:pt idx="315">
                        <c:v>3.6842273957041177E-2</c:v>
                      </c:pt>
                      <c:pt idx="318">
                        <c:v>4.2624575221189398E-2</c:v>
                      </c:pt>
                      <c:pt idx="321">
                        <c:v>4.1822388026765737E-2</c:v>
                      </c:pt>
                      <c:pt idx="324">
                        <c:v>4.1455235245001817E-2</c:v>
                      </c:pt>
                      <c:pt idx="327">
                        <c:v>3.7015325720980791E-2</c:v>
                      </c:pt>
                      <c:pt idx="330">
                        <c:v>3.1192309544910268E-2</c:v>
                      </c:pt>
                      <c:pt idx="333">
                        <c:v>2.9081512389265457E-2</c:v>
                      </c:pt>
                      <c:pt idx="336">
                        <c:v>2.7161342870673687E-2</c:v>
                      </c:pt>
                      <c:pt idx="339">
                        <c:v>3.3588249573656623E-2</c:v>
                      </c:pt>
                      <c:pt idx="342">
                        <c:v>3.2672772854671052E-2</c:v>
                      </c:pt>
                      <c:pt idx="345">
                        <c:v>4.4792977774129314E-2</c:v>
                      </c:pt>
                      <c:pt idx="348">
                        <c:v>4.24228159614237E-2</c:v>
                      </c:pt>
                      <c:pt idx="351">
                        <c:v>4.484604620227356E-2</c:v>
                      </c:pt>
                      <c:pt idx="354">
                        <c:v>4.1928205272430713E-2</c:v>
                      </c:pt>
                      <c:pt idx="357">
                        <c:v>3.7989037531788027E-2</c:v>
                      </c:pt>
                      <c:pt idx="360">
                        <c:v>4.3152062015774019E-2</c:v>
                      </c:pt>
                      <c:pt idx="363">
                        <c:v>3.7482970179445199E-2</c:v>
                      </c:pt>
                      <c:pt idx="366">
                        <c:v>3.908120567714899E-2</c:v>
                      </c:pt>
                      <c:pt idx="369">
                        <c:v>2.7438111777549921E-2</c:v>
                      </c:pt>
                      <c:pt idx="372">
                        <c:v>2.8213017007731121E-2</c:v>
                      </c:pt>
                      <c:pt idx="375">
                        <c:v>2.4127636564784692E-2</c:v>
                      </c:pt>
                      <c:pt idx="378">
                        <c:v>1.7272143084210042E-2</c:v>
                      </c:pt>
                      <c:pt idx="381">
                        <c:v>6.0287596757870564E-3</c:v>
                      </c:pt>
                      <c:pt idx="384">
                        <c:v>-9.501950623666407E-3</c:v>
                      </c:pt>
                      <c:pt idx="387">
                        <c:v>-5.388378142790304E-3</c:v>
                      </c:pt>
                      <c:pt idx="390">
                        <c:v>-1.0271852984184444E-3</c:v>
                      </c:pt>
                      <c:pt idx="393">
                        <c:v>1.1664204321365066E-2</c:v>
                      </c:pt>
                      <c:pt idx="396">
                        <c:v>2.8586525919191606E-2</c:v>
                      </c:pt>
                      <c:pt idx="399">
                        <c:v>3.1695712595280374E-2</c:v>
                      </c:pt>
                      <c:pt idx="402">
                        <c:v>3.6653496782618103E-2</c:v>
                      </c:pt>
                      <c:pt idx="405">
                        <c:v>4.3829767135290125E-2</c:v>
                      </c:pt>
                      <c:pt idx="408">
                        <c:v>3.3209094782169685E-2</c:v>
                      </c:pt>
                      <c:pt idx="411">
                        <c:v>2.8078701503631745E-2</c:v>
                      </c:pt>
                      <c:pt idx="414">
                        <c:v>2.2877065695919026E-2</c:v>
                      </c:pt>
                      <c:pt idx="417">
                        <c:v>2.6085590436127543E-2</c:v>
                      </c:pt>
                      <c:pt idx="420">
                        <c:v>3.430940273615609E-2</c:v>
                      </c:pt>
                      <c:pt idx="423">
                        <c:v>4.2254474939159931E-2</c:v>
                      </c:pt>
                      <c:pt idx="426">
                        <c:v>4.3366469321262188E-2</c:v>
                      </c:pt>
                      <c:pt idx="429">
                        <c:v>4.1157564491065148E-2</c:v>
                      </c:pt>
                      <c:pt idx="432">
                        <c:v>3.4811227923887036E-2</c:v>
                      </c:pt>
                      <c:pt idx="435">
                        <c:v>2.4022518018026316E-2</c:v>
                      </c:pt>
                      <c:pt idx="438">
                        <c:v>2.6732241097901271E-2</c:v>
                      </c:pt>
                      <c:pt idx="441">
                        <c:v>2.1996746355449796E-2</c:v>
                      </c:pt>
                      <c:pt idx="444">
                        <c:v>2.6011121012811167E-2</c:v>
                      </c:pt>
                      <c:pt idx="447">
                        <c:v>4.0020614462274562E-2</c:v>
                      </c:pt>
                      <c:pt idx="450">
                        <c:v>4.049822504514753E-2</c:v>
                      </c:pt>
                      <c:pt idx="453">
                        <c:v>4.4212151121520417E-2</c:v>
                      </c:pt>
                      <c:pt idx="456">
                        <c:v>4.3140643984745174E-2</c:v>
                      </c:pt>
                      <c:pt idx="459">
                        <c:v>4.3080662668359818E-2</c:v>
                      </c:pt>
                      <c:pt idx="462">
                        <c:v>4.6738859307256304E-2</c:v>
                      </c:pt>
                      <c:pt idx="465">
                        <c:v>4.4878594353207076E-2</c:v>
                      </c:pt>
                      <c:pt idx="468">
                        <c:v>4.8552862413130518E-2</c:v>
                      </c:pt>
                      <c:pt idx="471">
                        <c:v>4.0959674731917743E-2</c:v>
                      </c:pt>
                      <c:pt idx="474">
                        <c:v>4.0977351563013784E-2</c:v>
                      </c:pt>
                      <c:pt idx="477">
                        <c:v>4.8791107562503447E-2</c:v>
                      </c:pt>
                      <c:pt idx="480">
                        <c:v>4.8240665571038822E-2</c:v>
                      </c:pt>
                      <c:pt idx="483">
                        <c:v>4.6613675126645139E-2</c:v>
                      </c:pt>
                      <c:pt idx="486">
                        <c:v>4.7203872038918931E-2</c:v>
                      </c:pt>
                      <c:pt idx="489">
                        <c:v>4.8066493041425962E-2</c:v>
                      </c:pt>
                      <c:pt idx="492">
                        <c:v>4.199578289410727E-2</c:v>
                      </c:pt>
                      <c:pt idx="495">
                        <c:v>5.2977375076148039E-2</c:v>
                      </c:pt>
                      <c:pt idx="498">
                        <c:v>4.0753302004322221E-2</c:v>
                      </c:pt>
                      <c:pt idx="501">
                        <c:v>2.9734826997560696E-2</c:v>
                      </c:pt>
                      <c:pt idx="504">
                        <c:v>2.3097095761363286E-2</c:v>
                      </c:pt>
                      <c:pt idx="507">
                        <c:v>1.0572423861634371E-2</c:v>
                      </c:pt>
                      <c:pt idx="510">
                        <c:v>5.035884805301742E-3</c:v>
                      </c:pt>
                      <c:pt idx="513">
                        <c:v>1.534858473726491E-3</c:v>
                      </c:pt>
                      <c:pt idx="516">
                        <c:v>1.3182794121317213E-2</c:v>
                      </c:pt>
                      <c:pt idx="519">
                        <c:v>1.3396106341180535E-2</c:v>
                      </c:pt>
                      <c:pt idx="522">
                        <c:v>2.2143660477966304E-2</c:v>
                      </c:pt>
                      <c:pt idx="525">
                        <c:v>2.0945407221023796E-2</c:v>
                      </c:pt>
                      <c:pt idx="528">
                        <c:v>1.7709260624130696E-2</c:v>
                      </c:pt>
                      <c:pt idx="531">
                        <c:v>2.0284012229569721E-2</c:v>
                      </c:pt>
                      <c:pt idx="534">
                        <c:v>3.3018069338085973E-2</c:v>
                      </c:pt>
                      <c:pt idx="537">
                        <c:v>4.3263634159134756E-2</c:v>
                      </c:pt>
                      <c:pt idx="540">
                        <c:v>4.304555592447934E-2</c:v>
                      </c:pt>
                      <c:pt idx="543">
                        <c:v>4.2030192539120853E-2</c:v>
                      </c:pt>
                      <c:pt idx="546">
                        <c:v>3.4315945293957352E-2</c:v>
                      </c:pt>
                      <c:pt idx="549">
                        <c:v>3.2817945028310813E-2</c:v>
                      </c:pt>
                      <c:pt idx="552">
                        <c:v>3.8706793481566561E-2</c:v>
                      </c:pt>
                      <c:pt idx="555">
                        <c:v>3.5608931295200826E-2</c:v>
                      </c:pt>
                      <c:pt idx="558">
                        <c:v>3.5054999023849572E-2</c:v>
                      </c:pt>
                      <c:pt idx="561">
                        <c:v>3.1261114057367735E-2</c:v>
                      </c:pt>
                      <c:pt idx="564">
                        <c:v>3.3538948585265092E-2</c:v>
                      </c:pt>
                      <c:pt idx="567">
                        <c:v>3.119473048862852E-2</c:v>
                      </c:pt>
                      <c:pt idx="570">
                        <c:v>2.3665022848568428E-2</c:v>
                      </c:pt>
                      <c:pt idx="573">
                        <c:v>2.5907044570183974E-2</c:v>
                      </c:pt>
                      <c:pt idx="576">
                        <c:v>1.4822926220208159E-2</c:v>
                      </c:pt>
                      <c:pt idx="579">
                        <c:v>1.8256902946243766E-2</c:v>
                      </c:pt>
                      <c:pt idx="582">
                        <c:v>2.2208131763507111E-2</c:v>
                      </c:pt>
                      <c:pt idx="585">
                        <c:v>1.9734775241238147E-2</c:v>
                      </c:pt>
                      <c:pt idx="588">
                        <c:v>1.1492366262432467E-2</c:v>
                      </c:pt>
                      <c:pt idx="591">
                        <c:v>1.0924276179985013E-2</c:v>
                      </c:pt>
                      <c:pt idx="594">
                        <c:v>1.876587200219146E-5</c:v>
                      </c:pt>
                      <c:pt idx="597">
                        <c:v>-2.7530827846549893E-2</c:v>
                      </c:pt>
                      <c:pt idx="600">
                        <c:v>-3.2890715516301232E-2</c:v>
                      </c:pt>
                      <c:pt idx="603">
                        <c:v>-3.9244471349849222E-2</c:v>
                      </c:pt>
                      <c:pt idx="606">
                        <c:v>-3.0497799455570112E-2</c:v>
                      </c:pt>
                      <c:pt idx="609">
                        <c:v>1.8287415594975698E-3</c:v>
                      </c:pt>
                      <c:pt idx="612">
                        <c:v>1.7102535375568915E-2</c:v>
                      </c:pt>
                      <c:pt idx="615">
                        <c:v>2.7960666618343167E-2</c:v>
                      </c:pt>
                      <c:pt idx="618">
                        <c:v>3.1782075474306767E-2</c:v>
                      </c:pt>
                      <c:pt idx="621">
                        <c:v>2.5694549994536298E-2</c:v>
                      </c:pt>
                      <c:pt idx="624">
                        <c:v>1.9306273148906504E-2</c:v>
                      </c:pt>
                      <c:pt idx="627">
                        <c:v>1.7215030625217995E-2</c:v>
                      </c:pt>
                      <c:pt idx="630">
                        <c:v>9.4903849657161834E-3</c:v>
                      </c:pt>
                      <c:pt idx="633">
                        <c:v>1.6093456608864725E-2</c:v>
                      </c:pt>
                      <c:pt idx="636">
                        <c:v>2.6517566557714759E-2</c:v>
                      </c:pt>
                      <c:pt idx="639">
                        <c:v>2.3615085810537968E-2</c:v>
                      </c:pt>
                      <c:pt idx="642">
                        <c:v>2.528124545690132E-2</c:v>
                      </c:pt>
                      <c:pt idx="645">
                        <c:v>1.4685667872627999E-2</c:v>
                      </c:pt>
                      <c:pt idx="648">
                        <c:v>1.5719476053010734E-2</c:v>
                      </c:pt>
                      <c:pt idx="651">
                        <c:v>1.2616546391348423E-2</c:v>
                      </c:pt>
                      <c:pt idx="654">
                        <c:v>1.9174180691829863E-2</c:v>
                      </c:pt>
                      <c:pt idx="657">
                        <c:v>2.6141227446924854E-2</c:v>
                      </c:pt>
                      <c:pt idx="660">
                        <c:v>1.4257249176644771E-2</c:v>
                      </c:pt>
                      <c:pt idx="663">
                        <c:v>2.6720123780876529E-2</c:v>
                      </c:pt>
                      <c:pt idx="666">
                        <c:v>3.1177281686652052E-2</c:v>
                      </c:pt>
                      <c:pt idx="669">
                        <c:v>2.8768548833451736E-2</c:v>
                      </c:pt>
                      <c:pt idx="672">
                        <c:v>3.9782048489035673E-2</c:v>
                      </c:pt>
                      <c:pt idx="675">
                        <c:v>3.3500272393006146E-2</c:v>
                      </c:pt>
                      <c:pt idx="678">
                        <c:v>2.4410254460905882E-2</c:v>
                      </c:pt>
                      <c:pt idx="681">
                        <c:v>1.9008532793312233E-2</c:v>
                      </c:pt>
                      <c:pt idx="684">
                        <c:v>1.616308533949767E-2</c:v>
                      </c:pt>
                      <c:pt idx="687">
                        <c:v>1.3429417737404956E-2</c:v>
                      </c:pt>
                      <c:pt idx="690">
                        <c:v>1.556711585067171E-2</c:v>
                      </c:pt>
                      <c:pt idx="693">
                        <c:v>2.0340660220087192E-2</c:v>
                      </c:pt>
                      <c:pt idx="696">
                        <c:v>2.0984244373375028E-2</c:v>
                      </c:pt>
                      <c:pt idx="699">
                        <c:v>2.1635125469282663E-2</c:v>
                      </c:pt>
                      <c:pt idx="702">
                        <c:v>2.4160260058683734E-2</c:v>
                      </c:pt>
                      <c:pt idx="705">
                        <c:v>2.7952566368781923E-2</c:v>
                      </c:pt>
                      <c:pt idx="708">
                        <c:v>2.8618726561004181E-2</c:v>
                      </c:pt>
                      <c:pt idx="711">
                        <c:v>3.2022943393747109E-2</c:v>
                      </c:pt>
                      <c:pt idx="714">
                        <c:v>3.1335380435925618E-2</c:v>
                      </c:pt>
                      <c:pt idx="717">
                        <c:v>2.51649559797197E-2</c:v>
                      </c:pt>
                      <c:pt idx="720">
                        <c:v>2.6522413673225144E-2</c:v>
                      </c:pt>
                      <c:pt idx="723">
                        <c:v>2.2845677805866153E-2</c:v>
                      </c:pt>
                      <c:pt idx="726">
                        <c:v>2.0733347853381667E-2</c:v>
                      </c:pt>
                      <c:pt idx="729">
                        <c:v>2.3223461297088334E-2</c:v>
                      </c:pt>
                    </c:numCache>
                  </c:numRef>
                </c:val>
                <c:smooth val="0"/>
                <c:extLst>
                  <c:ext xmlns:c16="http://schemas.microsoft.com/office/drawing/2014/chart" uri="{C3380CC4-5D6E-409C-BE32-E72D297353CC}">
                    <c16:uniqueId val="{00000002-DA1E-45BA-9D04-5BB87622B8E4}"/>
                  </c:ext>
                </c:extLst>
              </c15:ser>
            </c15:filteredLineSeries>
          </c:ext>
        </c:extLst>
      </c:lineChart>
      <c:lineChart>
        <c:grouping val="standard"/>
        <c:varyColors val="0"/>
        <c:ser>
          <c:idx val="3"/>
          <c:order val="3"/>
          <c:tx>
            <c:strRef>
              <c:f>'Conference Board'!$E$9</c:f>
              <c:strCache>
                <c:ptCount val="1"/>
                <c:pt idx="0">
                  <c:v>S&amp;P 500</c:v>
                </c:pt>
              </c:strCache>
            </c:strRef>
          </c:tx>
          <c:spPr>
            <a:ln w="28575" cap="rnd">
              <a:solidFill>
                <a:schemeClr val="accent4"/>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Board'!$E$10:$E$759</c:f>
              <c:numCache>
                <c:formatCode>0.00</c:formatCode>
                <c:ptCount val="750"/>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179.63000500000001</c:v>
                </c:pt>
                <c:pt idx="313">
                  <c:v>181.179993</c:v>
                </c:pt>
                <c:pt idx="314">
                  <c:v>180.66000399999999</c:v>
                </c:pt>
                <c:pt idx="315">
                  <c:v>179.83000200000001</c:v>
                </c:pt>
                <c:pt idx="316">
                  <c:v>189.550003</c:v>
                </c:pt>
                <c:pt idx="317">
                  <c:v>191.85000600000001</c:v>
                </c:pt>
                <c:pt idx="318">
                  <c:v>190.91999799999999</c:v>
                </c:pt>
                <c:pt idx="319">
                  <c:v>188.63000500000001</c:v>
                </c:pt>
                <c:pt idx="320">
                  <c:v>182.08000200000001</c:v>
                </c:pt>
                <c:pt idx="321">
                  <c:v>189.820007</c:v>
                </c:pt>
                <c:pt idx="322">
                  <c:v>202.16999799999999</c:v>
                </c:pt>
                <c:pt idx="323">
                  <c:v>211.279999</c:v>
                </c:pt>
                <c:pt idx="324">
                  <c:v>211.779999</c:v>
                </c:pt>
                <c:pt idx="325">
                  <c:v>226.91999799999999</c:v>
                </c:pt>
                <c:pt idx="326">
                  <c:v>238.89999399999999</c:v>
                </c:pt>
                <c:pt idx="327">
                  <c:v>235.520004</c:v>
                </c:pt>
                <c:pt idx="328">
                  <c:v>247.35000600000001</c:v>
                </c:pt>
                <c:pt idx="329">
                  <c:v>250.83999600000001</c:v>
                </c:pt>
                <c:pt idx="330">
                  <c:v>236.11999499999999</c:v>
                </c:pt>
                <c:pt idx="331">
                  <c:v>252.929993</c:v>
                </c:pt>
                <c:pt idx="332">
                  <c:v>231.320007</c:v>
                </c:pt>
                <c:pt idx="333">
                  <c:v>243.979996</c:v>
                </c:pt>
                <c:pt idx="334">
                  <c:v>249.220001</c:v>
                </c:pt>
                <c:pt idx="335">
                  <c:v>242.16999799999999</c:v>
                </c:pt>
                <c:pt idx="336">
                  <c:v>274.07998700000002</c:v>
                </c:pt>
                <c:pt idx="337">
                  <c:v>284.20001200000002</c:v>
                </c:pt>
                <c:pt idx="338">
                  <c:v>291.70001200000002</c:v>
                </c:pt>
                <c:pt idx="339">
                  <c:v>288.35998499999999</c:v>
                </c:pt>
                <c:pt idx="340">
                  <c:v>290.10000600000001</c:v>
                </c:pt>
                <c:pt idx="341">
                  <c:v>304</c:v>
                </c:pt>
                <c:pt idx="342">
                  <c:v>318.66000400000001</c:v>
                </c:pt>
                <c:pt idx="343">
                  <c:v>329.79998799999998</c:v>
                </c:pt>
                <c:pt idx="344">
                  <c:v>321.82998700000002</c:v>
                </c:pt>
                <c:pt idx="345">
                  <c:v>251.78999300000001</c:v>
                </c:pt>
                <c:pt idx="346">
                  <c:v>230.300003</c:v>
                </c:pt>
                <c:pt idx="347">
                  <c:v>247.08000200000001</c:v>
                </c:pt>
                <c:pt idx="348">
                  <c:v>257.07000699999998</c:v>
                </c:pt>
                <c:pt idx="349">
                  <c:v>267.82000699999998</c:v>
                </c:pt>
                <c:pt idx="350">
                  <c:v>258.89001500000001</c:v>
                </c:pt>
                <c:pt idx="351">
                  <c:v>261.32998700000002</c:v>
                </c:pt>
                <c:pt idx="352">
                  <c:v>262.16000400000001</c:v>
                </c:pt>
                <c:pt idx="353">
                  <c:v>273.5</c:v>
                </c:pt>
                <c:pt idx="354">
                  <c:v>272.01998900000001</c:v>
                </c:pt>
                <c:pt idx="355">
                  <c:v>261.51998900000001</c:v>
                </c:pt>
                <c:pt idx="356">
                  <c:v>271.91000400000001</c:v>
                </c:pt>
                <c:pt idx="357">
                  <c:v>278.97000100000002</c:v>
                </c:pt>
                <c:pt idx="358">
                  <c:v>273.70001200000002</c:v>
                </c:pt>
                <c:pt idx="359">
                  <c:v>277.72000100000002</c:v>
                </c:pt>
                <c:pt idx="360">
                  <c:v>297.47000100000002</c:v>
                </c:pt>
                <c:pt idx="361">
                  <c:v>288.85998499999999</c:v>
                </c:pt>
                <c:pt idx="362">
                  <c:v>294.86999500000002</c:v>
                </c:pt>
                <c:pt idx="363">
                  <c:v>309.64001500000001</c:v>
                </c:pt>
                <c:pt idx="364">
                  <c:v>320.51998900000001</c:v>
                </c:pt>
                <c:pt idx="365">
                  <c:v>317.98001099999999</c:v>
                </c:pt>
                <c:pt idx="366">
                  <c:v>346.07998700000002</c:v>
                </c:pt>
                <c:pt idx="367">
                  <c:v>351.45001200000002</c:v>
                </c:pt>
                <c:pt idx="368">
                  <c:v>349.14999399999999</c:v>
                </c:pt>
                <c:pt idx="369">
                  <c:v>340.35998499999999</c:v>
                </c:pt>
                <c:pt idx="370">
                  <c:v>345.98998999999998</c:v>
                </c:pt>
                <c:pt idx="371">
                  <c:v>353.39999399999999</c:v>
                </c:pt>
                <c:pt idx="372">
                  <c:v>329.07998700000002</c:v>
                </c:pt>
                <c:pt idx="373">
                  <c:v>331.89001500000001</c:v>
                </c:pt>
                <c:pt idx="374">
                  <c:v>339.94000199999999</c:v>
                </c:pt>
                <c:pt idx="375">
                  <c:v>330.79998799999998</c:v>
                </c:pt>
                <c:pt idx="376">
                  <c:v>361.23001099999999</c:v>
                </c:pt>
                <c:pt idx="377">
                  <c:v>358.01998900000001</c:v>
                </c:pt>
                <c:pt idx="378">
                  <c:v>356.14999399999999</c:v>
                </c:pt>
                <c:pt idx="379">
                  <c:v>322.55999800000001</c:v>
                </c:pt>
                <c:pt idx="380">
                  <c:v>306.04998799999998</c:v>
                </c:pt>
                <c:pt idx="381">
                  <c:v>304</c:v>
                </c:pt>
                <c:pt idx="382">
                  <c:v>322.22000100000002</c:v>
                </c:pt>
                <c:pt idx="383">
                  <c:v>330.22000100000002</c:v>
                </c:pt>
                <c:pt idx="384">
                  <c:v>343.92999300000002</c:v>
                </c:pt>
                <c:pt idx="385">
                  <c:v>367.07000699999998</c:v>
                </c:pt>
                <c:pt idx="386">
                  <c:v>375.22000100000002</c:v>
                </c:pt>
                <c:pt idx="387">
                  <c:v>375.33999599999999</c:v>
                </c:pt>
                <c:pt idx="388">
                  <c:v>389.82998700000002</c:v>
                </c:pt>
                <c:pt idx="389">
                  <c:v>371.16000400000001</c:v>
                </c:pt>
                <c:pt idx="390">
                  <c:v>387.80999800000001</c:v>
                </c:pt>
                <c:pt idx="391">
                  <c:v>395.42999300000002</c:v>
                </c:pt>
                <c:pt idx="392">
                  <c:v>387.85998499999999</c:v>
                </c:pt>
                <c:pt idx="393">
                  <c:v>392.45001200000002</c:v>
                </c:pt>
                <c:pt idx="394">
                  <c:v>375.22000100000002</c:v>
                </c:pt>
                <c:pt idx="395">
                  <c:v>417.08999599999999</c:v>
                </c:pt>
                <c:pt idx="396">
                  <c:v>408.77999899999998</c:v>
                </c:pt>
                <c:pt idx="397">
                  <c:v>412.70001200000002</c:v>
                </c:pt>
                <c:pt idx="398">
                  <c:v>403.69000199999999</c:v>
                </c:pt>
                <c:pt idx="399">
                  <c:v>414.95001200000002</c:v>
                </c:pt>
                <c:pt idx="400">
                  <c:v>415.35000600000001</c:v>
                </c:pt>
                <c:pt idx="401">
                  <c:v>408.14001500000001</c:v>
                </c:pt>
                <c:pt idx="402">
                  <c:v>424.209991</c:v>
                </c:pt>
                <c:pt idx="403">
                  <c:v>414.02999899999998</c:v>
                </c:pt>
                <c:pt idx="404">
                  <c:v>417.79998799999998</c:v>
                </c:pt>
                <c:pt idx="405">
                  <c:v>418.67999300000002</c:v>
                </c:pt>
                <c:pt idx="406">
                  <c:v>431.35000600000001</c:v>
                </c:pt>
                <c:pt idx="407">
                  <c:v>435.709991</c:v>
                </c:pt>
                <c:pt idx="408">
                  <c:v>438.77999899999998</c:v>
                </c:pt>
                <c:pt idx="409">
                  <c:v>443.38000499999998</c:v>
                </c:pt>
                <c:pt idx="410">
                  <c:v>451.67001299999998</c:v>
                </c:pt>
                <c:pt idx="411">
                  <c:v>440.19000199999999</c:v>
                </c:pt>
                <c:pt idx="412">
                  <c:v>450.19000199999999</c:v>
                </c:pt>
                <c:pt idx="413">
                  <c:v>450.52999899999998</c:v>
                </c:pt>
                <c:pt idx="414">
                  <c:v>448.13000499999998</c:v>
                </c:pt>
                <c:pt idx="415">
                  <c:v>463.55999800000001</c:v>
                </c:pt>
                <c:pt idx="416">
                  <c:v>458.92999300000002</c:v>
                </c:pt>
                <c:pt idx="417">
                  <c:v>467.82998700000002</c:v>
                </c:pt>
                <c:pt idx="418">
                  <c:v>461.790009</c:v>
                </c:pt>
                <c:pt idx="419">
                  <c:v>466.45001200000002</c:v>
                </c:pt>
                <c:pt idx="420">
                  <c:v>481.60998499999999</c:v>
                </c:pt>
                <c:pt idx="421">
                  <c:v>467.14001500000001</c:v>
                </c:pt>
                <c:pt idx="422">
                  <c:v>445.76998900000001</c:v>
                </c:pt>
                <c:pt idx="423">
                  <c:v>450.91000400000001</c:v>
                </c:pt>
                <c:pt idx="424">
                  <c:v>456.5</c:v>
                </c:pt>
                <c:pt idx="425">
                  <c:v>444.26998900000001</c:v>
                </c:pt>
                <c:pt idx="426">
                  <c:v>458.26001000000002</c:v>
                </c:pt>
                <c:pt idx="427">
                  <c:v>475.48998999999998</c:v>
                </c:pt>
                <c:pt idx="428">
                  <c:v>462.709991</c:v>
                </c:pt>
                <c:pt idx="429">
                  <c:v>472.35000600000001</c:v>
                </c:pt>
                <c:pt idx="430">
                  <c:v>453.69000199999999</c:v>
                </c:pt>
                <c:pt idx="431">
                  <c:v>459.26998900000001</c:v>
                </c:pt>
                <c:pt idx="432">
                  <c:v>470.42001299999998</c:v>
                </c:pt>
                <c:pt idx="433">
                  <c:v>487.39001500000001</c:v>
                </c:pt>
                <c:pt idx="434">
                  <c:v>500.709991</c:v>
                </c:pt>
                <c:pt idx="435">
                  <c:v>514.71002199999998</c:v>
                </c:pt>
                <c:pt idx="436">
                  <c:v>533.40002400000003</c:v>
                </c:pt>
                <c:pt idx="437">
                  <c:v>544.75</c:v>
                </c:pt>
                <c:pt idx="438">
                  <c:v>562.05999799999995</c:v>
                </c:pt>
                <c:pt idx="439">
                  <c:v>561.88000499999998</c:v>
                </c:pt>
                <c:pt idx="440">
                  <c:v>584.40997300000004</c:v>
                </c:pt>
                <c:pt idx="441">
                  <c:v>581.5</c:v>
                </c:pt>
                <c:pt idx="442">
                  <c:v>605.36999500000002</c:v>
                </c:pt>
                <c:pt idx="443">
                  <c:v>615.92999299999997</c:v>
                </c:pt>
                <c:pt idx="444">
                  <c:v>636.02002000000005</c:v>
                </c:pt>
                <c:pt idx="445">
                  <c:v>640.42999299999997</c:v>
                </c:pt>
                <c:pt idx="446">
                  <c:v>645.5</c:v>
                </c:pt>
                <c:pt idx="447">
                  <c:v>654.169983</c:v>
                </c:pt>
                <c:pt idx="448">
                  <c:v>669.11999500000002</c:v>
                </c:pt>
                <c:pt idx="449">
                  <c:v>670.63000499999998</c:v>
                </c:pt>
                <c:pt idx="450">
                  <c:v>639.95001200000002</c:v>
                </c:pt>
                <c:pt idx="451">
                  <c:v>651.98999000000003</c:v>
                </c:pt>
                <c:pt idx="452">
                  <c:v>687.330017</c:v>
                </c:pt>
                <c:pt idx="453">
                  <c:v>705.27002000000005</c:v>
                </c:pt>
                <c:pt idx="454">
                  <c:v>757.02002000000005</c:v>
                </c:pt>
                <c:pt idx="455">
                  <c:v>740.73999000000003</c:v>
                </c:pt>
                <c:pt idx="456">
                  <c:v>786.15997300000004</c:v>
                </c:pt>
                <c:pt idx="457">
                  <c:v>790.82000700000003</c:v>
                </c:pt>
                <c:pt idx="458">
                  <c:v>757.11999500000002</c:v>
                </c:pt>
                <c:pt idx="459">
                  <c:v>801.34002699999996</c:v>
                </c:pt>
                <c:pt idx="460">
                  <c:v>848.28002900000001</c:v>
                </c:pt>
                <c:pt idx="461">
                  <c:v>885.14001499999995</c:v>
                </c:pt>
                <c:pt idx="462">
                  <c:v>954.30999799999995</c:v>
                </c:pt>
                <c:pt idx="463">
                  <c:v>899.46997099999999</c:v>
                </c:pt>
                <c:pt idx="464">
                  <c:v>947.28002900000001</c:v>
                </c:pt>
                <c:pt idx="465">
                  <c:v>914.61999500000002</c:v>
                </c:pt>
                <c:pt idx="466">
                  <c:v>955.40002400000003</c:v>
                </c:pt>
                <c:pt idx="467">
                  <c:v>970.42999299999997</c:v>
                </c:pt>
                <c:pt idx="468">
                  <c:v>980.28002900000001</c:v>
                </c:pt>
                <c:pt idx="469">
                  <c:v>1049.339966</c:v>
                </c:pt>
                <c:pt idx="470">
                  <c:v>1101.75</c:v>
                </c:pt>
                <c:pt idx="471">
                  <c:v>1111.75</c:v>
                </c:pt>
                <c:pt idx="472">
                  <c:v>1090.8199460000001</c:v>
                </c:pt>
                <c:pt idx="473">
                  <c:v>1133.839966</c:v>
                </c:pt>
                <c:pt idx="474">
                  <c:v>1120.670044</c:v>
                </c:pt>
                <c:pt idx="475">
                  <c:v>957.28002900000001</c:v>
                </c:pt>
                <c:pt idx="476">
                  <c:v>1017.01001</c:v>
                </c:pt>
                <c:pt idx="477">
                  <c:v>1098.670044</c:v>
                </c:pt>
                <c:pt idx="478">
                  <c:v>1163.630005</c:v>
                </c:pt>
                <c:pt idx="479">
                  <c:v>1229.2299800000001</c:v>
                </c:pt>
                <c:pt idx="480">
                  <c:v>1279.6400149999999</c:v>
                </c:pt>
                <c:pt idx="481">
                  <c:v>1238.329956</c:v>
                </c:pt>
                <c:pt idx="482">
                  <c:v>1286.369995</c:v>
                </c:pt>
                <c:pt idx="483">
                  <c:v>1335.1800539999999</c:v>
                </c:pt>
                <c:pt idx="484">
                  <c:v>1301.839966</c:v>
                </c:pt>
                <c:pt idx="485">
                  <c:v>1372.709961</c:v>
                </c:pt>
                <c:pt idx="486">
                  <c:v>1328.719971</c:v>
                </c:pt>
                <c:pt idx="487">
                  <c:v>1320.410034</c:v>
                </c:pt>
                <c:pt idx="488">
                  <c:v>1282.709961</c:v>
                </c:pt>
                <c:pt idx="489">
                  <c:v>1362.9300539999999</c:v>
                </c:pt>
                <c:pt idx="490">
                  <c:v>1388.910034</c:v>
                </c:pt>
                <c:pt idx="491">
                  <c:v>1469.25</c:v>
                </c:pt>
                <c:pt idx="492">
                  <c:v>1394.459961</c:v>
                </c:pt>
                <c:pt idx="493">
                  <c:v>1366.420044</c:v>
                </c:pt>
                <c:pt idx="494">
                  <c:v>1498.579956</c:v>
                </c:pt>
                <c:pt idx="495">
                  <c:v>1452.4300539999999</c:v>
                </c:pt>
                <c:pt idx="496">
                  <c:v>1420.599976</c:v>
                </c:pt>
                <c:pt idx="497">
                  <c:v>1454.599976</c:v>
                </c:pt>
                <c:pt idx="498">
                  <c:v>1430.829956</c:v>
                </c:pt>
                <c:pt idx="499">
                  <c:v>1517.6800539999999</c:v>
                </c:pt>
                <c:pt idx="500">
                  <c:v>1436.51001</c:v>
                </c:pt>
                <c:pt idx="501">
                  <c:v>1429.400024</c:v>
                </c:pt>
                <c:pt idx="502">
                  <c:v>1314.9499510000001</c:v>
                </c:pt>
                <c:pt idx="503">
                  <c:v>1320.280029</c:v>
                </c:pt>
                <c:pt idx="504">
                  <c:v>1366.01001</c:v>
                </c:pt>
                <c:pt idx="505">
                  <c:v>1239.9399410000001</c:v>
                </c:pt>
                <c:pt idx="506">
                  <c:v>1160.329956</c:v>
                </c:pt>
                <c:pt idx="507">
                  <c:v>1249.459961</c:v>
                </c:pt>
                <c:pt idx="508">
                  <c:v>1255.8199460000001</c:v>
                </c:pt>
                <c:pt idx="509">
                  <c:v>1224.380005</c:v>
                </c:pt>
                <c:pt idx="510">
                  <c:v>1211.2299800000001</c:v>
                </c:pt>
                <c:pt idx="511">
                  <c:v>1133.579956</c:v>
                </c:pt>
                <c:pt idx="512">
                  <c:v>1040.9399410000001</c:v>
                </c:pt>
                <c:pt idx="513">
                  <c:v>1059.780029</c:v>
                </c:pt>
                <c:pt idx="514">
                  <c:v>1139.4499510000001</c:v>
                </c:pt>
                <c:pt idx="515">
                  <c:v>1148.079956</c:v>
                </c:pt>
                <c:pt idx="516">
                  <c:v>1130.1999510000001</c:v>
                </c:pt>
                <c:pt idx="517">
                  <c:v>1106.7299800000001</c:v>
                </c:pt>
                <c:pt idx="518">
                  <c:v>1147.3900149999999</c:v>
                </c:pt>
                <c:pt idx="519">
                  <c:v>1076.920044</c:v>
                </c:pt>
                <c:pt idx="520">
                  <c:v>1067.1400149999999</c:v>
                </c:pt>
                <c:pt idx="521">
                  <c:v>989.82000700000003</c:v>
                </c:pt>
                <c:pt idx="522">
                  <c:v>911.61999500000002</c:v>
                </c:pt>
                <c:pt idx="523">
                  <c:v>916.07000700000003</c:v>
                </c:pt>
                <c:pt idx="524">
                  <c:v>815.28002900000001</c:v>
                </c:pt>
                <c:pt idx="525">
                  <c:v>885.76000999999997</c:v>
                </c:pt>
                <c:pt idx="526">
                  <c:v>936.30999799999995</c:v>
                </c:pt>
                <c:pt idx="527">
                  <c:v>879.82000700000003</c:v>
                </c:pt>
                <c:pt idx="528">
                  <c:v>855.70001200000002</c:v>
                </c:pt>
                <c:pt idx="529">
                  <c:v>841.15002400000003</c:v>
                </c:pt>
                <c:pt idx="530">
                  <c:v>848.17999299999997</c:v>
                </c:pt>
                <c:pt idx="531">
                  <c:v>916.919983</c:v>
                </c:pt>
                <c:pt idx="532">
                  <c:v>963.59002699999996</c:v>
                </c:pt>
                <c:pt idx="533">
                  <c:v>974.5</c:v>
                </c:pt>
                <c:pt idx="534">
                  <c:v>990.30999799999995</c:v>
                </c:pt>
                <c:pt idx="535">
                  <c:v>1008.01001</c:v>
                </c:pt>
                <c:pt idx="536">
                  <c:v>995.96997099999999</c:v>
                </c:pt>
                <c:pt idx="537">
                  <c:v>1050.709961</c:v>
                </c:pt>
                <c:pt idx="538">
                  <c:v>1058.1999510000001</c:v>
                </c:pt>
                <c:pt idx="539">
                  <c:v>1111.920044</c:v>
                </c:pt>
                <c:pt idx="540">
                  <c:v>1131.130005</c:v>
                </c:pt>
                <c:pt idx="541">
                  <c:v>1144.9399410000001</c:v>
                </c:pt>
                <c:pt idx="542">
                  <c:v>1126.209961</c:v>
                </c:pt>
                <c:pt idx="543">
                  <c:v>1107.3000489999999</c:v>
                </c:pt>
                <c:pt idx="544">
                  <c:v>1120.6800539999999</c:v>
                </c:pt>
                <c:pt idx="545">
                  <c:v>1140.839966</c:v>
                </c:pt>
                <c:pt idx="546">
                  <c:v>1101.719971</c:v>
                </c:pt>
                <c:pt idx="547">
                  <c:v>1104.23999</c:v>
                </c:pt>
                <c:pt idx="548">
                  <c:v>1114.579956</c:v>
                </c:pt>
                <c:pt idx="549">
                  <c:v>1130.1999510000001</c:v>
                </c:pt>
                <c:pt idx="550">
                  <c:v>1173.8199460000001</c:v>
                </c:pt>
                <c:pt idx="551">
                  <c:v>1211.920044</c:v>
                </c:pt>
                <c:pt idx="552">
                  <c:v>1181.2700199999999</c:v>
                </c:pt>
                <c:pt idx="553">
                  <c:v>1203.599976</c:v>
                </c:pt>
                <c:pt idx="554">
                  <c:v>1180.589966</c:v>
                </c:pt>
                <c:pt idx="555">
                  <c:v>1156.849976</c:v>
                </c:pt>
                <c:pt idx="556">
                  <c:v>1191.5</c:v>
                </c:pt>
                <c:pt idx="557">
                  <c:v>1191.329956</c:v>
                </c:pt>
                <c:pt idx="558">
                  <c:v>1234.1800539999999</c:v>
                </c:pt>
                <c:pt idx="559">
                  <c:v>1220.329956</c:v>
                </c:pt>
                <c:pt idx="560">
                  <c:v>1228.8100589999999</c:v>
                </c:pt>
                <c:pt idx="561">
                  <c:v>1207.01001</c:v>
                </c:pt>
                <c:pt idx="562">
                  <c:v>1249.4799800000001</c:v>
                </c:pt>
                <c:pt idx="563">
                  <c:v>1248.290039</c:v>
                </c:pt>
                <c:pt idx="564">
                  <c:v>1280.079956</c:v>
                </c:pt>
                <c:pt idx="565">
                  <c:v>1280.660034</c:v>
                </c:pt>
                <c:pt idx="566">
                  <c:v>1294.869995</c:v>
                </c:pt>
                <c:pt idx="567">
                  <c:v>1310.6099850000001</c:v>
                </c:pt>
                <c:pt idx="568">
                  <c:v>1270.089966</c:v>
                </c:pt>
                <c:pt idx="569">
                  <c:v>1270.1999510000001</c:v>
                </c:pt>
                <c:pt idx="570">
                  <c:v>1276.660034</c:v>
                </c:pt>
                <c:pt idx="571">
                  <c:v>1303.8199460000001</c:v>
                </c:pt>
                <c:pt idx="572">
                  <c:v>1335.849976</c:v>
                </c:pt>
                <c:pt idx="573">
                  <c:v>1377.9399410000001</c:v>
                </c:pt>
                <c:pt idx="574">
                  <c:v>1400.630005</c:v>
                </c:pt>
                <c:pt idx="575">
                  <c:v>1418.3000489999999</c:v>
                </c:pt>
                <c:pt idx="576">
                  <c:v>1438.23999</c:v>
                </c:pt>
                <c:pt idx="577">
                  <c:v>1406.8199460000001</c:v>
                </c:pt>
                <c:pt idx="578">
                  <c:v>1420.8599850000001</c:v>
                </c:pt>
                <c:pt idx="579">
                  <c:v>1482.369995</c:v>
                </c:pt>
                <c:pt idx="580">
                  <c:v>1530.619995</c:v>
                </c:pt>
                <c:pt idx="581">
                  <c:v>1503.349976</c:v>
                </c:pt>
                <c:pt idx="582">
                  <c:v>1455.2700199999999</c:v>
                </c:pt>
                <c:pt idx="583">
                  <c:v>1473.98999</c:v>
                </c:pt>
                <c:pt idx="584">
                  <c:v>1526.75</c:v>
                </c:pt>
                <c:pt idx="585">
                  <c:v>1549.380005</c:v>
                </c:pt>
                <c:pt idx="586">
                  <c:v>1481.1400149999999</c:v>
                </c:pt>
                <c:pt idx="587">
                  <c:v>1468.3599850000001</c:v>
                </c:pt>
                <c:pt idx="588">
                  <c:v>1378.5500489999999</c:v>
                </c:pt>
                <c:pt idx="589">
                  <c:v>1330.630005</c:v>
                </c:pt>
                <c:pt idx="590">
                  <c:v>1322.6999510000001</c:v>
                </c:pt>
                <c:pt idx="591">
                  <c:v>1385.589966</c:v>
                </c:pt>
                <c:pt idx="592">
                  <c:v>1400.380005</c:v>
                </c:pt>
                <c:pt idx="593">
                  <c:v>1280</c:v>
                </c:pt>
                <c:pt idx="594">
                  <c:v>1267.380005</c:v>
                </c:pt>
                <c:pt idx="595">
                  <c:v>1282.829956</c:v>
                </c:pt>
                <c:pt idx="596">
                  <c:v>1166.3599850000001</c:v>
                </c:pt>
                <c:pt idx="597">
                  <c:v>968.75</c:v>
                </c:pt>
                <c:pt idx="598">
                  <c:v>896.23999000000003</c:v>
                </c:pt>
                <c:pt idx="599">
                  <c:v>903.25</c:v>
                </c:pt>
                <c:pt idx="600">
                  <c:v>825.88000499999998</c:v>
                </c:pt>
                <c:pt idx="601">
                  <c:v>735.09002699999996</c:v>
                </c:pt>
                <c:pt idx="602">
                  <c:v>797.86999500000002</c:v>
                </c:pt>
                <c:pt idx="603">
                  <c:v>872.80999799999995</c:v>
                </c:pt>
                <c:pt idx="604">
                  <c:v>919.14001499999995</c:v>
                </c:pt>
                <c:pt idx="605">
                  <c:v>919.32000700000003</c:v>
                </c:pt>
                <c:pt idx="606">
                  <c:v>987.47997999999995</c:v>
                </c:pt>
                <c:pt idx="607">
                  <c:v>1020.619995</c:v>
                </c:pt>
                <c:pt idx="608">
                  <c:v>1057.079956</c:v>
                </c:pt>
                <c:pt idx="609">
                  <c:v>1036.1899410000001</c:v>
                </c:pt>
                <c:pt idx="610">
                  <c:v>1095.630005</c:v>
                </c:pt>
                <c:pt idx="611">
                  <c:v>1115.099976</c:v>
                </c:pt>
                <c:pt idx="612">
                  <c:v>1073.869995</c:v>
                </c:pt>
                <c:pt idx="613">
                  <c:v>1104.48999</c:v>
                </c:pt>
                <c:pt idx="614">
                  <c:v>1169.4300539999999</c:v>
                </c:pt>
                <c:pt idx="615">
                  <c:v>1186.6899410000001</c:v>
                </c:pt>
                <c:pt idx="616">
                  <c:v>1089.410034</c:v>
                </c:pt>
                <c:pt idx="617">
                  <c:v>1030.709961</c:v>
                </c:pt>
                <c:pt idx="618">
                  <c:v>1101.599976</c:v>
                </c:pt>
                <c:pt idx="619">
                  <c:v>1049.329956</c:v>
                </c:pt>
                <c:pt idx="620">
                  <c:v>1141.1999510000001</c:v>
                </c:pt>
                <c:pt idx="621">
                  <c:v>1183.26001</c:v>
                </c:pt>
                <c:pt idx="622">
                  <c:v>1180.5500489999999</c:v>
                </c:pt>
                <c:pt idx="623">
                  <c:v>1257.6400149999999</c:v>
                </c:pt>
                <c:pt idx="624">
                  <c:v>1286.119995</c:v>
                </c:pt>
                <c:pt idx="625">
                  <c:v>1327.219971</c:v>
                </c:pt>
                <c:pt idx="626">
                  <c:v>1325.829956</c:v>
                </c:pt>
                <c:pt idx="627">
                  <c:v>1363.6099850000001</c:v>
                </c:pt>
                <c:pt idx="628">
                  <c:v>1345.1999510000001</c:v>
                </c:pt>
                <c:pt idx="629">
                  <c:v>1320.6400149999999</c:v>
                </c:pt>
                <c:pt idx="630">
                  <c:v>1292.280029</c:v>
                </c:pt>
                <c:pt idx="631">
                  <c:v>1218.8900149999999</c:v>
                </c:pt>
                <c:pt idx="632">
                  <c:v>1131.420044</c:v>
                </c:pt>
                <c:pt idx="633">
                  <c:v>1253.3000489999999</c:v>
                </c:pt>
                <c:pt idx="634">
                  <c:v>1246.959961</c:v>
                </c:pt>
                <c:pt idx="635">
                  <c:v>1257.599976</c:v>
                </c:pt>
                <c:pt idx="636">
                  <c:v>1312.410034</c:v>
                </c:pt>
                <c:pt idx="637">
                  <c:v>1365.6800539999999</c:v>
                </c:pt>
                <c:pt idx="638">
                  <c:v>1408.469971</c:v>
                </c:pt>
                <c:pt idx="639">
                  <c:v>1397.910034</c:v>
                </c:pt>
                <c:pt idx="640">
                  <c:v>1310.329956</c:v>
                </c:pt>
                <c:pt idx="641">
                  <c:v>1362.160034</c:v>
                </c:pt>
                <c:pt idx="642">
                  <c:v>1379.3199460000001</c:v>
                </c:pt>
                <c:pt idx="643">
                  <c:v>1406.579956</c:v>
                </c:pt>
                <c:pt idx="644">
                  <c:v>1440.670044</c:v>
                </c:pt>
                <c:pt idx="645">
                  <c:v>1412.160034</c:v>
                </c:pt>
                <c:pt idx="646">
                  <c:v>1416.1800539999999</c:v>
                </c:pt>
                <c:pt idx="647">
                  <c:v>1426.1899410000001</c:v>
                </c:pt>
                <c:pt idx="648">
                  <c:v>1498.1099850000001</c:v>
                </c:pt>
                <c:pt idx="649">
                  <c:v>1514.6800539999999</c:v>
                </c:pt>
                <c:pt idx="650">
                  <c:v>1569.1899410000001</c:v>
                </c:pt>
                <c:pt idx="651">
                  <c:v>1597.5699460000001</c:v>
                </c:pt>
                <c:pt idx="652">
                  <c:v>1630.73999</c:v>
                </c:pt>
                <c:pt idx="653">
                  <c:v>1606.280029</c:v>
                </c:pt>
                <c:pt idx="654">
                  <c:v>1685.7299800000001</c:v>
                </c:pt>
                <c:pt idx="655">
                  <c:v>1632.969971</c:v>
                </c:pt>
                <c:pt idx="656">
                  <c:v>1681.5500489999999</c:v>
                </c:pt>
                <c:pt idx="657">
                  <c:v>1756.540039</c:v>
                </c:pt>
                <c:pt idx="658">
                  <c:v>1805.8100589999999</c:v>
                </c:pt>
                <c:pt idx="659">
                  <c:v>1848.3599850000001</c:v>
                </c:pt>
                <c:pt idx="660">
                  <c:v>1782.589966</c:v>
                </c:pt>
                <c:pt idx="661">
                  <c:v>1859.4499510000001</c:v>
                </c:pt>
                <c:pt idx="662">
                  <c:v>1872.339966</c:v>
                </c:pt>
                <c:pt idx="663">
                  <c:v>1883.9499510000001</c:v>
                </c:pt>
                <c:pt idx="664">
                  <c:v>1923.5699460000001</c:v>
                </c:pt>
                <c:pt idx="665">
                  <c:v>1960.2299800000001</c:v>
                </c:pt>
                <c:pt idx="666">
                  <c:v>1930.670044</c:v>
                </c:pt>
                <c:pt idx="667">
                  <c:v>2003.369995</c:v>
                </c:pt>
                <c:pt idx="668">
                  <c:v>1972.290039</c:v>
                </c:pt>
                <c:pt idx="669">
                  <c:v>2018.0500489999999</c:v>
                </c:pt>
                <c:pt idx="670">
                  <c:v>2067.5600589999999</c:v>
                </c:pt>
                <c:pt idx="671">
                  <c:v>2058.8999020000001</c:v>
                </c:pt>
                <c:pt idx="672">
                  <c:v>1994.98999</c:v>
                </c:pt>
                <c:pt idx="673">
                  <c:v>2104.5</c:v>
                </c:pt>
                <c:pt idx="674">
                  <c:v>2067.889893</c:v>
                </c:pt>
                <c:pt idx="675">
                  <c:v>2085.51001</c:v>
                </c:pt>
                <c:pt idx="676">
                  <c:v>2107.389893</c:v>
                </c:pt>
                <c:pt idx="677">
                  <c:v>2063.110107</c:v>
                </c:pt>
                <c:pt idx="678">
                  <c:v>2103.8400879999999</c:v>
                </c:pt>
                <c:pt idx="679">
                  <c:v>1972.1800539999999</c:v>
                </c:pt>
                <c:pt idx="680">
                  <c:v>1920.030029</c:v>
                </c:pt>
                <c:pt idx="681">
                  <c:v>2079.360107</c:v>
                </c:pt>
                <c:pt idx="682">
                  <c:v>2080.4099120000001</c:v>
                </c:pt>
                <c:pt idx="683">
                  <c:v>2043.9399410000001</c:v>
                </c:pt>
                <c:pt idx="684">
                  <c:v>1940.23999</c:v>
                </c:pt>
                <c:pt idx="685">
                  <c:v>1932.2299800000001</c:v>
                </c:pt>
                <c:pt idx="686">
                  <c:v>2059.73999</c:v>
                </c:pt>
                <c:pt idx="687">
                  <c:v>2065.3000489999999</c:v>
                </c:pt>
                <c:pt idx="688">
                  <c:v>2096.9499510000001</c:v>
                </c:pt>
                <c:pt idx="689">
                  <c:v>2098.860107</c:v>
                </c:pt>
                <c:pt idx="690">
                  <c:v>2173.6000979999999</c:v>
                </c:pt>
                <c:pt idx="691">
                  <c:v>2170.9499510000001</c:v>
                </c:pt>
                <c:pt idx="692">
                  <c:v>2168.2700199999999</c:v>
                </c:pt>
                <c:pt idx="693">
                  <c:v>2126.1499020000001</c:v>
                </c:pt>
                <c:pt idx="694">
                  <c:v>2198.8100589999999</c:v>
                </c:pt>
                <c:pt idx="695">
                  <c:v>2238.830078</c:v>
                </c:pt>
                <c:pt idx="696">
                  <c:v>2278.8701169999999</c:v>
                </c:pt>
                <c:pt idx="697">
                  <c:v>2363.639893</c:v>
                </c:pt>
                <c:pt idx="698">
                  <c:v>2362.719971</c:v>
                </c:pt>
                <c:pt idx="699">
                  <c:v>2384.1999510000001</c:v>
                </c:pt>
                <c:pt idx="700">
                  <c:v>2411.8000489999999</c:v>
                </c:pt>
                <c:pt idx="701">
                  <c:v>2423.4099120000001</c:v>
                </c:pt>
                <c:pt idx="702">
                  <c:v>2470.3000489999999</c:v>
                </c:pt>
                <c:pt idx="703">
                  <c:v>2471.6499020000001</c:v>
                </c:pt>
                <c:pt idx="704">
                  <c:v>2519.360107</c:v>
                </c:pt>
                <c:pt idx="705">
                  <c:v>2575.26001</c:v>
                </c:pt>
                <c:pt idx="706">
                  <c:v>2584.8400879999999</c:v>
                </c:pt>
                <c:pt idx="707">
                  <c:v>2673.610107</c:v>
                </c:pt>
                <c:pt idx="708">
                  <c:v>2823.8100589999999</c:v>
                </c:pt>
                <c:pt idx="709">
                  <c:v>2713.830078</c:v>
                </c:pt>
                <c:pt idx="710">
                  <c:v>2640.8701169999999</c:v>
                </c:pt>
                <c:pt idx="711">
                  <c:v>2648.0500489999999</c:v>
                </c:pt>
                <c:pt idx="712">
                  <c:v>2705.2700199999999</c:v>
                </c:pt>
                <c:pt idx="713">
                  <c:v>2718.3701169999999</c:v>
                </c:pt>
                <c:pt idx="714">
                  <c:v>2816.290039</c:v>
                </c:pt>
                <c:pt idx="715">
                  <c:v>2901.5200199999999</c:v>
                </c:pt>
                <c:pt idx="716">
                  <c:v>2913.9799800000001</c:v>
                </c:pt>
                <c:pt idx="717">
                  <c:v>2711.73999</c:v>
                </c:pt>
                <c:pt idx="718">
                  <c:v>2760.169922</c:v>
                </c:pt>
                <c:pt idx="719">
                  <c:v>2506.8500979999999</c:v>
                </c:pt>
                <c:pt idx="720">
                  <c:v>2704.1</c:v>
                </c:pt>
                <c:pt idx="721">
                  <c:v>2784.49</c:v>
                </c:pt>
                <c:pt idx="722">
                  <c:v>2834.4</c:v>
                </c:pt>
                <c:pt idx="723">
                  <c:v>2945.83</c:v>
                </c:pt>
                <c:pt idx="724">
                  <c:v>2752.06</c:v>
                </c:pt>
                <c:pt idx="725">
                  <c:v>2941.76</c:v>
                </c:pt>
                <c:pt idx="726">
                  <c:v>2980.38</c:v>
                </c:pt>
                <c:pt idx="727">
                  <c:v>2926.46</c:v>
                </c:pt>
                <c:pt idx="728">
                  <c:v>2976.74</c:v>
                </c:pt>
                <c:pt idx="729">
                  <c:v>3037.56</c:v>
                </c:pt>
                <c:pt idx="730">
                  <c:v>3140.98</c:v>
                </c:pt>
                <c:pt idx="731">
                  <c:v>3230.78</c:v>
                </c:pt>
                <c:pt idx="732">
                  <c:v>3225.52</c:v>
                </c:pt>
                <c:pt idx="733">
                  <c:v>2954.22</c:v>
                </c:pt>
                <c:pt idx="734">
                  <c:v>2584.59</c:v>
                </c:pt>
                <c:pt idx="735">
                  <c:v>2912.43</c:v>
                </c:pt>
                <c:pt idx="736">
                  <c:v>3044.31</c:v>
                </c:pt>
                <c:pt idx="737">
                  <c:v>3100.29</c:v>
                </c:pt>
                <c:pt idx="738">
                  <c:v>3271.12</c:v>
                </c:pt>
                <c:pt idx="739">
                  <c:v>3500.31</c:v>
                </c:pt>
                <c:pt idx="740">
                  <c:v>3363</c:v>
                </c:pt>
                <c:pt idx="741">
                  <c:v>3269.96</c:v>
                </c:pt>
                <c:pt idx="742">
                  <c:v>3621.63</c:v>
                </c:pt>
                <c:pt idx="743">
                  <c:v>3756.07</c:v>
                </c:pt>
                <c:pt idx="744">
                  <c:v>3714.24</c:v>
                </c:pt>
                <c:pt idx="745">
                  <c:v>3811.15</c:v>
                </c:pt>
                <c:pt idx="746">
                  <c:v>3972.89</c:v>
                </c:pt>
                <c:pt idx="747">
                  <c:v>4181.17</c:v>
                </c:pt>
                <c:pt idx="748">
                  <c:v>4204.1099999999997</c:v>
                </c:pt>
                <c:pt idx="749">
                  <c:v>4297.5</c:v>
                </c:pt>
              </c:numCache>
            </c:numRef>
          </c:val>
          <c:smooth val="0"/>
          <c:extLst>
            <c:ext xmlns:c16="http://schemas.microsoft.com/office/drawing/2014/chart" uri="{C3380CC4-5D6E-409C-BE32-E72D297353CC}">
              <c16:uniqueId val="{00000003-DA1E-45BA-9D04-5BB87622B8E4}"/>
            </c:ext>
          </c:extLst>
        </c:ser>
        <c:dLbls>
          <c:showLegendKey val="0"/>
          <c:showVal val="0"/>
          <c:showCatName val="0"/>
          <c:showSerName val="0"/>
          <c:showPercent val="0"/>
          <c:showBubbleSize val="0"/>
        </c:dLbls>
        <c:marker val="1"/>
        <c:smooth val="0"/>
        <c:axId val="1179634920"/>
        <c:axId val="1179634592"/>
      </c:lineChart>
      <c:dateAx>
        <c:axId val="117950304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471112"/>
        <c:crosses val="autoZero"/>
        <c:auto val="1"/>
        <c:lblOffset val="100"/>
        <c:baseTimeUnit val="months"/>
      </c:dateAx>
      <c:valAx>
        <c:axId val="11784711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503040"/>
        <c:crosses val="autoZero"/>
        <c:crossBetween val="between"/>
      </c:valAx>
      <c:valAx>
        <c:axId val="1179634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634920"/>
        <c:crosses val="max"/>
        <c:crossBetween val="between"/>
      </c:valAx>
      <c:dateAx>
        <c:axId val="1179634920"/>
        <c:scaling>
          <c:orientation val="minMax"/>
        </c:scaling>
        <c:delete val="1"/>
        <c:axPos val="b"/>
        <c:numFmt formatCode="m/d/yy" sourceLinked="1"/>
        <c:majorTickMark val="out"/>
        <c:minorTickMark val="none"/>
        <c:tickLblPos val="nextTo"/>
        <c:crossAx val="1179634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8465-43AA-9A79-7B39C122C73A}"/>
            </c:ext>
          </c:extLst>
        </c:ser>
        <c:ser>
          <c:idx val="1"/>
          <c:order val="1"/>
          <c:tx>
            <c:strRef>
              <c:f>UMCSI!$C$6</c:f>
              <c:strCache>
                <c:ptCount val="1"/>
                <c:pt idx="0">
                  <c:v>Mich Current Index</c:v>
                </c:pt>
              </c:strCache>
            </c:strRef>
          </c:tx>
          <c:spPr>
            <a:ln w="28575" cap="rnd">
              <a:solidFill>
                <a:schemeClr val="accent2"/>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UMCSI!$C$7:$C$266</c:f>
              <c:numCache>
                <c:formatCode>General</c:formatCode>
                <c:ptCount val="26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112.5</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77.900000000000006</c:v>
                </c:pt>
              </c:numCache>
            </c:numRef>
          </c:val>
          <c:smooth val="0"/>
          <c:extLst>
            <c:ext xmlns:c16="http://schemas.microsoft.com/office/drawing/2014/chart" uri="{C3380CC4-5D6E-409C-BE32-E72D297353CC}">
              <c16:uniqueId val="{00000001-8465-43AA-9A79-7B39C122C73A}"/>
            </c:ext>
          </c:extLst>
        </c:ser>
        <c:ser>
          <c:idx val="2"/>
          <c:order val="2"/>
          <c:tx>
            <c:strRef>
              <c:f>UMCSI!$D$6</c:f>
              <c:strCache>
                <c:ptCount val="1"/>
                <c:pt idx="0">
                  <c:v>Mich Expected Index</c:v>
                </c:pt>
              </c:strCache>
            </c:strRef>
          </c:tx>
          <c:spPr>
            <a:ln w="28575" cap="rnd">
              <a:solidFill>
                <a:schemeClr val="accent3"/>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UMCSI!$D$7:$D$266</c:f>
              <c:numCache>
                <c:formatCode>General</c:formatCode>
                <c:ptCount val="26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83.9</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65.2</c:v>
                </c:pt>
              </c:numCache>
            </c:numRef>
          </c:val>
          <c:smooth val="0"/>
          <c:extLst>
            <c:ext xmlns:c16="http://schemas.microsoft.com/office/drawing/2014/chart" uri="{C3380CC4-5D6E-409C-BE32-E72D297353CC}">
              <c16:uniqueId val="{00000002-8465-43AA-9A79-7B39C122C73A}"/>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UMCSI!$C$6</c:f>
              <c:strCache>
                <c:ptCount val="1"/>
                <c:pt idx="0">
                  <c:v>Mich Current Index</c:v>
                </c:pt>
              </c:strCache>
            </c:strRef>
          </c:tx>
          <c:spPr>
            <a:ln w="28575" cap="rnd">
              <a:solidFill>
                <a:schemeClr val="accent2"/>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UMCSI!$C$7:$C$266</c:f>
              <c:numCache>
                <c:formatCode>General</c:formatCode>
                <c:ptCount val="26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112.5</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77.900000000000006</c:v>
                </c:pt>
              </c:numCache>
            </c:numRef>
          </c:val>
          <c:smooth val="0"/>
          <c:extLst>
            <c:ext xmlns:c16="http://schemas.microsoft.com/office/drawing/2014/chart" uri="{C3380CC4-5D6E-409C-BE32-E72D297353CC}">
              <c16:uniqueId val="{00000001-14B4-4BFB-82ED-51F32D0A309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E1F4-4D9F-BCEB-D653F3643FF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UMCSI!$D$6</c:f>
              <c:strCache>
                <c:ptCount val="1"/>
                <c:pt idx="0">
                  <c:v>Mich Expected Index</c:v>
                </c:pt>
              </c:strCache>
            </c:strRef>
          </c:tx>
          <c:spPr>
            <a:ln w="28575" cap="rnd">
              <a:solidFill>
                <a:schemeClr val="accent3"/>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UMCSI!$D$7:$D$266</c:f>
              <c:numCache>
                <c:formatCode>General</c:formatCode>
                <c:ptCount val="26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83.9</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65.2</c:v>
                </c:pt>
              </c:numCache>
            </c:numRef>
          </c:val>
          <c:smooth val="0"/>
          <c:extLst>
            <c:ext xmlns:c16="http://schemas.microsoft.com/office/drawing/2014/chart" uri="{C3380CC4-5D6E-409C-BE32-E72D297353CC}">
              <c16:uniqueId val="{00000002-5F18-4A55-A743-12F348215F3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'UMCSI vs GDP'!$C$6</c:f>
              <c:strCache>
                <c:ptCount val="1"/>
                <c:pt idx="0">
                  <c:v>GDP yoy %</c:v>
                </c:pt>
              </c:strCache>
            </c:strRef>
          </c:tx>
          <c:spPr>
            <a:solidFill>
              <a:schemeClr val="tx1">
                <a:lumMod val="50000"/>
                <a:lumOff val="50000"/>
              </a:schemeClr>
            </a:solidFill>
            <a:ln>
              <a:solidFill>
                <a:srgbClr val="00B0F0"/>
              </a:solidFill>
            </a:ln>
            <a:effectLst/>
          </c:spPr>
          <c:invertIfNegative val="0"/>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GDP'!$C$7:$C$527</c:f>
              <c:numCache>
                <c:formatCode>0.00%</c:formatCode>
                <c:ptCount val="521"/>
                <c:pt idx="0">
                  <c:v>4.1170696113854294E-2</c:v>
                </c:pt>
                <c:pt idx="3">
                  <c:v>6.0781394862534283E-2</c:v>
                </c:pt>
                <c:pt idx="6">
                  <c:v>5.2457764575845327E-2</c:v>
                </c:pt>
                <c:pt idx="9">
                  <c:v>6.6581009539036395E-2</c:v>
                </c:pt>
                <c:pt idx="12">
                  <c:v>6.5098989840264881E-2</c:v>
                </c:pt>
                <c:pt idx="15">
                  <c:v>2.6568700670328314E-2</c:v>
                </c:pt>
                <c:pt idx="18">
                  <c:v>2.3899265371251505E-2</c:v>
                </c:pt>
                <c:pt idx="21">
                  <c:v>1.2845638511357444E-2</c:v>
                </c:pt>
                <c:pt idx="24">
                  <c:v>1.4207812865719037E-2</c:v>
                </c:pt>
                <c:pt idx="27">
                  <c:v>-7.7507055423842392E-3</c:v>
                </c:pt>
                <c:pt idx="30">
                  <c:v>-1.6238086833745138E-2</c:v>
                </c:pt>
                <c:pt idx="33">
                  <c:v>-3.9142026726618538E-4</c:v>
                </c:pt>
                <c:pt idx="36">
                  <c:v>1.5999816310917868E-2</c:v>
                </c:pt>
                <c:pt idx="39">
                  <c:v>2.9686924394553674E-2</c:v>
                </c:pt>
                <c:pt idx="42">
                  <c:v>4.3257573786844139E-2</c:v>
                </c:pt>
                <c:pt idx="45">
                  <c:v>1.2999126004342785E-2</c:v>
                </c:pt>
                <c:pt idx="48">
                  <c:v>-2.1903423068408204E-2</c:v>
                </c:pt>
                <c:pt idx="51">
                  <c:v>-1.0105489634705466E-2</c:v>
                </c:pt>
                <c:pt idx="54">
                  <c:v>-2.5558978151038962E-2</c:v>
                </c:pt>
                <c:pt idx="57">
                  <c:v>-1.4431539363715747E-2</c:v>
                </c:pt>
                <c:pt idx="60">
                  <c:v>1.431460579571856E-2</c:v>
                </c:pt>
                <c:pt idx="63">
                  <c:v>3.2685328593721856E-2</c:v>
                </c:pt>
                <c:pt idx="66">
                  <c:v>5.7371700647417881E-2</c:v>
                </c:pt>
                <c:pt idx="69">
                  <c:v>7.8999814332883903E-2</c:v>
                </c:pt>
                <c:pt idx="72">
                  <c:v>8.5782740465086021E-2</c:v>
                </c:pt>
                <c:pt idx="75">
                  <c:v>7.9967008002006484E-2</c:v>
                </c:pt>
                <c:pt idx="78">
                  <c:v>6.900836952300847E-2</c:v>
                </c:pt>
                <c:pt idx="81">
                  <c:v>5.5758033529916554E-2</c:v>
                </c:pt>
                <c:pt idx="84">
                  <c:v>4.5551129297211133E-2</c:v>
                </c:pt>
                <c:pt idx="87">
                  <c:v>3.6842273957041177E-2</c:v>
                </c:pt>
                <c:pt idx="90">
                  <c:v>4.2624575221189398E-2</c:v>
                </c:pt>
                <c:pt idx="93">
                  <c:v>4.1822388026765737E-2</c:v>
                </c:pt>
                <c:pt idx="96">
                  <c:v>4.1455235245001817E-2</c:v>
                </c:pt>
                <c:pt idx="99">
                  <c:v>3.7015325720980791E-2</c:v>
                </c:pt>
                <c:pt idx="102">
                  <c:v>3.1192309544910268E-2</c:v>
                </c:pt>
                <c:pt idx="105">
                  <c:v>2.9081512389265457E-2</c:v>
                </c:pt>
                <c:pt idx="108">
                  <c:v>2.7161342870673687E-2</c:v>
                </c:pt>
                <c:pt idx="111">
                  <c:v>3.3588249573656623E-2</c:v>
                </c:pt>
                <c:pt idx="114">
                  <c:v>3.2672772854671052E-2</c:v>
                </c:pt>
                <c:pt idx="117">
                  <c:v>4.4792977774129314E-2</c:v>
                </c:pt>
                <c:pt idx="120">
                  <c:v>4.24228159614237E-2</c:v>
                </c:pt>
                <c:pt idx="123">
                  <c:v>4.484604620227356E-2</c:v>
                </c:pt>
                <c:pt idx="126">
                  <c:v>4.1928205272430713E-2</c:v>
                </c:pt>
                <c:pt idx="129">
                  <c:v>3.7989037531788027E-2</c:v>
                </c:pt>
                <c:pt idx="132">
                  <c:v>4.3152062015774019E-2</c:v>
                </c:pt>
                <c:pt idx="135">
                  <c:v>3.7482970179445199E-2</c:v>
                </c:pt>
                <c:pt idx="138">
                  <c:v>3.908120567714899E-2</c:v>
                </c:pt>
                <c:pt idx="141">
                  <c:v>2.7438111777549921E-2</c:v>
                </c:pt>
                <c:pt idx="144">
                  <c:v>2.8213017007731121E-2</c:v>
                </c:pt>
                <c:pt idx="147">
                  <c:v>2.4127636564784692E-2</c:v>
                </c:pt>
                <c:pt idx="150">
                  <c:v>1.7272143084210042E-2</c:v>
                </c:pt>
                <c:pt idx="153">
                  <c:v>6.0287596757870564E-3</c:v>
                </c:pt>
                <c:pt idx="156">
                  <c:v>-9.501950623666407E-3</c:v>
                </c:pt>
                <c:pt idx="159">
                  <c:v>-5.388378142790304E-3</c:v>
                </c:pt>
                <c:pt idx="162">
                  <c:v>-1.0271852984184444E-3</c:v>
                </c:pt>
                <c:pt idx="165">
                  <c:v>1.1664204321365066E-2</c:v>
                </c:pt>
                <c:pt idx="168">
                  <c:v>2.8586525919191606E-2</c:v>
                </c:pt>
                <c:pt idx="171">
                  <c:v>3.1695712595280374E-2</c:v>
                </c:pt>
                <c:pt idx="174">
                  <c:v>3.6653496782618103E-2</c:v>
                </c:pt>
                <c:pt idx="177">
                  <c:v>4.3829767135290125E-2</c:v>
                </c:pt>
                <c:pt idx="180">
                  <c:v>3.3209094782169685E-2</c:v>
                </c:pt>
                <c:pt idx="183">
                  <c:v>2.8078701503631745E-2</c:v>
                </c:pt>
                <c:pt idx="186">
                  <c:v>2.2877065695919026E-2</c:v>
                </c:pt>
                <c:pt idx="189">
                  <c:v>2.6085590436127543E-2</c:v>
                </c:pt>
                <c:pt idx="192">
                  <c:v>3.430940273615609E-2</c:v>
                </c:pt>
                <c:pt idx="195">
                  <c:v>4.2254474939159931E-2</c:v>
                </c:pt>
                <c:pt idx="198">
                  <c:v>4.3366469321262188E-2</c:v>
                </c:pt>
                <c:pt idx="201">
                  <c:v>4.1157564491065148E-2</c:v>
                </c:pt>
                <c:pt idx="204">
                  <c:v>3.4811227923887036E-2</c:v>
                </c:pt>
                <c:pt idx="207">
                  <c:v>2.4022518018026316E-2</c:v>
                </c:pt>
                <c:pt idx="210">
                  <c:v>2.6732241097901271E-2</c:v>
                </c:pt>
                <c:pt idx="213">
                  <c:v>2.1996746355449796E-2</c:v>
                </c:pt>
                <c:pt idx="216">
                  <c:v>2.6011121012811167E-2</c:v>
                </c:pt>
                <c:pt idx="219">
                  <c:v>4.0020614462274562E-2</c:v>
                </c:pt>
                <c:pt idx="222">
                  <c:v>4.049822504514753E-2</c:v>
                </c:pt>
                <c:pt idx="225">
                  <c:v>4.4212151121520417E-2</c:v>
                </c:pt>
                <c:pt idx="228">
                  <c:v>4.3140643984745174E-2</c:v>
                </c:pt>
                <c:pt idx="231">
                  <c:v>4.3080662668359818E-2</c:v>
                </c:pt>
                <c:pt idx="234">
                  <c:v>4.6738859307256304E-2</c:v>
                </c:pt>
                <c:pt idx="237">
                  <c:v>4.4878594353207076E-2</c:v>
                </c:pt>
                <c:pt idx="240">
                  <c:v>4.8552862413130518E-2</c:v>
                </c:pt>
                <c:pt idx="243">
                  <c:v>4.0959674731917743E-2</c:v>
                </c:pt>
                <c:pt idx="246">
                  <c:v>4.0977351563013784E-2</c:v>
                </c:pt>
                <c:pt idx="249">
                  <c:v>4.8791107562503447E-2</c:v>
                </c:pt>
                <c:pt idx="252">
                  <c:v>4.8240665571038822E-2</c:v>
                </c:pt>
                <c:pt idx="255">
                  <c:v>4.6613675126645139E-2</c:v>
                </c:pt>
                <c:pt idx="258">
                  <c:v>4.7203872038918931E-2</c:v>
                </c:pt>
                <c:pt idx="261">
                  <c:v>4.8066493041425962E-2</c:v>
                </c:pt>
                <c:pt idx="264">
                  <c:v>4.199578289410727E-2</c:v>
                </c:pt>
                <c:pt idx="267">
                  <c:v>5.2977375076148039E-2</c:v>
                </c:pt>
                <c:pt idx="270">
                  <c:v>4.0753302004322221E-2</c:v>
                </c:pt>
                <c:pt idx="273">
                  <c:v>2.9734826997560696E-2</c:v>
                </c:pt>
                <c:pt idx="276">
                  <c:v>2.3097095761363286E-2</c:v>
                </c:pt>
                <c:pt idx="279">
                  <c:v>1.0572423861634371E-2</c:v>
                </c:pt>
                <c:pt idx="282">
                  <c:v>5.035884805301742E-3</c:v>
                </c:pt>
                <c:pt idx="285">
                  <c:v>1.534858473726491E-3</c:v>
                </c:pt>
                <c:pt idx="288">
                  <c:v>1.3182794121317213E-2</c:v>
                </c:pt>
                <c:pt idx="291">
                  <c:v>1.3396106341180535E-2</c:v>
                </c:pt>
                <c:pt idx="294">
                  <c:v>2.2143660477966304E-2</c:v>
                </c:pt>
                <c:pt idx="297">
                  <c:v>2.0945407221023796E-2</c:v>
                </c:pt>
                <c:pt idx="300">
                  <c:v>1.7709260624130696E-2</c:v>
                </c:pt>
                <c:pt idx="303">
                  <c:v>2.0284012229569721E-2</c:v>
                </c:pt>
                <c:pt idx="306">
                  <c:v>3.3018069338085973E-2</c:v>
                </c:pt>
                <c:pt idx="309">
                  <c:v>4.3263634159134756E-2</c:v>
                </c:pt>
                <c:pt idx="312">
                  <c:v>4.304555592447934E-2</c:v>
                </c:pt>
                <c:pt idx="315">
                  <c:v>4.2030192539120853E-2</c:v>
                </c:pt>
                <c:pt idx="318">
                  <c:v>3.4315945293957352E-2</c:v>
                </c:pt>
                <c:pt idx="321">
                  <c:v>3.2817945028310813E-2</c:v>
                </c:pt>
                <c:pt idx="324">
                  <c:v>3.8706793481566561E-2</c:v>
                </c:pt>
                <c:pt idx="327">
                  <c:v>3.5608931295200826E-2</c:v>
                </c:pt>
                <c:pt idx="330">
                  <c:v>3.5054999023849572E-2</c:v>
                </c:pt>
                <c:pt idx="333">
                  <c:v>3.1261114057367735E-2</c:v>
                </c:pt>
                <c:pt idx="336">
                  <c:v>3.3538948585265092E-2</c:v>
                </c:pt>
                <c:pt idx="339">
                  <c:v>3.119473048862852E-2</c:v>
                </c:pt>
                <c:pt idx="342">
                  <c:v>2.3665022848568428E-2</c:v>
                </c:pt>
                <c:pt idx="345">
                  <c:v>2.5907044570183974E-2</c:v>
                </c:pt>
                <c:pt idx="348">
                  <c:v>1.4822926220208159E-2</c:v>
                </c:pt>
                <c:pt idx="351">
                  <c:v>1.8256902946243766E-2</c:v>
                </c:pt>
                <c:pt idx="354">
                  <c:v>2.2208131763507111E-2</c:v>
                </c:pt>
                <c:pt idx="357">
                  <c:v>1.9734775241238147E-2</c:v>
                </c:pt>
                <c:pt idx="360">
                  <c:v>1.1492366262432467E-2</c:v>
                </c:pt>
                <c:pt idx="363">
                  <c:v>1.0924276179985013E-2</c:v>
                </c:pt>
                <c:pt idx="366">
                  <c:v>1.876587200219146E-5</c:v>
                </c:pt>
                <c:pt idx="369">
                  <c:v>-2.7530827846549893E-2</c:v>
                </c:pt>
                <c:pt idx="372">
                  <c:v>-3.2890715516301232E-2</c:v>
                </c:pt>
                <c:pt idx="375">
                  <c:v>-3.9244471349849222E-2</c:v>
                </c:pt>
                <c:pt idx="378">
                  <c:v>-3.0497799455570112E-2</c:v>
                </c:pt>
                <c:pt idx="381">
                  <c:v>1.8287415594975698E-3</c:v>
                </c:pt>
                <c:pt idx="384">
                  <c:v>1.7102535375568915E-2</c:v>
                </c:pt>
                <c:pt idx="387">
                  <c:v>2.7960666618343167E-2</c:v>
                </c:pt>
                <c:pt idx="390">
                  <c:v>3.1782075474306767E-2</c:v>
                </c:pt>
                <c:pt idx="393">
                  <c:v>2.5694549994536298E-2</c:v>
                </c:pt>
                <c:pt idx="396">
                  <c:v>1.9306273148906504E-2</c:v>
                </c:pt>
                <c:pt idx="399">
                  <c:v>1.7215030625217995E-2</c:v>
                </c:pt>
                <c:pt idx="402">
                  <c:v>9.4903849657161834E-3</c:v>
                </c:pt>
                <c:pt idx="405">
                  <c:v>1.6093456608864725E-2</c:v>
                </c:pt>
                <c:pt idx="408">
                  <c:v>2.6517566557714759E-2</c:v>
                </c:pt>
                <c:pt idx="411">
                  <c:v>2.3615085810537968E-2</c:v>
                </c:pt>
                <c:pt idx="414">
                  <c:v>2.528124545690132E-2</c:v>
                </c:pt>
                <c:pt idx="417">
                  <c:v>1.4685667872627999E-2</c:v>
                </c:pt>
                <c:pt idx="420">
                  <c:v>1.5719476053010734E-2</c:v>
                </c:pt>
                <c:pt idx="423">
                  <c:v>1.2616546391348423E-2</c:v>
                </c:pt>
                <c:pt idx="426">
                  <c:v>1.9174180691829863E-2</c:v>
                </c:pt>
                <c:pt idx="429">
                  <c:v>2.6141227446924854E-2</c:v>
                </c:pt>
                <c:pt idx="432">
                  <c:v>1.4257249176644771E-2</c:v>
                </c:pt>
                <c:pt idx="435">
                  <c:v>2.6720123780876529E-2</c:v>
                </c:pt>
                <c:pt idx="438">
                  <c:v>3.1177281686652052E-2</c:v>
                </c:pt>
                <c:pt idx="441">
                  <c:v>2.8768548833451736E-2</c:v>
                </c:pt>
                <c:pt idx="444">
                  <c:v>3.9782048489035673E-2</c:v>
                </c:pt>
                <c:pt idx="447">
                  <c:v>3.3500272393006146E-2</c:v>
                </c:pt>
                <c:pt idx="450">
                  <c:v>2.4410254460905882E-2</c:v>
                </c:pt>
                <c:pt idx="453">
                  <c:v>1.9008532793312233E-2</c:v>
                </c:pt>
                <c:pt idx="456">
                  <c:v>1.616308533949767E-2</c:v>
                </c:pt>
                <c:pt idx="459">
                  <c:v>1.3429417737404956E-2</c:v>
                </c:pt>
                <c:pt idx="462">
                  <c:v>1.556711585067171E-2</c:v>
                </c:pt>
                <c:pt idx="465">
                  <c:v>2.0340660220087192E-2</c:v>
                </c:pt>
                <c:pt idx="468">
                  <c:v>2.0984244373375028E-2</c:v>
                </c:pt>
                <c:pt idx="471">
                  <c:v>2.1635125469282663E-2</c:v>
                </c:pt>
                <c:pt idx="474">
                  <c:v>2.4160260058683734E-2</c:v>
                </c:pt>
                <c:pt idx="477">
                  <c:v>2.7952566368781923E-2</c:v>
                </c:pt>
                <c:pt idx="480">
                  <c:v>2.8618726561004181E-2</c:v>
                </c:pt>
                <c:pt idx="483">
                  <c:v>3.2022943393747109E-2</c:v>
                </c:pt>
                <c:pt idx="486">
                  <c:v>3.1335380435925618E-2</c:v>
                </c:pt>
                <c:pt idx="489">
                  <c:v>2.51649559797197E-2</c:v>
                </c:pt>
                <c:pt idx="492">
                  <c:v>2.6522413673225144E-2</c:v>
                </c:pt>
                <c:pt idx="495">
                  <c:v>2.2845677805866153E-2</c:v>
                </c:pt>
                <c:pt idx="498">
                  <c:v>2.0733347853381667E-2</c:v>
                </c:pt>
                <c:pt idx="501">
                  <c:v>2.3223461297088334E-2</c:v>
                </c:pt>
                <c:pt idx="504">
                  <c:v>3.1926064467315664E-3</c:v>
                </c:pt>
                <c:pt idx="507">
                  <c:v>-9.0327754662195434E-2</c:v>
                </c:pt>
                <c:pt idx="510">
                  <c:v>-2.8483454799102848E-2</c:v>
                </c:pt>
                <c:pt idx="513">
                  <c:v>-2.3866935626070434E-2</c:v>
                </c:pt>
              </c:numCache>
            </c:numRef>
          </c:val>
          <c:extLst>
            <c:ext xmlns:c16="http://schemas.microsoft.com/office/drawing/2014/chart" uri="{C3380CC4-5D6E-409C-BE32-E72D297353CC}">
              <c16:uniqueId val="{00000001-A005-465B-B3C0-A17316051D6A}"/>
            </c:ext>
          </c:extLst>
        </c:ser>
        <c:dLbls>
          <c:showLegendKey val="0"/>
          <c:showVal val="0"/>
          <c:showCatName val="0"/>
          <c:showSerName val="0"/>
          <c:showPercent val="0"/>
          <c:showBubbleSize val="0"/>
        </c:dLbls>
        <c:gapWidth val="219"/>
        <c:axId val="1142538408"/>
        <c:axId val="1142539064"/>
      </c:barChart>
      <c:lineChart>
        <c:grouping val="standard"/>
        <c:varyColors val="0"/>
        <c:ser>
          <c:idx val="0"/>
          <c:order val="0"/>
          <c:tx>
            <c:strRef>
              <c:f>'UMCSI vs GDP'!$B$6</c:f>
              <c:strCache>
                <c:ptCount val="1"/>
                <c:pt idx="0">
                  <c:v>UMCSI</c:v>
                </c:pt>
              </c:strCache>
            </c:strRef>
          </c:tx>
          <c:spPr>
            <a:ln w="28575" cap="rnd">
              <a:solidFill>
                <a:srgbClr val="002060"/>
              </a:solidFill>
              <a:round/>
            </a:ln>
            <a:effectLst/>
          </c:spPr>
          <c:marker>
            <c:symbol val="none"/>
          </c:marker>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GDP'!$B$7:$B$527</c:f>
              <c:numCache>
                <c:formatCode>0.0</c:formatCode>
                <c:ptCount val="521"/>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55.3</c:v>
                </c:pt>
                <c:pt idx="29">
                  <c:v>55.7</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58.7</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59.4</c:v>
                </c:pt>
                <c:pt idx="404">
                  <c:v>59.8</c:v>
                </c:pt>
                <c:pt idx="405">
                  <c:v>60.9</c:v>
                </c:pt>
                <c:pt idx="406">
                  <c:v>64.099999999999994</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95.1</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numCache>
            </c:numRef>
          </c:val>
          <c:smooth val="0"/>
          <c:extLst>
            <c:ext xmlns:c16="http://schemas.microsoft.com/office/drawing/2014/chart" uri="{C3380CC4-5D6E-409C-BE32-E72D297353CC}">
              <c16:uniqueId val="{00000000-A005-465B-B3C0-A17316051D6A}"/>
            </c:ext>
          </c:extLst>
        </c:ser>
        <c:dLbls>
          <c:showLegendKey val="0"/>
          <c:showVal val="0"/>
          <c:showCatName val="0"/>
          <c:showSerName val="0"/>
          <c:showPercent val="0"/>
          <c:showBubbleSize val="0"/>
        </c:dLbls>
        <c:marker val="1"/>
        <c:smooth val="0"/>
        <c:axId val="1142545624"/>
        <c:axId val="1142537096"/>
      </c:lineChart>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37096"/>
        <c:crosses val="autoZero"/>
        <c:auto val="1"/>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valAx>
        <c:axId val="114253906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38408"/>
        <c:scaling>
          <c:orientation val="minMax"/>
        </c:scaling>
        <c:delete val="1"/>
        <c:axPos val="b"/>
        <c:numFmt formatCode="mmm\-yy" sourceLinked="1"/>
        <c:majorTickMark val="out"/>
        <c:minorTickMark val="none"/>
        <c:tickLblPos val="nextTo"/>
        <c:crossAx val="1142539064"/>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UMCSI vs GDP qoq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extLst>
          <c:ext xmlns:c15="http://schemas.microsoft.com/office/drawing/2012/chart" uri="{02D57815-91ED-43cb-92C2-25804820EDAC}">
            <c15:filteredBarSeries>
              <c15:ser>
                <c:idx val="1"/>
                <c:order val="1"/>
                <c:tx>
                  <c:strRef>
                    <c:extLst>
                      <c:ext uri="{02D57815-91ED-43cb-92C2-25804820EDAC}">
                        <c15:formulaRef>
                          <c15:sqref>'UMCSI vs GDP'!$C$6</c15:sqref>
                        </c15:formulaRef>
                      </c:ext>
                    </c:extLst>
                    <c:strCache>
                      <c:ptCount val="1"/>
                      <c:pt idx="0">
                        <c:v>GDP yoy %</c:v>
                      </c:pt>
                    </c:strCache>
                  </c:strRef>
                </c:tx>
                <c:spPr>
                  <a:solidFill>
                    <a:schemeClr val="accent2"/>
                  </a:solidFill>
                  <a:ln>
                    <a:noFill/>
                  </a:ln>
                  <a:effectLst/>
                </c:spPr>
                <c:invertIfNegative val="0"/>
                <c:cat>
                  <c:numRef>
                    <c:extLst>
                      <c:ext uri="{02D57815-91ED-43cb-92C2-25804820EDAC}">
                        <c15:formulaRef>
                          <c15:sqref>'UMCSI vs GDP'!$A$7:$A$527</c15:sqref>
                        </c15:formulaRef>
                      </c:ext>
                    </c:extLst>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extLst>
                      <c:ext uri="{02D57815-91ED-43cb-92C2-25804820EDAC}">
                        <c15:formulaRef>
                          <c15:sqref>'UMCSI vs GDP'!$C$7:$C$527</c15:sqref>
                        </c15:formulaRef>
                      </c:ext>
                    </c:extLst>
                    <c:numCache>
                      <c:formatCode>0.00%</c:formatCode>
                      <c:ptCount val="521"/>
                      <c:pt idx="0">
                        <c:v>4.1170696113854294E-2</c:v>
                      </c:pt>
                      <c:pt idx="3">
                        <c:v>6.0781394862534283E-2</c:v>
                      </c:pt>
                      <c:pt idx="6">
                        <c:v>5.2457764575845327E-2</c:v>
                      </c:pt>
                      <c:pt idx="9">
                        <c:v>6.6581009539036395E-2</c:v>
                      </c:pt>
                      <c:pt idx="12">
                        <c:v>6.5098989840264881E-2</c:v>
                      </c:pt>
                      <c:pt idx="15">
                        <c:v>2.6568700670328314E-2</c:v>
                      </c:pt>
                      <c:pt idx="18">
                        <c:v>2.3899265371251505E-2</c:v>
                      </c:pt>
                      <c:pt idx="21">
                        <c:v>1.2845638511357444E-2</c:v>
                      </c:pt>
                      <c:pt idx="24">
                        <c:v>1.4207812865719037E-2</c:v>
                      </c:pt>
                      <c:pt idx="27">
                        <c:v>-7.7507055423842392E-3</c:v>
                      </c:pt>
                      <c:pt idx="30">
                        <c:v>-1.6238086833745138E-2</c:v>
                      </c:pt>
                      <c:pt idx="33">
                        <c:v>-3.9142026726618538E-4</c:v>
                      </c:pt>
                      <c:pt idx="36">
                        <c:v>1.5999816310917868E-2</c:v>
                      </c:pt>
                      <c:pt idx="39">
                        <c:v>2.9686924394553674E-2</c:v>
                      </c:pt>
                      <c:pt idx="42">
                        <c:v>4.3257573786844139E-2</c:v>
                      </c:pt>
                      <c:pt idx="45">
                        <c:v>1.2999126004342785E-2</c:v>
                      </c:pt>
                      <c:pt idx="48">
                        <c:v>-2.1903423068408204E-2</c:v>
                      </c:pt>
                      <c:pt idx="51">
                        <c:v>-1.0105489634705466E-2</c:v>
                      </c:pt>
                      <c:pt idx="54">
                        <c:v>-2.5558978151038962E-2</c:v>
                      </c:pt>
                      <c:pt idx="57">
                        <c:v>-1.4431539363715747E-2</c:v>
                      </c:pt>
                      <c:pt idx="60">
                        <c:v>1.431460579571856E-2</c:v>
                      </c:pt>
                      <c:pt idx="63">
                        <c:v>3.2685328593721856E-2</c:v>
                      </c:pt>
                      <c:pt idx="66">
                        <c:v>5.7371700647417881E-2</c:v>
                      </c:pt>
                      <c:pt idx="69">
                        <c:v>7.8999814332883903E-2</c:v>
                      </c:pt>
                      <c:pt idx="72">
                        <c:v>8.5782740465086021E-2</c:v>
                      </c:pt>
                      <c:pt idx="75">
                        <c:v>7.9967008002006484E-2</c:v>
                      </c:pt>
                      <c:pt idx="78">
                        <c:v>6.900836952300847E-2</c:v>
                      </c:pt>
                      <c:pt idx="81">
                        <c:v>5.5758033529916554E-2</c:v>
                      </c:pt>
                      <c:pt idx="84">
                        <c:v>4.5551129297211133E-2</c:v>
                      </c:pt>
                      <c:pt idx="87">
                        <c:v>3.6842273957041177E-2</c:v>
                      </c:pt>
                      <c:pt idx="90">
                        <c:v>4.2624575221189398E-2</c:v>
                      </c:pt>
                      <c:pt idx="93">
                        <c:v>4.1822388026765737E-2</c:v>
                      </c:pt>
                      <c:pt idx="96">
                        <c:v>4.1455235245001817E-2</c:v>
                      </c:pt>
                      <c:pt idx="99">
                        <c:v>3.7015325720980791E-2</c:v>
                      </c:pt>
                      <c:pt idx="102">
                        <c:v>3.1192309544910268E-2</c:v>
                      </c:pt>
                      <c:pt idx="105">
                        <c:v>2.9081512389265457E-2</c:v>
                      </c:pt>
                      <c:pt idx="108">
                        <c:v>2.7161342870673687E-2</c:v>
                      </c:pt>
                      <c:pt idx="111">
                        <c:v>3.3588249573656623E-2</c:v>
                      </c:pt>
                      <c:pt idx="114">
                        <c:v>3.2672772854671052E-2</c:v>
                      </c:pt>
                      <c:pt idx="117">
                        <c:v>4.4792977774129314E-2</c:v>
                      </c:pt>
                      <c:pt idx="120">
                        <c:v>4.24228159614237E-2</c:v>
                      </c:pt>
                      <c:pt idx="123">
                        <c:v>4.484604620227356E-2</c:v>
                      </c:pt>
                      <c:pt idx="126">
                        <c:v>4.1928205272430713E-2</c:v>
                      </c:pt>
                      <c:pt idx="129">
                        <c:v>3.7989037531788027E-2</c:v>
                      </c:pt>
                      <c:pt idx="132">
                        <c:v>4.3152062015774019E-2</c:v>
                      </c:pt>
                      <c:pt idx="135">
                        <c:v>3.7482970179445199E-2</c:v>
                      </c:pt>
                      <c:pt idx="138">
                        <c:v>3.908120567714899E-2</c:v>
                      </c:pt>
                      <c:pt idx="141">
                        <c:v>2.7438111777549921E-2</c:v>
                      </c:pt>
                      <c:pt idx="144">
                        <c:v>2.8213017007731121E-2</c:v>
                      </c:pt>
                      <c:pt idx="147">
                        <c:v>2.4127636564784692E-2</c:v>
                      </c:pt>
                      <c:pt idx="150">
                        <c:v>1.7272143084210042E-2</c:v>
                      </c:pt>
                      <c:pt idx="153">
                        <c:v>6.0287596757870564E-3</c:v>
                      </c:pt>
                      <c:pt idx="156">
                        <c:v>-9.501950623666407E-3</c:v>
                      </c:pt>
                      <c:pt idx="159">
                        <c:v>-5.388378142790304E-3</c:v>
                      </c:pt>
                      <c:pt idx="162">
                        <c:v>-1.0271852984184444E-3</c:v>
                      </c:pt>
                      <c:pt idx="165">
                        <c:v>1.1664204321365066E-2</c:v>
                      </c:pt>
                      <c:pt idx="168">
                        <c:v>2.8586525919191606E-2</c:v>
                      </c:pt>
                      <c:pt idx="171">
                        <c:v>3.1695712595280374E-2</c:v>
                      </c:pt>
                      <c:pt idx="174">
                        <c:v>3.6653496782618103E-2</c:v>
                      </c:pt>
                      <c:pt idx="177">
                        <c:v>4.3829767135290125E-2</c:v>
                      </c:pt>
                      <c:pt idx="180">
                        <c:v>3.3209094782169685E-2</c:v>
                      </c:pt>
                      <c:pt idx="183">
                        <c:v>2.8078701503631745E-2</c:v>
                      </c:pt>
                      <c:pt idx="186">
                        <c:v>2.2877065695919026E-2</c:v>
                      </c:pt>
                      <c:pt idx="189">
                        <c:v>2.6085590436127543E-2</c:v>
                      </c:pt>
                      <c:pt idx="192">
                        <c:v>3.430940273615609E-2</c:v>
                      </c:pt>
                      <c:pt idx="195">
                        <c:v>4.2254474939159931E-2</c:v>
                      </c:pt>
                      <c:pt idx="198">
                        <c:v>4.3366469321262188E-2</c:v>
                      </c:pt>
                      <c:pt idx="201">
                        <c:v>4.1157564491065148E-2</c:v>
                      </c:pt>
                      <c:pt idx="204">
                        <c:v>3.4811227923887036E-2</c:v>
                      </c:pt>
                      <c:pt idx="207">
                        <c:v>2.4022518018026316E-2</c:v>
                      </c:pt>
                      <c:pt idx="210">
                        <c:v>2.6732241097901271E-2</c:v>
                      </c:pt>
                      <c:pt idx="213">
                        <c:v>2.1996746355449796E-2</c:v>
                      </c:pt>
                      <c:pt idx="216">
                        <c:v>2.6011121012811167E-2</c:v>
                      </c:pt>
                      <c:pt idx="219">
                        <c:v>4.0020614462274562E-2</c:v>
                      </c:pt>
                      <c:pt idx="222">
                        <c:v>4.049822504514753E-2</c:v>
                      </c:pt>
                      <c:pt idx="225">
                        <c:v>4.4212151121520417E-2</c:v>
                      </c:pt>
                      <c:pt idx="228">
                        <c:v>4.3140643984745174E-2</c:v>
                      </c:pt>
                      <c:pt idx="231">
                        <c:v>4.3080662668359818E-2</c:v>
                      </c:pt>
                      <c:pt idx="234">
                        <c:v>4.6738859307256304E-2</c:v>
                      </c:pt>
                      <c:pt idx="237">
                        <c:v>4.4878594353207076E-2</c:v>
                      </c:pt>
                      <c:pt idx="240">
                        <c:v>4.8552862413130518E-2</c:v>
                      </c:pt>
                      <c:pt idx="243">
                        <c:v>4.0959674731917743E-2</c:v>
                      </c:pt>
                      <c:pt idx="246">
                        <c:v>4.0977351563013784E-2</c:v>
                      </c:pt>
                      <c:pt idx="249">
                        <c:v>4.8791107562503447E-2</c:v>
                      </c:pt>
                      <c:pt idx="252">
                        <c:v>4.8240665571038822E-2</c:v>
                      </c:pt>
                      <c:pt idx="255">
                        <c:v>4.6613675126645139E-2</c:v>
                      </c:pt>
                      <c:pt idx="258">
                        <c:v>4.7203872038918931E-2</c:v>
                      </c:pt>
                      <c:pt idx="261">
                        <c:v>4.8066493041425962E-2</c:v>
                      </c:pt>
                      <c:pt idx="264">
                        <c:v>4.199578289410727E-2</c:v>
                      </c:pt>
                      <c:pt idx="267">
                        <c:v>5.2977375076148039E-2</c:v>
                      </c:pt>
                      <c:pt idx="270">
                        <c:v>4.0753302004322221E-2</c:v>
                      </c:pt>
                      <c:pt idx="273">
                        <c:v>2.9734826997560696E-2</c:v>
                      </c:pt>
                      <c:pt idx="276">
                        <c:v>2.3097095761363286E-2</c:v>
                      </c:pt>
                      <c:pt idx="279">
                        <c:v>1.0572423861634371E-2</c:v>
                      </c:pt>
                      <c:pt idx="282">
                        <c:v>5.035884805301742E-3</c:v>
                      </c:pt>
                      <c:pt idx="285">
                        <c:v>1.534858473726491E-3</c:v>
                      </c:pt>
                      <c:pt idx="288">
                        <c:v>1.3182794121317213E-2</c:v>
                      </c:pt>
                      <c:pt idx="291">
                        <c:v>1.3396106341180535E-2</c:v>
                      </c:pt>
                      <c:pt idx="294">
                        <c:v>2.2143660477966304E-2</c:v>
                      </c:pt>
                      <c:pt idx="297">
                        <c:v>2.0945407221023796E-2</c:v>
                      </c:pt>
                      <c:pt idx="300">
                        <c:v>1.7709260624130696E-2</c:v>
                      </c:pt>
                      <c:pt idx="303">
                        <c:v>2.0284012229569721E-2</c:v>
                      </c:pt>
                      <c:pt idx="306">
                        <c:v>3.3018069338085973E-2</c:v>
                      </c:pt>
                      <c:pt idx="309">
                        <c:v>4.3263634159134756E-2</c:v>
                      </c:pt>
                      <c:pt idx="312">
                        <c:v>4.304555592447934E-2</c:v>
                      </c:pt>
                      <c:pt idx="315">
                        <c:v>4.2030192539120853E-2</c:v>
                      </c:pt>
                      <c:pt idx="318">
                        <c:v>3.4315945293957352E-2</c:v>
                      </c:pt>
                      <c:pt idx="321">
                        <c:v>3.2817945028310813E-2</c:v>
                      </c:pt>
                      <c:pt idx="324">
                        <c:v>3.8706793481566561E-2</c:v>
                      </c:pt>
                      <c:pt idx="327">
                        <c:v>3.5608931295200826E-2</c:v>
                      </c:pt>
                      <c:pt idx="330">
                        <c:v>3.5054999023849572E-2</c:v>
                      </c:pt>
                      <c:pt idx="333">
                        <c:v>3.1261114057367735E-2</c:v>
                      </c:pt>
                      <c:pt idx="336">
                        <c:v>3.3538948585265092E-2</c:v>
                      </c:pt>
                      <c:pt idx="339">
                        <c:v>3.119473048862852E-2</c:v>
                      </c:pt>
                      <c:pt idx="342">
                        <c:v>2.3665022848568428E-2</c:v>
                      </c:pt>
                      <c:pt idx="345">
                        <c:v>2.5907044570183974E-2</c:v>
                      </c:pt>
                      <c:pt idx="348">
                        <c:v>1.4822926220208159E-2</c:v>
                      </c:pt>
                      <c:pt idx="351">
                        <c:v>1.8256902946243766E-2</c:v>
                      </c:pt>
                      <c:pt idx="354">
                        <c:v>2.2208131763507111E-2</c:v>
                      </c:pt>
                      <c:pt idx="357">
                        <c:v>1.9734775241238147E-2</c:v>
                      </c:pt>
                      <c:pt idx="360">
                        <c:v>1.1492366262432467E-2</c:v>
                      </c:pt>
                      <c:pt idx="363">
                        <c:v>1.0924276179985013E-2</c:v>
                      </c:pt>
                      <c:pt idx="366">
                        <c:v>1.876587200219146E-5</c:v>
                      </c:pt>
                      <c:pt idx="369">
                        <c:v>-2.7530827846549893E-2</c:v>
                      </c:pt>
                      <c:pt idx="372">
                        <c:v>-3.2890715516301232E-2</c:v>
                      </c:pt>
                      <c:pt idx="375">
                        <c:v>-3.9244471349849222E-2</c:v>
                      </c:pt>
                      <c:pt idx="378">
                        <c:v>-3.0497799455570112E-2</c:v>
                      </c:pt>
                      <c:pt idx="381">
                        <c:v>1.8287415594975698E-3</c:v>
                      </c:pt>
                      <c:pt idx="384">
                        <c:v>1.7102535375568915E-2</c:v>
                      </c:pt>
                      <c:pt idx="387">
                        <c:v>2.7960666618343167E-2</c:v>
                      </c:pt>
                      <c:pt idx="390">
                        <c:v>3.1782075474306767E-2</c:v>
                      </c:pt>
                      <c:pt idx="393">
                        <c:v>2.5694549994536298E-2</c:v>
                      </c:pt>
                      <c:pt idx="396">
                        <c:v>1.9306273148906504E-2</c:v>
                      </c:pt>
                      <c:pt idx="399">
                        <c:v>1.7215030625217995E-2</c:v>
                      </c:pt>
                      <c:pt idx="402">
                        <c:v>9.4903849657161834E-3</c:v>
                      </c:pt>
                      <c:pt idx="405">
                        <c:v>1.6093456608864725E-2</c:v>
                      </c:pt>
                      <c:pt idx="408">
                        <c:v>2.6517566557714759E-2</c:v>
                      </c:pt>
                      <c:pt idx="411">
                        <c:v>2.3615085810537968E-2</c:v>
                      </c:pt>
                      <c:pt idx="414">
                        <c:v>2.528124545690132E-2</c:v>
                      </c:pt>
                      <c:pt idx="417">
                        <c:v>1.4685667872627999E-2</c:v>
                      </c:pt>
                      <c:pt idx="420">
                        <c:v>1.5719476053010734E-2</c:v>
                      </c:pt>
                      <c:pt idx="423">
                        <c:v>1.2616546391348423E-2</c:v>
                      </c:pt>
                      <c:pt idx="426">
                        <c:v>1.9174180691829863E-2</c:v>
                      </c:pt>
                      <c:pt idx="429">
                        <c:v>2.6141227446924854E-2</c:v>
                      </c:pt>
                      <c:pt idx="432">
                        <c:v>1.4257249176644771E-2</c:v>
                      </c:pt>
                      <c:pt idx="435">
                        <c:v>2.6720123780876529E-2</c:v>
                      </c:pt>
                      <c:pt idx="438">
                        <c:v>3.1177281686652052E-2</c:v>
                      </c:pt>
                      <c:pt idx="441">
                        <c:v>2.8768548833451736E-2</c:v>
                      </c:pt>
                      <c:pt idx="444">
                        <c:v>3.9782048489035673E-2</c:v>
                      </c:pt>
                      <c:pt idx="447">
                        <c:v>3.3500272393006146E-2</c:v>
                      </c:pt>
                      <c:pt idx="450">
                        <c:v>2.4410254460905882E-2</c:v>
                      </c:pt>
                      <c:pt idx="453">
                        <c:v>1.9008532793312233E-2</c:v>
                      </c:pt>
                      <c:pt idx="456">
                        <c:v>1.616308533949767E-2</c:v>
                      </c:pt>
                      <c:pt idx="459">
                        <c:v>1.3429417737404956E-2</c:v>
                      </c:pt>
                      <c:pt idx="462">
                        <c:v>1.556711585067171E-2</c:v>
                      </c:pt>
                      <c:pt idx="465">
                        <c:v>2.0340660220087192E-2</c:v>
                      </c:pt>
                      <c:pt idx="468">
                        <c:v>2.0984244373375028E-2</c:v>
                      </c:pt>
                      <c:pt idx="471">
                        <c:v>2.1635125469282663E-2</c:v>
                      </c:pt>
                      <c:pt idx="474">
                        <c:v>2.4160260058683734E-2</c:v>
                      </c:pt>
                      <c:pt idx="477">
                        <c:v>2.7952566368781923E-2</c:v>
                      </c:pt>
                      <c:pt idx="480">
                        <c:v>2.8618726561004181E-2</c:v>
                      </c:pt>
                      <c:pt idx="483">
                        <c:v>3.2022943393747109E-2</c:v>
                      </c:pt>
                      <c:pt idx="486">
                        <c:v>3.1335380435925618E-2</c:v>
                      </c:pt>
                      <c:pt idx="489">
                        <c:v>2.51649559797197E-2</c:v>
                      </c:pt>
                      <c:pt idx="492">
                        <c:v>2.6522413673225144E-2</c:v>
                      </c:pt>
                      <c:pt idx="495">
                        <c:v>2.2845677805866153E-2</c:v>
                      </c:pt>
                      <c:pt idx="498">
                        <c:v>2.0733347853381667E-2</c:v>
                      </c:pt>
                      <c:pt idx="501">
                        <c:v>2.3223461297088334E-2</c:v>
                      </c:pt>
                      <c:pt idx="504">
                        <c:v>3.1926064467315664E-3</c:v>
                      </c:pt>
                      <c:pt idx="507">
                        <c:v>-9.0327754662195434E-2</c:v>
                      </c:pt>
                      <c:pt idx="510">
                        <c:v>-2.8483454799102848E-2</c:v>
                      </c:pt>
                      <c:pt idx="513">
                        <c:v>-2.3866935626070434E-2</c:v>
                      </c:pt>
                    </c:numCache>
                  </c:numRef>
                </c:val>
                <c:extLst>
                  <c:ext xmlns:c16="http://schemas.microsoft.com/office/drawing/2014/chart" uri="{C3380CC4-5D6E-409C-BE32-E72D297353CC}">
                    <c16:uniqueId val="{00000001-CC1A-4B6F-91E3-E3F235D0C867}"/>
                  </c:ext>
                </c:extLst>
              </c15:ser>
            </c15:filteredBarSeries>
          </c:ext>
        </c:extLst>
      </c:barChart>
      <c:barChart>
        <c:barDir val="col"/>
        <c:grouping val="clustered"/>
        <c:varyColors val="0"/>
        <c:ser>
          <c:idx val="2"/>
          <c:order val="2"/>
          <c:tx>
            <c:strRef>
              <c:f>'UMCSI vs GDP'!$D$6</c:f>
              <c:strCache>
                <c:ptCount val="1"/>
                <c:pt idx="0">
                  <c:v>GDP q0q %</c:v>
                </c:pt>
              </c:strCache>
            </c:strRef>
          </c:tx>
          <c:spPr>
            <a:solidFill>
              <a:srgbClr val="FFFF00"/>
            </a:solidFill>
            <a:ln>
              <a:solidFill>
                <a:srgbClr val="00B0F0"/>
              </a:solidFill>
            </a:ln>
            <a:effectLst/>
          </c:spPr>
          <c:invertIfNegative val="0"/>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GDP'!$D$7:$D$527</c:f>
              <c:numCache>
                <c:formatCode>0.00%</c:formatCode>
                <c:ptCount val="521"/>
                <c:pt idx="0">
                  <c:v>1.2828361446133085E-2</c:v>
                </c:pt>
                <c:pt idx="3">
                  <c:v>0.16376253346313008</c:v>
                </c:pt>
                <c:pt idx="6">
                  <c:v>4.0831640535800906E-2</c:v>
                </c:pt>
                <c:pt idx="9">
                  <c:v>5.4859639548082706E-2</c:v>
                </c:pt>
                <c:pt idx="12">
                  <c:v>7.2107630438911219E-3</c:v>
                </c:pt>
                <c:pt idx="15">
                  <c:v>4.2840269261061881E-3</c:v>
                </c:pt>
                <c:pt idx="18">
                  <c:v>3.0047699201142253E-2</c:v>
                </c:pt>
                <c:pt idx="21">
                  <c:v>1.0040526181473775E-2</c:v>
                </c:pt>
                <c:pt idx="24">
                  <c:v>1.2640087691029533E-2</c:v>
                </c:pt>
                <c:pt idx="27">
                  <c:v>-7.9906540958594396E-2</c:v>
                </c:pt>
                <c:pt idx="30">
                  <c:v>-4.7454773939663575E-3</c:v>
                </c:pt>
                <c:pt idx="33">
                  <c:v>7.6709837912640744E-2</c:v>
                </c:pt>
                <c:pt idx="36">
                  <c:v>8.0711401793945203E-2</c:v>
                </c:pt>
                <c:pt idx="39">
                  <c:v>-2.9315227061781579E-2</c:v>
                </c:pt>
                <c:pt idx="42">
                  <c:v>4.87683037617479E-2</c:v>
                </c:pt>
                <c:pt idx="45">
                  <c:v>-4.2874738383305133E-2</c:v>
                </c:pt>
                <c:pt idx="48">
                  <c:v>-6.0708468625688017E-2</c:v>
                </c:pt>
                <c:pt idx="51">
                  <c:v>1.8373111963559952E-2</c:v>
                </c:pt>
                <c:pt idx="54">
                  <c:v>-1.5204343643629881E-2</c:v>
                </c:pt>
                <c:pt idx="57">
                  <c:v>1.5986560092400293E-3</c:v>
                </c:pt>
                <c:pt idx="60">
                  <c:v>5.376540169303401E-2</c:v>
                </c:pt>
                <c:pt idx="63">
                  <c:v>9.4178647269882898E-2</c:v>
                </c:pt>
                <c:pt idx="66">
                  <c:v>8.2392632738203853E-2</c:v>
                </c:pt>
                <c:pt idx="69">
                  <c:v>8.609666868991761E-2</c:v>
                </c:pt>
                <c:pt idx="72">
                  <c:v>8.0513483904528282E-2</c:v>
                </c:pt>
                <c:pt idx="75">
                  <c:v>7.0923511810991435E-2</c:v>
                </c:pt>
                <c:pt idx="78">
                  <c:v>3.9123808882684852E-2</c:v>
                </c:pt>
                <c:pt idx="81">
                  <c:v>3.3241018894134111E-2</c:v>
                </c:pt>
                <c:pt idx="84">
                  <c:v>3.9330599036749181E-2</c:v>
                </c:pt>
                <c:pt idx="87">
                  <c:v>3.5686070418164295E-2</c:v>
                </c:pt>
                <c:pt idx="90">
                  <c:v>6.2498538362977252E-2</c:v>
                </c:pt>
                <c:pt idx="93">
                  <c:v>3.0064816624791213E-2</c:v>
                </c:pt>
                <c:pt idx="96">
                  <c:v>3.786627477476312E-2</c:v>
                </c:pt>
                <c:pt idx="99">
                  <c:v>1.813743123624989E-2</c:v>
                </c:pt>
                <c:pt idx="102">
                  <c:v>3.8834356344724874E-2</c:v>
                </c:pt>
                <c:pt idx="105">
                  <c:v>2.1656720168502952E-2</c:v>
                </c:pt>
                <c:pt idx="108">
                  <c:v>3.0141684222216858E-2</c:v>
                </c:pt>
                <c:pt idx="111">
                  <c:v>4.3859365887290336E-2</c:v>
                </c:pt>
                <c:pt idx="114">
                  <c:v>3.5158749981370807E-2</c:v>
                </c:pt>
                <c:pt idx="117">
                  <c:v>7.0471401227784947E-2</c:v>
                </c:pt>
                <c:pt idx="120">
                  <c:v>2.0825746014053514E-2</c:v>
                </c:pt>
                <c:pt idx="123">
                  <c:v>5.3599542046997684E-2</c:v>
                </c:pt>
                <c:pt idx="126">
                  <c:v>2.364394421908167E-2</c:v>
                </c:pt>
                <c:pt idx="129">
                  <c:v>5.4374655151881779E-2</c:v>
                </c:pt>
                <c:pt idx="132">
                  <c:v>4.1288401253875229E-2</c:v>
                </c:pt>
                <c:pt idx="135">
                  <c:v>3.088209469600911E-2</c:v>
                </c:pt>
                <c:pt idx="138">
                  <c:v>2.9966200856858638E-2</c:v>
                </c:pt>
                <c:pt idx="141">
                  <c:v>7.9051981573121655E-3</c:v>
                </c:pt>
                <c:pt idx="144">
                  <c:v>4.4433362054102865E-2</c:v>
                </c:pt>
                <c:pt idx="147">
                  <c:v>1.4595541568659831E-2</c:v>
                </c:pt>
                <c:pt idx="150">
                  <c:v>2.6635733196778144E-3</c:v>
                </c:pt>
                <c:pt idx="153">
                  <c:v>-3.5920913290381828E-2</c:v>
                </c:pt>
                <c:pt idx="156">
                  <c:v>-1.858283512850456E-2</c:v>
                </c:pt>
                <c:pt idx="159">
                  <c:v>3.1555429959438497E-2</c:v>
                </c:pt>
                <c:pt idx="162">
                  <c:v>2.036557575941389E-2</c:v>
                </c:pt>
                <c:pt idx="165">
                  <c:v>1.4012987063876103E-2</c:v>
                </c:pt>
                <c:pt idx="168">
                  <c:v>4.8748707615335229E-2</c:v>
                </c:pt>
                <c:pt idx="171">
                  <c:v>4.4084741056062082E-2</c:v>
                </c:pt>
                <c:pt idx="174">
                  <c:v>4.01207564718431E-2</c:v>
                </c:pt>
                <c:pt idx="177">
                  <c:v>4.2384055549815836E-2</c:v>
                </c:pt>
                <c:pt idx="180">
                  <c:v>6.7128447974853511E-3</c:v>
                </c:pt>
                <c:pt idx="183">
                  <c:v>2.3501103976496962E-2</c:v>
                </c:pt>
                <c:pt idx="186">
                  <c:v>1.9229722425525564E-2</c:v>
                </c:pt>
                <c:pt idx="189">
                  <c:v>5.552457658625265E-2</c:v>
                </c:pt>
                <c:pt idx="192">
                  <c:v>3.9377104883244529E-2</c:v>
                </c:pt>
                <c:pt idx="195">
                  <c:v>5.5313510213932826E-2</c:v>
                </c:pt>
                <c:pt idx="198">
                  <c:v>2.3586404466458655E-2</c:v>
                </c:pt>
                <c:pt idx="201">
                  <c:v>4.6614343518635026E-2</c:v>
                </c:pt>
                <c:pt idx="204">
                  <c:v>1.4265935588543055E-2</c:v>
                </c:pt>
                <c:pt idx="207">
                  <c:v>1.1987145753262096E-2</c:v>
                </c:pt>
                <c:pt idx="210">
                  <c:v>3.44637603753013E-2</c:v>
                </c:pt>
                <c:pt idx="213">
                  <c:v>2.7438737264743107E-2</c:v>
                </c:pt>
                <c:pt idx="216">
                  <c:v>3.0296109139730465E-2</c:v>
                </c:pt>
                <c:pt idx="219">
                  <c:v>6.8401561352754658E-2</c:v>
                </c:pt>
                <c:pt idx="222">
                  <c:v>3.6365304542715471E-2</c:v>
                </c:pt>
                <c:pt idx="225">
                  <c:v>4.2186711927141962E-2</c:v>
                </c:pt>
                <c:pt idx="228">
                  <c:v>2.6073704506984097E-2</c:v>
                </c:pt>
                <c:pt idx="231">
                  <c:v>6.8155847199688369E-2</c:v>
                </c:pt>
                <c:pt idx="234">
                  <c:v>5.0980546690048811E-2</c:v>
                </c:pt>
                <c:pt idx="237">
                  <c:v>3.4797739156115615E-2</c:v>
                </c:pt>
                <c:pt idx="240">
                  <c:v>4.0582576402324211E-2</c:v>
                </c:pt>
                <c:pt idx="243">
                  <c:v>3.754973829079189E-2</c:v>
                </c:pt>
                <c:pt idx="246">
                  <c:v>5.1051936501903761E-2</c:v>
                </c:pt>
                <c:pt idx="249">
                  <c:v>6.6218795386465246E-2</c:v>
                </c:pt>
                <c:pt idx="252">
                  <c:v>3.8399760103665859E-2</c:v>
                </c:pt>
                <c:pt idx="255">
                  <c:v>3.1123132341660531E-2</c:v>
                </c:pt>
                <c:pt idx="258">
                  <c:v>5.3424741420865507E-2</c:v>
                </c:pt>
                <c:pt idx="261">
                  <c:v>6.9736275849260121E-2</c:v>
                </c:pt>
                <c:pt idx="264">
                  <c:v>1.4549117867236783E-2</c:v>
                </c:pt>
                <c:pt idx="267">
                  <c:v>7.5283158534862338E-2</c:v>
                </c:pt>
                <c:pt idx="270">
                  <c:v>5.3529231279185741E-3</c:v>
                </c:pt>
                <c:pt idx="273">
                  <c:v>2.5149346649500526E-2</c:v>
                </c:pt>
                <c:pt idx="276">
                  <c:v>-1.1358403111149551E-2</c:v>
                </c:pt>
                <c:pt idx="279">
                  <c:v>2.3588055037710554E-2</c:v>
                </c:pt>
                <c:pt idx="282">
                  <c:v>-1.649845543534445E-2</c:v>
                </c:pt>
                <c:pt idx="285">
                  <c:v>1.0939447489037635E-2</c:v>
                </c:pt>
                <c:pt idx="288">
                  <c:v>3.5442114795812829E-2</c:v>
                </c:pt>
                <c:pt idx="291">
                  <c:v>2.4450338942639593E-2</c:v>
                </c:pt>
                <c:pt idx="294">
                  <c:v>1.7901791376487619E-2</c:v>
                </c:pt>
                <c:pt idx="297">
                  <c:v>6.207302338938403E-3</c:v>
                </c:pt>
                <c:pt idx="300">
                  <c:v>2.2376013241751203E-2</c:v>
                </c:pt>
                <c:pt idx="303">
                  <c:v>3.4856972886925019E-2</c:v>
                </c:pt>
                <c:pt idx="306">
                  <c:v>6.9678399500041177E-2</c:v>
                </c:pt>
                <c:pt idx="309">
                  <c:v>4.6723726350152983E-2</c:v>
                </c:pt>
                <c:pt idx="312">
                  <c:v>2.1521433250030864E-2</c:v>
                </c:pt>
                <c:pt idx="315">
                  <c:v>3.0833284505320524E-2</c:v>
                </c:pt>
                <c:pt idx="318">
                  <c:v>3.8352696109934081E-2</c:v>
                </c:pt>
                <c:pt idx="321">
                  <c:v>4.0673005276731677E-2</c:v>
                </c:pt>
                <c:pt idx="324">
                  <c:v>4.5019203176393408E-2</c:v>
                </c:pt>
                <c:pt idx="327">
                  <c:v>1.8590669564128914E-2</c:v>
                </c:pt>
                <c:pt idx="330">
                  <c:v>3.6132878440458427E-2</c:v>
                </c:pt>
                <c:pt idx="333">
                  <c:v>2.5498781151969796E-2</c:v>
                </c:pt>
                <c:pt idx="336">
                  <c:v>5.4282731243719295E-2</c:v>
                </c:pt>
                <c:pt idx="339">
                  <c:v>9.380810007620255E-3</c:v>
                </c:pt>
                <c:pt idx="342">
                  <c:v>6.1996732576512503E-3</c:v>
                </c:pt>
                <c:pt idx="345">
                  <c:v>3.4512491791432121E-2</c:v>
                </c:pt>
                <c:pt idx="348">
                  <c:v>9.453050753365444E-3</c:v>
                </c:pt>
                <c:pt idx="351">
                  <c:v>2.311255878871088E-2</c:v>
                </c:pt>
                <c:pt idx="354">
                  <c:v>2.190858157651876E-2</c:v>
                </c:pt>
                <c:pt idx="357">
                  <c:v>2.4536259290961926E-2</c:v>
                </c:pt>
                <c:pt idx="360">
                  <c:v>-2.2790584029767746E-2</c:v>
                </c:pt>
                <c:pt idx="363">
                  <c:v>2.0816028830630717E-2</c:v>
                </c:pt>
                <c:pt idx="366">
                  <c:v>-2.1479017849608706E-2</c:v>
                </c:pt>
                <c:pt idx="369">
                  <c:v>-8.3783507619077713E-2</c:v>
                </c:pt>
                <c:pt idx="372">
                  <c:v>-4.4157179886569198E-2</c:v>
                </c:pt>
                <c:pt idx="375">
                  <c:v>-5.7471620777015398E-3</c:v>
                </c:pt>
                <c:pt idx="378">
                  <c:v>1.4644183433524915E-2</c:v>
                </c:pt>
                <c:pt idx="381">
                  <c:v>4.4664547879113226E-2</c:v>
                </c:pt>
                <c:pt idx="384">
                  <c:v>1.5480250950848484E-2</c:v>
                </c:pt>
                <c:pt idx="387">
                  <c:v>3.7394356501167847E-2</c:v>
                </c:pt>
                <c:pt idx="390">
                  <c:v>2.9816144838429537E-2</c:v>
                </c:pt>
                <c:pt idx="393">
                  <c:v>2.0227751545476291E-2</c:v>
                </c:pt>
                <c:pt idx="396">
                  <c:v>-9.5830184638887594E-3</c:v>
                </c:pt>
                <c:pt idx="399">
                  <c:v>2.8907109738332437E-2</c:v>
                </c:pt>
                <c:pt idx="402">
                  <c:v>-1.1106835912257917E-3</c:v>
                </c:pt>
                <c:pt idx="405">
                  <c:v>4.718401461224575E-2</c:v>
                </c:pt>
                <c:pt idx="408">
                  <c:v>3.1689481124483221E-2</c:v>
                </c:pt>
                <c:pt idx="411">
                  <c:v>1.7319423274066326E-2</c:v>
                </c:pt>
                <c:pt idx="414">
                  <c:v>5.4088648233405756E-3</c:v>
                </c:pt>
                <c:pt idx="417">
                  <c:v>4.5627160089589669E-3</c:v>
                </c:pt>
                <c:pt idx="420">
                  <c:v>3.590044091402711E-2</c:v>
                </c:pt>
                <c:pt idx="423">
                  <c:v>4.9450025132720121E-3</c:v>
                </c:pt>
                <c:pt idx="426">
                  <c:v>3.1706777294290056E-2</c:v>
                </c:pt>
                <c:pt idx="429">
                  <c:v>3.2314316995104342E-2</c:v>
                </c:pt>
                <c:pt idx="432">
                  <c:v>-1.1260344444356418E-2</c:v>
                </c:pt>
                <c:pt idx="435">
                  <c:v>5.5256680977402883E-2</c:v>
                </c:pt>
                <c:pt idx="438">
                  <c:v>4.9738997698089538E-2</c:v>
                </c:pt>
                <c:pt idx="441">
                  <c:v>2.2702505615013635E-2</c:v>
                </c:pt>
                <c:pt idx="444">
                  <c:v>3.1764305059085451E-2</c:v>
                </c:pt>
                <c:pt idx="447">
                  <c:v>2.9985785779977236E-2</c:v>
                </c:pt>
                <c:pt idx="450">
                  <c:v>1.3292010549360134E-2</c:v>
                </c:pt>
                <c:pt idx="453">
                  <c:v>1.3016548202631206E-3</c:v>
                </c:pt>
                <c:pt idx="456">
                  <c:v>2.0288220169540461E-2</c:v>
                </c:pt>
                <c:pt idx="459">
                  <c:v>1.8947017340403383E-2</c:v>
                </c:pt>
                <c:pt idx="462">
                  <c:v>2.1868733208587843E-2</c:v>
                </c:pt>
                <c:pt idx="465">
                  <c:v>2.0260770353534241E-2</c:v>
                </c:pt>
                <c:pt idx="468">
                  <c:v>2.2864861035127859E-2</c:v>
                </c:pt>
                <c:pt idx="471">
                  <c:v>2.1547832488613139E-2</c:v>
                </c:pt>
                <c:pt idx="474">
                  <c:v>3.2009099125706708E-2</c:v>
                </c:pt>
                <c:pt idx="477">
                  <c:v>3.5456379291381124E-2</c:v>
                </c:pt>
                <c:pt idx="480">
                  <c:v>2.55188920498155E-2</c:v>
                </c:pt>
                <c:pt idx="483">
                  <c:v>3.5138376396687043E-2</c:v>
                </c:pt>
                <c:pt idx="486">
                  <c:v>2.9261631374489561E-2</c:v>
                </c:pt>
                <c:pt idx="489">
                  <c:v>1.0897561903360664E-2</c:v>
                </c:pt>
                <c:pt idx="492">
                  <c:v>3.0961395462358876E-2</c:v>
                </c:pt>
                <c:pt idx="495">
                  <c:v>2.0138186098941802E-2</c:v>
                </c:pt>
                <c:pt idx="498">
                  <c:v>2.1035065818897358E-2</c:v>
                </c:pt>
                <c:pt idx="501">
                  <c:v>2.0798192572727192E-2</c:v>
                </c:pt>
                <c:pt idx="504">
                  <c:v>-4.9557632983636801E-2</c:v>
                </c:pt>
                <c:pt idx="507">
                  <c:v>-0.31383181420365103</c:v>
                </c:pt>
                <c:pt idx="510">
                  <c:v>0.3344130589193397</c:v>
                </c:pt>
                <c:pt idx="513">
                  <c:v>4.325252957752701E-2</c:v>
                </c:pt>
              </c:numCache>
            </c:numRef>
          </c:val>
          <c:extLst>
            <c:ext xmlns:c16="http://schemas.microsoft.com/office/drawing/2014/chart" uri="{C3380CC4-5D6E-409C-BE32-E72D297353CC}">
              <c16:uniqueId val="{00000002-CC1A-4B6F-91E3-E3F235D0C867}"/>
            </c:ext>
          </c:extLst>
        </c:ser>
        <c:dLbls>
          <c:showLegendKey val="0"/>
          <c:showVal val="0"/>
          <c:showCatName val="0"/>
          <c:showSerName val="0"/>
          <c:showPercent val="0"/>
          <c:showBubbleSize val="0"/>
        </c:dLbls>
        <c:gapWidth val="219"/>
        <c:axId val="1256160464"/>
        <c:axId val="1256165384"/>
      </c:barChart>
      <c:lineChart>
        <c:grouping val="standard"/>
        <c:varyColors val="0"/>
        <c:ser>
          <c:idx val="0"/>
          <c:order val="0"/>
          <c:tx>
            <c:strRef>
              <c:f>'UMCSI vs GDP'!$B$6</c:f>
              <c:strCache>
                <c:ptCount val="1"/>
                <c:pt idx="0">
                  <c:v>UMCSI</c:v>
                </c:pt>
              </c:strCache>
            </c:strRef>
          </c:tx>
          <c:spPr>
            <a:ln w="28575" cap="rnd">
              <a:solidFill>
                <a:schemeClr val="tx1"/>
              </a:solidFill>
              <a:round/>
            </a:ln>
            <a:effectLst/>
          </c:spPr>
          <c:marker>
            <c:symbol val="none"/>
          </c:marker>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GDP'!$B$7:$B$527</c:f>
              <c:numCache>
                <c:formatCode>0.0</c:formatCode>
                <c:ptCount val="521"/>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55.3</c:v>
                </c:pt>
                <c:pt idx="29">
                  <c:v>55.7</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58.7</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59.4</c:v>
                </c:pt>
                <c:pt idx="404">
                  <c:v>59.8</c:v>
                </c:pt>
                <c:pt idx="405">
                  <c:v>60.9</c:v>
                </c:pt>
                <c:pt idx="406">
                  <c:v>64.099999999999994</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95.1</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numCache>
            </c:numRef>
          </c:val>
          <c:smooth val="0"/>
          <c:extLst>
            <c:ext xmlns:c16="http://schemas.microsoft.com/office/drawing/2014/chart" uri="{C3380CC4-5D6E-409C-BE32-E72D297353CC}">
              <c16:uniqueId val="{00000000-CC1A-4B6F-91E3-E3F235D0C867}"/>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55040"/>
        <c:crosses val="autoZero"/>
        <c:auto val="1"/>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valAx>
        <c:axId val="1256165384"/>
        <c:scaling>
          <c:orientation val="minMax"/>
          <c:max val="0.12000000000000001"/>
          <c:min val="-0.1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13</xdr:col>
      <xdr:colOff>19049</xdr:colOff>
      <xdr:row>1</xdr:row>
      <xdr:rowOff>9525</xdr:rowOff>
    </xdr:from>
    <xdr:to>
      <xdr:col>18</xdr:col>
      <xdr:colOff>552450</xdr:colOff>
      <xdr:row>8</xdr:row>
      <xdr:rowOff>142875</xdr:rowOff>
    </xdr:to>
    <xdr:graphicFrame macro="">
      <xdr:nvGraphicFramePr>
        <xdr:cNvPr id="2" name="Chart 1">
          <a:extLst>
            <a:ext uri="{FF2B5EF4-FFF2-40B4-BE49-F238E27FC236}">
              <a16:creationId xmlns:a16="http://schemas.microsoft.com/office/drawing/2014/main" id="{D558909F-7AD2-46E0-9859-19056CC71E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409575</xdr:colOff>
      <xdr:row>692</xdr:row>
      <xdr:rowOff>38100</xdr:rowOff>
    </xdr:from>
    <xdr:to>
      <xdr:col>14</xdr:col>
      <xdr:colOff>314325</xdr:colOff>
      <xdr:row>706</xdr:row>
      <xdr:rowOff>123825</xdr:rowOff>
    </xdr:to>
    <xdr:graphicFrame macro="">
      <xdr:nvGraphicFramePr>
        <xdr:cNvPr id="3" name="Chart 2">
          <a:extLst>
            <a:ext uri="{FF2B5EF4-FFF2-40B4-BE49-F238E27FC236}">
              <a16:creationId xmlns:a16="http://schemas.microsoft.com/office/drawing/2014/main" id="{5B030399-74D5-4D87-8293-58B3EDC845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381000</xdr:colOff>
      <xdr:row>692</xdr:row>
      <xdr:rowOff>47625</xdr:rowOff>
    </xdr:from>
    <xdr:to>
      <xdr:col>22</xdr:col>
      <xdr:colOff>381000</xdr:colOff>
      <xdr:row>706</xdr:row>
      <xdr:rowOff>142875</xdr:rowOff>
    </xdr:to>
    <xdr:graphicFrame macro="">
      <xdr:nvGraphicFramePr>
        <xdr:cNvPr id="4" name="Chart 3">
          <a:extLst>
            <a:ext uri="{FF2B5EF4-FFF2-40B4-BE49-F238E27FC236}">
              <a16:creationId xmlns:a16="http://schemas.microsoft.com/office/drawing/2014/main" id="{2EC2B72E-A446-45A6-A809-A0625FDB9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314324</xdr:colOff>
      <xdr:row>713</xdr:row>
      <xdr:rowOff>19055</xdr:rowOff>
    </xdr:from>
    <xdr:to>
      <xdr:col>15</xdr:col>
      <xdr:colOff>171449</xdr:colOff>
      <xdr:row>730</xdr:row>
      <xdr:rowOff>9524</xdr:rowOff>
    </xdr:to>
    <xdr:graphicFrame macro="">
      <xdr:nvGraphicFramePr>
        <xdr:cNvPr id="5" name="Chart 4">
          <a:extLst>
            <a:ext uri="{FF2B5EF4-FFF2-40B4-BE49-F238E27FC236}">
              <a16:creationId xmlns:a16="http://schemas.microsoft.com/office/drawing/2014/main" id="{C49C08A4-8E0C-4C6F-836B-D8FC0BE7B6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95249</xdr:colOff>
      <xdr:row>208</xdr:row>
      <xdr:rowOff>57150</xdr:rowOff>
    </xdr:from>
    <xdr:to>
      <xdr:col>14</xdr:col>
      <xdr:colOff>76200</xdr:colOff>
      <xdr:row>225</xdr:row>
      <xdr:rowOff>9526</xdr:rowOff>
    </xdr:to>
    <xdr:graphicFrame macro="">
      <xdr:nvGraphicFramePr>
        <xdr:cNvPr id="4" name="Chart 3">
          <a:extLst>
            <a:ext uri="{FF2B5EF4-FFF2-40B4-BE49-F238E27FC236}">
              <a16:creationId xmlns:a16="http://schemas.microsoft.com/office/drawing/2014/main" id="{D411F163-3C9A-4B10-B0AB-A389FB95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104776</xdr:colOff>
      <xdr:row>226</xdr:row>
      <xdr:rowOff>9525</xdr:rowOff>
    </xdr:from>
    <xdr:to>
      <xdr:col>20</xdr:col>
      <xdr:colOff>200026</xdr:colOff>
      <xdr:row>242</xdr:row>
      <xdr:rowOff>152401</xdr:rowOff>
    </xdr:to>
    <xdr:graphicFrame macro="">
      <xdr:nvGraphicFramePr>
        <xdr:cNvPr id="5" name="Chart 4">
          <a:extLst>
            <a:ext uri="{FF2B5EF4-FFF2-40B4-BE49-F238E27FC236}">
              <a16:creationId xmlns:a16="http://schemas.microsoft.com/office/drawing/2014/main" id="{A40BA35E-0AD2-4048-96BD-0A8A6C97B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514350</xdr:colOff>
      <xdr:row>226</xdr:row>
      <xdr:rowOff>9525</xdr:rowOff>
    </xdr:from>
    <xdr:to>
      <xdr:col>13</xdr:col>
      <xdr:colOff>0</xdr:colOff>
      <xdr:row>242</xdr:row>
      <xdr:rowOff>152401</xdr:rowOff>
    </xdr:to>
    <xdr:graphicFrame macro="">
      <xdr:nvGraphicFramePr>
        <xdr:cNvPr id="6" name="Chart 5">
          <a:extLst>
            <a:ext uri="{FF2B5EF4-FFF2-40B4-BE49-F238E27FC236}">
              <a16:creationId xmlns:a16="http://schemas.microsoft.com/office/drawing/2014/main" id="{59FEB836-7A6B-4EAE-A9CE-22C777C34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342900</xdr:colOff>
      <xdr:row>226</xdr:row>
      <xdr:rowOff>0</xdr:rowOff>
    </xdr:from>
    <xdr:to>
      <xdr:col>27</xdr:col>
      <xdr:colOff>438150</xdr:colOff>
      <xdr:row>242</xdr:row>
      <xdr:rowOff>142876</xdr:rowOff>
    </xdr:to>
    <xdr:graphicFrame macro="">
      <xdr:nvGraphicFramePr>
        <xdr:cNvPr id="7" name="Chart 6">
          <a:extLst>
            <a:ext uri="{FF2B5EF4-FFF2-40B4-BE49-F238E27FC236}">
              <a16:creationId xmlns:a16="http://schemas.microsoft.com/office/drawing/2014/main" id="{69632FD1-FC36-4A52-9E85-C0CA9445B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590550</xdr:colOff>
      <xdr:row>469</xdr:row>
      <xdr:rowOff>76199</xdr:rowOff>
    </xdr:from>
    <xdr:to>
      <xdr:col>13</xdr:col>
      <xdr:colOff>438149</xdr:colOff>
      <xdr:row>489</xdr:row>
      <xdr:rowOff>171450</xdr:rowOff>
    </xdr:to>
    <xdr:graphicFrame macro="">
      <xdr:nvGraphicFramePr>
        <xdr:cNvPr id="2" name="Chart 1">
          <a:extLst>
            <a:ext uri="{FF2B5EF4-FFF2-40B4-BE49-F238E27FC236}">
              <a16:creationId xmlns:a16="http://schemas.microsoft.com/office/drawing/2014/main" id="{3F3AFCD6-C9B0-4437-97C3-D09796F61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490</xdr:row>
      <xdr:rowOff>28581</xdr:rowOff>
    </xdr:from>
    <xdr:to>
      <xdr:col>13</xdr:col>
      <xdr:colOff>200025</xdr:colOff>
      <xdr:row>509</xdr:row>
      <xdr:rowOff>85725</xdr:rowOff>
    </xdr:to>
    <xdr:graphicFrame macro="">
      <xdr:nvGraphicFramePr>
        <xdr:cNvPr id="3" name="Chart 2">
          <a:extLst>
            <a:ext uri="{FF2B5EF4-FFF2-40B4-BE49-F238E27FC236}">
              <a16:creationId xmlns:a16="http://schemas.microsoft.com/office/drawing/2014/main" id="{A1A1D9F9-2A0C-4DD8-A2D2-2B910F76C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3D95F7-757E-4528-8CCA-0926001AB2A0}" name="Table3" displayName="Table3" ref="A9:F759" totalsRowShown="0" headerRowDxfId="22" dataDxfId="21">
  <autoFilter ref="A9:F759" xr:uid="{3C6B6C6F-D3C7-4760-BFBA-00ABB7D161EA}"/>
  <tableColumns count="6">
    <tableColumn id="1" xr3:uid="{179B0522-63D7-4142-B0BE-E555BF842032}" name="Date" dataDxfId="20"/>
    <tableColumn id="2" xr3:uid="{2A08E692-06AE-4C66-826D-BE1FA72EB8A0}" name="Conference Board Leading Indicator" dataDxfId="19"/>
    <tableColumn id="3" xr3:uid="{2E083FE8-73BC-4837-B612-97B8AD6CA264}" name="Var y/y %" dataDxfId="18"/>
    <tableColumn id="4" xr3:uid="{7E6856B3-B926-4410-86E5-479E588DAB7B}" name="GDP y/y %" dataDxfId="17"/>
    <tableColumn id="5" xr3:uid="{B2896DCB-F7E2-43CB-8291-C526CC04DE7F}" name="S&amp;P 500" dataDxfId="16"/>
    <tableColumn id="6" xr3:uid="{8649CFB0-635F-4431-ABD1-19EB6EDC59D2}" name="S&amp;P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1A43CF-9C37-41B6-990D-392AA5F67B61}" name="Table2" displayName="Table2" ref="A6:D266" totalsRowShown="0" headerRowDxfId="14" dataDxfId="12" headerRowBorderDxfId="13">
  <autoFilter ref="A6:D266" xr:uid="{B4B14414-996F-46EA-AE22-A605380F6011}"/>
  <sortState xmlns:xlrd2="http://schemas.microsoft.com/office/spreadsheetml/2017/richdata2" ref="A7:D224">
    <sortCondition ref="A7:A224"/>
  </sortState>
  <tableColumns count="4">
    <tableColumn id="1" xr3:uid="{50EE3AAA-B369-4183-8BF4-E14A6BD05C7E}" name="Date" dataDxfId="11"/>
    <tableColumn id="2" xr3:uid="{49C633C8-7C01-45B8-82EC-CB82E898F8F4}" name="UMCSI" dataDxfId="10"/>
    <tableColumn id="3" xr3:uid="{AB3FA2FB-1A08-4C78-859B-38854F6702DE}" name="Mich Current Index" dataDxfId="9"/>
    <tableColumn id="4" xr3:uid="{E7174F84-F1FF-4908-9C9F-28C8EF75CCDC}" name="Mich Expected Index"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A7328E-E689-4FF6-8646-A67834970FD5}" name="Table48" displayName="Table48" ref="A6:D527" totalsRowShown="0" headerRowDxfId="7" dataDxfId="5" headerRowBorderDxfId="6" tableBorderDxfId="4">
  <autoFilter ref="A6:D527" xr:uid="{8C893481-5C70-4AC2-B2D2-BCD30686BADC}"/>
  <sortState xmlns:xlrd2="http://schemas.microsoft.com/office/spreadsheetml/2017/richdata2" ref="A7:D385">
    <sortCondition ref="B15:B512"/>
  </sortState>
  <tableColumns count="4">
    <tableColumn id="1" xr3:uid="{2D4EB77F-2CF3-43DE-A08B-E1FE93076E31}" name="Date" dataDxfId="3"/>
    <tableColumn id="2" xr3:uid="{B3575B23-E357-48A1-B321-018ED608B301}" name="UMCSI" dataDxfId="2"/>
    <tableColumn id="3" xr3:uid="{624FEE48-7622-4E2D-B759-DD3629275076}" name="GDP yoy %" dataDxfId="1"/>
    <tableColumn id="4" xr3:uid="{5523B813-69EB-49EF-826A-B151BE42599F}" name="GDP q0q %"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ww.conference-board.org/data/bcicountry.cfm?cid=1"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262A3-5ECA-4EF6-B6B1-61C64D02F37D}">
  <sheetPr>
    <tabColor rgb="FFFFFF00"/>
  </sheetPr>
  <dimension ref="B1:S23"/>
  <sheetViews>
    <sheetView zoomScale="160" zoomScaleNormal="160" workbookViewId="0">
      <selection activeCell="P41" sqref="P41"/>
    </sheetView>
  </sheetViews>
  <sheetFormatPr baseColWidth="10" defaultColWidth="9.1640625" defaultRowHeight="15" x14ac:dyDescent="0.2"/>
  <cols>
    <col min="1" max="1" width="9.1640625" style="2"/>
    <col min="2" max="10" width="12.83203125" style="2" customWidth="1"/>
    <col min="11" max="13" width="3.33203125" style="2" customWidth="1"/>
    <col min="14" max="14" width="21.33203125" style="2" customWidth="1"/>
    <col min="15" max="16" width="10.6640625" style="2" bestFit="1" customWidth="1"/>
    <col min="17" max="16384" width="9.1640625" style="2"/>
  </cols>
  <sheetData>
    <row r="1" spans="2:19" x14ac:dyDescent="0.2">
      <c r="B1" s="58"/>
      <c r="C1" s="58"/>
      <c r="D1" s="58"/>
      <c r="E1" s="58"/>
      <c r="F1" s="58"/>
      <c r="G1" s="58"/>
      <c r="H1" s="58"/>
      <c r="I1" s="58"/>
      <c r="J1" s="58"/>
    </row>
    <row r="2" spans="2:19" ht="16" thickBot="1" x14ac:dyDescent="0.25">
      <c r="B2" s="59"/>
      <c r="C2" s="59"/>
      <c r="D2" s="59"/>
      <c r="E2" s="59"/>
      <c r="F2" s="59"/>
      <c r="G2" s="59"/>
      <c r="H2" s="59"/>
      <c r="I2" s="59"/>
      <c r="J2" s="59"/>
    </row>
    <row r="3" spans="2:19" ht="16" thickBot="1" x14ac:dyDescent="0.25">
      <c r="B3" s="60" t="s">
        <v>11</v>
      </c>
      <c r="C3" s="61"/>
      <c r="D3" s="61"/>
      <c r="E3" s="61"/>
      <c r="F3" s="61"/>
      <c r="G3" s="61"/>
      <c r="H3" s="61"/>
      <c r="I3" s="61"/>
      <c r="J3" s="62"/>
    </row>
    <row r="5" spans="2:19" x14ac:dyDescent="0.2">
      <c r="B5" s="63" t="s">
        <v>7</v>
      </c>
      <c r="C5" s="64"/>
      <c r="D5" s="64"/>
      <c r="E5" s="64"/>
      <c r="F5" s="64"/>
      <c r="G5" s="64"/>
      <c r="H5" s="64"/>
      <c r="I5" s="64"/>
      <c r="J5" s="65"/>
    </row>
    <row r="7" spans="2:19" ht="106.5" customHeight="1" x14ac:dyDescent="0.2">
      <c r="B7" s="66" t="s">
        <v>15</v>
      </c>
      <c r="C7" s="67"/>
      <c r="D7" s="67"/>
      <c r="E7" s="67"/>
      <c r="F7" s="67"/>
      <c r="G7" s="67"/>
      <c r="H7" s="67"/>
      <c r="I7" s="67"/>
      <c r="J7" s="67"/>
      <c r="P7" s="3"/>
    </row>
    <row r="8" spans="2:19" ht="33.75" customHeight="1" x14ac:dyDescent="0.2">
      <c r="B8" s="68" t="s">
        <v>16</v>
      </c>
      <c r="C8" s="69"/>
      <c r="D8" s="69"/>
      <c r="E8" s="69"/>
      <c r="F8" s="69"/>
      <c r="G8" s="69"/>
      <c r="H8" s="69"/>
      <c r="I8" s="69"/>
      <c r="J8" s="69"/>
    </row>
    <row r="9" spans="2:19" x14ac:dyDescent="0.2">
      <c r="B9" s="10"/>
      <c r="C9" s="10"/>
      <c r="D9" s="10"/>
      <c r="E9" s="10"/>
    </row>
    <row r="10" spans="2:19" x14ac:dyDescent="0.2">
      <c r="B10" s="63" t="s">
        <v>8</v>
      </c>
      <c r="C10" s="75"/>
      <c r="D10" s="75"/>
      <c r="E10" s="75"/>
      <c r="F10" s="75"/>
      <c r="G10" s="75"/>
      <c r="H10" s="75"/>
      <c r="I10" s="75"/>
      <c r="J10" s="76"/>
      <c r="N10" s="63" t="s">
        <v>31</v>
      </c>
      <c r="O10" s="72"/>
      <c r="P10" s="72"/>
      <c r="Q10" s="72"/>
      <c r="R10" s="72"/>
      <c r="S10" s="73"/>
    </row>
    <row r="12" spans="2:19" x14ac:dyDescent="0.2">
      <c r="B12" s="63" t="s">
        <v>9</v>
      </c>
      <c r="C12" s="72"/>
      <c r="D12" s="72"/>
      <c r="E12" s="72"/>
      <c r="F12" s="73"/>
      <c r="G12" s="63" t="s">
        <v>10</v>
      </c>
      <c r="H12" s="72"/>
      <c r="I12" s="72"/>
      <c r="J12" s="73"/>
    </row>
    <row r="13" spans="2:19" ht="19.5" customHeight="1" thickBot="1" x14ac:dyDescent="0.25"/>
    <row r="14" spans="2:19" ht="19.5" customHeight="1" x14ac:dyDescent="0.2">
      <c r="B14" s="1" t="s">
        <v>0</v>
      </c>
      <c r="G14" s="74" t="s">
        <v>21</v>
      </c>
      <c r="H14" s="69"/>
      <c r="I14" s="69"/>
      <c r="J14" s="69"/>
      <c r="O14" s="46">
        <v>44409</v>
      </c>
      <c r="P14" s="47" t="s">
        <v>27</v>
      </c>
      <c r="Q14" s="48"/>
      <c r="R14" s="49" t="s">
        <v>28</v>
      </c>
      <c r="S14" s="48"/>
    </row>
    <row r="15" spans="2:19" ht="19.5" customHeight="1" thickBot="1" x14ac:dyDescent="0.25">
      <c r="G15" s="74"/>
      <c r="H15" s="69"/>
      <c r="I15" s="69"/>
      <c r="J15" s="69"/>
      <c r="O15" s="50" t="s">
        <v>29</v>
      </c>
      <c r="P15" s="51" t="s">
        <v>29</v>
      </c>
      <c r="Q15" s="52" t="s">
        <v>30</v>
      </c>
      <c r="R15" s="53" t="s">
        <v>29</v>
      </c>
      <c r="S15" s="52" t="s">
        <v>30</v>
      </c>
    </row>
    <row r="16" spans="2:19" ht="19.5" customHeight="1" x14ac:dyDescent="0.2">
      <c r="B16" s="33" t="s">
        <v>22</v>
      </c>
      <c r="G16" s="74" t="s">
        <v>14</v>
      </c>
      <c r="H16" s="69"/>
      <c r="I16" s="69"/>
      <c r="J16" s="69"/>
      <c r="N16" s="43" t="s">
        <v>14</v>
      </c>
      <c r="O16" s="41">
        <f>VLOOKUP(O14,UMCSI!A:D,2,)</f>
        <v>70.2</v>
      </c>
      <c r="P16" s="35">
        <f>VLOOKUP(DATE(YEAR($O$14),MONTH($O$14)-1,DAY($O$14)),UMCSI!$A:$D,2,)</f>
        <v>81.2</v>
      </c>
      <c r="Q16" s="35">
        <f>O16-P16</f>
        <v>-11</v>
      </c>
      <c r="R16" s="35">
        <f>VLOOKUP(DATE(YEAR($O$14)-1,MONTH($O$14),DAY($O$14)),UMCSI!$A:$D,2,)</f>
        <v>74.099999999999994</v>
      </c>
      <c r="S16" s="36">
        <f>O16-R16</f>
        <v>-3.8999999999999915</v>
      </c>
    </row>
    <row r="17" spans="2:19" ht="19.5" customHeight="1" x14ac:dyDescent="0.2">
      <c r="B17" s="33" t="s">
        <v>23</v>
      </c>
      <c r="G17" s="70" t="s">
        <v>24</v>
      </c>
      <c r="H17" s="67"/>
      <c r="I17" s="67"/>
      <c r="J17" s="67"/>
      <c r="N17" s="44" t="s">
        <v>25</v>
      </c>
      <c r="O17" s="37">
        <f>VLOOKUP(O14,UMCSI!A:D,3,)</f>
        <v>77.900000000000006</v>
      </c>
      <c r="P17" s="20">
        <f>VLOOKUP(DATE(YEAR($O$14),MONTH($O$14)-1,DAY($O$14)),UMCSI!$A:$D,3,)</f>
        <v>84.5</v>
      </c>
      <c r="Q17" s="20">
        <f>O17-P17</f>
        <v>-6.5999999999999943</v>
      </c>
      <c r="R17" s="20">
        <f>VLOOKUP(DATE(YEAR($O$14)-1,MONTH($O$14),DAY($O$14)),UMCSI!$A:$D,3,)</f>
        <v>82.9</v>
      </c>
      <c r="S17" s="38">
        <f>O17-R17</f>
        <v>-5</v>
      </c>
    </row>
    <row r="18" spans="2:19" ht="19.5" customHeight="1" thickBot="1" x14ac:dyDescent="0.25">
      <c r="B18" s="11"/>
      <c r="G18" s="70"/>
      <c r="H18" s="67"/>
      <c r="I18" s="67"/>
      <c r="J18" s="67"/>
      <c r="N18" s="45" t="s">
        <v>26</v>
      </c>
      <c r="O18" s="42">
        <f>VLOOKUP(O14,UMCSI!A:D,4,)</f>
        <v>65.2</v>
      </c>
      <c r="P18" s="39">
        <f>VLOOKUP(DATE(YEAR($O$14),MONTH($O$14)-1,DAY($O$14)),UMCSI!$A:$D,4,)</f>
        <v>79</v>
      </c>
      <c r="Q18" s="39">
        <f>O18-P18</f>
        <v>-13.799999999999997</v>
      </c>
      <c r="R18" s="39">
        <f>VLOOKUP(DATE(YEAR($O$14)-1,MONTH($O$14),DAY($O$14)),UMCSI!$A:$D,4,)</f>
        <v>68.5</v>
      </c>
      <c r="S18" s="40">
        <f>O18-R18</f>
        <v>-3.2999999999999972</v>
      </c>
    </row>
    <row r="21" spans="2:19" x14ac:dyDescent="0.2">
      <c r="B21" s="12"/>
    </row>
    <row r="22" spans="2:19" ht="30" customHeight="1" x14ac:dyDescent="0.2">
      <c r="B22" s="71"/>
      <c r="C22" s="67"/>
      <c r="D22" s="67"/>
      <c r="E22" s="67"/>
      <c r="F22" s="67"/>
      <c r="G22" s="67"/>
      <c r="H22" s="67"/>
      <c r="I22" s="67"/>
      <c r="J22" s="67"/>
    </row>
    <row r="23" spans="2:19" x14ac:dyDescent="0.2">
      <c r="B23" s="13"/>
    </row>
  </sheetData>
  <mergeCells count="15">
    <mergeCell ref="G18:J18"/>
    <mergeCell ref="B22:J22"/>
    <mergeCell ref="N10:S10"/>
    <mergeCell ref="B12:F12"/>
    <mergeCell ref="G12:J12"/>
    <mergeCell ref="G14:J14"/>
    <mergeCell ref="G15:J15"/>
    <mergeCell ref="G16:J16"/>
    <mergeCell ref="G17:J17"/>
    <mergeCell ref="B10:J10"/>
    <mergeCell ref="B1:J2"/>
    <mergeCell ref="B3:J3"/>
    <mergeCell ref="B5:J5"/>
    <mergeCell ref="B7:J7"/>
    <mergeCell ref="B8:J8"/>
  </mergeCells>
  <conditionalFormatting sqref="Q16:Q18 S16:S18">
    <cfRule type="cellIs" dxfId="24" priority="3" operator="lessThan">
      <formula>0</formula>
    </cfRule>
    <cfRule type="cellIs" dxfId="23" priority="4" operator="greaterThan">
      <formula>0</formula>
    </cfRule>
  </conditionalFormatting>
  <hyperlinks>
    <hyperlink ref="B8" r:id="rId1" xr:uid="{CDC94E9A-2FF9-44DB-9D51-03991E49B9EE}"/>
    <hyperlink ref="B14" r:id="rId2" xr:uid="{6900196E-7CFF-4752-AE48-9003D7B99D30}"/>
    <hyperlink ref="B16" r:id="rId3" xr:uid="{4112CCD8-FF2D-408C-A14F-A140661DE6D6}"/>
    <hyperlink ref="B17" r:id="rId4" xr:uid="{83101947-E645-4C2F-A4B8-5BDB27FE3EC1}"/>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7E9DF-80C0-4267-8DAD-F2ECEB0DBE29}">
  <dimension ref="A1:F759"/>
  <sheetViews>
    <sheetView zoomScale="160" zoomScaleNormal="160" workbookViewId="0">
      <pane ySplit="9" topLeftCell="A688" activePane="bottomLeft" state="frozen"/>
      <selection pane="bottomLeft" activeCell="E759" sqref="E759"/>
    </sheetView>
  </sheetViews>
  <sheetFormatPr baseColWidth="10" defaultColWidth="9.1640625" defaultRowHeight="15" x14ac:dyDescent="0.2"/>
  <cols>
    <col min="1" max="1" width="11.33203125" style="5" customWidth="1"/>
    <col min="2" max="2" width="13.6640625" style="4" customWidth="1"/>
    <col min="3" max="3" width="13.6640625" style="5" customWidth="1"/>
    <col min="4" max="4" width="13.6640625" style="6" customWidth="1"/>
    <col min="5" max="5" width="13.6640625" style="4" customWidth="1"/>
    <col min="6" max="6" width="13.6640625" style="5" customWidth="1"/>
    <col min="7" max="16384" width="9.1640625" style="2"/>
  </cols>
  <sheetData>
    <row r="1" spans="1:6" x14ac:dyDescent="0.2">
      <c r="A1" s="8" t="s">
        <v>0</v>
      </c>
    </row>
    <row r="9" spans="1:6" ht="27" customHeight="1" x14ac:dyDescent="0.2">
      <c r="A9" s="54" t="s">
        <v>1</v>
      </c>
      <c r="B9" s="55" t="s">
        <v>2</v>
      </c>
      <c r="C9" s="54" t="s">
        <v>3</v>
      </c>
      <c r="D9" s="56" t="s">
        <v>4</v>
      </c>
      <c r="E9" s="55" t="s">
        <v>5</v>
      </c>
      <c r="F9" s="56" t="s">
        <v>6</v>
      </c>
    </row>
    <row r="10" spans="1:6" x14ac:dyDescent="0.2">
      <c r="A10" s="9">
        <v>21551</v>
      </c>
      <c r="B10" s="4">
        <v>27.2</v>
      </c>
      <c r="D10" s="6">
        <v>7.4205666774708884E-2</v>
      </c>
      <c r="E10" s="4">
        <v>55.450001</v>
      </c>
    </row>
    <row r="11" spans="1:6" x14ac:dyDescent="0.2">
      <c r="A11" s="9">
        <v>21582</v>
      </c>
      <c r="B11" s="4">
        <v>27.6</v>
      </c>
      <c r="E11" s="4">
        <v>55.41</v>
      </c>
    </row>
    <row r="12" spans="1:6" x14ac:dyDescent="0.2">
      <c r="A12" s="9">
        <v>21610</v>
      </c>
      <c r="B12" s="4">
        <v>28</v>
      </c>
      <c r="E12" s="4">
        <v>55.439999</v>
      </c>
    </row>
    <row r="13" spans="1:6" x14ac:dyDescent="0.2">
      <c r="A13" s="9">
        <v>21641</v>
      </c>
      <c r="B13" s="4">
        <v>28.1</v>
      </c>
      <c r="D13" s="6">
        <v>9.1270566993199923E-2</v>
      </c>
      <c r="E13" s="4">
        <v>57.59</v>
      </c>
    </row>
    <row r="14" spans="1:6" x14ac:dyDescent="0.2">
      <c r="A14" s="9">
        <v>21671</v>
      </c>
      <c r="B14" s="4">
        <v>28.3</v>
      </c>
      <c r="E14" s="4">
        <v>58.68</v>
      </c>
    </row>
    <row r="15" spans="1:6" x14ac:dyDescent="0.2">
      <c r="A15" s="9">
        <v>21702</v>
      </c>
      <c r="B15" s="4">
        <v>28.4</v>
      </c>
      <c r="E15" s="4">
        <v>58.470001000000003</v>
      </c>
    </row>
    <row r="16" spans="1:6" x14ac:dyDescent="0.2">
      <c r="A16" s="9">
        <v>21732</v>
      </c>
      <c r="B16" s="4">
        <v>28.5</v>
      </c>
      <c r="D16" s="6">
        <v>6.7350624843805607E-2</v>
      </c>
      <c r="E16" s="4">
        <v>60.509998000000003</v>
      </c>
    </row>
    <row r="17" spans="1:6" x14ac:dyDescent="0.2">
      <c r="A17" s="9">
        <v>21763</v>
      </c>
      <c r="B17" s="4">
        <v>28.4</v>
      </c>
      <c r="E17" s="4">
        <v>59.599997999999999</v>
      </c>
    </row>
    <row r="18" spans="1:6" x14ac:dyDescent="0.2">
      <c r="A18" s="9">
        <v>21794</v>
      </c>
      <c r="B18" s="4">
        <v>28.4</v>
      </c>
      <c r="E18" s="4">
        <v>56.880001</v>
      </c>
    </row>
    <row r="19" spans="1:6" x14ac:dyDescent="0.2">
      <c r="A19" s="9">
        <v>21824</v>
      </c>
      <c r="B19" s="4">
        <v>28.3</v>
      </c>
      <c r="D19" s="6">
        <v>4.5925594621109102E-2</v>
      </c>
      <c r="E19" s="4">
        <v>57.52</v>
      </c>
    </row>
    <row r="20" spans="1:6" x14ac:dyDescent="0.2">
      <c r="A20" s="9">
        <v>21855</v>
      </c>
      <c r="B20" s="4">
        <v>28.1</v>
      </c>
      <c r="E20" s="4">
        <v>58.279998999999997</v>
      </c>
    </row>
    <row r="21" spans="1:6" x14ac:dyDescent="0.2">
      <c r="A21" s="9">
        <v>21885</v>
      </c>
      <c r="B21" s="4">
        <v>28.7</v>
      </c>
      <c r="E21" s="4">
        <v>59.889999000000003</v>
      </c>
      <c r="F21" s="7">
        <f>(Table3[[#This Row],[S&amp;P 500]]-E10)/E10</f>
        <v>8.0072099547843154E-2</v>
      </c>
    </row>
    <row r="22" spans="1:6" x14ac:dyDescent="0.2">
      <c r="A22" s="9">
        <v>21916</v>
      </c>
      <c r="B22" s="4">
        <v>28.7</v>
      </c>
      <c r="C22" s="7">
        <f>(Table3[[#This Row],[Conference Board Leading Indicator]]-B10)/B10</f>
        <v>5.514705882352941E-2</v>
      </c>
      <c r="D22" s="6">
        <v>4.9271029258767605E-2</v>
      </c>
      <c r="E22" s="4">
        <v>55.610000999999997</v>
      </c>
      <c r="F22" s="7">
        <f>(Table3[[#This Row],[S&amp;P 500]]-E11)/E11</f>
        <v>3.6094748240389882E-3</v>
      </c>
    </row>
    <row r="23" spans="1:6" x14ac:dyDescent="0.2">
      <c r="A23" s="9">
        <v>21947</v>
      </c>
      <c r="B23" s="4">
        <v>28.7</v>
      </c>
      <c r="C23" s="7">
        <f>(Table3[[#This Row],[Conference Board Leading Indicator]]-B11)/B11</f>
        <v>3.9855072463768036E-2</v>
      </c>
      <c r="E23" s="4">
        <v>56.119999</v>
      </c>
      <c r="F23" s="7">
        <f>(Table3[[#This Row],[S&amp;P 500]]-E12)/E12</f>
        <v>1.2265512486751663E-2</v>
      </c>
    </row>
    <row r="24" spans="1:6" x14ac:dyDescent="0.2">
      <c r="A24" s="9">
        <v>21976</v>
      </c>
      <c r="B24" s="4">
        <v>28.6</v>
      </c>
      <c r="C24" s="7">
        <f>(Table3[[#This Row],[Conference Board Leading Indicator]]-B12)/B12</f>
        <v>2.1428571428571481E-2</v>
      </c>
      <c r="E24" s="4">
        <v>55.34</v>
      </c>
      <c r="F24" s="7">
        <f>(Table3[[#This Row],[S&amp;P 500]]-E13)/E13</f>
        <v>-3.9069282861607914E-2</v>
      </c>
    </row>
    <row r="25" spans="1:6" x14ac:dyDescent="0.2">
      <c r="A25" s="9">
        <v>22007</v>
      </c>
      <c r="B25" s="4">
        <v>28.7</v>
      </c>
      <c r="C25" s="7">
        <f>(Table3[[#This Row],[Conference Board Leading Indicator]]-B13)/B13</f>
        <v>2.1352313167259711E-2</v>
      </c>
      <c r="D25" s="6">
        <v>2.0582762703688182E-2</v>
      </c>
      <c r="E25" s="4">
        <v>54.369999</v>
      </c>
      <c r="F25" s="7">
        <f>(Table3[[#This Row],[S&amp;P 500]]-E14)/E14</f>
        <v>-7.3449233128834349E-2</v>
      </c>
    </row>
    <row r="26" spans="1:6" x14ac:dyDescent="0.2">
      <c r="A26" s="9">
        <v>22037</v>
      </c>
      <c r="B26" s="4">
        <v>28.7</v>
      </c>
      <c r="C26" s="7">
        <f>(Table3[[#This Row],[Conference Board Leading Indicator]]-B14)/B14</f>
        <v>1.4134275618374508E-2</v>
      </c>
      <c r="E26" s="4">
        <v>55.830002</v>
      </c>
      <c r="F26" s="7">
        <f>(Table3[[#This Row],[S&amp;P 500]]-E15)/E15</f>
        <v>-4.5151341796624958E-2</v>
      </c>
    </row>
    <row r="27" spans="1:6" x14ac:dyDescent="0.2">
      <c r="A27" s="9">
        <v>22068</v>
      </c>
      <c r="B27" s="4">
        <v>28.8</v>
      </c>
      <c r="C27" s="7">
        <f>(Table3[[#This Row],[Conference Board Leading Indicator]]-B15)/B15</f>
        <v>1.4084507042253596E-2</v>
      </c>
      <c r="E27" s="4">
        <v>56.919998</v>
      </c>
      <c r="F27" s="7">
        <f>(Table3[[#This Row],[S&amp;P 500]]-E16)/E16</f>
        <v>-5.9329038483855234E-2</v>
      </c>
    </row>
    <row r="28" spans="1:6" x14ac:dyDescent="0.2">
      <c r="A28" s="9">
        <v>22098</v>
      </c>
      <c r="B28" s="4">
        <v>28.8</v>
      </c>
      <c r="C28" s="7">
        <f>(Table3[[#This Row],[Conference Board Leading Indicator]]-B16)/B16</f>
        <v>1.052631578947371E-2</v>
      </c>
      <c r="D28" s="6">
        <v>2.4846516976961257E-2</v>
      </c>
      <c r="E28" s="4">
        <v>55.509998000000003</v>
      </c>
      <c r="F28" s="7">
        <f>(Table3[[#This Row],[S&amp;P 500]]-E17)/E17</f>
        <v>-6.8624163376649713E-2</v>
      </c>
    </row>
    <row r="29" spans="1:6" x14ac:dyDescent="0.2">
      <c r="A29" s="9">
        <v>22129</v>
      </c>
      <c r="B29" s="4">
        <v>28.9</v>
      </c>
      <c r="C29" s="7">
        <f>(Table3[[#This Row],[Conference Board Leading Indicator]]-B17)/B17</f>
        <v>1.7605633802816902E-2</v>
      </c>
      <c r="E29" s="4">
        <v>56.959999000000003</v>
      </c>
      <c r="F29" s="7">
        <f>(Table3[[#This Row],[S&amp;P 500]]-E18)/E18</f>
        <v>1.4064345744298308E-3</v>
      </c>
    </row>
    <row r="30" spans="1:6" x14ac:dyDescent="0.2">
      <c r="A30" s="9">
        <v>22160</v>
      </c>
      <c r="B30" s="4">
        <v>28.9</v>
      </c>
      <c r="C30" s="7">
        <f>(Table3[[#This Row],[Conference Board Leading Indicator]]-B18)/B18</f>
        <v>1.7605633802816902E-2</v>
      </c>
      <c r="E30" s="4">
        <v>53.52</v>
      </c>
      <c r="F30" s="7">
        <f>(Table3[[#This Row],[S&amp;P 500]]-E19)/E19</f>
        <v>-6.9541029207232263E-2</v>
      </c>
    </row>
    <row r="31" spans="1:6" x14ac:dyDescent="0.2">
      <c r="A31" s="9">
        <v>22190</v>
      </c>
      <c r="B31" s="4">
        <v>28.9</v>
      </c>
      <c r="C31" s="7">
        <f>(Table3[[#This Row],[Conference Board Leading Indicator]]-B19)/B19</f>
        <v>2.1201413427561763E-2</v>
      </c>
      <c r="D31" s="6">
        <v>8.8177668794687733E-3</v>
      </c>
      <c r="E31" s="4">
        <v>53.389999000000003</v>
      </c>
      <c r="F31" s="7">
        <f>(Table3[[#This Row],[S&amp;P 500]]-E20)/E20</f>
        <v>-8.3905286271538773E-2</v>
      </c>
    </row>
    <row r="32" spans="1:6" x14ac:dyDescent="0.2">
      <c r="A32" s="9">
        <v>22221</v>
      </c>
      <c r="B32" s="4">
        <v>28.9</v>
      </c>
      <c r="C32" s="7">
        <f>(Table3[[#This Row],[Conference Board Leading Indicator]]-B20)/B20</f>
        <v>2.8469750889679613E-2</v>
      </c>
      <c r="E32" s="4">
        <v>55.540000999999997</v>
      </c>
      <c r="F32" s="7">
        <f>(Table3[[#This Row],[S&amp;P 500]]-E21)/E21</f>
        <v>-7.2633128613009426E-2</v>
      </c>
    </row>
    <row r="33" spans="1:6" x14ac:dyDescent="0.2">
      <c r="A33" s="9">
        <v>22251</v>
      </c>
      <c r="B33" s="4">
        <v>28.9</v>
      </c>
      <c r="C33" s="7">
        <f>(Table3[[#This Row],[Conference Board Leading Indicator]]-B21)/B21</f>
        <v>6.9686411149825541E-3</v>
      </c>
      <c r="E33" s="4">
        <v>58.110000999999997</v>
      </c>
      <c r="F33" s="7">
        <f>(Table3[[#This Row],[S&amp;P 500]]-E22)/E22</f>
        <v>4.4955942367273113E-2</v>
      </c>
    </row>
    <row r="34" spans="1:6" x14ac:dyDescent="0.2">
      <c r="A34" s="9">
        <v>22282</v>
      </c>
      <c r="B34" s="4">
        <v>29.1</v>
      </c>
      <c r="C34" s="7">
        <f>(Table3[[#This Row],[Conference Board Leading Indicator]]-B22)/B22</f>
        <v>1.3937282229965231E-2</v>
      </c>
      <c r="D34" s="6">
        <v>-6.6949410472144418E-3</v>
      </c>
      <c r="E34" s="4">
        <v>61.779998999999997</v>
      </c>
      <c r="F34" s="7">
        <f>(Table3[[#This Row],[S&amp;P 500]]-E23)/E23</f>
        <v>0.10085531184702973</v>
      </c>
    </row>
    <row r="35" spans="1:6" x14ac:dyDescent="0.2">
      <c r="A35" s="9">
        <v>22313</v>
      </c>
      <c r="B35" s="4">
        <v>29.2</v>
      </c>
      <c r="C35" s="7">
        <f>(Table3[[#This Row],[Conference Board Leading Indicator]]-B23)/B23</f>
        <v>1.7421602787456445E-2</v>
      </c>
      <c r="E35" s="4">
        <v>63.439999</v>
      </c>
      <c r="F35" s="7">
        <f>(Table3[[#This Row],[S&amp;P 500]]-E24)/E24</f>
        <v>0.14636788941091428</v>
      </c>
    </row>
    <row r="36" spans="1:6" x14ac:dyDescent="0.2">
      <c r="A36" s="9">
        <v>22341</v>
      </c>
      <c r="B36" s="4">
        <v>29.6</v>
      </c>
      <c r="C36" s="7">
        <f>(Table3[[#This Row],[Conference Board Leading Indicator]]-B24)/B24</f>
        <v>3.4965034965034961E-2</v>
      </c>
      <c r="E36" s="4">
        <v>65.059997999999993</v>
      </c>
      <c r="F36" s="7">
        <f>(Table3[[#This Row],[S&amp;P 500]]-E25)/E25</f>
        <v>0.196615765985208</v>
      </c>
    </row>
    <row r="37" spans="1:6" x14ac:dyDescent="0.2">
      <c r="A37" s="9">
        <v>22372</v>
      </c>
      <c r="B37" s="4">
        <v>29.9</v>
      </c>
      <c r="C37" s="7">
        <f>(Table3[[#This Row],[Conference Board Leading Indicator]]-B25)/B25</f>
        <v>4.1811846689895446E-2</v>
      </c>
      <c r="D37" s="6">
        <v>1.5644451592467731E-2</v>
      </c>
      <c r="E37" s="4">
        <v>65.309997999999993</v>
      </c>
      <c r="F37" s="7">
        <f>(Table3[[#This Row],[S&amp;P 500]]-E26)/E26</f>
        <v>0.16980110443126964</v>
      </c>
    </row>
    <row r="38" spans="1:6" x14ac:dyDescent="0.2">
      <c r="A38" s="9">
        <v>22402</v>
      </c>
      <c r="B38" s="4">
        <v>30.2</v>
      </c>
      <c r="C38" s="7">
        <f>(Table3[[#This Row],[Conference Board Leading Indicator]]-B26)/B26</f>
        <v>5.2264808362369339E-2</v>
      </c>
      <c r="E38" s="4">
        <v>66.559997999999993</v>
      </c>
      <c r="F38" s="7">
        <f>(Table3[[#This Row],[S&amp;P 500]]-E27)/E27</f>
        <v>0.16936051192412188</v>
      </c>
    </row>
    <row r="39" spans="1:6" x14ac:dyDescent="0.2">
      <c r="A39" s="9">
        <v>22433</v>
      </c>
      <c r="B39" s="4">
        <v>30.6</v>
      </c>
      <c r="C39" s="7">
        <f>(Table3[[#This Row],[Conference Board Leading Indicator]]-B27)/B27</f>
        <v>6.2500000000000028E-2</v>
      </c>
      <c r="E39" s="4">
        <v>64.639999000000003</v>
      </c>
      <c r="F39" s="7">
        <f>(Table3[[#This Row],[S&amp;P 500]]-E28)/E28</f>
        <v>0.16447489333362972</v>
      </c>
    </row>
    <row r="40" spans="1:6" x14ac:dyDescent="0.2">
      <c r="A40" s="9">
        <v>22463</v>
      </c>
      <c r="B40" s="4">
        <v>30.7</v>
      </c>
      <c r="C40" s="7">
        <f>(Table3[[#This Row],[Conference Board Leading Indicator]]-B28)/B28</f>
        <v>6.5972222222222168E-2</v>
      </c>
      <c r="D40" s="6">
        <v>3.0101138383319188E-2</v>
      </c>
      <c r="E40" s="4">
        <v>66.760002</v>
      </c>
      <c r="F40" s="7">
        <f>(Table3[[#This Row],[S&amp;P 500]]-E29)/E29</f>
        <v>0.17205061748684364</v>
      </c>
    </row>
    <row r="41" spans="1:6" x14ac:dyDescent="0.2">
      <c r="A41" s="9">
        <v>22494</v>
      </c>
      <c r="B41" s="4">
        <v>31.2</v>
      </c>
      <c r="C41" s="7">
        <f>(Table3[[#This Row],[Conference Board Leading Indicator]]-B29)/B29</f>
        <v>7.9584775086505216E-2</v>
      </c>
      <c r="E41" s="4">
        <v>68.069999999999993</v>
      </c>
      <c r="F41" s="7">
        <f>(Table3[[#This Row],[S&amp;P 500]]-E30)/E30</f>
        <v>0.27186098654708502</v>
      </c>
    </row>
    <row r="42" spans="1:6" x14ac:dyDescent="0.2">
      <c r="A42" s="9">
        <v>22525</v>
      </c>
      <c r="B42" s="4">
        <v>31.2</v>
      </c>
      <c r="C42" s="7">
        <f>(Table3[[#This Row],[Conference Board Leading Indicator]]-B30)/B30</f>
        <v>7.9584775086505216E-2</v>
      </c>
      <c r="E42" s="4">
        <v>66.730002999999996</v>
      </c>
      <c r="F42" s="7">
        <f>(Table3[[#This Row],[S&amp;P 500]]-E31)/E31</f>
        <v>0.24985960385577066</v>
      </c>
    </row>
    <row r="43" spans="1:6" x14ac:dyDescent="0.2">
      <c r="A43" s="9">
        <v>22555</v>
      </c>
      <c r="B43" s="4">
        <v>31.7</v>
      </c>
      <c r="C43" s="7">
        <f>(Table3[[#This Row],[Conference Board Leading Indicator]]-B31)/B31</f>
        <v>9.6885813148788955E-2</v>
      </c>
      <c r="D43" s="6">
        <v>6.3957742691929387E-2</v>
      </c>
      <c r="E43" s="4">
        <v>68.620002999999997</v>
      </c>
      <c r="F43" s="7">
        <f>(Table3[[#This Row],[S&amp;P 500]]-E32)/E32</f>
        <v>0.23550597343345386</v>
      </c>
    </row>
    <row r="44" spans="1:6" x14ac:dyDescent="0.2">
      <c r="A44" s="9">
        <v>22586</v>
      </c>
      <c r="B44" s="4">
        <v>32.1</v>
      </c>
      <c r="C44" s="7">
        <f>(Table3[[#This Row],[Conference Board Leading Indicator]]-B32)/B32</f>
        <v>0.11072664359861602</v>
      </c>
      <c r="E44" s="4">
        <v>71.319999999999993</v>
      </c>
      <c r="F44" s="7">
        <f>(Table3[[#This Row],[S&amp;P 500]]-E33)/E33</f>
        <v>0.22732746124027767</v>
      </c>
    </row>
    <row r="45" spans="1:6" x14ac:dyDescent="0.2">
      <c r="A45" s="9">
        <v>22616</v>
      </c>
      <c r="B45" s="4">
        <v>32.4</v>
      </c>
      <c r="C45" s="7">
        <f>(Table3[[#This Row],[Conference Board Leading Indicator]]-B33)/B33</f>
        <v>0.12110726643598617</v>
      </c>
      <c r="E45" s="4">
        <v>71.550003000000004</v>
      </c>
      <c r="F45" s="7">
        <f>(Table3[[#This Row],[S&amp;P 500]]-E34)/E34</f>
        <v>0.15814186076629766</v>
      </c>
    </row>
    <row r="46" spans="1:6" x14ac:dyDescent="0.2">
      <c r="A46" s="9">
        <v>22647</v>
      </c>
      <c r="B46" s="4">
        <v>32.4</v>
      </c>
      <c r="C46" s="7">
        <f>(Table3[[#This Row],[Conference Board Leading Indicator]]-B34)/B34</f>
        <v>0.11340206185567001</v>
      </c>
      <c r="D46" s="6">
        <v>7.5673376511220969E-2</v>
      </c>
      <c r="E46" s="4">
        <v>68.839995999999999</v>
      </c>
      <c r="F46" s="7">
        <f>(Table3[[#This Row],[S&amp;P 500]]-E35)/E35</f>
        <v>8.5119752287511841E-2</v>
      </c>
    </row>
    <row r="47" spans="1:6" x14ac:dyDescent="0.2">
      <c r="A47" s="9">
        <v>22678</v>
      </c>
      <c r="B47" s="4">
        <v>32.799999999999997</v>
      </c>
      <c r="C47" s="7">
        <f>(Table3[[#This Row],[Conference Board Leading Indicator]]-B35)/B35</f>
        <v>0.12328767123287664</v>
      </c>
      <c r="E47" s="4">
        <v>69.959998999999996</v>
      </c>
      <c r="F47" s="7">
        <f>(Table3[[#This Row],[S&amp;P 500]]-E36)/E36</f>
        <v>7.5315111445284758E-2</v>
      </c>
    </row>
    <row r="48" spans="1:6" x14ac:dyDescent="0.2">
      <c r="A48" s="9">
        <v>22706</v>
      </c>
      <c r="B48" s="4">
        <v>32.9</v>
      </c>
      <c r="C48" s="7">
        <f>(Table3[[#This Row],[Conference Board Leading Indicator]]-B36)/B36</f>
        <v>0.11148648648648639</v>
      </c>
      <c r="E48" s="4">
        <v>69.550003000000004</v>
      </c>
      <c r="F48" s="7">
        <f>(Table3[[#This Row],[S&amp;P 500]]-E37)/E37</f>
        <v>6.492122385304637E-2</v>
      </c>
    </row>
    <row r="49" spans="1:6" x14ac:dyDescent="0.2">
      <c r="A49" s="9">
        <v>22737</v>
      </c>
      <c r="B49" s="4">
        <v>33.1</v>
      </c>
      <c r="C49" s="7">
        <f>(Table3[[#This Row],[Conference Board Leading Indicator]]-B37)/B37</f>
        <v>0.10702341137123755</v>
      </c>
      <c r="D49" s="6">
        <v>6.7277132260258818E-2</v>
      </c>
      <c r="E49" s="4">
        <v>65.239998</v>
      </c>
      <c r="F49" s="7">
        <f>(Table3[[#This Row],[S&amp;P 500]]-E38)/E38</f>
        <v>-1.9831731365136059E-2</v>
      </c>
    </row>
    <row r="50" spans="1:6" x14ac:dyDescent="0.2">
      <c r="A50" s="9">
        <v>22767</v>
      </c>
      <c r="B50" s="4">
        <v>33.1</v>
      </c>
      <c r="C50" s="7">
        <f>(Table3[[#This Row],[Conference Board Leading Indicator]]-B38)/B38</f>
        <v>9.602649006622524E-2</v>
      </c>
      <c r="E50" s="4">
        <v>59.630001</v>
      </c>
      <c r="F50" s="7">
        <f>(Table3[[#This Row],[S&amp;P 500]]-E39)/E39</f>
        <v>-7.7506158377261158E-2</v>
      </c>
    </row>
    <row r="51" spans="1:6" x14ac:dyDescent="0.2">
      <c r="A51" s="9">
        <v>22798</v>
      </c>
      <c r="B51" s="4">
        <v>33</v>
      </c>
      <c r="C51" s="7">
        <f>(Table3[[#This Row],[Conference Board Leading Indicator]]-B39)/B39</f>
        <v>7.8431372549019551E-2</v>
      </c>
      <c r="E51" s="4">
        <v>54.75</v>
      </c>
      <c r="F51" s="7">
        <f>(Table3[[#This Row],[S&amp;P 500]]-E40)/E40</f>
        <v>-0.17989816716901835</v>
      </c>
    </row>
    <row r="52" spans="1:6" x14ac:dyDescent="0.2">
      <c r="A52" s="9">
        <v>22828</v>
      </c>
      <c r="B52" s="4">
        <v>33.200000000000003</v>
      </c>
      <c r="C52" s="7">
        <f>(Table3[[#This Row],[Conference Board Leading Indicator]]-B40)/B40</f>
        <v>8.1433224755700445E-2</v>
      </c>
      <c r="D52" s="6">
        <v>6.0039773692611098E-2</v>
      </c>
      <c r="E52" s="4">
        <v>58.23</v>
      </c>
      <c r="F52" s="7">
        <f>(Table3[[#This Row],[S&amp;P 500]]-E41)/E41</f>
        <v>-0.1445570736007051</v>
      </c>
    </row>
    <row r="53" spans="1:6" x14ac:dyDescent="0.2">
      <c r="A53" s="9">
        <v>22859</v>
      </c>
      <c r="B53" s="4">
        <v>33.4</v>
      </c>
      <c r="C53" s="7">
        <f>(Table3[[#This Row],[Conference Board Leading Indicator]]-B41)/B41</f>
        <v>7.0512820512820498E-2</v>
      </c>
      <c r="E53" s="4">
        <v>59.119999</v>
      </c>
      <c r="F53" s="7">
        <f>(Table3[[#This Row],[S&amp;P 500]]-E42)/E42</f>
        <v>-0.11404171523864605</v>
      </c>
    </row>
    <row r="54" spans="1:6" x14ac:dyDescent="0.2">
      <c r="A54" s="9">
        <v>22890</v>
      </c>
      <c r="B54" s="4">
        <v>33.5</v>
      </c>
      <c r="C54" s="7">
        <f>(Table3[[#This Row],[Conference Board Leading Indicator]]-B42)/B42</f>
        <v>7.3717948717948747E-2</v>
      </c>
      <c r="E54" s="4">
        <v>56.27</v>
      </c>
      <c r="F54" s="7">
        <f>(Table3[[#This Row],[S&amp;P 500]]-E43)/E43</f>
        <v>-0.17997671903336981</v>
      </c>
    </row>
    <row r="55" spans="1:6" x14ac:dyDescent="0.2">
      <c r="A55" s="9">
        <v>22920</v>
      </c>
      <c r="B55" s="4">
        <v>33.6</v>
      </c>
      <c r="C55" s="7">
        <f>(Table3[[#This Row],[Conference Board Leading Indicator]]-B43)/B43</f>
        <v>5.9936908517350229E-2</v>
      </c>
      <c r="D55" s="6">
        <v>4.3070083324584993E-2</v>
      </c>
      <c r="E55" s="4">
        <v>56.52</v>
      </c>
      <c r="F55" s="7">
        <f>(Table3[[#This Row],[S&amp;P 500]]-E44)/E44</f>
        <v>-0.20751542344363422</v>
      </c>
    </row>
    <row r="56" spans="1:6" x14ac:dyDescent="0.2">
      <c r="A56" s="9">
        <v>22951</v>
      </c>
      <c r="B56" s="4">
        <v>34</v>
      </c>
      <c r="C56" s="7">
        <f>(Table3[[#This Row],[Conference Board Leading Indicator]]-B44)/B44</f>
        <v>5.9190031152647926E-2</v>
      </c>
      <c r="E56" s="4">
        <v>62.259998000000003</v>
      </c>
      <c r="F56" s="7">
        <f>(Table3[[#This Row],[S&amp;P 500]]-E45)/E45</f>
        <v>-0.12983933767270422</v>
      </c>
    </row>
    <row r="57" spans="1:6" x14ac:dyDescent="0.2">
      <c r="A57" s="9">
        <v>22981</v>
      </c>
      <c r="B57" s="4">
        <v>34.1</v>
      </c>
      <c r="C57" s="7">
        <f>(Table3[[#This Row],[Conference Board Leading Indicator]]-B45)/B45</f>
        <v>5.2469135802469223E-2</v>
      </c>
      <c r="E57" s="4">
        <v>63.099997999999999</v>
      </c>
      <c r="F57" s="7">
        <f>(Table3[[#This Row],[S&amp;P 500]]-E46)/E46</f>
        <v>-8.3381730585806543E-2</v>
      </c>
    </row>
    <row r="58" spans="1:6" x14ac:dyDescent="0.2">
      <c r="A58" s="9">
        <v>23012</v>
      </c>
      <c r="B58" s="4">
        <v>34.4</v>
      </c>
      <c r="C58" s="7">
        <f>(Table3[[#This Row],[Conference Board Leading Indicator]]-B46)/B46</f>
        <v>6.1728395061728399E-2</v>
      </c>
      <c r="D58" s="6">
        <v>3.5978587758931757E-2</v>
      </c>
      <c r="E58" s="4">
        <v>66.199996999999996</v>
      </c>
      <c r="F58" s="7">
        <f>(Table3[[#This Row],[S&amp;P 500]]-E47)/E47</f>
        <v>-5.3745026497213078E-2</v>
      </c>
    </row>
    <row r="59" spans="1:6" x14ac:dyDescent="0.2">
      <c r="A59" s="9">
        <v>23043</v>
      </c>
      <c r="B59" s="4">
        <v>34.700000000000003</v>
      </c>
      <c r="C59" s="7">
        <f>(Table3[[#This Row],[Conference Board Leading Indicator]]-B47)/B47</f>
        <v>5.7926829268292859E-2</v>
      </c>
      <c r="E59" s="4">
        <v>64.290001000000004</v>
      </c>
      <c r="F59" s="7">
        <f>(Table3[[#This Row],[S&amp;P 500]]-E48)/E48</f>
        <v>-7.5629069347416131E-2</v>
      </c>
    </row>
    <row r="60" spans="1:6" x14ac:dyDescent="0.2">
      <c r="A60" s="9">
        <v>23071</v>
      </c>
      <c r="B60" s="4">
        <v>35</v>
      </c>
      <c r="C60" s="7">
        <f>(Table3[[#This Row],[Conference Board Leading Indicator]]-B48)/B48</f>
        <v>6.3829787234042604E-2</v>
      </c>
      <c r="E60" s="4">
        <v>66.569999999999993</v>
      </c>
      <c r="F60" s="7">
        <f>(Table3[[#This Row],[S&amp;P 500]]-E49)/E49</f>
        <v>2.0386297375422871E-2</v>
      </c>
    </row>
    <row r="61" spans="1:6" x14ac:dyDescent="0.2">
      <c r="A61" s="9">
        <v>23102</v>
      </c>
      <c r="B61" s="4">
        <v>35.299999999999997</v>
      </c>
      <c r="C61" s="7">
        <f>(Table3[[#This Row],[Conference Board Leading Indicator]]-B49)/B49</f>
        <v>6.6465256797582944E-2</v>
      </c>
      <c r="D61" s="6">
        <v>3.8221437201470199E-2</v>
      </c>
      <c r="E61" s="4">
        <v>69.800003000000004</v>
      </c>
      <c r="F61" s="7">
        <f>(Table3[[#This Row],[S&amp;P 500]]-E50)/E50</f>
        <v>0.17055176638350222</v>
      </c>
    </row>
    <row r="62" spans="1:6" x14ac:dyDescent="0.2">
      <c r="A62" s="9">
        <v>23132</v>
      </c>
      <c r="B62" s="4">
        <v>35.6</v>
      </c>
      <c r="C62" s="7">
        <f>(Table3[[#This Row],[Conference Board Leading Indicator]]-B50)/B50</f>
        <v>7.5528700906344406E-2</v>
      </c>
      <c r="E62" s="4">
        <v>70.800003000000004</v>
      </c>
      <c r="F62" s="7">
        <f>(Table3[[#This Row],[S&amp;P 500]]-E51)/E51</f>
        <v>0.29315073972602745</v>
      </c>
    </row>
    <row r="63" spans="1:6" x14ac:dyDescent="0.2">
      <c r="A63" s="9">
        <v>23163</v>
      </c>
      <c r="B63" s="4">
        <v>35.700000000000003</v>
      </c>
      <c r="C63" s="7">
        <f>(Table3[[#This Row],[Conference Board Leading Indicator]]-B51)/B51</f>
        <v>8.1818181818181901E-2</v>
      </c>
      <c r="E63" s="4">
        <v>69.370002999999997</v>
      </c>
      <c r="F63" s="7">
        <f>(Table3[[#This Row],[S&amp;P 500]]-E52)/E52</f>
        <v>0.19131037266014084</v>
      </c>
    </row>
    <row r="64" spans="1:6" x14ac:dyDescent="0.2">
      <c r="A64" s="9">
        <v>23193</v>
      </c>
      <c r="B64" s="4">
        <v>35.9</v>
      </c>
      <c r="C64" s="7">
        <f>(Table3[[#This Row],[Conference Board Leading Indicator]]-B52)/B52</f>
        <v>8.1325301204819136E-2</v>
      </c>
      <c r="D64" s="6">
        <v>4.8169126758357071E-2</v>
      </c>
      <c r="E64" s="4">
        <v>69.129997000000003</v>
      </c>
      <c r="F64" s="7">
        <f>(Table3[[#This Row],[S&amp;P 500]]-E53)/E53</f>
        <v>0.16931661314811597</v>
      </c>
    </row>
    <row r="65" spans="1:6" x14ac:dyDescent="0.2">
      <c r="A65" s="9">
        <v>23224</v>
      </c>
      <c r="B65" s="4">
        <v>36</v>
      </c>
      <c r="C65" s="7">
        <f>(Table3[[#This Row],[Conference Board Leading Indicator]]-B53)/B53</f>
        <v>7.7844311377245554E-2</v>
      </c>
      <c r="E65" s="4">
        <v>72.5</v>
      </c>
      <c r="F65" s="7">
        <f>(Table3[[#This Row],[S&amp;P 500]]-E54)/E54</f>
        <v>0.28843078016705165</v>
      </c>
    </row>
    <row r="66" spans="1:6" x14ac:dyDescent="0.2">
      <c r="A66" s="9">
        <v>23255</v>
      </c>
      <c r="B66" s="4">
        <v>36.4</v>
      </c>
      <c r="C66" s="7">
        <f>(Table3[[#This Row],[Conference Board Leading Indicator]]-B54)/B54</f>
        <v>8.6567164179104442E-2</v>
      </c>
      <c r="E66" s="4">
        <v>71.699996999999996</v>
      </c>
      <c r="F66" s="7">
        <f>(Table3[[#This Row],[S&amp;P 500]]-E55)/E55</f>
        <v>0.26857744161358799</v>
      </c>
    </row>
    <row r="67" spans="1:6" x14ac:dyDescent="0.2">
      <c r="A67" s="9">
        <v>23285</v>
      </c>
      <c r="B67" s="4">
        <v>36.6</v>
      </c>
      <c r="C67" s="7">
        <f>(Table3[[#This Row],[Conference Board Leading Indicator]]-B55)/B55</f>
        <v>8.9285714285714288E-2</v>
      </c>
      <c r="D67" s="6">
        <v>5.1582638359753498E-2</v>
      </c>
      <c r="E67" s="4">
        <v>74.010002</v>
      </c>
      <c r="F67" s="7">
        <f>(Table3[[#This Row],[S&amp;P 500]]-E56)/E56</f>
        <v>0.18872477316815842</v>
      </c>
    </row>
    <row r="68" spans="1:6" x14ac:dyDescent="0.2">
      <c r="A68" s="9">
        <v>23316</v>
      </c>
      <c r="B68" s="4">
        <v>36.799999999999997</v>
      </c>
      <c r="C68" s="7">
        <f>(Table3[[#This Row],[Conference Board Leading Indicator]]-B56)/B56</f>
        <v>8.2352941176470504E-2</v>
      </c>
      <c r="E68" s="4">
        <v>73.230002999999996</v>
      </c>
      <c r="F68" s="7">
        <f>(Table3[[#This Row],[S&amp;P 500]]-E57)/E57</f>
        <v>0.16053891158601935</v>
      </c>
    </row>
    <row r="69" spans="1:6" x14ac:dyDescent="0.2">
      <c r="A69" s="9">
        <v>23346</v>
      </c>
      <c r="B69" s="4">
        <v>37</v>
      </c>
      <c r="C69" s="7">
        <f>(Table3[[#This Row],[Conference Board Leading Indicator]]-B57)/B57</f>
        <v>8.5043988269794674E-2</v>
      </c>
      <c r="E69" s="4">
        <v>75.019997000000004</v>
      </c>
      <c r="F69" s="7">
        <f>(Table3[[#This Row],[S&amp;P 500]]-E58)/E58</f>
        <v>0.13323263443652433</v>
      </c>
    </row>
    <row r="70" spans="1:6" x14ac:dyDescent="0.2">
      <c r="A70" s="9">
        <v>23377</v>
      </c>
      <c r="B70" s="4">
        <v>37.200000000000003</v>
      </c>
      <c r="C70" s="7">
        <f>(Table3[[#This Row],[Conference Board Leading Indicator]]-B58)/B58</f>
        <v>8.1395348837209433E-2</v>
      </c>
      <c r="D70" s="6">
        <v>6.2158351077956489E-2</v>
      </c>
      <c r="E70" s="4">
        <v>77.040001000000004</v>
      </c>
      <c r="F70" s="7">
        <f>(Table3[[#This Row],[S&amp;P 500]]-E59)/E59</f>
        <v>0.19832010890776</v>
      </c>
    </row>
    <row r="71" spans="1:6" x14ac:dyDescent="0.2">
      <c r="A71" s="9">
        <v>23408</v>
      </c>
      <c r="B71" s="4">
        <v>37.5</v>
      </c>
      <c r="C71" s="7">
        <f>(Table3[[#This Row],[Conference Board Leading Indicator]]-B59)/B59</f>
        <v>8.0691642651296747E-2</v>
      </c>
      <c r="E71" s="4">
        <v>77.800003000000004</v>
      </c>
      <c r="F71" s="7">
        <f>(Table3[[#This Row],[S&amp;P 500]]-E60)/E60</f>
        <v>0.16869465224575653</v>
      </c>
    </row>
    <row r="72" spans="1:6" x14ac:dyDescent="0.2">
      <c r="A72" s="9">
        <v>23437</v>
      </c>
      <c r="B72" s="4">
        <v>37.700000000000003</v>
      </c>
      <c r="C72" s="7">
        <f>(Table3[[#This Row],[Conference Board Leading Indicator]]-B60)/B60</f>
        <v>7.7142857142857221E-2</v>
      </c>
      <c r="E72" s="4">
        <v>78.980002999999996</v>
      </c>
      <c r="F72" s="7">
        <f>(Table3[[#This Row],[S&amp;P 500]]-E61)/E61</f>
        <v>0.131518618989171</v>
      </c>
    </row>
    <row r="73" spans="1:6" x14ac:dyDescent="0.2">
      <c r="A73" s="9">
        <v>23468</v>
      </c>
      <c r="B73" s="4">
        <v>38</v>
      </c>
      <c r="C73" s="7">
        <f>(Table3[[#This Row],[Conference Board Leading Indicator]]-B61)/B61</f>
        <v>7.648725212464598E-2</v>
      </c>
      <c r="D73" s="6">
        <v>6.1807324304429978E-2</v>
      </c>
      <c r="E73" s="4">
        <v>79.459998999999996</v>
      </c>
      <c r="F73" s="7">
        <f>(Table3[[#This Row],[S&amp;P 500]]-E62)/E62</f>
        <v>0.12231632250072068</v>
      </c>
    </row>
    <row r="74" spans="1:6" x14ac:dyDescent="0.2">
      <c r="A74" s="9">
        <v>23498</v>
      </c>
      <c r="B74" s="4">
        <v>38.299999999999997</v>
      </c>
      <c r="C74" s="7">
        <f>(Table3[[#This Row],[Conference Board Leading Indicator]]-B62)/B62</f>
        <v>7.5842696629213363E-2</v>
      </c>
      <c r="E74" s="4">
        <v>80.370002999999997</v>
      </c>
      <c r="F74" s="7">
        <f>(Table3[[#This Row],[S&amp;P 500]]-E63)/E63</f>
        <v>0.1585699801685175</v>
      </c>
    </row>
    <row r="75" spans="1:6" x14ac:dyDescent="0.2">
      <c r="A75" s="9">
        <v>23529</v>
      </c>
      <c r="B75" s="4">
        <v>38.5</v>
      </c>
      <c r="C75" s="7">
        <f>(Table3[[#This Row],[Conference Board Leading Indicator]]-B63)/B63</f>
        <v>7.8431372549019523E-2</v>
      </c>
      <c r="E75" s="4">
        <v>81.690002000000007</v>
      </c>
      <c r="F75" s="7">
        <f>(Table3[[#This Row],[S&amp;P 500]]-E64)/E64</f>
        <v>0.18168675748676805</v>
      </c>
    </row>
    <row r="76" spans="1:6" x14ac:dyDescent="0.2">
      <c r="A76" s="9">
        <v>23559</v>
      </c>
      <c r="B76" s="4">
        <v>38.799999999999997</v>
      </c>
      <c r="C76" s="7">
        <f>(Table3[[#This Row],[Conference Board Leading Indicator]]-B64)/B64</f>
        <v>8.0779944289693553E-2</v>
      </c>
      <c r="D76" s="6">
        <v>5.5198199866676644E-2</v>
      </c>
      <c r="E76" s="4">
        <v>83.18</v>
      </c>
      <c r="F76" s="7">
        <f>(Table3[[#This Row],[S&amp;P 500]]-E65)/E65</f>
        <v>0.14731034482758631</v>
      </c>
    </row>
    <row r="77" spans="1:6" x14ac:dyDescent="0.2">
      <c r="A77" s="9">
        <v>23590</v>
      </c>
      <c r="B77" s="4">
        <v>39.1</v>
      </c>
      <c r="C77" s="7">
        <f>(Table3[[#This Row],[Conference Board Leading Indicator]]-B65)/B65</f>
        <v>8.6111111111111152E-2</v>
      </c>
      <c r="E77" s="4">
        <v>81.830001999999993</v>
      </c>
      <c r="F77" s="7">
        <f>(Table3[[#This Row],[S&amp;P 500]]-E66)/E66</f>
        <v>0.14128319977475032</v>
      </c>
    </row>
    <row r="78" spans="1:6" x14ac:dyDescent="0.2">
      <c r="A78" s="9">
        <v>23621</v>
      </c>
      <c r="B78" s="4">
        <v>39.4</v>
      </c>
      <c r="C78" s="7">
        <f>(Table3[[#This Row],[Conference Board Leading Indicator]]-B66)/B66</f>
        <v>8.2417582417582416E-2</v>
      </c>
      <c r="E78" s="4">
        <v>84.18</v>
      </c>
      <c r="F78" s="7">
        <f>(Table3[[#This Row],[S&amp;P 500]]-E67)/E67</f>
        <v>0.13741383225472695</v>
      </c>
    </row>
    <row r="79" spans="1:6" x14ac:dyDescent="0.2">
      <c r="A79" s="9">
        <v>23651</v>
      </c>
      <c r="B79" s="4">
        <v>39.5</v>
      </c>
      <c r="C79" s="7">
        <f>(Table3[[#This Row],[Conference Board Leading Indicator]]-B67)/B67</f>
        <v>7.9234972677595591E-2</v>
      </c>
      <c r="D79" s="6">
        <v>5.1563624698257815E-2</v>
      </c>
      <c r="E79" s="4">
        <v>84.860000999999997</v>
      </c>
      <c r="F79" s="7">
        <f>(Table3[[#This Row],[S&amp;P 500]]-E68)/E68</f>
        <v>0.15881465961431138</v>
      </c>
    </row>
    <row r="80" spans="1:6" x14ac:dyDescent="0.2">
      <c r="A80" s="9">
        <v>23682</v>
      </c>
      <c r="B80" s="4">
        <v>39.799999999999997</v>
      </c>
      <c r="C80" s="7">
        <f>(Table3[[#This Row],[Conference Board Leading Indicator]]-B68)/B68</f>
        <v>8.1521739130434784E-2</v>
      </c>
      <c r="E80" s="4">
        <v>84.419998000000007</v>
      </c>
      <c r="F80" s="7">
        <f>(Table3[[#This Row],[S&amp;P 500]]-E69)/E69</f>
        <v>0.12529993836176775</v>
      </c>
    </row>
    <row r="81" spans="1:6" x14ac:dyDescent="0.2">
      <c r="A81" s="9">
        <v>23712</v>
      </c>
      <c r="B81" s="4">
        <v>40.1</v>
      </c>
      <c r="C81" s="7">
        <f>(Table3[[#This Row],[Conference Board Leading Indicator]]-B69)/B69</f>
        <v>8.3783783783783816E-2</v>
      </c>
      <c r="E81" s="4">
        <v>84.75</v>
      </c>
      <c r="F81" s="7">
        <f>(Table3[[#This Row],[S&amp;P 500]]-E70)/E70</f>
        <v>0.10007786734062991</v>
      </c>
    </row>
    <row r="82" spans="1:6" x14ac:dyDescent="0.2">
      <c r="A82" s="9">
        <v>23743</v>
      </c>
      <c r="B82" s="4">
        <v>40.5</v>
      </c>
      <c r="C82" s="7">
        <f>(Table3[[#This Row],[Conference Board Leading Indicator]]-B70)/B70</f>
        <v>8.870967741935476E-2</v>
      </c>
      <c r="D82" s="6">
        <v>5.4771475886737371E-2</v>
      </c>
      <c r="E82" s="4">
        <v>87.559997999999993</v>
      </c>
      <c r="F82" s="7">
        <f>(Table3[[#This Row],[S&amp;P 500]]-E71)/E71</f>
        <v>0.12544980236054731</v>
      </c>
    </row>
    <row r="83" spans="1:6" x14ac:dyDescent="0.2">
      <c r="A83" s="9">
        <v>23774</v>
      </c>
      <c r="B83" s="4">
        <v>40.6</v>
      </c>
      <c r="C83" s="7">
        <f>(Table3[[#This Row],[Conference Board Leading Indicator]]-B71)/B71</f>
        <v>8.2666666666666708E-2</v>
      </c>
      <c r="E83" s="4">
        <v>87.43</v>
      </c>
      <c r="F83" s="7">
        <f>(Table3[[#This Row],[S&amp;P 500]]-E72)/E72</f>
        <v>0.10698906911917959</v>
      </c>
    </row>
    <row r="84" spans="1:6" x14ac:dyDescent="0.2">
      <c r="A84" s="9">
        <v>23802</v>
      </c>
      <c r="B84" s="4">
        <v>41.1</v>
      </c>
      <c r="C84" s="7">
        <f>(Table3[[#This Row],[Conference Board Leading Indicator]]-B72)/B72</f>
        <v>9.0185676392572897E-2</v>
      </c>
      <c r="E84" s="4">
        <v>86.160004000000001</v>
      </c>
      <c r="F84" s="7">
        <f>(Table3[[#This Row],[S&amp;P 500]]-E73)/E73</f>
        <v>8.4319218277362482E-2</v>
      </c>
    </row>
    <row r="85" spans="1:6" x14ac:dyDescent="0.2">
      <c r="A85" s="9">
        <v>23833</v>
      </c>
      <c r="B85" s="4">
        <v>41.2</v>
      </c>
      <c r="C85" s="7">
        <f>(Table3[[#This Row],[Conference Board Leading Indicator]]-B73)/B73</f>
        <v>8.4210526315789555E-2</v>
      </c>
      <c r="D85" s="6">
        <v>5.6592922808848874E-2</v>
      </c>
      <c r="E85" s="4">
        <v>89.110000999999997</v>
      </c>
      <c r="F85" s="7">
        <f>(Table3[[#This Row],[S&amp;P 500]]-E74)/E74</f>
        <v>0.10874701597311126</v>
      </c>
    </row>
    <row r="86" spans="1:6" x14ac:dyDescent="0.2">
      <c r="A86" s="9">
        <v>23863</v>
      </c>
      <c r="B86" s="4">
        <v>41.4</v>
      </c>
      <c r="C86" s="7">
        <f>(Table3[[#This Row],[Conference Board Leading Indicator]]-B74)/B74</f>
        <v>8.0939947780678895E-2</v>
      </c>
      <c r="E86" s="4">
        <v>88.419998000000007</v>
      </c>
      <c r="F86" s="7">
        <f>(Table3[[#This Row],[S&amp;P 500]]-E75)/E75</f>
        <v>8.2384573818470461E-2</v>
      </c>
    </row>
    <row r="87" spans="1:6" x14ac:dyDescent="0.2">
      <c r="A87" s="9">
        <v>23894</v>
      </c>
      <c r="B87" s="4">
        <v>41.6</v>
      </c>
      <c r="C87" s="7">
        <f>(Table3[[#This Row],[Conference Board Leading Indicator]]-B75)/B75</f>
        <v>8.051948051948056E-2</v>
      </c>
      <c r="E87" s="4">
        <v>84.120002999999997</v>
      </c>
      <c r="F87" s="7">
        <f>(Table3[[#This Row],[S&amp;P 500]]-E76)/E76</f>
        <v>1.1300829526328325E-2</v>
      </c>
    </row>
    <row r="88" spans="1:6" x14ac:dyDescent="0.2">
      <c r="A88" s="9">
        <v>23924</v>
      </c>
      <c r="B88" s="4">
        <v>41.8</v>
      </c>
      <c r="C88" s="7">
        <f>(Table3[[#This Row],[Conference Board Leading Indicator]]-B76)/B76</f>
        <v>7.7319587628865982E-2</v>
      </c>
      <c r="D88" s="6">
        <v>6.3469226156710967E-2</v>
      </c>
      <c r="E88" s="4">
        <v>85.25</v>
      </c>
      <c r="F88" s="7">
        <f>(Table3[[#This Row],[S&amp;P 500]]-E77)/E77</f>
        <v>4.179393763182368E-2</v>
      </c>
    </row>
    <row r="89" spans="1:6" x14ac:dyDescent="0.2">
      <c r="A89" s="9">
        <v>23955</v>
      </c>
      <c r="B89" s="4">
        <v>41.9</v>
      </c>
      <c r="C89" s="7">
        <f>(Table3[[#This Row],[Conference Board Leading Indicator]]-B77)/B77</f>
        <v>7.1611253196930874E-2</v>
      </c>
      <c r="E89" s="4">
        <v>87.169998000000007</v>
      </c>
      <c r="F89" s="7">
        <f>(Table3[[#This Row],[S&amp;P 500]]-E78)/E78</f>
        <v>3.5519101924447606E-2</v>
      </c>
    </row>
    <row r="90" spans="1:6" x14ac:dyDescent="0.2">
      <c r="A90" s="9">
        <v>23986</v>
      </c>
      <c r="B90" s="4">
        <v>42.3</v>
      </c>
      <c r="C90" s="7">
        <f>(Table3[[#This Row],[Conference Board Leading Indicator]]-B78)/B78</f>
        <v>7.3604060913705555E-2</v>
      </c>
      <c r="E90" s="4">
        <v>89.959998999999996</v>
      </c>
      <c r="F90" s="7">
        <f>(Table3[[#This Row],[S&amp;P 500]]-E79)/E79</f>
        <v>6.0098962289665769E-2</v>
      </c>
    </row>
    <row r="91" spans="1:6" x14ac:dyDescent="0.2">
      <c r="A91" s="9">
        <v>24016</v>
      </c>
      <c r="B91" s="4">
        <v>42.8</v>
      </c>
      <c r="C91" s="7">
        <f>(Table3[[#This Row],[Conference Board Leading Indicator]]-B79)/B79</f>
        <v>8.3544303797468286E-2</v>
      </c>
      <c r="D91" s="6">
        <v>8.4621697360409531E-2</v>
      </c>
      <c r="E91" s="4">
        <v>92.419998000000007</v>
      </c>
      <c r="F91" s="7">
        <f>(Table3[[#This Row],[S&amp;P 500]]-E80)/E80</f>
        <v>9.4764276113818421E-2</v>
      </c>
    </row>
    <row r="92" spans="1:6" x14ac:dyDescent="0.2">
      <c r="A92" s="9">
        <v>24047</v>
      </c>
      <c r="B92" s="4">
        <v>43.1</v>
      </c>
      <c r="C92" s="7">
        <f>(Table3[[#This Row],[Conference Board Leading Indicator]]-B80)/B80</f>
        <v>8.2914572864321717E-2</v>
      </c>
      <c r="E92" s="4">
        <v>91.610000999999997</v>
      </c>
      <c r="F92" s="7">
        <f>(Table3[[#This Row],[S&amp;P 500]]-E81)/E81</f>
        <v>8.0943964601769877E-2</v>
      </c>
    </row>
    <row r="93" spans="1:6" x14ac:dyDescent="0.2">
      <c r="A93" s="9">
        <v>24077</v>
      </c>
      <c r="B93" s="4">
        <v>43.5</v>
      </c>
      <c r="C93" s="7">
        <f>(Table3[[#This Row],[Conference Board Leading Indicator]]-B81)/B81</f>
        <v>8.4788029925186997E-2</v>
      </c>
      <c r="E93" s="4">
        <v>92.43</v>
      </c>
      <c r="F93" s="7">
        <f>(Table3[[#This Row],[S&amp;P 500]]-E82)/E82</f>
        <v>5.5619028223367638E-2</v>
      </c>
    </row>
    <row r="94" spans="1:6" x14ac:dyDescent="0.2">
      <c r="A94" s="9">
        <v>24108</v>
      </c>
      <c r="B94" s="4">
        <v>43.7</v>
      </c>
      <c r="C94" s="7">
        <f>(Table3[[#This Row],[Conference Board Leading Indicator]]-B82)/B82</f>
        <v>7.9012345679012413E-2</v>
      </c>
      <c r="D94" s="6">
        <v>8.4774897835246998E-2</v>
      </c>
      <c r="E94" s="4">
        <v>92.879997000000003</v>
      </c>
      <c r="F94" s="7">
        <f>(Table3[[#This Row],[S&amp;P 500]]-E83)/E83</f>
        <v>6.233554843875095E-2</v>
      </c>
    </row>
    <row r="95" spans="1:6" x14ac:dyDescent="0.2">
      <c r="A95" s="9">
        <v>24139</v>
      </c>
      <c r="B95" s="4">
        <v>43.9</v>
      </c>
      <c r="C95" s="7">
        <f>(Table3[[#This Row],[Conference Board Leading Indicator]]-B83)/B83</f>
        <v>8.128078817733983E-2</v>
      </c>
      <c r="E95" s="4">
        <v>91.220000999999996</v>
      </c>
      <c r="F95" s="7">
        <f>(Table3[[#This Row],[S&amp;P 500]]-E84)/E84</f>
        <v>5.8727910458314228E-2</v>
      </c>
    </row>
    <row r="96" spans="1:6" x14ac:dyDescent="0.2">
      <c r="A96" s="9">
        <v>24167</v>
      </c>
      <c r="B96" s="4">
        <v>44.3</v>
      </c>
      <c r="C96" s="7">
        <f>(Table3[[#This Row],[Conference Board Leading Indicator]]-B84)/B84</f>
        <v>7.7858880778588699E-2</v>
      </c>
      <c r="E96" s="4">
        <v>89.230002999999996</v>
      </c>
      <c r="F96" s="7">
        <f>(Table3[[#This Row],[S&amp;P 500]]-E85)/E85</f>
        <v>1.3466726366662201E-3</v>
      </c>
    </row>
    <row r="97" spans="1:6" x14ac:dyDescent="0.2">
      <c r="A97" s="9">
        <v>24198</v>
      </c>
      <c r="B97" s="4">
        <v>44.5</v>
      </c>
      <c r="C97" s="7">
        <f>(Table3[[#This Row],[Conference Board Leading Indicator]]-B85)/B85</f>
        <v>8.0097087378640699E-2</v>
      </c>
      <c r="D97" s="6">
        <v>7.490174733793456E-2</v>
      </c>
      <c r="E97" s="4">
        <v>91.059997999999993</v>
      </c>
      <c r="F97" s="7">
        <f>(Table3[[#This Row],[S&amp;P 500]]-E86)/E86</f>
        <v>2.9857498978907309E-2</v>
      </c>
    </row>
    <row r="98" spans="1:6" x14ac:dyDescent="0.2">
      <c r="A98" s="9">
        <v>24228</v>
      </c>
      <c r="B98" s="4">
        <v>44.3</v>
      </c>
      <c r="C98" s="7">
        <f>(Table3[[#This Row],[Conference Board Leading Indicator]]-B86)/B86</f>
        <v>7.0048309178743925E-2</v>
      </c>
      <c r="E98" s="4">
        <v>86.129997000000003</v>
      </c>
      <c r="F98" s="7">
        <f>(Table3[[#This Row],[S&amp;P 500]]-E87)/E87</f>
        <v>2.3894364340429304E-2</v>
      </c>
    </row>
    <row r="99" spans="1:6" x14ac:dyDescent="0.2">
      <c r="A99" s="9">
        <v>24259</v>
      </c>
      <c r="B99" s="4">
        <v>44.2</v>
      </c>
      <c r="C99" s="7">
        <f>(Table3[[#This Row],[Conference Board Leading Indicator]]-B87)/B87</f>
        <v>6.2500000000000028E-2</v>
      </c>
      <c r="E99" s="4">
        <v>84.739998</v>
      </c>
      <c r="F99" s="7">
        <f>(Table3[[#This Row],[S&amp;P 500]]-E88)/E88</f>
        <v>-5.9824281524926692E-3</v>
      </c>
    </row>
    <row r="100" spans="1:6" x14ac:dyDescent="0.2">
      <c r="A100" s="9">
        <v>24289</v>
      </c>
      <c r="B100" s="4">
        <v>44.1</v>
      </c>
      <c r="C100" s="7">
        <f>(Table3[[#This Row],[Conference Board Leading Indicator]]-B88)/B88</f>
        <v>5.5023923444976183E-2</v>
      </c>
      <c r="D100" s="6">
        <v>6.0428966256575838E-2</v>
      </c>
      <c r="E100" s="4">
        <v>83.599997999999999</v>
      </c>
      <c r="F100" s="7">
        <f>(Table3[[#This Row],[S&amp;P 500]]-E89)/E89</f>
        <v>-4.0954457748180829E-2</v>
      </c>
    </row>
    <row r="101" spans="1:6" x14ac:dyDescent="0.2">
      <c r="A101" s="9">
        <v>24320</v>
      </c>
      <c r="B101" s="4">
        <v>44</v>
      </c>
      <c r="C101" s="7">
        <f>(Table3[[#This Row],[Conference Board Leading Indicator]]-B89)/B89</f>
        <v>5.0119331742243471E-2</v>
      </c>
      <c r="E101" s="4">
        <v>77.099997999999999</v>
      </c>
      <c r="F101" s="7">
        <f>(Table3[[#This Row],[S&amp;P 500]]-E90)/E90</f>
        <v>-0.1429524360043623</v>
      </c>
    </row>
    <row r="102" spans="1:6" x14ac:dyDescent="0.2">
      <c r="A102" s="9">
        <v>24351</v>
      </c>
      <c r="B102" s="4">
        <v>43.9</v>
      </c>
      <c r="C102" s="7">
        <f>(Table3[[#This Row],[Conference Board Leading Indicator]]-B90)/B90</f>
        <v>3.782505910165488E-2</v>
      </c>
      <c r="E102" s="4">
        <v>76.559997999999993</v>
      </c>
      <c r="F102" s="7">
        <f>(Table3[[#This Row],[S&amp;P 500]]-E91)/E91</f>
        <v>-0.17160788079653511</v>
      </c>
    </row>
    <row r="103" spans="1:6" x14ac:dyDescent="0.2">
      <c r="A103" s="9">
        <v>24381</v>
      </c>
      <c r="B103" s="4">
        <v>43.8</v>
      </c>
      <c r="C103" s="7">
        <f>(Table3[[#This Row],[Conference Board Leading Indicator]]-B91)/B91</f>
        <v>2.3364485981308414E-2</v>
      </c>
      <c r="D103" s="6">
        <v>4.5050027045729968E-2</v>
      </c>
      <c r="E103" s="4">
        <v>80.199996999999996</v>
      </c>
      <c r="F103" s="7">
        <f>(Table3[[#This Row],[S&amp;P 500]]-E92)/E92</f>
        <v>-0.12454976394989889</v>
      </c>
    </row>
    <row r="104" spans="1:6" x14ac:dyDescent="0.2">
      <c r="A104" s="9">
        <v>24412</v>
      </c>
      <c r="B104" s="4">
        <v>43.8</v>
      </c>
      <c r="C104" s="7">
        <f>(Table3[[#This Row],[Conference Board Leading Indicator]]-B92)/B92</f>
        <v>1.6241299303944218E-2</v>
      </c>
      <c r="E104" s="4">
        <v>80.449996999999996</v>
      </c>
      <c r="F104" s="7">
        <f>(Table3[[#This Row],[S&amp;P 500]]-E93)/E93</f>
        <v>-0.12961163042302293</v>
      </c>
    </row>
    <row r="105" spans="1:6" x14ac:dyDescent="0.2">
      <c r="A105" s="9">
        <v>24442</v>
      </c>
      <c r="B105" s="4">
        <v>43.7</v>
      </c>
      <c r="C105" s="7">
        <f>(Table3[[#This Row],[Conference Board Leading Indicator]]-B93)/B93</f>
        <v>4.5977011494253523E-3</v>
      </c>
      <c r="E105" s="4">
        <v>80.330001999999993</v>
      </c>
      <c r="F105" s="7">
        <f>(Table3[[#This Row],[S&amp;P 500]]-E94)/E94</f>
        <v>-0.13512053623343689</v>
      </c>
    </row>
    <row r="106" spans="1:6" x14ac:dyDescent="0.2">
      <c r="A106" s="9">
        <v>24473</v>
      </c>
      <c r="B106" s="4">
        <v>44</v>
      </c>
      <c r="C106" s="7">
        <f>(Table3[[#This Row],[Conference Board Leading Indicator]]-B94)/B94</f>
        <v>6.8649885583523373E-3</v>
      </c>
      <c r="D106" s="6">
        <v>2.925050599168132E-2</v>
      </c>
      <c r="E106" s="4">
        <v>86.610000999999997</v>
      </c>
      <c r="F106" s="7">
        <f>(Table3[[#This Row],[S&amp;P 500]]-E95)/E95</f>
        <v>-5.0537162348858113E-2</v>
      </c>
    </row>
    <row r="107" spans="1:6" x14ac:dyDescent="0.2">
      <c r="A107" s="9">
        <v>24504</v>
      </c>
      <c r="B107" s="4">
        <v>43.7</v>
      </c>
      <c r="C107" s="7">
        <f>(Table3[[#This Row],[Conference Board Leading Indicator]]-B95)/B95</f>
        <v>-4.5558086560363491E-3</v>
      </c>
      <c r="E107" s="4">
        <v>86.779999000000004</v>
      </c>
      <c r="F107" s="7">
        <f>(Table3[[#This Row],[S&amp;P 500]]-E96)/E96</f>
        <v>-2.74571771559841E-2</v>
      </c>
    </row>
    <row r="108" spans="1:6" x14ac:dyDescent="0.2">
      <c r="A108" s="9">
        <v>24532</v>
      </c>
      <c r="B108" s="4">
        <v>44</v>
      </c>
      <c r="C108" s="7">
        <f>(Table3[[#This Row],[Conference Board Leading Indicator]]-B96)/B96</f>
        <v>-6.772009029345309E-3</v>
      </c>
      <c r="E108" s="4">
        <v>90.199996999999996</v>
      </c>
      <c r="F108" s="7">
        <f>(Table3[[#This Row],[S&amp;P 500]]-E97)/E97</f>
        <v>-9.4443336139761053E-3</v>
      </c>
    </row>
    <row r="109" spans="1:6" x14ac:dyDescent="0.2">
      <c r="A109" s="9">
        <v>24563</v>
      </c>
      <c r="B109" s="4">
        <v>44.1</v>
      </c>
      <c r="C109" s="7">
        <f>(Table3[[#This Row],[Conference Board Leading Indicator]]-B97)/B97</f>
        <v>-8.9887640449437881E-3</v>
      </c>
      <c r="D109" s="6">
        <v>2.6374869480320692E-2</v>
      </c>
      <c r="E109" s="4">
        <v>94.010002</v>
      </c>
      <c r="F109" s="7">
        <f>(Table3[[#This Row],[S&amp;P 500]]-E98)/E98</f>
        <v>9.1489669969453236E-2</v>
      </c>
    </row>
    <row r="110" spans="1:6" x14ac:dyDescent="0.2">
      <c r="A110" s="9">
        <v>24593</v>
      </c>
      <c r="B110" s="4">
        <v>44.5</v>
      </c>
      <c r="C110" s="7">
        <f>(Table3[[#This Row],[Conference Board Leading Indicator]]-B98)/B98</f>
        <v>4.514672686230313E-3</v>
      </c>
      <c r="E110" s="4">
        <v>89.080001999999993</v>
      </c>
      <c r="F110" s="7">
        <f>(Table3[[#This Row],[S&amp;P 500]]-E99)/E99</f>
        <v>5.1215531064798862E-2</v>
      </c>
    </row>
    <row r="111" spans="1:6" x14ac:dyDescent="0.2">
      <c r="A111" s="9">
        <v>24624</v>
      </c>
      <c r="B111" s="4">
        <v>44.8</v>
      </c>
      <c r="C111" s="7">
        <f>(Table3[[#This Row],[Conference Board Leading Indicator]]-B99)/B99</f>
        <v>1.3574660633484033E-2</v>
      </c>
      <c r="E111" s="4">
        <v>90.639999000000003</v>
      </c>
      <c r="F111" s="7">
        <f>(Table3[[#This Row],[S&amp;P 500]]-E100)/E100</f>
        <v>8.4210540292118233E-2</v>
      </c>
    </row>
    <row r="112" spans="1:6" x14ac:dyDescent="0.2">
      <c r="A112" s="9">
        <v>24654</v>
      </c>
      <c r="B112" s="4">
        <v>45</v>
      </c>
      <c r="C112" s="7">
        <f>(Table3[[#This Row],[Conference Board Leading Indicator]]-B100)/B100</f>
        <v>2.040816326530609E-2</v>
      </c>
      <c r="D112" s="6">
        <v>2.7384763393392866E-2</v>
      </c>
      <c r="E112" s="4">
        <v>94.75</v>
      </c>
      <c r="F112" s="7">
        <f>(Table3[[#This Row],[S&amp;P 500]]-E101)/E101</f>
        <v>0.2289235078838783</v>
      </c>
    </row>
    <row r="113" spans="1:6" x14ac:dyDescent="0.2">
      <c r="A113" s="9">
        <v>24685</v>
      </c>
      <c r="B113" s="4">
        <v>45.5</v>
      </c>
      <c r="C113" s="7">
        <f>(Table3[[#This Row],[Conference Board Leading Indicator]]-B101)/B101</f>
        <v>3.4090909090909088E-2</v>
      </c>
      <c r="E113" s="4">
        <v>93.639999000000003</v>
      </c>
      <c r="F113" s="7">
        <f>(Table3[[#This Row],[S&amp;P 500]]-E102)/E102</f>
        <v>0.22309301784464533</v>
      </c>
    </row>
    <row r="114" spans="1:6" x14ac:dyDescent="0.2">
      <c r="A114" s="9">
        <v>24716</v>
      </c>
      <c r="B114" s="4">
        <v>45.7</v>
      </c>
      <c r="C114" s="7">
        <f>(Table3[[#This Row],[Conference Board Leading Indicator]]-B102)/B102</f>
        <v>4.1002277904328116E-2</v>
      </c>
      <c r="E114" s="4">
        <v>96.709998999999996</v>
      </c>
      <c r="F114" s="7">
        <f>(Table3[[#This Row],[S&amp;P 500]]-E103)/E103</f>
        <v>0.20586038176535096</v>
      </c>
    </row>
    <row r="115" spans="1:6" x14ac:dyDescent="0.2">
      <c r="A115" s="9">
        <v>24746</v>
      </c>
      <c r="B115" s="4">
        <v>45.8</v>
      </c>
      <c r="C115" s="7">
        <f>(Table3[[#This Row],[Conference Board Leading Indicator]]-B103)/B103</f>
        <v>4.5662100456621009E-2</v>
      </c>
      <c r="D115" s="6">
        <v>2.6708620111718179E-2</v>
      </c>
      <c r="E115" s="4">
        <v>93.300003000000004</v>
      </c>
      <c r="F115" s="7">
        <f>(Table3[[#This Row],[S&amp;P 500]]-E104)/E104</f>
        <v>0.15972661875922764</v>
      </c>
    </row>
    <row r="116" spans="1:6" x14ac:dyDescent="0.2">
      <c r="A116" s="9">
        <v>24777</v>
      </c>
      <c r="B116" s="4">
        <v>46.1</v>
      </c>
      <c r="C116" s="7">
        <f>(Table3[[#This Row],[Conference Board Leading Indicator]]-B104)/B104</f>
        <v>5.2511415525114256E-2</v>
      </c>
      <c r="E116" s="4">
        <v>94</v>
      </c>
      <c r="F116" s="7">
        <f>(Table3[[#This Row],[S&amp;P 500]]-E105)/E105</f>
        <v>0.1701730070914228</v>
      </c>
    </row>
    <row r="117" spans="1:6" x14ac:dyDescent="0.2">
      <c r="A117" s="9">
        <v>24807</v>
      </c>
      <c r="B117" s="4">
        <v>46.5</v>
      </c>
      <c r="C117" s="7">
        <f>(Table3[[#This Row],[Conference Board Leading Indicator]]-B105)/B105</f>
        <v>6.4073226544622358E-2</v>
      </c>
      <c r="E117" s="4">
        <v>96.470000999999996</v>
      </c>
      <c r="F117" s="7">
        <f>(Table3[[#This Row],[S&amp;P 500]]-E106)/E106</f>
        <v>0.11384366569860679</v>
      </c>
    </row>
    <row r="118" spans="1:6" x14ac:dyDescent="0.2">
      <c r="A118" s="9">
        <v>24838</v>
      </c>
      <c r="B118" s="4">
        <v>46.6</v>
      </c>
      <c r="C118" s="7">
        <f>(Table3[[#This Row],[Conference Board Leading Indicator]]-B106)/B106</f>
        <v>5.9090909090909124E-2</v>
      </c>
      <c r="D118" s="6">
        <v>3.8451879810150434E-2</v>
      </c>
      <c r="E118" s="4">
        <v>92.239998</v>
      </c>
      <c r="F118" s="7">
        <f>(Table3[[#This Row],[S&amp;P 500]]-E107)/E107</f>
        <v>6.291771217927758E-2</v>
      </c>
    </row>
    <row r="119" spans="1:6" x14ac:dyDescent="0.2">
      <c r="A119" s="9">
        <v>24869</v>
      </c>
      <c r="B119" s="4">
        <v>46.8</v>
      </c>
      <c r="C119" s="7">
        <f>(Table3[[#This Row],[Conference Board Leading Indicator]]-B107)/B107</f>
        <v>7.0938215102974697E-2</v>
      </c>
      <c r="E119" s="4">
        <v>89.360000999999997</v>
      </c>
      <c r="F119" s="7">
        <f>(Table3[[#This Row],[S&amp;P 500]]-E108)/E108</f>
        <v>-9.3125945447647771E-3</v>
      </c>
    </row>
    <row r="120" spans="1:6" x14ac:dyDescent="0.2">
      <c r="A120" s="9">
        <v>24898</v>
      </c>
      <c r="B120" s="4">
        <v>46.9</v>
      </c>
      <c r="C120" s="7">
        <f>(Table3[[#This Row],[Conference Board Leading Indicator]]-B108)/B108</f>
        <v>6.5909090909090876E-2</v>
      </c>
      <c r="E120" s="4">
        <v>90.199996999999996</v>
      </c>
      <c r="F120" s="7">
        <f>(Table3[[#This Row],[S&amp;P 500]]-E109)/E109</f>
        <v>-4.0527655770074375E-2</v>
      </c>
    </row>
    <row r="121" spans="1:6" x14ac:dyDescent="0.2">
      <c r="A121" s="9">
        <v>24929</v>
      </c>
      <c r="B121" s="4">
        <v>47</v>
      </c>
      <c r="C121" s="7">
        <f>(Table3[[#This Row],[Conference Board Leading Indicator]]-B109)/B109</f>
        <v>6.5759637188208583E-2</v>
      </c>
      <c r="D121" s="6">
        <v>5.5155926026304647E-2</v>
      </c>
      <c r="E121" s="4">
        <v>97.459998999999996</v>
      </c>
      <c r="F121" s="7">
        <f>(Table3[[#This Row],[S&amp;P 500]]-E110)/E110</f>
        <v>9.4072707811569248E-2</v>
      </c>
    </row>
    <row r="122" spans="1:6" x14ac:dyDescent="0.2">
      <c r="A122" s="9">
        <v>24959</v>
      </c>
      <c r="B122" s="4">
        <v>47.3</v>
      </c>
      <c r="C122" s="7">
        <f>(Table3[[#This Row],[Conference Board Leading Indicator]]-B110)/B110</f>
        <v>6.2921348314606676E-2</v>
      </c>
      <c r="E122" s="4">
        <v>98.68</v>
      </c>
      <c r="F122" s="7">
        <f>(Table3[[#This Row],[S&amp;P 500]]-E111)/E111</f>
        <v>8.8702571587627704E-2</v>
      </c>
    </row>
    <row r="123" spans="1:6" x14ac:dyDescent="0.2">
      <c r="A123" s="9">
        <v>24990</v>
      </c>
      <c r="B123" s="4">
        <v>47.5</v>
      </c>
      <c r="C123" s="7">
        <f>(Table3[[#This Row],[Conference Board Leading Indicator]]-B111)/B111</f>
        <v>6.0267857142857213E-2</v>
      </c>
      <c r="E123" s="4">
        <v>99.580001999999993</v>
      </c>
      <c r="F123" s="7">
        <f>(Table3[[#This Row],[S&amp;P 500]]-E112)/E112</f>
        <v>5.0976274406332379E-2</v>
      </c>
    </row>
    <row r="124" spans="1:6" x14ac:dyDescent="0.2">
      <c r="A124" s="9">
        <v>25020</v>
      </c>
      <c r="B124" s="4">
        <v>47.6</v>
      </c>
      <c r="C124" s="7">
        <f>(Table3[[#This Row],[Conference Board Leading Indicator]]-B112)/B112</f>
        <v>5.777777777777781E-2</v>
      </c>
      <c r="D124" s="6">
        <v>5.3366843406545982E-2</v>
      </c>
      <c r="E124" s="4">
        <v>97.739998</v>
      </c>
      <c r="F124" s="7">
        <f>(Table3[[#This Row],[S&amp;P 500]]-E113)/E113</f>
        <v>4.3784697178392715E-2</v>
      </c>
    </row>
    <row r="125" spans="1:6" x14ac:dyDescent="0.2">
      <c r="A125" s="9">
        <v>25051</v>
      </c>
      <c r="B125" s="4">
        <v>47.5</v>
      </c>
      <c r="C125" s="7">
        <f>(Table3[[#This Row],[Conference Board Leading Indicator]]-B113)/B113</f>
        <v>4.3956043956043959E-2</v>
      </c>
      <c r="E125" s="4">
        <v>98.860000999999997</v>
      </c>
      <c r="F125" s="7">
        <f>(Table3[[#This Row],[S&amp;P 500]]-E114)/E114</f>
        <v>2.223143441455315E-2</v>
      </c>
    </row>
    <row r="126" spans="1:6" x14ac:dyDescent="0.2">
      <c r="A126" s="9">
        <v>25082</v>
      </c>
      <c r="B126" s="4">
        <v>48</v>
      </c>
      <c r="C126" s="7">
        <f>(Table3[[#This Row],[Conference Board Leading Indicator]]-B114)/B114</f>
        <v>5.0328227571115908E-2</v>
      </c>
      <c r="E126" s="4">
        <v>102.66999800000001</v>
      </c>
      <c r="F126" s="7">
        <f>(Table3[[#This Row],[S&amp;P 500]]-E115)/E115</f>
        <v>0.10042866772469453</v>
      </c>
    </row>
    <row r="127" spans="1:6" x14ac:dyDescent="0.2">
      <c r="A127" s="9">
        <v>25112</v>
      </c>
      <c r="B127" s="4">
        <v>48.3</v>
      </c>
      <c r="C127" s="7">
        <f>(Table3[[#This Row],[Conference Board Leading Indicator]]-B115)/B115</f>
        <v>5.458515283842795E-2</v>
      </c>
      <c r="D127" s="6">
        <v>4.9595600206505795E-2</v>
      </c>
      <c r="E127" s="4">
        <v>103.410004</v>
      </c>
      <c r="F127" s="7">
        <f>(Table3[[#This Row],[S&amp;P 500]]-E116)/E116</f>
        <v>0.1001064255319149</v>
      </c>
    </row>
    <row r="128" spans="1:6" x14ac:dyDescent="0.2">
      <c r="A128" s="9">
        <v>25143</v>
      </c>
      <c r="B128" s="4">
        <v>48.4</v>
      </c>
      <c r="C128" s="7">
        <f>(Table3[[#This Row],[Conference Board Leading Indicator]]-B116)/B116</f>
        <v>4.9891540130151783E-2</v>
      </c>
      <c r="E128" s="4">
        <v>108.370003</v>
      </c>
      <c r="F128" s="7">
        <f>(Table3[[#This Row],[S&amp;P 500]]-E117)/E117</f>
        <v>0.12335443015077818</v>
      </c>
    </row>
    <row r="129" spans="1:6" x14ac:dyDescent="0.2">
      <c r="A129" s="9">
        <v>25173</v>
      </c>
      <c r="B129" s="4">
        <v>48.4</v>
      </c>
      <c r="C129" s="7">
        <f>(Table3[[#This Row],[Conference Board Leading Indicator]]-B117)/B117</f>
        <v>4.0860215053763409E-2</v>
      </c>
      <c r="E129" s="4">
        <v>103.860001</v>
      </c>
      <c r="F129" s="7">
        <f>(Table3[[#This Row],[S&amp;P 500]]-E118)/E118</f>
        <v>0.12597575078004661</v>
      </c>
    </row>
    <row r="130" spans="1:6" x14ac:dyDescent="0.2">
      <c r="A130" s="9">
        <v>25204</v>
      </c>
      <c r="B130" s="4">
        <v>48.5</v>
      </c>
      <c r="C130" s="7">
        <f>(Table3[[#This Row],[Conference Board Leading Indicator]]-B118)/B118</f>
        <v>4.0772532188841172E-2</v>
      </c>
      <c r="D130" s="6">
        <v>4.4715990023764189E-2</v>
      </c>
      <c r="E130" s="4">
        <v>103.010002</v>
      </c>
      <c r="F130" s="7">
        <f>(Table3[[#This Row],[S&amp;P 500]]-E119)/E119</f>
        <v>0.152752919060509</v>
      </c>
    </row>
    <row r="131" spans="1:6" x14ac:dyDescent="0.2">
      <c r="A131" s="9">
        <v>25235</v>
      </c>
      <c r="B131" s="4">
        <v>48.7</v>
      </c>
      <c r="C131" s="7">
        <f>(Table3[[#This Row],[Conference Board Leading Indicator]]-B119)/B119</f>
        <v>4.0598290598290725E-2</v>
      </c>
      <c r="E131" s="4">
        <v>98.129997000000003</v>
      </c>
      <c r="F131" s="7">
        <f>(Table3[[#This Row],[S&amp;P 500]]-E120)/E120</f>
        <v>8.7915745717818669E-2</v>
      </c>
    </row>
    <row r="132" spans="1:6" x14ac:dyDescent="0.2">
      <c r="A132" s="9">
        <v>25263</v>
      </c>
      <c r="B132" s="4">
        <v>48.8</v>
      </c>
      <c r="C132" s="7">
        <f>(Table3[[#This Row],[Conference Board Leading Indicator]]-B120)/B120</f>
        <v>4.0511727078891231E-2</v>
      </c>
      <c r="E132" s="4">
        <v>101.510002</v>
      </c>
      <c r="F132" s="7">
        <f>(Table3[[#This Row],[S&amp;P 500]]-E121)/E121</f>
        <v>4.1555541161046018E-2</v>
      </c>
    </row>
    <row r="133" spans="1:6" x14ac:dyDescent="0.2">
      <c r="A133" s="9">
        <v>25294</v>
      </c>
      <c r="B133" s="4">
        <v>49.1</v>
      </c>
      <c r="C133" s="7">
        <f>(Table3[[#This Row],[Conference Board Leading Indicator]]-B121)/B121</f>
        <v>4.4680851063829817E-2</v>
      </c>
      <c r="D133" s="6">
        <v>3.06714490482571E-2</v>
      </c>
      <c r="E133" s="4">
        <v>103.69000200000001</v>
      </c>
      <c r="F133" s="7">
        <f>(Table3[[#This Row],[S&amp;P 500]]-E122)/E122</f>
        <v>5.0770186461289009E-2</v>
      </c>
    </row>
    <row r="134" spans="1:6" x14ac:dyDescent="0.2">
      <c r="A134" s="9">
        <v>25324</v>
      </c>
      <c r="B134" s="4">
        <v>48.8</v>
      </c>
      <c r="C134" s="7">
        <f>(Table3[[#This Row],[Conference Board Leading Indicator]]-B122)/B122</f>
        <v>3.1712473572938694E-2</v>
      </c>
      <c r="E134" s="4">
        <v>103.459999</v>
      </c>
      <c r="F134" s="7">
        <f>(Table3[[#This Row],[S&amp;P 500]]-E123)/E123</f>
        <v>3.8963616409648225E-2</v>
      </c>
    </row>
    <row r="135" spans="1:6" x14ac:dyDescent="0.2">
      <c r="A135" s="9">
        <v>25355</v>
      </c>
      <c r="B135" s="4">
        <v>48.5</v>
      </c>
      <c r="C135" s="7">
        <f>(Table3[[#This Row],[Conference Board Leading Indicator]]-B123)/B123</f>
        <v>2.1052631578947368E-2</v>
      </c>
      <c r="E135" s="4">
        <v>97.709998999999996</v>
      </c>
      <c r="F135" s="7">
        <f>(Table3[[#This Row],[S&amp;P 500]]-E124)/E124</f>
        <v>-3.0692654607997498E-4</v>
      </c>
    </row>
    <row r="136" spans="1:6" x14ac:dyDescent="0.2">
      <c r="A136" s="9">
        <v>25385</v>
      </c>
      <c r="B136" s="4">
        <v>48.2</v>
      </c>
      <c r="C136" s="7">
        <f>(Table3[[#This Row],[Conference Board Leading Indicator]]-B124)/B124</f>
        <v>1.2605042016806753E-2</v>
      </c>
      <c r="D136" s="6">
        <v>2.9500814269305412E-2</v>
      </c>
      <c r="E136" s="4">
        <v>91.830001999999993</v>
      </c>
      <c r="F136" s="7">
        <f>(Table3[[#This Row],[S&amp;P 500]]-E125)/E125</f>
        <v>-7.1110650706952799E-2</v>
      </c>
    </row>
    <row r="137" spans="1:6" x14ac:dyDescent="0.2">
      <c r="A137" s="9">
        <v>25416</v>
      </c>
      <c r="B137" s="4">
        <v>48.1</v>
      </c>
      <c r="C137" s="7">
        <f>(Table3[[#This Row],[Conference Board Leading Indicator]]-B125)/B125</f>
        <v>1.263157894736845E-2</v>
      </c>
      <c r="E137" s="4">
        <v>95.510002</v>
      </c>
      <c r="F137" s="7">
        <f>(Table3[[#This Row],[S&amp;P 500]]-E126)/E126</f>
        <v>-6.973795791833956E-2</v>
      </c>
    </row>
    <row r="138" spans="1:6" x14ac:dyDescent="0.2">
      <c r="A138" s="9">
        <v>25447</v>
      </c>
      <c r="B138" s="4">
        <v>48.2</v>
      </c>
      <c r="C138" s="7">
        <f>(Table3[[#This Row],[Conference Board Leading Indicator]]-B126)/B126</f>
        <v>4.1666666666667256E-3</v>
      </c>
      <c r="E138" s="4">
        <v>93.120002999999997</v>
      </c>
      <c r="F138" s="7">
        <f>(Table3[[#This Row],[S&amp;P 500]]-E127)/E127</f>
        <v>-9.950682334370671E-2</v>
      </c>
    </row>
    <row r="139" spans="1:6" x14ac:dyDescent="0.2">
      <c r="A139" s="9">
        <v>25477</v>
      </c>
      <c r="B139" s="4">
        <v>47.9</v>
      </c>
      <c r="C139" s="7">
        <f>(Table3[[#This Row],[Conference Board Leading Indicator]]-B127)/B127</f>
        <v>-8.2815734989647744E-3</v>
      </c>
      <c r="D139" s="6">
        <v>2.0466568237684307E-2</v>
      </c>
      <c r="E139" s="4">
        <v>97.120002999999997</v>
      </c>
      <c r="F139" s="7">
        <f>(Table3[[#This Row],[S&amp;P 500]]-E128)/E128</f>
        <v>-0.10381101493556294</v>
      </c>
    </row>
    <row r="140" spans="1:6" x14ac:dyDescent="0.2">
      <c r="A140" s="9">
        <v>25508</v>
      </c>
      <c r="B140" s="4">
        <v>47.7</v>
      </c>
      <c r="C140" s="7">
        <f>(Table3[[#This Row],[Conference Board Leading Indicator]]-B128)/B128</f>
        <v>-1.4462809917355284E-2</v>
      </c>
      <c r="E140" s="4">
        <v>93.809997999999993</v>
      </c>
      <c r="F140" s="7">
        <f>(Table3[[#This Row],[S&amp;P 500]]-E129)/E129</f>
        <v>-9.6764903747690159E-2</v>
      </c>
    </row>
    <row r="141" spans="1:6" x14ac:dyDescent="0.2">
      <c r="A141" s="9">
        <v>25538</v>
      </c>
      <c r="B141" s="4">
        <v>47.4</v>
      </c>
      <c r="C141" s="7">
        <f>(Table3[[#This Row],[Conference Board Leading Indicator]]-B129)/B129</f>
        <v>-2.0661157024793389E-2</v>
      </c>
      <c r="E141" s="4">
        <v>92.059997999999993</v>
      </c>
      <c r="F141" s="7">
        <f>(Table3[[#This Row],[S&amp;P 500]]-E130)/E130</f>
        <v>-0.10630039595572484</v>
      </c>
    </row>
    <row r="142" spans="1:6" x14ac:dyDescent="0.2">
      <c r="A142" s="9">
        <v>25569</v>
      </c>
      <c r="B142" s="4">
        <v>46.9</v>
      </c>
      <c r="C142" s="7">
        <f>(Table3[[#This Row],[Conference Board Leading Indicator]]-B130)/B130</f>
        <v>-3.2989690721649513E-2</v>
      </c>
      <c r="D142" s="6">
        <v>3.2493971777861645E-3</v>
      </c>
      <c r="E142" s="4">
        <v>85.019997000000004</v>
      </c>
      <c r="F142" s="7">
        <f>(Table3[[#This Row],[S&amp;P 500]]-E131)/E131</f>
        <v>-0.13359829206965124</v>
      </c>
    </row>
    <row r="143" spans="1:6" x14ac:dyDescent="0.2">
      <c r="A143" s="9">
        <v>25600</v>
      </c>
      <c r="B143" s="4">
        <v>46.5</v>
      </c>
      <c r="C143" s="7">
        <f>(Table3[[#This Row],[Conference Board Leading Indicator]]-B131)/B131</f>
        <v>-4.517453798767973E-2</v>
      </c>
      <c r="E143" s="4">
        <v>89.5</v>
      </c>
      <c r="F143" s="7">
        <f>(Table3[[#This Row],[S&amp;P 500]]-E132)/E132</f>
        <v>-0.11831348402495352</v>
      </c>
    </row>
    <row r="144" spans="1:6" x14ac:dyDescent="0.2">
      <c r="A144" s="9">
        <v>25628</v>
      </c>
      <c r="B144" s="4">
        <v>46.2</v>
      </c>
      <c r="C144" s="7">
        <f>(Table3[[#This Row],[Conference Board Leading Indicator]]-B132)/B132</f>
        <v>-5.327868852459005E-2</v>
      </c>
      <c r="E144" s="4">
        <v>89.629997000000003</v>
      </c>
      <c r="F144" s="7">
        <f>(Table3[[#This Row],[S&amp;P 500]]-E133)/E133</f>
        <v>-0.13559653514135339</v>
      </c>
    </row>
    <row r="145" spans="1:6" x14ac:dyDescent="0.2">
      <c r="A145" s="9">
        <v>25659</v>
      </c>
      <c r="B145" s="4">
        <v>45.8</v>
      </c>
      <c r="C145" s="7">
        <f>(Table3[[#This Row],[Conference Board Leading Indicator]]-B133)/B133</f>
        <v>-6.7209775967413524E-2</v>
      </c>
      <c r="D145" s="6">
        <v>1.6281827163015326E-3</v>
      </c>
      <c r="E145" s="4">
        <v>81.519997000000004</v>
      </c>
      <c r="F145" s="7">
        <f>(Table3[[#This Row],[S&amp;P 500]]-E134)/E134</f>
        <v>-0.21206265428245358</v>
      </c>
    </row>
    <row r="146" spans="1:6" x14ac:dyDescent="0.2">
      <c r="A146" s="9">
        <v>25689</v>
      </c>
      <c r="B146" s="4">
        <v>45.8</v>
      </c>
      <c r="C146" s="7">
        <f>(Table3[[#This Row],[Conference Board Leading Indicator]]-B134)/B134</f>
        <v>-6.147540983606558E-2</v>
      </c>
      <c r="E146" s="4">
        <v>76.550003000000004</v>
      </c>
      <c r="F146" s="7">
        <f>(Table3[[#This Row],[S&amp;P 500]]-E135)/E135</f>
        <v>-0.21655916709199838</v>
      </c>
    </row>
    <row r="147" spans="1:6" x14ac:dyDescent="0.2">
      <c r="A147" s="9">
        <v>25720</v>
      </c>
      <c r="B147" s="4">
        <v>45.8</v>
      </c>
      <c r="C147" s="7">
        <f>(Table3[[#This Row],[Conference Board Leading Indicator]]-B135)/B135</f>
        <v>-5.5670103092783564E-2</v>
      </c>
      <c r="E147" s="4">
        <v>72.720000999999996</v>
      </c>
      <c r="F147" s="7">
        <f>(Table3[[#This Row],[S&amp;P 500]]-E136)/E136</f>
        <v>-0.20810193383203887</v>
      </c>
    </row>
    <row r="148" spans="1:6" x14ac:dyDescent="0.2">
      <c r="A148" s="9">
        <v>25750</v>
      </c>
      <c r="B148" s="4">
        <v>45.9</v>
      </c>
      <c r="C148" s="7">
        <f>(Table3[[#This Row],[Conference Board Leading Indicator]]-B136)/B136</f>
        <v>-4.7717842323651539E-2</v>
      </c>
      <c r="D148" s="6">
        <v>4.2259071963002617E-3</v>
      </c>
      <c r="E148" s="4">
        <v>78.050003000000004</v>
      </c>
      <c r="F148" s="7">
        <f>(Table3[[#This Row],[S&amp;P 500]]-E137)/E137</f>
        <v>-0.18280806862510585</v>
      </c>
    </row>
    <row r="149" spans="1:6" x14ac:dyDescent="0.2">
      <c r="A149" s="9">
        <v>25781</v>
      </c>
      <c r="B149" s="4">
        <v>46</v>
      </c>
      <c r="C149" s="7">
        <f>(Table3[[#This Row],[Conference Board Leading Indicator]]-B137)/B137</f>
        <v>-4.3659043659043689E-2</v>
      </c>
      <c r="E149" s="4">
        <v>81.519997000000004</v>
      </c>
      <c r="F149" s="7">
        <f>(Table3[[#This Row],[S&amp;P 500]]-E138)/E138</f>
        <v>-0.12457050715515972</v>
      </c>
    </row>
    <row r="150" spans="1:6" x14ac:dyDescent="0.2">
      <c r="A150" s="9">
        <v>25812</v>
      </c>
      <c r="B150" s="4">
        <v>46</v>
      </c>
      <c r="C150" s="7">
        <f>(Table3[[#This Row],[Conference Board Leading Indicator]]-B138)/B138</f>
        <v>-4.5643153526971007E-2</v>
      </c>
      <c r="E150" s="4">
        <v>84.300003000000004</v>
      </c>
      <c r="F150" s="7">
        <f>(Table3[[#This Row],[S&amp;P 500]]-E139)/E139</f>
        <v>-0.13200164336897718</v>
      </c>
    </row>
    <row r="151" spans="1:6" x14ac:dyDescent="0.2">
      <c r="A151" s="9">
        <v>25842</v>
      </c>
      <c r="B151" s="4">
        <v>45.9</v>
      </c>
      <c r="C151" s="7">
        <f>(Table3[[#This Row],[Conference Board Leading Indicator]]-B139)/B139</f>
        <v>-4.1753653444676408E-2</v>
      </c>
      <c r="D151" s="6">
        <v>-1.66709311509965E-3</v>
      </c>
      <c r="E151" s="4">
        <v>83.25</v>
      </c>
      <c r="F151" s="7">
        <f>(Table3[[#This Row],[S&amp;P 500]]-E140)/E140</f>
        <v>-0.11256793758805958</v>
      </c>
    </row>
    <row r="152" spans="1:6" x14ac:dyDescent="0.2">
      <c r="A152" s="9">
        <v>25873</v>
      </c>
      <c r="B152" s="4">
        <v>45.9</v>
      </c>
      <c r="C152" s="7">
        <f>(Table3[[#This Row],[Conference Board Leading Indicator]]-B140)/B140</f>
        <v>-3.7735849056603862E-2</v>
      </c>
      <c r="E152" s="4">
        <v>87.199996999999996</v>
      </c>
      <c r="F152" s="7">
        <f>(Table3[[#This Row],[S&amp;P 500]]-E141)/E141</f>
        <v>-5.2791669623977154E-2</v>
      </c>
    </row>
    <row r="153" spans="1:6" x14ac:dyDescent="0.2">
      <c r="A153" s="9">
        <v>25903</v>
      </c>
      <c r="B153" s="4">
        <v>46.5</v>
      </c>
      <c r="C153" s="7">
        <f>(Table3[[#This Row],[Conference Board Leading Indicator]]-B141)/B141</f>
        <v>-1.8987341772151868E-2</v>
      </c>
      <c r="E153" s="4">
        <v>92.150002000000001</v>
      </c>
      <c r="F153" s="7">
        <f>(Table3[[#This Row],[S&amp;P 500]]-E142)/E142</f>
        <v>8.3862682328723168E-2</v>
      </c>
    </row>
    <row r="154" spans="1:6" x14ac:dyDescent="0.2">
      <c r="A154" s="9">
        <v>25934</v>
      </c>
      <c r="B154" s="4">
        <v>46.8</v>
      </c>
      <c r="C154" s="7">
        <f>(Table3[[#This Row],[Conference Board Leading Indicator]]-B142)/B142</f>
        <v>-2.1321961620469386E-3</v>
      </c>
      <c r="D154" s="6">
        <v>2.6972442943454543E-2</v>
      </c>
      <c r="E154" s="4">
        <v>95.879997000000003</v>
      </c>
      <c r="F154" s="7">
        <f>(Table3[[#This Row],[S&amp;P 500]]-E143)/E143</f>
        <v>7.1284882681564285E-2</v>
      </c>
    </row>
    <row r="155" spans="1:6" x14ac:dyDescent="0.2">
      <c r="A155" s="9">
        <v>25965</v>
      </c>
      <c r="B155" s="4">
        <v>47.2</v>
      </c>
      <c r="C155" s="7">
        <f>(Table3[[#This Row],[Conference Board Leading Indicator]]-B143)/B143</f>
        <v>1.5053763440860277E-2</v>
      </c>
      <c r="E155" s="4">
        <v>96.75</v>
      </c>
      <c r="F155" s="7">
        <f>(Table3[[#This Row],[S&amp;P 500]]-E144)/E144</f>
        <v>7.943772440380642E-2</v>
      </c>
    </row>
    <row r="156" spans="1:6" x14ac:dyDescent="0.2">
      <c r="A156" s="9">
        <v>25993</v>
      </c>
      <c r="B156" s="4">
        <v>47.6</v>
      </c>
      <c r="C156" s="7">
        <f>(Table3[[#This Row],[Conference Board Leading Indicator]]-B144)/B144</f>
        <v>3.0303030303030269E-2</v>
      </c>
      <c r="E156" s="4">
        <v>100.30999799999999</v>
      </c>
      <c r="F156" s="7">
        <f>(Table3[[#This Row],[S&amp;P 500]]-E145)/E145</f>
        <v>0.23049560465513741</v>
      </c>
    </row>
    <row r="157" spans="1:6" x14ac:dyDescent="0.2">
      <c r="A157" s="9">
        <v>26024</v>
      </c>
      <c r="B157" s="4">
        <v>47.8</v>
      </c>
      <c r="C157" s="7">
        <f>(Table3[[#This Row],[Conference Board Leading Indicator]]-B145)/B145</f>
        <v>4.3668122270742363E-2</v>
      </c>
      <c r="D157" s="6">
        <v>3.1066227041022677E-2</v>
      </c>
      <c r="E157" s="4">
        <v>103.949997</v>
      </c>
      <c r="F157" s="7">
        <f>(Table3[[#This Row],[S&amp;P 500]]-E146)/E146</f>
        <v>0.35793589714163682</v>
      </c>
    </row>
    <row r="158" spans="1:6" x14ac:dyDescent="0.2">
      <c r="A158" s="9">
        <v>26054</v>
      </c>
      <c r="B158" s="4">
        <v>48.1</v>
      </c>
      <c r="C158" s="7">
        <f>(Table3[[#This Row],[Conference Board Leading Indicator]]-B146)/B146</f>
        <v>5.0218340611353808E-2</v>
      </c>
      <c r="E158" s="4">
        <v>99.629997000000003</v>
      </c>
      <c r="F158" s="7">
        <f>(Table3[[#This Row],[S&amp;P 500]]-E147)/E147</f>
        <v>0.37004944485630586</v>
      </c>
    </row>
    <row r="159" spans="1:6" x14ac:dyDescent="0.2">
      <c r="A159" s="9">
        <v>26085</v>
      </c>
      <c r="B159" s="4">
        <v>48.2</v>
      </c>
      <c r="C159" s="7">
        <f>(Table3[[#This Row],[Conference Board Leading Indicator]]-B147)/B147</f>
        <v>5.2401746724890959E-2</v>
      </c>
      <c r="E159" s="4">
        <v>98.699996999999996</v>
      </c>
      <c r="F159" s="7">
        <f>(Table3[[#This Row],[S&amp;P 500]]-E148)/E148</f>
        <v>0.26457390398819064</v>
      </c>
    </row>
    <row r="160" spans="1:6" x14ac:dyDescent="0.2">
      <c r="A160" s="9">
        <v>26115</v>
      </c>
      <c r="B160" s="4">
        <v>48.4</v>
      </c>
      <c r="C160" s="7">
        <f>(Table3[[#This Row],[Conference Board Leading Indicator]]-B148)/B148</f>
        <v>5.4466230936819175E-2</v>
      </c>
      <c r="D160" s="6">
        <v>3.0058973867138742E-2</v>
      </c>
      <c r="E160" s="4">
        <v>95.580001999999993</v>
      </c>
      <c r="F160" s="7">
        <f>(Table3[[#This Row],[S&amp;P 500]]-E149)/E149</f>
        <v>0.17247308043939194</v>
      </c>
    </row>
    <row r="161" spans="1:6" x14ac:dyDescent="0.2">
      <c r="A161" s="9">
        <v>26146</v>
      </c>
      <c r="B161" s="4">
        <v>48.5</v>
      </c>
      <c r="C161" s="7">
        <f>(Table3[[#This Row],[Conference Board Leading Indicator]]-B149)/B149</f>
        <v>5.434782608695652E-2</v>
      </c>
      <c r="E161" s="4">
        <v>99.029999000000004</v>
      </c>
      <c r="F161" s="7">
        <f>(Table3[[#This Row],[S&amp;P 500]]-E150)/E150</f>
        <v>0.17473304241756668</v>
      </c>
    </row>
    <row r="162" spans="1:6" x14ac:dyDescent="0.2">
      <c r="A162" s="9">
        <v>26177</v>
      </c>
      <c r="B162" s="4">
        <v>48.7</v>
      </c>
      <c r="C162" s="7">
        <f>(Table3[[#This Row],[Conference Board Leading Indicator]]-B150)/B150</f>
        <v>5.8695652173913107E-2</v>
      </c>
      <c r="E162" s="4">
        <v>98.339995999999999</v>
      </c>
      <c r="F162" s="7">
        <f>(Table3[[#This Row],[S&amp;P 500]]-E151)/E151</f>
        <v>0.1812612132132132</v>
      </c>
    </row>
    <row r="163" spans="1:6" x14ac:dyDescent="0.2">
      <c r="A163" s="9">
        <v>26207</v>
      </c>
      <c r="B163" s="4">
        <v>49</v>
      </c>
      <c r="C163" s="7">
        <f>(Table3[[#This Row],[Conference Board Leading Indicator]]-B151)/B151</f>
        <v>6.7538126361655806E-2</v>
      </c>
      <c r="D163" s="6">
        <v>4.367208414299667E-2</v>
      </c>
      <c r="E163" s="4">
        <v>94.230002999999996</v>
      </c>
      <c r="F163" s="7">
        <f>(Table3[[#This Row],[S&amp;P 500]]-E152)/E152</f>
        <v>8.0619337635986388E-2</v>
      </c>
    </row>
    <row r="164" spans="1:6" x14ac:dyDescent="0.2">
      <c r="A164" s="9">
        <v>26238</v>
      </c>
      <c r="B164" s="4">
        <v>49.2</v>
      </c>
      <c r="C164" s="7">
        <f>(Table3[[#This Row],[Conference Board Leading Indicator]]-B152)/B152</f>
        <v>7.1895424836601399E-2</v>
      </c>
      <c r="E164" s="4">
        <v>93.989998</v>
      </c>
      <c r="F164" s="7">
        <f>(Table3[[#This Row],[S&amp;P 500]]-E153)/E153</f>
        <v>1.9967400543301119E-2</v>
      </c>
    </row>
    <row r="165" spans="1:6" x14ac:dyDescent="0.2">
      <c r="A165" s="9">
        <v>26268</v>
      </c>
      <c r="B165" s="4">
        <v>49.7</v>
      </c>
      <c r="C165" s="7">
        <f>(Table3[[#This Row],[Conference Board Leading Indicator]]-B153)/B153</f>
        <v>6.8817204301075324E-2</v>
      </c>
      <c r="E165" s="4">
        <v>102.089996</v>
      </c>
      <c r="F165" s="7">
        <f>(Table3[[#This Row],[S&amp;P 500]]-E154)/E154</f>
        <v>6.4768452172563121E-2</v>
      </c>
    </row>
    <row r="166" spans="1:6" x14ac:dyDescent="0.2">
      <c r="A166" s="9">
        <v>26299</v>
      </c>
      <c r="B166" s="4">
        <v>50.2</v>
      </c>
      <c r="C166" s="7">
        <f>(Table3[[#This Row],[Conference Board Leading Indicator]]-B154)/B154</f>
        <v>7.264957264957278E-2</v>
      </c>
      <c r="D166" s="6">
        <v>3.4760715822843999E-2</v>
      </c>
      <c r="E166" s="4">
        <v>103.94000200000001</v>
      </c>
      <c r="F166" s="7">
        <f>(Table3[[#This Row],[S&amp;P 500]]-E155)/E155</f>
        <v>7.4315266149870871E-2</v>
      </c>
    </row>
    <row r="167" spans="1:6" x14ac:dyDescent="0.2">
      <c r="A167" s="9">
        <v>26330</v>
      </c>
      <c r="B167" s="4">
        <v>50.8</v>
      </c>
      <c r="C167" s="7">
        <f>(Table3[[#This Row],[Conference Board Leading Indicator]]-B155)/B155</f>
        <v>7.6271186440677846E-2</v>
      </c>
      <c r="E167" s="4">
        <v>106.57</v>
      </c>
      <c r="F167" s="7">
        <f>(Table3[[#This Row],[S&amp;P 500]]-E156)/E156</f>
        <v>6.2406560909312354E-2</v>
      </c>
    </row>
    <row r="168" spans="1:6" x14ac:dyDescent="0.2">
      <c r="A168" s="9">
        <v>26359</v>
      </c>
      <c r="B168" s="4">
        <v>51.2</v>
      </c>
      <c r="C168" s="7">
        <f>(Table3[[#This Row],[Conference Board Leading Indicator]]-B156)/B156</f>
        <v>7.5630252100840359E-2</v>
      </c>
      <c r="E168" s="4">
        <v>107.199997</v>
      </c>
      <c r="F168" s="7">
        <f>(Table3[[#This Row],[S&amp;P 500]]-E157)/E157</f>
        <v>3.1265032167340993E-2</v>
      </c>
    </row>
    <row r="169" spans="1:6" x14ac:dyDescent="0.2">
      <c r="A169" s="9">
        <v>26390</v>
      </c>
      <c r="B169" s="4">
        <v>51.5</v>
      </c>
      <c r="C169" s="7">
        <f>(Table3[[#This Row],[Conference Board Leading Indicator]]-B157)/B157</f>
        <v>7.7405857740585837E-2</v>
      </c>
      <c r="D169" s="6">
        <v>5.2551813463878744E-2</v>
      </c>
      <c r="E169" s="4">
        <v>107.66999800000001</v>
      </c>
      <c r="F169" s="7">
        <f>(Table3[[#This Row],[S&amp;P 500]]-E158)/E158</f>
        <v>8.0698597230711586E-2</v>
      </c>
    </row>
    <row r="170" spans="1:6" x14ac:dyDescent="0.2">
      <c r="A170" s="9">
        <v>26420</v>
      </c>
      <c r="B170" s="4">
        <v>51.7</v>
      </c>
      <c r="C170" s="7">
        <f>(Table3[[#This Row],[Conference Board Leading Indicator]]-B158)/B158</f>
        <v>7.4844074844074876E-2</v>
      </c>
      <c r="E170" s="4">
        <v>109.529999</v>
      </c>
      <c r="F170" s="7">
        <f>(Table3[[#This Row],[S&amp;P 500]]-E159)/E159</f>
        <v>0.10972646736757254</v>
      </c>
    </row>
    <row r="171" spans="1:6" x14ac:dyDescent="0.2">
      <c r="A171" s="9">
        <v>26451</v>
      </c>
      <c r="B171" s="4">
        <v>52.1</v>
      </c>
      <c r="C171" s="7">
        <f>(Table3[[#This Row],[Conference Board Leading Indicator]]-B159)/B159</f>
        <v>8.0912863070539381E-2</v>
      </c>
      <c r="E171" s="4">
        <v>107.139999</v>
      </c>
      <c r="F171" s="7">
        <f>(Table3[[#This Row],[S&amp;P 500]]-E160)/E160</f>
        <v>0.12094577064352866</v>
      </c>
    </row>
    <row r="172" spans="1:6" x14ac:dyDescent="0.2">
      <c r="A172" s="9">
        <v>26481</v>
      </c>
      <c r="B172" s="4">
        <v>52.4</v>
      </c>
      <c r="C172" s="7">
        <f>(Table3[[#This Row],[Conference Board Leading Indicator]]-B160)/B160</f>
        <v>8.2644628099173556E-2</v>
      </c>
      <c r="D172" s="6">
        <v>5.3819247156327056E-2</v>
      </c>
      <c r="E172" s="4">
        <v>107.389999</v>
      </c>
      <c r="F172" s="7">
        <f>(Table3[[#This Row],[S&amp;P 500]]-E161)/E161</f>
        <v>8.441886382327439E-2</v>
      </c>
    </row>
    <row r="173" spans="1:6" x14ac:dyDescent="0.2">
      <c r="A173" s="9">
        <v>26512</v>
      </c>
      <c r="B173" s="4">
        <v>53.1</v>
      </c>
      <c r="C173" s="7">
        <f>(Table3[[#This Row],[Conference Board Leading Indicator]]-B161)/B161</f>
        <v>9.4845360824742292E-2</v>
      </c>
      <c r="E173" s="4">
        <v>111.089996</v>
      </c>
      <c r="F173" s="7">
        <f>(Table3[[#This Row],[S&amp;P 500]]-E162)/E162</f>
        <v>0.1296522322412948</v>
      </c>
    </row>
    <row r="174" spans="1:6" x14ac:dyDescent="0.2">
      <c r="A174" s="9">
        <v>26543</v>
      </c>
      <c r="B174" s="4">
        <v>53.7</v>
      </c>
      <c r="C174" s="7">
        <f>(Table3[[#This Row],[Conference Board Leading Indicator]]-B162)/B162</f>
        <v>0.10266940451745379</v>
      </c>
      <c r="E174" s="4">
        <v>110.550003</v>
      </c>
      <c r="F174" s="7">
        <f>(Table3[[#This Row],[S&amp;P 500]]-E163)/E163</f>
        <v>0.17319324504319508</v>
      </c>
    </row>
    <row r="175" spans="1:6" x14ac:dyDescent="0.2">
      <c r="A175" s="9">
        <v>26573</v>
      </c>
      <c r="B175" s="4">
        <v>54.1</v>
      </c>
      <c r="C175" s="7">
        <f>(Table3[[#This Row],[Conference Board Leading Indicator]]-B163)/B163</f>
        <v>0.10408163265306125</v>
      </c>
      <c r="D175" s="6">
        <v>6.8944692011348688E-2</v>
      </c>
      <c r="E175" s="4">
        <v>111.58000199999999</v>
      </c>
      <c r="F175" s="7">
        <f>(Table3[[#This Row],[S&amp;P 500]]-E164)/E164</f>
        <v>0.18714761543031411</v>
      </c>
    </row>
    <row r="176" spans="1:6" x14ac:dyDescent="0.2">
      <c r="A176" s="9">
        <v>26604</v>
      </c>
      <c r="B176" s="4">
        <v>54.7</v>
      </c>
      <c r="C176" s="7">
        <f>(Table3[[#This Row],[Conference Board Leading Indicator]]-B164)/B164</f>
        <v>0.11178861788617886</v>
      </c>
      <c r="E176" s="4">
        <v>116.66999800000001</v>
      </c>
      <c r="F176" s="7">
        <f>(Table3[[#This Row],[S&amp;P 500]]-E165)/E165</f>
        <v>0.14281518827760564</v>
      </c>
    </row>
    <row r="177" spans="1:6" x14ac:dyDescent="0.2">
      <c r="A177" s="9">
        <v>26634</v>
      </c>
      <c r="B177" s="4">
        <v>55.3</v>
      </c>
      <c r="C177" s="7">
        <f>(Table3[[#This Row],[Conference Board Leading Indicator]]-B165)/B165</f>
        <v>0.11267605633802805</v>
      </c>
      <c r="E177" s="4">
        <v>118.050003</v>
      </c>
      <c r="F177" s="7">
        <f>(Table3[[#This Row],[S&amp;P 500]]-E166)/E166</f>
        <v>0.13575140204442171</v>
      </c>
    </row>
    <row r="178" spans="1:6" x14ac:dyDescent="0.2">
      <c r="A178" s="9">
        <v>26665</v>
      </c>
      <c r="B178" s="4">
        <v>55.6</v>
      </c>
      <c r="C178" s="7">
        <f>(Table3[[#This Row],[Conference Board Leading Indicator]]-B166)/B166</f>
        <v>0.10756972111553781</v>
      </c>
      <c r="D178" s="6">
        <v>7.5618941306228302E-2</v>
      </c>
      <c r="E178" s="4">
        <v>116.029999</v>
      </c>
      <c r="F178" s="7">
        <f>(Table3[[#This Row],[S&amp;P 500]]-E167)/E167</f>
        <v>8.8767936567514416E-2</v>
      </c>
    </row>
    <row r="179" spans="1:6" x14ac:dyDescent="0.2">
      <c r="A179" s="9">
        <v>26696</v>
      </c>
      <c r="B179" s="4">
        <v>55.8</v>
      </c>
      <c r="C179" s="7">
        <f>(Table3[[#This Row],[Conference Board Leading Indicator]]-B167)/B167</f>
        <v>9.8425196850393706E-2</v>
      </c>
      <c r="E179" s="4">
        <v>111.68</v>
      </c>
      <c r="F179" s="7">
        <f>(Table3[[#This Row],[S&amp;P 500]]-E168)/E168</f>
        <v>4.179107393072045E-2</v>
      </c>
    </row>
    <row r="180" spans="1:6" x14ac:dyDescent="0.2">
      <c r="A180" s="9">
        <v>26724</v>
      </c>
      <c r="B180" s="4">
        <v>55.7</v>
      </c>
      <c r="C180" s="7">
        <f>(Table3[[#This Row],[Conference Board Leading Indicator]]-B168)/B168</f>
        <v>8.7890625E-2</v>
      </c>
      <c r="E180" s="4">
        <v>111.519997</v>
      </c>
      <c r="F180" s="7">
        <f>(Table3[[#This Row],[S&amp;P 500]]-E169)/E169</f>
        <v>3.5757398267992881E-2</v>
      </c>
    </row>
    <row r="181" spans="1:6" x14ac:dyDescent="0.2">
      <c r="A181" s="9">
        <v>26755</v>
      </c>
      <c r="B181" s="4">
        <v>55.4</v>
      </c>
      <c r="C181" s="7">
        <f>(Table3[[#This Row],[Conference Board Leading Indicator]]-B169)/B169</f>
        <v>7.57281553398058E-2</v>
      </c>
      <c r="D181" s="6">
        <v>6.3196674026033309E-2</v>
      </c>
      <c r="E181" s="4">
        <v>106.970001</v>
      </c>
      <c r="F181" s="7">
        <f>(Table3[[#This Row],[S&amp;P 500]]-E170)/E170</f>
        <v>-2.3372573937483623E-2</v>
      </c>
    </row>
    <row r="182" spans="1:6" x14ac:dyDescent="0.2">
      <c r="A182" s="9">
        <v>26785</v>
      </c>
      <c r="B182" s="4">
        <v>55.4</v>
      </c>
      <c r="C182" s="7">
        <f>(Table3[[#This Row],[Conference Board Leading Indicator]]-B170)/B170</f>
        <v>7.1566731141199144E-2</v>
      </c>
      <c r="E182" s="4">
        <v>104.949997</v>
      </c>
      <c r="F182" s="7">
        <f>(Table3[[#This Row],[S&amp;P 500]]-E171)/E171</f>
        <v>-2.044056393915037E-2</v>
      </c>
    </row>
    <row r="183" spans="1:6" x14ac:dyDescent="0.2">
      <c r="A183" s="9">
        <v>26816</v>
      </c>
      <c r="B183" s="4">
        <v>55.3</v>
      </c>
      <c r="C183" s="7">
        <f>(Table3[[#This Row],[Conference Board Leading Indicator]]-B171)/B171</f>
        <v>6.1420345489443293E-2</v>
      </c>
      <c r="E183" s="4">
        <v>104.260002</v>
      </c>
      <c r="F183" s="7">
        <f>(Table3[[#This Row],[S&amp;P 500]]-E172)/E172</f>
        <v>-2.9146075324947184E-2</v>
      </c>
    </row>
    <row r="184" spans="1:6" x14ac:dyDescent="0.2">
      <c r="A184" s="9">
        <v>26846</v>
      </c>
      <c r="B184" s="4">
        <v>54.9</v>
      </c>
      <c r="C184" s="7">
        <f>(Table3[[#This Row],[Conference Board Leading Indicator]]-B172)/B172</f>
        <v>4.7709923664122141E-2</v>
      </c>
      <c r="D184" s="6">
        <v>4.7710808846556076E-2</v>
      </c>
      <c r="E184" s="4">
        <v>108.220001</v>
      </c>
      <c r="F184" s="7">
        <f>(Table3[[#This Row],[S&amp;P 500]]-E173)/E173</f>
        <v>-2.5834864554320471E-2</v>
      </c>
    </row>
    <row r="185" spans="1:6" x14ac:dyDescent="0.2">
      <c r="A185" s="9">
        <v>26877</v>
      </c>
      <c r="B185" s="4">
        <v>54.4</v>
      </c>
      <c r="C185" s="7">
        <f>(Table3[[#This Row],[Conference Board Leading Indicator]]-B173)/B173</f>
        <v>2.4482109227871886E-2</v>
      </c>
      <c r="E185" s="4">
        <v>104.25</v>
      </c>
      <c r="F185" s="7">
        <f>(Table3[[#This Row],[S&amp;P 500]]-E174)/E174</f>
        <v>-5.6987813921633303E-2</v>
      </c>
    </row>
    <row r="186" spans="1:6" x14ac:dyDescent="0.2">
      <c r="A186" s="9">
        <v>26908</v>
      </c>
      <c r="B186" s="4">
        <v>54.2</v>
      </c>
      <c r="C186" s="7">
        <f>(Table3[[#This Row],[Conference Board Leading Indicator]]-B174)/B174</f>
        <v>9.3109869646182484E-3</v>
      </c>
      <c r="E186" s="4">
        <v>108.43</v>
      </c>
      <c r="F186" s="7">
        <f>(Table3[[#This Row],[S&amp;P 500]]-E175)/E175</f>
        <v>-2.8230883164888153E-2</v>
      </c>
    </row>
    <row r="187" spans="1:6" x14ac:dyDescent="0.2">
      <c r="A187" s="9">
        <v>26938</v>
      </c>
      <c r="B187" s="4">
        <v>54.1</v>
      </c>
      <c r="C187" s="7">
        <f>(Table3[[#This Row],[Conference Board Leading Indicator]]-B175)/B175</f>
        <v>0</v>
      </c>
      <c r="D187" s="6">
        <v>4.0237570999252563E-2</v>
      </c>
      <c r="E187" s="4">
        <v>108.290001</v>
      </c>
      <c r="F187" s="7">
        <f>(Table3[[#This Row],[S&amp;P 500]]-E176)/E176</f>
        <v>-7.18264947600325E-2</v>
      </c>
    </row>
    <row r="188" spans="1:6" x14ac:dyDescent="0.2">
      <c r="A188" s="9">
        <v>26969</v>
      </c>
      <c r="B188" s="4">
        <v>53.8</v>
      </c>
      <c r="C188" s="7">
        <f>(Table3[[#This Row],[Conference Board Leading Indicator]]-B176)/B176</f>
        <v>-1.6453382084095167E-2</v>
      </c>
      <c r="E188" s="4">
        <v>95.959998999999996</v>
      </c>
      <c r="F188" s="7">
        <f>(Table3[[#This Row],[S&amp;P 500]]-E177)/E177</f>
        <v>-0.18712412908621448</v>
      </c>
    </row>
    <row r="189" spans="1:6" x14ac:dyDescent="0.2">
      <c r="A189" s="9">
        <v>26999</v>
      </c>
      <c r="B189" s="4">
        <v>53.2</v>
      </c>
      <c r="C189" s="7">
        <f>(Table3[[#This Row],[Conference Board Leading Indicator]]-B177)/B177</f>
        <v>-3.7974683544303695E-2</v>
      </c>
      <c r="E189" s="4">
        <v>97.550003000000004</v>
      </c>
      <c r="F189" s="7">
        <f>(Table3[[#This Row],[S&amp;P 500]]-E178)/E178</f>
        <v>-0.15926912142781283</v>
      </c>
    </row>
    <row r="190" spans="1:6" x14ac:dyDescent="0.2">
      <c r="A190" s="9">
        <v>27030</v>
      </c>
      <c r="B190" s="4">
        <v>52.8</v>
      </c>
      <c r="C190" s="7">
        <f>(Table3[[#This Row],[Conference Board Leading Indicator]]-B178)/B178</f>
        <v>-5.0359712230215903E-2</v>
      </c>
      <c r="D190" s="6">
        <v>6.3877572829453347E-3</v>
      </c>
      <c r="E190" s="4">
        <v>96.57</v>
      </c>
      <c r="F190" s="7">
        <f>(Table3[[#This Row],[S&amp;P 500]]-E179)/E179</f>
        <v>-0.13529727793696286</v>
      </c>
    </row>
    <row r="191" spans="1:6" x14ac:dyDescent="0.2">
      <c r="A191" s="9">
        <v>27061</v>
      </c>
      <c r="B191" s="4">
        <v>52.5</v>
      </c>
      <c r="C191" s="7">
        <f>(Table3[[#This Row],[Conference Board Leading Indicator]]-B179)/B179</f>
        <v>-5.9139784946236514E-2</v>
      </c>
      <c r="E191" s="4">
        <v>96.220000999999996</v>
      </c>
      <c r="F191" s="7">
        <f>(Table3[[#This Row],[S&amp;P 500]]-E180)/E180</f>
        <v>-0.13719508977389955</v>
      </c>
    </row>
    <row r="192" spans="1:6" x14ac:dyDescent="0.2">
      <c r="A192" s="9">
        <v>27089</v>
      </c>
      <c r="B192" s="4">
        <v>52.4</v>
      </c>
      <c r="C192" s="7">
        <f>(Table3[[#This Row],[Conference Board Leading Indicator]]-B180)/B180</f>
        <v>-5.9245960502693075E-2</v>
      </c>
      <c r="E192" s="4">
        <v>93.980002999999996</v>
      </c>
      <c r="F192" s="7">
        <f>(Table3[[#This Row],[S&amp;P 500]]-E181)/E181</f>
        <v>-0.12143589678007015</v>
      </c>
    </row>
    <row r="193" spans="1:6" x14ac:dyDescent="0.2">
      <c r="A193" s="9">
        <v>27120</v>
      </c>
      <c r="B193" s="4">
        <v>51.6</v>
      </c>
      <c r="C193" s="7">
        <f>(Table3[[#This Row],[Conference Board Leading Indicator]]-B181)/B181</f>
        <v>-6.85920577617328E-2</v>
      </c>
      <c r="D193" s="6">
        <v>-2.0841156656144265E-3</v>
      </c>
      <c r="E193" s="4">
        <v>90.309997999999993</v>
      </c>
      <c r="F193" s="7">
        <f>(Table3[[#This Row],[S&amp;P 500]]-E182)/E182</f>
        <v>-0.1394949920770365</v>
      </c>
    </row>
    <row r="194" spans="1:6" x14ac:dyDescent="0.2">
      <c r="A194" s="9">
        <v>27150</v>
      </c>
      <c r="B194" s="4">
        <v>51.4</v>
      </c>
      <c r="C194" s="7">
        <f>(Table3[[#This Row],[Conference Board Leading Indicator]]-B182)/B182</f>
        <v>-7.2202166064981949E-2</v>
      </c>
      <c r="E194" s="4">
        <v>87.279999000000004</v>
      </c>
      <c r="F194" s="7">
        <f>(Table3[[#This Row],[S&amp;P 500]]-E183)/E183</f>
        <v>-0.16286210123034522</v>
      </c>
    </row>
    <row r="195" spans="1:6" x14ac:dyDescent="0.2">
      <c r="A195" s="9">
        <v>27181</v>
      </c>
      <c r="B195" s="4">
        <v>50.8</v>
      </c>
      <c r="C195" s="7">
        <f>(Table3[[#This Row],[Conference Board Leading Indicator]]-B183)/B183</f>
        <v>-8.1374321880650996E-2</v>
      </c>
      <c r="E195" s="4">
        <v>86</v>
      </c>
      <c r="F195" s="7">
        <f>(Table3[[#This Row],[S&amp;P 500]]-E184)/E184</f>
        <v>-0.20532249856475235</v>
      </c>
    </row>
    <row r="196" spans="1:6" x14ac:dyDescent="0.2">
      <c r="A196" s="9">
        <v>27211</v>
      </c>
      <c r="B196" s="4">
        <v>50.3</v>
      </c>
      <c r="C196" s="7">
        <f>(Table3[[#This Row],[Conference Board Leading Indicator]]-B184)/B184</f>
        <v>-8.3788706739526445E-2</v>
      </c>
      <c r="D196" s="6">
        <v>-6.2898080752895264E-3</v>
      </c>
      <c r="E196" s="4">
        <v>79.309997999999993</v>
      </c>
      <c r="F196" s="7">
        <f>(Table3[[#This Row],[S&amp;P 500]]-E185)/E185</f>
        <v>-0.23923263309352524</v>
      </c>
    </row>
    <row r="197" spans="1:6" x14ac:dyDescent="0.2">
      <c r="A197" s="9">
        <v>27242</v>
      </c>
      <c r="B197" s="4">
        <v>49.4</v>
      </c>
      <c r="C197" s="7">
        <f>(Table3[[#This Row],[Conference Board Leading Indicator]]-B185)/B185</f>
        <v>-9.1911764705882359E-2</v>
      </c>
      <c r="E197" s="4">
        <v>72.150002000000001</v>
      </c>
      <c r="F197" s="7">
        <f>(Table3[[#This Row],[S&amp;P 500]]-E186)/E186</f>
        <v>-0.33459372867287657</v>
      </c>
    </row>
    <row r="198" spans="1:6" x14ac:dyDescent="0.2">
      <c r="A198" s="9">
        <v>27273</v>
      </c>
      <c r="B198" s="4">
        <v>48.5</v>
      </c>
      <c r="C198" s="7">
        <f>(Table3[[#This Row],[Conference Board Leading Indicator]]-B186)/B186</f>
        <v>-0.10516605166051665</v>
      </c>
      <c r="E198" s="4">
        <v>63.540000999999997</v>
      </c>
      <c r="F198" s="7">
        <f>(Table3[[#This Row],[S&amp;P 500]]-E187)/E187</f>
        <v>-0.4132422161488391</v>
      </c>
    </row>
    <row r="199" spans="1:6" x14ac:dyDescent="0.2">
      <c r="A199" s="9">
        <v>27303</v>
      </c>
      <c r="B199" s="4">
        <v>47.9</v>
      </c>
      <c r="C199" s="7">
        <f>(Table3[[#This Row],[Conference Board Leading Indicator]]-B187)/B187</f>
        <v>-0.11460258780036973</v>
      </c>
      <c r="D199" s="6">
        <v>-1.9454395631254444E-2</v>
      </c>
      <c r="E199" s="4">
        <v>73.900002000000001</v>
      </c>
      <c r="F199" s="7">
        <f>(Table3[[#This Row],[S&amp;P 500]]-E188)/E188</f>
        <v>-0.22988742423809316</v>
      </c>
    </row>
    <row r="200" spans="1:6" x14ac:dyDescent="0.2">
      <c r="A200" s="9">
        <v>27334</v>
      </c>
      <c r="B200" s="4">
        <v>47.1</v>
      </c>
      <c r="C200" s="7">
        <f>(Table3[[#This Row],[Conference Board Leading Indicator]]-B188)/B188</f>
        <v>-0.12453531598513004</v>
      </c>
      <c r="E200" s="4">
        <v>69.970000999999996</v>
      </c>
      <c r="F200" s="7">
        <f>(Table3[[#This Row],[S&amp;P 500]]-E189)/E189</f>
        <v>-0.28272681857323989</v>
      </c>
    </row>
    <row r="201" spans="1:6" x14ac:dyDescent="0.2">
      <c r="A201" s="9">
        <v>27364</v>
      </c>
      <c r="B201" s="4">
        <v>46.3</v>
      </c>
      <c r="C201" s="7">
        <f>(Table3[[#This Row],[Conference Board Leading Indicator]]-B189)/B189</f>
        <v>-0.12969924812030084</v>
      </c>
      <c r="E201" s="4">
        <v>68.559997999999993</v>
      </c>
      <c r="F201" s="7">
        <f>(Table3[[#This Row],[S&amp;P 500]]-E190)/E190</f>
        <v>-0.29004869006937972</v>
      </c>
    </row>
    <row r="202" spans="1:6" x14ac:dyDescent="0.2">
      <c r="A202" s="9">
        <v>27395</v>
      </c>
      <c r="B202" s="4">
        <v>45.9</v>
      </c>
      <c r="C202" s="7">
        <f>(Table3[[#This Row],[Conference Board Leading Indicator]]-B190)/B190</f>
        <v>-0.13068181818181815</v>
      </c>
      <c r="D202" s="6">
        <v>-2.2990596636949218E-2</v>
      </c>
      <c r="E202" s="4">
        <v>76.980002999999996</v>
      </c>
      <c r="F202" s="7">
        <f>(Table3[[#This Row],[S&amp;P 500]]-E191)/E191</f>
        <v>-0.19995840573728532</v>
      </c>
    </row>
    <row r="203" spans="1:6" x14ac:dyDescent="0.2">
      <c r="A203" s="9">
        <v>27426</v>
      </c>
      <c r="B203" s="4">
        <v>45.8</v>
      </c>
      <c r="C203" s="7">
        <f>(Table3[[#This Row],[Conference Board Leading Indicator]]-B191)/B191</f>
        <v>-0.12761904761904766</v>
      </c>
      <c r="E203" s="4">
        <v>81.589995999999999</v>
      </c>
      <c r="F203" s="7">
        <f>(Table3[[#This Row],[S&amp;P 500]]-E192)/E192</f>
        <v>-0.1318366312459045</v>
      </c>
    </row>
    <row r="204" spans="1:6" x14ac:dyDescent="0.2">
      <c r="A204" s="9">
        <v>27454</v>
      </c>
      <c r="B204" s="4">
        <v>45.6</v>
      </c>
      <c r="C204" s="7">
        <f>(Table3[[#This Row],[Conference Board Leading Indicator]]-B192)/B192</f>
        <v>-0.12977099236641215</v>
      </c>
      <c r="E204" s="4">
        <v>83.360000999999997</v>
      </c>
      <c r="F204" s="7">
        <f>(Table3[[#This Row],[S&amp;P 500]]-E193)/E193</f>
        <v>-7.6957116088076941E-2</v>
      </c>
    </row>
    <row r="205" spans="1:6" x14ac:dyDescent="0.2">
      <c r="A205" s="9">
        <v>27485</v>
      </c>
      <c r="B205" s="4">
        <v>46.2</v>
      </c>
      <c r="C205" s="7">
        <f>(Table3[[#This Row],[Conference Board Leading Indicator]]-B193)/B193</f>
        <v>-0.10465116279069764</v>
      </c>
      <c r="D205" s="6">
        <v>-1.8342612096180544E-2</v>
      </c>
      <c r="E205" s="4">
        <v>87.300003000000004</v>
      </c>
      <c r="F205" s="7">
        <f>(Table3[[#This Row],[S&amp;P 500]]-E194)/E194</f>
        <v>2.2919340317591126E-4</v>
      </c>
    </row>
    <row r="206" spans="1:6" x14ac:dyDescent="0.2">
      <c r="A206" s="9">
        <v>27515</v>
      </c>
      <c r="B206" s="4">
        <v>46.5</v>
      </c>
      <c r="C206" s="7">
        <f>(Table3[[#This Row],[Conference Board Leading Indicator]]-B194)/B194</f>
        <v>-9.5330739299610875E-2</v>
      </c>
      <c r="E206" s="4">
        <v>91.150002000000001</v>
      </c>
      <c r="F206" s="7">
        <f>(Table3[[#This Row],[S&amp;P 500]]-E195)/E195</f>
        <v>5.9883744186046521E-2</v>
      </c>
    </row>
    <row r="207" spans="1:6" x14ac:dyDescent="0.2">
      <c r="A207" s="9">
        <v>27546</v>
      </c>
      <c r="B207" s="4">
        <v>46.8</v>
      </c>
      <c r="C207" s="7">
        <f>(Table3[[#This Row],[Conference Board Leading Indicator]]-B195)/B195</f>
        <v>-7.874015748031496E-2</v>
      </c>
      <c r="E207" s="4">
        <v>95.190002000000007</v>
      </c>
      <c r="F207" s="7">
        <f>(Table3[[#This Row],[S&amp;P 500]]-E196)/E196</f>
        <v>0.20022701299273787</v>
      </c>
    </row>
    <row r="208" spans="1:6" x14ac:dyDescent="0.2">
      <c r="A208" s="9">
        <v>27576</v>
      </c>
      <c r="B208" s="4">
        <v>47.3</v>
      </c>
      <c r="C208" s="7">
        <f>(Table3[[#This Row],[Conference Board Leading Indicator]]-B196)/B196</f>
        <v>-5.9642147117296228E-2</v>
      </c>
      <c r="D208" s="6">
        <v>7.9868246568049681E-3</v>
      </c>
      <c r="E208" s="4">
        <v>88.75</v>
      </c>
      <c r="F208" s="7">
        <f>(Table3[[#This Row],[S&amp;P 500]]-E197)/E197</f>
        <v>0.23007619597848381</v>
      </c>
    </row>
    <row r="209" spans="1:6" x14ac:dyDescent="0.2">
      <c r="A209" s="9">
        <v>27607</v>
      </c>
      <c r="B209" s="4">
        <v>47.4</v>
      </c>
      <c r="C209" s="7">
        <f>(Table3[[#This Row],[Conference Board Leading Indicator]]-B197)/B197</f>
        <v>-4.048582995951417E-2</v>
      </c>
      <c r="E209" s="4">
        <v>86.879997000000003</v>
      </c>
      <c r="F209" s="7">
        <f>(Table3[[#This Row],[S&amp;P 500]]-E198)/E198</f>
        <v>0.36732759887743799</v>
      </c>
    </row>
    <row r="210" spans="1:6" x14ac:dyDescent="0.2">
      <c r="A210" s="9">
        <v>27638</v>
      </c>
      <c r="B210" s="4">
        <v>47.6</v>
      </c>
      <c r="C210" s="7">
        <f>(Table3[[#This Row],[Conference Board Leading Indicator]]-B198)/B198</f>
        <v>-1.8556701030927807E-2</v>
      </c>
      <c r="E210" s="4">
        <v>83.870002999999997</v>
      </c>
      <c r="F210" s="7">
        <f>(Table3[[#This Row],[S&amp;P 500]]-E199)/E199</f>
        <v>0.13491205318235305</v>
      </c>
    </row>
    <row r="211" spans="1:6" x14ac:dyDescent="0.2">
      <c r="A211" s="9">
        <v>27668</v>
      </c>
      <c r="B211" s="4">
        <v>48</v>
      </c>
      <c r="C211" s="7">
        <f>(Table3[[#This Row],[Conference Board Leading Indicator]]-B199)/B199</f>
        <v>2.0876826722338502E-3</v>
      </c>
      <c r="D211" s="6">
        <v>2.5539986817473988E-2</v>
      </c>
      <c r="E211" s="4">
        <v>89.040001000000004</v>
      </c>
      <c r="F211" s="7">
        <f>(Table3[[#This Row],[S&amp;P 500]]-E200)/E200</f>
        <v>0.27254537269479256</v>
      </c>
    </row>
    <row r="212" spans="1:6" x14ac:dyDescent="0.2">
      <c r="A212" s="9">
        <v>27699</v>
      </c>
      <c r="B212" s="4">
        <v>48.2</v>
      </c>
      <c r="C212" s="7">
        <f>(Table3[[#This Row],[Conference Board Leading Indicator]]-B200)/B200</f>
        <v>2.3354564755838671E-2</v>
      </c>
      <c r="E212" s="4">
        <v>91.239998</v>
      </c>
      <c r="F212" s="7">
        <f>(Table3[[#This Row],[S&amp;P 500]]-E201)/E201</f>
        <v>0.33080514383912335</v>
      </c>
    </row>
    <row r="213" spans="1:6" x14ac:dyDescent="0.2">
      <c r="A213" s="9">
        <v>27729</v>
      </c>
      <c r="B213" s="4">
        <v>48.5</v>
      </c>
      <c r="C213" s="7">
        <f>(Table3[[#This Row],[Conference Board Leading Indicator]]-B201)/B201</f>
        <v>4.7516198704103736E-2</v>
      </c>
      <c r="E213" s="4">
        <v>90.190002000000007</v>
      </c>
      <c r="F213" s="7">
        <f>(Table3[[#This Row],[S&amp;P 500]]-E202)/E202</f>
        <v>0.17160299409185539</v>
      </c>
    </row>
    <row r="214" spans="1:6" x14ac:dyDescent="0.2">
      <c r="A214" s="9">
        <v>27760</v>
      </c>
      <c r="B214" s="4">
        <v>49.2</v>
      </c>
      <c r="C214" s="7">
        <f>(Table3[[#This Row],[Conference Board Leading Indicator]]-B202)/B202</f>
        <v>7.1895424836601399E-2</v>
      </c>
      <c r="D214" s="6">
        <v>6.1523864866092452E-2</v>
      </c>
      <c r="E214" s="4">
        <v>100.860001</v>
      </c>
      <c r="F214" s="7">
        <f>(Table3[[#This Row],[S&amp;P 500]]-E203)/E203</f>
        <v>0.23618097738355076</v>
      </c>
    </row>
    <row r="215" spans="1:6" x14ac:dyDescent="0.2">
      <c r="A215" s="9">
        <v>27791</v>
      </c>
      <c r="B215" s="4">
        <v>49.9</v>
      </c>
      <c r="C215" s="7">
        <f>(Table3[[#This Row],[Conference Board Leading Indicator]]-B203)/B203</f>
        <v>8.9519650655021876E-2</v>
      </c>
      <c r="E215" s="4">
        <v>99.709998999999996</v>
      </c>
      <c r="F215" s="7">
        <f>(Table3[[#This Row],[S&amp;P 500]]-E204)/E204</f>
        <v>0.19613720973923693</v>
      </c>
    </row>
    <row r="216" spans="1:6" x14ac:dyDescent="0.2">
      <c r="A216" s="9">
        <v>27820</v>
      </c>
      <c r="B216" s="4">
        <v>50.1</v>
      </c>
      <c r="C216" s="7">
        <f>(Table3[[#This Row],[Conference Board Leading Indicator]]-B204)/B204</f>
        <v>9.8684210526315791E-2</v>
      </c>
      <c r="E216" s="4">
        <v>102.769997</v>
      </c>
      <c r="F216" s="7">
        <f>(Table3[[#This Row],[S&amp;P 500]]-E205)/E205</f>
        <v>0.17720496527359797</v>
      </c>
    </row>
    <row r="217" spans="1:6" x14ac:dyDescent="0.2">
      <c r="A217" s="9">
        <v>27851</v>
      </c>
      <c r="B217" s="4">
        <v>50.3</v>
      </c>
      <c r="C217" s="7">
        <f>(Table3[[#This Row],[Conference Board Leading Indicator]]-B205)/B205</f>
        <v>8.8744588744588612E-2</v>
      </c>
      <c r="D217" s="6">
        <v>6.1725723898493151E-2</v>
      </c>
      <c r="E217" s="4">
        <v>101.639999</v>
      </c>
      <c r="F217" s="7">
        <f>(Table3[[#This Row],[S&amp;P 500]]-E206)/E206</f>
        <v>0.1150849892466267</v>
      </c>
    </row>
    <row r="218" spans="1:6" x14ac:dyDescent="0.2">
      <c r="A218" s="9">
        <v>27881</v>
      </c>
      <c r="B218" s="4">
        <v>50.7</v>
      </c>
      <c r="C218" s="7">
        <f>(Table3[[#This Row],[Conference Board Leading Indicator]]-B206)/B206</f>
        <v>9.0322580645161354E-2</v>
      </c>
      <c r="E218" s="4">
        <v>100.18</v>
      </c>
      <c r="F218" s="7">
        <f>(Table3[[#This Row],[S&amp;P 500]]-E207)/E207</f>
        <v>5.242145073176907E-2</v>
      </c>
    </row>
    <row r="219" spans="1:6" x14ac:dyDescent="0.2">
      <c r="A219" s="9">
        <v>27912</v>
      </c>
      <c r="B219" s="4">
        <v>50.8</v>
      </c>
      <c r="C219" s="7">
        <f>(Table3[[#This Row],[Conference Board Leading Indicator]]-B207)/B207</f>
        <v>8.5470085470085472E-2</v>
      </c>
      <c r="E219" s="4">
        <v>104.279999</v>
      </c>
      <c r="F219" s="7">
        <f>(Table3[[#This Row],[S&amp;P 500]]-E208)/E208</f>
        <v>0.17498590422535215</v>
      </c>
    </row>
    <row r="220" spans="1:6" x14ac:dyDescent="0.2">
      <c r="A220" s="9">
        <v>27942</v>
      </c>
      <c r="B220" s="4">
        <v>51.3</v>
      </c>
      <c r="C220" s="7">
        <f>(Table3[[#This Row],[Conference Board Leading Indicator]]-B208)/B208</f>
        <v>8.4566596194503171E-2</v>
      </c>
      <c r="D220" s="6">
        <v>4.9586307175719491E-2</v>
      </c>
      <c r="E220" s="4">
        <v>103.44000200000001</v>
      </c>
      <c r="F220" s="7">
        <f>(Table3[[#This Row],[S&amp;P 500]]-E209)/E209</f>
        <v>0.19060779893903546</v>
      </c>
    </row>
    <row r="221" spans="1:6" x14ac:dyDescent="0.2">
      <c r="A221" s="9">
        <v>27973</v>
      </c>
      <c r="B221" s="4">
        <v>51.5</v>
      </c>
      <c r="C221" s="7">
        <f>(Table3[[#This Row],[Conference Board Leading Indicator]]-B209)/B209</f>
        <v>8.6497890295358676E-2</v>
      </c>
      <c r="E221" s="4">
        <v>102.910004</v>
      </c>
      <c r="F221" s="7">
        <f>(Table3[[#This Row],[S&amp;P 500]]-E210)/E210</f>
        <v>0.22701800785675427</v>
      </c>
    </row>
    <row r="222" spans="1:6" x14ac:dyDescent="0.2">
      <c r="A222" s="9">
        <v>28004</v>
      </c>
      <c r="B222" s="4">
        <v>51.9</v>
      </c>
      <c r="C222" s="7">
        <f>(Table3[[#This Row],[Conference Board Leading Indicator]]-B210)/B210</f>
        <v>9.0336134453781455E-2</v>
      </c>
      <c r="E222" s="4">
        <v>105.239998</v>
      </c>
      <c r="F222" s="7">
        <f>(Table3[[#This Row],[S&amp;P 500]]-E211)/E211</f>
        <v>0.18194066507254414</v>
      </c>
    </row>
    <row r="223" spans="1:6" x14ac:dyDescent="0.2">
      <c r="A223" s="9">
        <v>28034</v>
      </c>
      <c r="B223" s="4">
        <v>51.9</v>
      </c>
      <c r="C223" s="7">
        <f>(Table3[[#This Row],[Conference Board Leading Indicator]]-B211)/B211</f>
        <v>8.1249999999999975E-2</v>
      </c>
      <c r="D223" s="6">
        <v>4.3148126414503434E-2</v>
      </c>
      <c r="E223" s="4">
        <v>102.900002</v>
      </c>
      <c r="F223" s="7">
        <f>(Table3[[#This Row],[S&amp;P 500]]-E212)/E212</f>
        <v>0.12779487347204896</v>
      </c>
    </row>
    <row r="224" spans="1:6" x14ac:dyDescent="0.2">
      <c r="A224" s="9">
        <v>28065</v>
      </c>
      <c r="B224" s="4">
        <v>52.4</v>
      </c>
      <c r="C224" s="7">
        <f>(Table3[[#This Row],[Conference Board Leading Indicator]]-B212)/B212</f>
        <v>8.7136929460580825E-2</v>
      </c>
      <c r="E224" s="4">
        <v>102.099998</v>
      </c>
      <c r="F224" s="7">
        <f>(Table3[[#This Row],[S&amp;P 500]]-E213)/E213</f>
        <v>0.13205450422320639</v>
      </c>
    </row>
    <row r="225" spans="1:6" x14ac:dyDescent="0.2">
      <c r="A225" s="9">
        <v>28095</v>
      </c>
      <c r="B225" s="4">
        <v>52.9</v>
      </c>
      <c r="C225" s="7">
        <f>(Table3[[#This Row],[Conference Board Leading Indicator]]-B213)/B213</f>
        <v>9.0721649484536052E-2</v>
      </c>
      <c r="E225" s="4">
        <v>107.459999</v>
      </c>
      <c r="F225" s="7">
        <f>(Table3[[#This Row],[S&amp;P 500]]-E214)/E214</f>
        <v>6.5437219259991866E-2</v>
      </c>
    </row>
    <row r="226" spans="1:6" x14ac:dyDescent="0.2">
      <c r="A226" s="9">
        <v>28126</v>
      </c>
      <c r="B226" s="4">
        <v>52.9</v>
      </c>
      <c r="C226" s="7">
        <f>(Table3[[#This Row],[Conference Board Leading Indicator]]-B214)/B214</f>
        <v>7.5203252032520235E-2</v>
      </c>
      <c r="D226" s="6">
        <v>3.2259784362000117E-2</v>
      </c>
      <c r="E226" s="4">
        <v>102.029999</v>
      </c>
      <c r="F226" s="7">
        <f>(Table3[[#This Row],[S&amp;P 500]]-E215)/E215</f>
        <v>2.3267475912822019E-2</v>
      </c>
    </row>
    <row r="227" spans="1:6" x14ac:dyDescent="0.2">
      <c r="A227" s="9">
        <v>28157</v>
      </c>
      <c r="B227" s="4">
        <v>53.2</v>
      </c>
      <c r="C227" s="7">
        <f>(Table3[[#This Row],[Conference Board Leading Indicator]]-B215)/B215</f>
        <v>6.613226452905821E-2</v>
      </c>
      <c r="E227" s="4">
        <v>99.82</v>
      </c>
      <c r="F227" s="7">
        <f>(Table3[[#This Row],[S&amp;P 500]]-E216)/E216</f>
        <v>-2.8704846610047192E-2</v>
      </c>
    </row>
    <row r="228" spans="1:6" x14ac:dyDescent="0.2">
      <c r="A228" s="9">
        <v>28185</v>
      </c>
      <c r="B228" s="4">
        <v>54</v>
      </c>
      <c r="C228" s="7">
        <f>(Table3[[#This Row],[Conference Board Leading Indicator]]-B216)/B216</f>
        <v>7.7844311377245484E-2</v>
      </c>
      <c r="E228" s="4">
        <v>98.419998000000007</v>
      </c>
      <c r="F228" s="7">
        <f>(Table3[[#This Row],[S&amp;P 500]]-E217)/E217</f>
        <v>-3.1680450921688773E-2</v>
      </c>
    </row>
    <row r="229" spans="1:6" x14ac:dyDescent="0.2">
      <c r="A229" s="9">
        <v>28216</v>
      </c>
      <c r="B229" s="4">
        <v>54.1</v>
      </c>
      <c r="C229" s="7">
        <f>(Table3[[#This Row],[Conference Board Leading Indicator]]-B217)/B217</f>
        <v>7.5546719681908639E-2</v>
      </c>
      <c r="D229" s="6">
        <v>4.4663392503022557E-2</v>
      </c>
      <c r="E229" s="4">
        <v>98.440002000000007</v>
      </c>
      <c r="F229" s="7">
        <f>(Table3[[#This Row],[S&amp;P 500]]-E218)/E218</f>
        <v>-1.7368716310640846E-2</v>
      </c>
    </row>
    <row r="230" spans="1:6" x14ac:dyDescent="0.2">
      <c r="A230" s="9">
        <v>28246</v>
      </c>
      <c r="B230" s="4">
        <v>54.4</v>
      </c>
      <c r="C230" s="7">
        <f>(Table3[[#This Row],[Conference Board Leading Indicator]]-B218)/B218</f>
        <v>7.2978303747534432E-2</v>
      </c>
      <c r="E230" s="4">
        <v>96.120002999999997</v>
      </c>
      <c r="F230" s="7">
        <f>(Table3[[#This Row],[S&amp;P 500]]-E219)/E219</f>
        <v>-7.8250825453115E-2</v>
      </c>
    </row>
    <row r="231" spans="1:6" x14ac:dyDescent="0.2">
      <c r="A231" s="9">
        <v>28277</v>
      </c>
      <c r="B231" s="4">
        <v>54.8</v>
      </c>
      <c r="C231" s="7">
        <f>(Table3[[#This Row],[Conference Board Leading Indicator]]-B219)/B219</f>
        <v>7.874015748031496E-2</v>
      </c>
      <c r="E231" s="4">
        <v>100.480003</v>
      </c>
      <c r="F231" s="7">
        <f>(Table3[[#This Row],[S&amp;P 500]]-E220)/E220</f>
        <v>-2.8615612362420589E-2</v>
      </c>
    </row>
    <row r="232" spans="1:6" x14ac:dyDescent="0.2">
      <c r="A232" s="9">
        <v>28307</v>
      </c>
      <c r="B232" s="4">
        <v>54.8</v>
      </c>
      <c r="C232" s="7">
        <f>(Table3[[#This Row],[Conference Board Leading Indicator]]-B220)/B220</f>
        <v>6.8226120857699815E-2</v>
      </c>
      <c r="D232" s="6">
        <v>5.7708919888722426E-2</v>
      </c>
      <c r="E232" s="4">
        <v>98.849997999999999</v>
      </c>
      <c r="F232" s="7">
        <f>(Table3[[#This Row],[S&amp;P 500]]-E221)/E221</f>
        <v>-3.9452005074258875E-2</v>
      </c>
    </row>
    <row r="233" spans="1:6" x14ac:dyDescent="0.2">
      <c r="A233" s="9">
        <v>28338</v>
      </c>
      <c r="B233" s="4">
        <v>55.1</v>
      </c>
      <c r="C233" s="7">
        <f>(Table3[[#This Row],[Conference Board Leading Indicator]]-B221)/B221</f>
        <v>6.9902912621359253E-2</v>
      </c>
      <c r="E233" s="4">
        <v>96.769997000000004</v>
      </c>
      <c r="F233" s="7">
        <f>(Table3[[#This Row],[S&amp;P 500]]-E222)/E222</f>
        <v>-8.0482717226961528E-2</v>
      </c>
    </row>
    <row r="234" spans="1:6" x14ac:dyDescent="0.2">
      <c r="A234" s="9">
        <v>28369</v>
      </c>
      <c r="B234" s="4">
        <v>55.2</v>
      </c>
      <c r="C234" s="7">
        <f>(Table3[[#This Row],[Conference Board Leading Indicator]]-B222)/B222</f>
        <v>6.3583815028901813E-2</v>
      </c>
      <c r="E234" s="4">
        <v>96.529999000000004</v>
      </c>
      <c r="F234" s="7">
        <f>(Table3[[#This Row],[S&amp;P 500]]-E223)/E223</f>
        <v>-6.1904789856077912E-2</v>
      </c>
    </row>
    <row r="235" spans="1:6" x14ac:dyDescent="0.2">
      <c r="A235" s="9">
        <v>28399</v>
      </c>
      <c r="B235" s="4">
        <v>55.3</v>
      </c>
      <c r="C235" s="7">
        <f>(Table3[[#This Row],[Conference Board Leading Indicator]]-B223)/B223</f>
        <v>6.5510597302504789E-2</v>
      </c>
      <c r="D235" s="6">
        <v>5.0120296166899475E-2</v>
      </c>
      <c r="E235" s="4">
        <v>92.339995999999999</v>
      </c>
      <c r="F235" s="7">
        <f>(Table3[[#This Row],[S&amp;P 500]]-E224)/E224</f>
        <v>-9.5592577778502996E-2</v>
      </c>
    </row>
    <row r="236" spans="1:6" x14ac:dyDescent="0.2">
      <c r="A236" s="9">
        <v>28430</v>
      </c>
      <c r="B236" s="4">
        <v>55.5</v>
      </c>
      <c r="C236" s="7">
        <f>(Table3[[#This Row],[Conference Board Leading Indicator]]-B224)/B224</f>
        <v>5.916030534351148E-2</v>
      </c>
      <c r="E236" s="4">
        <v>94.830001999999993</v>
      </c>
      <c r="F236" s="7">
        <f>(Table3[[#This Row],[S&amp;P 500]]-E225)/E225</f>
        <v>-0.11753207814565496</v>
      </c>
    </row>
    <row r="237" spans="1:6" x14ac:dyDescent="0.2">
      <c r="A237" s="9">
        <v>28460</v>
      </c>
      <c r="B237" s="4">
        <v>55.6</v>
      </c>
      <c r="C237" s="7">
        <f>(Table3[[#This Row],[Conference Board Leading Indicator]]-B225)/B225</f>
        <v>5.1039697542533138E-2</v>
      </c>
      <c r="E237" s="4">
        <v>95.099997999999999</v>
      </c>
      <c r="F237" s="7">
        <f>(Table3[[#This Row],[S&amp;P 500]]-E226)/E226</f>
        <v>-6.7921210113899969E-2</v>
      </c>
    </row>
    <row r="238" spans="1:6" x14ac:dyDescent="0.2">
      <c r="A238" s="9">
        <v>28491</v>
      </c>
      <c r="B238" s="4">
        <v>55.2</v>
      </c>
      <c r="C238" s="7">
        <f>(Table3[[#This Row],[Conference Board Leading Indicator]]-B226)/B226</f>
        <v>4.3478260869565299E-2</v>
      </c>
      <c r="D238" s="6">
        <v>4.1170696113854294E-2</v>
      </c>
      <c r="E238" s="4">
        <v>89.25</v>
      </c>
      <c r="F238" s="7">
        <f>(Table3[[#This Row],[S&amp;P 500]]-E227)/E227</f>
        <v>-0.10589060308555394</v>
      </c>
    </row>
    <row r="239" spans="1:6" x14ac:dyDescent="0.2">
      <c r="A239" s="9">
        <v>28522</v>
      </c>
      <c r="B239" s="4">
        <v>55.5</v>
      </c>
      <c r="C239" s="7">
        <f>(Table3[[#This Row],[Conference Board Leading Indicator]]-B227)/B227</f>
        <v>4.3233082706766859E-2</v>
      </c>
      <c r="E239" s="4">
        <v>87.040001000000004</v>
      </c>
      <c r="F239" s="7">
        <f>(Table3[[#This Row],[S&amp;P 500]]-E228)/E228</f>
        <v>-0.1156268769686421</v>
      </c>
    </row>
    <row r="240" spans="1:6" x14ac:dyDescent="0.2">
      <c r="A240" s="9">
        <v>28550</v>
      </c>
      <c r="B240" s="4">
        <v>56</v>
      </c>
      <c r="C240" s="7">
        <f>(Table3[[#This Row],[Conference Board Leading Indicator]]-B228)/B228</f>
        <v>3.7037037037037035E-2</v>
      </c>
      <c r="E240" s="4">
        <v>89.209998999999996</v>
      </c>
      <c r="F240" s="7">
        <f>(Table3[[#This Row],[S&amp;P 500]]-E229)/E229</f>
        <v>-9.3762726660651732E-2</v>
      </c>
    </row>
    <row r="241" spans="1:6" x14ac:dyDescent="0.2">
      <c r="A241" s="9">
        <v>28581</v>
      </c>
      <c r="B241" s="4">
        <v>56.6</v>
      </c>
      <c r="C241" s="7">
        <f>(Table3[[#This Row],[Conference Board Leading Indicator]]-B229)/B229</f>
        <v>4.6210720887245843E-2</v>
      </c>
      <c r="D241" s="6">
        <v>6.0781394862534283E-2</v>
      </c>
      <c r="E241" s="4">
        <v>96.830001999999993</v>
      </c>
      <c r="F241" s="7">
        <f>(Table3[[#This Row],[S&amp;P 500]]-E230)/E230</f>
        <v>7.3865894490244268E-3</v>
      </c>
    </row>
    <row r="242" spans="1:6" x14ac:dyDescent="0.2">
      <c r="A242" s="9">
        <v>28611</v>
      </c>
      <c r="B242" s="4">
        <v>56.9</v>
      </c>
      <c r="C242" s="7">
        <f>(Table3[[#This Row],[Conference Board Leading Indicator]]-B230)/B230</f>
        <v>4.595588235294118E-2</v>
      </c>
      <c r="E242" s="4">
        <v>97.239998</v>
      </c>
      <c r="F242" s="7">
        <f>(Table3[[#This Row],[S&amp;P 500]]-E231)/E231</f>
        <v>-3.2245271728345758E-2</v>
      </c>
    </row>
    <row r="243" spans="1:6" x14ac:dyDescent="0.2">
      <c r="A243" s="9">
        <v>28642</v>
      </c>
      <c r="B243" s="4">
        <v>57.1</v>
      </c>
      <c r="C243" s="7">
        <f>(Table3[[#This Row],[Conference Board Leading Indicator]]-B231)/B231</f>
        <v>4.197080291970811E-2</v>
      </c>
      <c r="E243" s="4">
        <v>95.529999000000004</v>
      </c>
      <c r="F243" s="7">
        <f>(Table3[[#This Row],[S&amp;P 500]]-E232)/E232</f>
        <v>-3.3586232343676886E-2</v>
      </c>
    </row>
    <row r="244" spans="1:6" x14ac:dyDescent="0.2">
      <c r="A244" s="9">
        <v>28672</v>
      </c>
      <c r="B244" s="4">
        <v>57</v>
      </c>
      <c r="C244" s="7">
        <f>(Table3[[#This Row],[Conference Board Leading Indicator]]-B232)/B232</f>
        <v>4.0145985401459909E-2</v>
      </c>
      <c r="D244" s="6">
        <v>5.2457764575845327E-2</v>
      </c>
      <c r="E244" s="4">
        <v>100.68</v>
      </c>
      <c r="F244" s="7">
        <f>(Table3[[#This Row],[S&amp;P 500]]-E233)/E233</f>
        <v>4.0405116474272529E-2</v>
      </c>
    </row>
    <row r="245" spans="1:6" x14ac:dyDescent="0.2">
      <c r="A245" s="9">
        <v>28703</v>
      </c>
      <c r="B245" s="4">
        <v>57.4</v>
      </c>
      <c r="C245" s="7">
        <f>(Table3[[#This Row],[Conference Board Leading Indicator]]-B233)/B233</f>
        <v>4.1742286751361109E-2</v>
      </c>
      <c r="E245" s="4">
        <v>103.290001</v>
      </c>
      <c r="F245" s="7">
        <f>(Table3[[#This Row],[S&amp;P 500]]-E234)/E234</f>
        <v>7.0030063918264412E-2</v>
      </c>
    </row>
    <row r="246" spans="1:6" x14ac:dyDescent="0.2">
      <c r="A246" s="9">
        <v>28734</v>
      </c>
      <c r="B246" s="4">
        <v>57.6</v>
      </c>
      <c r="C246" s="7">
        <f>(Table3[[#This Row],[Conference Board Leading Indicator]]-B234)/B234</f>
        <v>4.3478260869565188E-2</v>
      </c>
      <c r="E246" s="4">
        <v>102.540001</v>
      </c>
      <c r="F246" s="7">
        <f>(Table3[[#This Row],[S&amp;P 500]]-E235)/E235</f>
        <v>0.11046139746421479</v>
      </c>
    </row>
    <row r="247" spans="1:6" x14ac:dyDescent="0.2">
      <c r="A247" s="9">
        <v>28764</v>
      </c>
      <c r="B247" s="4">
        <v>57.6</v>
      </c>
      <c r="C247" s="7">
        <f>(Table3[[#This Row],[Conference Board Leading Indicator]]-B235)/B235</f>
        <v>4.1591320072332807E-2</v>
      </c>
      <c r="D247" s="6">
        <v>6.6581009539036395E-2</v>
      </c>
      <c r="E247" s="4">
        <v>93.150002000000001</v>
      </c>
      <c r="F247" s="7">
        <f>(Table3[[#This Row],[S&amp;P 500]]-E236)/E236</f>
        <v>-1.7715912312223643E-2</v>
      </c>
    </row>
    <row r="248" spans="1:6" x14ac:dyDescent="0.2">
      <c r="A248" s="9">
        <v>28795</v>
      </c>
      <c r="B248" s="4">
        <v>57.3</v>
      </c>
      <c r="C248" s="7">
        <f>(Table3[[#This Row],[Conference Board Leading Indicator]]-B236)/B236</f>
        <v>3.2432432432432379E-2</v>
      </c>
      <c r="E248" s="4">
        <v>94.699996999999996</v>
      </c>
      <c r="F248" s="7">
        <f>(Table3[[#This Row],[S&amp;P 500]]-E237)/E237</f>
        <v>-4.2061094470265204E-3</v>
      </c>
    </row>
    <row r="249" spans="1:6" x14ac:dyDescent="0.2">
      <c r="A249" s="9">
        <v>28825</v>
      </c>
      <c r="B249" s="4">
        <v>57.3</v>
      </c>
      <c r="C249" s="7">
        <f>(Table3[[#This Row],[Conference Board Leading Indicator]]-B237)/B237</f>
        <v>3.0575539568345245E-2</v>
      </c>
      <c r="E249" s="4">
        <v>96.110000999999997</v>
      </c>
      <c r="F249" s="7">
        <f>(Table3[[#This Row],[S&amp;P 500]]-E238)/E238</f>
        <v>7.6862756302520971E-2</v>
      </c>
    </row>
    <row r="250" spans="1:6" x14ac:dyDescent="0.2">
      <c r="A250" s="9">
        <v>28856</v>
      </c>
      <c r="B250" s="4">
        <v>57</v>
      </c>
      <c r="C250" s="7">
        <f>(Table3[[#This Row],[Conference Board Leading Indicator]]-B238)/B238</f>
        <v>3.2608695652173857E-2</v>
      </c>
      <c r="D250" s="6">
        <v>6.5098989840264881E-2</v>
      </c>
      <c r="E250" s="4">
        <v>99.93</v>
      </c>
      <c r="F250" s="7">
        <f>(Table3[[#This Row],[S&amp;P 500]]-E239)/E239</f>
        <v>0.14809281769194835</v>
      </c>
    </row>
    <row r="251" spans="1:6" x14ac:dyDescent="0.2">
      <c r="A251" s="9">
        <v>28887</v>
      </c>
      <c r="B251" s="4">
        <v>56.9</v>
      </c>
      <c r="C251" s="7">
        <f>(Table3[[#This Row],[Conference Board Leading Indicator]]-B239)/B239</f>
        <v>2.52252252252252E-2</v>
      </c>
      <c r="E251" s="4">
        <v>96.279999000000004</v>
      </c>
      <c r="F251" s="7">
        <f>(Table3[[#This Row],[S&amp;P 500]]-E240)/E240</f>
        <v>7.925120591022547E-2</v>
      </c>
    </row>
    <row r="252" spans="1:6" x14ac:dyDescent="0.2">
      <c r="A252" s="9">
        <v>28915</v>
      </c>
      <c r="B252" s="4">
        <v>57.4</v>
      </c>
      <c r="C252" s="7">
        <f>(Table3[[#This Row],[Conference Board Leading Indicator]]-B240)/B240</f>
        <v>2.4999999999999974E-2</v>
      </c>
      <c r="E252" s="4">
        <v>101.589996</v>
      </c>
      <c r="F252" s="7">
        <f>(Table3[[#This Row],[S&amp;P 500]]-E241)/E241</f>
        <v>4.9158255723262365E-2</v>
      </c>
    </row>
    <row r="253" spans="1:6" x14ac:dyDescent="0.2">
      <c r="A253" s="9">
        <v>28946</v>
      </c>
      <c r="B253" s="4">
        <v>56.4</v>
      </c>
      <c r="C253" s="7">
        <f>(Table3[[#This Row],[Conference Board Leading Indicator]]-B241)/B241</f>
        <v>-3.5335689045936898E-3</v>
      </c>
      <c r="D253" s="6">
        <v>2.6568700670328314E-2</v>
      </c>
      <c r="E253" s="4">
        <v>101.760002</v>
      </c>
      <c r="F253" s="7">
        <f>(Table3[[#This Row],[S&amp;P 500]]-E242)/E242</f>
        <v>4.6482970927251566E-2</v>
      </c>
    </row>
    <row r="254" spans="1:6" x14ac:dyDescent="0.2">
      <c r="A254" s="9">
        <v>28976</v>
      </c>
      <c r="B254" s="4">
        <v>56.7</v>
      </c>
      <c r="C254" s="7">
        <f>(Table3[[#This Row],[Conference Board Leading Indicator]]-B242)/B242</f>
        <v>-3.5149384885763751E-3</v>
      </c>
      <c r="E254" s="4">
        <v>99.080001999999993</v>
      </c>
      <c r="F254" s="7">
        <f>(Table3[[#This Row],[S&amp;P 500]]-E243)/E243</f>
        <v>3.7161133017493173E-2</v>
      </c>
    </row>
    <row r="255" spans="1:6" x14ac:dyDescent="0.2">
      <c r="A255" s="9">
        <v>29007</v>
      </c>
      <c r="B255" s="4">
        <v>56.4</v>
      </c>
      <c r="C255" s="7">
        <f>(Table3[[#This Row],[Conference Board Leading Indicator]]-B243)/B243</f>
        <v>-1.2259194395796896E-2</v>
      </c>
      <c r="E255" s="4">
        <v>102.910004</v>
      </c>
      <c r="F255" s="7">
        <f>(Table3[[#This Row],[S&amp;P 500]]-E244)/E244</f>
        <v>2.2149423917361875E-2</v>
      </c>
    </row>
    <row r="256" spans="1:6" x14ac:dyDescent="0.2">
      <c r="A256" s="9">
        <v>29037</v>
      </c>
      <c r="B256" s="4">
        <v>55.9</v>
      </c>
      <c r="C256" s="7">
        <f>(Table3[[#This Row],[Conference Board Leading Indicator]]-B244)/B244</f>
        <v>-1.9298245614035113E-2</v>
      </c>
      <c r="D256" s="6">
        <v>2.3899265371251505E-2</v>
      </c>
      <c r="E256" s="4">
        <v>103.80999799999999</v>
      </c>
      <c r="F256" s="7">
        <f>(Table3[[#This Row],[S&amp;P 500]]-E245)/E245</f>
        <v>5.0343401584436948E-3</v>
      </c>
    </row>
    <row r="257" spans="1:6" x14ac:dyDescent="0.2">
      <c r="A257" s="9">
        <v>29068</v>
      </c>
      <c r="B257" s="4">
        <v>55.7</v>
      </c>
      <c r="C257" s="7">
        <f>(Table3[[#This Row],[Conference Board Leading Indicator]]-B245)/B245</f>
        <v>-2.9616724738675885E-2</v>
      </c>
      <c r="E257" s="4">
        <v>109.32</v>
      </c>
      <c r="F257" s="7">
        <f>(Table3[[#This Row],[S&amp;P 500]]-E246)/E246</f>
        <v>6.6120527929388148E-2</v>
      </c>
    </row>
    <row r="258" spans="1:6" x14ac:dyDescent="0.2">
      <c r="A258" s="9">
        <v>29099</v>
      </c>
      <c r="B258" s="4">
        <v>55.4</v>
      </c>
      <c r="C258" s="7">
        <f>(Table3[[#This Row],[Conference Board Leading Indicator]]-B246)/B246</f>
        <v>-3.8194444444444496E-2</v>
      </c>
      <c r="E258" s="4">
        <v>109.32</v>
      </c>
      <c r="F258" s="7">
        <f>(Table3[[#This Row],[S&amp;P 500]]-E247)/E247</f>
        <v>0.17359095708876091</v>
      </c>
    </row>
    <row r="259" spans="1:6" x14ac:dyDescent="0.2">
      <c r="A259" s="9">
        <v>29129</v>
      </c>
      <c r="B259" s="4">
        <v>54.9</v>
      </c>
      <c r="C259" s="7">
        <f>(Table3[[#This Row],[Conference Board Leading Indicator]]-B247)/B247</f>
        <v>-4.6875000000000049E-2</v>
      </c>
      <c r="D259" s="6">
        <v>1.2845638511357444E-2</v>
      </c>
      <c r="E259" s="4">
        <v>101.82</v>
      </c>
      <c r="F259" s="7">
        <f>(Table3[[#This Row],[S&amp;P 500]]-E248)/E248</f>
        <v>7.518482814735461E-2</v>
      </c>
    </row>
    <row r="260" spans="1:6" x14ac:dyDescent="0.2">
      <c r="A260" s="9">
        <v>29160</v>
      </c>
      <c r="B260" s="4">
        <v>54.2</v>
      </c>
      <c r="C260" s="7">
        <f>(Table3[[#This Row],[Conference Board Leading Indicator]]-B248)/B248</f>
        <v>-5.4101221640488563E-2</v>
      </c>
      <c r="E260" s="4">
        <v>106.160004</v>
      </c>
      <c r="F260" s="7">
        <f>(Table3[[#This Row],[S&amp;P 500]]-E249)/E249</f>
        <v>0.10456771298961909</v>
      </c>
    </row>
    <row r="261" spans="1:6" x14ac:dyDescent="0.2">
      <c r="A261" s="9">
        <v>29190</v>
      </c>
      <c r="B261" s="4">
        <v>53.8</v>
      </c>
      <c r="C261" s="7">
        <f>(Table3[[#This Row],[Conference Board Leading Indicator]]-B249)/B249</f>
        <v>-6.1082024432809773E-2</v>
      </c>
      <c r="E261" s="4">
        <v>107.94000200000001</v>
      </c>
      <c r="F261" s="7">
        <f>(Table3[[#This Row],[S&amp;P 500]]-E250)/E250</f>
        <v>8.015612929050335E-2</v>
      </c>
    </row>
    <row r="262" spans="1:6" x14ac:dyDescent="0.2">
      <c r="A262" s="9">
        <v>29221</v>
      </c>
      <c r="B262" s="4">
        <v>53.7</v>
      </c>
      <c r="C262" s="7">
        <f>(Table3[[#This Row],[Conference Board Leading Indicator]]-B250)/B250</f>
        <v>-5.7894736842105214E-2</v>
      </c>
      <c r="D262" s="6">
        <v>1.4207812865719037E-2</v>
      </c>
      <c r="E262" s="4">
        <v>114.160004</v>
      </c>
      <c r="F262" s="7">
        <f>(Table3[[#This Row],[S&amp;P 500]]-E251)/E251</f>
        <v>0.18570840450465725</v>
      </c>
    </row>
    <row r="263" spans="1:6" x14ac:dyDescent="0.2">
      <c r="A263" s="9">
        <v>29252</v>
      </c>
      <c r="B263" s="4">
        <v>53.5</v>
      </c>
      <c r="C263" s="7">
        <f>(Table3[[#This Row],[Conference Board Leading Indicator]]-B251)/B251</f>
        <v>-5.9753954305799627E-2</v>
      </c>
      <c r="E263" s="4">
        <v>113.660004</v>
      </c>
      <c r="F263" s="7">
        <f>(Table3[[#This Row],[S&amp;P 500]]-E252)/E252</f>
        <v>0.11881099001126057</v>
      </c>
    </row>
    <row r="264" spans="1:6" x14ac:dyDescent="0.2">
      <c r="A264" s="9">
        <v>29281</v>
      </c>
      <c r="B264" s="4">
        <v>52.2</v>
      </c>
      <c r="C264" s="7">
        <f>(Table3[[#This Row],[Conference Board Leading Indicator]]-B252)/B252</f>
        <v>-9.0592334494773441E-2</v>
      </c>
      <c r="E264" s="4">
        <v>102.089996</v>
      </c>
      <c r="F264" s="7">
        <f>(Table3[[#This Row],[S&amp;P 500]]-E253)/E253</f>
        <v>3.242865502302164E-3</v>
      </c>
    </row>
    <row r="265" spans="1:6" x14ac:dyDescent="0.2">
      <c r="A265" s="9">
        <v>29312</v>
      </c>
      <c r="B265" s="4">
        <v>50.6</v>
      </c>
      <c r="C265" s="7">
        <f>(Table3[[#This Row],[Conference Board Leading Indicator]]-B253)/B253</f>
        <v>-0.10283687943262407</v>
      </c>
      <c r="D265" s="6">
        <v>-7.7507055423842392E-3</v>
      </c>
      <c r="E265" s="4">
        <v>106.290001</v>
      </c>
      <c r="F265" s="7">
        <f>(Table3[[#This Row],[S&amp;P 500]]-E254)/E254</f>
        <v>7.2769467646962821E-2</v>
      </c>
    </row>
    <row r="266" spans="1:6" x14ac:dyDescent="0.2">
      <c r="A266" s="9">
        <v>29342</v>
      </c>
      <c r="B266" s="4">
        <v>49.9</v>
      </c>
      <c r="C266" s="7">
        <f>(Table3[[#This Row],[Conference Board Leading Indicator]]-B254)/B254</f>
        <v>-0.11992945326278666</v>
      </c>
      <c r="E266" s="4">
        <v>111.239998</v>
      </c>
      <c r="F266" s="7">
        <f>(Table3[[#This Row],[S&amp;P 500]]-E255)/E255</f>
        <v>8.0944453174834188E-2</v>
      </c>
    </row>
    <row r="267" spans="1:6" x14ac:dyDescent="0.2">
      <c r="A267" s="9">
        <v>29373</v>
      </c>
      <c r="B267" s="4">
        <v>50.2</v>
      </c>
      <c r="C267" s="7">
        <f>(Table3[[#This Row],[Conference Board Leading Indicator]]-B255)/B255</f>
        <v>-0.10992907801418432</v>
      </c>
      <c r="E267" s="4">
        <v>114.239998</v>
      </c>
      <c r="F267" s="7">
        <f>(Table3[[#This Row],[S&amp;P 500]]-E256)/E256</f>
        <v>0.10047201811910263</v>
      </c>
    </row>
    <row r="268" spans="1:6" x14ac:dyDescent="0.2">
      <c r="A268" s="9">
        <v>29403</v>
      </c>
      <c r="B268" s="4">
        <v>50.6</v>
      </c>
      <c r="C268" s="7">
        <f>(Table3[[#This Row],[Conference Board Leading Indicator]]-B256)/B256</f>
        <v>-9.4812164579606395E-2</v>
      </c>
      <c r="D268" s="6">
        <v>-1.6238086833745138E-2</v>
      </c>
      <c r="E268" s="4">
        <v>121.66999800000001</v>
      </c>
      <c r="F268" s="7">
        <f>(Table3[[#This Row],[S&amp;P 500]]-E257)/E257</f>
        <v>0.11297107574094414</v>
      </c>
    </row>
    <row r="269" spans="1:6" x14ac:dyDescent="0.2">
      <c r="A269" s="9">
        <v>29434</v>
      </c>
      <c r="B269" s="4">
        <v>50.9</v>
      </c>
      <c r="C269" s="7">
        <f>(Table3[[#This Row],[Conference Board Leading Indicator]]-B257)/B257</f>
        <v>-8.6175942549371706E-2</v>
      </c>
      <c r="E269" s="4">
        <v>122.379997</v>
      </c>
      <c r="F269" s="7">
        <f>(Table3[[#This Row],[S&amp;P 500]]-E258)/E258</f>
        <v>0.11946576106842308</v>
      </c>
    </row>
    <row r="270" spans="1:6" x14ac:dyDescent="0.2">
      <c r="A270" s="9">
        <v>29465</v>
      </c>
      <c r="B270" s="4">
        <v>51.4</v>
      </c>
      <c r="C270" s="7">
        <f>(Table3[[#This Row],[Conference Board Leading Indicator]]-B258)/B258</f>
        <v>-7.2202166064981949E-2</v>
      </c>
      <c r="E270" s="4">
        <v>125.459999</v>
      </c>
      <c r="F270" s="7">
        <f>(Table3[[#This Row],[S&amp;P 500]]-E259)/E259</f>
        <v>0.23217441563543512</v>
      </c>
    </row>
    <row r="271" spans="1:6" x14ac:dyDescent="0.2">
      <c r="A271" s="9">
        <v>29495</v>
      </c>
      <c r="B271" s="4">
        <v>51.7</v>
      </c>
      <c r="C271" s="7">
        <f>(Table3[[#This Row],[Conference Board Leading Indicator]]-B259)/B259</f>
        <v>-5.8287795992713949E-2</v>
      </c>
      <c r="D271" s="6">
        <v>-3.9142026726618538E-4</v>
      </c>
      <c r="E271" s="4">
        <v>127.470001</v>
      </c>
      <c r="F271" s="7">
        <f>(Table3[[#This Row],[S&amp;P 500]]-E260)/E260</f>
        <v>0.20073470419236228</v>
      </c>
    </row>
    <row r="272" spans="1:6" x14ac:dyDescent="0.2">
      <c r="A272" s="9">
        <v>29526</v>
      </c>
      <c r="B272" s="4">
        <v>51.8</v>
      </c>
      <c r="C272" s="7">
        <f>(Table3[[#This Row],[Conference Board Leading Indicator]]-B260)/B260</f>
        <v>-4.4280442804428145E-2</v>
      </c>
      <c r="E272" s="4">
        <v>140.520004</v>
      </c>
      <c r="F272" s="7">
        <f>(Table3[[#This Row],[S&amp;P 500]]-E261)/E261</f>
        <v>0.30183436535418995</v>
      </c>
    </row>
    <row r="273" spans="1:6" x14ac:dyDescent="0.2">
      <c r="A273" s="9">
        <v>29556</v>
      </c>
      <c r="B273" s="4">
        <v>51.5</v>
      </c>
      <c r="C273" s="7">
        <f>(Table3[[#This Row],[Conference Board Leading Indicator]]-B261)/B261</f>
        <v>-4.275092936802969E-2</v>
      </c>
      <c r="E273" s="4">
        <v>135.759995</v>
      </c>
      <c r="F273" s="7">
        <f>(Table3[[#This Row],[S&amp;P 500]]-E262)/E262</f>
        <v>0.1892080434755416</v>
      </c>
    </row>
    <row r="274" spans="1:6" x14ac:dyDescent="0.2">
      <c r="A274" s="9">
        <v>29587</v>
      </c>
      <c r="B274" s="4">
        <v>50.9</v>
      </c>
      <c r="C274" s="7">
        <f>(Table3[[#This Row],[Conference Board Leading Indicator]]-B262)/B262</f>
        <v>-5.2141527001862274E-2</v>
      </c>
      <c r="D274" s="6">
        <v>1.5999816310917868E-2</v>
      </c>
      <c r="E274" s="4">
        <v>129.550003</v>
      </c>
      <c r="F274" s="7">
        <f>(Table3[[#This Row],[S&amp;P 500]]-E263)/E263</f>
        <v>0.13980290727422465</v>
      </c>
    </row>
    <row r="275" spans="1:6" x14ac:dyDescent="0.2">
      <c r="A275" s="9">
        <v>29618</v>
      </c>
      <c r="B275" s="4">
        <v>50.5</v>
      </c>
      <c r="C275" s="7">
        <f>(Table3[[#This Row],[Conference Board Leading Indicator]]-B263)/B263</f>
        <v>-5.6074766355140186E-2</v>
      </c>
      <c r="E275" s="4">
        <v>131.270004</v>
      </c>
      <c r="F275" s="7">
        <f>(Table3[[#This Row],[S&amp;P 500]]-E264)/E264</f>
        <v>0.28582632131751678</v>
      </c>
    </row>
    <row r="276" spans="1:6" x14ac:dyDescent="0.2">
      <c r="A276" s="9">
        <v>29646</v>
      </c>
      <c r="B276" s="4">
        <v>50.7</v>
      </c>
      <c r="C276" s="7">
        <f>(Table3[[#This Row],[Conference Board Leading Indicator]]-B264)/B264</f>
        <v>-2.8735632183908046E-2</v>
      </c>
      <c r="E276" s="4">
        <v>136</v>
      </c>
      <c r="F276" s="7">
        <f>(Table3[[#This Row],[S&amp;P 500]]-E265)/E265</f>
        <v>0.27951828695532699</v>
      </c>
    </row>
    <row r="277" spans="1:6" x14ac:dyDescent="0.2">
      <c r="A277" s="9">
        <v>29677</v>
      </c>
      <c r="B277" s="4">
        <v>51</v>
      </c>
      <c r="C277" s="7">
        <f>(Table3[[#This Row],[Conference Board Leading Indicator]]-B265)/B265</f>
        <v>7.9051383399209203E-3</v>
      </c>
      <c r="D277" s="6">
        <v>2.9686924394553674E-2</v>
      </c>
      <c r="E277" s="4">
        <v>132.80999800000001</v>
      </c>
      <c r="F277" s="7">
        <f>(Table3[[#This Row],[S&amp;P 500]]-E266)/E266</f>
        <v>0.19390507360490969</v>
      </c>
    </row>
    <row r="278" spans="1:6" x14ac:dyDescent="0.2">
      <c r="A278" s="9">
        <v>29707</v>
      </c>
      <c r="B278" s="4">
        <v>50.6</v>
      </c>
      <c r="C278" s="7">
        <f>(Table3[[#This Row],[Conference Board Leading Indicator]]-B266)/B266</f>
        <v>1.4028056112224506E-2</v>
      </c>
      <c r="E278" s="4">
        <v>132.58999600000001</v>
      </c>
      <c r="F278" s="7">
        <f>(Table3[[#This Row],[S&amp;P 500]]-E267)/E267</f>
        <v>0.16062673600537014</v>
      </c>
    </row>
    <row r="279" spans="1:6" x14ac:dyDescent="0.2">
      <c r="A279" s="9">
        <v>29738</v>
      </c>
      <c r="B279" s="4">
        <v>50.2</v>
      </c>
      <c r="C279" s="7">
        <f>(Table3[[#This Row],[Conference Board Leading Indicator]]-B267)/B267</f>
        <v>0</v>
      </c>
      <c r="E279" s="4">
        <v>131.21000699999999</v>
      </c>
      <c r="F279" s="7">
        <f>(Table3[[#This Row],[S&amp;P 500]]-E268)/E268</f>
        <v>7.8408885976968476E-2</v>
      </c>
    </row>
    <row r="280" spans="1:6" x14ac:dyDescent="0.2">
      <c r="A280" s="9">
        <v>29768</v>
      </c>
      <c r="B280" s="4">
        <v>49.8</v>
      </c>
      <c r="C280" s="7">
        <f>(Table3[[#This Row],[Conference Board Leading Indicator]]-B268)/B268</f>
        <v>-1.5810276679841979E-2</v>
      </c>
      <c r="D280" s="6">
        <v>4.3257573786844139E-2</v>
      </c>
      <c r="E280" s="4">
        <v>130.91999799999999</v>
      </c>
      <c r="F280" s="7">
        <f>(Table3[[#This Row],[S&amp;P 500]]-E269)/E269</f>
        <v>6.9782654104820652E-2</v>
      </c>
    </row>
    <row r="281" spans="1:6" x14ac:dyDescent="0.2">
      <c r="A281" s="9">
        <v>29799</v>
      </c>
      <c r="B281" s="4">
        <v>49.6</v>
      </c>
      <c r="C281" s="7">
        <f>(Table3[[#This Row],[Conference Board Leading Indicator]]-B269)/B269</f>
        <v>-2.5540275049115858E-2</v>
      </c>
      <c r="E281" s="4">
        <v>122.790001</v>
      </c>
      <c r="F281" s="7">
        <f>(Table3[[#This Row],[S&amp;P 500]]-E270)/E270</f>
        <v>-2.1281667633362509E-2</v>
      </c>
    </row>
    <row r="282" spans="1:6" x14ac:dyDescent="0.2">
      <c r="A282" s="9">
        <v>29830</v>
      </c>
      <c r="B282" s="4">
        <v>48.9</v>
      </c>
      <c r="C282" s="7">
        <f>(Table3[[#This Row],[Conference Board Leading Indicator]]-B270)/B270</f>
        <v>-4.8638132295719845E-2</v>
      </c>
      <c r="E282" s="4">
        <v>116.18</v>
      </c>
      <c r="F282" s="7">
        <f>(Table3[[#This Row],[S&amp;P 500]]-E271)/E271</f>
        <v>-8.8569866724955856E-2</v>
      </c>
    </row>
    <row r="283" spans="1:6" x14ac:dyDescent="0.2">
      <c r="A283" s="9">
        <v>29860</v>
      </c>
      <c r="B283" s="4">
        <v>48.6</v>
      </c>
      <c r="C283" s="7">
        <f>(Table3[[#This Row],[Conference Board Leading Indicator]]-B271)/B271</f>
        <v>-5.9961315280464243E-2</v>
      </c>
      <c r="D283" s="6">
        <v>1.2999126004342785E-2</v>
      </c>
      <c r="E283" s="4">
        <v>121.889999</v>
      </c>
      <c r="F283" s="7">
        <f>(Table3[[#This Row],[S&amp;P 500]]-E272)/E272</f>
        <v>-0.13257902412243025</v>
      </c>
    </row>
    <row r="284" spans="1:6" x14ac:dyDescent="0.2">
      <c r="A284" s="9">
        <v>29891</v>
      </c>
      <c r="B284" s="4">
        <v>48.4</v>
      </c>
      <c r="C284" s="7">
        <f>(Table3[[#This Row],[Conference Board Leading Indicator]]-B272)/B272</f>
        <v>-6.5637065637065617E-2</v>
      </c>
      <c r="E284" s="4">
        <v>126.349998</v>
      </c>
      <c r="F284" s="7">
        <f>(Table3[[#This Row],[S&amp;P 500]]-E273)/E273</f>
        <v>-6.9313474856860471E-2</v>
      </c>
    </row>
    <row r="285" spans="1:6" x14ac:dyDescent="0.2">
      <c r="A285" s="9">
        <v>29921</v>
      </c>
      <c r="B285" s="4">
        <v>48.3</v>
      </c>
      <c r="C285" s="7">
        <f>(Table3[[#This Row],[Conference Board Leading Indicator]]-B273)/B273</f>
        <v>-6.213592233009714E-2</v>
      </c>
      <c r="E285" s="4">
        <v>122.550003</v>
      </c>
      <c r="F285" s="7">
        <f>(Table3[[#This Row],[S&amp;P 500]]-E274)/E274</f>
        <v>-5.4033190566579917E-2</v>
      </c>
    </row>
    <row r="286" spans="1:6" x14ac:dyDescent="0.2">
      <c r="A286" s="9">
        <v>29952</v>
      </c>
      <c r="B286" s="4">
        <v>47.8</v>
      </c>
      <c r="C286" s="7">
        <f>(Table3[[#This Row],[Conference Board Leading Indicator]]-B274)/B274</f>
        <v>-6.0903732809430282E-2</v>
      </c>
      <c r="D286" s="6">
        <v>-2.1903423068408204E-2</v>
      </c>
      <c r="E286" s="4">
        <v>120.400002</v>
      </c>
      <c r="F286" s="7">
        <f>(Table3[[#This Row],[S&amp;P 500]]-E275)/E275</f>
        <v>-8.280644220899086E-2</v>
      </c>
    </row>
    <row r="287" spans="1:6" x14ac:dyDescent="0.2">
      <c r="A287" s="9">
        <v>29983</v>
      </c>
      <c r="B287" s="4">
        <v>48</v>
      </c>
      <c r="C287" s="7">
        <f>(Table3[[#This Row],[Conference Board Leading Indicator]]-B275)/B275</f>
        <v>-4.9504950495049507E-2</v>
      </c>
      <c r="E287" s="4">
        <v>113.110001</v>
      </c>
      <c r="F287" s="7">
        <f>(Table3[[#This Row],[S&amp;P 500]]-E276)/E276</f>
        <v>-0.16830881617647062</v>
      </c>
    </row>
    <row r="288" spans="1:6" x14ac:dyDescent="0.2">
      <c r="A288" s="9">
        <v>30011</v>
      </c>
      <c r="B288" s="4">
        <v>47.8</v>
      </c>
      <c r="C288" s="7">
        <f>(Table3[[#This Row],[Conference Board Leading Indicator]]-B276)/B276</f>
        <v>-5.7199211045365003E-2</v>
      </c>
      <c r="E288" s="4">
        <v>111.959999</v>
      </c>
      <c r="F288" s="7">
        <f>(Table3[[#This Row],[S&amp;P 500]]-E277)/E277</f>
        <v>-0.15699118525700159</v>
      </c>
    </row>
    <row r="289" spans="1:6" x14ac:dyDescent="0.2">
      <c r="A289" s="9">
        <v>30042</v>
      </c>
      <c r="B289" s="4">
        <v>47.8</v>
      </c>
      <c r="C289" s="7">
        <f>(Table3[[#This Row],[Conference Board Leading Indicator]]-B277)/B277</f>
        <v>-6.2745098039215741E-2</v>
      </c>
      <c r="D289" s="6">
        <v>-1.0105489634705466E-2</v>
      </c>
      <c r="E289" s="4">
        <v>116.44000200000001</v>
      </c>
      <c r="F289" s="7">
        <f>(Table3[[#This Row],[S&amp;P 500]]-E278)/E278</f>
        <v>-0.12180401604356339</v>
      </c>
    </row>
    <row r="290" spans="1:6" x14ac:dyDescent="0.2">
      <c r="A290" s="9">
        <v>30072</v>
      </c>
      <c r="B290" s="4">
        <v>47.5</v>
      </c>
      <c r="C290" s="7">
        <f>(Table3[[#This Row],[Conference Board Leading Indicator]]-B278)/B278</f>
        <v>-6.126482213438738E-2</v>
      </c>
      <c r="E290" s="4">
        <v>111.879997</v>
      </c>
      <c r="F290" s="7">
        <f>(Table3[[#This Row],[S&amp;P 500]]-E279)/E279</f>
        <v>-0.14732115668586154</v>
      </c>
    </row>
    <row r="291" spans="1:6" x14ac:dyDescent="0.2">
      <c r="A291" s="9">
        <v>30103</v>
      </c>
      <c r="B291" s="4">
        <v>47.2</v>
      </c>
      <c r="C291" s="7">
        <f>(Table3[[#This Row],[Conference Board Leading Indicator]]-B279)/B279</f>
        <v>-5.97609561752988E-2</v>
      </c>
      <c r="E291" s="4">
        <v>109.610001</v>
      </c>
      <c r="F291" s="7">
        <f>(Table3[[#This Row],[S&amp;P 500]]-E280)/E280</f>
        <v>-0.16277113753087588</v>
      </c>
    </row>
    <row r="292" spans="1:6" x14ac:dyDescent="0.2">
      <c r="A292" s="9">
        <v>30133</v>
      </c>
      <c r="B292" s="4">
        <v>47.2</v>
      </c>
      <c r="C292" s="7">
        <f>(Table3[[#This Row],[Conference Board Leading Indicator]]-B280)/B280</f>
        <v>-5.2208835341365348E-2</v>
      </c>
      <c r="D292" s="6">
        <v>-2.5558978151038962E-2</v>
      </c>
      <c r="E292" s="4">
        <v>107.089996</v>
      </c>
      <c r="F292" s="7">
        <f>(Table3[[#This Row],[S&amp;P 500]]-E281)/E281</f>
        <v>-0.1278606146440214</v>
      </c>
    </row>
    <row r="293" spans="1:6" x14ac:dyDescent="0.2">
      <c r="A293" s="9">
        <v>30164</v>
      </c>
      <c r="B293" s="4">
        <v>46.9</v>
      </c>
      <c r="C293" s="7">
        <f>(Table3[[#This Row],[Conference Board Leading Indicator]]-B281)/B281</f>
        <v>-5.4435483870967798E-2</v>
      </c>
      <c r="E293" s="4">
        <v>119.510002</v>
      </c>
      <c r="F293" s="7">
        <f>(Table3[[#This Row],[S&amp;P 500]]-E282)/E282</f>
        <v>2.866243759683244E-2</v>
      </c>
    </row>
    <row r="294" spans="1:6" x14ac:dyDescent="0.2">
      <c r="A294" s="9">
        <v>30195</v>
      </c>
      <c r="B294" s="4">
        <v>47.3</v>
      </c>
      <c r="C294" s="7">
        <f>(Table3[[#This Row],[Conference Board Leading Indicator]]-B282)/B282</f>
        <v>-3.2719836400818027E-2</v>
      </c>
      <c r="E294" s="4">
        <v>120.41999800000001</v>
      </c>
      <c r="F294" s="7">
        <f>(Table3[[#This Row],[S&amp;P 500]]-E283)/E283</f>
        <v>-1.2060062450242503E-2</v>
      </c>
    </row>
    <row r="295" spans="1:6" x14ac:dyDescent="0.2">
      <c r="A295" s="9">
        <v>30225</v>
      </c>
      <c r="B295" s="4">
        <v>47.4</v>
      </c>
      <c r="C295" s="7">
        <f>(Table3[[#This Row],[Conference Board Leading Indicator]]-B283)/B283</f>
        <v>-2.4691358024691416E-2</v>
      </c>
      <c r="D295" s="6">
        <v>-1.4431539363715747E-2</v>
      </c>
      <c r="E295" s="4">
        <v>133.720001</v>
      </c>
      <c r="F295" s="7">
        <f>(Table3[[#This Row],[S&amp;P 500]]-E284)/E284</f>
        <v>5.8330060282232823E-2</v>
      </c>
    </row>
    <row r="296" spans="1:6" x14ac:dyDescent="0.2">
      <c r="A296" s="9">
        <v>30256</v>
      </c>
      <c r="B296" s="4">
        <v>47.6</v>
      </c>
      <c r="C296" s="7">
        <f>(Table3[[#This Row],[Conference Board Leading Indicator]]-B284)/B284</f>
        <v>-1.6528925619834652E-2</v>
      </c>
      <c r="E296" s="4">
        <v>138.529999</v>
      </c>
      <c r="F296" s="7">
        <f>(Table3[[#This Row],[S&amp;P 500]]-E285)/E285</f>
        <v>0.13039572100214472</v>
      </c>
    </row>
    <row r="297" spans="1:6" x14ac:dyDescent="0.2">
      <c r="A297" s="9">
        <v>30286</v>
      </c>
      <c r="B297" s="4">
        <v>48</v>
      </c>
      <c r="C297" s="7">
        <f>(Table3[[#This Row],[Conference Board Leading Indicator]]-B285)/B285</f>
        <v>-6.211180124223544E-3</v>
      </c>
      <c r="E297" s="4">
        <v>140.63999899999999</v>
      </c>
      <c r="F297" s="7">
        <f>(Table3[[#This Row],[S&amp;P 500]]-E286)/E286</f>
        <v>0.16810628458295199</v>
      </c>
    </row>
    <row r="298" spans="1:6" x14ac:dyDescent="0.2">
      <c r="A298" s="9">
        <v>30317</v>
      </c>
      <c r="B298" s="4">
        <v>48.9</v>
      </c>
      <c r="C298" s="7">
        <f>(Table3[[#This Row],[Conference Board Leading Indicator]]-B286)/B286</f>
        <v>2.3012552301255262E-2</v>
      </c>
      <c r="D298" s="6">
        <v>1.431460579571856E-2</v>
      </c>
      <c r="E298" s="4">
        <v>145.300003</v>
      </c>
      <c r="F298" s="7">
        <f>(Table3[[#This Row],[S&amp;P 500]]-E287)/E287</f>
        <v>0.28459023707373149</v>
      </c>
    </row>
    <row r="299" spans="1:6" x14ac:dyDescent="0.2">
      <c r="A299" s="9">
        <v>30348</v>
      </c>
      <c r="B299" s="4">
        <v>49.4</v>
      </c>
      <c r="C299" s="7">
        <f>(Table3[[#This Row],[Conference Board Leading Indicator]]-B287)/B287</f>
        <v>2.9166666666666636E-2</v>
      </c>
      <c r="E299" s="4">
        <v>148.05999800000001</v>
      </c>
      <c r="F299" s="7">
        <f>(Table3[[#This Row],[S&amp;P 500]]-E288)/E288</f>
        <v>0.32243657844262763</v>
      </c>
    </row>
    <row r="300" spans="1:6" x14ac:dyDescent="0.2">
      <c r="A300" s="9">
        <v>30376</v>
      </c>
      <c r="B300" s="4">
        <v>50.1</v>
      </c>
      <c r="C300" s="7">
        <f>(Table3[[#This Row],[Conference Board Leading Indicator]]-B288)/B288</f>
        <v>4.8117154811715572E-2</v>
      </c>
      <c r="E300" s="4">
        <v>152.96000699999999</v>
      </c>
      <c r="F300" s="7">
        <f>(Table3[[#This Row],[S&amp;P 500]]-E289)/E289</f>
        <v>0.31363796266509836</v>
      </c>
    </row>
    <row r="301" spans="1:6" x14ac:dyDescent="0.2">
      <c r="A301" s="9">
        <v>30407</v>
      </c>
      <c r="B301" s="4">
        <v>50.5</v>
      </c>
      <c r="C301" s="7">
        <f>(Table3[[#This Row],[Conference Board Leading Indicator]]-B289)/B289</f>
        <v>5.6485355648535629E-2</v>
      </c>
      <c r="D301" s="6">
        <v>3.2685328593721856E-2</v>
      </c>
      <c r="E301" s="4">
        <v>164.429993</v>
      </c>
      <c r="F301" s="7">
        <f>(Table3[[#This Row],[S&amp;P 500]]-E290)/E290</f>
        <v>0.46969965506881439</v>
      </c>
    </row>
    <row r="302" spans="1:6" x14ac:dyDescent="0.2">
      <c r="A302" s="9">
        <v>30437</v>
      </c>
      <c r="B302" s="4">
        <v>51.2</v>
      </c>
      <c r="C302" s="7">
        <f>(Table3[[#This Row],[Conference Board Leading Indicator]]-B290)/B290</f>
        <v>7.7894736842105322E-2</v>
      </c>
      <c r="E302" s="4">
        <v>162.38999899999999</v>
      </c>
      <c r="F302" s="7">
        <f>(Table3[[#This Row],[S&amp;P 500]]-E291)/E291</f>
        <v>0.48152538562607983</v>
      </c>
    </row>
    <row r="303" spans="1:6" x14ac:dyDescent="0.2">
      <c r="A303" s="9">
        <v>30468</v>
      </c>
      <c r="B303" s="4">
        <v>51.9</v>
      </c>
      <c r="C303" s="7">
        <f>(Table3[[#This Row],[Conference Board Leading Indicator]]-B291)/B291</f>
        <v>9.9576271186440579E-2</v>
      </c>
      <c r="E303" s="4">
        <v>167.63999899999999</v>
      </c>
      <c r="F303" s="7">
        <f>(Table3[[#This Row],[S&amp;P 500]]-E292)/E292</f>
        <v>0.56541231918619173</v>
      </c>
    </row>
    <row r="304" spans="1:6" x14ac:dyDescent="0.2">
      <c r="A304" s="9">
        <v>30498</v>
      </c>
      <c r="B304" s="4">
        <v>52.4</v>
      </c>
      <c r="C304" s="7">
        <f>(Table3[[#This Row],[Conference Board Leading Indicator]]-B292)/B292</f>
        <v>0.11016949152542363</v>
      </c>
      <c r="D304" s="6">
        <v>5.7371700647417881E-2</v>
      </c>
      <c r="E304" s="4">
        <v>162.55999800000001</v>
      </c>
      <c r="F304" s="7">
        <f>(Table3[[#This Row],[S&amp;P 500]]-E293)/E293</f>
        <v>0.36022086251826863</v>
      </c>
    </row>
    <row r="305" spans="1:6" x14ac:dyDescent="0.2">
      <c r="A305" s="9">
        <v>30529</v>
      </c>
      <c r="B305" s="4">
        <v>52.6</v>
      </c>
      <c r="C305" s="7">
        <f>(Table3[[#This Row],[Conference Board Leading Indicator]]-B293)/B293</f>
        <v>0.12153518123667384</v>
      </c>
      <c r="E305" s="4">
        <v>164.39999399999999</v>
      </c>
      <c r="F305" s="7">
        <f>(Table3[[#This Row],[S&amp;P 500]]-E294)/E294</f>
        <v>0.36522169681484284</v>
      </c>
    </row>
    <row r="306" spans="1:6" x14ac:dyDescent="0.2">
      <c r="A306" s="9">
        <v>30560</v>
      </c>
      <c r="B306" s="4">
        <v>53.2</v>
      </c>
      <c r="C306" s="7">
        <f>(Table3[[#This Row],[Conference Board Leading Indicator]]-B294)/B294</f>
        <v>0.1247357293868923</v>
      </c>
      <c r="E306" s="4">
        <v>166.070007</v>
      </c>
      <c r="F306" s="7">
        <f>(Table3[[#This Row],[S&amp;P 500]]-E295)/E295</f>
        <v>0.2419234651366777</v>
      </c>
    </row>
    <row r="307" spans="1:6" x14ac:dyDescent="0.2">
      <c r="A307" s="9">
        <v>30590</v>
      </c>
      <c r="B307" s="4">
        <v>53.9</v>
      </c>
      <c r="C307" s="7">
        <f>(Table3[[#This Row],[Conference Board Leading Indicator]]-B295)/B295</f>
        <v>0.1371308016877637</v>
      </c>
      <c r="D307" s="6">
        <v>7.8999814332883903E-2</v>
      </c>
      <c r="E307" s="4">
        <v>163.550003</v>
      </c>
      <c r="F307" s="7">
        <f>(Table3[[#This Row],[S&amp;P 500]]-E296)/E296</f>
        <v>0.18061072822212321</v>
      </c>
    </row>
    <row r="308" spans="1:6" x14ac:dyDescent="0.2">
      <c r="A308" s="9">
        <v>30621</v>
      </c>
      <c r="B308" s="4">
        <v>54.3</v>
      </c>
      <c r="C308" s="7">
        <f>(Table3[[#This Row],[Conference Board Leading Indicator]]-B296)/B296</f>
        <v>0.14075630252100832</v>
      </c>
      <c r="E308" s="4">
        <v>166.39999399999999</v>
      </c>
      <c r="F308" s="7">
        <f>(Table3[[#This Row],[S&amp;P 500]]-E297)/E297</f>
        <v>0.18316265061975723</v>
      </c>
    </row>
    <row r="309" spans="1:6" x14ac:dyDescent="0.2">
      <c r="A309" s="9">
        <v>30651</v>
      </c>
      <c r="B309" s="4">
        <v>54.9</v>
      </c>
      <c r="C309" s="7">
        <f>(Table3[[#This Row],[Conference Board Leading Indicator]]-B297)/B297</f>
        <v>0.14374999999999996</v>
      </c>
      <c r="E309" s="4">
        <v>164.929993</v>
      </c>
      <c r="F309" s="7">
        <f>(Table3[[#This Row],[S&amp;P 500]]-E298)/E298</f>
        <v>0.13509972191810618</v>
      </c>
    </row>
    <row r="310" spans="1:6" x14ac:dyDescent="0.2">
      <c r="A310" s="9">
        <v>30682</v>
      </c>
      <c r="B310" s="4">
        <v>55.5</v>
      </c>
      <c r="C310" s="7">
        <f>(Table3[[#This Row],[Conference Board Leading Indicator]]-B298)/B298</f>
        <v>0.13496932515337426</v>
      </c>
      <c r="D310" s="6">
        <v>8.5782740465086021E-2</v>
      </c>
      <c r="E310" s="4">
        <v>163.41000399999999</v>
      </c>
      <c r="F310" s="7">
        <f>(Table3[[#This Row],[S&amp;P 500]]-E299)/E299</f>
        <v>0.10367422806530079</v>
      </c>
    </row>
    <row r="311" spans="1:6" x14ac:dyDescent="0.2">
      <c r="A311" s="9">
        <v>30713</v>
      </c>
      <c r="B311" s="4">
        <v>56</v>
      </c>
      <c r="C311" s="7">
        <f>(Table3[[#This Row],[Conference Board Leading Indicator]]-B299)/B299</f>
        <v>0.1336032388663968</v>
      </c>
      <c r="E311" s="4">
        <v>157.05999800000001</v>
      </c>
      <c r="F311" s="7">
        <f>(Table3[[#This Row],[S&amp;P 500]]-E300)/E300</f>
        <v>2.6804333239864569E-2</v>
      </c>
    </row>
    <row r="312" spans="1:6" x14ac:dyDescent="0.2">
      <c r="A312" s="9">
        <v>30742</v>
      </c>
      <c r="B312" s="4">
        <v>56.1</v>
      </c>
      <c r="C312" s="7">
        <f>(Table3[[#This Row],[Conference Board Leading Indicator]]-B300)/B300</f>
        <v>0.11976047904191617</v>
      </c>
      <c r="E312" s="4">
        <v>159.179993</v>
      </c>
      <c r="F312" s="7">
        <f>(Table3[[#This Row],[S&amp;P 500]]-E301)/E301</f>
        <v>-3.1928481563579462E-2</v>
      </c>
    </row>
    <row r="313" spans="1:6" x14ac:dyDescent="0.2">
      <c r="A313" s="9">
        <v>30773</v>
      </c>
      <c r="B313" s="4">
        <v>56.4</v>
      </c>
      <c r="C313" s="7">
        <f>(Table3[[#This Row],[Conference Board Leading Indicator]]-B301)/B301</f>
        <v>0.1168316831683168</v>
      </c>
      <c r="D313" s="6">
        <v>7.9967008002006484E-2</v>
      </c>
      <c r="E313" s="4">
        <v>160.050003</v>
      </c>
      <c r="F313" s="7">
        <f>(Table3[[#This Row],[S&amp;P 500]]-E302)/E302</f>
        <v>-1.4409729751891835E-2</v>
      </c>
    </row>
    <row r="314" spans="1:6" x14ac:dyDescent="0.2">
      <c r="A314" s="9">
        <v>30803</v>
      </c>
      <c r="B314" s="4">
        <v>56.8</v>
      </c>
      <c r="C314" s="7">
        <f>(Table3[[#This Row],[Conference Board Leading Indicator]]-B302)/B302</f>
        <v>0.10937499999999989</v>
      </c>
      <c r="E314" s="4">
        <v>150.550003</v>
      </c>
      <c r="F314" s="7">
        <f>(Table3[[#This Row],[S&amp;P 500]]-E303)/E303</f>
        <v>-0.10194462003068842</v>
      </c>
    </row>
    <row r="315" spans="1:6" x14ac:dyDescent="0.2">
      <c r="A315" s="9">
        <v>30834</v>
      </c>
      <c r="B315" s="4">
        <v>57</v>
      </c>
      <c r="C315" s="7">
        <f>(Table3[[#This Row],[Conference Board Leading Indicator]]-B303)/B303</f>
        <v>9.826589595375726E-2</v>
      </c>
      <c r="E315" s="4">
        <v>153.179993</v>
      </c>
      <c r="F315" s="7">
        <f>(Table3[[#This Row],[S&amp;P 500]]-E304)/E304</f>
        <v>-5.7701803121331309E-2</v>
      </c>
    </row>
    <row r="316" spans="1:6" x14ac:dyDescent="0.2">
      <c r="A316" s="9">
        <v>30864</v>
      </c>
      <c r="B316" s="4">
        <v>57.2</v>
      </c>
      <c r="C316" s="7">
        <f>(Table3[[#This Row],[Conference Board Leading Indicator]]-B304)/B304</f>
        <v>9.1603053435114587E-2</v>
      </c>
      <c r="D316" s="6">
        <v>6.900836952300847E-2</v>
      </c>
      <c r="E316" s="4">
        <v>150.66000399999999</v>
      </c>
      <c r="F316" s="7">
        <f>(Table3[[#This Row],[S&amp;P 500]]-E305)/E305</f>
        <v>-8.3576584558756162E-2</v>
      </c>
    </row>
    <row r="317" spans="1:6" x14ac:dyDescent="0.2">
      <c r="A317" s="9">
        <v>30895</v>
      </c>
      <c r="B317" s="4">
        <v>57.2</v>
      </c>
      <c r="C317" s="7">
        <f>(Table3[[#This Row],[Conference Board Leading Indicator]]-B305)/B305</f>
        <v>8.745247148288976E-2</v>
      </c>
      <c r="E317" s="4">
        <v>166.679993</v>
      </c>
      <c r="F317" s="7">
        <f>(Table3[[#This Row],[S&amp;P 500]]-E306)/E306</f>
        <v>3.6730654199345707E-3</v>
      </c>
    </row>
    <row r="318" spans="1:6" x14ac:dyDescent="0.2">
      <c r="A318" s="9">
        <v>30926</v>
      </c>
      <c r="B318" s="4">
        <v>57.2</v>
      </c>
      <c r="C318" s="7">
        <f>(Table3[[#This Row],[Conference Board Leading Indicator]]-B306)/B306</f>
        <v>7.5187969924812026E-2</v>
      </c>
      <c r="E318" s="4">
        <v>166.10000600000001</v>
      </c>
      <c r="F318" s="7">
        <f>(Table3[[#This Row],[S&amp;P 500]]-E307)/E307</f>
        <v>1.559158027040821E-2</v>
      </c>
    </row>
    <row r="319" spans="1:6" x14ac:dyDescent="0.2">
      <c r="A319" s="9">
        <v>30956</v>
      </c>
      <c r="B319" s="4">
        <v>57.4</v>
      </c>
      <c r="C319" s="7">
        <f>(Table3[[#This Row],[Conference Board Leading Indicator]]-B307)/B307</f>
        <v>6.4935064935064943E-2</v>
      </c>
      <c r="D319" s="6">
        <v>5.5758033529916554E-2</v>
      </c>
      <c r="E319" s="4">
        <v>166.08999600000001</v>
      </c>
      <c r="F319" s="7">
        <f>(Table3[[#This Row],[S&amp;P 500]]-E308)/E308</f>
        <v>-1.8629688171742298E-3</v>
      </c>
    </row>
    <row r="320" spans="1:6" x14ac:dyDescent="0.2">
      <c r="A320" s="9">
        <v>30987</v>
      </c>
      <c r="B320" s="4">
        <v>57.7</v>
      </c>
      <c r="C320" s="7">
        <f>(Table3[[#This Row],[Conference Board Leading Indicator]]-B308)/B308</f>
        <v>6.2615101289134542E-2</v>
      </c>
      <c r="E320" s="4">
        <v>163.58000200000001</v>
      </c>
      <c r="F320" s="7">
        <f>(Table3[[#This Row],[S&amp;P 500]]-E309)/E309</f>
        <v>-8.1852365081952604E-3</v>
      </c>
    </row>
    <row r="321" spans="1:6" x14ac:dyDescent="0.2">
      <c r="A321" s="9">
        <v>31017</v>
      </c>
      <c r="B321" s="4">
        <v>58.1</v>
      </c>
      <c r="C321" s="7">
        <f>(Table3[[#This Row],[Conference Board Leading Indicator]]-B309)/B309</f>
        <v>5.8287795992714081E-2</v>
      </c>
      <c r="E321" s="4">
        <v>167.240005</v>
      </c>
      <c r="F321" s="7">
        <f>(Table3[[#This Row],[S&amp;P 500]]-E310)/E310</f>
        <v>2.3437983637770488E-2</v>
      </c>
    </row>
    <row r="322" spans="1:6" x14ac:dyDescent="0.2">
      <c r="A322" s="9">
        <v>31048</v>
      </c>
      <c r="B322" s="4">
        <v>58.4</v>
      </c>
      <c r="C322" s="7">
        <f>(Table3[[#This Row],[Conference Board Leading Indicator]]-B310)/B310</f>
        <v>5.2252252252252225E-2</v>
      </c>
      <c r="D322" s="6">
        <v>4.5551129297211133E-2</v>
      </c>
      <c r="E322" s="4">
        <v>179.63000500000001</v>
      </c>
      <c r="F322" s="7">
        <f>(Table3[[#This Row],[S&amp;P 500]]-E311)/E311</f>
        <v>0.14370308982176355</v>
      </c>
    </row>
    <row r="323" spans="1:6" x14ac:dyDescent="0.2">
      <c r="A323" s="9">
        <v>31079</v>
      </c>
      <c r="B323" s="4">
        <v>58.7</v>
      </c>
      <c r="C323" s="7">
        <f>(Table3[[#This Row],[Conference Board Leading Indicator]]-B311)/B311</f>
        <v>4.8214285714285765E-2</v>
      </c>
      <c r="E323" s="4">
        <v>181.179993</v>
      </c>
      <c r="F323" s="7">
        <f>(Table3[[#This Row],[S&amp;P 500]]-E312)/E312</f>
        <v>0.1382083237056054</v>
      </c>
    </row>
    <row r="324" spans="1:6" x14ac:dyDescent="0.2">
      <c r="A324" s="9">
        <v>31107</v>
      </c>
      <c r="B324" s="4">
        <v>58.9</v>
      </c>
      <c r="C324" s="7">
        <f>(Table3[[#This Row],[Conference Board Leading Indicator]]-B312)/B312</f>
        <v>4.991087344028515E-2</v>
      </c>
      <c r="E324" s="4">
        <v>180.66000399999999</v>
      </c>
      <c r="F324" s="7">
        <f>(Table3[[#This Row],[S&amp;P 500]]-E313)/E313</f>
        <v>0.12877226250348764</v>
      </c>
    </row>
    <row r="325" spans="1:6" x14ac:dyDescent="0.2">
      <c r="A325" s="9">
        <v>31138</v>
      </c>
      <c r="B325" s="4">
        <v>59</v>
      </c>
      <c r="C325" s="7">
        <f>(Table3[[#This Row],[Conference Board Leading Indicator]]-B313)/B313</f>
        <v>4.6099290780141869E-2</v>
      </c>
      <c r="D325" s="6">
        <v>3.6842273957041177E-2</v>
      </c>
      <c r="E325" s="4">
        <v>179.83000200000001</v>
      </c>
      <c r="F325" s="7">
        <f>(Table3[[#This Row],[S&amp;P 500]]-E314)/E314</f>
        <v>0.19448687091690064</v>
      </c>
    </row>
    <row r="326" spans="1:6" x14ac:dyDescent="0.2">
      <c r="A326" s="9">
        <v>31168</v>
      </c>
      <c r="B326" s="4">
        <v>59.2</v>
      </c>
      <c r="C326" s="7">
        <f>(Table3[[#This Row],[Conference Board Leading Indicator]]-B314)/B314</f>
        <v>4.2253521126760667E-2</v>
      </c>
      <c r="E326" s="4">
        <v>189.550003</v>
      </c>
      <c r="F326" s="7">
        <f>(Table3[[#This Row],[S&amp;P 500]]-E315)/E315</f>
        <v>0.23743316139203641</v>
      </c>
    </row>
    <row r="327" spans="1:6" x14ac:dyDescent="0.2">
      <c r="A327" s="9">
        <v>31199</v>
      </c>
      <c r="B327" s="4">
        <v>59.6</v>
      </c>
      <c r="C327" s="7">
        <f>(Table3[[#This Row],[Conference Board Leading Indicator]]-B315)/B315</f>
        <v>4.5614035087719322E-2</v>
      </c>
      <c r="E327" s="4">
        <v>191.85000600000001</v>
      </c>
      <c r="F327" s="7">
        <f>(Table3[[#This Row],[S&amp;P 500]]-E316)/E316</f>
        <v>0.27339705898321909</v>
      </c>
    </row>
    <row r="328" spans="1:6" x14ac:dyDescent="0.2">
      <c r="A328" s="9">
        <v>31229</v>
      </c>
      <c r="B328" s="4">
        <v>59.8</v>
      </c>
      <c r="C328" s="7">
        <f>(Table3[[#This Row],[Conference Board Leading Indicator]]-B316)/B316</f>
        <v>4.5454545454545352E-2</v>
      </c>
      <c r="D328" s="6">
        <v>4.2624575221189398E-2</v>
      </c>
      <c r="E328" s="4">
        <v>190.91999799999999</v>
      </c>
      <c r="F328" s="7">
        <f>(Table3[[#This Row],[S&amp;P 500]]-E317)/E317</f>
        <v>0.14542840183584599</v>
      </c>
    </row>
    <row r="329" spans="1:6" x14ac:dyDescent="0.2">
      <c r="A329" s="9">
        <v>31260</v>
      </c>
      <c r="B329" s="4">
        <v>60</v>
      </c>
      <c r="C329" s="7">
        <f>(Table3[[#This Row],[Conference Board Leading Indicator]]-B317)/B317</f>
        <v>4.8951048951048896E-2</v>
      </c>
      <c r="E329" s="4">
        <v>188.63000500000001</v>
      </c>
      <c r="F329" s="7">
        <f>(Table3[[#This Row],[S&amp;P 500]]-E318)/E318</f>
        <v>0.13564116909183016</v>
      </c>
    </row>
    <row r="330" spans="1:6" x14ac:dyDescent="0.2">
      <c r="A330" s="9">
        <v>31291</v>
      </c>
      <c r="B330" s="4">
        <v>60.2</v>
      </c>
      <c r="C330" s="7">
        <f>(Table3[[#This Row],[Conference Board Leading Indicator]]-B318)/B318</f>
        <v>5.2447552447552448E-2</v>
      </c>
      <c r="E330" s="4">
        <v>182.08000200000001</v>
      </c>
      <c r="F330" s="7">
        <f>(Table3[[#This Row],[S&amp;P 500]]-E319)/E319</f>
        <v>9.6273143386673282E-2</v>
      </c>
    </row>
    <row r="331" spans="1:6" x14ac:dyDescent="0.2">
      <c r="A331" s="9">
        <v>31321</v>
      </c>
      <c r="B331" s="4">
        <v>60.3</v>
      </c>
      <c r="C331" s="7">
        <f>(Table3[[#This Row],[Conference Board Leading Indicator]]-B319)/B319</f>
        <v>5.0522648083623667E-2</v>
      </c>
      <c r="D331" s="6">
        <v>4.1822388026765737E-2</v>
      </c>
      <c r="E331" s="4">
        <v>189.820007</v>
      </c>
      <c r="F331" s="7">
        <f>(Table3[[#This Row],[S&amp;P 500]]-E320)/E320</f>
        <v>0.16041083677208903</v>
      </c>
    </row>
    <row r="332" spans="1:6" x14ac:dyDescent="0.2">
      <c r="A332" s="9">
        <v>31352</v>
      </c>
      <c r="B332" s="4">
        <v>60.5</v>
      </c>
      <c r="C332" s="7">
        <f>(Table3[[#This Row],[Conference Board Leading Indicator]]-B320)/B320</f>
        <v>4.8526863084921962E-2</v>
      </c>
      <c r="E332" s="4">
        <v>202.16999799999999</v>
      </c>
      <c r="F332" s="7">
        <f>(Table3[[#This Row],[S&amp;P 500]]-E321)/E321</f>
        <v>0.20886146828326152</v>
      </c>
    </row>
    <row r="333" spans="1:6" x14ac:dyDescent="0.2">
      <c r="A333" s="9">
        <v>31382</v>
      </c>
      <c r="B333" s="4">
        <v>60.8</v>
      </c>
      <c r="C333" s="7">
        <f>(Table3[[#This Row],[Conference Board Leading Indicator]]-B321)/B321</f>
        <v>4.6471600688468083E-2</v>
      </c>
      <c r="E333" s="4">
        <v>211.279999</v>
      </c>
      <c r="F333" s="7">
        <f>(Table3[[#This Row],[S&amp;P 500]]-E322)/E322</f>
        <v>0.17619547469254923</v>
      </c>
    </row>
    <row r="334" spans="1:6" x14ac:dyDescent="0.2">
      <c r="A334" s="9">
        <v>31413</v>
      </c>
      <c r="B334" s="4">
        <v>61</v>
      </c>
      <c r="C334" s="7">
        <f>(Table3[[#This Row],[Conference Board Leading Indicator]]-B322)/B322</f>
        <v>4.4520547945205505E-2</v>
      </c>
      <c r="D334" s="6">
        <v>4.1455235245001817E-2</v>
      </c>
      <c r="E334" s="4">
        <v>211.779999</v>
      </c>
      <c r="F334" s="7">
        <f>(Table3[[#This Row],[S&amp;P 500]]-E323)/E323</f>
        <v>0.16889285341787164</v>
      </c>
    </row>
    <row r="335" spans="1:6" x14ac:dyDescent="0.2">
      <c r="A335" s="9">
        <v>31444</v>
      </c>
      <c r="B335" s="4">
        <v>61.2</v>
      </c>
      <c r="C335" s="7">
        <f>(Table3[[#This Row],[Conference Board Leading Indicator]]-B323)/B323</f>
        <v>4.2589437819420782E-2</v>
      </c>
      <c r="E335" s="4">
        <v>226.91999799999999</v>
      </c>
      <c r="F335" s="7">
        <f>(Table3[[#This Row],[S&amp;P 500]]-E324)/E324</f>
        <v>0.25606107038500903</v>
      </c>
    </row>
    <row r="336" spans="1:6" x14ac:dyDescent="0.2">
      <c r="A336" s="9">
        <v>31472</v>
      </c>
      <c r="B336" s="4">
        <v>61.3</v>
      </c>
      <c r="C336" s="7">
        <f>(Table3[[#This Row],[Conference Board Leading Indicator]]-B324)/B324</f>
        <v>4.0747028862478753E-2</v>
      </c>
      <c r="E336" s="4">
        <v>238.89999399999999</v>
      </c>
      <c r="F336" s="7">
        <f>(Table3[[#This Row],[S&amp;P 500]]-E325)/E325</f>
        <v>0.328476846705479</v>
      </c>
    </row>
    <row r="337" spans="1:6" x14ac:dyDescent="0.2">
      <c r="A337" s="9">
        <v>31503</v>
      </c>
      <c r="B337" s="4">
        <v>61.6</v>
      </c>
      <c r="C337" s="7">
        <f>(Table3[[#This Row],[Conference Board Leading Indicator]]-B325)/B325</f>
        <v>4.4067796610169518E-2</v>
      </c>
      <c r="D337" s="6">
        <v>3.7015325720980791E-2</v>
      </c>
      <c r="E337" s="4">
        <v>235.520004</v>
      </c>
      <c r="F337" s="7">
        <f>(Table3[[#This Row],[S&amp;P 500]]-E326)/E326</f>
        <v>0.24252176350532686</v>
      </c>
    </row>
    <row r="338" spans="1:6" x14ac:dyDescent="0.2">
      <c r="A338" s="9">
        <v>31533</v>
      </c>
      <c r="B338" s="4">
        <v>61.8</v>
      </c>
      <c r="C338" s="7">
        <f>(Table3[[#This Row],[Conference Board Leading Indicator]]-B326)/B326</f>
        <v>4.3918918918918824E-2</v>
      </c>
      <c r="E338" s="4">
        <v>247.35000600000001</v>
      </c>
      <c r="F338" s="7">
        <f>(Table3[[#This Row],[S&amp;P 500]]-E327)/E327</f>
        <v>0.28928849759848324</v>
      </c>
    </row>
    <row r="339" spans="1:6" x14ac:dyDescent="0.2">
      <c r="A339" s="9">
        <v>31564</v>
      </c>
      <c r="B339" s="4">
        <v>62.3</v>
      </c>
      <c r="C339" s="7">
        <f>(Table3[[#This Row],[Conference Board Leading Indicator]]-B327)/B327</f>
        <v>4.530201342281872E-2</v>
      </c>
      <c r="E339" s="4">
        <v>250.83999600000001</v>
      </c>
      <c r="F339" s="7">
        <f>(Table3[[#This Row],[S&amp;P 500]]-E328)/E328</f>
        <v>0.31384872526554303</v>
      </c>
    </row>
    <row r="340" spans="1:6" x14ac:dyDescent="0.2">
      <c r="A340" s="9">
        <v>31594</v>
      </c>
      <c r="B340" s="4">
        <v>62.3</v>
      </c>
      <c r="C340" s="7">
        <f>(Table3[[#This Row],[Conference Board Leading Indicator]]-B328)/B328</f>
        <v>4.1806020066889632E-2</v>
      </c>
      <c r="D340" s="6">
        <v>3.1192309544910268E-2</v>
      </c>
      <c r="E340" s="4">
        <v>236.11999499999999</v>
      </c>
      <c r="F340" s="7">
        <f>(Table3[[#This Row],[S&amp;P 500]]-E329)/E329</f>
        <v>0.25176265038003881</v>
      </c>
    </row>
    <row r="341" spans="1:6" x14ac:dyDescent="0.2">
      <c r="A341" s="9">
        <v>31625</v>
      </c>
      <c r="B341" s="4">
        <v>62.4</v>
      </c>
      <c r="C341" s="7">
        <f>(Table3[[#This Row],[Conference Board Leading Indicator]]-B329)/B329</f>
        <v>3.9999999999999973E-2</v>
      </c>
      <c r="E341" s="4">
        <v>252.929993</v>
      </c>
      <c r="F341" s="7">
        <f>(Table3[[#This Row],[S&amp;P 500]]-E330)/E330</f>
        <v>0.38911462116526113</v>
      </c>
    </row>
    <row r="342" spans="1:6" x14ac:dyDescent="0.2">
      <c r="A342" s="9">
        <v>31656</v>
      </c>
      <c r="B342" s="4">
        <v>62.6</v>
      </c>
      <c r="C342" s="7">
        <f>(Table3[[#This Row],[Conference Board Leading Indicator]]-B330)/B330</f>
        <v>3.9867109634551472E-2</v>
      </c>
      <c r="E342" s="4">
        <v>231.320007</v>
      </c>
      <c r="F342" s="7">
        <f>(Table3[[#This Row],[S&amp;P 500]]-E331)/E331</f>
        <v>0.2186281659972755</v>
      </c>
    </row>
    <row r="343" spans="1:6" x14ac:dyDescent="0.2">
      <c r="A343" s="9">
        <v>31686</v>
      </c>
      <c r="B343" s="4">
        <v>62.7</v>
      </c>
      <c r="C343" s="7">
        <f>(Table3[[#This Row],[Conference Board Leading Indicator]]-B331)/B331</f>
        <v>3.9800995024875718E-2</v>
      </c>
      <c r="D343" s="6">
        <v>2.9081512389265457E-2</v>
      </c>
      <c r="E343" s="4">
        <v>243.979996</v>
      </c>
      <c r="F343" s="7">
        <f>(Table3[[#This Row],[S&amp;P 500]]-E332)/E332</f>
        <v>0.20680614539057376</v>
      </c>
    </row>
    <row r="344" spans="1:6" x14ac:dyDescent="0.2">
      <c r="A344" s="9">
        <v>31717</v>
      </c>
      <c r="B344" s="4">
        <v>62.9</v>
      </c>
      <c r="C344" s="7">
        <f>(Table3[[#This Row],[Conference Board Leading Indicator]]-B332)/B332</f>
        <v>3.9669421487603281E-2</v>
      </c>
      <c r="E344" s="4">
        <v>249.220001</v>
      </c>
      <c r="F344" s="7">
        <f>(Table3[[#This Row],[S&amp;P 500]]-E333)/E333</f>
        <v>0.17957214208430583</v>
      </c>
    </row>
    <row r="345" spans="1:6" x14ac:dyDescent="0.2">
      <c r="A345" s="9">
        <v>31747</v>
      </c>
      <c r="B345" s="4">
        <v>63.3</v>
      </c>
      <c r="C345" s="7">
        <f>(Table3[[#This Row],[Conference Board Leading Indicator]]-B333)/B333</f>
        <v>4.1118421052631582E-2</v>
      </c>
      <c r="E345" s="4">
        <v>242.16999799999999</v>
      </c>
      <c r="F345" s="7">
        <f>(Table3[[#This Row],[S&amp;P 500]]-E334)/E334</f>
        <v>0.14349796554678418</v>
      </c>
    </row>
    <row r="346" spans="1:6" x14ac:dyDescent="0.2">
      <c r="A346" s="9">
        <v>31778</v>
      </c>
      <c r="B346" s="4">
        <v>63.3</v>
      </c>
      <c r="C346" s="7">
        <f>(Table3[[#This Row],[Conference Board Leading Indicator]]-B334)/B334</f>
        <v>3.770491803278684E-2</v>
      </c>
      <c r="D346" s="6">
        <v>2.7161342870673687E-2</v>
      </c>
      <c r="E346" s="4">
        <v>274.07998700000002</v>
      </c>
      <c r="F346" s="7">
        <f>(Table3[[#This Row],[S&amp;P 500]]-E335)/E335</f>
        <v>0.20782650015711715</v>
      </c>
    </row>
    <row r="347" spans="1:6" x14ac:dyDescent="0.2">
      <c r="A347" s="9">
        <v>31809</v>
      </c>
      <c r="B347" s="4">
        <v>63.8</v>
      </c>
      <c r="C347" s="7">
        <f>(Table3[[#This Row],[Conference Board Leading Indicator]]-B335)/B335</f>
        <v>4.2483660130718859E-2</v>
      </c>
      <c r="E347" s="4">
        <v>284.20001200000002</v>
      </c>
      <c r="F347" s="7">
        <f>(Table3[[#This Row],[S&amp;P 500]]-E336)/E336</f>
        <v>0.18961916759194236</v>
      </c>
    </row>
    <row r="348" spans="1:6" x14ac:dyDescent="0.2">
      <c r="A348" s="9">
        <v>31837</v>
      </c>
      <c r="B348" s="4">
        <v>63.9</v>
      </c>
      <c r="C348" s="7">
        <f>(Table3[[#This Row],[Conference Board Leading Indicator]]-B336)/B336</f>
        <v>4.2414355628058752E-2</v>
      </c>
      <c r="E348" s="4">
        <v>291.70001200000002</v>
      </c>
      <c r="F348" s="7">
        <f>(Table3[[#This Row],[S&amp;P 500]]-E337)/E337</f>
        <v>0.23853603535095055</v>
      </c>
    </row>
    <row r="349" spans="1:6" x14ac:dyDescent="0.2">
      <c r="A349" s="9">
        <v>31868</v>
      </c>
      <c r="B349" s="4">
        <v>64</v>
      </c>
      <c r="C349" s="7">
        <f>(Table3[[#This Row],[Conference Board Leading Indicator]]-B337)/B337</f>
        <v>3.8961038961038939E-2</v>
      </c>
      <c r="D349" s="6">
        <v>3.3588249573656623E-2</v>
      </c>
      <c r="E349" s="4">
        <v>288.35998499999999</v>
      </c>
      <c r="F349" s="7">
        <f>(Table3[[#This Row],[S&amp;P 500]]-E338)/E338</f>
        <v>0.16579736408011239</v>
      </c>
    </row>
    <row r="350" spans="1:6" x14ac:dyDescent="0.2">
      <c r="A350" s="9">
        <v>31898</v>
      </c>
      <c r="B350" s="4">
        <v>64.2</v>
      </c>
      <c r="C350" s="7">
        <f>(Table3[[#This Row],[Conference Board Leading Indicator]]-B338)/B338</f>
        <v>3.8834951456310773E-2</v>
      </c>
      <c r="E350" s="4">
        <v>290.10000600000001</v>
      </c>
      <c r="F350" s="7">
        <f>(Table3[[#This Row],[S&amp;P 500]]-E339)/E339</f>
        <v>0.1565141549436159</v>
      </c>
    </row>
    <row r="351" spans="1:6" x14ac:dyDescent="0.2">
      <c r="A351" s="9">
        <v>31929</v>
      </c>
      <c r="B351" s="4">
        <v>64.5</v>
      </c>
      <c r="C351" s="7">
        <f>(Table3[[#This Row],[Conference Board Leading Indicator]]-B339)/B339</f>
        <v>3.5313001605136486E-2</v>
      </c>
      <c r="E351" s="4">
        <v>304</v>
      </c>
      <c r="F351" s="7">
        <f>(Table3[[#This Row],[S&amp;P 500]]-E340)/E340</f>
        <v>0.28748096915722876</v>
      </c>
    </row>
    <row r="352" spans="1:6" x14ac:dyDescent="0.2">
      <c r="A352" s="9">
        <v>31959</v>
      </c>
      <c r="B352" s="4">
        <v>64.8</v>
      </c>
      <c r="C352" s="7">
        <f>(Table3[[#This Row],[Conference Board Leading Indicator]]-B340)/B340</f>
        <v>4.0128410914927769E-2</v>
      </c>
      <c r="D352" s="6">
        <v>3.2672772854671052E-2</v>
      </c>
      <c r="E352" s="4">
        <v>318.66000400000001</v>
      </c>
      <c r="F352" s="7">
        <f>(Table3[[#This Row],[S&amp;P 500]]-E341)/E341</f>
        <v>0.25987432419689355</v>
      </c>
    </row>
    <row r="353" spans="1:6" x14ac:dyDescent="0.2">
      <c r="A353" s="9">
        <v>31990</v>
      </c>
      <c r="B353" s="4">
        <v>65</v>
      </c>
      <c r="C353" s="7">
        <f>(Table3[[#This Row],[Conference Board Leading Indicator]]-B341)/B341</f>
        <v>4.1666666666666692E-2</v>
      </c>
      <c r="E353" s="4">
        <v>329.79998799999998</v>
      </c>
      <c r="F353" s="7">
        <f>(Table3[[#This Row],[S&amp;P 500]]-E342)/E342</f>
        <v>0.42573049463896989</v>
      </c>
    </row>
    <row r="354" spans="1:6" x14ac:dyDescent="0.2">
      <c r="A354" s="9">
        <v>32021</v>
      </c>
      <c r="B354" s="4">
        <v>65.400000000000006</v>
      </c>
      <c r="C354" s="7">
        <f>(Table3[[#This Row],[Conference Board Leading Indicator]]-B342)/B342</f>
        <v>4.47284345047924E-2</v>
      </c>
      <c r="E354" s="4">
        <v>321.82998700000002</v>
      </c>
      <c r="F354" s="7">
        <f>(Table3[[#This Row],[S&amp;P 500]]-E343)/E343</f>
        <v>0.31908349978003941</v>
      </c>
    </row>
    <row r="355" spans="1:6" x14ac:dyDescent="0.2">
      <c r="A355" s="9">
        <v>32051</v>
      </c>
      <c r="B355" s="4">
        <v>65.599999999999994</v>
      </c>
      <c r="C355" s="7">
        <f>(Table3[[#This Row],[Conference Board Leading Indicator]]-B343)/B343</f>
        <v>4.6251993620414537E-2</v>
      </c>
      <c r="D355" s="6">
        <v>4.4792977774129314E-2</v>
      </c>
      <c r="E355" s="4">
        <v>251.78999300000001</v>
      </c>
      <c r="F355" s="7">
        <f>(Table3[[#This Row],[S&amp;P 500]]-E344)/E344</f>
        <v>1.0312141841296332E-2</v>
      </c>
    </row>
    <row r="356" spans="1:6" x14ac:dyDescent="0.2">
      <c r="A356" s="9">
        <v>32082</v>
      </c>
      <c r="B356" s="4">
        <v>65.400000000000006</v>
      </c>
      <c r="C356" s="7">
        <f>(Table3[[#This Row],[Conference Board Leading Indicator]]-B344)/B344</f>
        <v>3.974562798092221E-2</v>
      </c>
      <c r="E356" s="4">
        <v>230.300003</v>
      </c>
      <c r="F356" s="7">
        <f>(Table3[[#This Row],[S&amp;P 500]]-E345)/E345</f>
        <v>-4.9015134401578467E-2</v>
      </c>
    </row>
    <row r="357" spans="1:6" x14ac:dyDescent="0.2">
      <c r="A357" s="9">
        <v>32112</v>
      </c>
      <c r="B357" s="4">
        <v>65.400000000000006</v>
      </c>
      <c r="C357" s="7">
        <f>(Table3[[#This Row],[Conference Board Leading Indicator]]-B345)/B345</f>
        <v>3.3175355450237101E-2</v>
      </c>
      <c r="E357" s="4">
        <v>247.08000200000001</v>
      </c>
      <c r="F357" s="7">
        <f>(Table3[[#This Row],[S&amp;P 500]]-E346)/E346</f>
        <v>-9.8511333481638E-2</v>
      </c>
    </row>
    <row r="358" spans="1:6" x14ac:dyDescent="0.2">
      <c r="A358" s="9">
        <v>32143</v>
      </c>
      <c r="B358" s="4">
        <v>65.599999999999994</v>
      </c>
      <c r="C358" s="7">
        <f>(Table3[[#This Row],[Conference Board Leading Indicator]]-B346)/B346</f>
        <v>3.6334913112164254E-2</v>
      </c>
      <c r="D358" s="6">
        <v>4.24228159614237E-2</v>
      </c>
      <c r="E358" s="4">
        <v>257.07000699999998</v>
      </c>
      <c r="F358" s="7">
        <f>(Table3[[#This Row],[S&amp;P 500]]-E347)/E347</f>
        <v>-9.5460956560410135E-2</v>
      </c>
    </row>
    <row r="359" spans="1:6" x14ac:dyDescent="0.2">
      <c r="A359" s="9">
        <v>32174</v>
      </c>
      <c r="B359" s="4">
        <v>66.099999999999994</v>
      </c>
      <c r="C359" s="7">
        <f>(Table3[[#This Row],[Conference Board Leading Indicator]]-B347)/B347</f>
        <v>3.6050156739811871E-2</v>
      </c>
      <c r="E359" s="4">
        <v>267.82000699999998</v>
      </c>
      <c r="F359" s="7">
        <f>(Table3[[#This Row],[S&amp;P 500]]-E348)/E348</f>
        <v>-8.1864943495442974E-2</v>
      </c>
    </row>
    <row r="360" spans="1:6" x14ac:dyDescent="0.2">
      <c r="A360" s="9">
        <v>32203</v>
      </c>
      <c r="B360" s="4">
        <v>66.400000000000006</v>
      </c>
      <c r="C360" s="7">
        <f>(Table3[[#This Row],[Conference Board Leading Indicator]]-B348)/B348</f>
        <v>3.9123630672926561E-2</v>
      </c>
      <c r="E360" s="4">
        <v>258.89001500000001</v>
      </c>
      <c r="F360" s="7">
        <f>(Table3[[#This Row],[S&amp;P 500]]-E349)/E349</f>
        <v>-0.10219854186772825</v>
      </c>
    </row>
    <row r="361" spans="1:6" x14ac:dyDescent="0.2">
      <c r="A361" s="9">
        <v>32234</v>
      </c>
      <c r="B361" s="4">
        <v>66.5</v>
      </c>
      <c r="C361" s="7">
        <f>(Table3[[#This Row],[Conference Board Leading Indicator]]-B349)/B349</f>
        <v>3.90625E-2</v>
      </c>
      <c r="D361" s="6">
        <v>4.484604620227356E-2</v>
      </c>
      <c r="E361" s="4">
        <v>261.32998700000002</v>
      </c>
      <c r="F361" s="7">
        <f>(Table3[[#This Row],[S&amp;P 500]]-E350)/E350</f>
        <v>-9.9172762512800466E-2</v>
      </c>
    </row>
    <row r="362" spans="1:6" x14ac:dyDescent="0.2">
      <c r="A362" s="9">
        <v>32264</v>
      </c>
      <c r="B362" s="4">
        <v>66.8</v>
      </c>
      <c r="C362" s="7">
        <f>(Table3[[#This Row],[Conference Board Leading Indicator]]-B350)/B350</f>
        <v>4.0498442367601153E-2</v>
      </c>
      <c r="E362" s="4">
        <v>262.16000400000001</v>
      </c>
      <c r="F362" s="7">
        <f>(Table3[[#This Row],[S&amp;P 500]]-E351)/E351</f>
        <v>-0.13763156578947364</v>
      </c>
    </row>
    <row r="363" spans="1:6" x14ac:dyDescent="0.2">
      <c r="A363" s="9">
        <v>32295</v>
      </c>
      <c r="B363" s="4">
        <v>67.2</v>
      </c>
      <c r="C363" s="7">
        <f>(Table3[[#This Row],[Conference Board Leading Indicator]]-B351)/B351</f>
        <v>4.1860465116279111E-2</v>
      </c>
      <c r="E363" s="4">
        <v>273.5</v>
      </c>
      <c r="F363" s="7">
        <f>(Table3[[#This Row],[S&amp;P 500]]-E352)/E352</f>
        <v>-0.14171845676622791</v>
      </c>
    </row>
    <row r="364" spans="1:6" x14ac:dyDescent="0.2">
      <c r="A364" s="9">
        <v>32325</v>
      </c>
      <c r="B364" s="4">
        <v>67.2</v>
      </c>
      <c r="C364" s="7">
        <f>(Table3[[#This Row],[Conference Board Leading Indicator]]-B352)/B352</f>
        <v>3.7037037037037125E-2</v>
      </c>
      <c r="D364" s="6">
        <v>4.1928205272430713E-2</v>
      </c>
      <c r="E364" s="4">
        <v>272.01998900000001</v>
      </c>
      <c r="F364" s="7">
        <f>(Table3[[#This Row],[S&amp;P 500]]-E353)/E353</f>
        <v>-0.17519709248746237</v>
      </c>
    </row>
    <row r="365" spans="1:6" x14ac:dyDescent="0.2">
      <c r="A365" s="9">
        <v>32356</v>
      </c>
      <c r="B365" s="4">
        <v>67.3</v>
      </c>
      <c r="C365" s="7">
        <f>(Table3[[#This Row],[Conference Board Leading Indicator]]-B353)/B353</f>
        <v>3.5384615384615341E-2</v>
      </c>
      <c r="E365" s="4">
        <v>261.51998900000001</v>
      </c>
      <c r="F365" s="7">
        <f>(Table3[[#This Row],[S&amp;P 500]]-E354)/E354</f>
        <v>-0.18739707434410083</v>
      </c>
    </row>
    <row r="366" spans="1:6" x14ac:dyDescent="0.2">
      <c r="A366" s="9">
        <v>32387</v>
      </c>
      <c r="B366" s="4">
        <v>67.5</v>
      </c>
      <c r="C366" s="7">
        <f>(Table3[[#This Row],[Conference Board Leading Indicator]]-B354)/B354</f>
        <v>3.2110091743119178E-2</v>
      </c>
      <c r="E366" s="4">
        <v>271.91000400000001</v>
      </c>
      <c r="F366" s="7">
        <f>(Table3[[#This Row],[S&amp;P 500]]-E355)/E355</f>
        <v>7.9907905633088458E-2</v>
      </c>
    </row>
    <row r="367" spans="1:6" x14ac:dyDescent="0.2">
      <c r="A367" s="9">
        <v>32417</v>
      </c>
      <c r="B367" s="4">
        <v>67.8</v>
      </c>
      <c r="C367" s="7">
        <f>(Table3[[#This Row],[Conference Board Leading Indicator]]-B355)/B355</f>
        <v>3.3536585365853702E-2</v>
      </c>
      <c r="D367" s="6">
        <v>3.7989037531788027E-2</v>
      </c>
      <c r="E367" s="4">
        <v>278.97000100000002</v>
      </c>
      <c r="F367" s="7">
        <f>(Table3[[#This Row],[S&amp;P 500]]-E356)/E356</f>
        <v>0.21133303241858847</v>
      </c>
    </row>
    <row r="368" spans="1:6" x14ac:dyDescent="0.2">
      <c r="A368" s="9">
        <v>32448</v>
      </c>
      <c r="B368" s="4">
        <v>67.900000000000006</v>
      </c>
      <c r="C368" s="7">
        <f>(Table3[[#This Row],[Conference Board Leading Indicator]]-B356)/B356</f>
        <v>3.82262996941896E-2</v>
      </c>
      <c r="E368" s="4">
        <v>273.70001200000002</v>
      </c>
      <c r="F368" s="7">
        <f>(Table3[[#This Row],[S&amp;P 500]]-E357)/E357</f>
        <v>0.10773842392959025</v>
      </c>
    </row>
    <row r="369" spans="1:6" x14ac:dyDescent="0.2">
      <c r="A369" s="9">
        <v>32478</v>
      </c>
      <c r="B369" s="4">
        <v>68.099999999999994</v>
      </c>
      <c r="C369" s="7">
        <f>(Table3[[#This Row],[Conference Board Leading Indicator]]-B357)/B357</f>
        <v>4.1284403669724593E-2</v>
      </c>
      <c r="E369" s="4">
        <v>277.72000100000002</v>
      </c>
      <c r="F369" s="7">
        <f>(Table3[[#This Row],[S&amp;P 500]]-E358)/E358</f>
        <v>8.0328289717594523E-2</v>
      </c>
    </row>
    <row r="370" spans="1:6" x14ac:dyDescent="0.2">
      <c r="A370" s="9">
        <v>32509</v>
      </c>
      <c r="B370" s="4">
        <v>68.2</v>
      </c>
      <c r="C370" s="7">
        <f>(Table3[[#This Row],[Conference Board Leading Indicator]]-B358)/B358</f>
        <v>3.9634146341463547E-2</v>
      </c>
      <c r="D370" s="6">
        <v>4.3152062015774019E-2</v>
      </c>
      <c r="E370" s="4">
        <v>297.47000100000002</v>
      </c>
      <c r="F370" s="7">
        <f>(Table3[[#This Row],[S&amp;P 500]]-E359)/E359</f>
        <v>0.11070865964095077</v>
      </c>
    </row>
    <row r="371" spans="1:6" x14ac:dyDescent="0.2">
      <c r="A371" s="9">
        <v>32540</v>
      </c>
      <c r="B371" s="4">
        <v>68.2</v>
      </c>
      <c r="C371" s="7">
        <f>(Table3[[#This Row],[Conference Board Leading Indicator]]-B359)/B359</f>
        <v>3.1770045385779253E-2</v>
      </c>
      <c r="E371" s="4">
        <v>288.85998499999999</v>
      </c>
      <c r="F371" s="7">
        <f>(Table3[[#This Row],[S&amp;P 500]]-E360)/E360</f>
        <v>0.11576332907238616</v>
      </c>
    </row>
    <row r="372" spans="1:6" x14ac:dyDescent="0.2">
      <c r="A372" s="9">
        <v>32568</v>
      </c>
      <c r="B372" s="4">
        <v>67.900000000000006</v>
      </c>
      <c r="C372" s="7">
        <f>(Table3[[#This Row],[Conference Board Leading Indicator]]-B360)/B360</f>
        <v>2.2590361445783129E-2</v>
      </c>
      <c r="E372" s="4">
        <v>294.86999500000002</v>
      </c>
      <c r="F372" s="7">
        <f>(Table3[[#This Row],[S&amp;P 500]]-E361)/E361</f>
        <v>0.12834351076594971</v>
      </c>
    </row>
    <row r="373" spans="1:6" x14ac:dyDescent="0.2">
      <c r="A373" s="9">
        <v>32599</v>
      </c>
      <c r="B373" s="4">
        <v>68</v>
      </c>
      <c r="C373" s="7">
        <f>(Table3[[#This Row],[Conference Board Leading Indicator]]-B361)/B361</f>
        <v>2.2556390977443608E-2</v>
      </c>
      <c r="D373" s="6">
        <v>3.7482970179445199E-2</v>
      </c>
      <c r="E373" s="4">
        <v>309.64001500000001</v>
      </c>
      <c r="F373" s="7">
        <f>(Table3[[#This Row],[S&amp;P 500]]-E362)/E362</f>
        <v>0.18111081124335041</v>
      </c>
    </row>
    <row r="374" spans="1:6" x14ac:dyDescent="0.2">
      <c r="A374" s="9">
        <v>32629</v>
      </c>
      <c r="B374" s="4">
        <v>67.8</v>
      </c>
      <c r="C374" s="7">
        <f>(Table3[[#This Row],[Conference Board Leading Indicator]]-B362)/B362</f>
        <v>1.4970059880239521E-2</v>
      </c>
      <c r="E374" s="4">
        <v>320.51998900000001</v>
      </c>
      <c r="F374" s="7">
        <f>(Table3[[#This Row],[S&amp;P 500]]-E363)/E363</f>
        <v>0.17191952102376604</v>
      </c>
    </row>
    <row r="375" spans="1:6" x14ac:dyDescent="0.2">
      <c r="A375" s="9">
        <v>32660</v>
      </c>
      <c r="B375" s="4">
        <v>67.7</v>
      </c>
      <c r="C375" s="7">
        <f>(Table3[[#This Row],[Conference Board Leading Indicator]]-B363)/B363</f>
        <v>7.4404761904761901E-3</v>
      </c>
      <c r="E375" s="4">
        <v>317.98001099999999</v>
      </c>
      <c r="F375" s="7">
        <f>(Table3[[#This Row],[S&amp;P 500]]-E364)/E364</f>
        <v>0.16895825254959473</v>
      </c>
    </row>
    <row r="376" spans="1:6" x14ac:dyDescent="0.2">
      <c r="A376" s="9">
        <v>32690</v>
      </c>
      <c r="B376" s="4">
        <v>67.400000000000006</v>
      </c>
      <c r="C376" s="7">
        <f>(Table3[[#This Row],[Conference Board Leading Indicator]]-B364)/B364</f>
        <v>2.9761904761905185E-3</v>
      </c>
      <c r="D376" s="6">
        <v>3.908120567714899E-2</v>
      </c>
      <c r="E376" s="4">
        <v>346.07998700000002</v>
      </c>
      <c r="F376" s="7">
        <f>(Table3[[#This Row],[S&amp;P 500]]-E365)/E365</f>
        <v>0.32334047704475855</v>
      </c>
    </row>
    <row r="377" spans="1:6" x14ac:dyDescent="0.2">
      <c r="A377" s="9">
        <v>32721</v>
      </c>
      <c r="B377" s="4">
        <v>67.599999999999994</v>
      </c>
      <c r="C377" s="7">
        <f>(Table3[[#This Row],[Conference Board Leading Indicator]]-B365)/B365</f>
        <v>4.4576523031203148E-3</v>
      </c>
      <c r="E377" s="4">
        <v>351.45001200000002</v>
      </c>
      <c r="F377" s="7">
        <f>(Table3[[#This Row],[S&amp;P 500]]-E366)/E366</f>
        <v>0.29252328649151133</v>
      </c>
    </row>
    <row r="378" spans="1:6" x14ac:dyDescent="0.2">
      <c r="A378" s="9">
        <v>32752</v>
      </c>
      <c r="B378" s="4">
        <v>67.599999999999994</v>
      </c>
      <c r="C378" s="7">
        <f>(Table3[[#This Row],[Conference Board Leading Indicator]]-B366)/B366</f>
        <v>1.4814814814813973E-3</v>
      </c>
      <c r="E378" s="4">
        <v>349.14999399999999</v>
      </c>
      <c r="F378" s="7">
        <f>(Table3[[#This Row],[S&amp;P 500]]-E367)/E367</f>
        <v>0.25156824299541786</v>
      </c>
    </row>
    <row r="379" spans="1:6" x14ac:dyDescent="0.2">
      <c r="A379" s="9">
        <v>32782</v>
      </c>
      <c r="B379" s="4">
        <v>67.400000000000006</v>
      </c>
      <c r="C379" s="7">
        <f>(Table3[[#This Row],[Conference Board Leading Indicator]]-B367)/B367</f>
        <v>-5.8997050147491367E-3</v>
      </c>
      <c r="D379" s="6">
        <v>2.7438111777549921E-2</v>
      </c>
      <c r="E379" s="4">
        <v>340.35998499999999</v>
      </c>
      <c r="F379" s="7">
        <f>(Table3[[#This Row],[S&amp;P 500]]-E368)/E368</f>
        <v>0.24355122425058562</v>
      </c>
    </row>
    <row r="380" spans="1:6" x14ac:dyDescent="0.2">
      <c r="A380" s="9">
        <v>32813</v>
      </c>
      <c r="B380" s="4">
        <v>67.5</v>
      </c>
      <c r="C380" s="7">
        <f>(Table3[[#This Row],[Conference Board Leading Indicator]]-B368)/B368</f>
        <v>-5.891016200294634E-3</v>
      </c>
      <c r="E380" s="4">
        <v>345.98998999999998</v>
      </c>
      <c r="F380" s="7">
        <f>(Table3[[#This Row],[S&amp;P 500]]-E369)/E369</f>
        <v>0.24582309071790601</v>
      </c>
    </row>
    <row r="381" spans="1:6" x14ac:dyDescent="0.2">
      <c r="A381" s="9">
        <v>32843</v>
      </c>
      <c r="B381" s="4">
        <v>67.5</v>
      </c>
      <c r="C381" s="7">
        <f>(Table3[[#This Row],[Conference Board Leading Indicator]]-B369)/B369</f>
        <v>-8.8105726872245872E-3</v>
      </c>
      <c r="E381" s="4">
        <v>353.39999399999999</v>
      </c>
      <c r="F381" s="7">
        <f>(Table3[[#This Row],[S&amp;P 500]]-E370)/E370</f>
        <v>0.18801893573127046</v>
      </c>
    </row>
    <row r="382" spans="1:6" x14ac:dyDescent="0.2">
      <c r="A382" s="9">
        <v>32874</v>
      </c>
      <c r="B382" s="4">
        <v>67.400000000000006</v>
      </c>
      <c r="C382" s="7">
        <f>(Table3[[#This Row],[Conference Board Leading Indicator]]-B370)/B370</f>
        <v>-1.1730205278592334E-2</v>
      </c>
      <c r="D382" s="6">
        <v>2.8213017007731121E-2</v>
      </c>
      <c r="E382" s="4">
        <v>329.07998700000002</v>
      </c>
      <c r="F382" s="7">
        <f>(Table3[[#This Row],[S&amp;P 500]]-E371)/E371</f>
        <v>0.13923701477724587</v>
      </c>
    </row>
    <row r="383" spans="1:6" x14ac:dyDescent="0.2">
      <c r="A383" s="9">
        <v>32905</v>
      </c>
      <c r="B383" s="4">
        <v>67.3</v>
      </c>
      <c r="C383" s="7">
        <f>(Table3[[#This Row],[Conference Board Leading Indicator]]-B371)/B371</f>
        <v>-1.3196480938416504E-2</v>
      </c>
      <c r="E383" s="4">
        <v>331.89001500000001</v>
      </c>
      <c r="F383" s="7">
        <f>(Table3[[#This Row],[S&amp;P 500]]-E372)/E372</f>
        <v>0.12554692111009799</v>
      </c>
    </row>
    <row r="384" spans="1:6" x14ac:dyDescent="0.2">
      <c r="A384" s="9">
        <v>32933</v>
      </c>
      <c r="B384" s="4">
        <v>67.3</v>
      </c>
      <c r="C384" s="7">
        <f>(Table3[[#This Row],[Conference Board Leading Indicator]]-B372)/B372</f>
        <v>-8.8365243004419509E-3</v>
      </c>
      <c r="E384" s="4">
        <v>339.94000199999999</v>
      </c>
      <c r="F384" s="7">
        <f>(Table3[[#This Row],[S&amp;P 500]]-E373)/E373</f>
        <v>9.7855527490527949E-2</v>
      </c>
    </row>
    <row r="385" spans="1:6" x14ac:dyDescent="0.2">
      <c r="A385" s="9">
        <v>32964</v>
      </c>
      <c r="B385" s="4">
        <v>67.099999999999994</v>
      </c>
      <c r="C385" s="7">
        <f>(Table3[[#This Row],[Conference Board Leading Indicator]]-B373)/B373</f>
        <v>-1.3235294117647142E-2</v>
      </c>
      <c r="D385" s="6">
        <v>2.4127636564784692E-2</v>
      </c>
      <c r="E385" s="4">
        <v>330.79998799999998</v>
      </c>
      <c r="F385" s="7">
        <f>(Table3[[#This Row],[S&amp;P 500]]-E374)/E374</f>
        <v>3.2072879548239265E-2</v>
      </c>
    </row>
    <row r="386" spans="1:6" x14ac:dyDescent="0.2">
      <c r="A386" s="9">
        <v>32994</v>
      </c>
      <c r="B386" s="4">
        <v>67.099999999999994</v>
      </c>
      <c r="C386" s="7">
        <f>(Table3[[#This Row],[Conference Board Leading Indicator]]-B374)/B374</f>
        <v>-1.0324483775811251E-2</v>
      </c>
      <c r="E386" s="4">
        <v>361.23001099999999</v>
      </c>
      <c r="F386" s="7">
        <f>(Table3[[#This Row],[S&amp;P 500]]-E375)/E375</f>
        <v>0.13601483899564995</v>
      </c>
    </row>
    <row r="387" spans="1:6" x14ac:dyDescent="0.2">
      <c r="A387" s="9">
        <v>33025</v>
      </c>
      <c r="B387" s="4">
        <v>67.099999999999994</v>
      </c>
      <c r="C387" s="7">
        <f>(Table3[[#This Row],[Conference Board Leading Indicator]]-B375)/B375</f>
        <v>-8.8626292466766395E-3</v>
      </c>
      <c r="E387" s="4">
        <v>358.01998900000001</v>
      </c>
      <c r="F387" s="7">
        <f>(Table3[[#This Row],[S&amp;P 500]]-E376)/E376</f>
        <v>3.4500700556256064E-2</v>
      </c>
    </row>
    <row r="388" spans="1:6" x14ac:dyDescent="0.2">
      <c r="A388" s="9">
        <v>33055</v>
      </c>
      <c r="B388" s="4">
        <v>66.8</v>
      </c>
      <c r="C388" s="7">
        <f>(Table3[[#This Row],[Conference Board Leading Indicator]]-B376)/B376</f>
        <v>-8.9020771513354368E-3</v>
      </c>
      <c r="D388" s="6">
        <v>1.7272143084210042E-2</v>
      </c>
      <c r="E388" s="4">
        <v>356.14999399999999</v>
      </c>
      <c r="F388" s="7">
        <f>(Table3[[#This Row],[S&amp;P 500]]-E377)/E377</f>
        <v>1.3373116629741293E-2</v>
      </c>
    </row>
    <row r="389" spans="1:6" x14ac:dyDescent="0.2">
      <c r="A389" s="9">
        <v>33086</v>
      </c>
      <c r="B389" s="4">
        <v>65.900000000000006</v>
      </c>
      <c r="C389" s="7">
        <f>(Table3[[#This Row],[Conference Board Leading Indicator]]-B377)/B377</f>
        <v>-2.5147928994082674E-2</v>
      </c>
      <c r="E389" s="4">
        <v>322.55999800000001</v>
      </c>
      <c r="F389" s="7">
        <f>(Table3[[#This Row],[S&amp;P 500]]-E378)/E378</f>
        <v>-7.6156369631786347E-2</v>
      </c>
    </row>
    <row r="390" spans="1:6" x14ac:dyDescent="0.2">
      <c r="A390" s="9">
        <v>33117</v>
      </c>
      <c r="B390" s="4">
        <v>65.099999999999994</v>
      </c>
      <c r="C390" s="7">
        <f>(Table3[[#This Row],[Conference Board Leading Indicator]]-B378)/B378</f>
        <v>-3.6982248520710061E-2</v>
      </c>
      <c r="E390" s="4">
        <v>306.04998799999998</v>
      </c>
      <c r="F390" s="7">
        <f>(Table3[[#This Row],[S&amp;P 500]]-E379)/E379</f>
        <v>-0.10080502559664882</v>
      </c>
    </row>
    <row r="391" spans="1:6" x14ac:dyDescent="0.2">
      <c r="A391" s="9">
        <v>33147</v>
      </c>
      <c r="B391" s="4">
        <v>64.2</v>
      </c>
      <c r="C391" s="7">
        <f>(Table3[[#This Row],[Conference Board Leading Indicator]]-B379)/B379</f>
        <v>-4.7477744807121698E-2</v>
      </c>
      <c r="D391" s="6">
        <v>6.0287596757870564E-3</v>
      </c>
      <c r="E391" s="4">
        <v>304</v>
      </c>
      <c r="F391" s="7">
        <f>(Table3[[#This Row],[S&amp;P 500]]-E380)/E380</f>
        <v>-0.12136186367703869</v>
      </c>
    </row>
    <row r="392" spans="1:6" x14ac:dyDescent="0.2">
      <c r="A392" s="9">
        <v>33178</v>
      </c>
      <c r="B392" s="4">
        <v>63.1</v>
      </c>
      <c r="C392" s="7">
        <f>(Table3[[#This Row],[Conference Board Leading Indicator]]-B380)/B380</f>
        <v>-6.5185185185185165E-2</v>
      </c>
      <c r="E392" s="4">
        <v>322.22000100000002</v>
      </c>
      <c r="F392" s="7">
        <f>(Table3[[#This Row],[S&amp;P 500]]-E381)/E381</f>
        <v>-8.8228617796750633E-2</v>
      </c>
    </row>
    <row r="393" spans="1:6" x14ac:dyDescent="0.2">
      <c r="A393" s="9">
        <v>33208</v>
      </c>
      <c r="B393" s="4">
        <v>62.4</v>
      </c>
      <c r="C393" s="7">
        <f>(Table3[[#This Row],[Conference Board Leading Indicator]]-B381)/B381</f>
        <v>-7.555555555555557E-2</v>
      </c>
      <c r="E393" s="4">
        <v>330.22000100000002</v>
      </c>
      <c r="F393" s="7">
        <f>(Table3[[#This Row],[S&amp;P 500]]-E382)/E382</f>
        <v>3.4642459129549186E-3</v>
      </c>
    </row>
    <row r="394" spans="1:6" x14ac:dyDescent="0.2">
      <c r="A394" s="9">
        <v>33239</v>
      </c>
      <c r="B394" s="4">
        <v>61.7</v>
      </c>
      <c r="C394" s="7">
        <f>(Table3[[#This Row],[Conference Board Leading Indicator]]-B382)/B382</f>
        <v>-8.4569732937685493E-2</v>
      </c>
      <c r="D394" s="6">
        <v>-9.501950623666407E-3</v>
      </c>
      <c r="E394" s="4">
        <v>343.92999300000002</v>
      </c>
      <c r="F394" s="7">
        <f>(Table3[[#This Row],[S&amp;P 500]]-E383)/E383</f>
        <v>3.6277011828753022E-2</v>
      </c>
    </row>
    <row r="395" spans="1:6" x14ac:dyDescent="0.2">
      <c r="A395" s="9">
        <v>33270</v>
      </c>
      <c r="B395" s="4">
        <v>61.5</v>
      </c>
      <c r="C395" s="7">
        <f>(Table3[[#This Row],[Conference Board Leading Indicator]]-B383)/B383</f>
        <v>-8.6181277860326852E-2</v>
      </c>
      <c r="E395" s="4">
        <v>367.07000699999998</v>
      </c>
      <c r="F395" s="7">
        <f>(Table3[[#This Row],[S&amp;P 500]]-E384)/E384</f>
        <v>7.9808215686249198E-2</v>
      </c>
    </row>
    <row r="396" spans="1:6" x14ac:dyDescent="0.2">
      <c r="A396" s="9">
        <v>33298</v>
      </c>
      <c r="B396" s="4">
        <v>61.2</v>
      </c>
      <c r="C396" s="7">
        <f>(Table3[[#This Row],[Conference Board Leading Indicator]]-B384)/B384</f>
        <v>-9.0638930163447165E-2</v>
      </c>
      <c r="E396" s="4">
        <v>375.22000100000002</v>
      </c>
      <c r="F396" s="7">
        <f>(Table3[[#This Row],[S&amp;P 500]]-E385)/E385</f>
        <v>0.13428057621332212</v>
      </c>
    </row>
    <row r="397" spans="1:6" x14ac:dyDescent="0.2">
      <c r="A397" s="9">
        <v>33329</v>
      </c>
      <c r="B397" s="4">
        <v>61.9</v>
      </c>
      <c r="C397" s="7">
        <f>(Table3[[#This Row],[Conference Board Leading Indicator]]-B385)/B385</f>
        <v>-7.7496274217585634E-2</v>
      </c>
      <c r="D397" s="6">
        <v>-5.388378142790304E-3</v>
      </c>
      <c r="E397" s="4">
        <v>375.33999599999999</v>
      </c>
      <c r="F397" s="7">
        <f>(Table3[[#This Row],[S&amp;P 500]]-E386)/E386</f>
        <v>3.906094336109852E-2</v>
      </c>
    </row>
    <row r="398" spans="1:6" x14ac:dyDescent="0.2">
      <c r="A398" s="9">
        <v>33359</v>
      </c>
      <c r="B398" s="4">
        <v>62.3</v>
      </c>
      <c r="C398" s="7">
        <f>(Table3[[#This Row],[Conference Board Leading Indicator]]-B386)/B386</f>
        <v>-7.1535022354694444E-2</v>
      </c>
      <c r="E398" s="4">
        <v>389.82998700000002</v>
      </c>
      <c r="F398" s="7">
        <f>(Table3[[#This Row],[S&amp;P 500]]-E387)/E387</f>
        <v>8.8849782071804953E-2</v>
      </c>
    </row>
    <row r="399" spans="1:6" x14ac:dyDescent="0.2">
      <c r="A399" s="9">
        <v>33390</v>
      </c>
      <c r="B399" s="4">
        <v>62.4</v>
      </c>
      <c r="C399" s="7">
        <f>(Table3[[#This Row],[Conference Board Leading Indicator]]-B387)/B387</f>
        <v>-7.0044709388971629E-2</v>
      </c>
      <c r="E399" s="4">
        <v>371.16000400000001</v>
      </c>
      <c r="F399" s="7">
        <f>(Table3[[#This Row],[S&amp;P 500]]-E388)/E388</f>
        <v>4.2145192342752144E-2</v>
      </c>
    </row>
    <row r="400" spans="1:6" x14ac:dyDescent="0.2">
      <c r="A400" s="9">
        <v>33420</v>
      </c>
      <c r="B400" s="4">
        <v>63</v>
      </c>
      <c r="C400" s="7">
        <f>(Table3[[#This Row],[Conference Board Leading Indicator]]-B388)/B388</f>
        <v>-5.6886227544910142E-2</v>
      </c>
      <c r="D400" s="6">
        <v>-1.0271852984184444E-3</v>
      </c>
      <c r="E400" s="4">
        <v>387.80999800000001</v>
      </c>
      <c r="F400" s="7">
        <f>(Table3[[#This Row],[S&amp;P 500]]-E389)/E389</f>
        <v>0.20228794768283698</v>
      </c>
    </row>
    <row r="401" spans="1:6" x14ac:dyDescent="0.2">
      <c r="A401" s="9">
        <v>33451</v>
      </c>
      <c r="B401" s="4">
        <v>63.1</v>
      </c>
      <c r="C401" s="7">
        <f>(Table3[[#This Row],[Conference Board Leading Indicator]]-B389)/B389</f>
        <v>-4.2488619119878668E-2</v>
      </c>
      <c r="E401" s="4">
        <v>395.42999300000002</v>
      </c>
      <c r="F401" s="7">
        <f>(Table3[[#This Row],[S&amp;P 500]]-E390)/E390</f>
        <v>0.292043811483502</v>
      </c>
    </row>
    <row r="402" spans="1:6" x14ac:dyDescent="0.2">
      <c r="A402" s="9">
        <v>33482</v>
      </c>
      <c r="B402" s="4">
        <v>63.6</v>
      </c>
      <c r="C402" s="7">
        <f>(Table3[[#This Row],[Conference Board Leading Indicator]]-B390)/B390</f>
        <v>-2.3041474654377773E-2</v>
      </c>
      <c r="E402" s="4">
        <v>387.85998499999999</v>
      </c>
      <c r="F402" s="7">
        <f>(Table3[[#This Row],[S&amp;P 500]]-E391)/E391</f>
        <v>0.27585521381578948</v>
      </c>
    </row>
    <row r="403" spans="1:6" x14ac:dyDescent="0.2">
      <c r="A403" s="9">
        <v>33512</v>
      </c>
      <c r="B403" s="4">
        <v>63.5</v>
      </c>
      <c r="C403" s="7">
        <f>(Table3[[#This Row],[Conference Board Leading Indicator]]-B391)/B391</f>
        <v>-1.0903426791277303E-2</v>
      </c>
      <c r="D403" s="6">
        <v>1.1664204321365066E-2</v>
      </c>
      <c r="E403" s="4">
        <v>392.45001200000002</v>
      </c>
      <c r="F403" s="7">
        <f>(Table3[[#This Row],[S&amp;P 500]]-E392)/E392</f>
        <v>0.21795670902502412</v>
      </c>
    </row>
    <row r="404" spans="1:6" x14ac:dyDescent="0.2">
      <c r="A404" s="9">
        <v>33543</v>
      </c>
      <c r="B404" s="4">
        <v>63.5</v>
      </c>
      <c r="C404" s="7">
        <f>(Table3[[#This Row],[Conference Board Leading Indicator]]-B392)/B392</f>
        <v>6.339144215530881E-3</v>
      </c>
      <c r="E404" s="4">
        <v>375.22000100000002</v>
      </c>
      <c r="F404" s="7">
        <f>(Table3[[#This Row],[S&amp;P 500]]-E393)/E393</f>
        <v>0.13627278742573803</v>
      </c>
    </row>
    <row r="405" spans="1:6" x14ac:dyDescent="0.2">
      <c r="A405" s="9">
        <v>33573</v>
      </c>
      <c r="B405" s="4">
        <v>63.3</v>
      </c>
      <c r="C405" s="7">
        <f>(Table3[[#This Row],[Conference Board Leading Indicator]]-B393)/B393</f>
        <v>1.4423076923076901E-2</v>
      </c>
      <c r="E405" s="4">
        <v>417.08999599999999</v>
      </c>
      <c r="F405" s="7">
        <f>(Table3[[#This Row],[S&amp;P 500]]-E394)/E394</f>
        <v>0.2127177172361352</v>
      </c>
    </row>
    <row r="406" spans="1:6" x14ac:dyDescent="0.2">
      <c r="A406" s="9">
        <v>33604</v>
      </c>
      <c r="B406" s="4">
        <v>63.8</v>
      </c>
      <c r="C406" s="7">
        <f>(Table3[[#This Row],[Conference Board Leading Indicator]]-B394)/B394</f>
        <v>3.4035656401944801E-2</v>
      </c>
      <c r="D406" s="6">
        <v>2.8586525919191606E-2</v>
      </c>
      <c r="E406" s="4">
        <v>408.77999899999998</v>
      </c>
      <c r="F406" s="7">
        <f>(Table3[[#This Row],[S&amp;P 500]]-E395)/E395</f>
        <v>0.11362952898518892</v>
      </c>
    </row>
    <row r="407" spans="1:6" x14ac:dyDescent="0.2">
      <c r="A407" s="9">
        <v>33635</v>
      </c>
      <c r="B407" s="4">
        <v>64</v>
      </c>
      <c r="C407" s="7">
        <f>(Table3[[#This Row],[Conference Board Leading Indicator]]-B395)/B395</f>
        <v>4.065040650406504E-2</v>
      </c>
      <c r="E407" s="4">
        <v>412.70001200000002</v>
      </c>
      <c r="F407" s="7">
        <f>(Table3[[#This Row],[S&amp;P 500]]-E396)/E396</f>
        <v>9.9888094718063786E-2</v>
      </c>
    </row>
    <row r="408" spans="1:6" x14ac:dyDescent="0.2">
      <c r="A408" s="9">
        <v>33664</v>
      </c>
      <c r="B408" s="4">
        <v>64.599999999999994</v>
      </c>
      <c r="C408" s="7">
        <f>(Table3[[#This Row],[Conference Board Leading Indicator]]-B396)/B396</f>
        <v>5.5555555555555414E-2</v>
      </c>
      <c r="E408" s="4">
        <v>403.69000199999999</v>
      </c>
      <c r="F408" s="7">
        <f>(Table3[[#This Row],[S&amp;P 500]]-E397)/E397</f>
        <v>7.5531534880711224E-2</v>
      </c>
    </row>
    <row r="409" spans="1:6" x14ac:dyDescent="0.2">
      <c r="A409" s="9">
        <v>33695</v>
      </c>
      <c r="B409" s="4">
        <v>65.099999999999994</v>
      </c>
      <c r="C409" s="7">
        <f>(Table3[[#This Row],[Conference Board Leading Indicator]]-B397)/B397</f>
        <v>5.1696284329563746E-2</v>
      </c>
      <c r="D409" s="6">
        <v>3.1695712595280374E-2</v>
      </c>
      <c r="E409" s="4">
        <v>414.95001200000002</v>
      </c>
      <c r="F409" s="7">
        <f>(Table3[[#This Row],[S&amp;P 500]]-E398)/E398</f>
        <v>6.4438411198982484E-2</v>
      </c>
    </row>
    <row r="410" spans="1:6" x14ac:dyDescent="0.2">
      <c r="A410" s="9">
        <v>33725</v>
      </c>
      <c r="B410" s="4">
        <v>65.599999999999994</v>
      </c>
      <c r="C410" s="7">
        <f>(Table3[[#This Row],[Conference Board Leading Indicator]]-B398)/B398</f>
        <v>5.2969502407704615E-2</v>
      </c>
      <c r="E410" s="4">
        <v>415.35000600000001</v>
      </c>
      <c r="F410" s="7">
        <f>(Table3[[#This Row],[S&amp;P 500]]-E399)/E399</f>
        <v>0.11905916996379812</v>
      </c>
    </row>
    <row r="411" spans="1:6" x14ac:dyDescent="0.2">
      <c r="A411" s="9">
        <v>33756</v>
      </c>
      <c r="B411" s="4">
        <v>65.900000000000006</v>
      </c>
      <c r="C411" s="7">
        <f>(Table3[[#This Row],[Conference Board Leading Indicator]]-B399)/B399</f>
        <v>5.6089743589743703E-2</v>
      </c>
      <c r="E411" s="4">
        <v>408.14001500000001</v>
      </c>
      <c r="F411" s="7">
        <f>(Table3[[#This Row],[S&amp;P 500]]-E400)/E400</f>
        <v>5.24226221728301E-2</v>
      </c>
    </row>
    <row r="412" spans="1:6" x14ac:dyDescent="0.2">
      <c r="A412" s="9">
        <v>33786</v>
      </c>
      <c r="B412" s="4">
        <v>66.099999999999994</v>
      </c>
      <c r="C412" s="7">
        <f>(Table3[[#This Row],[Conference Board Leading Indicator]]-B400)/B400</f>
        <v>4.9206349206349115E-2</v>
      </c>
      <c r="D412" s="6">
        <v>3.6653496782618103E-2</v>
      </c>
      <c r="E412" s="4">
        <v>424.209991</v>
      </c>
      <c r="F412" s="7">
        <f>(Table3[[#This Row],[S&amp;P 500]]-E401)/E401</f>
        <v>7.2781525199076075E-2</v>
      </c>
    </row>
    <row r="413" spans="1:6" x14ac:dyDescent="0.2">
      <c r="A413" s="9">
        <v>33817</v>
      </c>
      <c r="B413" s="4">
        <v>66.5</v>
      </c>
      <c r="C413" s="7">
        <f>(Table3[[#This Row],[Conference Board Leading Indicator]]-B401)/B401</f>
        <v>5.3882725832012653E-2</v>
      </c>
      <c r="E413" s="4">
        <v>414.02999899999998</v>
      </c>
      <c r="F413" s="7">
        <f>(Table3[[#This Row],[S&amp;P 500]]-E402)/E402</f>
        <v>6.7472838168649907E-2</v>
      </c>
    </row>
    <row r="414" spans="1:6" x14ac:dyDescent="0.2">
      <c r="A414" s="9">
        <v>33848</v>
      </c>
      <c r="B414" s="4">
        <v>66.599999999999994</v>
      </c>
      <c r="C414" s="7">
        <f>(Table3[[#This Row],[Conference Board Leading Indicator]]-B402)/B402</f>
        <v>4.7169811320754602E-2</v>
      </c>
      <c r="E414" s="4">
        <v>417.79998799999998</v>
      </c>
      <c r="F414" s="7">
        <f>(Table3[[#This Row],[S&amp;P 500]]-E403)/E403</f>
        <v>6.4594152694279872E-2</v>
      </c>
    </row>
    <row r="415" spans="1:6" x14ac:dyDescent="0.2">
      <c r="A415" s="9">
        <v>33878</v>
      </c>
      <c r="B415" s="4">
        <v>66.8</v>
      </c>
      <c r="C415" s="7">
        <f>(Table3[[#This Row],[Conference Board Leading Indicator]]-B403)/B403</f>
        <v>5.1968503937007832E-2</v>
      </c>
      <c r="D415" s="6">
        <v>4.3829767135290125E-2</v>
      </c>
      <c r="E415" s="4">
        <v>418.67999300000002</v>
      </c>
      <c r="F415" s="7">
        <f>(Table3[[#This Row],[S&amp;P 500]]-E404)/E404</f>
        <v>0.11582536081278887</v>
      </c>
    </row>
    <row r="416" spans="1:6" x14ac:dyDescent="0.2">
      <c r="A416" s="9">
        <v>33909</v>
      </c>
      <c r="B416" s="4">
        <v>67.400000000000006</v>
      </c>
      <c r="C416" s="7">
        <f>(Table3[[#This Row],[Conference Board Leading Indicator]]-B404)/B404</f>
        <v>6.1417322834645759E-2</v>
      </c>
      <c r="E416" s="4">
        <v>431.35000600000001</v>
      </c>
      <c r="F416" s="7">
        <f>(Table3[[#This Row],[S&amp;P 500]]-E405)/E405</f>
        <v>3.4189288011597437E-2</v>
      </c>
    </row>
    <row r="417" spans="1:6" x14ac:dyDescent="0.2">
      <c r="A417" s="9">
        <v>33939</v>
      </c>
      <c r="B417" s="4">
        <v>68.3</v>
      </c>
      <c r="C417" s="7">
        <f>(Table3[[#This Row],[Conference Board Leading Indicator]]-B405)/B405</f>
        <v>7.8988941548183256E-2</v>
      </c>
      <c r="E417" s="4">
        <v>435.709991</v>
      </c>
      <c r="F417" s="7">
        <f>(Table3[[#This Row],[S&amp;P 500]]-E406)/E406</f>
        <v>6.5878937486860814E-2</v>
      </c>
    </row>
    <row r="418" spans="1:6" x14ac:dyDescent="0.2">
      <c r="A418" s="9">
        <v>33970</v>
      </c>
      <c r="B418" s="4">
        <v>68.7</v>
      </c>
      <c r="C418" s="7">
        <f>(Table3[[#This Row],[Conference Board Leading Indicator]]-B406)/B406</f>
        <v>7.6802507836990691E-2</v>
      </c>
      <c r="D418" s="6">
        <v>3.3209094782169685E-2</v>
      </c>
      <c r="E418" s="4">
        <v>438.77999899999998</v>
      </c>
      <c r="F418" s="7">
        <f>(Table3[[#This Row],[S&amp;P 500]]-E407)/E407</f>
        <v>6.3193569764180085E-2</v>
      </c>
    </row>
    <row r="419" spans="1:6" x14ac:dyDescent="0.2">
      <c r="A419" s="9">
        <v>34001</v>
      </c>
      <c r="B419" s="4">
        <v>69.099999999999994</v>
      </c>
      <c r="C419" s="7">
        <f>(Table3[[#This Row],[Conference Board Leading Indicator]]-B407)/B407</f>
        <v>7.9687499999999911E-2</v>
      </c>
      <c r="E419" s="4">
        <v>443.38000499999998</v>
      </c>
      <c r="F419" s="7">
        <f>(Table3[[#This Row],[S&amp;P 500]]-E408)/E408</f>
        <v>9.8318023243984101E-2</v>
      </c>
    </row>
    <row r="420" spans="1:6" x14ac:dyDescent="0.2">
      <c r="A420" s="9">
        <v>34029</v>
      </c>
      <c r="B420" s="4">
        <v>69</v>
      </c>
      <c r="C420" s="7">
        <f>(Table3[[#This Row],[Conference Board Leading Indicator]]-B408)/B408</f>
        <v>6.8111455108359226E-2</v>
      </c>
      <c r="E420" s="4">
        <v>451.67001299999998</v>
      </c>
      <c r="F420" s="7">
        <f>(Table3[[#This Row],[S&amp;P 500]]-E409)/E409</f>
        <v>8.8492589319409315E-2</v>
      </c>
    </row>
    <row r="421" spans="1:6" x14ac:dyDescent="0.2">
      <c r="A421" s="9">
        <v>34060</v>
      </c>
      <c r="B421" s="4">
        <v>69.5</v>
      </c>
      <c r="C421" s="7">
        <f>(Table3[[#This Row],[Conference Board Leading Indicator]]-B409)/B409</f>
        <v>6.7588325652841869E-2</v>
      </c>
      <c r="D421" s="6">
        <v>2.8078701503631745E-2</v>
      </c>
      <c r="E421" s="4">
        <v>440.19000199999999</v>
      </c>
      <c r="F421" s="7">
        <f>(Table3[[#This Row],[S&amp;P 500]]-E410)/E410</f>
        <v>5.9804973254291911E-2</v>
      </c>
    </row>
    <row r="422" spans="1:6" x14ac:dyDescent="0.2">
      <c r="A422" s="9">
        <v>34090</v>
      </c>
      <c r="B422" s="4">
        <v>69.599999999999994</v>
      </c>
      <c r="C422" s="7">
        <f>(Table3[[#This Row],[Conference Board Leading Indicator]]-B410)/B410</f>
        <v>6.0975609756097567E-2</v>
      </c>
      <c r="E422" s="4">
        <v>450.19000199999999</v>
      </c>
      <c r="F422" s="7">
        <f>(Table3[[#This Row],[S&amp;P 500]]-E411)/E411</f>
        <v>0.10302833697891638</v>
      </c>
    </row>
    <row r="423" spans="1:6" x14ac:dyDescent="0.2">
      <c r="A423" s="9">
        <v>34121</v>
      </c>
      <c r="B423" s="4">
        <v>69.900000000000006</v>
      </c>
      <c r="C423" s="7">
        <f>(Table3[[#This Row],[Conference Board Leading Indicator]]-B411)/B411</f>
        <v>6.0698027314112286E-2</v>
      </c>
      <c r="E423" s="4">
        <v>450.52999899999998</v>
      </c>
      <c r="F423" s="7">
        <f>(Table3[[#This Row],[S&amp;P 500]]-E412)/E412</f>
        <v>6.204476216591507E-2</v>
      </c>
    </row>
    <row r="424" spans="1:6" x14ac:dyDescent="0.2">
      <c r="A424" s="9">
        <v>34151</v>
      </c>
      <c r="B424" s="4">
        <v>69.900000000000006</v>
      </c>
      <c r="C424" s="7">
        <f>(Table3[[#This Row],[Conference Board Leading Indicator]]-B412)/B412</f>
        <v>5.7488653555219545E-2</v>
      </c>
      <c r="D424" s="6">
        <v>2.2877065695919026E-2</v>
      </c>
      <c r="E424" s="4">
        <v>448.13000499999998</v>
      </c>
      <c r="F424" s="7">
        <f>(Table3[[#This Row],[S&amp;P 500]]-E413)/E413</f>
        <v>8.2361196247521209E-2</v>
      </c>
    </row>
    <row r="425" spans="1:6" x14ac:dyDescent="0.2">
      <c r="A425" s="9">
        <v>34182</v>
      </c>
      <c r="B425" s="4">
        <v>70.400000000000006</v>
      </c>
      <c r="C425" s="7">
        <f>(Table3[[#This Row],[Conference Board Leading Indicator]]-B413)/B413</f>
        <v>5.8646616541353468E-2</v>
      </c>
      <c r="E425" s="4">
        <v>463.55999800000001</v>
      </c>
      <c r="F425" s="7">
        <f>(Table3[[#This Row],[S&amp;P 500]]-E414)/E414</f>
        <v>0.10952611611850986</v>
      </c>
    </row>
    <row r="426" spans="1:6" x14ac:dyDescent="0.2">
      <c r="A426" s="9">
        <v>34213</v>
      </c>
      <c r="B426" s="4">
        <v>70.8</v>
      </c>
      <c r="C426" s="7">
        <f>(Table3[[#This Row],[Conference Board Leading Indicator]]-B414)/B414</f>
        <v>6.3063063063063113E-2</v>
      </c>
      <c r="E426" s="4">
        <v>458.92999300000002</v>
      </c>
      <c r="F426" s="7">
        <f>(Table3[[#This Row],[S&amp;P 500]]-E415)/E415</f>
        <v>9.6135474999876569E-2</v>
      </c>
    </row>
    <row r="427" spans="1:6" x14ac:dyDescent="0.2">
      <c r="A427" s="9">
        <v>34243</v>
      </c>
      <c r="B427" s="4">
        <v>71.099999999999994</v>
      </c>
      <c r="C427" s="7">
        <f>(Table3[[#This Row],[Conference Board Leading Indicator]]-B415)/B415</f>
        <v>6.4371257485029906E-2</v>
      </c>
      <c r="D427" s="6">
        <v>2.6085590436127543E-2</v>
      </c>
      <c r="E427" s="4">
        <v>467.82998700000002</v>
      </c>
      <c r="F427" s="7">
        <f>(Table3[[#This Row],[S&amp;P 500]]-E416)/E416</f>
        <v>8.4571648296209848E-2</v>
      </c>
    </row>
    <row r="428" spans="1:6" x14ac:dyDescent="0.2">
      <c r="A428" s="9">
        <v>34274</v>
      </c>
      <c r="B428" s="4">
        <v>71.5</v>
      </c>
      <c r="C428" s="7">
        <f>(Table3[[#This Row],[Conference Board Leading Indicator]]-B416)/B416</f>
        <v>6.0830860534124537E-2</v>
      </c>
      <c r="E428" s="4">
        <v>461.790009</v>
      </c>
      <c r="F428" s="7">
        <f>(Table3[[#This Row],[S&amp;P 500]]-E417)/E417</f>
        <v>5.9856369003941423E-2</v>
      </c>
    </row>
    <row r="429" spans="1:6" x14ac:dyDescent="0.2">
      <c r="A429" s="9">
        <v>34304</v>
      </c>
      <c r="B429" s="4">
        <v>72.5</v>
      </c>
      <c r="C429" s="7">
        <f>(Table3[[#This Row],[Conference Board Leading Indicator]]-B417)/B417</f>
        <v>6.1493411420205021E-2</v>
      </c>
      <c r="E429" s="4">
        <v>466.45001200000002</v>
      </c>
      <c r="F429" s="7">
        <f>(Table3[[#This Row],[S&amp;P 500]]-E418)/E418</f>
        <v>6.3061244958888929E-2</v>
      </c>
    </row>
    <row r="430" spans="1:6" x14ac:dyDescent="0.2">
      <c r="A430" s="9">
        <v>34335</v>
      </c>
      <c r="B430" s="4">
        <v>72.3</v>
      </c>
      <c r="C430" s="7">
        <f>(Table3[[#This Row],[Conference Board Leading Indicator]]-B418)/B418</f>
        <v>5.2401746724890744E-2</v>
      </c>
      <c r="D430" s="6">
        <v>3.430940273615609E-2</v>
      </c>
      <c r="E430" s="4">
        <v>481.60998499999999</v>
      </c>
      <c r="F430" s="7">
        <f>(Table3[[#This Row],[S&amp;P 500]]-E419)/E419</f>
        <v>8.6223960415174813E-2</v>
      </c>
    </row>
    <row r="431" spans="1:6" x14ac:dyDescent="0.2">
      <c r="A431" s="9">
        <v>34366</v>
      </c>
      <c r="B431" s="4">
        <v>72.599999999999994</v>
      </c>
      <c r="C431" s="7">
        <f>(Table3[[#This Row],[Conference Board Leading Indicator]]-B419)/B419</f>
        <v>5.0651230101302465E-2</v>
      </c>
      <c r="E431" s="4">
        <v>467.14001500000001</v>
      </c>
      <c r="F431" s="7">
        <f>(Table3[[#This Row],[S&amp;P 500]]-E420)/E420</f>
        <v>3.4250673178960904E-2</v>
      </c>
    </row>
    <row r="432" spans="1:6" x14ac:dyDescent="0.2">
      <c r="A432" s="9">
        <v>34394</v>
      </c>
      <c r="B432" s="4">
        <v>73.599999999999994</v>
      </c>
      <c r="C432" s="7">
        <f>(Table3[[#This Row],[Conference Board Leading Indicator]]-B420)/B420</f>
        <v>6.6666666666666582E-2</v>
      </c>
      <c r="E432" s="4">
        <v>445.76998900000001</v>
      </c>
      <c r="F432" s="7">
        <f>(Table3[[#This Row],[S&amp;P 500]]-E421)/E421</f>
        <v>1.267631471557143E-2</v>
      </c>
    </row>
    <row r="433" spans="1:6" x14ac:dyDescent="0.2">
      <c r="A433" s="9">
        <v>34425</v>
      </c>
      <c r="B433" s="4">
        <v>74.099999999999994</v>
      </c>
      <c r="C433" s="7">
        <f>(Table3[[#This Row],[Conference Board Leading Indicator]]-B421)/B421</f>
        <v>6.6187050359712146E-2</v>
      </c>
      <c r="D433" s="6">
        <v>4.2254474939159931E-2</v>
      </c>
      <c r="E433" s="4">
        <v>450.91000400000001</v>
      </c>
      <c r="F433" s="7">
        <f>(Table3[[#This Row],[S&amp;P 500]]-E422)/E422</f>
        <v>1.5993291650222437E-3</v>
      </c>
    </row>
    <row r="434" spans="1:6" x14ac:dyDescent="0.2">
      <c r="A434" s="9">
        <v>34455</v>
      </c>
      <c r="B434" s="4">
        <v>74.5</v>
      </c>
      <c r="C434" s="7">
        <f>(Table3[[#This Row],[Conference Board Leading Indicator]]-B422)/B422</f>
        <v>7.0402298850574793E-2</v>
      </c>
      <c r="E434" s="4">
        <v>456.5</v>
      </c>
      <c r="F434" s="7">
        <f>(Table3[[#This Row],[S&amp;P 500]]-E423)/E423</f>
        <v>1.3251062111848462E-2</v>
      </c>
    </row>
    <row r="435" spans="1:6" x14ac:dyDescent="0.2">
      <c r="A435" s="9">
        <v>34486</v>
      </c>
      <c r="B435" s="4">
        <v>75.099999999999994</v>
      </c>
      <c r="C435" s="7">
        <f>(Table3[[#This Row],[Conference Board Leading Indicator]]-B423)/B423</f>
        <v>7.4391988555078517E-2</v>
      </c>
      <c r="E435" s="4">
        <v>444.26998900000001</v>
      </c>
      <c r="F435" s="7">
        <f>(Table3[[#This Row],[S&amp;P 500]]-E424)/E424</f>
        <v>-8.6136075623857705E-3</v>
      </c>
    </row>
    <row r="436" spans="1:6" x14ac:dyDescent="0.2">
      <c r="A436" s="9">
        <v>34516</v>
      </c>
      <c r="B436" s="4">
        <v>75.400000000000006</v>
      </c>
      <c r="C436" s="7">
        <f>(Table3[[#This Row],[Conference Board Leading Indicator]]-B424)/B424</f>
        <v>7.8683834048640905E-2</v>
      </c>
      <c r="D436" s="6">
        <v>4.3366469321262188E-2</v>
      </c>
      <c r="E436" s="4">
        <v>458.26001000000002</v>
      </c>
      <c r="F436" s="7">
        <f>(Table3[[#This Row],[S&amp;P 500]]-E425)/E425</f>
        <v>-1.1433229836194762E-2</v>
      </c>
    </row>
    <row r="437" spans="1:6" x14ac:dyDescent="0.2">
      <c r="A437" s="9">
        <v>34547</v>
      </c>
      <c r="B437" s="4">
        <v>76</v>
      </c>
      <c r="C437" s="7">
        <f>(Table3[[#This Row],[Conference Board Leading Indicator]]-B425)/B425</f>
        <v>7.9545454545454461E-2</v>
      </c>
      <c r="E437" s="4">
        <v>475.48998999999998</v>
      </c>
      <c r="F437" s="7">
        <f>(Table3[[#This Row],[S&amp;P 500]]-E426)/E426</f>
        <v>3.6083928382514653E-2</v>
      </c>
    </row>
    <row r="438" spans="1:6" x14ac:dyDescent="0.2">
      <c r="A438" s="9">
        <v>34578</v>
      </c>
      <c r="B438" s="4">
        <v>76.5</v>
      </c>
      <c r="C438" s="7">
        <f>(Table3[[#This Row],[Conference Board Leading Indicator]]-B426)/B426</f>
        <v>8.0508474576271236E-2</v>
      </c>
      <c r="E438" s="4">
        <v>462.709991</v>
      </c>
      <c r="F438" s="7">
        <f>(Table3[[#This Row],[S&amp;P 500]]-E427)/E427</f>
        <v>-1.0944138131957784E-2</v>
      </c>
    </row>
    <row r="439" spans="1:6" x14ac:dyDescent="0.2">
      <c r="A439" s="9">
        <v>34608</v>
      </c>
      <c r="B439" s="4">
        <v>77</v>
      </c>
      <c r="C439" s="7">
        <f>(Table3[[#This Row],[Conference Board Leading Indicator]]-B427)/B427</f>
        <v>8.298171589310839E-2</v>
      </c>
      <c r="D439" s="6">
        <v>4.1157564491065148E-2</v>
      </c>
      <c r="E439" s="4">
        <v>472.35000600000001</v>
      </c>
      <c r="F439" s="7">
        <f>(Table3[[#This Row],[S&amp;P 500]]-E428)/E428</f>
        <v>2.2867530250096878E-2</v>
      </c>
    </row>
    <row r="440" spans="1:6" x14ac:dyDescent="0.2">
      <c r="A440" s="9">
        <v>34639</v>
      </c>
      <c r="B440" s="4">
        <v>77.099999999999994</v>
      </c>
      <c r="C440" s="7">
        <f>(Table3[[#This Row],[Conference Board Leading Indicator]]-B428)/B428</f>
        <v>7.8321678321678245E-2</v>
      </c>
      <c r="E440" s="4">
        <v>453.69000199999999</v>
      </c>
      <c r="F440" s="7">
        <f>(Table3[[#This Row],[S&amp;P 500]]-E429)/E429</f>
        <v>-2.7355578672383061E-2</v>
      </c>
    </row>
    <row r="441" spans="1:6" x14ac:dyDescent="0.2">
      <c r="A441" s="9">
        <v>34669</v>
      </c>
      <c r="B441" s="4">
        <v>77.7</v>
      </c>
      <c r="C441" s="7">
        <f>(Table3[[#This Row],[Conference Board Leading Indicator]]-B429)/B429</f>
        <v>7.1724137931034521E-2</v>
      </c>
      <c r="E441" s="4">
        <v>459.26998900000001</v>
      </c>
      <c r="F441" s="7">
        <f>(Table3[[#This Row],[S&amp;P 500]]-E430)/E430</f>
        <v>-4.6386073162498875E-2</v>
      </c>
    </row>
    <row r="442" spans="1:6" x14ac:dyDescent="0.2">
      <c r="A442" s="9">
        <v>34700</v>
      </c>
      <c r="B442" s="4">
        <v>77.8</v>
      </c>
      <c r="C442" s="7">
        <f>(Table3[[#This Row],[Conference Board Leading Indicator]]-B430)/B430</f>
        <v>7.6071922544951598E-2</v>
      </c>
      <c r="D442" s="6">
        <v>3.4811227923887036E-2</v>
      </c>
      <c r="E442" s="4">
        <v>470.42001299999998</v>
      </c>
      <c r="F442" s="7">
        <f>(Table3[[#This Row],[S&amp;P 500]]-E431)/E431</f>
        <v>7.0214451656426344E-3</v>
      </c>
    </row>
    <row r="443" spans="1:6" x14ac:dyDescent="0.2">
      <c r="A443" s="9">
        <v>34731</v>
      </c>
      <c r="B443" s="4">
        <v>77.8</v>
      </c>
      <c r="C443" s="7">
        <f>(Table3[[#This Row],[Conference Board Leading Indicator]]-B431)/B431</f>
        <v>7.1625344352617124E-2</v>
      </c>
      <c r="E443" s="4">
        <v>487.39001500000001</v>
      </c>
      <c r="F443" s="7">
        <f>(Table3[[#This Row],[S&amp;P 500]]-E432)/E432</f>
        <v>9.3366594941410461E-2</v>
      </c>
    </row>
    <row r="444" spans="1:6" x14ac:dyDescent="0.2">
      <c r="A444" s="9">
        <v>34759</v>
      </c>
      <c r="B444" s="4">
        <v>77.8</v>
      </c>
      <c r="C444" s="7">
        <f>(Table3[[#This Row],[Conference Board Leading Indicator]]-B432)/B432</f>
        <v>5.7065217391304393E-2</v>
      </c>
      <c r="E444" s="4">
        <v>500.709991</v>
      </c>
      <c r="F444" s="7">
        <f>(Table3[[#This Row],[S&amp;P 500]]-E433)/E433</f>
        <v>0.11044329590877737</v>
      </c>
    </row>
    <row r="445" spans="1:6" x14ac:dyDescent="0.2">
      <c r="A445" s="9">
        <v>34790</v>
      </c>
      <c r="B445" s="4">
        <v>77.7</v>
      </c>
      <c r="C445" s="7">
        <f>(Table3[[#This Row],[Conference Board Leading Indicator]]-B433)/B433</f>
        <v>4.8582995951417123E-2</v>
      </c>
      <c r="D445" s="6">
        <v>2.4022518018026316E-2</v>
      </c>
      <c r="E445" s="4">
        <v>514.71002199999998</v>
      </c>
      <c r="F445" s="7">
        <f>(Table3[[#This Row],[S&amp;P 500]]-E434)/E434</f>
        <v>0.12751373932092</v>
      </c>
    </row>
    <row r="446" spans="1:6" x14ac:dyDescent="0.2">
      <c r="A446" s="9">
        <v>34820</v>
      </c>
      <c r="B446" s="4">
        <v>77.7</v>
      </c>
      <c r="C446" s="7">
        <f>(Table3[[#This Row],[Conference Board Leading Indicator]]-B434)/B434</f>
        <v>4.2953020134228227E-2</v>
      </c>
      <c r="E446" s="4">
        <v>533.40002400000003</v>
      </c>
      <c r="F446" s="7">
        <f>(Table3[[#This Row],[S&amp;P 500]]-E435)/E435</f>
        <v>0.20062132758645559</v>
      </c>
    </row>
    <row r="447" spans="1:6" x14ac:dyDescent="0.2">
      <c r="A447" s="9">
        <v>34851</v>
      </c>
      <c r="B447" s="4">
        <v>77.7</v>
      </c>
      <c r="C447" s="7">
        <f>(Table3[[#This Row],[Conference Board Leading Indicator]]-B435)/B435</f>
        <v>3.4620505992010768E-2</v>
      </c>
      <c r="E447" s="4">
        <v>544.75</v>
      </c>
      <c r="F447" s="7">
        <f>(Table3[[#This Row],[S&amp;P 500]]-E436)/E436</f>
        <v>0.18873562630961399</v>
      </c>
    </row>
    <row r="448" spans="1:6" x14ac:dyDescent="0.2">
      <c r="A448" s="9">
        <v>34881</v>
      </c>
      <c r="B448" s="4">
        <v>77.7</v>
      </c>
      <c r="C448" s="7">
        <f>(Table3[[#This Row],[Conference Board Leading Indicator]]-B436)/B436</f>
        <v>3.0503978779840808E-2</v>
      </c>
      <c r="D448" s="6">
        <v>2.6732241097901271E-2</v>
      </c>
      <c r="E448" s="4">
        <v>562.05999799999995</v>
      </c>
      <c r="F448" s="7">
        <f>(Table3[[#This Row],[S&amp;P 500]]-E437)/E437</f>
        <v>0.18206483800005963</v>
      </c>
    </row>
    <row r="449" spans="1:6" x14ac:dyDescent="0.2">
      <c r="A449" s="9">
        <v>34912</v>
      </c>
      <c r="B449" s="4">
        <v>78.2</v>
      </c>
      <c r="C449" s="7">
        <f>(Table3[[#This Row],[Conference Board Leading Indicator]]-B437)/B437</f>
        <v>2.894736842105267E-2</v>
      </c>
      <c r="E449" s="4">
        <v>561.88000499999998</v>
      </c>
      <c r="F449" s="7">
        <f>(Table3[[#This Row],[S&amp;P 500]]-E438)/E438</f>
        <v>0.21432434122651131</v>
      </c>
    </row>
    <row r="450" spans="1:6" x14ac:dyDescent="0.2">
      <c r="A450" s="9">
        <v>34943</v>
      </c>
      <c r="B450" s="4">
        <v>78.400000000000006</v>
      </c>
      <c r="C450" s="7">
        <f>(Table3[[#This Row],[Conference Board Leading Indicator]]-B438)/B438</f>
        <v>2.4836601307189617E-2</v>
      </c>
      <c r="E450" s="4">
        <v>584.40997300000004</v>
      </c>
      <c r="F450" s="7">
        <f>(Table3[[#This Row],[S&amp;P 500]]-E439)/E439</f>
        <v>0.23723926236173273</v>
      </c>
    </row>
    <row r="451" spans="1:6" x14ac:dyDescent="0.2">
      <c r="A451" s="9">
        <v>34973</v>
      </c>
      <c r="B451" s="4">
        <v>78.3</v>
      </c>
      <c r="C451" s="7">
        <f>(Table3[[#This Row],[Conference Board Leading Indicator]]-B439)/B439</f>
        <v>1.6883116883116847E-2</v>
      </c>
      <c r="D451" s="6">
        <v>2.1996746355449796E-2</v>
      </c>
      <c r="E451" s="4">
        <v>581.5</v>
      </c>
      <c r="F451" s="7">
        <f>(Table3[[#This Row],[S&amp;P 500]]-E440)/E440</f>
        <v>0.28171217667697251</v>
      </c>
    </row>
    <row r="452" spans="1:6" x14ac:dyDescent="0.2">
      <c r="A452" s="9">
        <v>35004</v>
      </c>
      <c r="B452" s="4">
        <v>78.3</v>
      </c>
      <c r="C452" s="7">
        <f>(Table3[[#This Row],[Conference Board Leading Indicator]]-B440)/B440</f>
        <v>1.5564202334630389E-2</v>
      </c>
      <c r="E452" s="4">
        <v>605.36999500000002</v>
      </c>
      <c r="F452" s="7">
        <f>(Table3[[#This Row],[S&amp;P 500]]-E441)/E441</f>
        <v>0.31811354867343622</v>
      </c>
    </row>
    <row r="453" spans="1:6" x14ac:dyDescent="0.2">
      <c r="A453" s="9">
        <v>35034</v>
      </c>
      <c r="B453" s="4">
        <v>78.400000000000006</v>
      </c>
      <c r="C453" s="7">
        <f>(Table3[[#This Row],[Conference Board Leading Indicator]]-B441)/B441</f>
        <v>9.0090090090090454E-3</v>
      </c>
      <c r="E453" s="4">
        <v>615.92999299999997</v>
      </c>
      <c r="F453" s="7">
        <f>(Table3[[#This Row],[S&amp;P 500]]-E442)/E442</f>
        <v>0.30931928059786856</v>
      </c>
    </row>
    <row r="454" spans="1:6" x14ac:dyDescent="0.2">
      <c r="A454" s="9">
        <v>35065</v>
      </c>
      <c r="B454" s="4">
        <v>76.900000000000006</v>
      </c>
      <c r="C454" s="7">
        <f>(Table3[[#This Row],[Conference Board Leading Indicator]]-B442)/B442</f>
        <v>-1.1568123393316086E-2</v>
      </c>
      <c r="D454" s="6">
        <v>2.6011121012811167E-2</v>
      </c>
      <c r="E454" s="4">
        <v>636.02002000000005</v>
      </c>
      <c r="F454" s="7">
        <f>(Table3[[#This Row],[S&amp;P 500]]-E443)/E443</f>
        <v>0.3049508615805353</v>
      </c>
    </row>
    <row r="455" spans="1:6" x14ac:dyDescent="0.2">
      <c r="A455" s="9">
        <v>35096</v>
      </c>
      <c r="B455" s="4">
        <v>77.8</v>
      </c>
      <c r="C455" s="7">
        <f>(Table3[[#This Row],[Conference Board Leading Indicator]]-B443)/B443</f>
        <v>0</v>
      </c>
      <c r="E455" s="4">
        <v>640.42999299999997</v>
      </c>
      <c r="F455" s="7">
        <f>(Table3[[#This Row],[S&amp;P 500]]-E444)/E444</f>
        <v>0.27904376687382693</v>
      </c>
    </row>
    <row r="456" spans="1:6" x14ac:dyDescent="0.2">
      <c r="A456" s="9">
        <v>35125</v>
      </c>
      <c r="B456" s="4">
        <v>78</v>
      </c>
      <c r="C456" s="7">
        <f>(Table3[[#This Row],[Conference Board Leading Indicator]]-B444)/B444</f>
        <v>2.5706940874036356E-3</v>
      </c>
      <c r="E456" s="4">
        <v>645.5</v>
      </c>
      <c r="F456" s="7">
        <f>(Table3[[#This Row],[S&amp;P 500]]-E445)/E445</f>
        <v>0.25410419927669492</v>
      </c>
    </row>
    <row r="457" spans="1:6" x14ac:dyDescent="0.2">
      <c r="A457" s="9">
        <v>35156</v>
      </c>
      <c r="B457" s="4">
        <v>78.400000000000006</v>
      </c>
      <c r="C457" s="7">
        <f>(Table3[[#This Row],[Conference Board Leading Indicator]]-B445)/B445</f>
        <v>9.0090090090090454E-3</v>
      </c>
      <c r="D457" s="6">
        <v>4.0020614462274562E-2</v>
      </c>
      <c r="E457" s="4">
        <v>654.169983</v>
      </c>
      <c r="F457" s="7">
        <f>(Table3[[#This Row],[S&amp;P 500]]-E446)/E446</f>
        <v>0.22641536101618168</v>
      </c>
    </row>
    <row r="458" spans="1:6" x14ac:dyDescent="0.2">
      <c r="A458" s="9">
        <v>35186</v>
      </c>
      <c r="B458" s="4">
        <v>79.099999999999994</v>
      </c>
      <c r="C458" s="7">
        <f>(Table3[[#This Row],[Conference Board Leading Indicator]]-B446)/B446</f>
        <v>1.8018018018017907E-2</v>
      </c>
      <c r="E458" s="4">
        <v>669.11999500000002</v>
      </c>
      <c r="F458" s="7">
        <f>(Table3[[#This Row],[S&amp;P 500]]-E447)/E447</f>
        <v>0.22830655346489218</v>
      </c>
    </row>
    <row r="459" spans="1:6" x14ac:dyDescent="0.2">
      <c r="A459" s="9">
        <v>35217</v>
      </c>
      <c r="B459" s="4">
        <v>79.599999999999994</v>
      </c>
      <c r="C459" s="7">
        <f>(Table3[[#This Row],[Conference Board Leading Indicator]]-B447)/B447</f>
        <v>2.4453024453024344E-2</v>
      </c>
      <c r="E459" s="4">
        <v>670.63000499999998</v>
      </c>
      <c r="F459" s="7">
        <f>(Table3[[#This Row],[S&amp;P 500]]-E448)/E448</f>
        <v>0.19316444398521321</v>
      </c>
    </row>
    <row r="460" spans="1:6" x14ac:dyDescent="0.2">
      <c r="A460" s="9">
        <v>35247</v>
      </c>
      <c r="B460" s="4">
        <v>79.5</v>
      </c>
      <c r="C460" s="7">
        <f>(Table3[[#This Row],[Conference Board Leading Indicator]]-B448)/B448</f>
        <v>2.316602316602313E-2</v>
      </c>
      <c r="D460" s="6">
        <v>4.049822504514753E-2</v>
      </c>
      <c r="E460" s="4">
        <v>639.95001200000002</v>
      </c>
      <c r="F460" s="7">
        <f>(Table3[[#This Row],[S&amp;P 500]]-E449)/E449</f>
        <v>0.13894426978229993</v>
      </c>
    </row>
    <row r="461" spans="1:6" x14ac:dyDescent="0.2">
      <c r="A461" s="9">
        <v>35278</v>
      </c>
      <c r="B461" s="4">
        <v>79.7</v>
      </c>
      <c r="C461" s="7">
        <f>(Table3[[#This Row],[Conference Board Leading Indicator]]-B449)/B449</f>
        <v>1.9181585677749361E-2</v>
      </c>
      <c r="E461" s="4">
        <v>651.98999000000003</v>
      </c>
      <c r="F461" s="7">
        <f>(Table3[[#This Row],[S&amp;P 500]]-E450)/E450</f>
        <v>0.11563802830585848</v>
      </c>
    </row>
    <row r="462" spans="1:6" x14ac:dyDescent="0.2">
      <c r="A462" s="9">
        <v>35309</v>
      </c>
      <c r="B462" s="4">
        <v>80</v>
      </c>
      <c r="C462" s="7">
        <f>(Table3[[#This Row],[Conference Board Leading Indicator]]-B450)/B450</f>
        <v>2.0408163265306048E-2</v>
      </c>
      <c r="E462" s="4">
        <v>687.330017</v>
      </c>
      <c r="F462" s="7">
        <f>(Table3[[#This Row],[S&amp;P 500]]-E451)/E451</f>
        <v>0.1819948701633706</v>
      </c>
    </row>
    <row r="463" spans="1:6" x14ac:dyDescent="0.2">
      <c r="A463" s="9">
        <v>35339</v>
      </c>
      <c r="B463" s="4">
        <v>80.2</v>
      </c>
      <c r="C463" s="7">
        <f>(Table3[[#This Row],[Conference Board Leading Indicator]]-B451)/B451</f>
        <v>2.4265644955300199E-2</v>
      </c>
      <c r="D463" s="6">
        <v>4.4212151121520417E-2</v>
      </c>
      <c r="E463" s="4">
        <v>705.27002000000005</v>
      </c>
      <c r="F463" s="7">
        <f>(Table3[[#This Row],[S&amp;P 500]]-E452)/E452</f>
        <v>0.16502308641841429</v>
      </c>
    </row>
    <row r="464" spans="1:6" x14ac:dyDescent="0.2">
      <c r="A464" s="9">
        <v>35370</v>
      </c>
      <c r="B464" s="4">
        <v>80.8</v>
      </c>
      <c r="C464" s="7">
        <f>(Table3[[#This Row],[Conference Board Leading Indicator]]-B452)/B452</f>
        <v>3.1928480204342274E-2</v>
      </c>
      <c r="E464" s="4">
        <v>757.02002000000005</v>
      </c>
      <c r="F464" s="7">
        <f>(Table3[[#This Row],[S&amp;P 500]]-E453)/E453</f>
        <v>0.22906828471332469</v>
      </c>
    </row>
    <row r="465" spans="1:6" x14ac:dyDescent="0.2">
      <c r="A465" s="9">
        <v>35400</v>
      </c>
      <c r="B465" s="4">
        <v>80.8</v>
      </c>
      <c r="C465" s="7">
        <f>(Table3[[#This Row],[Conference Board Leading Indicator]]-B453)/B453</f>
        <v>3.0612244897959072E-2</v>
      </c>
      <c r="E465" s="4">
        <v>740.73999000000003</v>
      </c>
      <c r="F465" s="7">
        <f>(Table3[[#This Row],[S&amp;P 500]]-E454)/E454</f>
        <v>0.16464885806581997</v>
      </c>
    </row>
    <row r="466" spans="1:6" x14ac:dyDescent="0.2">
      <c r="A466" s="9">
        <v>35431</v>
      </c>
      <c r="B466" s="4">
        <v>81.3</v>
      </c>
      <c r="C466" s="7">
        <f>(Table3[[#This Row],[Conference Board Leading Indicator]]-B454)/B454</f>
        <v>5.7217165149544745E-2</v>
      </c>
      <c r="D466" s="6">
        <v>4.3140643984745174E-2</v>
      </c>
      <c r="E466" s="4">
        <v>786.15997300000004</v>
      </c>
      <c r="F466" s="7">
        <f>(Table3[[#This Row],[S&amp;P 500]]-E455)/E455</f>
        <v>0.22755021094085467</v>
      </c>
    </row>
    <row r="467" spans="1:6" x14ac:dyDescent="0.2">
      <c r="A467" s="9">
        <v>35462</v>
      </c>
      <c r="B467" s="4">
        <v>82.4</v>
      </c>
      <c r="C467" s="7">
        <f>(Table3[[#This Row],[Conference Board Leading Indicator]]-B455)/B455</f>
        <v>5.9125964010282889E-2</v>
      </c>
      <c r="E467" s="4">
        <v>790.82000700000003</v>
      </c>
      <c r="F467" s="7">
        <f>(Table3[[#This Row],[S&amp;P 500]]-E456)/E456</f>
        <v>0.22512781874515883</v>
      </c>
    </row>
    <row r="468" spans="1:6" x14ac:dyDescent="0.2">
      <c r="A468" s="9">
        <v>35490</v>
      </c>
      <c r="B468" s="4">
        <v>82.8</v>
      </c>
      <c r="C468" s="7">
        <f>(Table3[[#This Row],[Conference Board Leading Indicator]]-B456)/B456</f>
        <v>6.15384615384615E-2</v>
      </c>
      <c r="E468" s="4">
        <v>757.11999500000002</v>
      </c>
      <c r="F468" s="7">
        <f>(Table3[[#This Row],[S&amp;P 500]]-E457)/E457</f>
        <v>0.15737501670112555</v>
      </c>
    </row>
    <row r="469" spans="1:6" x14ac:dyDescent="0.2">
      <c r="A469" s="9">
        <v>35521</v>
      </c>
      <c r="B469" s="4">
        <v>82.9</v>
      </c>
      <c r="C469" s="7">
        <f>(Table3[[#This Row],[Conference Board Leading Indicator]]-B457)/B457</f>
        <v>5.7397959183673464E-2</v>
      </c>
      <c r="D469" s="6">
        <v>4.3080662668359818E-2</v>
      </c>
      <c r="E469" s="4">
        <v>801.34002699999996</v>
      </c>
      <c r="F469" s="7">
        <f>(Table3[[#This Row],[S&amp;P 500]]-E458)/E458</f>
        <v>0.1976028709170467</v>
      </c>
    </row>
    <row r="470" spans="1:6" x14ac:dyDescent="0.2">
      <c r="A470" s="9">
        <v>35551</v>
      </c>
      <c r="B470" s="4">
        <v>83.4</v>
      </c>
      <c r="C470" s="7">
        <f>(Table3[[#This Row],[Conference Board Leading Indicator]]-B458)/B458</f>
        <v>5.4361567635904065E-2</v>
      </c>
      <c r="E470" s="4">
        <v>848.28002900000001</v>
      </c>
      <c r="F470" s="7">
        <f>(Table3[[#This Row],[S&amp;P 500]]-E459)/E459</f>
        <v>0.26490020231051253</v>
      </c>
    </row>
    <row r="471" spans="1:6" x14ac:dyDescent="0.2">
      <c r="A471" s="9">
        <v>35582</v>
      </c>
      <c r="B471" s="4">
        <v>84</v>
      </c>
      <c r="C471" s="7">
        <f>(Table3[[#This Row],[Conference Board Leading Indicator]]-B459)/B459</f>
        <v>5.5276381909547811E-2</v>
      </c>
      <c r="E471" s="4">
        <v>885.14001499999995</v>
      </c>
      <c r="F471" s="7">
        <f>(Table3[[#This Row],[S&amp;P 500]]-E460)/E460</f>
        <v>0.38313930526186152</v>
      </c>
    </row>
    <row r="472" spans="1:6" x14ac:dyDescent="0.2">
      <c r="A472" s="9">
        <v>35612</v>
      </c>
      <c r="B472" s="4">
        <v>85</v>
      </c>
      <c r="C472" s="7">
        <f>(Table3[[#This Row],[Conference Board Leading Indicator]]-B460)/B460</f>
        <v>6.9182389937106917E-2</v>
      </c>
      <c r="D472" s="6">
        <v>4.6738859307256304E-2</v>
      </c>
      <c r="E472" s="4">
        <v>954.30999799999995</v>
      </c>
      <c r="F472" s="7">
        <f>(Table3[[#This Row],[S&amp;P 500]]-E461)/E461</f>
        <v>0.4636881127576819</v>
      </c>
    </row>
    <row r="473" spans="1:6" x14ac:dyDescent="0.2">
      <c r="A473" s="9">
        <v>35643</v>
      </c>
      <c r="B473" s="4">
        <v>85.2</v>
      </c>
      <c r="C473" s="7">
        <f>(Table3[[#This Row],[Conference Board Leading Indicator]]-B461)/B461</f>
        <v>6.9008782936010038E-2</v>
      </c>
      <c r="E473" s="4">
        <v>899.46997099999999</v>
      </c>
      <c r="F473" s="7">
        <f>(Table3[[#This Row],[S&amp;P 500]]-E462)/E462</f>
        <v>0.30864351731054979</v>
      </c>
    </row>
    <row r="474" spans="1:6" x14ac:dyDescent="0.2">
      <c r="A474" s="9">
        <v>35674</v>
      </c>
      <c r="B474" s="4">
        <v>85.8</v>
      </c>
      <c r="C474" s="7">
        <f>(Table3[[#This Row],[Conference Board Leading Indicator]]-B462)/B462</f>
        <v>7.2499999999999967E-2</v>
      </c>
      <c r="E474" s="4">
        <v>947.28002900000001</v>
      </c>
      <c r="F474" s="7">
        <f>(Table3[[#This Row],[S&amp;P 500]]-E463)/E463</f>
        <v>0.34314518147248052</v>
      </c>
    </row>
    <row r="475" spans="1:6" x14ac:dyDescent="0.2">
      <c r="A475" s="9">
        <v>35704</v>
      </c>
      <c r="B475" s="4">
        <v>86.1</v>
      </c>
      <c r="C475" s="7">
        <f>(Table3[[#This Row],[Conference Board Leading Indicator]]-B463)/B463</f>
        <v>7.3566084788029812E-2</v>
      </c>
      <c r="D475" s="6">
        <v>4.4878594353207076E-2</v>
      </c>
      <c r="E475" s="4">
        <v>914.61999500000002</v>
      </c>
      <c r="F475" s="7">
        <f>(Table3[[#This Row],[S&amp;P 500]]-E464)/E464</f>
        <v>0.20818468578941937</v>
      </c>
    </row>
    <row r="476" spans="1:6" x14ac:dyDescent="0.2">
      <c r="A476" s="9">
        <v>35735</v>
      </c>
      <c r="B476" s="4">
        <v>86.3</v>
      </c>
      <c r="C476" s="7">
        <f>(Table3[[#This Row],[Conference Board Leading Indicator]]-B464)/B464</f>
        <v>6.8069306930693074E-2</v>
      </c>
      <c r="E476" s="4">
        <v>955.40002400000003</v>
      </c>
      <c r="F476" s="7">
        <f>(Table3[[#This Row],[S&amp;P 500]]-E465)/E465</f>
        <v>0.28979133960352266</v>
      </c>
    </row>
    <row r="477" spans="1:6" x14ac:dyDescent="0.2">
      <c r="A477" s="9">
        <v>35765</v>
      </c>
      <c r="B477" s="4">
        <v>86.6</v>
      </c>
      <c r="C477" s="7">
        <f>(Table3[[#This Row],[Conference Board Leading Indicator]]-B465)/B465</f>
        <v>7.1782178217821749E-2</v>
      </c>
      <c r="E477" s="4">
        <v>970.42999299999997</v>
      </c>
      <c r="F477" s="7">
        <f>(Table3[[#This Row],[S&amp;P 500]]-E466)/E466</f>
        <v>0.23439252356848231</v>
      </c>
    </row>
    <row r="478" spans="1:6" x14ac:dyDescent="0.2">
      <c r="A478" s="9">
        <v>35796</v>
      </c>
      <c r="B478" s="4">
        <v>86.6</v>
      </c>
      <c r="C478" s="7">
        <f>(Table3[[#This Row],[Conference Board Leading Indicator]]-B466)/B466</f>
        <v>6.5190651906519029E-2</v>
      </c>
      <c r="D478" s="6">
        <v>4.8552862413130518E-2</v>
      </c>
      <c r="E478" s="4">
        <v>980.28002900000001</v>
      </c>
      <c r="F478" s="7">
        <f>(Table3[[#This Row],[S&amp;P 500]]-E467)/E467</f>
        <v>0.23957413864467389</v>
      </c>
    </row>
    <row r="479" spans="1:6" x14ac:dyDescent="0.2">
      <c r="A479" s="9">
        <v>35827</v>
      </c>
      <c r="B479" s="4">
        <v>87.5</v>
      </c>
      <c r="C479" s="7">
        <f>(Table3[[#This Row],[Conference Board Leading Indicator]]-B467)/B467</f>
        <v>6.189320388349507E-2</v>
      </c>
      <c r="E479" s="4">
        <v>1049.339966</v>
      </c>
      <c r="F479" s="7">
        <f>(Table3[[#This Row],[S&amp;P 500]]-E468)/E468</f>
        <v>0.38596255934305362</v>
      </c>
    </row>
    <row r="480" spans="1:6" x14ac:dyDescent="0.2">
      <c r="A480" s="9">
        <v>35855</v>
      </c>
      <c r="B480" s="4">
        <v>87.6</v>
      </c>
      <c r="C480" s="7">
        <f>(Table3[[#This Row],[Conference Board Leading Indicator]]-B468)/B468</f>
        <v>5.7971014492753589E-2</v>
      </c>
      <c r="E480" s="4">
        <v>1101.75</v>
      </c>
      <c r="F480" s="7">
        <f>(Table3[[#This Row],[S&amp;P 500]]-E469)/E469</f>
        <v>0.3748845220232585</v>
      </c>
    </row>
    <row r="481" spans="1:6" x14ac:dyDescent="0.2">
      <c r="A481" s="9">
        <v>35886</v>
      </c>
      <c r="B481" s="4">
        <v>87.5</v>
      </c>
      <c r="C481" s="7">
        <f>(Table3[[#This Row],[Conference Board Leading Indicator]]-B469)/B469</f>
        <v>5.5488540410132618E-2</v>
      </c>
      <c r="D481" s="6">
        <v>4.0959674731917743E-2</v>
      </c>
      <c r="E481" s="4">
        <v>1111.75</v>
      </c>
      <c r="F481" s="7">
        <f>(Table3[[#This Row],[S&amp;P 500]]-E470)/E470</f>
        <v>0.31059315555335321</v>
      </c>
    </row>
    <row r="482" spans="1:6" x14ac:dyDescent="0.2">
      <c r="A482" s="9">
        <v>35916</v>
      </c>
      <c r="B482" s="4">
        <v>88</v>
      </c>
      <c r="C482" s="7">
        <f>(Table3[[#This Row],[Conference Board Leading Indicator]]-B470)/B470</f>
        <v>5.515587529976012E-2</v>
      </c>
      <c r="E482" s="4">
        <v>1090.8199460000001</v>
      </c>
      <c r="F482" s="7">
        <f>(Table3[[#This Row],[S&amp;P 500]]-E471)/E471</f>
        <v>0.23236993867009859</v>
      </c>
    </row>
    <row r="483" spans="1:6" x14ac:dyDescent="0.2">
      <c r="A483" s="9">
        <v>35947</v>
      </c>
      <c r="B483" s="4">
        <v>87.4</v>
      </c>
      <c r="C483" s="7">
        <f>(Table3[[#This Row],[Conference Board Leading Indicator]]-B471)/B471</f>
        <v>4.0476190476190541E-2</v>
      </c>
      <c r="E483" s="4">
        <v>1133.839966</v>
      </c>
      <c r="F483" s="7">
        <f>(Table3[[#This Row],[S&amp;P 500]]-E472)/E472</f>
        <v>0.18812541875936634</v>
      </c>
    </row>
    <row r="484" spans="1:6" x14ac:dyDescent="0.2">
      <c r="A484" s="9">
        <v>35977</v>
      </c>
      <c r="B484" s="4">
        <v>87.7</v>
      </c>
      <c r="C484" s="7">
        <f>(Table3[[#This Row],[Conference Board Leading Indicator]]-B472)/B472</f>
        <v>3.1764705882352973E-2</v>
      </c>
      <c r="D484" s="6">
        <v>4.0977351563013784E-2</v>
      </c>
      <c r="E484" s="4">
        <v>1120.670044</v>
      </c>
      <c r="F484" s="7">
        <f>(Table3[[#This Row],[S&amp;P 500]]-E473)/E473</f>
        <v>0.24592268795152472</v>
      </c>
    </row>
    <row r="485" spans="1:6" x14ac:dyDescent="0.2">
      <c r="A485" s="9">
        <v>36008</v>
      </c>
      <c r="B485" s="4">
        <v>87.8</v>
      </c>
      <c r="C485" s="7">
        <f>(Table3[[#This Row],[Conference Board Leading Indicator]]-B473)/B473</f>
        <v>3.0516431924882563E-2</v>
      </c>
      <c r="E485" s="4">
        <v>957.28002900000001</v>
      </c>
      <c r="F485" s="7">
        <f>(Table3[[#This Row],[S&amp;P 500]]-E474)/E474</f>
        <v>1.0556540509522342E-2</v>
      </c>
    </row>
    <row r="486" spans="1:6" x14ac:dyDescent="0.2">
      <c r="A486" s="9">
        <v>36039</v>
      </c>
      <c r="B486" s="4">
        <v>87.3</v>
      </c>
      <c r="C486" s="7">
        <f>(Table3[[#This Row],[Conference Board Leading Indicator]]-B474)/B474</f>
        <v>1.7482517482517484E-2</v>
      </c>
      <c r="E486" s="4">
        <v>1017.01001</v>
      </c>
      <c r="F486" s="7">
        <f>(Table3[[#This Row],[S&amp;P 500]]-E475)/E475</f>
        <v>0.1119481484766796</v>
      </c>
    </row>
    <row r="487" spans="1:6" x14ac:dyDescent="0.2">
      <c r="A487" s="9">
        <v>36069</v>
      </c>
      <c r="B487" s="4">
        <v>86.8</v>
      </c>
      <c r="C487" s="7">
        <f>(Table3[[#This Row],[Conference Board Leading Indicator]]-B475)/B475</f>
        <v>8.130081300813042E-3</v>
      </c>
      <c r="D487" s="6">
        <v>4.8791107562503447E-2</v>
      </c>
      <c r="E487" s="4">
        <v>1098.670044</v>
      </c>
      <c r="F487" s="7">
        <f>(Table3[[#This Row],[S&amp;P 500]]-E476)/E476</f>
        <v>0.14995814988591619</v>
      </c>
    </row>
    <row r="488" spans="1:6" x14ac:dyDescent="0.2">
      <c r="A488" s="9">
        <v>36100</v>
      </c>
      <c r="B488" s="4">
        <v>87.1</v>
      </c>
      <c r="C488" s="7">
        <f>(Table3[[#This Row],[Conference Board Leading Indicator]]-B476)/B476</f>
        <v>9.2699884125144513E-3</v>
      </c>
      <c r="E488" s="4">
        <v>1163.630005</v>
      </c>
      <c r="F488" s="7">
        <f>(Table3[[#This Row],[S&amp;P 500]]-E477)/E477</f>
        <v>0.19908701647064614</v>
      </c>
    </row>
    <row r="489" spans="1:6" x14ac:dyDescent="0.2">
      <c r="A489" s="9">
        <v>36130</v>
      </c>
      <c r="B489" s="4">
        <v>87.3</v>
      </c>
      <c r="C489" s="7">
        <f>(Table3[[#This Row],[Conference Board Leading Indicator]]-B477)/B477</f>
        <v>8.0831408775981859E-3</v>
      </c>
      <c r="E489" s="4">
        <v>1229.2299800000001</v>
      </c>
      <c r="F489" s="7">
        <f>(Table3[[#This Row],[S&amp;P 500]]-E478)/E478</f>
        <v>0.25395799530258517</v>
      </c>
    </row>
    <row r="490" spans="1:6" x14ac:dyDescent="0.2">
      <c r="A490" s="9">
        <v>36161</v>
      </c>
      <c r="B490" s="4">
        <v>87.2</v>
      </c>
      <c r="C490" s="7">
        <f>(Table3[[#This Row],[Conference Board Leading Indicator]]-B478)/B478</f>
        <v>6.9284064665128013E-3</v>
      </c>
      <c r="D490" s="6">
        <v>4.8240665571038822E-2</v>
      </c>
      <c r="E490" s="4">
        <v>1279.6400149999999</v>
      </c>
      <c r="F490" s="7">
        <f>(Table3[[#This Row],[S&amp;P 500]]-E479)/E479</f>
        <v>0.21947134052073258</v>
      </c>
    </row>
    <row r="491" spans="1:6" x14ac:dyDescent="0.2">
      <c r="A491" s="9">
        <v>36192</v>
      </c>
      <c r="B491" s="4">
        <v>87.7</v>
      </c>
      <c r="C491" s="7">
        <f>(Table3[[#This Row],[Conference Board Leading Indicator]]-B479)/B479</f>
        <v>2.2857142857143184E-3</v>
      </c>
      <c r="E491" s="4">
        <v>1238.329956</v>
      </c>
      <c r="F491" s="7">
        <f>(Table3[[#This Row],[S&amp;P 500]]-E480)/E480</f>
        <v>0.12396637712729752</v>
      </c>
    </row>
    <row r="492" spans="1:6" x14ac:dyDescent="0.2">
      <c r="A492" s="9">
        <v>36220</v>
      </c>
      <c r="B492" s="4">
        <v>87.7</v>
      </c>
      <c r="C492" s="7">
        <f>(Table3[[#This Row],[Conference Board Leading Indicator]]-B480)/B480</f>
        <v>1.1415525114156226E-3</v>
      </c>
      <c r="E492" s="4">
        <v>1286.369995</v>
      </c>
      <c r="F492" s="7">
        <f>(Table3[[#This Row],[S&amp;P 500]]-E481)/E481</f>
        <v>0.15706768158308973</v>
      </c>
    </row>
    <row r="493" spans="1:6" x14ac:dyDescent="0.2">
      <c r="A493" s="9">
        <v>36251</v>
      </c>
      <c r="B493" s="4">
        <v>87.8</v>
      </c>
      <c r="C493" s="7">
        <f>(Table3[[#This Row],[Conference Board Leading Indicator]]-B481)/B481</f>
        <v>3.4285714285713963E-3</v>
      </c>
      <c r="D493" s="6">
        <v>4.6613675126645139E-2</v>
      </c>
      <c r="E493" s="4">
        <v>1335.1800539999999</v>
      </c>
      <c r="F493" s="7">
        <f>(Table3[[#This Row],[S&amp;P 500]]-E482)/E482</f>
        <v>0.22401507131957032</v>
      </c>
    </row>
    <row r="494" spans="1:6" x14ac:dyDescent="0.2">
      <c r="A494" s="9">
        <v>36281</v>
      </c>
      <c r="B494" s="4">
        <v>88.3</v>
      </c>
      <c r="C494" s="7">
        <f>(Table3[[#This Row],[Conference Board Leading Indicator]]-B482)/B482</f>
        <v>3.4090909090908768E-3</v>
      </c>
      <c r="E494" s="4">
        <v>1301.839966</v>
      </c>
      <c r="F494" s="7">
        <f>(Table3[[#This Row],[S&amp;P 500]]-E483)/E483</f>
        <v>0.14816905827784166</v>
      </c>
    </row>
    <row r="495" spans="1:6" x14ac:dyDescent="0.2">
      <c r="A495" s="9">
        <v>36312</v>
      </c>
      <c r="B495" s="4">
        <v>88.6</v>
      </c>
      <c r="C495" s="7">
        <f>(Table3[[#This Row],[Conference Board Leading Indicator]]-B483)/B483</f>
        <v>1.3729977116704675E-2</v>
      </c>
      <c r="E495" s="4">
        <v>1372.709961</v>
      </c>
      <c r="F495" s="7">
        <f>(Table3[[#This Row],[S&amp;P 500]]-E484)/E484</f>
        <v>0.22490109229688668</v>
      </c>
    </row>
    <row r="496" spans="1:6" x14ac:dyDescent="0.2">
      <c r="A496" s="9">
        <v>36342</v>
      </c>
      <c r="B496" s="4">
        <v>88.9</v>
      </c>
      <c r="C496" s="7">
        <f>(Table3[[#This Row],[Conference Board Leading Indicator]]-B484)/B484</f>
        <v>1.3683010262257728E-2</v>
      </c>
      <c r="D496" s="6">
        <v>4.7203872038918931E-2</v>
      </c>
      <c r="E496" s="4">
        <v>1328.719971</v>
      </c>
      <c r="F496" s="7">
        <f>(Table3[[#This Row],[S&amp;P 500]]-E485)/E485</f>
        <v>0.38801597311918851</v>
      </c>
    </row>
    <row r="497" spans="1:6" x14ac:dyDescent="0.2">
      <c r="A497" s="9">
        <v>36373</v>
      </c>
      <c r="B497" s="4">
        <v>89.1</v>
      </c>
      <c r="C497" s="7">
        <f>(Table3[[#This Row],[Conference Board Leading Indicator]]-B485)/B485</f>
        <v>1.4806378132118419E-2</v>
      </c>
      <c r="E497" s="4">
        <v>1320.410034</v>
      </c>
      <c r="F497" s="7">
        <f>(Table3[[#This Row],[S&amp;P 500]]-E486)/E486</f>
        <v>0.29832550419046516</v>
      </c>
    </row>
    <row r="498" spans="1:6" x14ac:dyDescent="0.2">
      <c r="A498" s="9">
        <v>36404</v>
      </c>
      <c r="B498" s="4">
        <v>89.1</v>
      </c>
      <c r="C498" s="7">
        <f>(Table3[[#This Row],[Conference Board Leading Indicator]]-B486)/B486</f>
        <v>2.0618556701030896E-2</v>
      </c>
      <c r="E498" s="4">
        <v>1282.709961</v>
      </c>
      <c r="F498" s="7">
        <f>(Table3[[#This Row],[S&amp;P 500]]-E487)/E487</f>
        <v>0.16751154544084398</v>
      </c>
    </row>
    <row r="499" spans="1:6" x14ac:dyDescent="0.2">
      <c r="A499" s="9">
        <v>36434</v>
      </c>
      <c r="B499" s="4">
        <v>89.4</v>
      </c>
      <c r="C499" s="7">
        <f>(Table3[[#This Row],[Conference Board Leading Indicator]]-B487)/B487</f>
        <v>2.9953917050691344E-2</v>
      </c>
      <c r="D499" s="6">
        <v>4.8066493041425962E-2</v>
      </c>
      <c r="E499" s="4">
        <v>1362.9300539999999</v>
      </c>
      <c r="F499" s="7">
        <f>(Table3[[#This Row],[S&amp;P 500]]-E488)/E488</f>
        <v>0.17127441553039013</v>
      </c>
    </row>
    <row r="500" spans="1:6" x14ac:dyDescent="0.2">
      <c r="A500" s="9">
        <v>36465</v>
      </c>
      <c r="B500" s="4">
        <v>89.9</v>
      </c>
      <c r="C500" s="7">
        <f>(Table3[[#This Row],[Conference Board Leading Indicator]]-B488)/B488</f>
        <v>3.214695752009198E-2</v>
      </c>
      <c r="E500" s="4">
        <v>1388.910034</v>
      </c>
      <c r="F500" s="7">
        <f>(Table3[[#This Row],[S&amp;P 500]]-E489)/E489</f>
        <v>0.12990250530661474</v>
      </c>
    </row>
    <row r="501" spans="1:6" x14ac:dyDescent="0.2">
      <c r="A501" s="9">
        <v>36495</v>
      </c>
      <c r="B501" s="4">
        <v>90.7</v>
      </c>
      <c r="C501" s="7">
        <f>(Table3[[#This Row],[Conference Board Leading Indicator]]-B489)/B489</f>
        <v>3.8946162657502933E-2</v>
      </c>
      <c r="E501" s="4">
        <v>1469.25</v>
      </c>
      <c r="F501" s="7">
        <f>(Table3[[#This Row],[S&amp;P 500]]-E490)/E490</f>
        <v>0.14817447311539414</v>
      </c>
    </row>
    <row r="502" spans="1:6" x14ac:dyDescent="0.2">
      <c r="A502" s="9">
        <v>36526</v>
      </c>
      <c r="B502" s="4">
        <v>91.2</v>
      </c>
      <c r="C502" s="7">
        <f>(Table3[[#This Row],[Conference Board Leading Indicator]]-B490)/B490</f>
        <v>4.5871559633027519E-2</v>
      </c>
      <c r="D502" s="6">
        <v>4.199578289410727E-2</v>
      </c>
      <c r="E502" s="4">
        <v>1394.459961</v>
      </c>
      <c r="F502" s="7">
        <f>(Table3[[#This Row],[S&amp;P 500]]-E491)/E491</f>
        <v>0.12608110160261679</v>
      </c>
    </row>
    <row r="503" spans="1:6" x14ac:dyDescent="0.2">
      <c r="A503" s="9">
        <v>36557</v>
      </c>
      <c r="B503" s="4">
        <v>90.6</v>
      </c>
      <c r="C503" s="7">
        <f>(Table3[[#This Row],[Conference Board Leading Indicator]]-B491)/B491</f>
        <v>3.3067274800456001E-2</v>
      </c>
      <c r="E503" s="4">
        <v>1366.420044</v>
      </c>
      <c r="F503" s="7">
        <f>(Table3[[#This Row],[S&amp;P 500]]-E492)/E492</f>
        <v>6.2229412463868879E-2</v>
      </c>
    </row>
    <row r="504" spans="1:6" x14ac:dyDescent="0.2">
      <c r="A504" s="9">
        <v>36586</v>
      </c>
      <c r="B504" s="4">
        <v>91.6</v>
      </c>
      <c r="C504" s="7">
        <f>(Table3[[#This Row],[Conference Board Leading Indicator]]-B492)/B492</f>
        <v>4.4469783352337415E-2</v>
      </c>
      <c r="E504" s="4">
        <v>1498.579956</v>
      </c>
      <c r="F504" s="7">
        <f>(Table3[[#This Row],[S&amp;P 500]]-E493)/E493</f>
        <v>0.1223804246554451</v>
      </c>
    </row>
    <row r="505" spans="1:6" x14ac:dyDescent="0.2">
      <c r="A505" s="9">
        <v>36617</v>
      </c>
      <c r="B505" s="4">
        <v>91.7</v>
      </c>
      <c r="C505" s="7">
        <f>(Table3[[#This Row],[Conference Board Leading Indicator]]-B493)/B493</f>
        <v>4.441913439635542E-2</v>
      </c>
      <c r="D505" s="6">
        <v>5.2977375076148039E-2</v>
      </c>
      <c r="E505" s="4">
        <v>1452.4300539999999</v>
      </c>
      <c r="F505" s="7">
        <f>(Table3[[#This Row],[S&amp;P 500]]-E494)/E494</f>
        <v>0.11567480791260323</v>
      </c>
    </row>
    <row r="506" spans="1:6" x14ac:dyDescent="0.2">
      <c r="A506" s="9">
        <v>36647</v>
      </c>
      <c r="B506" s="4">
        <v>90.7</v>
      </c>
      <c r="C506" s="7">
        <f>(Table3[[#This Row],[Conference Board Leading Indicator]]-B494)/B494</f>
        <v>2.7180067950169941E-2</v>
      </c>
      <c r="E506" s="4">
        <v>1420.599976</v>
      </c>
      <c r="F506" s="7">
        <f>(Table3[[#This Row],[S&amp;P 500]]-E495)/E495</f>
        <v>3.4887205863293032E-2</v>
      </c>
    </row>
    <row r="507" spans="1:6" x14ac:dyDescent="0.2">
      <c r="A507" s="9">
        <v>36678</v>
      </c>
      <c r="B507" s="4">
        <v>91</v>
      </c>
      <c r="C507" s="7">
        <f>(Table3[[#This Row],[Conference Board Leading Indicator]]-B495)/B495</f>
        <v>2.7088036117381555E-2</v>
      </c>
      <c r="E507" s="4">
        <v>1454.599976</v>
      </c>
      <c r="F507" s="7">
        <f>(Table3[[#This Row],[S&amp;P 500]]-E496)/E496</f>
        <v>9.4737798593681241E-2</v>
      </c>
    </row>
    <row r="508" spans="1:6" x14ac:dyDescent="0.2">
      <c r="A508" s="9">
        <v>36708</v>
      </c>
      <c r="B508" s="4">
        <v>90.6</v>
      </c>
      <c r="C508" s="7">
        <f>(Table3[[#This Row],[Conference Board Leading Indicator]]-B496)/B496</f>
        <v>1.9122609673790647E-2</v>
      </c>
      <c r="D508" s="6">
        <v>4.0753302004322221E-2</v>
      </c>
      <c r="E508" s="4">
        <v>1430.829956</v>
      </c>
      <c r="F508" s="7">
        <f>(Table3[[#This Row],[S&amp;P 500]]-E497)/E497</f>
        <v>8.3625479325916754E-2</v>
      </c>
    </row>
    <row r="509" spans="1:6" x14ac:dyDescent="0.2">
      <c r="A509" s="9">
        <v>36739</v>
      </c>
      <c r="B509" s="4">
        <v>90</v>
      </c>
      <c r="C509" s="7">
        <f>(Table3[[#This Row],[Conference Board Leading Indicator]]-B497)/B497</f>
        <v>1.0101010101010166E-2</v>
      </c>
      <c r="E509" s="4">
        <v>1517.6800539999999</v>
      </c>
      <c r="F509" s="7">
        <f>(Table3[[#This Row],[S&amp;P 500]]-E498)/E498</f>
        <v>0.18318255891364355</v>
      </c>
    </row>
    <row r="510" spans="1:6" x14ac:dyDescent="0.2">
      <c r="A510" s="9">
        <v>36770</v>
      </c>
      <c r="B510" s="4">
        <v>90.3</v>
      </c>
      <c r="C510" s="7">
        <f>(Table3[[#This Row],[Conference Board Leading Indicator]]-B498)/B498</f>
        <v>1.34680134680135E-2</v>
      </c>
      <c r="E510" s="4">
        <v>1436.51001</v>
      </c>
      <c r="F510" s="7">
        <f>(Table3[[#This Row],[S&amp;P 500]]-E499)/E499</f>
        <v>5.39865973195423E-2</v>
      </c>
    </row>
    <row r="511" spans="1:6" x14ac:dyDescent="0.2">
      <c r="A511" s="9">
        <v>36800</v>
      </c>
      <c r="B511" s="4">
        <v>89.4</v>
      </c>
      <c r="C511" s="7">
        <f>(Table3[[#This Row],[Conference Board Leading Indicator]]-B499)/B499</f>
        <v>0</v>
      </c>
      <c r="D511" s="6">
        <v>2.9734826997560696E-2</v>
      </c>
      <c r="E511" s="4">
        <v>1429.400024</v>
      </c>
      <c r="F511" s="7">
        <f>(Table3[[#This Row],[S&amp;P 500]]-E500)/E500</f>
        <v>2.9152348970646169E-2</v>
      </c>
    </row>
    <row r="512" spans="1:6" x14ac:dyDescent="0.2">
      <c r="A512" s="9">
        <v>36831</v>
      </c>
      <c r="B512" s="4">
        <v>88.7</v>
      </c>
      <c r="C512" s="7">
        <f>(Table3[[#This Row],[Conference Board Leading Indicator]]-B500)/B500</f>
        <v>-1.3348164627363768E-2</v>
      </c>
      <c r="E512" s="4">
        <v>1314.9499510000001</v>
      </c>
      <c r="F512" s="7">
        <f>(Table3[[#This Row],[S&amp;P 500]]-E501)/E501</f>
        <v>-0.10501960115705287</v>
      </c>
    </row>
    <row r="513" spans="1:6" x14ac:dyDescent="0.2">
      <c r="A513" s="9">
        <v>36861</v>
      </c>
      <c r="B513" s="4">
        <v>87.4</v>
      </c>
      <c r="C513" s="7">
        <f>(Table3[[#This Row],[Conference Board Leading Indicator]]-B501)/B501</f>
        <v>-3.6383682469680233E-2</v>
      </c>
      <c r="E513" s="4">
        <v>1320.280029</v>
      </c>
      <c r="F513" s="7">
        <f>(Table3[[#This Row],[S&amp;P 500]]-E502)/E502</f>
        <v>-5.3196172048427859E-2</v>
      </c>
    </row>
    <row r="514" spans="1:6" x14ac:dyDescent="0.2">
      <c r="A514" s="9">
        <v>36892</v>
      </c>
      <c r="B514" s="4">
        <v>86.9</v>
      </c>
      <c r="C514" s="7">
        <f>(Table3[[#This Row],[Conference Board Leading Indicator]]-B502)/B502</f>
        <v>-4.714912280701751E-2</v>
      </c>
      <c r="D514" s="6">
        <v>2.3097095761363286E-2</v>
      </c>
      <c r="E514" s="4">
        <v>1366.01001</v>
      </c>
      <c r="F514" s="7">
        <f>(Table3[[#This Row],[S&amp;P 500]]-E503)/E503</f>
        <v>-3.000790289929295E-4</v>
      </c>
    </row>
    <row r="515" spans="1:6" x14ac:dyDescent="0.2">
      <c r="A515" s="9">
        <v>36923</v>
      </c>
      <c r="B515" s="4">
        <v>85.9</v>
      </c>
      <c r="C515" s="7">
        <f>(Table3[[#This Row],[Conference Board Leading Indicator]]-B503)/B503</f>
        <v>-5.1876379690949104E-2</v>
      </c>
      <c r="E515" s="4">
        <v>1239.9399410000001</v>
      </c>
      <c r="F515" s="7">
        <f>(Table3[[#This Row],[S&amp;P 500]]-E504)/E504</f>
        <v>-0.17259006699272839</v>
      </c>
    </row>
    <row r="516" spans="1:6" x14ac:dyDescent="0.2">
      <c r="A516" s="9">
        <v>36951</v>
      </c>
      <c r="B516" s="4">
        <v>84.6</v>
      </c>
      <c r="C516" s="7">
        <f>(Table3[[#This Row],[Conference Board Leading Indicator]]-B504)/B504</f>
        <v>-7.6419213973799138E-2</v>
      </c>
      <c r="E516" s="4">
        <v>1160.329956</v>
      </c>
      <c r="F516" s="7">
        <f>(Table3[[#This Row],[S&amp;P 500]]-E505)/E505</f>
        <v>-0.20111130115736361</v>
      </c>
    </row>
    <row r="517" spans="1:6" x14ac:dyDescent="0.2">
      <c r="A517" s="9">
        <v>36982</v>
      </c>
      <c r="B517" s="4">
        <v>83.7</v>
      </c>
      <c r="C517" s="7">
        <f>(Table3[[#This Row],[Conference Board Leading Indicator]]-B505)/B505</f>
        <v>-8.7241003271537623E-2</v>
      </c>
      <c r="D517" s="6">
        <v>1.0572423861634371E-2</v>
      </c>
      <c r="E517" s="4">
        <v>1249.459961</v>
      </c>
      <c r="F517" s="7">
        <f>(Table3[[#This Row],[S&amp;P 500]]-E506)/E506</f>
        <v>-0.12047023644325329</v>
      </c>
    </row>
    <row r="518" spans="1:6" x14ac:dyDescent="0.2">
      <c r="A518" s="9">
        <v>37012</v>
      </c>
      <c r="B518" s="4">
        <v>84</v>
      </c>
      <c r="C518" s="7">
        <f>(Table3[[#This Row],[Conference Board Leading Indicator]]-B506)/B506</f>
        <v>-7.3869900771775118E-2</v>
      </c>
      <c r="E518" s="4">
        <v>1255.8199460000001</v>
      </c>
      <c r="F518" s="7">
        <f>(Table3[[#This Row],[S&amp;P 500]]-E507)/E507</f>
        <v>-0.13665614827426609</v>
      </c>
    </row>
    <row r="519" spans="1:6" x14ac:dyDescent="0.2">
      <c r="A519" s="9">
        <v>37043</v>
      </c>
      <c r="B519" s="4">
        <v>83.6</v>
      </c>
      <c r="C519" s="7">
        <f>(Table3[[#This Row],[Conference Board Leading Indicator]]-B507)/B507</f>
        <v>-8.1318681318681377E-2</v>
      </c>
      <c r="E519" s="4">
        <v>1224.380005</v>
      </c>
      <c r="F519" s="7">
        <f>(Table3[[#This Row],[S&amp;P 500]]-E508)/E508</f>
        <v>-0.14428685263002702</v>
      </c>
    </row>
    <row r="520" spans="1:6" x14ac:dyDescent="0.2">
      <c r="A520" s="9">
        <v>37073</v>
      </c>
      <c r="B520" s="4">
        <v>83.4</v>
      </c>
      <c r="C520" s="7">
        <f>(Table3[[#This Row],[Conference Board Leading Indicator]]-B508)/B508</f>
        <v>-7.9470198675496567E-2</v>
      </c>
      <c r="D520" s="6">
        <v>5.035884805301742E-3</v>
      </c>
      <c r="E520" s="4">
        <v>1211.2299800000001</v>
      </c>
      <c r="F520" s="7">
        <f>(Table3[[#This Row],[S&amp;P 500]]-E509)/E509</f>
        <v>-0.20192007741837259</v>
      </c>
    </row>
    <row r="521" spans="1:6" x14ac:dyDescent="0.2">
      <c r="A521" s="9">
        <v>37104</v>
      </c>
      <c r="B521" s="4">
        <v>83.2</v>
      </c>
      <c r="C521" s="7">
        <f>(Table3[[#This Row],[Conference Board Leading Indicator]]-B509)/B509</f>
        <v>-7.5555555555555529E-2</v>
      </c>
      <c r="E521" s="4">
        <v>1133.579956</v>
      </c>
      <c r="F521" s="7">
        <f>(Table3[[#This Row],[S&amp;P 500]]-E510)/E510</f>
        <v>-0.21087918071660353</v>
      </c>
    </row>
    <row r="522" spans="1:6" x14ac:dyDescent="0.2">
      <c r="A522" s="9">
        <v>37135</v>
      </c>
      <c r="B522" s="4">
        <v>81.7</v>
      </c>
      <c r="C522" s="7">
        <f>(Table3[[#This Row],[Conference Board Leading Indicator]]-B510)/B510</f>
        <v>-9.5238095238095177E-2</v>
      </c>
      <c r="E522" s="4">
        <v>1040.9399410000001</v>
      </c>
      <c r="F522" s="7">
        <f>(Table3[[#This Row],[S&amp;P 500]]-E511)/E511</f>
        <v>-0.2717644301648619</v>
      </c>
    </row>
    <row r="523" spans="1:6" x14ac:dyDescent="0.2">
      <c r="A523" s="9">
        <v>37165</v>
      </c>
      <c r="B523" s="4">
        <v>81.099999999999994</v>
      </c>
      <c r="C523" s="7">
        <f>(Table3[[#This Row],[Conference Board Leading Indicator]]-B511)/B511</f>
        <v>-9.2841163310962094E-2</v>
      </c>
      <c r="D523" s="6">
        <v>1.534858473726491E-3</v>
      </c>
      <c r="E523" s="4">
        <v>1059.780029</v>
      </c>
      <c r="F523" s="7">
        <f>(Table3[[#This Row],[S&amp;P 500]]-E512)/E512</f>
        <v>-0.19405295373101242</v>
      </c>
    </row>
    <row r="524" spans="1:6" x14ac:dyDescent="0.2">
      <c r="A524" s="9">
        <v>37196</v>
      </c>
      <c r="B524" s="4">
        <v>81.599999999999994</v>
      </c>
      <c r="C524" s="7">
        <f>(Table3[[#This Row],[Conference Board Leading Indicator]]-B512)/B512</f>
        <v>-8.0045095828635948E-2</v>
      </c>
      <c r="E524" s="4">
        <v>1139.4499510000001</v>
      </c>
      <c r="F524" s="7">
        <f>(Table3[[#This Row],[S&amp;P 500]]-E513)/E513</f>
        <v>-0.13696342747603582</v>
      </c>
    </row>
    <row r="525" spans="1:6" x14ac:dyDescent="0.2">
      <c r="A525" s="9">
        <v>37226</v>
      </c>
      <c r="B525" s="4">
        <v>82.2</v>
      </c>
      <c r="C525" s="7">
        <f>(Table3[[#This Row],[Conference Board Leading Indicator]]-B513)/B513</f>
        <v>-5.9496567505720854E-2</v>
      </c>
      <c r="E525" s="4">
        <v>1148.079956</v>
      </c>
      <c r="F525" s="7">
        <f>(Table3[[#This Row],[S&amp;P 500]]-E514)/E514</f>
        <v>-0.15953766985938847</v>
      </c>
    </row>
    <row r="526" spans="1:6" x14ac:dyDescent="0.2">
      <c r="A526" s="9">
        <v>37257</v>
      </c>
      <c r="B526" s="4">
        <v>82.2</v>
      </c>
      <c r="C526" s="7">
        <f>(Table3[[#This Row],[Conference Board Leading Indicator]]-B514)/B514</f>
        <v>-5.4085155350978166E-2</v>
      </c>
      <c r="D526" s="6">
        <v>1.3182794121317213E-2</v>
      </c>
      <c r="E526" s="4">
        <v>1130.1999510000001</v>
      </c>
      <c r="F526" s="7">
        <f>(Table3[[#This Row],[S&amp;P 500]]-E515)/E515</f>
        <v>-8.850427861166868E-2</v>
      </c>
    </row>
    <row r="527" spans="1:6" x14ac:dyDescent="0.2">
      <c r="A527" s="9">
        <v>37288</v>
      </c>
      <c r="B527" s="4">
        <v>83</v>
      </c>
      <c r="C527" s="7">
        <f>(Table3[[#This Row],[Conference Board Leading Indicator]]-B515)/B515</f>
        <v>-3.3760186263096688E-2</v>
      </c>
      <c r="E527" s="4">
        <v>1106.7299800000001</v>
      </c>
      <c r="F527" s="7">
        <f>(Table3[[#This Row],[S&amp;P 500]]-E516)/E516</f>
        <v>-4.6193736292713596E-2</v>
      </c>
    </row>
    <row r="528" spans="1:6" x14ac:dyDescent="0.2">
      <c r="A528" s="9">
        <v>37316</v>
      </c>
      <c r="B528" s="4">
        <v>83.4</v>
      </c>
      <c r="C528" s="7">
        <f>(Table3[[#This Row],[Conference Board Leading Indicator]]-B516)/B516</f>
        <v>-1.4184397163120433E-2</v>
      </c>
      <c r="E528" s="4">
        <v>1147.3900149999999</v>
      </c>
      <c r="F528" s="7">
        <f>(Table3[[#This Row],[S&amp;P 500]]-E517)/E517</f>
        <v>-8.1691249968753557E-2</v>
      </c>
    </row>
    <row r="529" spans="1:6" x14ac:dyDescent="0.2">
      <c r="A529" s="9">
        <v>37347</v>
      </c>
      <c r="B529" s="4">
        <v>84</v>
      </c>
      <c r="C529" s="7">
        <f>(Table3[[#This Row],[Conference Board Leading Indicator]]-B517)/B517</f>
        <v>3.5842293906809693E-3</v>
      </c>
      <c r="D529" s="6">
        <v>1.3396106341180535E-2</v>
      </c>
      <c r="E529" s="4">
        <v>1076.920044</v>
      </c>
      <c r="F529" s="7">
        <f>(Table3[[#This Row],[S&amp;P 500]]-E518)/E518</f>
        <v>-0.14245664959361945</v>
      </c>
    </row>
    <row r="530" spans="1:6" x14ac:dyDescent="0.2">
      <c r="A530" s="9">
        <v>37377</v>
      </c>
      <c r="B530" s="4">
        <v>84.8</v>
      </c>
      <c r="C530" s="7">
        <f>(Table3[[#This Row],[Conference Board Leading Indicator]]-B518)/B518</f>
        <v>9.52380952380949E-3</v>
      </c>
      <c r="E530" s="4">
        <v>1067.1400149999999</v>
      </c>
      <c r="F530" s="7">
        <f>(Table3[[#This Row],[S&amp;P 500]]-E519)/E519</f>
        <v>-0.12842417334314443</v>
      </c>
    </row>
    <row r="531" spans="1:6" x14ac:dyDescent="0.2">
      <c r="A531" s="9">
        <v>37408</v>
      </c>
      <c r="B531" s="4">
        <v>85</v>
      </c>
      <c r="C531" s="7">
        <f>(Table3[[#This Row],[Conference Board Leading Indicator]]-B519)/B519</f>
        <v>1.6746411483253659E-2</v>
      </c>
      <c r="E531" s="4">
        <v>989.82000700000003</v>
      </c>
      <c r="F531" s="7">
        <f>(Table3[[#This Row],[S&amp;P 500]]-E520)/E520</f>
        <v>-0.18279763270060409</v>
      </c>
    </row>
    <row r="532" spans="1:6" x14ac:dyDescent="0.2">
      <c r="A532" s="9">
        <v>37438</v>
      </c>
      <c r="B532" s="4">
        <v>84.6</v>
      </c>
      <c r="C532" s="7">
        <f>(Table3[[#This Row],[Conference Board Leading Indicator]]-B520)/B520</f>
        <v>1.4388489208632955E-2</v>
      </c>
      <c r="D532" s="6">
        <v>2.2143660477966304E-2</v>
      </c>
      <c r="E532" s="4">
        <v>911.61999500000002</v>
      </c>
      <c r="F532" s="7">
        <f>(Table3[[#This Row],[S&amp;P 500]]-E521)/E521</f>
        <v>-0.19580441575838875</v>
      </c>
    </row>
    <row r="533" spans="1:6" x14ac:dyDescent="0.2">
      <c r="A533" s="9">
        <v>37469</v>
      </c>
      <c r="B533" s="4">
        <v>84.7</v>
      </c>
      <c r="C533" s="7">
        <f>(Table3[[#This Row],[Conference Board Leading Indicator]]-B521)/B521</f>
        <v>1.8028846153846152E-2</v>
      </c>
      <c r="E533" s="4">
        <v>916.07000700000003</v>
      </c>
      <c r="F533" s="7">
        <f>(Table3[[#This Row],[S&amp;P 500]]-E522)/E522</f>
        <v>-0.11995882671198227</v>
      </c>
    </row>
    <row r="534" spans="1:6" x14ac:dyDescent="0.2">
      <c r="A534" s="9">
        <v>37500</v>
      </c>
      <c r="B534" s="4">
        <v>84.4</v>
      </c>
      <c r="C534" s="7">
        <f>(Table3[[#This Row],[Conference Board Leading Indicator]]-B522)/B522</f>
        <v>3.3047735618115089E-2</v>
      </c>
      <c r="E534" s="4">
        <v>815.28002900000001</v>
      </c>
      <c r="F534" s="7">
        <f>(Table3[[#This Row],[S&amp;P 500]]-E523)/E523</f>
        <v>-0.23070825389180832</v>
      </c>
    </row>
    <row r="535" spans="1:6" x14ac:dyDescent="0.2">
      <c r="A535" s="9">
        <v>37530</v>
      </c>
      <c r="B535" s="4">
        <v>84.3</v>
      </c>
      <c r="C535" s="7">
        <f>(Table3[[#This Row],[Conference Board Leading Indicator]]-B523)/B523</f>
        <v>3.9457459926017298E-2</v>
      </c>
      <c r="D535" s="6">
        <v>2.0945407221023796E-2</v>
      </c>
      <c r="E535" s="4">
        <v>885.76000999999997</v>
      </c>
      <c r="F535" s="7">
        <f>(Table3[[#This Row],[S&amp;P 500]]-E524)/E524</f>
        <v>-0.22264246075692717</v>
      </c>
    </row>
    <row r="536" spans="1:6" x14ac:dyDescent="0.2">
      <c r="A536" s="9">
        <v>37561</v>
      </c>
      <c r="B536" s="4">
        <v>84.8</v>
      </c>
      <c r="C536" s="7">
        <f>(Table3[[#This Row],[Conference Board Leading Indicator]]-B524)/B524</f>
        <v>3.9215686274509838E-2</v>
      </c>
      <c r="E536" s="4">
        <v>936.30999799999995</v>
      </c>
      <c r="F536" s="7">
        <f>(Table3[[#This Row],[S&amp;P 500]]-E525)/E525</f>
        <v>-0.18445575753959081</v>
      </c>
    </row>
    <row r="537" spans="1:6" x14ac:dyDescent="0.2">
      <c r="A537" s="9">
        <v>37591</v>
      </c>
      <c r="B537" s="4">
        <v>84.8</v>
      </c>
      <c r="C537" s="7">
        <f>(Table3[[#This Row],[Conference Board Leading Indicator]]-B525)/B525</f>
        <v>3.163017031630163E-2</v>
      </c>
      <c r="E537" s="4">
        <v>879.82000700000003</v>
      </c>
      <c r="F537" s="7">
        <f>(Table3[[#This Row],[S&amp;P 500]]-E526)/E526</f>
        <v>-0.22153597138140382</v>
      </c>
    </row>
    <row r="538" spans="1:6" x14ac:dyDescent="0.2">
      <c r="A538" s="9">
        <v>37622</v>
      </c>
      <c r="B538" s="4">
        <v>85</v>
      </c>
      <c r="C538" s="7">
        <f>(Table3[[#This Row],[Conference Board Leading Indicator]]-B526)/B526</f>
        <v>3.4063260340632569E-2</v>
      </c>
      <c r="D538" s="6">
        <v>1.7709260624130696E-2</v>
      </c>
      <c r="E538" s="4">
        <v>855.70001200000002</v>
      </c>
      <c r="F538" s="7">
        <f>(Table3[[#This Row],[S&amp;P 500]]-E527)/E527</f>
        <v>-0.22682133179404793</v>
      </c>
    </row>
    <row r="539" spans="1:6" x14ac:dyDescent="0.2">
      <c r="A539" s="9">
        <v>37653</v>
      </c>
      <c r="B539" s="4">
        <v>84.8</v>
      </c>
      <c r="C539" s="7">
        <f>(Table3[[#This Row],[Conference Board Leading Indicator]]-B527)/B527</f>
        <v>2.1686746987951772E-2</v>
      </c>
      <c r="E539" s="4">
        <v>841.15002400000003</v>
      </c>
      <c r="F539" s="7">
        <f>(Table3[[#This Row],[S&amp;P 500]]-E528)/E528</f>
        <v>-0.26690139097994497</v>
      </c>
    </row>
    <row r="540" spans="1:6" x14ac:dyDescent="0.2">
      <c r="A540" s="9">
        <v>37681</v>
      </c>
      <c r="B540" s="4">
        <v>84.7</v>
      </c>
      <c r="C540" s="7">
        <f>(Table3[[#This Row],[Conference Board Leading Indicator]]-B528)/B528</f>
        <v>1.558752997601915E-2</v>
      </c>
      <c r="E540" s="4">
        <v>848.17999299999997</v>
      </c>
      <c r="F540" s="7">
        <f>(Table3[[#This Row],[S&amp;P 500]]-E529)/E529</f>
        <v>-0.21240207411349843</v>
      </c>
    </row>
    <row r="541" spans="1:6" x14ac:dyDescent="0.2">
      <c r="A541" s="9">
        <v>37712</v>
      </c>
      <c r="B541" s="4">
        <v>84.4</v>
      </c>
      <c r="C541" s="7">
        <f>(Table3[[#This Row],[Conference Board Leading Indicator]]-B529)/B529</f>
        <v>4.76190476190483E-3</v>
      </c>
      <c r="D541" s="6">
        <v>2.0284012229569721E-2</v>
      </c>
      <c r="E541" s="4">
        <v>916.919983</v>
      </c>
      <c r="F541" s="7">
        <f>(Table3[[#This Row],[S&amp;P 500]]-E530)/E530</f>
        <v>-0.14076881186017559</v>
      </c>
    </row>
    <row r="542" spans="1:6" x14ac:dyDescent="0.2">
      <c r="A542" s="9">
        <v>37742</v>
      </c>
      <c r="B542" s="4">
        <v>85.3</v>
      </c>
      <c r="C542" s="7">
        <f>(Table3[[#This Row],[Conference Board Leading Indicator]]-B530)/B530</f>
        <v>5.89622641509434E-3</v>
      </c>
      <c r="E542" s="4">
        <v>963.59002699999996</v>
      </c>
      <c r="F542" s="7">
        <f>(Table3[[#This Row],[S&amp;P 500]]-E531)/E531</f>
        <v>-2.6499747241419489E-2</v>
      </c>
    </row>
    <row r="543" spans="1:6" x14ac:dyDescent="0.2">
      <c r="A543" s="9">
        <v>37773</v>
      </c>
      <c r="B543" s="4">
        <v>86</v>
      </c>
      <c r="C543" s="7">
        <f>(Table3[[#This Row],[Conference Board Leading Indicator]]-B531)/B531</f>
        <v>1.1764705882352941E-2</v>
      </c>
      <c r="E543" s="4">
        <v>974.5</v>
      </c>
      <c r="F543" s="7">
        <f>(Table3[[#This Row],[S&amp;P 500]]-E532)/E532</f>
        <v>6.8976114329304478E-2</v>
      </c>
    </row>
    <row r="544" spans="1:6" x14ac:dyDescent="0.2">
      <c r="A544" s="9">
        <v>37803</v>
      </c>
      <c r="B544" s="4">
        <v>86.3</v>
      </c>
      <c r="C544" s="7">
        <f>(Table3[[#This Row],[Conference Board Leading Indicator]]-B532)/B532</f>
        <v>2.0094562647754173E-2</v>
      </c>
      <c r="D544" s="6">
        <v>3.3018069338085973E-2</v>
      </c>
      <c r="E544" s="4">
        <v>990.30999799999995</v>
      </c>
      <c r="F544" s="7">
        <f>(Table3[[#This Row],[S&amp;P 500]]-E533)/E533</f>
        <v>8.1041831336805148E-2</v>
      </c>
    </row>
    <row r="545" spans="1:6" x14ac:dyDescent="0.2">
      <c r="A545" s="9">
        <v>37834</v>
      </c>
      <c r="B545" s="4">
        <v>86.9</v>
      </c>
      <c r="C545" s="7">
        <f>(Table3[[#This Row],[Conference Board Leading Indicator]]-B533)/B533</f>
        <v>2.5974025974026007E-2</v>
      </c>
      <c r="E545" s="4">
        <v>1008.01001</v>
      </c>
      <c r="F545" s="7">
        <f>(Table3[[#This Row],[S&amp;P 500]]-E534)/E534</f>
        <v>0.2363972796394844</v>
      </c>
    </row>
    <row r="546" spans="1:6" x14ac:dyDescent="0.2">
      <c r="A546" s="9">
        <v>37865</v>
      </c>
      <c r="B546" s="4">
        <v>87.9</v>
      </c>
      <c r="C546" s="7">
        <f>(Table3[[#This Row],[Conference Board Leading Indicator]]-B534)/B534</f>
        <v>4.1469194312796206E-2</v>
      </c>
      <c r="E546" s="4">
        <v>995.96997099999999</v>
      </c>
      <c r="F546" s="7">
        <f>(Table3[[#This Row],[S&amp;P 500]]-E535)/E535</f>
        <v>0.12442417783119383</v>
      </c>
    </row>
    <row r="547" spans="1:6" x14ac:dyDescent="0.2">
      <c r="A547" s="9">
        <v>37895</v>
      </c>
      <c r="B547" s="4">
        <v>88.8</v>
      </c>
      <c r="C547" s="7">
        <f>(Table3[[#This Row],[Conference Board Leading Indicator]]-B535)/B535</f>
        <v>5.3380782918149468E-2</v>
      </c>
      <c r="D547" s="6">
        <v>4.3263634159134756E-2</v>
      </c>
      <c r="E547" s="4">
        <v>1050.709961</v>
      </c>
      <c r="F547" s="7">
        <f>(Table3[[#This Row],[S&amp;P 500]]-E536)/E536</f>
        <v>0.12218171678649541</v>
      </c>
    </row>
    <row r="548" spans="1:6" x14ac:dyDescent="0.2">
      <c r="A548" s="9">
        <v>37926</v>
      </c>
      <c r="B548" s="4">
        <v>89.8</v>
      </c>
      <c r="C548" s="7">
        <f>(Table3[[#This Row],[Conference Board Leading Indicator]]-B536)/B536</f>
        <v>5.8962264150943397E-2</v>
      </c>
      <c r="E548" s="4">
        <v>1058.1999510000001</v>
      </c>
      <c r="F548" s="7">
        <f>(Table3[[#This Row],[S&amp;P 500]]-E537)/E537</f>
        <v>0.20274595096812797</v>
      </c>
    </row>
    <row r="549" spans="1:6" x14ac:dyDescent="0.2">
      <c r="A549" s="9">
        <v>37956</v>
      </c>
      <c r="B549" s="4">
        <v>90.6</v>
      </c>
      <c r="C549" s="7">
        <f>(Table3[[#This Row],[Conference Board Leading Indicator]]-B537)/B537</f>
        <v>6.8396226415094311E-2</v>
      </c>
      <c r="E549" s="4">
        <v>1111.920044</v>
      </c>
      <c r="F549" s="7">
        <f>(Table3[[#This Row],[S&amp;P 500]]-E538)/E538</f>
        <v>0.29942740260239697</v>
      </c>
    </row>
    <row r="550" spans="1:6" x14ac:dyDescent="0.2">
      <c r="A550" s="9">
        <v>37987</v>
      </c>
      <c r="B550" s="4">
        <v>91.5</v>
      </c>
      <c r="C550" s="7">
        <f>(Table3[[#This Row],[Conference Board Leading Indicator]]-B538)/B538</f>
        <v>7.6470588235294124E-2</v>
      </c>
      <c r="D550" s="6">
        <v>4.304555592447934E-2</v>
      </c>
      <c r="E550" s="4">
        <v>1131.130005</v>
      </c>
      <c r="F550" s="7">
        <f>(Table3[[#This Row],[S&amp;P 500]]-E539)/E539</f>
        <v>0.34474228464148499</v>
      </c>
    </row>
    <row r="551" spans="1:6" x14ac:dyDescent="0.2">
      <c r="A551" s="9">
        <v>38018</v>
      </c>
      <c r="B551" s="4">
        <v>92.3</v>
      </c>
      <c r="C551" s="7">
        <f>(Table3[[#This Row],[Conference Board Leading Indicator]]-B539)/B539</f>
        <v>8.8443396226415102E-2</v>
      </c>
      <c r="E551" s="4">
        <v>1144.9399410000001</v>
      </c>
      <c r="F551" s="7">
        <f>(Table3[[#This Row],[S&amp;P 500]]-E540)/E540</f>
        <v>0.34987850509225599</v>
      </c>
    </row>
    <row r="552" spans="1:6" x14ac:dyDescent="0.2">
      <c r="A552" s="9">
        <v>38047</v>
      </c>
      <c r="B552" s="4">
        <v>93.6</v>
      </c>
      <c r="C552" s="7">
        <f>(Table3[[#This Row],[Conference Board Leading Indicator]]-B540)/B540</f>
        <v>0.10507674144037769</v>
      </c>
      <c r="E552" s="4">
        <v>1126.209961</v>
      </c>
      <c r="F552" s="7">
        <f>(Table3[[#This Row],[S&amp;P 500]]-E541)/E541</f>
        <v>0.22825326296765855</v>
      </c>
    </row>
    <row r="553" spans="1:6" x14ac:dyDescent="0.2">
      <c r="A553" s="9">
        <v>38078</v>
      </c>
      <c r="B553" s="4">
        <v>93.8</v>
      </c>
      <c r="C553" s="7">
        <f>(Table3[[#This Row],[Conference Board Leading Indicator]]-B541)/B541</f>
        <v>0.11137440758293828</v>
      </c>
      <c r="D553" s="6">
        <v>4.2030192539120853E-2</v>
      </c>
      <c r="E553" s="4">
        <v>1107.3000489999999</v>
      </c>
      <c r="F553" s="7">
        <f>(Table3[[#This Row],[S&amp;P 500]]-E542)/E542</f>
        <v>0.14914021313340137</v>
      </c>
    </row>
    <row r="554" spans="1:6" x14ac:dyDescent="0.2">
      <c r="A554" s="9">
        <v>38108</v>
      </c>
      <c r="B554" s="4">
        <v>94.7</v>
      </c>
      <c r="C554" s="7">
        <f>(Table3[[#This Row],[Conference Board Leading Indicator]]-B542)/B542</f>
        <v>0.11019929660023453</v>
      </c>
      <c r="E554" s="4">
        <v>1120.6800539999999</v>
      </c>
      <c r="F554" s="7">
        <f>(Table3[[#This Row],[S&amp;P 500]]-E543)/E543</f>
        <v>0.15000518624935857</v>
      </c>
    </row>
    <row r="555" spans="1:6" x14ac:dyDescent="0.2">
      <c r="A555" s="9">
        <v>38139</v>
      </c>
      <c r="B555" s="4">
        <v>95.1</v>
      </c>
      <c r="C555" s="7">
        <f>(Table3[[#This Row],[Conference Board Leading Indicator]]-B543)/B543</f>
        <v>0.10581395348837203</v>
      </c>
      <c r="E555" s="4">
        <v>1140.839966</v>
      </c>
      <c r="F555" s="7">
        <f>(Table3[[#This Row],[S&amp;P 500]]-E544)/E544</f>
        <v>0.15200287617413316</v>
      </c>
    </row>
    <row r="556" spans="1:6" x14ac:dyDescent="0.2">
      <c r="A556" s="9">
        <v>38169</v>
      </c>
      <c r="B556" s="4">
        <v>95.6</v>
      </c>
      <c r="C556" s="7">
        <f>(Table3[[#This Row],[Conference Board Leading Indicator]]-B544)/B544</f>
        <v>0.10776361529548086</v>
      </c>
      <c r="D556" s="6">
        <v>3.4315945293957352E-2</v>
      </c>
      <c r="E556" s="4">
        <v>1101.719971</v>
      </c>
      <c r="F556" s="7">
        <f>(Table3[[#This Row],[S&amp;P 500]]-E545)/E545</f>
        <v>9.2965307953638304E-2</v>
      </c>
    </row>
    <row r="557" spans="1:6" x14ac:dyDescent="0.2">
      <c r="A557" s="9">
        <v>38200</v>
      </c>
      <c r="B557" s="4">
        <v>96</v>
      </c>
      <c r="C557" s="7">
        <f>(Table3[[#This Row],[Conference Board Leading Indicator]]-B545)/B545</f>
        <v>0.10471806674338313</v>
      </c>
      <c r="E557" s="4">
        <v>1104.23999</v>
      </c>
      <c r="F557" s="7">
        <f>(Table3[[#This Row],[S&amp;P 500]]-E546)/E546</f>
        <v>0.10870811585944899</v>
      </c>
    </row>
    <row r="558" spans="1:6" x14ac:dyDescent="0.2">
      <c r="A558" s="9">
        <v>38231</v>
      </c>
      <c r="B558" s="4">
        <v>96.7</v>
      </c>
      <c r="C558" s="7">
        <f>(Table3[[#This Row],[Conference Board Leading Indicator]]-B546)/B546</f>
        <v>0.10011376564277584</v>
      </c>
      <c r="E558" s="4">
        <v>1114.579956</v>
      </c>
      <c r="F558" s="7">
        <f>(Table3[[#This Row],[S&amp;P 500]]-E547)/E547</f>
        <v>6.0787465019568818E-2</v>
      </c>
    </row>
    <row r="559" spans="1:6" x14ac:dyDescent="0.2">
      <c r="A559" s="9">
        <v>38261</v>
      </c>
      <c r="B559" s="4">
        <v>97</v>
      </c>
      <c r="C559" s="7">
        <f>(Table3[[#This Row],[Conference Board Leading Indicator]]-B547)/B547</f>
        <v>9.2342342342342371E-2</v>
      </c>
      <c r="D559" s="6">
        <v>3.2817945028310813E-2</v>
      </c>
      <c r="E559" s="4">
        <v>1130.1999510000001</v>
      </c>
      <c r="F559" s="7">
        <f>(Table3[[#This Row],[S&amp;P 500]]-E548)/E548</f>
        <v>6.8040071190666684E-2</v>
      </c>
    </row>
    <row r="560" spans="1:6" x14ac:dyDescent="0.2">
      <c r="A560" s="9">
        <v>38292</v>
      </c>
      <c r="B560" s="4">
        <v>97.7</v>
      </c>
      <c r="C560" s="7">
        <f>(Table3[[#This Row],[Conference Board Leading Indicator]]-B548)/B548</f>
        <v>8.7973273942093602E-2</v>
      </c>
      <c r="E560" s="4">
        <v>1173.8199460000001</v>
      </c>
      <c r="F560" s="7">
        <f>(Table3[[#This Row],[S&amp;P 500]]-E549)/E549</f>
        <v>5.5669382285188945E-2</v>
      </c>
    </row>
    <row r="561" spans="1:6" x14ac:dyDescent="0.2">
      <c r="A561" s="9">
        <v>38322</v>
      </c>
      <c r="B561" s="4">
        <v>98.6</v>
      </c>
      <c r="C561" s="7">
        <f>(Table3[[#This Row],[Conference Board Leading Indicator]]-B549)/B549</f>
        <v>8.8300220750551883E-2</v>
      </c>
      <c r="E561" s="4">
        <v>1211.920044</v>
      </c>
      <c r="F561" s="7">
        <f>(Table3[[#This Row],[S&amp;P 500]]-E550)/E550</f>
        <v>7.14241852332438E-2</v>
      </c>
    </row>
    <row r="562" spans="1:6" x14ac:dyDescent="0.2">
      <c r="A562" s="9">
        <v>38353</v>
      </c>
      <c r="B562" s="4">
        <v>99.1</v>
      </c>
      <c r="C562" s="7">
        <f>(Table3[[#This Row],[Conference Board Leading Indicator]]-B550)/B550</f>
        <v>8.306010928961742E-2</v>
      </c>
      <c r="D562" s="6">
        <v>3.8706793481566561E-2</v>
      </c>
      <c r="E562" s="4">
        <v>1181.2700199999999</v>
      </c>
      <c r="F562" s="7">
        <f>(Table3[[#This Row],[S&amp;P 500]]-E551)/E551</f>
        <v>3.1730991031956528E-2</v>
      </c>
    </row>
    <row r="563" spans="1:6" x14ac:dyDescent="0.2">
      <c r="A563" s="9">
        <v>38384</v>
      </c>
      <c r="B563" s="4">
        <v>99.6</v>
      </c>
      <c r="C563" s="7">
        <f>(Table3[[#This Row],[Conference Board Leading Indicator]]-B551)/B551</f>
        <v>7.9089924160346672E-2</v>
      </c>
      <c r="E563" s="4">
        <v>1203.599976</v>
      </c>
      <c r="F563" s="7">
        <f>(Table3[[#This Row],[S&amp;P 500]]-E552)/E552</f>
        <v>6.87172176414447E-2</v>
      </c>
    </row>
    <row r="564" spans="1:6" x14ac:dyDescent="0.2">
      <c r="A564" s="9">
        <v>38412</v>
      </c>
      <c r="B564" s="4">
        <v>99.2</v>
      </c>
      <c r="C564" s="7">
        <f>(Table3[[#This Row],[Conference Board Leading Indicator]]-B552)/B552</f>
        <v>5.9829059829059922E-2</v>
      </c>
      <c r="E564" s="4">
        <v>1180.589966</v>
      </c>
      <c r="F564" s="7">
        <f>(Table3[[#This Row],[S&amp;P 500]]-E553)/E553</f>
        <v>6.6187947039456935E-2</v>
      </c>
    </row>
    <row r="565" spans="1:6" x14ac:dyDescent="0.2">
      <c r="A565" s="9">
        <v>38443</v>
      </c>
      <c r="B565" s="4">
        <v>99.7</v>
      </c>
      <c r="C565" s="7">
        <f>(Table3[[#This Row],[Conference Board Leading Indicator]]-B553)/B553</f>
        <v>6.2899786780383854E-2</v>
      </c>
      <c r="D565" s="6">
        <v>3.5608931295200826E-2</v>
      </c>
      <c r="E565" s="4">
        <v>1156.849976</v>
      </c>
      <c r="F565" s="7">
        <f>(Table3[[#This Row],[S&amp;P 500]]-E554)/E554</f>
        <v>3.2274976136944834E-2</v>
      </c>
    </row>
    <row r="566" spans="1:6" x14ac:dyDescent="0.2">
      <c r="A566" s="9">
        <v>38473</v>
      </c>
      <c r="B566" s="4">
        <v>99.6</v>
      </c>
      <c r="C566" s="7">
        <f>(Table3[[#This Row],[Conference Board Leading Indicator]]-B554)/B554</f>
        <v>5.174234424498407E-2</v>
      </c>
      <c r="E566" s="4">
        <v>1191.5</v>
      </c>
      <c r="F566" s="7">
        <f>(Table3[[#This Row],[S&amp;P 500]]-E555)/E555</f>
        <v>4.4405907497809378E-2</v>
      </c>
    </row>
    <row r="567" spans="1:6" x14ac:dyDescent="0.2">
      <c r="A567" s="9">
        <v>38504</v>
      </c>
      <c r="B567" s="4">
        <v>100.3</v>
      </c>
      <c r="C567" s="7">
        <f>(Table3[[#This Row],[Conference Board Leading Indicator]]-B555)/B555</f>
        <v>5.467928496319667E-2</v>
      </c>
      <c r="E567" s="4">
        <v>1191.329956</v>
      </c>
      <c r="F567" s="7">
        <f>(Table3[[#This Row],[S&amp;P 500]]-E556)/E556</f>
        <v>8.1336444249679535E-2</v>
      </c>
    </row>
    <row r="568" spans="1:6" x14ac:dyDescent="0.2">
      <c r="A568" s="9">
        <v>38534</v>
      </c>
      <c r="B568" s="4">
        <v>100.4</v>
      </c>
      <c r="C568" s="7">
        <f>(Table3[[#This Row],[Conference Board Leading Indicator]]-B556)/B556</f>
        <v>5.0209205020920626E-2</v>
      </c>
      <c r="D568" s="6">
        <v>3.5054999023849572E-2</v>
      </c>
      <c r="E568" s="4">
        <v>1234.1800539999999</v>
      </c>
      <c r="F568" s="7">
        <f>(Table3[[#This Row],[S&amp;P 500]]-E557)/E557</f>
        <v>0.11767375314853422</v>
      </c>
    </row>
    <row r="569" spans="1:6" x14ac:dyDescent="0.2">
      <c r="A569" s="9">
        <v>38565</v>
      </c>
      <c r="B569" s="4">
        <v>101</v>
      </c>
      <c r="C569" s="7">
        <f>(Table3[[#This Row],[Conference Board Leading Indicator]]-B557)/B557</f>
        <v>5.2083333333333336E-2</v>
      </c>
      <c r="E569" s="4">
        <v>1220.329956</v>
      </c>
      <c r="F569" s="7">
        <f>(Table3[[#This Row],[S&amp;P 500]]-E558)/E558</f>
        <v>9.4878792168051507E-2</v>
      </c>
    </row>
    <row r="570" spans="1:6" x14ac:dyDescent="0.2">
      <c r="A570" s="9">
        <v>38596</v>
      </c>
      <c r="B570" s="4">
        <v>100.3</v>
      </c>
      <c r="C570" s="7">
        <f>(Table3[[#This Row],[Conference Board Leading Indicator]]-B558)/B558</f>
        <v>3.7228541882109556E-2</v>
      </c>
      <c r="E570" s="4">
        <v>1228.8100589999999</v>
      </c>
      <c r="F570" s="7">
        <f>(Table3[[#This Row],[S&amp;P 500]]-E559)/E559</f>
        <v>8.7250143581009451E-2</v>
      </c>
    </row>
    <row r="571" spans="1:6" x14ac:dyDescent="0.2">
      <c r="A571" s="9">
        <v>38626</v>
      </c>
      <c r="B571" s="4">
        <v>100.7</v>
      </c>
      <c r="C571" s="7">
        <f>(Table3[[#This Row],[Conference Board Leading Indicator]]-B559)/B559</f>
        <v>3.8144329896907248E-2</v>
      </c>
      <c r="D571" s="6">
        <v>3.1261114057367735E-2</v>
      </c>
      <c r="E571" s="4">
        <v>1207.01001</v>
      </c>
      <c r="F571" s="7">
        <f>(Table3[[#This Row],[S&amp;P 500]]-E560)/E560</f>
        <v>2.8275259858295074E-2</v>
      </c>
    </row>
    <row r="572" spans="1:6" x14ac:dyDescent="0.2">
      <c r="A572" s="9">
        <v>38657</v>
      </c>
      <c r="B572" s="4">
        <v>101.3</v>
      </c>
      <c r="C572" s="7">
        <f>(Table3[[#This Row],[Conference Board Leading Indicator]]-B560)/B560</f>
        <v>3.6847492323439042E-2</v>
      </c>
      <c r="E572" s="4">
        <v>1249.4799800000001</v>
      </c>
      <c r="F572" s="7">
        <f>(Table3[[#This Row],[S&amp;P 500]]-E561)/E561</f>
        <v>3.0992090762053694E-2</v>
      </c>
    </row>
    <row r="573" spans="1:6" x14ac:dyDescent="0.2">
      <c r="A573" s="9">
        <v>38687</v>
      </c>
      <c r="B573" s="4">
        <v>101.3</v>
      </c>
      <c r="C573" s="7">
        <f>(Table3[[#This Row],[Conference Board Leading Indicator]]-B561)/B561</f>
        <v>2.7383367139959463E-2</v>
      </c>
      <c r="E573" s="4">
        <v>1248.290039</v>
      </c>
      <c r="F573" s="7">
        <f>(Table3[[#This Row],[S&amp;P 500]]-E562)/E562</f>
        <v>5.673556245844625E-2</v>
      </c>
    </row>
    <row r="574" spans="1:6" x14ac:dyDescent="0.2">
      <c r="A574" s="9">
        <v>38718</v>
      </c>
      <c r="B574" s="4">
        <v>102.1</v>
      </c>
      <c r="C574" s="7">
        <f>(Table3[[#This Row],[Conference Board Leading Indicator]]-B562)/B562</f>
        <v>3.0272452068617561E-2</v>
      </c>
      <c r="D574" s="6">
        <v>3.3538948585265092E-2</v>
      </c>
      <c r="E574" s="4">
        <v>1280.079956</v>
      </c>
      <c r="F574" s="7">
        <f>(Table3[[#This Row],[S&amp;P 500]]-E563)/E563</f>
        <v>6.3542689867916766E-2</v>
      </c>
    </row>
    <row r="575" spans="1:6" x14ac:dyDescent="0.2">
      <c r="A575" s="9">
        <v>38749</v>
      </c>
      <c r="B575" s="4">
        <v>102.1</v>
      </c>
      <c r="C575" s="7">
        <f>(Table3[[#This Row],[Conference Board Leading Indicator]]-B563)/B563</f>
        <v>2.5100401606425703E-2</v>
      </c>
      <c r="E575" s="4">
        <v>1280.660034</v>
      </c>
      <c r="F575" s="7">
        <f>(Table3[[#This Row],[S&amp;P 500]]-E564)/E564</f>
        <v>8.4762763433481519E-2</v>
      </c>
    </row>
    <row r="576" spans="1:6" x14ac:dyDescent="0.2">
      <c r="A576" s="9">
        <v>38777</v>
      </c>
      <c r="B576" s="4">
        <v>102.4</v>
      </c>
      <c r="C576" s="7">
        <f>(Table3[[#This Row],[Conference Board Leading Indicator]]-B564)/B564</f>
        <v>3.2258064516129059E-2</v>
      </c>
      <c r="E576" s="4">
        <v>1294.869995</v>
      </c>
      <c r="F576" s="7">
        <f>(Table3[[#This Row],[S&amp;P 500]]-E565)/E565</f>
        <v>0.11930675702412778</v>
      </c>
    </row>
    <row r="577" spans="1:6" x14ac:dyDescent="0.2">
      <c r="A577" s="9">
        <v>38808</v>
      </c>
      <c r="B577" s="4">
        <v>101.8</v>
      </c>
      <c r="C577" s="7">
        <f>(Table3[[#This Row],[Conference Board Leading Indicator]]-B565)/B565</f>
        <v>2.1063189568706061E-2</v>
      </c>
      <c r="D577" s="6">
        <v>3.119473048862852E-2</v>
      </c>
      <c r="E577" s="4">
        <v>1310.6099850000001</v>
      </c>
      <c r="F577" s="7">
        <f>(Table3[[#This Row],[S&amp;P 500]]-E566)/E566</f>
        <v>9.9966416281997525E-2</v>
      </c>
    </row>
    <row r="578" spans="1:6" x14ac:dyDescent="0.2">
      <c r="A578" s="9">
        <v>38838</v>
      </c>
      <c r="B578" s="4">
        <v>101.2</v>
      </c>
      <c r="C578" s="7">
        <f>(Table3[[#This Row],[Conference Board Leading Indicator]]-B566)/B566</f>
        <v>1.6064257028112535E-2</v>
      </c>
      <c r="E578" s="4">
        <v>1270.089966</v>
      </c>
      <c r="F578" s="7">
        <f>(Table3[[#This Row],[S&amp;P 500]]-E567)/E567</f>
        <v>6.6110996037104575E-2</v>
      </c>
    </row>
    <row r="579" spans="1:6" x14ac:dyDescent="0.2">
      <c r="A579" s="9">
        <v>38869</v>
      </c>
      <c r="B579" s="4">
        <v>101.1</v>
      </c>
      <c r="C579" s="7">
        <f>(Table3[[#This Row],[Conference Board Leading Indicator]]-B567)/B567</f>
        <v>7.9760717846460334E-3</v>
      </c>
      <c r="E579" s="4">
        <v>1270.1999510000001</v>
      </c>
      <c r="F579" s="7">
        <f>(Table3[[#This Row],[S&amp;P 500]]-E568)/E568</f>
        <v>2.9185285310080154E-2</v>
      </c>
    </row>
    <row r="580" spans="1:6" x14ac:dyDescent="0.2">
      <c r="A580" s="9">
        <v>38899</v>
      </c>
      <c r="B580" s="4">
        <v>100.6</v>
      </c>
      <c r="C580" s="7">
        <f>(Table3[[#This Row],[Conference Board Leading Indicator]]-B568)/B568</f>
        <v>1.9920318725098469E-3</v>
      </c>
      <c r="D580" s="6">
        <v>2.3665022848568428E-2</v>
      </c>
      <c r="E580" s="4">
        <v>1276.660034</v>
      </c>
      <c r="F580" s="7">
        <f>(Table3[[#This Row],[S&amp;P 500]]-E569)/E569</f>
        <v>4.6159710923297168E-2</v>
      </c>
    </row>
    <row r="581" spans="1:6" x14ac:dyDescent="0.2">
      <c r="A581" s="9">
        <v>38930</v>
      </c>
      <c r="B581" s="4">
        <v>100.4</v>
      </c>
      <c r="C581" s="7">
        <f>(Table3[[#This Row],[Conference Board Leading Indicator]]-B569)/B569</f>
        <v>-5.9405940594058843E-3</v>
      </c>
      <c r="E581" s="4">
        <v>1303.8199460000001</v>
      </c>
      <c r="F581" s="7">
        <f>(Table3[[#This Row],[S&amp;P 500]]-E570)/E570</f>
        <v>6.1042702613488424E-2</v>
      </c>
    </row>
    <row r="582" spans="1:6" x14ac:dyDescent="0.2">
      <c r="A582" s="9">
        <v>38961</v>
      </c>
      <c r="B582" s="4">
        <v>100.4</v>
      </c>
      <c r="C582" s="7">
        <f>(Table3[[#This Row],[Conference Board Leading Indicator]]-B570)/B570</f>
        <v>9.9700897308084287E-4</v>
      </c>
      <c r="E582" s="4">
        <v>1335.849976</v>
      </c>
      <c r="F582" s="7">
        <f>(Table3[[#This Row],[S&amp;P 500]]-E571)/E571</f>
        <v>0.10674307995175616</v>
      </c>
    </row>
    <row r="583" spans="1:6" x14ac:dyDescent="0.2">
      <c r="A583" s="9">
        <v>38991</v>
      </c>
      <c r="B583" s="4">
        <v>100.2</v>
      </c>
      <c r="C583" s="7">
        <f>(Table3[[#This Row],[Conference Board Leading Indicator]]-B571)/B571</f>
        <v>-4.9652432969215492E-3</v>
      </c>
      <c r="D583" s="6">
        <v>2.5907044570183974E-2</v>
      </c>
      <c r="E583" s="4">
        <v>1377.9399410000001</v>
      </c>
      <c r="F583" s="7">
        <f>(Table3[[#This Row],[S&amp;P 500]]-E572)/E572</f>
        <v>0.10281073971269232</v>
      </c>
    </row>
    <row r="584" spans="1:6" x14ac:dyDescent="0.2">
      <c r="A584" s="9">
        <v>39022</v>
      </c>
      <c r="B584" s="4">
        <v>100</v>
      </c>
      <c r="C584" s="7">
        <f>(Table3[[#This Row],[Conference Board Leading Indicator]]-B572)/B572</f>
        <v>-1.2833168805528107E-2</v>
      </c>
      <c r="E584" s="4">
        <v>1400.630005</v>
      </c>
      <c r="F584" s="7">
        <f>(Table3[[#This Row],[S&amp;P 500]]-E573)/E573</f>
        <v>0.12203891823252785</v>
      </c>
    </row>
    <row r="585" spans="1:6" x14ac:dyDescent="0.2">
      <c r="A585" s="9">
        <v>39052</v>
      </c>
      <c r="B585" s="4">
        <v>100.4</v>
      </c>
      <c r="C585" s="7">
        <f>(Table3[[#This Row],[Conference Board Leading Indicator]]-B573)/B573</f>
        <v>-8.8845014807501631E-3</v>
      </c>
      <c r="E585" s="4">
        <v>1418.3000489999999</v>
      </c>
      <c r="F585" s="7">
        <f>(Table3[[#This Row],[S&amp;P 500]]-E574)/E574</f>
        <v>0.10797770276156086</v>
      </c>
    </row>
    <row r="586" spans="1:6" x14ac:dyDescent="0.2">
      <c r="A586" s="9">
        <v>39083</v>
      </c>
      <c r="B586" s="4">
        <v>100</v>
      </c>
      <c r="C586" s="7">
        <f>(Table3[[#This Row],[Conference Board Leading Indicator]]-B574)/B574</f>
        <v>-2.0568070519098869E-2</v>
      </c>
      <c r="D586" s="6">
        <v>1.4822926220208159E-2</v>
      </c>
      <c r="E586" s="4">
        <v>1438.23999</v>
      </c>
      <c r="F586" s="7">
        <f>(Table3[[#This Row],[S&amp;P 500]]-E575)/E575</f>
        <v>0.12304589181862455</v>
      </c>
    </row>
    <row r="587" spans="1:6" x14ac:dyDescent="0.2">
      <c r="A587" s="9">
        <v>39114</v>
      </c>
      <c r="B587" s="4">
        <v>99.9</v>
      </c>
      <c r="C587" s="7">
        <f>(Table3[[#This Row],[Conference Board Leading Indicator]]-B575)/B575</f>
        <v>-2.1547502448579715E-2</v>
      </c>
      <c r="E587" s="4">
        <v>1406.8199460000001</v>
      </c>
      <c r="F587" s="7">
        <f>(Table3[[#This Row],[S&amp;P 500]]-E576)/E576</f>
        <v>8.645651797654022E-2</v>
      </c>
    </row>
    <row r="588" spans="1:6" x14ac:dyDescent="0.2">
      <c r="A588" s="9">
        <v>39142</v>
      </c>
      <c r="B588" s="4">
        <v>100.2</v>
      </c>
      <c r="C588" s="7">
        <f>(Table3[[#This Row],[Conference Board Leading Indicator]]-B576)/B576</f>
        <v>-2.1484375000000028E-2</v>
      </c>
      <c r="E588" s="4">
        <v>1420.8599850000001</v>
      </c>
      <c r="F588" s="7">
        <f>(Table3[[#This Row],[S&amp;P 500]]-E577)/E577</f>
        <v>8.4121135396355157E-2</v>
      </c>
    </row>
    <row r="589" spans="1:6" x14ac:dyDescent="0.2">
      <c r="A589" s="9">
        <v>39173</v>
      </c>
      <c r="B589" s="4">
        <v>99.8</v>
      </c>
      <c r="C589" s="7">
        <f>(Table3[[#This Row],[Conference Board Leading Indicator]]-B577)/B577</f>
        <v>-1.9646365422396856E-2</v>
      </c>
      <c r="D589" s="6">
        <v>1.8256902946243766E-2</v>
      </c>
      <c r="E589" s="4">
        <v>1482.369995</v>
      </c>
      <c r="F589" s="7">
        <f>(Table3[[#This Row],[S&amp;P 500]]-E578)/E578</f>
        <v>0.16713778919815514</v>
      </c>
    </row>
    <row r="590" spans="1:6" x14ac:dyDescent="0.2">
      <c r="A590" s="9">
        <v>39203</v>
      </c>
      <c r="B590" s="4">
        <v>99.9</v>
      </c>
      <c r="C590" s="7">
        <f>(Table3[[#This Row],[Conference Board Leading Indicator]]-B578)/B578</f>
        <v>-1.2845849802371512E-2</v>
      </c>
      <c r="E590" s="4">
        <v>1530.619995</v>
      </c>
      <c r="F590" s="7">
        <f>(Table3[[#This Row],[S&amp;P 500]]-E579)/E579</f>
        <v>0.20502287359952823</v>
      </c>
    </row>
    <row r="591" spans="1:6" x14ac:dyDescent="0.2">
      <c r="A591" s="9">
        <v>39234</v>
      </c>
      <c r="B591" s="4">
        <v>99.7</v>
      </c>
      <c r="C591" s="7">
        <f>(Table3[[#This Row],[Conference Board Leading Indicator]]-B579)/B579</f>
        <v>-1.3847675568743735E-2</v>
      </c>
      <c r="E591" s="4">
        <v>1503.349976</v>
      </c>
      <c r="F591" s="7">
        <f>(Table3[[#This Row],[S&amp;P 500]]-E580)/E580</f>
        <v>0.17756484574028733</v>
      </c>
    </row>
    <row r="592" spans="1:6" x14ac:dyDescent="0.2">
      <c r="A592" s="9">
        <v>39264</v>
      </c>
      <c r="B592" s="4">
        <v>99.6</v>
      </c>
      <c r="C592" s="7">
        <f>(Table3[[#This Row],[Conference Board Leading Indicator]]-B580)/B580</f>
        <v>-9.9403578528827041E-3</v>
      </c>
      <c r="D592" s="6">
        <v>2.2208131763507111E-2</v>
      </c>
      <c r="E592" s="4">
        <v>1455.2700199999999</v>
      </c>
      <c r="F592" s="7">
        <f>(Table3[[#This Row],[S&amp;P 500]]-E581)/E581</f>
        <v>0.11615873377657306</v>
      </c>
    </row>
    <row r="593" spans="1:6" x14ac:dyDescent="0.2">
      <c r="A593" s="9">
        <v>39295</v>
      </c>
      <c r="B593" s="4">
        <v>99</v>
      </c>
      <c r="C593" s="7">
        <f>(Table3[[#This Row],[Conference Board Leading Indicator]]-B581)/B581</f>
        <v>-1.3944223107569776E-2</v>
      </c>
      <c r="E593" s="4">
        <v>1473.98999</v>
      </c>
      <c r="F593" s="7">
        <f>(Table3[[#This Row],[S&amp;P 500]]-E582)/E582</f>
        <v>0.10340982631420885</v>
      </c>
    </row>
    <row r="594" spans="1:6" x14ac:dyDescent="0.2">
      <c r="A594" s="9">
        <v>39326</v>
      </c>
      <c r="B594" s="4">
        <v>98.3</v>
      </c>
      <c r="C594" s="7">
        <f>(Table3[[#This Row],[Conference Board Leading Indicator]]-B582)/B582</f>
        <v>-2.0916334661354664E-2</v>
      </c>
      <c r="E594" s="4">
        <v>1526.75</v>
      </c>
      <c r="F594" s="7">
        <f>(Table3[[#This Row],[S&amp;P 500]]-E583)/E583</f>
        <v>0.10799459001965304</v>
      </c>
    </row>
    <row r="595" spans="1:6" x14ac:dyDescent="0.2">
      <c r="A595" s="9">
        <v>39356</v>
      </c>
      <c r="B595" s="4">
        <v>97.7</v>
      </c>
      <c r="C595" s="7">
        <f>(Table3[[#This Row],[Conference Board Leading Indicator]]-B583)/B583</f>
        <v>-2.4950099800399202E-2</v>
      </c>
      <c r="D595" s="6">
        <v>1.9734775241238147E-2</v>
      </c>
      <c r="E595" s="4">
        <v>1549.380005</v>
      </c>
      <c r="F595" s="7">
        <f>(Table3[[#This Row],[S&amp;P 500]]-E584)/E584</f>
        <v>0.10620220862682433</v>
      </c>
    </row>
    <row r="596" spans="1:6" x14ac:dyDescent="0.2">
      <c r="A596" s="9">
        <v>39387</v>
      </c>
      <c r="B596" s="4">
        <v>96.8</v>
      </c>
      <c r="C596" s="7">
        <f>(Table3[[#This Row],[Conference Board Leading Indicator]]-B584)/B584</f>
        <v>-3.2000000000000028E-2</v>
      </c>
      <c r="E596" s="4">
        <v>1481.1400149999999</v>
      </c>
      <c r="F596" s="7">
        <f>(Table3[[#This Row],[S&amp;P 500]]-E585)/E585</f>
        <v>4.4306538693491937E-2</v>
      </c>
    </row>
    <row r="597" spans="1:6" x14ac:dyDescent="0.2">
      <c r="A597" s="9">
        <v>39417</v>
      </c>
      <c r="B597" s="4">
        <v>95.8</v>
      </c>
      <c r="C597" s="7">
        <f>(Table3[[#This Row],[Conference Board Leading Indicator]]-B585)/B585</f>
        <v>-4.5816733067729168E-2</v>
      </c>
      <c r="E597" s="4">
        <v>1468.3599850000001</v>
      </c>
      <c r="F597" s="7">
        <f>(Table3[[#This Row],[S&amp;P 500]]-E586)/E586</f>
        <v>2.0942259434741498E-2</v>
      </c>
    </row>
    <row r="598" spans="1:6" x14ac:dyDescent="0.2">
      <c r="A598" s="9">
        <v>39448</v>
      </c>
      <c r="B598" s="4">
        <v>94.7</v>
      </c>
      <c r="C598" s="7">
        <f>(Table3[[#This Row],[Conference Board Leading Indicator]]-B586)/B586</f>
        <v>-5.2999999999999971E-2</v>
      </c>
      <c r="D598" s="6">
        <v>1.1492366262432467E-2</v>
      </c>
      <c r="E598" s="4">
        <v>1378.5500489999999</v>
      </c>
      <c r="F598" s="7">
        <f>(Table3[[#This Row],[S&amp;P 500]]-E587)/E587</f>
        <v>-2.0094893508142034E-2</v>
      </c>
    </row>
    <row r="599" spans="1:6" x14ac:dyDescent="0.2">
      <c r="A599" s="9">
        <v>39479</v>
      </c>
      <c r="B599" s="4">
        <v>93.6</v>
      </c>
      <c r="C599" s="7">
        <f>(Table3[[#This Row],[Conference Board Leading Indicator]]-B587)/B587</f>
        <v>-6.3063063063063168E-2</v>
      </c>
      <c r="E599" s="4">
        <v>1330.630005</v>
      </c>
      <c r="F599" s="7">
        <f>(Table3[[#This Row],[S&amp;P 500]]-E588)/E588</f>
        <v>-6.350378007161632E-2</v>
      </c>
    </row>
    <row r="600" spans="1:6" x14ac:dyDescent="0.2">
      <c r="A600" s="9">
        <v>39508</v>
      </c>
      <c r="B600" s="4">
        <v>92.1</v>
      </c>
      <c r="C600" s="7">
        <f>(Table3[[#This Row],[Conference Board Leading Indicator]]-B588)/B588</f>
        <v>-8.0838323353293495E-2</v>
      </c>
      <c r="E600" s="4">
        <v>1322.6999510000001</v>
      </c>
      <c r="F600" s="7">
        <f>(Table3[[#This Row],[S&amp;P 500]]-E589)/E589</f>
        <v>-0.10771267938406967</v>
      </c>
    </row>
    <row r="601" spans="1:6" x14ac:dyDescent="0.2">
      <c r="A601" s="9">
        <v>39539</v>
      </c>
      <c r="B601" s="4">
        <v>91.6</v>
      </c>
      <c r="C601" s="7">
        <f>(Table3[[#This Row],[Conference Board Leading Indicator]]-B589)/B589</f>
        <v>-8.2164328657314656E-2</v>
      </c>
      <c r="D601" s="6">
        <v>1.0924276179985013E-2</v>
      </c>
      <c r="E601" s="4">
        <v>1385.589966</v>
      </c>
      <c r="F601" s="7">
        <f>(Table3[[#This Row],[S&amp;P 500]]-E590)/E590</f>
        <v>-9.4752472510330699E-2</v>
      </c>
    </row>
    <row r="602" spans="1:6" x14ac:dyDescent="0.2">
      <c r="A602" s="9">
        <v>39569</v>
      </c>
      <c r="B602" s="4">
        <v>90.8</v>
      </c>
      <c r="C602" s="7">
        <f>(Table3[[#This Row],[Conference Board Leading Indicator]]-B590)/B590</f>
        <v>-9.1091091091091175E-2</v>
      </c>
      <c r="E602" s="4">
        <v>1400.380005</v>
      </c>
      <c r="F602" s="7">
        <f>(Table3[[#This Row],[S&amp;P 500]]-E591)/E591</f>
        <v>-6.8493679212324673E-2</v>
      </c>
    </row>
    <row r="603" spans="1:6" x14ac:dyDescent="0.2">
      <c r="A603" s="9">
        <v>39600</v>
      </c>
      <c r="B603" s="4">
        <v>90.3</v>
      </c>
      <c r="C603" s="7">
        <f>(Table3[[#This Row],[Conference Board Leading Indicator]]-B591)/B591</f>
        <v>-9.4282848545636969E-2</v>
      </c>
      <c r="E603" s="4">
        <v>1280</v>
      </c>
      <c r="F603" s="7">
        <f>(Table3[[#This Row],[S&amp;P 500]]-E592)/E592</f>
        <v>-0.1204381438435734</v>
      </c>
    </row>
    <row r="604" spans="1:6" x14ac:dyDescent="0.2">
      <c r="A604" s="9">
        <v>39630</v>
      </c>
      <c r="B604" s="4">
        <v>88.3</v>
      </c>
      <c r="C604" s="7">
        <f>(Table3[[#This Row],[Conference Board Leading Indicator]]-B592)/B592</f>
        <v>-0.11345381526104416</v>
      </c>
      <c r="D604" s="6">
        <v>1.876587200219146E-5</v>
      </c>
      <c r="E604" s="4">
        <v>1267.380005</v>
      </c>
      <c r="F604" s="7">
        <f>(Table3[[#This Row],[S&amp;P 500]]-E593)/E593</f>
        <v>-0.14017054824096875</v>
      </c>
    </row>
    <row r="605" spans="1:6" x14ac:dyDescent="0.2">
      <c r="A605" s="9">
        <v>39661</v>
      </c>
      <c r="B605" s="4">
        <v>87.2</v>
      </c>
      <c r="C605" s="7">
        <f>(Table3[[#This Row],[Conference Board Leading Indicator]]-B593)/B593</f>
        <v>-0.11919191919191917</v>
      </c>
      <c r="E605" s="4">
        <v>1282.829956</v>
      </c>
      <c r="F605" s="7">
        <f>(Table3[[#This Row],[S&amp;P 500]]-E594)/E594</f>
        <v>-0.15976423383003108</v>
      </c>
    </row>
    <row r="606" spans="1:6" x14ac:dyDescent="0.2">
      <c r="A606" s="9">
        <v>39692</v>
      </c>
      <c r="B606" s="4">
        <v>85.2</v>
      </c>
      <c r="C606" s="7">
        <f>(Table3[[#This Row],[Conference Board Leading Indicator]]-B594)/B594</f>
        <v>-0.13326551373346893</v>
      </c>
      <c r="E606" s="4">
        <v>1166.3599850000001</v>
      </c>
      <c r="F606" s="7">
        <f>(Table3[[#This Row],[S&amp;P 500]]-E595)/E595</f>
        <v>-0.24720857295431531</v>
      </c>
    </row>
    <row r="607" spans="1:6" x14ac:dyDescent="0.2">
      <c r="A607" s="9">
        <v>39722</v>
      </c>
      <c r="B607" s="4">
        <v>82.4</v>
      </c>
      <c r="C607" s="7">
        <f>(Table3[[#This Row],[Conference Board Leading Indicator]]-B595)/B595</f>
        <v>-0.15660184237461613</v>
      </c>
      <c r="D607" s="6">
        <v>-2.7530827846549893E-2</v>
      </c>
      <c r="E607" s="4">
        <v>968.75</v>
      </c>
      <c r="F607" s="7">
        <f>(Table3[[#This Row],[S&amp;P 500]]-E596)/E596</f>
        <v>-0.34594299648301646</v>
      </c>
    </row>
    <row r="608" spans="1:6" x14ac:dyDescent="0.2">
      <c r="A608" s="9">
        <v>39753</v>
      </c>
      <c r="B608" s="4">
        <v>79.900000000000006</v>
      </c>
      <c r="C608" s="7">
        <f>(Table3[[#This Row],[Conference Board Leading Indicator]]-B596)/B596</f>
        <v>-0.17458677685950405</v>
      </c>
      <c r="E608" s="4">
        <v>896.23999000000003</v>
      </c>
      <c r="F608" s="7">
        <f>(Table3[[#This Row],[S&amp;P 500]]-E597)/E597</f>
        <v>-0.38963197093660923</v>
      </c>
    </row>
    <row r="609" spans="1:6" x14ac:dyDescent="0.2">
      <c r="A609" s="9">
        <v>39783</v>
      </c>
      <c r="B609" s="4">
        <v>77.599999999999994</v>
      </c>
      <c r="C609" s="7">
        <f>(Table3[[#This Row],[Conference Board Leading Indicator]]-B597)/B597</f>
        <v>-0.1899791231732777</v>
      </c>
      <c r="E609" s="4">
        <v>903.25</v>
      </c>
      <c r="F609" s="7">
        <f>(Table3[[#This Row],[S&amp;P 500]]-E598)/E598</f>
        <v>-0.34478258467640149</v>
      </c>
    </row>
    <row r="610" spans="1:6" x14ac:dyDescent="0.2">
      <c r="A610" s="9">
        <v>39814</v>
      </c>
      <c r="B610" s="4">
        <v>76</v>
      </c>
      <c r="C610" s="7">
        <f>(Table3[[#This Row],[Conference Board Leading Indicator]]-B598)/B598</f>
        <v>-0.19746568109820489</v>
      </c>
      <c r="D610" s="6">
        <v>-3.2890715516301232E-2</v>
      </c>
      <c r="E610" s="4">
        <v>825.88000499999998</v>
      </c>
      <c r="F610" s="7">
        <f>(Table3[[#This Row],[S&amp;P 500]]-E599)/E599</f>
        <v>-0.37933159338309075</v>
      </c>
    </row>
    <row r="611" spans="1:6" x14ac:dyDescent="0.2">
      <c r="A611" s="9">
        <v>39845</v>
      </c>
      <c r="B611" s="4">
        <v>74.8</v>
      </c>
      <c r="C611" s="7">
        <f>(Table3[[#This Row],[Conference Board Leading Indicator]]-B599)/B599</f>
        <v>-0.20085470085470084</v>
      </c>
      <c r="E611" s="4">
        <v>735.09002699999996</v>
      </c>
      <c r="F611" s="7">
        <f>(Table3[[#This Row],[S&amp;P 500]]-E600)/E600</f>
        <v>-0.4442503559146197</v>
      </c>
    </row>
    <row r="612" spans="1:6" x14ac:dyDescent="0.2">
      <c r="A612" s="9">
        <v>39873</v>
      </c>
      <c r="B612" s="4">
        <v>73.5</v>
      </c>
      <c r="C612" s="7">
        <f>(Table3[[#This Row],[Conference Board Leading Indicator]]-B600)/B600</f>
        <v>-0.20195439739413676</v>
      </c>
      <c r="E612" s="4">
        <v>797.86999500000002</v>
      </c>
      <c r="F612" s="7">
        <f>(Table3[[#This Row],[S&amp;P 500]]-E601)/E601</f>
        <v>-0.42416586827390462</v>
      </c>
    </row>
    <row r="613" spans="1:6" x14ac:dyDescent="0.2">
      <c r="A613" s="9">
        <v>39904</v>
      </c>
      <c r="B613" s="4">
        <v>73.7</v>
      </c>
      <c r="C613" s="7">
        <f>(Table3[[#This Row],[Conference Board Leading Indicator]]-B601)/B601</f>
        <v>-0.19541484716157198</v>
      </c>
      <c r="D613" s="6">
        <v>-3.9244471349849222E-2</v>
      </c>
      <c r="E613" s="4">
        <v>872.80999799999995</v>
      </c>
      <c r="F613" s="7">
        <f>(Table3[[#This Row],[S&amp;P 500]]-E602)/E602</f>
        <v>-0.37673346171491506</v>
      </c>
    </row>
    <row r="614" spans="1:6" x14ac:dyDescent="0.2">
      <c r="A614" s="9">
        <v>39934</v>
      </c>
      <c r="B614" s="4">
        <v>74</v>
      </c>
      <c r="C614" s="7">
        <f>(Table3[[#This Row],[Conference Board Leading Indicator]]-B602)/B602</f>
        <v>-0.18502202643171803</v>
      </c>
      <c r="E614" s="4">
        <v>919.14001499999995</v>
      </c>
      <c r="F614" s="7">
        <f>(Table3[[#This Row],[S&amp;P 500]]-E603)/E603</f>
        <v>-0.28192186328125002</v>
      </c>
    </row>
    <row r="615" spans="1:6" x14ac:dyDescent="0.2">
      <c r="A615" s="9">
        <v>39965</v>
      </c>
      <c r="B615" s="4">
        <v>74.599999999999994</v>
      </c>
      <c r="C615" s="7">
        <f>(Table3[[#This Row],[Conference Board Leading Indicator]]-B603)/B603</f>
        <v>-0.1738648947951274</v>
      </c>
      <c r="E615" s="4">
        <v>919.32000700000003</v>
      </c>
      <c r="F615" s="7">
        <f>(Table3[[#This Row],[S&amp;P 500]]-E604)/E604</f>
        <v>-0.27462954806518347</v>
      </c>
    </row>
    <row r="616" spans="1:6" x14ac:dyDescent="0.2">
      <c r="A616" s="9">
        <v>39995</v>
      </c>
      <c r="B616" s="4">
        <v>75.2</v>
      </c>
      <c r="C616" s="7">
        <f>(Table3[[#This Row],[Conference Board Leading Indicator]]-B604)/B604</f>
        <v>-0.14835787089467717</v>
      </c>
      <c r="D616" s="6">
        <v>-3.0497799455570112E-2</v>
      </c>
      <c r="E616" s="4">
        <v>987.47997999999995</v>
      </c>
      <c r="F616" s="7">
        <f>(Table3[[#This Row],[S&amp;P 500]]-E605)/E605</f>
        <v>-0.23023314556898303</v>
      </c>
    </row>
    <row r="617" spans="1:6" x14ac:dyDescent="0.2">
      <c r="A617" s="9">
        <v>40026</v>
      </c>
      <c r="B617" s="4">
        <v>76</v>
      </c>
      <c r="C617" s="7">
        <f>(Table3[[#This Row],[Conference Board Leading Indicator]]-B605)/B605</f>
        <v>-0.1284403669724771</v>
      </c>
      <c r="E617" s="4">
        <v>1020.619995</v>
      </c>
      <c r="F617" s="7">
        <f>(Table3[[#This Row],[S&amp;P 500]]-E606)/E606</f>
        <v>-0.12495283778103895</v>
      </c>
    </row>
    <row r="618" spans="1:6" x14ac:dyDescent="0.2">
      <c r="A618" s="9">
        <v>40057</v>
      </c>
      <c r="B618" s="4">
        <v>76.599999999999994</v>
      </c>
      <c r="C618" s="7">
        <f>(Table3[[#This Row],[Conference Board Leading Indicator]]-B606)/B606</f>
        <v>-0.10093896713615033</v>
      </c>
      <c r="E618" s="4">
        <v>1057.079956</v>
      </c>
      <c r="F618" s="7">
        <f>(Table3[[#This Row],[S&amp;P 500]]-E607)/E607</f>
        <v>9.1179309419354884E-2</v>
      </c>
    </row>
    <row r="619" spans="1:6" x14ac:dyDescent="0.2">
      <c r="A619" s="9">
        <v>40087</v>
      </c>
      <c r="B619" s="4">
        <v>77</v>
      </c>
      <c r="C619" s="7">
        <f>(Table3[[#This Row],[Conference Board Leading Indicator]]-B607)/B607</f>
        <v>-6.553398058252434E-2</v>
      </c>
      <c r="D619" s="6">
        <v>1.8287415594975698E-3</v>
      </c>
      <c r="E619" s="4">
        <v>1036.1899410000001</v>
      </c>
      <c r="F619" s="7">
        <f>(Table3[[#This Row],[S&amp;P 500]]-E608)/E608</f>
        <v>0.15615231697036866</v>
      </c>
    </row>
    <row r="620" spans="1:6" x14ac:dyDescent="0.2">
      <c r="A620" s="9">
        <v>40118</v>
      </c>
      <c r="B620" s="4">
        <v>77.8</v>
      </c>
      <c r="C620" s="7">
        <f>(Table3[[#This Row],[Conference Board Leading Indicator]]-B608)/B608</f>
        <v>-2.6282853566958805E-2</v>
      </c>
      <c r="E620" s="4">
        <v>1095.630005</v>
      </c>
      <c r="F620" s="7">
        <f>(Table3[[#This Row],[S&amp;P 500]]-E609)/E609</f>
        <v>0.21298644339883752</v>
      </c>
    </row>
    <row r="621" spans="1:6" x14ac:dyDescent="0.2">
      <c r="A621" s="9">
        <v>40148</v>
      </c>
      <c r="B621" s="4">
        <v>78.599999999999994</v>
      </c>
      <c r="C621" s="7">
        <f>(Table3[[#This Row],[Conference Board Leading Indicator]]-B609)/B609</f>
        <v>1.2886597938144331E-2</v>
      </c>
      <c r="E621" s="4">
        <v>1115.099976</v>
      </c>
      <c r="F621" s="7">
        <f>(Table3[[#This Row],[S&amp;P 500]]-E610)/E610</f>
        <v>0.3501961171707989</v>
      </c>
    </row>
    <row r="622" spans="1:6" x14ac:dyDescent="0.2">
      <c r="A622" s="9">
        <v>40179</v>
      </c>
      <c r="B622" s="4">
        <v>79.099999999999994</v>
      </c>
      <c r="C622" s="7">
        <f>(Table3[[#This Row],[Conference Board Leading Indicator]]-B610)/B610</f>
        <v>4.0789473684210452E-2</v>
      </c>
      <c r="D622" s="6">
        <v>1.7102535375568915E-2</v>
      </c>
      <c r="E622" s="4">
        <v>1073.869995</v>
      </c>
      <c r="F622" s="7">
        <f>(Table3[[#This Row],[S&amp;P 500]]-E611)/E611</f>
        <v>0.46086867670155462</v>
      </c>
    </row>
    <row r="623" spans="1:6" x14ac:dyDescent="0.2">
      <c r="A623" s="9">
        <v>40210</v>
      </c>
      <c r="B623" s="4">
        <v>79.099999999999994</v>
      </c>
      <c r="C623" s="7">
        <f>(Table3[[#This Row],[Conference Board Leading Indicator]]-B611)/B611</f>
        <v>5.7486631016042747E-2</v>
      </c>
      <c r="E623" s="4">
        <v>1104.48999</v>
      </c>
      <c r="F623" s="7">
        <f>(Table3[[#This Row],[S&amp;P 500]]-E612)/E612</f>
        <v>0.38429819008295957</v>
      </c>
    </row>
    <row r="624" spans="1:6" x14ac:dyDescent="0.2">
      <c r="A624" s="9">
        <v>40238</v>
      </c>
      <c r="B624" s="4">
        <v>80.5</v>
      </c>
      <c r="C624" s="7">
        <f>(Table3[[#This Row],[Conference Board Leading Indicator]]-B612)/B612</f>
        <v>9.5238095238095233E-2</v>
      </c>
      <c r="E624" s="4">
        <v>1169.4300539999999</v>
      </c>
      <c r="F624" s="7">
        <f>(Table3[[#This Row],[S&amp;P 500]]-E613)/E613</f>
        <v>0.33984493381112713</v>
      </c>
    </row>
    <row r="625" spans="1:6" x14ac:dyDescent="0.2">
      <c r="A625" s="9">
        <v>40269</v>
      </c>
      <c r="B625" s="4">
        <v>80.900000000000006</v>
      </c>
      <c r="C625" s="7">
        <f>(Table3[[#This Row],[Conference Board Leading Indicator]]-B613)/B613</f>
        <v>9.7693351424694749E-2</v>
      </c>
      <c r="D625" s="6">
        <v>2.7960666618343167E-2</v>
      </c>
      <c r="E625" s="4">
        <v>1186.6899410000001</v>
      </c>
      <c r="F625" s="7">
        <f>(Table3[[#This Row],[S&amp;P 500]]-E614)/E614</f>
        <v>0.29108723549588922</v>
      </c>
    </row>
    <row r="626" spans="1:6" x14ac:dyDescent="0.2">
      <c r="A626" s="9">
        <v>40299</v>
      </c>
      <c r="B626" s="4">
        <v>81</v>
      </c>
      <c r="C626" s="7">
        <f>(Table3[[#This Row],[Conference Board Leading Indicator]]-B614)/B614</f>
        <v>9.45945945945946E-2</v>
      </c>
      <c r="E626" s="4">
        <v>1089.410034</v>
      </c>
      <c r="F626" s="7">
        <f>(Table3[[#This Row],[S&amp;P 500]]-E615)/E615</f>
        <v>0.18501721457694759</v>
      </c>
    </row>
    <row r="627" spans="1:6" x14ac:dyDescent="0.2">
      <c r="A627" s="9">
        <v>40330</v>
      </c>
      <c r="B627" s="4">
        <v>81.099999999999994</v>
      </c>
      <c r="C627" s="7">
        <f>(Table3[[#This Row],[Conference Board Leading Indicator]]-B615)/B615</f>
        <v>8.7131367292225204E-2</v>
      </c>
      <c r="E627" s="4">
        <v>1030.709961</v>
      </c>
      <c r="F627" s="7">
        <f>(Table3[[#This Row],[S&amp;P 500]]-E616)/E616</f>
        <v>4.3778083480740609E-2</v>
      </c>
    </row>
    <row r="628" spans="1:6" x14ac:dyDescent="0.2">
      <c r="A628" s="9">
        <v>40360</v>
      </c>
      <c r="B628" s="4">
        <v>81.2</v>
      </c>
      <c r="C628" s="7">
        <f>(Table3[[#This Row],[Conference Board Leading Indicator]]-B616)/B616</f>
        <v>7.9787234042553182E-2</v>
      </c>
      <c r="D628" s="6">
        <v>3.1782075474306767E-2</v>
      </c>
      <c r="E628" s="4">
        <v>1101.599976</v>
      </c>
      <c r="F628" s="7">
        <f>(Table3[[#This Row],[S&amp;P 500]]-E617)/E617</f>
        <v>7.9343909973074694E-2</v>
      </c>
    </row>
    <row r="629" spans="1:6" x14ac:dyDescent="0.2">
      <c r="A629" s="9">
        <v>40391</v>
      </c>
      <c r="B629" s="4">
        <v>81.5</v>
      </c>
      <c r="C629" s="7">
        <f>(Table3[[#This Row],[Conference Board Leading Indicator]]-B617)/B617</f>
        <v>7.2368421052631582E-2</v>
      </c>
      <c r="E629" s="4">
        <v>1049.329956</v>
      </c>
      <c r="F629" s="7">
        <f>(Table3[[#This Row],[S&amp;P 500]]-E618)/E618</f>
        <v>-7.3315173142872456E-3</v>
      </c>
    </row>
    <row r="630" spans="1:6" x14ac:dyDescent="0.2">
      <c r="A630" s="9">
        <v>40422</v>
      </c>
      <c r="B630" s="4">
        <v>82</v>
      </c>
      <c r="C630" s="7">
        <f>(Table3[[#This Row],[Conference Board Leading Indicator]]-B618)/B618</f>
        <v>7.0496083550913913E-2</v>
      </c>
      <c r="E630" s="4">
        <v>1141.1999510000001</v>
      </c>
      <c r="F630" s="7">
        <f>(Table3[[#This Row],[S&amp;P 500]]-E619)/E619</f>
        <v>0.10134243331744518</v>
      </c>
    </row>
    <row r="631" spans="1:6" x14ac:dyDescent="0.2">
      <c r="A631" s="9">
        <v>40452</v>
      </c>
      <c r="B631" s="4">
        <v>82.1</v>
      </c>
      <c r="C631" s="7">
        <f>(Table3[[#This Row],[Conference Board Leading Indicator]]-B619)/B619</f>
        <v>6.6233766233766159E-2</v>
      </c>
      <c r="D631" s="6">
        <v>2.5694549994536298E-2</v>
      </c>
      <c r="E631" s="4">
        <v>1183.26001</v>
      </c>
      <c r="F631" s="7">
        <f>(Table3[[#This Row],[S&amp;P 500]]-E620)/E620</f>
        <v>7.9981384774141878E-2</v>
      </c>
    </row>
    <row r="632" spans="1:6" x14ac:dyDescent="0.2">
      <c r="A632" s="9">
        <v>40483</v>
      </c>
      <c r="B632" s="4">
        <v>82.8</v>
      </c>
      <c r="C632" s="7">
        <f>(Table3[[#This Row],[Conference Board Leading Indicator]]-B620)/B620</f>
        <v>6.4267352185089971E-2</v>
      </c>
      <c r="E632" s="4">
        <v>1180.5500489999999</v>
      </c>
      <c r="F632" s="7">
        <f>(Table3[[#This Row],[S&amp;P 500]]-E621)/E621</f>
        <v>5.8694354236090464E-2</v>
      </c>
    </row>
    <row r="633" spans="1:6" x14ac:dyDescent="0.2">
      <c r="A633" s="9">
        <v>40513</v>
      </c>
      <c r="B633" s="4">
        <v>83.7</v>
      </c>
      <c r="C633" s="7">
        <f>(Table3[[#This Row],[Conference Board Leading Indicator]]-B621)/B621</f>
        <v>6.4885496183206215E-2</v>
      </c>
      <c r="E633" s="4">
        <v>1257.6400149999999</v>
      </c>
      <c r="F633" s="7">
        <f>(Table3[[#This Row],[S&amp;P 500]]-E622)/E622</f>
        <v>0.17112874077462228</v>
      </c>
    </row>
    <row r="634" spans="1:6" x14ac:dyDescent="0.2">
      <c r="A634" s="9">
        <v>40544</v>
      </c>
      <c r="B634" s="4">
        <v>83.8</v>
      </c>
      <c r="C634" s="7">
        <f>(Table3[[#This Row],[Conference Board Leading Indicator]]-B622)/B622</f>
        <v>5.9418457648546183E-2</v>
      </c>
      <c r="D634" s="6">
        <v>1.9306273148906504E-2</v>
      </c>
      <c r="E634" s="4">
        <v>1286.119995</v>
      </c>
      <c r="F634" s="7">
        <f>(Table3[[#This Row],[S&amp;P 500]]-E623)/E623</f>
        <v>0.16444694532722742</v>
      </c>
    </row>
    <row r="635" spans="1:6" x14ac:dyDescent="0.2">
      <c r="A635" s="9">
        <v>40575</v>
      </c>
      <c r="B635" s="4">
        <v>84.4</v>
      </c>
      <c r="C635" s="7">
        <f>(Table3[[#This Row],[Conference Board Leading Indicator]]-B623)/B623</f>
        <v>6.7003792667509623E-2</v>
      </c>
      <c r="E635" s="4">
        <v>1327.219971</v>
      </c>
      <c r="F635" s="7">
        <f>(Table3[[#This Row],[S&amp;P 500]]-E624)/E624</f>
        <v>0.13492890529047416</v>
      </c>
    </row>
    <row r="636" spans="1:6" x14ac:dyDescent="0.2">
      <c r="A636" s="9">
        <v>40603</v>
      </c>
      <c r="B636" s="4">
        <v>85.3</v>
      </c>
      <c r="C636" s="7">
        <f>(Table3[[#This Row],[Conference Board Leading Indicator]]-B624)/B624</f>
        <v>5.9627329192546548E-2</v>
      </c>
      <c r="E636" s="4">
        <v>1325.829956</v>
      </c>
      <c r="F636" s="7">
        <f>(Table3[[#This Row],[S&amp;P 500]]-E625)/E625</f>
        <v>0.11725052197101242</v>
      </c>
    </row>
    <row r="637" spans="1:6" x14ac:dyDescent="0.2">
      <c r="A637" s="9">
        <v>40634</v>
      </c>
      <c r="B637" s="4">
        <v>85.3</v>
      </c>
      <c r="C637" s="7">
        <f>(Table3[[#This Row],[Conference Board Leading Indicator]]-B625)/B625</f>
        <v>5.4388133498145752E-2</v>
      </c>
      <c r="D637" s="6">
        <v>1.7215030625217995E-2</v>
      </c>
      <c r="E637" s="4">
        <v>1363.6099850000001</v>
      </c>
      <c r="F637" s="7">
        <f>(Table3[[#This Row],[S&amp;P 500]]-E626)/E626</f>
        <v>0.25169581924375783</v>
      </c>
    </row>
    <row r="638" spans="1:6" x14ac:dyDescent="0.2">
      <c r="A638" s="9">
        <v>40664</v>
      </c>
      <c r="B638" s="4">
        <v>85.8</v>
      </c>
      <c r="C638" s="7">
        <f>(Table3[[#This Row],[Conference Board Leading Indicator]]-B626)/B626</f>
        <v>5.9259259259259227E-2</v>
      </c>
      <c r="E638" s="4">
        <v>1345.1999510000001</v>
      </c>
      <c r="F638" s="7">
        <f>(Table3[[#This Row],[S&amp;P 500]]-E627)/E627</f>
        <v>0.30511977365085347</v>
      </c>
    </row>
    <row r="639" spans="1:6" x14ac:dyDescent="0.2">
      <c r="A639" s="9">
        <v>40695</v>
      </c>
      <c r="B639" s="4">
        <v>85.7</v>
      </c>
      <c r="C639" s="7">
        <f>(Table3[[#This Row],[Conference Board Leading Indicator]]-B627)/B627</f>
        <v>5.6720098643649922E-2</v>
      </c>
      <c r="E639" s="4">
        <v>1320.6400149999999</v>
      </c>
      <c r="F639" s="7">
        <f>(Table3[[#This Row],[S&amp;P 500]]-E628)/E628</f>
        <v>0.19883809347504922</v>
      </c>
    </row>
    <row r="640" spans="1:6" x14ac:dyDescent="0.2">
      <c r="A640" s="9">
        <v>40725</v>
      </c>
      <c r="B640" s="4">
        <v>86.2</v>
      </c>
      <c r="C640" s="7">
        <f>(Table3[[#This Row],[Conference Board Leading Indicator]]-B628)/B628</f>
        <v>6.1576354679802957E-2</v>
      </c>
      <c r="D640" s="6">
        <v>9.4903849657161834E-3</v>
      </c>
      <c r="E640" s="4">
        <v>1292.280029</v>
      </c>
      <c r="F640" s="7">
        <f>(Table3[[#This Row],[S&amp;P 500]]-E629)/E629</f>
        <v>0.23152876901190836</v>
      </c>
    </row>
    <row r="641" spans="1:6" x14ac:dyDescent="0.2">
      <c r="A641" s="9">
        <v>40756</v>
      </c>
      <c r="B641" s="4">
        <v>85.6</v>
      </c>
      <c r="C641" s="7">
        <f>(Table3[[#This Row],[Conference Board Leading Indicator]]-B629)/B629</f>
        <v>5.03067484662576E-2</v>
      </c>
      <c r="E641" s="4">
        <v>1218.8900149999999</v>
      </c>
      <c r="F641" s="7">
        <f>(Table3[[#This Row],[S&amp;P 500]]-E630)/E630</f>
        <v>6.8077521324744511E-2</v>
      </c>
    </row>
    <row r="642" spans="1:6" x14ac:dyDescent="0.2">
      <c r="A642" s="9">
        <v>40787</v>
      </c>
      <c r="B642" s="4">
        <v>85.2</v>
      </c>
      <c r="C642" s="7">
        <f>(Table3[[#This Row],[Conference Board Leading Indicator]]-B630)/B630</f>
        <v>3.9024390243902474E-2</v>
      </c>
      <c r="E642" s="4">
        <v>1131.420044</v>
      </c>
      <c r="F642" s="7">
        <f>(Table3[[#This Row],[S&amp;P 500]]-E631)/E631</f>
        <v>-4.3811136657952297E-2</v>
      </c>
    </row>
    <row r="643" spans="1:6" x14ac:dyDescent="0.2">
      <c r="A643" s="9">
        <v>40817</v>
      </c>
      <c r="B643" s="4">
        <v>85.8</v>
      </c>
      <c r="C643" s="7">
        <f>(Table3[[#This Row],[Conference Board Leading Indicator]]-B631)/B631</f>
        <v>4.5066991473812462E-2</v>
      </c>
      <c r="D643" s="6">
        <v>1.6093456608864725E-2</v>
      </c>
      <c r="E643" s="4">
        <v>1253.3000489999999</v>
      </c>
      <c r="F643" s="7">
        <f>(Table3[[#This Row],[S&amp;P 500]]-E632)/E632</f>
        <v>6.1623816848446047E-2</v>
      </c>
    </row>
    <row r="644" spans="1:6" x14ac:dyDescent="0.2">
      <c r="A644" s="9">
        <v>40848</v>
      </c>
      <c r="B644" s="4">
        <v>85.9</v>
      </c>
      <c r="C644" s="7">
        <f>(Table3[[#This Row],[Conference Board Leading Indicator]]-B632)/B632</f>
        <v>3.7439613526570152E-2</v>
      </c>
      <c r="E644" s="4">
        <v>1246.959961</v>
      </c>
      <c r="F644" s="7">
        <f>(Table3[[#This Row],[S&amp;P 500]]-E633)/E633</f>
        <v>-8.4921391436482939E-3</v>
      </c>
    </row>
    <row r="645" spans="1:6" x14ac:dyDescent="0.2">
      <c r="A645" s="9">
        <v>40878</v>
      </c>
      <c r="B645" s="4">
        <v>86.3</v>
      </c>
      <c r="C645" s="7">
        <f>(Table3[[#This Row],[Conference Board Leading Indicator]]-B633)/B633</f>
        <v>3.1063321385901961E-2</v>
      </c>
      <c r="E645" s="4">
        <v>1257.599976</v>
      </c>
      <c r="F645" s="7">
        <f>(Table3[[#This Row],[S&amp;P 500]]-E634)/E634</f>
        <v>-2.217523956619619E-2</v>
      </c>
    </row>
    <row r="646" spans="1:6" x14ac:dyDescent="0.2">
      <c r="A646" s="9">
        <v>40909</v>
      </c>
      <c r="B646" s="4">
        <v>86.5</v>
      </c>
      <c r="C646" s="7">
        <f>(Table3[[#This Row],[Conference Board Leading Indicator]]-B634)/B634</f>
        <v>3.2219570405727961E-2</v>
      </c>
      <c r="D646" s="6">
        <v>2.6517566557714759E-2</v>
      </c>
      <c r="E646" s="4">
        <v>1312.410034</v>
      </c>
      <c r="F646" s="7">
        <f>(Table3[[#This Row],[S&amp;P 500]]-E635)/E635</f>
        <v>-1.1158615243591742E-2</v>
      </c>
    </row>
    <row r="647" spans="1:6" x14ac:dyDescent="0.2">
      <c r="A647" s="9">
        <v>40940</v>
      </c>
      <c r="B647" s="4">
        <v>87</v>
      </c>
      <c r="C647" s="7">
        <f>(Table3[[#This Row],[Conference Board Leading Indicator]]-B635)/B635</f>
        <v>3.0805687203791399E-2</v>
      </c>
      <c r="E647" s="4">
        <v>1365.6800539999999</v>
      </c>
      <c r="F647" s="7">
        <f>(Table3[[#This Row],[S&amp;P 500]]-E636)/E636</f>
        <v>3.0056718676222071E-2</v>
      </c>
    </row>
    <row r="648" spans="1:6" x14ac:dyDescent="0.2">
      <c r="A648" s="9">
        <v>40969</v>
      </c>
      <c r="B648" s="4">
        <v>87.5</v>
      </c>
      <c r="C648" s="7">
        <f>(Table3[[#This Row],[Conference Board Leading Indicator]]-B636)/B636</f>
        <v>2.5791324736225123E-2</v>
      </c>
      <c r="E648" s="4">
        <v>1408.469971</v>
      </c>
      <c r="F648" s="7">
        <f>(Table3[[#This Row],[S&amp;P 500]]-E637)/E637</f>
        <v>3.2897959455760316E-2</v>
      </c>
    </row>
    <row r="649" spans="1:6" x14ac:dyDescent="0.2">
      <c r="A649" s="9">
        <v>41000</v>
      </c>
      <c r="B649" s="4">
        <v>87.3</v>
      </c>
      <c r="C649" s="7">
        <f>(Table3[[#This Row],[Conference Board Leading Indicator]]-B637)/B637</f>
        <v>2.3446658851113716E-2</v>
      </c>
      <c r="D649" s="6">
        <v>2.3615085810537968E-2</v>
      </c>
      <c r="E649" s="4">
        <v>1397.910034</v>
      </c>
      <c r="F649" s="7">
        <f>(Table3[[#This Row],[S&amp;P 500]]-E638)/E638</f>
        <v>3.918382762415068E-2</v>
      </c>
    </row>
    <row r="650" spans="1:6" x14ac:dyDescent="0.2">
      <c r="A650" s="9">
        <v>41030</v>
      </c>
      <c r="B650" s="4">
        <v>87.4</v>
      </c>
      <c r="C650" s="7">
        <f>(Table3[[#This Row],[Conference Board Leading Indicator]]-B638)/B638</f>
        <v>1.8648018648018749E-2</v>
      </c>
      <c r="E650" s="4">
        <v>1310.329956</v>
      </c>
      <c r="F650" s="7">
        <f>(Table3[[#This Row],[S&amp;P 500]]-E639)/E639</f>
        <v>-7.8068655219415799E-3</v>
      </c>
    </row>
    <row r="651" spans="1:6" x14ac:dyDescent="0.2">
      <c r="A651" s="9">
        <v>41061</v>
      </c>
      <c r="B651" s="4">
        <v>87</v>
      </c>
      <c r="C651" s="7">
        <f>(Table3[[#This Row],[Conference Board Leading Indicator]]-B639)/B639</f>
        <v>1.5169194865810936E-2</v>
      </c>
      <c r="E651" s="4">
        <v>1362.160034</v>
      </c>
      <c r="F651" s="7">
        <f>(Table3[[#This Row],[S&amp;P 500]]-E640)/E640</f>
        <v>5.4074970928766078E-2</v>
      </c>
    </row>
    <row r="652" spans="1:6" x14ac:dyDescent="0.2">
      <c r="A652" s="9">
        <v>41091</v>
      </c>
      <c r="B652" s="4">
        <v>87.2</v>
      </c>
      <c r="C652" s="7">
        <f>(Table3[[#This Row],[Conference Board Leading Indicator]]-B640)/B640</f>
        <v>1.1600928074245939E-2</v>
      </c>
      <c r="D652" s="6">
        <v>2.528124545690132E-2</v>
      </c>
      <c r="E652" s="4">
        <v>1379.3199460000001</v>
      </c>
      <c r="F652" s="7">
        <f>(Table3[[#This Row],[S&amp;P 500]]-E641)/E641</f>
        <v>0.13161969416904293</v>
      </c>
    </row>
    <row r="653" spans="1:6" x14ac:dyDescent="0.2">
      <c r="A653" s="9">
        <v>41122</v>
      </c>
      <c r="B653" s="4">
        <v>86.9</v>
      </c>
      <c r="C653" s="7">
        <f>(Table3[[#This Row],[Conference Board Leading Indicator]]-B641)/B641</f>
        <v>1.5186915887850601E-2</v>
      </c>
      <c r="E653" s="4">
        <v>1406.579956</v>
      </c>
      <c r="F653" s="7">
        <f>(Table3[[#This Row],[S&amp;P 500]]-E642)/E642</f>
        <v>0.24319872487604621</v>
      </c>
    </row>
    <row r="654" spans="1:6" x14ac:dyDescent="0.2">
      <c r="A654" s="9">
        <v>41153</v>
      </c>
      <c r="B654" s="4">
        <v>87.4</v>
      </c>
      <c r="C654" s="7">
        <f>(Table3[[#This Row],[Conference Board Leading Indicator]]-B642)/B642</f>
        <v>2.5821596244131488E-2</v>
      </c>
      <c r="E654" s="4">
        <v>1440.670044</v>
      </c>
      <c r="F654" s="7">
        <f>(Table3[[#This Row],[S&amp;P 500]]-E643)/E643</f>
        <v>0.14950130668988751</v>
      </c>
    </row>
    <row r="655" spans="1:6" x14ac:dyDescent="0.2">
      <c r="A655" s="9">
        <v>41183</v>
      </c>
      <c r="B655" s="4">
        <v>87.5</v>
      </c>
      <c r="C655" s="7">
        <f>(Table3[[#This Row],[Conference Board Leading Indicator]]-B643)/B643</f>
        <v>1.9813519813519847E-2</v>
      </c>
      <c r="D655" s="6">
        <v>1.4685667872627999E-2</v>
      </c>
      <c r="E655" s="4">
        <v>1412.160034</v>
      </c>
      <c r="F655" s="7">
        <f>(Table3[[#This Row],[S&amp;P 500]]-E644)/E644</f>
        <v>0.13248225938827876</v>
      </c>
    </row>
    <row r="656" spans="1:6" x14ac:dyDescent="0.2">
      <c r="A656" s="9">
        <v>41214</v>
      </c>
      <c r="B656" s="4">
        <v>87.5</v>
      </c>
      <c r="C656" s="7">
        <f>(Table3[[#This Row],[Conference Board Leading Indicator]]-B644)/B644</f>
        <v>1.8626309662398071E-2</v>
      </c>
      <c r="E656" s="4">
        <v>1416.1800539999999</v>
      </c>
      <c r="F656" s="7">
        <f>(Table3[[#This Row],[S&amp;P 500]]-E645)/E645</f>
        <v>0.12609739267361433</v>
      </c>
    </row>
    <row r="657" spans="1:6" x14ac:dyDescent="0.2">
      <c r="A657" s="9">
        <v>41244</v>
      </c>
      <c r="B657" s="4">
        <v>87.8</v>
      </c>
      <c r="C657" s="7">
        <f>(Table3[[#This Row],[Conference Board Leading Indicator]]-B645)/B645</f>
        <v>1.7381228273464659E-2</v>
      </c>
      <c r="E657" s="4">
        <v>1426.1899410000001</v>
      </c>
      <c r="F657" s="7">
        <f>(Table3[[#This Row],[S&amp;P 500]]-E646)/E646</f>
        <v>8.6695395533679748E-2</v>
      </c>
    </row>
    <row r="658" spans="1:6" x14ac:dyDescent="0.2">
      <c r="A658" s="9">
        <v>41275</v>
      </c>
      <c r="B658" s="4">
        <v>88.2</v>
      </c>
      <c r="C658" s="7">
        <f>(Table3[[#This Row],[Conference Board Leading Indicator]]-B646)/B646</f>
        <v>1.9653179190751477E-2</v>
      </c>
      <c r="D658" s="6">
        <v>1.5719476053010734E-2</v>
      </c>
      <c r="E658" s="4">
        <v>1498.1099850000001</v>
      </c>
      <c r="F658" s="7">
        <f>(Table3[[#This Row],[S&amp;P 500]]-E647)/E647</f>
        <v>9.6969953256709221E-2</v>
      </c>
    </row>
    <row r="659" spans="1:6" x14ac:dyDescent="0.2">
      <c r="A659" s="9">
        <v>41306</v>
      </c>
      <c r="B659" s="4">
        <v>88.6</v>
      </c>
      <c r="C659" s="7">
        <f>(Table3[[#This Row],[Conference Board Leading Indicator]]-B647)/B647</f>
        <v>1.8390804597701083E-2</v>
      </c>
      <c r="E659" s="4">
        <v>1514.6800539999999</v>
      </c>
      <c r="F659" s="7">
        <f>(Table3[[#This Row],[S&amp;P 500]]-E648)/E648</f>
        <v>7.5408127391308047E-2</v>
      </c>
    </row>
    <row r="660" spans="1:6" x14ac:dyDescent="0.2">
      <c r="A660" s="9">
        <v>41334</v>
      </c>
      <c r="B660" s="4">
        <v>88.5</v>
      </c>
      <c r="C660" s="7">
        <f>(Table3[[#This Row],[Conference Board Leading Indicator]]-B648)/B648</f>
        <v>1.1428571428571429E-2</v>
      </c>
      <c r="E660" s="4">
        <v>1569.1899410000001</v>
      </c>
      <c r="F660" s="7">
        <f>(Table3[[#This Row],[S&amp;P 500]]-E649)/E649</f>
        <v>0.12252570110674239</v>
      </c>
    </row>
    <row r="661" spans="1:6" x14ac:dyDescent="0.2">
      <c r="A661" s="9">
        <v>41365</v>
      </c>
      <c r="B661" s="4">
        <v>88.9</v>
      </c>
      <c r="C661" s="7">
        <f>(Table3[[#This Row],[Conference Board Leading Indicator]]-B649)/B649</f>
        <v>1.8327605956472034E-2</v>
      </c>
      <c r="D661" s="6">
        <v>1.2616546391348423E-2</v>
      </c>
      <c r="E661" s="4">
        <v>1597.5699460000001</v>
      </c>
      <c r="F661" s="7">
        <f>(Table3[[#This Row],[S&amp;P 500]]-E650)/E650</f>
        <v>0.21921195396985951</v>
      </c>
    </row>
    <row r="662" spans="1:6" x14ac:dyDescent="0.2">
      <c r="A662" s="9">
        <v>41395</v>
      </c>
      <c r="B662" s="4">
        <v>89.2</v>
      </c>
      <c r="C662" s="7">
        <f>(Table3[[#This Row],[Conference Board Leading Indicator]]-B650)/B650</f>
        <v>2.0594965675057173E-2</v>
      </c>
      <c r="E662" s="4">
        <v>1630.73999</v>
      </c>
      <c r="F662" s="7">
        <f>(Table3[[#This Row],[S&amp;P 500]]-E651)/E651</f>
        <v>0.197172101145349</v>
      </c>
    </row>
    <row r="663" spans="1:6" x14ac:dyDescent="0.2">
      <c r="A663" s="9">
        <v>41426</v>
      </c>
      <c r="B663" s="4">
        <v>89.3</v>
      </c>
      <c r="C663" s="7">
        <f>(Table3[[#This Row],[Conference Board Leading Indicator]]-B651)/B651</f>
        <v>2.6436781609195371E-2</v>
      </c>
      <c r="E663" s="4">
        <v>1606.280029</v>
      </c>
      <c r="F663" s="7">
        <f>(Table3[[#This Row],[S&amp;P 500]]-E652)/E652</f>
        <v>0.16454491480252975</v>
      </c>
    </row>
    <row r="664" spans="1:6" x14ac:dyDescent="0.2">
      <c r="A664" s="9">
        <v>41456</v>
      </c>
      <c r="B664" s="4">
        <v>89.4</v>
      </c>
      <c r="C664" s="7">
        <f>(Table3[[#This Row],[Conference Board Leading Indicator]]-B652)/B652</f>
        <v>2.522935779816517E-2</v>
      </c>
      <c r="D664" s="6">
        <v>1.9174180691829863E-2</v>
      </c>
      <c r="E664" s="4">
        <v>1685.7299800000001</v>
      </c>
      <c r="F664" s="7">
        <f>(Table3[[#This Row],[S&amp;P 500]]-E653)/E653</f>
        <v>0.19846011796857996</v>
      </c>
    </row>
    <row r="665" spans="1:6" x14ac:dyDescent="0.2">
      <c r="A665" s="9">
        <v>41487</v>
      </c>
      <c r="B665" s="4">
        <v>90.1</v>
      </c>
      <c r="C665" s="7">
        <f>(Table3[[#This Row],[Conference Board Leading Indicator]]-B653)/B653</f>
        <v>3.6823935558112642E-2</v>
      </c>
      <c r="E665" s="4">
        <v>1632.969971</v>
      </c>
      <c r="F665" s="7">
        <f>(Table3[[#This Row],[S&amp;P 500]]-E654)/E654</f>
        <v>0.13347950684535786</v>
      </c>
    </row>
    <row r="666" spans="1:6" x14ac:dyDescent="0.2">
      <c r="A666" s="9">
        <v>41518</v>
      </c>
      <c r="B666" s="4">
        <v>90.9</v>
      </c>
      <c r="C666" s="7">
        <f>(Table3[[#This Row],[Conference Board Leading Indicator]]-B654)/B654</f>
        <v>4.0045766590389012E-2</v>
      </c>
      <c r="E666" s="4">
        <v>1681.5500489999999</v>
      </c>
      <c r="F666" s="7">
        <f>(Table3[[#This Row],[S&amp;P 500]]-E655)/E655</f>
        <v>0.19076450863500358</v>
      </c>
    </row>
    <row r="667" spans="1:6" x14ac:dyDescent="0.2">
      <c r="A667" s="9">
        <v>41548</v>
      </c>
      <c r="B667" s="4">
        <v>90.8</v>
      </c>
      <c r="C667" s="7">
        <f>(Table3[[#This Row],[Conference Board Leading Indicator]]-B655)/B655</f>
        <v>3.7714285714285679E-2</v>
      </c>
      <c r="D667" s="6">
        <v>2.6141227446924854E-2</v>
      </c>
      <c r="E667" s="4">
        <v>1756.540039</v>
      </c>
      <c r="F667" s="7">
        <f>(Table3[[#This Row],[S&amp;P 500]]-E656)/E656</f>
        <v>0.2403366606094002</v>
      </c>
    </row>
    <row r="668" spans="1:6" x14ac:dyDescent="0.2">
      <c r="A668" s="9">
        <v>41579</v>
      </c>
      <c r="B668" s="4">
        <v>91.8</v>
      </c>
      <c r="C668" s="7">
        <f>(Table3[[#This Row],[Conference Board Leading Indicator]]-B656)/B656</f>
        <v>4.9142857142857113E-2</v>
      </c>
      <c r="E668" s="4">
        <v>1805.8100589999999</v>
      </c>
      <c r="F668" s="7">
        <f>(Table3[[#This Row],[S&amp;P 500]]-E657)/E657</f>
        <v>0.26617781200575708</v>
      </c>
    </row>
    <row r="669" spans="1:6" x14ac:dyDescent="0.2">
      <c r="A669" s="9">
        <v>41609</v>
      </c>
      <c r="B669" s="4">
        <v>91.8</v>
      </c>
      <c r="C669" s="7">
        <f>(Table3[[#This Row],[Conference Board Leading Indicator]]-B657)/B657</f>
        <v>4.5558086560364468E-2</v>
      </c>
      <c r="E669" s="4">
        <v>1848.3599850000001</v>
      </c>
      <c r="F669" s="7">
        <f>(Table3[[#This Row],[S&amp;P 500]]-E658)/E658</f>
        <v>0.23379458351317242</v>
      </c>
    </row>
    <row r="670" spans="1:6" x14ac:dyDescent="0.2">
      <c r="A670" s="9">
        <v>41640</v>
      </c>
      <c r="B670" s="4">
        <v>92</v>
      </c>
      <c r="C670" s="7">
        <f>(Table3[[#This Row],[Conference Board Leading Indicator]]-B658)/B658</f>
        <v>4.3083900226757336E-2</v>
      </c>
      <c r="D670" s="6">
        <v>1.4257249176644771E-2</v>
      </c>
      <c r="E670" s="4">
        <v>1782.589966</v>
      </c>
      <c r="F670" s="7">
        <f>(Table3[[#This Row],[S&amp;P 500]]-E659)/E659</f>
        <v>0.17687557929643147</v>
      </c>
    </row>
    <row r="671" spans="1:6" x14ac:dyDescent="0.2">
      <c r="A671" s="9">
        <v>41671</v>
      </c>
      <c r="B671" s="4">
        <v>92.5</v>
      </c>
      <c r="C671" s="7">
        <f>(Table3[[#This Row],[Conference Board Leading Indicator]]-B659)/B659</f>
        <v>4.4018058690744988E-2</v>
      </c>
      <c r="E671" s="4">
        <v>1859.4499510000001</v>
      </c>
      <c r="F671" s="7">
        <f>(Table3[[#This Row],[S&amp;P 500]]-E660)/E660</f>
        <v>0.18497442687851129</v>
      </c>
    </row>
    <row r="672" spans="1:6" x14ac:dyDescent="0.2">
      <c r="A672" s="9">
        <v>41699</v>
      </c>
      <c r="B672" s="4">
        <v>93.4</v>
      </c>
      <c r="C672" s="7">
        <f>(Table3[[#This Row],[Conference Board Leading Indicator]]-B660)/B660</f>
        <v>5.5367231638418141E-2</v>
      </c>
      <c r="E672" s="4">
        <v>1872.339966</v>
      </c>
      <c r="F672" s="7">
        <f>(Table3[[#This Row],[S&amp;P 500]]-E661)/E661</f>
        <v>0.17199248188661151</v>
      </c>
    </row>
    <row r="673" spans="1:6" x14ac:dyDescent="0.2">
      <c r="A673" s="9">
        <v>41730</v>
      </c>
      <c r="B673" s="4">
        <v>93.5</v>
      </c>
      <c r="C673" s="7">
        <f>(Table3[[#This Row],[Conference Board Leading Indicator]]-B661)/B661</f>
        <v>5.1743532058492622E-2</v>
      </c>
      <c r="D673" s="6">
        <v>2.6720123780876529E-2</v>
      </c>
      <c r="E673" s="4">
        <v>1883.9499510000001</v>
      </c>
      <c r="F673" s="7">
        <f>(Table3[[#This Row],[S&amp;P 500]]-E662)/E662</f>
        <v>0.15527304325197791</v>
      </c>
    </row>
    <row r="674" spans="1:6" x14ac:dyDescent="0.2">
      <c r="A674" s="9">
        <v>41760</v>
      </c>
      <c r="B674" s="4">
        <v>94</v>
      </c>
      <c r="C674" s="7">
        <f>(Table3[[#This Row],[Conference Board Leading Indicator]]-B662)/B662</f>
        <v>5.381165919282508E-2</v>
      </c>
      <c r="E674" s="4">
        <v>1923.5699460000001</v>
      </c>
      <c r="F674" s="7">
        <f>(Table3[[#This Row],[S&amp;P 500]]-E663)/E663</f>
        <v>0.19753088581791742</v>
      </c>
    </row>
    <row r="675" spans="1:6" x14ac:dyDescent="0.2">
      <c r="A675" s="9">
        <v>41791</v>
      </c>
      <c r="B675" s="4">
        <v>94.7</v>
      </c>
      <c r="C675" s="7">
        <f>(Table3[[#This Row],[Conference Board Leading Indicator]]-B663)/B663</f>
        <v>6.0470324748040379E-2</v>
      </c>
      <c r="E675" s="4">
        <v>1960.2299800000001</v>
      </c>
      <c r="F675" s="7">
        <f>(Table3[[#This Row],[S&amp;P 500]]-E664)/E664</f>
        <v>0.16283746700643004</v>
      </c>
    </row>
    <row r="676" spans="1:6" x14ac:dyDescent="0.2">
      <c r="A676" s="9">
        <v>41821</v>
      </c>
      <c r="B676" s="4">
        <v>95.2</v>
      </c>
      <c r="C676" s="7">
        <f>(Table3[[#This Row],[Conference Board Leading Indicator]]-B664)/B664</f>
        <v>6.4876957494407125E-2</v>
      </c>
      <c r="D676" s="6">
        <v>3.1177281686652052E-2</v>
      </c>
      <c r="E676" s="4">
        <v>1930.670044</v>
      </c>
      <c r="F676" s="7">
        <f>(Table3[[#This Row],[S&amp;P 500]]-E665)/E665</f>
        <v>0.18230590781635383</v>
      </c>
    </row>
    <row r="677" spans="1:6" x14ac:dyDescent="0.2">
      <c r="A677" s="9">
        <v>41852</v>
      </c>
      <c r="B677" s="4">
        <v>95.5</v>
      </c>
      <c r="C677" s="7">
        <f>(Table3[[#This Row],[Conference Board Leading Indicator]]-B665)/B665</f>
        <v>5.9933407325194296E-2</v>
      </c>
      <c r="E677" s="4">
        <v>2003.369995</v>
      </c>
      <c r="F677" s="7">
        <f>(Table3[[#This Row],[S&amp;P 500]]-E666)/E666</f>
        <v>0.19138291256414461</v>
      </c>
    </row>
    <row r="678" spans="1:6" x14ac:dyDescent="0.2">
      <c r="A678" s="9">
        <v>41883</v>
      </c>
      <c r="B678" s="4">
        <v>96.1</v>
      </c>
      <c r="C678" s="7">
        <f>(Table3[[#This Row],[Conference Board Leading Indicator]]-B666)/B666</f>
        <v>5.7205720572057077E-2</v>
      </c>
      <c r="E678" s="4">
        <v>1972.290039</v>
      </c>
      <c r="F678" s="7">
        <f>(Table3[[#This Row],[S&amp;P 500]]-E667)/E667</f>
        <v>0.12282669065877183</v>
      </c>
    </row>
    <row r="679" spans="1:6" x14ac:dyDescent="0.2">
      <c r="A679" s="9">
        <v>41913</v>
      </c>
      <c r="B679" s="4">
        <v>96.4</v>
      </c>
      <c r="C679" s="7">
        <f>(Table3[[#This Row],[Conference Board Leading Indicator]]-B667)/B667</f>
        <v>6.1674008810572785E-2</v>
      </c>
      <c r="D679" s="6">
        <v>2.8768548833451736E-2</v>
      </c>
      <c r="E679" s="4">
        <v>2018.0500489999999</v>
      </c>
      <c r="F679" s="7">
        <f>(Table3[[#This Row],[S&amp;P 500]]-E668)/E668</f>
        <v>0.11753173537948491</v>
      </c>
    </row>
    <row r="680" spans="1:6" x14ac:dyDescent="0.2">
      <c r="A680" s="9">
        <v>41944</v>
      </c>
      <c r="B680" s="4">
        <v>96.8</v>
      </c>
      <c r="C680" s="7">
        <f>(Table3[[#This Row],[Conference Board Leading Indicator]]-B668)/B668</f>
        <v>5.4466230936819175E-2</v>
      </c>
      <c r="E680" s="4">
        <v>2067.5600589999999</v>
      </c>
      <c r="F680" s="7">
        <f>(Table3[[#This Row],[S&amp;P 500]]-E669)/E669</f>
        <v>0.11859165734969092</v>
      </c>
    </row>
    <row r="681" spans="1:6" x14ac:dyDescent="0.2">
      <c r="A681" s="9">
        <v>41974</v>
      </c>
      <c r="B681" s="4">
        <v>97.3</v>
      </c>
      <c r="C681" s="7">
        <f>(Table3[[#This Row],[Conference Board Leading Indicator]]-B669)/B669</f>
        <v>5.9912854030501089E-2</v>
      </c>
      <c r="E681" s="4">
        <v>2058.8999020000001</v>
      </c>
      <c r="F681" s="7">
        <f>(Table3[[#This Row],[S&amp;P 500]]-E670)/E670</f>
        <v>0.15500476344541486</v>
      </c>
    </row>
    <row r="682" spans="1:6" x14ac:dyDescent="0.2">
      <c r="A682" s="9">
        <v>42005</v>
      </c>
      <c r="B682" s="4">
        <v>97.4</v>
      </c>
      <c r="C682" s="7">
        <f>(Table3[[#This Row],[Conference Board Leading Indicator]]-B670)/B670</f>
        <v>5.8695652173913107E-2</v>
      </c>
      <c r="D682" s="6">
        <v>3.9782048489035673E-2</v>
      </c>
      <c r="E682" s="4">
        <v>1994.98999</v>
      </c>
      <c r="F682" s="7">
        <f>(Table3[[#This Row],[S&amp;P 500]]-E671)/E671</f>
        <v>7.2892544877105961E-2</v>
      </c>
    </row>
    <row r="683" spans="1:6" x14ac:dyDescent="0.2">
      <c r="A683" s="9">
        <v>42036</v>
      </c>
      <c r="B683" s="4">
        <v>97.4</v>
      </c>
      <c r="C683" s="7">
        <f>(Table3[[#This Row],[Conference Board Leading Indicator]]-B671)/B671</f>
        <v>5.2972972972973036E-2</v>
      </c>
      <c r="E683" s="4">
        <v>2104.5</v>
      </c>
      <c r="F683" s="7">
        <f>(Table3[[#This Row],[S&amp;P 500]]-E672)/E672</f>
        <v>0.12399459404585503</v>
      </c>
    </row>
    <row r="684" spans="1:6" x14ac:dyDescent="0.2">
      <c r="A684" s="9">
        <v>42064</v>
      </c>
      <c r="B684" s="4">
        <v>97.9</v>
      </c>
      <c r="C684" s="7">
        <f>(Table3[[#This Row],[Conference Board Leading Indicator]]-B672)/B672</f>
        <v>4.8179871520342608E-2</v>
      </c>
      <c r="E684" s="4">
        <v>2067.889893</v>
      </c>
      <c r="F684" s="7">
        <f>(Table3[[#This Row],[S&amp;P 500]]-E673)/E673</f>
        <v>9.7635259313743825E-2</v>
      </c>
    </row>
    <row r="685" spans="1:6" x14ac:dyDescent="0.2">
      <c r="A685" s="9">
        <v>42095</v>
      </c>
      <c r="B685" s="4">
        <v>98.4</v>
      </c>
      <c r="C685" s="7">
        <f>(Table3[[#This Row],[Conference Board Leading Indicator]]-B673)/B673</f>
        <v>5.2406417112299528E-2</v>
      </c>
      <c r="D685" s="6">
        <v>3.3500272393006146E-2</v>
      </c>
      <c r="E685" s="4">
        <v>2085.51001</v>
      </c>
      <c r="F685" s="7">
        <f>(Table3[[#This Row],[S&amp;P 500]]-E674)/E674</f>
        <v>8.4187250033069441E-2</v>
      </c>
    </row>
    <row r="686" spans="1:6" x14ac:dyDescent="0.2">
      <c r="A686" s="9">
        <v>42125</v>
      </c>
      <c r="B686" s="4">
        <v>98.8</v>
      </c>
      <c r="C686" s="7">
        <f>(Table3[[#This Row],[Conference Board Leading Indicator]]-B674)/B674</f>
        <v>5.1063829787234012E-2</v>
      </c>
      <c r="E686" s="4">
        <v>2107.389893</v>
      </c>
      <c r="F686" s="7">
        <f>(Table3[[#This Row],[S&amp;P 500]]-E675)/E675</f>
        <v>7.5072779470498632E-2</v>
      </c>
    </row>
    <row r="687" spans="1:6" x14ac:dyDescent="0.2">
      <c r="A687" s="9">
        <v>42156</v>
      </c>
      <c r="B687" s="4">
        <v>99.3</v>
      </c>
      <c r="C687" s="7">
        <f>(Table3[[#This Row],[Conference Board Leading Indicator]]-B675)/B675</f>
        <v>4.8574445617740172E-2</v>
      </c>
      <c r="E687" s="4">
        <v>2063.110107</v>
      </c>
      <c r="F687" s="7">
        <f>(Table3[[#This Row],[S&amp;P 500]]-E676)/E676</f>
        <v>6.8597978930469178E-2</v>
      </c>
    </row>
    <row r="688" spans="1:6" x14ac:dyDescent="0.2">
      <c r="A688" s="9">
        <v>42186</v>
      </c>
      <c r="B688" s="4">
        <v>99.1</v>
      </c>
      <c r="C688" s="7">
        <f>(Table3[[#This Row],[Conference Board Leading Indicator]]-B676)/B676</f>
        <v>4.0966386554621759E-2</v>
      </c>
      <c r="D688" s="6">
        <v>2.4410254460905882E-2</v>
      </c>
      <c r="E688" s="4">
        <v>2103.8400879999999</v>
      </c>
      <c r="F688" s="7">
        <f>(Table3[[#This Row],[S&amp;P 500]]-E677)/E677</f>
        <v>5.015054296048789E-2</v>
      </c>
    </row>
    <row r="689" spans="1:6" x14ac:dyDescent="0.2">
      <c r="A689" s="9">
        <v>42217</v>
      </c>
      <c r="B689" s="4">
        <v>99.1</v>
      </c>
      <c r="C689" s="7">
        <f>(Table3[[#This Row],[Conference Board Leading Indicator]]-B677)/B677</f>
        <v>3.7696335078533968E-2</v>
      </c>
      <c r="E689" s="4">
        <v>1972.1800539999999</v>
      </c>
      <c r="F689" s="7">
        <f>(Table3[[#This Row],[S&amp;P 500]]-E678)/E678</f>
        <v>-5.5765124715539625E-5</v>
      </c>
    </row>
    <row r="690" spans="1:6" x14ac:dyDescent="0.2">
      <c r="A690" s="9">
        <v>42248</v>
      </c>
      <c r="B690" s="4">
        <v>99</v>
      </c>
      <c r="C690" s="7">
        <f>(Table3[[#This Row],[Conference Board Leading Indicator]]-B678)/B678</f>
        <v>3.0176899063475607E-2</v>
      </c>
      <c r="E690" s="4">
        <v>1920.030029</v>
      </c>
      <c r="F690" s="7">
        <f>(Table3[[#This Row],[S&amp;P 500]]-E679)/E679</f>
        <v>-4.8571649671707393E-2</v>
      </c>
    </row>
    <row r="691" spans="1:6" x14ac:dyDescent="0.2">
      <c r="A691" s="9">
        <v>42278</v>
      </c>
      <c r="B691" s="4">
        <v>99.4</v>
      </c>
      <c r="C691" s="7">
        <f>(Table3[[#This Row],[Conference Board Leading Indicator]]-B679)/B679</f>
        <v>3.1120331950207466E-2</v>
      </c>
      <c r="D691" s="6">
        <v>1.9008532793312233E-2</v>
      </c>
      <c r="E691" s="4">
        <v>2079.360107</v>
      </c>
      <c r="F691" s="7">
        <f>(Table3[[#This Row],[S&amp;P 500]]-E680)/E680</f>
        <v>5.7072334845292448E-3</v>
      </c>
    </row>
    <row r="692" spans="1:6" x14ac:dyDescent="0.2">
      <c r="A692" s="9">
        <v>42309</v>
      </c>
      <c r="B692" s="4">
        <v>99.8</v>
      </c>
      <c r="C692" s="7">
        <f>(Table3[[#This Row],[Conference Board Leading Indicator]]-B680)/B680</f>
        <v>3.0991735537190084E-2</v>
      </c>
      <c r="E692" s="4">
        <v>2080.4099120000001</v>
      </c>
      <c r="F692" s="7">
        <f>(Table3[[#This Row],[S&amp;P 500]]-E681)/E681</f>
        <v>1.04473315964051E-2</v>
      </c>
    </row>
    <row r="693" spans="1:6" x14ac:dyDescent="0.2">
      <c r="A693" s="9">
        <v>42339</v>
      </c>
      <c r="B693" s="4">
        <v>99.6</v>
      </c>
      <c r="C693" s="7">
        <f>(Table3[[#This Row],[Conference Board Leading Indicator]]-B681)/B681</f>
        <v>2.3638232271325769E-2</v>
      </c>
      <c r="E693" s="4">
        <v>2043.9399410000001</v>
      </c>
      <c r="F693" s="7">
        <f>(Table3[[#This Row],[S&amp;P 500]]-E682)/E682</f>
        <v>2.4536439403387712E-2</v>
      </c>
    </row>
    <row r="694" spans="1:6" x14ac:dyDescent="0.2">
      <c r="A694" s="9">
        <v>42370</v>
      </c>
      <c r="B694" s="4">
        <v>99.3</v>
      </c>
      <c r="C694" s="7">
        <f>(Table3[[#This Row],[Conference Board Leading Indicator]]-B682)/B682</f>
        <v>1.9507186858316133E-2</v>
      </c>
      <c r="D694" s="6">
        <v>1.616308533949767E-2</v>
      </c>
      <c r="E694" s="4">
        <v>1940.23999</v>
      </c>
      <c r="F694" s="7">
        <f>(Table3[[#This Row],[S&amp;P 500]]-E683)/E683</f>
        <v>-7.8051798526966004E-2</v>
      </c>
    </row>
    <row r="695" spans="1:6" x14ac:dyDescent="0.2">
      <c r="A695" s="9">
        <v>42401</v>
      </c>
      <c r="B695" s="4">
        <v>99.2</v>
      </c>
      <c r="C695" s="7">
        <f>(Table3[[#This Row],[Conference Board Leading Indicator]]-B683)/B683</f>
        <v>1.8480492813141652E-2</v>
      </c>
      <c r="E695" s="4">
        <v>1932.2299800000001</v>
      </c>
      <c r="F695" s="7">
        <f>(Table3[[#This Row],[S&amp;P 500]]-E684)/E684</f>
        <v>-6.5603064002208916E-2</v>
      </c>
    </row>
    <row r="696" spans="1:6" x14ac:dyDescent="0.2">
      <c r="A696" s="9">
        <v>42430</v>
      </c>
      <c r="B696" s="4">
        <v>99.2</v>
      </c>
      <c r="C696" s="7">
        <f>(Table3[[#This Row],[Conference Board Leading Indicator]]-B684)/B684</f>
        <v>1.3278855975485159E-2</v>
      </c>
      <c r="E696" s="4">
        <v>2059.73999</v>
      </c>
      <c r="F696" s="7">
        <f>(Table3[[#This Row],[S&amp;P 500]]-E685)/E685</f>
        <v>-1.2356699261299606E-2</v>
      </c>
    </row>
    <row r="697" spans="1:6" x14ac:dyDescent="0.2">
      <c r="A697" s="9">
        <v>42461</v>
      </c>
      <c r="B697" s="4">
        <v>99.7</v>
      </c>
      <c r="C697" s="7">
        <f>(Table3[[#This Row],[Conference Board Leading Indicator]]-B685)/B685</f>
        <v>1.3211382113821108E-2</v>
      </c>
      <c r="D697" s="6">
        <v>1.3429417737404956E-2</v>
      </c>
      <c r="E697" s="4">
        <v>2065.3000489999999</v>
      </c>
      <c r="F697" s="7">
        <f>(Table3[[#This Row],[S&amp;P 500]]-E686)/E686</f>
        <v>-1.9972499697283156E-2</v>
      </c>
    </row>
    <row r="698" spans="1:6" x14ac:dyDescent="0.2">
      <c r="A698" s="9">
        <v>42491</v>
      </c>
      <c r="B698" s="4">
        <v>99.5</v>
      </c>
      <c r="C698" s="7">
        <f>(Table3[[#This Row],[Conference Board Leading Indicator]]-B686)/B686</f>
        <v>7.0850202429150085E-3</v>
      </c>
      <c r="E698" s="4">
        <v>2096.9499510000001</v>
      </c>
      <c r="F698" s="7">
        <f>(Table3[[#This Row],[S&amp;P 500]]-E687)/E687</f>
        <v>1.6402345122145286E-2</v>
      </c>
    </row>
    <row r="699" spans="1:6" x14ac:dyDescent="0.2">
      <c r="A699" s="9">
        <v>42522</v>
      </c>
      <c r="B699" s="4">
        <v>99.8</v>
      </c>
      <c r="C699" s="7">
        <f>(Table3[[#This Row],[Conference Board Leading Indicator]]-B687)/B687</f>
        <v>5.0352467270896274E-3</v>
      </c>
      <c r="E699" s="4">
        <v>2098.860107</v>
      </c>
      <c r="F699" s="7">
        <f>(Table3[[#This Row],[S&amp;P 500]]-E688)/E688</f>
        <v>-2.3670910295915766E-3</v>
      </c>
    </row>
    <row r="700" spans="1:6" x14ac:dyDescent="0.2">
      <c r="A700" s="9">
        <v>42552</v>
      </c>
      <c r="B700" s="4">
        <v>100.2</v>
      </c>
      <c r="C700" s="7">
        <f>(Table3[[#This Row],[Conference Board Leading Indicator]]-B688)/B688</f>
        <v>1.1099899091826525E-2</v>
      </c>
      <c r="D700" s="6">
        <v>1.556711585067171E-2</v>
      </c>
      <c r="E700" s="4">
        <v>2173.6000979999999</v>
      </c>
      <c r="F700" s="7">
        <f>(Table3[[#This Row],[S&amp;P 500]]-E689)/E689</f>
        <v>0.1021306566768472</v>
      </c>
    </row>
    <row r="701" spans="1:6" x14ac:dyDescent="0.2">
      <c r="A701" s="9">
        <v>42583</v>
      </c>
      <c r="B701" s="4">
        <v>100.2</v>
      </c>
      <c r="C701" s="7">
        <f>(Table3[[#This Row],[Conference Board Leading Indicator]]-B689)/B689</f>
        <v>1.1099899091826525E-2</v>
      </c>
      <c r="E701" s="4">
        <v>2170.9499510000001</v>
      </c>
      <c r="F701" s="7">
        <f>(Table3[[#This Row],[S&amp;P 500]]-E690)/E690</f>
        <v>0.13068541544148946</v>
      </c>
    </row>
    <row r="702" spans="1:6" x14ac:dyDescent="0.2">
      <c r="A702" s="9">
        <v>42614</v>
      </c>
      <c r="B702" s="4">
        <v>100.4</v>
      </c>
      <c r="C702" s="7">
        <f>(Table3[[#This Row],[Conference Board Leading Indicator]]-B690)/B690</f>
        <v>1.41414141414142E-2</v>
      </c>
      <c r="E702" s="4">
        <v>2168.2700199999999</v>
      </c>
      <c r="F702" s="7">
        <f>(Table3[[#This Row],[S&amp;P 500]]-E691)/E691</f>
        <v>4.2758304682624156E-2</v>
      </c>
    </row>
    <row r="703" spans="1:6" x14ac:dyDescent="0.2">
      <c r="A703" s="9">
        <v>42644</v>
      </c>
      <c r="B703" s="4">
        <v>100.5</v>
      </c>
      <c r="C703" s="7">
        <f>(Table3[[#This Row],[Conference Board Leading Indicator]]-B691)/B691</f>
        <v>1.1066398390341995E-2</v>
      </c>
      <c r="D703" s="6">
        <v>2.0340660220087192E-2</v>
      </c>
      <c r="E703" s="4">
        <v>2126.1499020000001</v>
      </c>
      <c r="F703" s="7">
        <f>(Table3[[#This Row],[S&amp;P 500]]-E692)/E692</f>
        <v>2.1986046949770556E-2</v>
      </c>
    </row>
    <row r="704" spans="1:6" x14ac:dyDescent="0.2">
      <c r="A704" s="9">
        <v>42675</v>
      </c>
      <c r="B704" s="4">
        <v>100.7</v>
      </c>
      <c r="C704" s="7">
        <f>(Table3[[#This Row],[Conference Board Leading Indicator]]-B692)/B692</f>
        <v>9.0180360721443462E-3</v>
      </c>
      <c r="E704" s="4">
        <v>2198.8100589999999</v>
      </c>
      <c r="F704" s="7">
        <f>(Table3[[#This Row],[S&amp;P 500]]-E693)/E693</f>
        <v>7.5770385857927613E-2</v>
      </c>
    </row>
    <row r="705" spans="1:6" x14ac:dyDescent="0.2">
      <c r="A705" s="9">
        <v>42705</v>
      </c>
      <c r="B705" s="4">
        <v>101.2</v>
      </c>
      <c r="C705" s="7">
        <f>(Table3[[#This Row],[Conference Board Leading Indicator]]-B693)/B693</f>
        <v>1.6064257028112535E-2</v>
      </c>
      <c r="E705" s="4">
        <v>2238.830078</v>
      </c>
      <c r="F705" s="7">
        <f>(Table3[[#This Row],[S&amp;P 500]]-E694)/E694</f>
        <v>0.15389337893195362</v>
      </c>
    </row>
    <row r="706" spans="1:6" x14ac:dyDescent="0.2">
      <c r="A706" s="9">
        <v>42736</v>
      </c>
      <c r="B706" s="4">
        <v>101.8</v>
      </c>
      <c r="C706" s="7">
        <f>(Table3[[#This Row],[Conference Board Leading Indicator]]-B694)/B694</f>
        <v>2.5176233635448138E-2</v>
      </c>
      <c r="D706" s="6">
        <v>2.0984244373375028E-2</v>
      </c>
      <c r="E706" s="4">
        <v>2278.8701169999999</v>
      </c>
      <c r="F706" s="7">
        <f>(Table3[[#This Row],[S&amp;P 500]]-E695)/E695</f>
        <v>0.179399005598702</v>
      </c>
    </row>
    <row r="707" spans="1:6" x14ac:dyDescent="0.2">
      <c r="A707" s="9">
        <v>42767</v>
      </c>
      <c r="B707" s="4">
        <v>102.1</v>
      </c>
      <c r="C707" s="7">
        <f>(Table3[[#This Row],[Conference Board Leading Indicator]]-B695)/B695</f>
        <v>2.9233870967741847E-2</v>
      </c>
      <c r="E707" s="4">
        <v>2363.639893</v>
      </c>
      <c r="F707" s="7">
        <f>(Table3[[#This Row],[S&amp;P 500]]-E696)/E696</f>
        <v>0.14754284738628587</v>
      </c>
    </row>
    <row r="708" spans="1:6" x14ac:dyDescent="0.2">
      <c r="A708" s="9">
        <v>42795</v>
      </c>
      <c r="B708" s="4">
        <v>102.6</v>
      </c>
      <c r="C708" s="7">
        <f>(Table3[[#This Row],[Conference Board Leading Indicator]]-B696)/B696</f>
        <v>3.4274193548387011E-2</v>
      </c>
      <c r="E708" s="4">
        <v>2362.719971</v>
      </c>
      <c r="F708" s="7">
        <f>(Table3[[#This Row],[S&amp;P 500]]-E697)/E697</f>
        <v>0.14400809322791047</v>
      </c>
    </row>
    <row r="709" spans="1:6" x14ac:dyDescent="0.2">
      <c r="A709" s="9">
        <v>42826</v>
      </c>
      <c r="B709" s="4">
        <v>102.8</v>
      </c>
      <c r="C709" s="7">
        <f>(Table3[[#This Row],[Conference Board Leading Indicator]]-B697)/B697</f>
        <v>3.1093279839518498E-2</v>
      </c>
      <c r="D709" s="6">
        <v>2.1635125469282663E-2</v>
      </c>
      <c r="E709" s="4">
        <v>2384.1999510000001</v>
      </c>
      <c r="F709" s="7">
        <f>(Table3[[#This Row],[S&amp;P 500]]-E698)/E698</f>
        <v>0.13698467140954668</v>
      </c>
    </row>
    <row r="710" spans="1:6" x14ac:dyDescent="0.2">
      <c r="A710" s="9">
        <v>42856</v>
      </c>
      <c r="B710" s="4">
        <v>103.2</v>
      </c>
      <c r="C710" s="7">
        <f>(Table3[[#This Row],[Conference Board Leading Indicator]]-B698)/B698</f>
        <v>3.7185929648241238E-2</v>
      </c>
      <c r="E710" s="4">
        <v>2411.8000489999999</v>
      </c>
      <c r="F710" s="7">
        <f>(Table3[[#This Row],[S&amp;P 500]]-E699)/E699</f>
        <v>0.14909995237715001</v>
      </c>
    </row>
    <row r="711" spans="1:6" x14ac:dyDescent="0.2">
      <c r="A711" s="9">
        <v>42887</v>
      </c>
      <c r="B711" s="4">
        <v>103.8</v>
      </c>
      <c r="C711" s="7">
        <f>(Table3[[#This Row],[Conference Board Leading Indicator]]-B699)/B699</f>
        <v>4.0080160320641281E-2</v>
      </c>
      <c r="E711" s="4">
        <v>2423.4099120000001</v>
      </c>
      <c r="F711" s="7">
        <f>(Table3[[#This Row],[S&amp;P 500]]-E700)/E700</f>
        <v>0.11492905904350037</v>
      </c>
    </row>
    <row r="712" spans="1:6" x14ac:dyDescent="0.2">
      <c r="A712" s="9">
        <v>42917</v>
      </c>
      <c r="B712" s="4">
        <v>104.1</v>
      </c>
      <c r="C712" s="7">
        <f>(Table3[[#This Row],[Conference Board Leading Indicator]]-B700)/B700</f>
        <v>3.8922155688622666E-2</v>
      </c>
      <c r="D712" s="6">
        <v>2.4160260058683734E-2</v>
      </c>
      <c r="E712" s="4">
        <v>2470.3000489999999</v>
      </c>
      <c r="F712" s="7">
        <f>(Table3[[#This Row],[S&amp;P 500]]-E701)/E701</f>
        <v>0.13788899088259077</v>
      </c>
    </row>
    <row r="713" spans="1:6" x14ac:dyDescent="0.2">
      <c r="A713" s="9">
        <v>42948</v>
      </c>
      <c r="B713" s="4">
        <v>104.5</v>
      </c>
      <c r="C713" s="7">
        <f>(Table3[[#This Row],[Conference Board Leading Indicator]]-B701)/B701</f>
        <v>4.2914171656686595E-2</v>
      </c>
      <c r="E713" s="4">
        <v>2471.6499020000001</v>
      </c>
      <c r="F713" s="7">
        <f>(Table3[[#This Row],[S&amp;P 500]]-E702)/E702</f>
        <v>0.13991794343031141</v>
      </c>
    </row>
    <row r="714" spans="1:6" x14ac:dyDescent="0.2">
      <c r="A714" s="9">
        <v>42979</v>
      </c>
      <c r="B714" s="4">
        <v>104.5</v>
      </c>
      <c r="C714" s="7">
        <f>(Table3[[#This Row],[Conference Board Leading Indicator]]-B702)/B702</f>
        <v>4.0836653386454126E-2</v>
      </c>
      <c r="E714" s="4">
        <v>2519.360107</v>
      </c>
      <c r="F714" s="7">
        <f>(Table3[[#This Row],[S&amp;P 500]]-E703)/E703</f>
        <v>0.18494001981239414</v>
      </c>
    </row>
    <row r="715" spans="1:6" x14ac:dyDescent="0.2">
      <c r="A715" s="9">
        <v>43009</v>
      </c>
      <c r="B715" s="4">
        <v>105.9</v>
      </c>
      <c r="C715" s="7">
        <f>(Table3[[#This Row],[Conference Board Leading Indicator]]-B703)/B703</f>
        <v>5.3731343283582145E-2</v>
      </c>
      <c r="D715" s="6">
        <v>2.7952566368781923E-2</v>
      </c>
      <c r="E715" s="4">
        <v>2575.26001</v>
      </c>
      <c r="F715" s="7">
        <f>(Table3[[#This Row],[S&amp;P 500]]-E704)/E704</f>
        <v>0.17120621649839382</v>
      </c>
    </row>
    <row r="716" spans="1:6" x14ac:dyDescent="0.2">
      <c r="A716" s="9">
        <v>43040</v>
      </c>
      <c r="B716" s="4">
        <v>106.3</v>
      </c>
      <c r="C716" s="7">
        <f>(Table3[[#This Row],[Conference Board Leading Indicator]]-B704)/B704</f>
        <v>5.5610724925521292E-2</v>
      </c>
      <c r="E716" s="4">
        <v>2584.8400879999999</v>
      </c>
      <c r="F716" s="7">
        <f>(Table3[[#This Row],[S&amp;P 500]]-E705)/E705</f>
        <v>0.15454947358447985</v>
      </c>
    </row>
    <row r="717" spans="1:6" x14ac:dyDescent="0.2">
      <c r="A717" s="9">
        <v>43070</v>
      </c>
      <c r="B717" s="4">
        <v>107</v>
      </c>
      <c r="C717" s="7">
        <f>(Table3[[#This Row],[Conference Board Leading Indicator]]-B705)/B705</f>
        <v>5.7312252964426845E-2</v>
      </c>
      <c r="E717" s="4">
        <v>2673.610107</v>
      </c>
      <c r="F717" s="7">
        <f>(Table3[[#This Row],[S&amp;P 500]]-E706)/E706</f>
        <v>0.17321741465443949</v>
      </c>
    </row>
    <row r="718" spans="1:6" x14ac:dyDescent="0.2">
      <c r="A718" s="9">
        <v>43101</v>
      </c>
      <c r="B718" s="4">
        <v>107.9</v>
      </c>
      <c r="C718" s="7">
        <f>(Table3[[#This Row],[Conference Board Leading Indicator]]-B706)/B706</f>
        <v>5.99214145383105E-2</v>
      </c>
      <c r="D718" s="6">
        <v>2.8618726561004181E-2</v>
      </c>
      <c r="E718" s="4">
        <v>2823.8100589999999</v>
      </c>
      <c r="F718" s="7">
        <f>(Table3[[#This Row],[S&amp;P 500]]-E707)/E707</f>
        <v>0.19468708721781583</v>
      </c>
    </row>
    <row r="719" spans="1:6" x14ac:dyDescent="0.2">
      <c r="A719" s="9">
        <v>43132</v>
      </c>
      <c r="B719" s="4">
        <v>108.7</v>
      </c>
      <c r="C719" s="7">
        <f>(Table3[[#This Row],[Conference Board Leading Indicator]]-B707)/B707</f>
        <v>6.4642507345739564E-2</v>
      </c>
      <c r="E719" s="4">
        <v>2713.830078</v>
      </c>
      <c r="F719" s="7">
        <f>(Table3[[#This Row],[S&amp;P 500]]-E708)/E708</f>
        <v>0.14860419825858406</v>
      </c>
    </row>
    <row r="720" spans="1:6" x14ac:dyDescent="0.2">
      <c r="A720" s="9">
        <v>43160</v>
      </c>
      <c r="B720" s="4">
        <v>109</v>
      </c>
      <c r="C720" s="7">
        <f>(Table3[[#This Row],[Conference Board Leading Indicator]]-B708)/B708</f>
        <v>6.2378167641325595E-2</v>
      </c>
      <c r="E720" s="4">
        <v>2640.8701169999999</v>
      </c>
      <c r="F720" s="7">
        <f>(Table3[[#This Row],[S&amp;P 500]]-E709)/E709</f>
        <v>0.10765463101882258</v>
      </c>
    </row>
    <row r="721" spans="1:6" x14ac:dyDescent="0.2">
      <c r="A721" s="9">
        <v>43191</v>
      </c>
      <c r="B721" s="4">
        <v>109.4</v>
      </c>
      <c r="C721" s="7">
        <f>(Table3[[#This Row],[Conference Board Leading Indicator]]-B709)/B709</f>
        <v>6.4202334630350286E-2</v>
      </c>
      <c r="D721" s="6">
        <v>3.2022943393747109E-2</v>
      </c>
      <c r="E721" s="4">
        <v>2648.0500489999999</v>
      </c>
      <c r="F721" s="7">
        <f>(Table3[[#This Row],[S&amp;P 500]]-E710)/E710</f>
        <v>9.7955881582287838E-2</v>
      </c>
    </row>
    <row r="722" spans="1:6" x14ac:dyDescent="0.2">
      <c r="A722" s="9">
        <v>43221</v>
      </c>
      <c r="B722" s="4">
        <v>109.4</v>
      </c>
      <c r="C722" s="7">
        <f>(Table3[[#This Row],[Conference Board Leading Indicator]]-B710)/B710</f>
        <v>6.0077519379844985E-2</v>
      </c>
      <c r="E722" s="4">
        <v>2705.2700199999999</v>
      </c>
      <c r="F722" s="7">
        <f>(Table3[[#This Row],[S&amp;P 500]]-E711)/E711</f>
        <v>0.11630723576903479</v>
      </c>
    </row>
    <row r="723" spans="1:6" x14ac:dyDescent="0.2">
      <c r="A723" s="9">
        <v>43252</v>
      </c>
      <c r="B723" s="4">
        <v>109.9</v>
      </c>
      <c r="C723" s="7">
        <f>(Table3[[#This Row],[Conference Board Leading Indicator]]-B711)/B711</f>
        <v>5.8766859344894111E-2</v>
      </c>
      <c r="E723" s="4">
        <v>2718.3701169999999</v>
      </c>
      <c r="F723" s="7">
        <f>(Table3[[#This Row],[S&amp;P 500]]-E712)/E712</f>
        <v>0.10042102703289871</v>
      </c>
    </row>
    <row r="724" spans="1:6" x14ac:dyDescent="0.2">
      <c r="A724" s="9">
        <v>43282</v>
      </c>
      <c r="B724" s="4">
        <v>110.7</v>
      </c>
      <c r="C724" s="7">
        <f>(Table3[[#This Row],[Conference Board Leading Indicator]]-B712)/B712</f>
        <v>6.3400576368876166E-2</v>
      </c>
      <c r="D724" s="6">
        <v>3.1335380435925618E-2</v>
      </c>
      <c r="E724" s="4">
        <v>2816.290039</v>
      </c>
      <c r="F724" s="7">
        <f>(Table3[[#This Row],[S&amp;P 500]]-E713)/E713</f>
        <v>0.13943727900991371</v>
      </c>
    </row>
    <row r="725" spans="1:6" x14ac:dyDescent="0.2">
      <c r="A725" s="9">
        <v>43313</v>
      </c>
      <c r="B725" s="4">
        <v>111.3</v>
      </c>
      <c r="C725" s="7">
        <f>(Table3[[#This Row],[Conference Board Leading Indicator]]-B713)/B713</f>
        <v>6.5071770334928197E-2</v>
      </c>
      <c r="E725" s="4">
        <v>2901.5200199999999</v>
      </c>
      <c r="F725" s="7">
        <f>(Table3[[#This Row],[S&amp;P 500]]-E714)/E714</f>
        <v>0.1516892769470212</v>
      </c>
    </row>
    <row r="726" spans="1:6" x14ac:dyDescent="0.2">
      <c r="A726" s="9">
        <v>43344</v>
      </c>
      <c r="B726" s="4">
        <v>111.8</v>
      </c>
      <c r="C726" s="7">
        <f>(Table3[[#This Row],[Conference Board Leading Indicator]]-B714)/B714</f>
        <v>6.9856459330143519E-2</v>
      </c>
      <c r="E726" s="4">
        <v>2913.9799800000001</v>
      </c>
      <c r="F726" s="7">
        <f>(Table3[[#This Row],[S&amp;P 500]]-E715)/E715</f>
        <v>0.13152845486852416</v>
      </c>
    </row>
    <row r="727" spans="1:6" x14ac:dyDescent="0.2">
      <c r="A727" s="9">
        <v>43374</v>
      </c>
      <c r="B727" s="4">
        <v>112.1</v>
      </c>
      <c r="C727" s="7">
        <f>(Table3[[#This Row],[Conference Board Leading Indicator]]-B715)/B715</f>
        <v>5.8545797922568352E-2</v>
      </c>
      <c r="D727" s="6">
        <v>2.51649559797197E-2</v>
      </c>
      <c r="E727" s="4">
        <v>2711.73999</v>
      </c>
      <c r="F727" s="7">
        <f>(Table3[[#This Row],[S&amp;P 500]]-E716)/E716</f>
        <v>4.9093908203113615E-2</v>
      </c>
    </row>
    <row r="728" spans="1:6" x14ac:dyDescent="0.2">
      <c r="A728" s="9">
        <v>43405</v>
      </c>
      <c r="B728" s="4">
        <v>111.8</v>
      </c>
      <c r="C728" s="7">
        <f>(Table3[[#This Row],[Conference Board Leading Indicator]]-B716)/B716</f>
        <v>5.1740357478833494E-2</v>
      </c>
      <c r="E728" s="4">
        <v>2760.169922</v>
      </c>
      <c r="F728" s="7">
        <f>(Table3[[#This Row],[S&amp;P 500]]-E717)/E717</f>
        <v>3.2375631275992953E-2</v>
      </c>
    </row>
    <row r="729" spans="1:6" x14ac:dyDescent="0.2">
      <c r="A729" s="9">
        <v>43435</v>
      </c>
      <c r="B729" s="4">
        <v>111.7</v>
      </c>
      <c r="C729" s="7">
        <f>(Table3[[#This Row],[Conference Board Leading Indicator]]-B717)/B717</f>
        <v>4.392523364485984E-2</v>
      </c>
      <c r="E729" s="4">
        <v>2506.8500979999999</v>
      </c>
      <c r="F729" s="7">
        <f>(Table3[[#This Row],[S&amp;P 500]]-E718)/E718</f>
        <v>-0.11224549611252732</v>
      </c>
    </row>
    <row r="730" spans="1:6" x14ac:dyDescent="0.2">
      <c r="A730" s="9">
        <v>43466</v>
      </c>
      <c r="B730" s="4">
        <v>111</v>
      </c>
      <c r="C730" s="7">
        <f>(Table3[[#This Row],[Conference Board Leading Indicator]]-B718)/B718</f>
        <v>2.873030583873952E-2</v>
      </c>
      <c r="D730" s="6">
        <v>2.6522413673225144E-2</v>
      </c>
      <c r="E730" s="4">
        <v>2704.1</v>
      </c>
      <c r="F730" s="7">
        <f>(Table3[[#This Row],[S&amp;P 500]]-E719)/E719</f>
        <v>-3.5853674402381093E-3</v>
      </c>
    </row>
    <row r="731" spans="1:6" x14ac:dyDescent="0.2">
      <c r="A731" s="9">
        <v>43497</v>
      </c>
      <c r="B731" s="4">
        <v>111.1</v>
      </c>
      <c r="C731" s="7">
        <f>(Table3[[#This Row],[Conference Board Leading Indicator]]-B719)/B719</f>
        <v>2.2079116835326509E-2</v>
      </c>
      <c r="E731" s="4">
        <v>2784.49</v>
      </c>
      <c r="F731" s="7">
        <f>(Table3[[#This Row],[S&amp;P 500]]-E720)/E720</f>
        <v>5.4383546572578316E-2</v>
      </c>
    </row>
    <row r="732" spans="1:6" x14ac:dyDescent="0.2">
      <c r="A732" s="9">
        <v>43525</v>
      </c>
      <c r="B732" s="4">
        <v>111.5</v>
      </c>
      <c r="C732" s="7">
        <f>(Table3[[#This Row],[Conference Board Leading Indicator]]-B720)/B720</f>
        <v>2.2935779816513763E-2</v>
      </c>
      <c r="E732" s="4">
        <v>2834.4</v>
      </c>
      <c r="F732" s="7">
        <f>(Table3[[#This Row],[S&amp;P 500]]-E721)/E721</f>
        <v>7.0372518476519236E-2</v>
      </c>
    </row>
    <row r="733" spans="1:6" x14ac:dyDescent="0.2">
      <c r="A733" s="9">
        <v>43556</v>
      </c>
      <c r="B733" s="4">
        <v>111.5</v>
      </c>
      <c r="C733" s="7">
        <f>(Table3[[#This Row],[Conference Board Leading Indicator]]-B721)/B721</f>
        <v>1.9195612431444187E-2</v>
      </c>
      <c r="D733" s="6">
        <v>2.2845677805866153E-2</v>
      </c>
      <c r="E733" s="4">
        <v>2945.83</v>
      </c>
      <c r="F733" s="7">
        <f>(Table3[[#This Row],[S&amp;P 500]]-E722)/E722</f>
        <v>8.8922724246210366E-2</v>
      </c>
    </row>
    <row r="734" spans="1:6" x14ac:dyDescent="0.2">
      <c r="A734" s="9">
        <v>43586</v>
      </c>
      <c r="B734" s="4">
        <v>111.4</v>
      </c>
      <c r="C734" s="7">
        <f>(Table3[[#This Row],[Conference Board Leading Indicator]]-B722)/B722</f>
        <v>1.8281535648994516E-2</v>
      </c>
      <c r="E734" s="4">
        <v>2752.06</v>
      </c>
      <c r="F734" s="7">
        <f>(Table3[[#This Row],[S&amp;P 500]]-E723)/E723</f>
        <v>1.2393412798835593E-2</v>
      </c>
    </row>
    <row r="735" spans="1:6" x14ac:dyDescent="0.2">
      <c r="A735" s="9">
        <v>43617</v>
      </c>
      <c r="B735" s="4">
        <v>111.5</v>
      </c>
      <c r="C735" s="7">
        <f>(Table3[[#This Row],[Conference Board Leading Indicator]]-B723)/B723</f>
        <v>1.4558689717925333E-2</v>
      </c>
      <c r="E735" s="4">
        <v>2941.76</v>
      </c>
      <c r="F735" s="7">
        <f>(Table3[[#This Row],[S&amp;P 500]]-E724)/E724</f>
        <v>4.4551505442440777E-2</v>
      </c>
    </row>
    <row r="736" spans="1:6" x14ac:dyDescent="0.2">
      <c r="A736" s="9">
        <v>43647</v>
      </c>
      <c r="B736" s="4">
        <v>112</v>
      </c>
      <c r="C736" s="7">
        <f>(Table3[[#This Row],[Conference Board Leading Indicator]]-B724)/B724</f>
        <v>1.1743450767840986E-2</v>
      </c>
      <c r="D736" s="6">
        <v>2.0733347853381667E-2</v>
      </c>
      <c r="E736" s="4">
        <v>2980.38</v>
      </c>
      <c r="F736" s="7">
        <f>(Table3[[#This Row],[S&amp;P 500]]-E725)/E725</f>
        <v>2.7178850897606483E-2</v>
      </c>
    </row>
    <row r="737" spans="1:6" x14ac:dyDescent="0.2">
      <c r="A737" s="9">
        <v>43678</v>
      </c>
      <c r="B737" s="4">
        <v>111.8</v>
      </c>
      <c r="C737" s="7">
        <f>(Table3[[#This Row],[Conference Board Leading Indicator]]-B725)/B725</f>
        <v>4.4923629829290209E-3</v>
      </c>
      <c r="E737" s="4">
        <v>2926.46</v>
      </c>
      <c r="F737" s="7">
        <f>(Table3[[#This Row],[S&amp;P 500]]-E726)/E726</f>
        <v>4.2828091083865196E-3</v>
      </c>
    </row>
    <row r="738" spans="1:6" x14ac:dyDescent="0.2">
      <c r="A738" s="9">
        <v>43709</v>
      </c>
      <c r="B738" s="4">
        <v>111.7</v>
      </c>
      <c r="C738" s="7">
        <f>(Table3[[#This Row],[Conference Board Leading Indicator]]-B726)/B726</f>
        <v>-8.94454382826425E-4</v>
      </c>
      <c r="E738" s="4">
        <v>2976.74</v>
      </c>
      <c r="F738" s="7">
        <f>(Table3[[#This Row],[S&amp;P 500]]-E727)/E727</f>
        <v>9.7723237101356372E-2</v>
      </c>
    </row>
    <row r="739" spans="1:6" x14ac:dyDescent="0.2">
      <c r="A739" s="9">
        <v>43739</v>
      </c>
      <c r="B739" s="4">
        <v>111.4</v>
      </c>
      <c r="C739" s="7">
        <f>(Table3[[#This Row],[Conference Board Leading Indicator]]-B727)/B727</f>
        <v>-6.2444246208741188E-3</v>
      </c>
      <c r="D739" s="6">
        <v>2.3223461297088334E-2</v>
      </c>
      <c r="E739" s="4">
        <v>3037.56</v>
      </c>
      <c r="F739" s="7">
        <f>(Table3[[#This Row],[S&amp;P 500]]-E728)/E728</f>
        <v>0.10049746422821859</v>
      </c>
    </row>
    <row r="740" spans="1:6" x14ac:dyDescent="0.2">
      <c r="A740" s="9">
        <v>43770</v>
      </c>
      <c r="B740" s="4">
        <v>111.6</v>
      </c>
      <c r="C740" s="7">
        <f>(Table3[[#This Row],[Conference Board Leading Indicator]]-B728)/B728</f>
        <v>-1.7889087656529771E-3</v>
      </c>
      <c r="E740" s="4">
        <v>3140.98</v>
      </c>
      <c r="F740" s="7">
        <f>(Table3[[#This Row],[S&amp;P 500]]-E729)/E729</f>
        <v>0.25295884365240578</v>
      </c>
    </row>
    <row r="741" spans="1:6" x14ac:dyDescent="0.2">
      <c r="A741" s="9">
        <v>43800</v>
      </c>
      <c r="B741" s="4">
        <v>111.4</v>
      </c>
      <c r="C741" s="7">
        <f>(Table3[[#This Row],[Conference Board Leading Indicator]]-B729)/B729</f>
        <v>-2.6857654431512727E-3</v>
      </c>
      <c r="E741" s="4">
        <v>3230.78</v>
      </c>
      <c r="F741" s="7">
        <f>(Table3[[#This Row],[S&amp;P 500]]-E730)/E730</f>
        <v>0.19477090344292011</v>
      </c>
    </row>
    <row r="742" spans="1:6" x14ac:dyDescent="0.2">
      <c r="A742" s="9">
        <v>43831</v>
      </c>
      <c r="B742" s="4">
        <v>112</v>
      </c>
      <c r="C742" s="7">
        <f>(Table3[[#This Row],[Conference Board Leading Indicator]]-B730)/B730</f>
        <v>9.0090090090090089E-3</v>
      </c>
      <c r="E742" s="4">
        <v>3225.52</v>
      </c>
      <c r="F742" s="7">
        <f>(Table3[[#This Row],[S&amp;P 500]]-E731)/E731</f>
        <v>0.15838807106507843</v>
      </c>
    </row>
    <row r="743" spans="1:6" x14ac:dyDescent="0.2">
      <c r="A743" s="9">
        <v>43862</v>
      </c>
      <c r="B743" s="4">
        <v>111.9</v>
      </c>
      <c r="C743" s="7">
        <f>(Table3[[#This Row],[Conference Board Leading Indicator]]-B731)/B731</f>
        <v>7.2007200720073036E-3</v>
      </c>
      <c r="E743" s="4">
        <v>2954.22</v>
      </c>
      <c r="F743" s="7">
        <f>(Table3[[#This Row],[S&amp;P 500]]-E732)/E732</f>
        <v>4.2273497036409716E-2</v>
      </c>
    </row>
    <row r="744" spans="1:6" x14ac:dyDescent="0.2">
      <c r="A744" s="9">
        <v>43891</v>
      </c>
      <c r="B744" s="4">
        <v>103.4</v>
      </c>
      <c r="C744" s="7">
        <f>(Table3[[#This Row],[Conference Board Leading Indicator]]-B732)/B732</f>
        <v>-7.2645739910313853E-2</v>
      </c>
      <c r="E744" s="4">
        <v>2584.59</v>
      </c>
      <c r="F744" s="7">
        <f>(Table3[[#This Row],[S&amp;P 500]]-E733)/E733</f>
        <v>-0.12262757864506771</v>
      </c>
    </row>
    <row r="745" spans="1:6" x14ac:dyDescent="0.2">
      <c r="A745" s="9">
        <v>43922</v>
      </c>
      <c r="B745" s="4">
        <v>96.8</v>
      </c>
      <c r="C745" s="7">
        <f>(Table3[[#This Row],[Conference Board Leading Indicator]]-B733)/B733</f>
        <v>-0.13183856502242156</v>
      </c>
      <c r="E745" s="4">
        <v>2912.43</v>
      </c>
      <c r="F745" s="7">
        <f>(Table3[[#This Row],[S&amp;P 500]]-E734)/E734</f>
        <v>5.8272712077498269E-2</v>
      </c>
    </row>
    <row r="746" spans="1:6" x14ac:dyDescent="0.2">
      <c r="A746" s="9">
        <v>43952</v>
      </c>
      <c r="B746" s="4">
        <v>99.8</v>
      </c>
      <c r="C746" s="7">
        <f>(Table3[[#This Row],[Conference Board Leading Indicator]]-B734)/B734</f>
        <v>-0.10412926391382413</v>
      </c>
      <c r="E746" s="4">
        <v>3044.31</v>
      </c>
      <c r="F746" s="7">
        <f>(Table3[[#This Row],[S&amp;P 500]]-E735)/E735</f>
        <v>3.4860083759382043E-2</v>
      </c>
    </row>
    <row r="747" spans="1:6" x14ac:dyDescent="0.2">
      <c r="A747" s="9">
        <v>43983</v>
      </c>
      <c r="B747" s="4">
        <v>102.8</v>
      </c>
      <c r="C747" s="7">
        <f>(Table3[[#This Row],[Conference Board Leading Indicator]]-B735)/B735</f>
        <v>-7.8026905829596441E-2</v>
      </c>
      <c r="E747" s="4">
        <v>3100.29</v>
      </c>
      <c r="F747" s="7">
        <f>(Table3[[#This Row],[S&amp;P 500]]-E736)/E736</f>
        <v>4.0233124635113596E-2</v>
      </c>
    </row>
    <row r="748" spans="1:6" x14ac:dyDescent="0.2">
      <c r="A748" s="9">
        <v>44013</v>
      </c>
      <c r="B748" s="4">
        <v>104.9</v>
      </c>
      <c r="C748" s="7">
        <f>(Table3[[#This Row],[Conference Board Leading Indicator]]-B736)/B736</f>
        <v>-6.3392857142857098E-2</v>
      </c>
      <c r="E748" s="4">
        <v>3271.12</v>
      </c>
      <c r="F748" s="7">
        <f>(Table3[[#This Row],[S&amp;P 500]]-E737)/E737</f>
        <v>0.11777369244753041</v>
      </c>
    </row>
    <row r="749" spans="1:6" x14ac:dyDescent="0.2">
      <c r="A749" s="9">
        <v>44044</v>
      </c>
      <c r="B749" s="4">
        <v>106.5</v>
      </c>
      <c r="C749" s="7">
        <f>(Table3[[#This Row],[Conference Board Leading Indicator]]-B737)/B737</f>
        <v>-4.7406082289803197E-2</v>
      </c>
      <c r="E749" s="4">
        <v>3500.31</v>
      </c>
      <c r="F749" s="7">
        <f>(Table3[[#This Row],[S&amp;P 500]]-E738)/E738</f>
        <v>0.175887044216156</v>
      </c>
    </row>
    <row r="750" spans="1:6" x14ac:dyDescent="0.2">
      <c r="A750" s="9">
        <v>44075</v>
      </c>
      <c r="B750" s="4">
        <v>107.5</v>
      </c>
      <c r="C750" s="7">
        <f>(Table3[[#This Row],[Conference Board Leading Indicator]]-B738)/B738</f>
        <v>-3.7600716204118201E-2</v>
      </c>
      <c r="E750" s="4">
        <v>3363</v>
      </c>
      <c r="F750" s="7">
        <f>(Table3[[#This Row],[S&amp;P 500]]-E739)/E739</f>
        <v>0.10713862442223365</v>
      </c>
    </row>
    <row r="751" spans="1:6" x14ac:dyDescent="0.2">
      <c r="A751" s="9">
        <v>44105</v>
      </c>
      <c r="B751" s="4">
        <v>108.2</v>
      </c>
      <c r="C751" s="7">
        <f>(Table3[[#This Row],[Conference Board Leading Indicator]]-B739)/B739</f>
        <v>-2.8725314183123903E-2</v>
      </c>
      <c r="E751" s="4">
        <v>3269.96</v>
      </c>
      <c r="F751" s="7">
        <f>(Table3[[#This Row],[S&amp;P 500]]-E740)/E740</f>
        <v>4.1063617087660542E-2</v>
      </c>
    </row>
    <row r="752" spans="1:6" x14ac:dyDescent="0.2">
      <c r="A752" s="9">
        <v>44136</v>
      </c>
      <c r="B752" s="4">
        <v>109.2</v>
      </c>
      <c r="C752" s="7">
        <f>(Table3[[#This Row],[Conference Board Leading Indicator]]-B740)/B740</f>
        <v>-2.1505376344085947E-2</v>
      </c>
      <c r="E752" s="4">
        <v>3621.63</v>
      </c>
      <c r="F752" s="7">
        <f>(Table3[[#This Row],[S&amp;P 500]]-E741)/E741</f>
        <v>0.12097697769578859</v>
      </c>
    </row>
    <row r="753" spans="1:6" x14ac:dyDescent="0.2">
      <c r="A753" s="9">
        <v>44166</v>
      </c>
      <c r="B753" s="4">
        <v>109.6</v>
      </c>
      <c r="C753" s="7">
        <f>(Table3[[#This Row],[Conference Board Leading Indicator]]-B741)/B741</f>
        <v>-1.6157989228007284E-2</v>
      </c>
      <c r="E753" s="4">
        <v>3756.07</v>
      </c>
      <c r="F753" s="7">
        <f>(Table3[[#This Row],[S&amp;P 500]]-E742)/E742</f>
        <v>0.16448510627743748</v>
      </c>
    </row>
    <row r="754" spans="1:6" x14ac:dyDescent="0.2">
      <c r="A754" s="9">
        <v>44197</v>
      </c>
      <c r="B754" s="4">
        <v>110.1</v>
      </c>
      <c r="C754" s="7">
        <f>(Table3[[#This Row],[Conference Board Leading Indicator]]-B742)/B742</f>
        <v>-1.6964285714285765E-2</v>
      </c>
      <c r="E754" s="4">
        <v>3714.24</v>
      </c>
      <c r="F754" s="7">
        <f>(Table3[[#This Row],[S&amp;P 500]]-E743)/E743</f>
        <v>0.2572658772874058</v>
      </c>
    </row>
    <row r="755" spans="1:6" x14ac:dyDescent="0.2">
      <c r="A755" s="9">
        <v>44228</v>
      </c>
      <c r="B755" s="4">
        <v>110.1</v>
      </c>
      <c r="C755" s="7">
        <f>(Table3[[#This Row],[Conference Board Leading Indicator]]-B743)/B743</f>
        <v>-1.60857908847186E-2</v>
      </c>
      <c r="E755" s="4">
        <v>3811.15</v>
      </c>
      <c r="F755" s="7">
        <f>(Table3[[#This Row],[S&amp;P 500]]-E744)/E744</f>
        <v>0.47456656568353195</v>
      </c>
    </row>
    <row r="756" spans="1:6" x14ac:dyDescent="0.2">
      <c r="A756" s="9">
        <v>44256</v>
      </c>
      <c r="B756" s="4">
        <v>111.6</v>
      </c>
      <c r="C756" s="7">
        <f>(Table3[[#This Row],[Conference Board Leading Indicator]]-B744)/B744</f>
        <v>7.9303675048355782E-2</v>
      </c>
      <c r="E756" s="4">
        <v>3972.89</v>
      </c>
      <c r="F756" s="7">
        <f>(Table3[[#This Row],[S&amp;P 500]]-E745)/E745</f>
        <v>0.36411518903458628</v>
      </c>
    </row>
    <row r="757" spans="1:6" x14ac:dyDescent="0.2">
      <c r="A757" s="9">
        <v>44287</v>
      </c>
      <c r="B757" s="4">
        <v>113</v>
      </c>
      <c r="C757" s="7">
        <f>(Table3[[#This Row],[Conference Board Leading Indicator]]-B745)/B745</f>
        <v>0.16735537190082647</v>
      </c>
      <c r="E757" s="4">
        <v>4181.17</v>
      </c>
      <c r="F757" s="7">
        <f>(Table3[[#This Row],[S&amp;P 500]]-E746)/E746</f>
        <v>0.37343765910830373</v>
      </c>
    </row>
    <row r="758" spans="1:6" x14ac:dyDescent="0.2">
      <c r="A758" s="9">
        <v>44317</v>
      </c>
      <c r="B758" s="4">
        <v>114.3</v>
      </c>
      <c r="C758" s="7">
        <f>(Table3[[#This Row],[Conference Board Leading Indicator]]-B746)/B746</f>
        <v>0.14529058116232466</v>
      </c>
      <c r="E758" s="4">
        <v>4204.1099999999997</v>
      </c>
      <c r="F758" s="7">
        <f>(Table3[[#This Row],[S&amp;P 500]]-E747)/E747</f>
        <v>0.35603766099300377</v>
      </c>
    </row>
    <row r="759" spans="1:6" x14ac:dyDescent="0.2">
      <c r="A759" s="9">
        <v>44348</v>
      </c>
      <c r="B759" s="4">
        <v>115.1</v>
      </c>
      <c r="C759" s="7">
        <f>(Table3[[#This Row],[Conference Board Leading Indicator]]-B747)/B747</f>
        <v>0.11964980544747079</v>
      </c>
      <c r="E759" s="4">
        <v>4297.5</v>
      </c>
      <c r="F759" s="7">
        <f>(Table3[[#This Row],[S&amp;P 500]]-E748)/E748</f>
        <v>0.31377020714617626</v>
      </c>
    </row>
  </sheetData>
  <conditionalFormatting sqref="B622:B759">
    <cfRule type="colorScale" priority="6">
      <colorScale>
        <cfvo type="min"/>
        <cfvo type="percentile" val="50"/>
        <cfvo type="max"/>
        <color rgb="FFF8696B"/>
        <color rgb="FFFFEB84"/>
        <color rgb="FF63BE7B"/>
      </colorScale>
    </cfRule>
  </conditionalFormatting>
  <hyperlinks>
    <hyperlink ref="A1" r:id="rId1" xr:uid="{4E3BD9DE-35C6-48F1-9900-94B7DEC539AD}"/>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403E0-C0CB-4B03-B002-C784BBAF66D7}">
  <dimension ref="A1:D266"/>
  <sheetViews>
    <sheetView zoomScale="150" zoomScaleNormal="150" workbookViewId="0">
      <pane ySplit="6" topLeftCell="A207" activePane="bottomLeft" state="frozen"/>
      <selection pane="bottomLeft" activeCell="C266" sqref="C266"/>
    </sheetView>
  </sheetViews>
  <sheetFormatPr baseColWidth="10" defaultColWidth="9.1640625" defaultRowHeight="15" x14ac:dyDescent="0.2"/>
  <cols>
    <col min="1" max="1" width="14.1640625" style="5" customWidth="1"/>
    <col min="2" max="4" width="16" style="5" customWidth="1"/>
    <col min="5" max="16384" width="9.1640625" style="2"/>
  </cols>
  <sheetData>
    <row r="1" spans="1:4" ht="19" x14ac:dyDescent="0.25">
      <c r="A1" s="21" t="s">
        <v>17</v>
      </c>
    </row>
    <row r="5" spans="1:4" ht="16" thickBot="1" x14ac:dyDescent="0.25"/>
    <row r="6" spans="1:4" ht="39.75" customHeight="1" x14ac:dyDescent="0.2">
      <c r="A6" s="14" t="s">
        <v>1</v>
      </c>
      <c r="B6" s="15" t="s">
        <v>14</v>
      </c>
      <c r="C6" s="15" t="s">
        <v>12</v>
      </c>
      <c r="D6" s="16" t="s">
        <v>13</v>
      </c>
    </row>
    <row r="7" spans="1:4" x14ac:dyDescent="0.2">
      <c r="A7" s="17">
        <v>36526</v>
      </c>
      <c r="B7" s="19">
        <v>112</v>
      </c>
      <c r="C7" s="19">
        <v>117.3</v>
      </c>
      <c r="D7" s="19">
        <v>108.6</v>
      </c>
    </row>
    <row r="8" spans="1:4" x14ac:dyDescent="0.2">
      <c r="A8" s="17">
        <v>36557</v>
      </c>
      <c r="B8" s="19">
        <v>111.3</v>
      </c>
      <c r="C8" s="19">
        <v>116.8</v>
      </c>
      <c r="D8" s="19">
        <v>107.8</v>
      </c>
    </row>
    <row r="9" spans="1:4" x14ac:dyDescent="0.2">
      <c r="A9" s="17">
        <v>36586</v>
      </c>
      <c r="B9" s="19">
        <v>107.1</v>
      </c>
      <c r="C9" s="19">
        <v>115.4</v>
      </c>
      <c r="D9" s="19">
        <v>101.7</v>
      </c>
    </row>
    <row r="10" spans="1:4" x14ac:dyDescent="0.2">
      <c r="A10" s="17">
        <v>36617</v>
      </c>
      <c r="B10" s="19">
        <v>109.2</v>
      </c>
      <c r="C10" s="19">
        <v>117.8</v>
      </c>
      <c r="D10" s="19">
        <v>103.7</v>
      </c>
    </row>
    <row r="11" spans="1:4" x14ac:dyDescent="0.2">
      <c r="A11" s="17">
        <v>36647</v>
      </c>
      <c r="B11" s="19">
        <v>110.7</v>
      </c>
      <c r="C11" s="19">
        <v>119.9</v>
      </c>
      <c r="D11" s="19">
        <v>104.8</v>
      </c>
    </row>
    <row r="12" spans="1:4" x14ac:dyDescent="0.2">
      <c r="A12" s="17">
        <v>36678</v>
      </c>
      <c r="B12" s="19">
        <v>106.4</v>
      </c>
      <c r="C12" s="19">
        <v>115.1</v>
      </c>
      <c r="D12" s="19">
        <v>100.8</v>
      </c>
    </row>
    <row r="13" spans="1:4" x14ac:dyDescent="0.2">
      <c r="A13" s="17">
        <v>36708</v>
      </c>
      <c r="B13" s="19">
        <v>108.3</v>
      </c>
      <c r="C13" s="19">
        <v>114.2</v>
      </c>
      <c r="D13" s="19">
        <v>104.5</v>
      </c>
    </row>
    <row r="14" spans="1:4" x14ac:dyDescent="0.2">
      <c r="A14" s="17">
        <v>36739</v>
      </c>
      <c r="B14" s="19">
        <v>107.3</v>
      </c>
      <c r="C14" s="19">
        <v>112.4</v>
      </c>
      <c r="D14" s="19">
        <v>104</v>
      </c>
    </row>
    <row r="15" spans="1:4" x14ac:dyDescent="0.2">
      <c r="A15" s="17">
        <v>36770</v>
      </c>
      <c r="B15" s="19">
        <v>106.8</v>
      </c>
      <c r="C15" s="19">
        <v>112</v>
      </c>
      <c r="D15" s="19">
        <v>103.4</v>
      </c>
    </row>
    <row r="16" spans="1:4" x14ac:dyDescent="0.2">
      <c r="A16" s="17">
        <v>36800</v>
      </c>
      <c r="B16" s="19">
        <v>105.8</v>
      </c>
      <c r="C16" s="19">
        <v>113.6</v>
      </c>
      <c r="D16" s="19">
        <v>100.7</v>
      </c>
    </row>
    <row r="17" spans="1:4" x14ac:dyDescent="0.2">
      <c r="A17" s="17">
        <v>36831</v>
      </c>
      <c r="B17" s="19">
        <v>107.6</v>
      </c>
      <c r="C17" s="19">
        <v>116.9</v>
      </c>
      <c r="D17" s="19">
        <v>101.6</v>
      </c>
    </row>
    <row r="18" spans="1:4" x14ac:dyDescent="0.2">
      <c r="A18" s="17">
        <v>36861</v>
      </c>
      <c r="B18" s="19">
        <v>98.4</v>
      </c>
      <c r="C18" s="19">
        <v>110.5</v>
      </c>
      <c r="D18" s="19">
        <v>90.7</v>
      </c>
    </row>
    <row r="19" spans="1:4" x14ac:dyDescent="0.2">
      <c r="A19" s="17">
        <v>36892</v>
      </c>
      <c r="B19" s="19">
        <v>94.7</v>
      </c>
      <c r="C19" s="19">
        <v>107.7</v>
      </c>
      <c r="D19" s="19">
        <v>86.4</v>
      </c>
    </row>
    <row r="20" spans="1:4" x14ac:dyDescent="0.2">
      <c r="A20" s="17">
        <v>36923</v>
      </c>
      <c r="B20" s="19">
        <v>90.6</v>
      </c>
      <c r="C20" s="19">
        <v>105.8</v>
      </c>
      <c r="D20" s="19">
        <v>80.8</v>
      </c>
    </row>
    <row r="21" spans="1:4" x14ac:dyDescent="0.2">
      <c r="A21" s="17">
        <v>36951</v>
      </c>
      <c r="B21" s="19">
        <v>91.5</v>
      </c>
      <c r="C21" s="19">
        <v>103.4</v>
      </c>
      <c r="D21" s="19">
        <v>83.9</v>
      </c>
    </row>
    <row r="22" spans="1:4" x14ac:dyDescent="0.2">
      <c r="A22" s="17">
        <v>36982</v>
      </c>
      <c r="B22" s="19">
        <v>88.4</v>
      </c>
      <c r="C22" s="19">
        <v>98</v>
      </c>
      <c r="D22" s="19">
        <v>82.2</v>
      </c>
    </row>
    <row r="23" spans="1:4" x14ac:dyDescent="0.2">
      <c r="A23" s="17">
        <v>37012</v>
      </c>
      <c r="B23" s="19">
        <v>92</v>
      </c>
      <c r="C23" s="19">
        <v>102.2</v>
      </c>
      <c r="D23" s="19">
        <v>85.4</v>
      </c>
    </row>
    <row r="24" spans="1:4" x14ac:dyDescent="0.2">
      <c r="A24" s="17">
        <v>37043</v>
      </c>
      <c r="B24" s="19">
        <v>92.6</v>
      </c>
      <c r="C24" s="19">
        <v>101.6</v>
      </c>
      <c r="D24" s="19">
        <v>86.9</v>
      </c>
    </row>
    <row r="25" spans="1:4" x14ac:dyDescent="0.2">
      <c r="A25" s="17">
        <v>37073</v>
      </c>
      <c r="B25" s="19">
        <v>92.4</v>
      </c>
      <c r="C25" s="19">
        <v>98.6</v>
      </c>
      <c r="D25" s="19">
        <v>88.4</v>
      </c>
    </row>
    <row r="26" spans="1:4" x14ac:dyDescent="0.2">
      <c r="A26" s="17">
        <v>37104</v>
      </c>
      <c r="B26" s="19">
        <v>91.5</v>
      </c>
      <c r="C26" s="19">
        <v>101.2</v>
      </c>
      <c r="D26" s="19">
        <v>85.2</v>
      </c>
    </row>
    <row r="27" spans="1:4" x14ac:dyDescent="0.2">
      <c r="A27" s="17">
        <v>37135</v>
      </c>
      <c r="B27" s="19">
        <v>81.8</v>
      </c>
      <c r="C27" s="19">
        <v>94.6</v>
      </c>
      <c r="D27" s="19">
        <v>73.5</v>
      </c>
    </row>
    <row r="28" spans="1:4" x14ac:dyDescent="0.2">
      <c r="A28" s="17">
        <v>37165</v>
      </c>
      <c r="B28" s="19">
        <v>82.7</v>
      </c>
      <c r="C28" s="19">
        <v>94</v>
      </c>
      <c r="D28" s="19">
        <v>75.5</v>
      </c>
    </row>
    <row r="29" spans="1:4" x14ac:dyDescent="0.2">
      <c r="A29" s="17">
        <v>37196</v>
      </c>
      <c r="B29" s="19">
        <v>83.9</v>
      </c>
      <c r="C29" s="19">
        <v>95.3</v>
      </c>
      <c r="D29" s="19">
        <v>76.599999999999994</v>
      </c>
    </row>
    <row r="30" spans="1:4" x14ac:dyDescent="0.2">
      <c r="A30" s="17">
        <v>37226</v>
      </c>
      <c r="B30" s="19">
        <v>88.8</v>
      </c>
      <c r="C30" s="19">
        <v>99</v>
      </c>
      <c r="D30" s="19">
        <v>82.3</v>
      </c>
    </row>
    <row r="31" spans="1:4" x14ac:dyDescent="0.2">
      <c r="A31" s="17">
        <v>37257</v>
      </c>
      <c r="B31" s="19">
        <v>93</v>
      </c>
      <c r="C31" s="19">
        <v>95.7</v>
      </c>
      <c r="D31" s="19">
        <v>91.3</v>
      </c>
    </row>
    <row r="32" spans="1:4" x14ac:dyDescent="0.2">
      <c r="A32" s="17">
        <v>37288</v>
      </c>
      <c r="B32" s="19">
        <v>90.7</v>
      </c>
      <c r="C32" s="19">
        <v>96.2</v>
      </c>
      <c r="D32" s="19">
        <v>87.2</v>
      </c>
    </row>
    <row r="33" spans="1:4" x14ac:dyDescent="0.2">
      <c r="A33" s="17">
        <v>37316</v>
      </c>
      <c r="B33" s="19">
        <v>95.7</v>
      </c>
      <c r="C33" s="19">
        <v>100.4</v>
      </c>
      <c r="D33" s="19">
        <v>92.7</v>
      </c>
    </row>
    <row r="34" spans="1:4" x14ac:dyDescent="0.2">
      <c r="A34" s="17">
        <v>37347</v>
      </c>
      <c r="B34" s="19">
        <v>93</v>
      </c>
      <c r="C34" s="19">
        <v>99.2</v>
      </c>
      <c r="D34" s="19">
        <v>89.1</v>
      </c>
    </row>
    <row r="35" spans="1:4" x14ac:dyDescent="0.2">
      <c r="A35" s="17">
        <v>37377</v>
      </c>
      <c r="B35" s="19">
        <v>96.9</v>
      </c>
      <c r="C35" s="19">
        <v>103.5</v>
      </c>
      <c r="D35" s="19">
        <v>92.7</v>
      </c>
    </row>
    <row r="36" spans="1:4" x14ac:dyDescent="0.2">
      <c r="A36" s="17">
        <v>37408</v>
      </c>
      <c r="B36" s="19">
        <v>92.4</v>
      </c>
      <c r="C36" s="19">
        <v>99.5</v>
      </c>
      <c r="D36" s="19">
        <v>87.9</v>
      </c>
    </row>
    <row r="37" spans="1:4" x14ac:dyDescent="0.2">
      <c r="A37" s="17">
        <v>37438</v>
      </c>
      <c r="B37" s="19">
        <v>88.1</v>
      </c>
      <c r="C37" s="19">
        <v>99.3</v>
      </c>
      <c r="D37" s="19">
        <v>81</v>
      </c>
    </row>
    <row r="38" spans="1:4" x14ac:dyDescent="0.2">
      <c r="A38" s="17">
        <v>37469</v>
      </c>
      <c r="B38" s="19">
        <v>87.6</v>
      </c>
      <c r="C38" s="19">
        <v>98.5</v>
      </c>
      <c r="D38" s="19">
        <v>80.599999999999994</v>
      </c>
    </row>
    <row r="39" spans="1:4" x14ac:dyDescent="0.2">
      <c r="A39" s="17">
        <v>37500</v>
      </c>
      <c r="B39" s="19">
        <v>86.1</v>
      </c>
      <c r="C39" s="19">
        <v>95.8</v>
      </c>
      <c r="D39" s="19">
        <v>79.900000000000006</v>
      </c>
    </row>
    <row r="40" spans="1:4" x14ac:dyDescent="0.2">
      <c r="A40" s="17">
        <v>37530</v>
      </c>
      <c r="B40" s="19">
        <v>80.599999999999994</v>
      </c>
      <c r="C40" s="19">
        <v>92.4</v>
      </c>
      <c r="D40" s="19">
        <v>73.099999999999994</v>
      </c>
    </row>
    <row r="41" spans="1:4" x14ac:dyDescent="0.2">
      <c r="A41" s="17">
        <v>37561</v>
      </c>
      <c r="B41" s="19">
        <v>84.2</v>
      </c>
      <c r="C41" s="19">
        <v>93.1</v>
      </c>
      <c r="D41" s="19">
        <v>78.5</v>
      </c>
    </row>
    <row r="42" spans="1:4" x14ac:dyDescent="0.2">
      <c r="A42" s="17">
        <v>37591</v>
      </c>
      <c r="B42" s="19">
        <v>86.7</v>
      </c>
      <c r="C42" s="19">
        <v>96</v>
      </c>
      <c r="D42" s="19">
        <v>80.8</v>
      </c>
    </row>
    <row r="43" spans="1:4" x14ac:dyDescent="0.2">
      <c r="A43" s="17">
        <v>37622</v>
      </c>
      <c r="B43" s="19">
        <v>82.4</v>
      </c>
      <c r="C43" s="19">
        <v>97.2</v>
      </c>
      <c r="D43" s="19">
        <v>72.8</v>
      </c>
    </row>
    <row r="44" spans="1:4" x14ac:dyDescent="0.2">
      <c r="A44" s="17">
        <v>37653</v>
      </c>
      <c r="B44" s="19">
        <v>79.900000000000006</v>
      </c>
      <c r="C44" s="19">
        <v>95.4</v>
      </c>
      <c r="D44" s="19">
        <v>69.900000000000006</v>
      </c>
    </row>
    <row r="45" spans="1:4" x14ac:dyDescent="0.2">
      <c r="A45" s="17">
        <v>37681</v>
      </c>
      <c r="B45" s="19">
        <v>77.599999999999994</v>
      </c>
      <c r="C45" s="19">
        <v>90</v>
      </c>
      <c r="D45" s="19">
        <v>69.599999999999994</v>
      </c>
    </row>
    <row r="46" spans="1:4" x14ac:dyDescent="0.2">
      <c r="A46" s="17">
        <v>37712</v>
      </c>
      <c r="B46" s="19">
        <v>86</v>
      </c>
      <c r="C46" s="19">
        <v>96.4</v>
      </c>
      <c r="D46" s="19">
        <v>79.3</v>
      </c>
    </row>
    <row r="47" spans="1:4" x14ac:dyDescent="0.2">
      <c r="A47" s="17">
        <v>37742</v>
      </c>
      <c r="B47" s="19">
        <v>92.1</v>
      </c>
      <c r="C47" s="19">
        <v>93.2</v>
      </c>
      <c r="D47" s="19">
        <v>91.4</v>
      </c>
    </row>
    <row r="48" spans="1:4" x14ac:dyDescent="0.2">
      <c r="A48" s="17">
        <v>37773</v>
      </c>
      <c r="B48" s="19">
        <v>89.7</v>
      </c>
      <c r="C48" s="19">
        <v>94.7</v>
      </c>
      <c r="D48" s="19">
        <v>86.4</v>
      </c>
    </row>
    <row r="49" spans="1:4" x14ac:dyDescent="0.2">
      <c r="A49" s="17">
        <v>37803</v>
      </c>
      <c r="B49" s="19">
        <v>90.9</v>
      </c>
      <c r="C49" s="19">
        <v>102.1</v>
      </c>
      <c r="D49" s="19">
        <v>83.7</v>
      </c>
    </row>
    <row r="50" spans="1:4" x14ac:dyDescent="0.2">
      <c r="A50" s="17">
        <v>37834</v>
      </c>
      <c r="B50" s="19">
        <v>89.3</v>
      </c>
      <c r="C50" s="19">
        <v>99.7</v>
      </c>
      <c r="D50" s="19">
        <v>82.5</v>
      </c>
    </row>
    <row r="51" spans="1:4" x14ac:dyDescent="0.2">
      <c r="A51" s="17">
        <v>37865</v>
      </c>
      <c r="B51" s="19">
        <v>87.7</v>
      </c>
      <c r="C51" s="19">
        <v>98.4</v>
      </c>
      <c r="D51" s="19">
        <v>80.8</v>
      </c>
    </row>
    <row r="52" spans="1:4" x14ac:dyDescent="0.2">
      <c r="A52" s="17">
        <v>37895</v>
      </c>
      <c r="B52" s="19">
        <v>89.6</v>
      </c>
      <c r="C52" s="19">
        <v>99.9</v>
      </c>
      <c r="D52" s="19">
        <v>83</v>
      </c>
    </row>
    <row r="53" spans="1:4" x14ac:dyDescent="0.2">
      <c r="A53" s="17">
        <v>37926</v>
      </c>
      <c r="B53" s="19">
        <v>93.7</v>
      </c>
      <c r="C53" s="19">
        <v>102.5</v>
      </c>
      <c r="D53" s="19">
        <v>88.1</v>
      </c>
    </row>
    <row r="54" spans="1:4" x14ac:dyDescent="0.2">
      <c r="A54" s="17">
        <v>37956</v>
      </c>
      <c r="B54" s="19">
        <v>92.6</v>
      </c>
      <c r="C54" s="19">
        <v>97</v>
      </c>
      <c r="D54" s="19">
        <v>89.8</v>
      </c>
    </row>
    <row r="55" spans="1:4" x14ac:dyDescent="0.2">
      <c r="A55" s="17">
        <v>37987</v>
      </c>
      <c r="B55" s="19">
        <v>103.8</v>
      </c>
      <c r="C55" s="19">
        <v>109.5</v>
      </c>
      <c r="D55" s="19">
        <v>100.1</v>
      </c>
    </row>
    <row r="56" spans="1:4" x14ac:dyDescent="0.2">
      <c r="A56" s="17">
        <v>38018</v>
      </c>
      <c r="B56" s="19">
        <v>94.4</v>
      </c>
      <c r="C56" s="19">
        <v>103.6</v>
      </c>
      <c r="D56" s="19">
        <v>88.5</v>
      </c>
    </row>
    <row r="57" spans="1:4" x14ac:dyDescent="0.2">
      <c r="A57" s="17">
        <v>38047</v>
      </c>
      <c r="B57" s="19">
        <v>95.8</v>
      </c>
      <c r="C57" s="19">
        <v>106.8</v>
      </c>
      <c r="D57" s="19">
        <v>88.8</v>
      </c>
    </row>
    <row r="58" spans="1:4" x14ac:dyDescent="0.2">
      <c r="A58" s="17">
        <v>38078</v>
      </c>
      <c r="B58" s="19">
        <v>94.2</v>
      </c>
      <c r="C58" s="19">
        <v>105</v>
      </c>
      <c r="D58" s="19">
        <v>87.3</v>
      </c>
    </row>
    <row r="59" spans="1:4" x14ac:dyDescent="0.2">
      <c r="A59" s="17">
        <v>38108</v>
      </c>
      <c r="B59" s="19">
        <v>90.2</v>
      </c>
      <c r="C59" s="19">
        <v>103.6</v>
      </c>
      <c r="D59" s="19">
        <v>81.599999999999994</v>
      </c>
    </row>
    <row r="60" spans="1:4" x14ac:dyDescent="0.2">
      <c r="A60" s="17">
        <v>38139</v>
      </c>
      <c r="B60" s="19">
        <v>95.6</v>
      </c>
      <c r="C60" s="19">
        <v>106.7</v>
      </c>
      <c r="D60" s="19">
        <v>88.5</v>
      </c>
    </row>
    <row r="61" spans="1:4" x14ac:dyDescent="0.2">
      <c r="A61" s="17">
        <v>38169</v>
      </c>
      <c r="B61" s="19">
        <v>96.7</v>
      </c>
      <c r="C61" s="19">
        <v>105.2</v>
      </c>
      <c r="D61" s="19">
        <v>91.2</v>
      </c>
    </row>
    <row r="62" spans="1:4" x14ac:dyDescent="0.2">
      <c r="A62" s="17">
        <v>38200</v>
      </c>
      <c r="B62" s="19">
        <v>95.9</v>
      </c>
      <c r="C62" s="19">
        <v>107.9</v>
      </c>
      <c r="D62" s="19">
        <v>88.2</v>
      </c>
    </row>
    <row r="63" spans="1:4" x14ac:dyDescent="0.2">
      <c r="A63" s="17">
        <v>38231</v>
      </c>
      <c r="B63" s="19">
        <v>94.2</v>
      </c>
      <c r="C63" s="19">
        <v>103.7</v>
      </c>
      <c r="D63" s="19">
        <v>88</v>
      </c>
    </row>
    <row r="64" spans="1:4" x14ac:dyDescent="0.2">
      <c r="A64" s="17">
        <v>38261</v>
      </c>
      <c r="B64" s="19">
        <v>91.7</v>
      </c>
      <c r="C64" s="19">
        <v>104</v>
      </c>
      <c r="D64" s="19">
        <v>83.8</v>
      </c>
    </row>
    <row r="65" spans="1:4" x14ac:dyDescent="0.2">
      <c r="A65" s="17">
        <v>38292</v>
      </c>
      <c r="B65" s="19">
        <v>92.8</v>
      </c>
      <c r="C65" s="19">
        <v>104.7</v>
      </c>
      <c r="D65" s="19">
        <v>85.2</v>
      </c>
    </row>
    <row r="66" spans="1:4" x14ac:dyDescent="0.2">
      <c r="A66" s="17">
        <v>38322</v>
      </c>
      <c r="B66" s="19">
        <v>97.1</v>
      </c>
      <c r="C66" s="19">
        <v>106.7</v>
      </c>
      <c r="D66" s="19">
        <v>90.9</v>
      </c>
    </row>
    <row r="67" spans="1:4" x14ac:dyDescent="0.2">
      <c r="A67" s="17">
        <v>38353</v>
      </c>
      <c r="B67" s="19">
        <v>95.5</v>
      </c>
      <c r="C67" s="19">
        <v>110.9</v>
      </c>
      <c r="D67" s="19">
        <v>85.7</v>
      </c>
    </row>
    <row r="68" spans="1:4" x14ac:dyDescent="0.2">
      <c r="A68" s="17">
        <v>38384</v>
      </c>
      <c r="B68" s="19">
        <v>94.1</v>
      </c>
      <c r="C68" s="19">
        <v>109.2</v>
      </c>
      <c r="D68" s="19">
        <v>84.4</v>
      </c>
    </row>
    <row r="69" spans="1:4" x14ac:dyDescent="0.2">
      <c r="A69" s="17">
        <v>38412</v>
      </c>
      <c r="B69" s="19">
        <v>92.6</v>
      </c>
      <c r="C69" s="19">
        <v>108</v>
      </c>
      <c r="D69" s="19">
        <v>82.8</v>
      </c>
    </row>
    <row r="70" spans="1:4" x14ac:dyDescent="0.2">
      <c r="A70" s="17">
        <v>38443</v>
      </c>
      <c r="B70" s="19">
        <v>87.7</v>
      </c>
      <c r="C70" s="19">
        <v>104.4</v>
      </c>
      <c r="D70" s="19">
        <v>77</v>
      </c>
    </row>
    <row r="71" spans="1:4" x14ac:dyDescent="0.2">
      <c r="A71" s="17">
        <v>38473</v>
      </c>
      <c r="B71" s="19">
        <v>86.9</v>
      </c>
      <c r="C71" s="19">
        <v>104.9</v>
      </c>
      <c r="D71" s="19">
        <v>75.3</v>
      </c>
    </row>
    <row r="72" spans="1:4" x14ac:dyDescent="0.2">
      <c r="A72" s="17">
        <v>38504</v>
      </c>
      <c r="B72" s="19">
        <v>96</v>
      </c>
      <c r="C72" s="19">
        <v>113.2</v>
      </c>
      <c r="D72" s="19">
        <v>85</v>
      </c>
    </row>
    <row r="73" spans="1:4" x14ac:dyDescent="0.2">
      <c r="A73" s="17">
        <v>38534</v>
      </c>
      <c r="B73" s="19">
        <v>96.5</v>
      </c>
      <c r="C73" s="19">
        <v>113.5</v>
      </c>
      <c r="D73" s="19">
        <v>85.5</v>
      </c>
    </row>
    <row r="74" spans="1:4" x14ac:dyDescent="0.2">
      <c r="A74" s="17">
        <v>38565</v>
      </c>
      <c r="B74" s="19">
        <v>89.1</v>
      </c>
      <c r="C74" s="19">
        <v>108.2</v>
      </c>
      <c r="D74" s="19">
        <v>76.900000000000006</v>
      </c>
    </row>
    <row r="75" spans="1:4" x14ac:dyDescent="0.2">
      <c r="A75" s="17">
        <v>38596</v>
      </c>
      <c r="B75" s="19">
        <v>76.900000000000006</v>
      </c>
      <c r="C75" s="19">
        <v>98.1</v>
      </c>
      <c r="D75" s="19">
        <v>63.3</v>
      </c>
    </row>
    <row r="76" spans="1:4" x14ac:dyDescent="0.2">
      <c r="A76" s="17">
        <v>38626</v>
      </c>
      <c r="B76" s="19">
        <v>74.2</v>
      </c>
      <c r="C76" s="19">
        <v>91.2</v>
      </c>
      <c r="D76" s="19">
        <v>63.2</v>
      </c>
    </row>
    <row r="77" spans="1:4" x14ac:dyDescent="0.2">
      <c r="A77" s="17">
        <v>38657</v>
      </c>
      <c r="B77" s="19">
        <v>81.599999999999994</v>
      </c>
      <c r="C77" s="19">
        <v>100.2</v>
      </c>
      <c r="D77" s="19">
        <v>69.599999999999994</v>
      </c>
    </row>
    <row r="78" spans="1:4" x14ac:dyDescent="0.2">
      <c r="A78" s="17">
        <v>38687</v>
      </c>
      <c r="B78" s="19">
        <v>91.5</v>
      </c>
      <c r="C78" s="19">
        <v>109.1</v>
      </c>
      <c r="D78" s="19">
        <v>80.2</v>
      </c>
    </row>
    <row r="79" spans="1:4" x14ac:dyDescent="0.2">
      <c r="A79" s="17">
        <v>38718</v>
      </c>
      <c r="B79" s="19">
        <v>91.2</v>
      </c>
      <c r="C79" s="19">
        <v>110.3</v>
      </c>
      <c r="D79" s="19">
        <v>78.900000000000006</v>
      </c>
    </row>
    <row r="80" spans="1:4" x14ac:dyDescent="0.2">
      <c r="A80" s="17">
        <v>38749</v>
      </c>
      <c r="B80" s="19">
        <v>86.7</v>
      </c>
      <c r="C80" s="19">
        <v>105.6</v>
      </c>
      <c r="D80" s="19">
        <v>74.5</v>
      </c>
    </row>
    <row r="81" spans="1:4" x14ac:dyDescent="0.2">
      <c r="A81" s="17">
        <v>38777</v>
      </c>
      <c r="B81" s="19">
        <v>88.9</v>
      </c>
      <c r="C81" s="19">
        <v>109.1</v>
      </c>
      <c r="D81" s="19">
        <v>76</v>
      </c>
    </row>
    <row r="82" spans="1:4" x14ac:dyDescent="0.2">
      <c r="A82" s="17">
        <v>38808</v>
      </c>
      <c r="B82" s="19">
        <v>87.4</v>
      </c>
      <c r="C82" s="19">
        <v>109.2</v>
      </c>
      <c r="D82" s="19">
        <v>73.400000000000006</v>
      </c>
    </row>
    <row r="83" spans="1:4" x14ac:dyDescent="0.2">
      <c r="A83" s="17">
        <v>38838</v>
      </c>
      <c r="B83" s="19">
        <v>79.099999999999994</v>
      </c>
      <c r="C83" s="19">
        <v>96.1</v>
      </c>
      <c r="D83" s="19">
        <v>68.2</v>
      </c>
    </row>
    <row r="84" spans="1:4" x14ac:dyDescent="0.2">
      <c r="A84" s="17">
        <v>38869</v>
      </c>
      <c r="B84" s="19">
        <v>84.9</v>
      </c>
      <c r="C84" s="19">
        <v>105</v>
      </c>
      <c r="D84" s="19">
        <v>72</v>
      </c>
    </row>
    <row r="85" spans="1:4" x14ac:dyDescent="0.2">
      <c r="A85" s="17">
        <v>38899</v>
      </c>
      <c r="B85" s="19">
        <v>84.7</v>
      </c>
      <c r="C85" s="19">
        <v>103.5</v>
      </c>
      <c r="D85" s="19">
        <v>72.5</v>
      </c>
    </row>
    <row r="86" spans="1:4" x14ac:dyDescent="0.2">
      <c r="A86" s="17">
        <v>38930</v>
      </c>
      <c r="B86" s="19">
        <v>82</v>
      </c>
      <c r="C86" s="19">
        <v>103.8</v>
      </c>
      <c r="D86" s="19">
        <v>68</v>
      </c>
    </row>
    <row r="87" spans="1:4" x14ac:dyDescent="0.2">
      <c r="A87" s="17">
        <v>38961</v>
      </c>
      <c r="B87" s="19">
        <v>85.4</v>
      </c>
      <c r="C87" s="19">
        <v>96.6</v>
      </c>
      <c r="D87" s="19">
        <v>78.2</v>
      </c>
    </row>
    <row r="88" spans="1:4" x14ac:dyDescent="0.2">
      <c r="A88" s="17">
        <v>38991</v>
      </c>
      <c r="B88" s="19">
        <v>93.6</v>
      </c>
      <c r="C88" s="19">
        <v>107.3</v>
      </c>
      <c r="D88" s="19">
        <v>84.8</v>
      </c>
    </row>
    <row r="89" spans="1:4" x14ac:dyDescent="0.2">
      <c r="A89" s="17">
        <v>39022</v>
      </c>
      <c r="B89" s="19">
        <v>92.1</v>
      </c>
      <c r="C89" s="19">
        <v>106</v>
      </c>
      <c r="D89" s="19">
        <v>83.2</v>
      </c>
    </row>
    <row r="90" spans="1:4" x14ac:dyDescent="0.2">
      <c r="A90" s="17">
        <v>39052</v>
      </c>
      <c r="B90" s="19">
        <v>91.7</v>
      </c>
      <c r="C90" s="19">
        <v>108.1</v>
      </c>
      <c r="D90" s="19">
        <v>81.2</v>
      </c>
    </row>
    <row r="91" spans="1:4" x14ac:dyDescent="0.2">
      <c r="A91" s="17">
        <v>39083</v>
      </c>
      <c r="B91" s="19">
        <v>96.9</v>
      </c>
      <c r="C91" s="19">
        <v>111.3</v>
      </c>
      <c r="D91" s="19">
        <v>87.6</v>
      </c>
    </row>
    <row r="92" spans="1:4" x14ac:dyDescent="0.2">
      <c r="A92" s="17">
        <v>39114</v>
      </c>
      <c r="B92" s="19">
        <v>91.3</v>
      </c>
      <c r="C92" s="19">
        <v>106.7</v>
      </c>
      <c r="D92" s="19">
        <v>81.5</v>
      </c>
    </row>
    <row r="93" spans="1:4" x14ac:dyDescent="0.2">
      <c r="A93" s="17">
        <v>39142</v>
      </c>
      <c r="B93" s="19">
        <v>88.4</v>
      </c>
      <c r="C93" s="19">
        <v>103.5</v>
      </c>
      <c r="D93" s="19">
        <v>78.7</v>
      </c>
    </row>
    <row r="94" spans="1:4" x14ac:dyDescent="0.2">
      <c r="A94" s="17">
        <v>39173</v>
      </c>
      <c r="B94" s="19">
        <v>87.1</v>
      </c>
      <c r="C94" s="19">
        <v>104.6</v>
      </c>
      <c r="D94" s="19">
        <v>75.900000000000006</v>
      </c>
    </row>
    <row r="95" spans="1:4" x14ac:dyDescent="0.2">
      <c r="A95" s="17">
        <v>39203</v>
      </c>
      <c r="B95" s="19">
        <v>88.3</v>
      </c>
      <c r="C95" s="19">
        <v>105.1</v>
      </c>
      <c r="D95" s="19">
        <v>77.599999999999994</v>
      </c>
    </row>
    <row r="96" spans="1:4" x14ac:dyDescent="0.2">
      <c r="A96" s="17">
        <v>39234</v>
      </c>
      <c r="B96" s="19">
        <v>85.3</v>
      </c>
      <c r="C96" s="19">
        <v>101.9</v>
      </c>
      <c r="D96" s="19">
        <v>74.7</v>
      </c>
    </row>
    <row r="97" spans="1:4" x14ac:dyDescent="0.2">
      <c r="A97" s="17">
        <v>39264</v>
      </c>
      <c r="B97" s="19">
        <v>90.4</v>
      </c>
      <c r="C97" s="19">
        <v>104.5</v>
      </c>
      <c r="D97" s="19">
        <v>81.5</v>
      </c>
    </row>
    <row r="98" spans="1:4" x14ac:dyDescent="0.2">
      <c r="A98" s="17">
        <v>39295</v>
      </c>
      <c r="B98" s="19">
        <v>83.4</v>
      </c>
      <c r="C98" s="19">
        <v>98.4</v>
      </c>
      <c r="D98" s="19">
        <v>73.7</v>
      </c>
    </row>
    <row r="99" spans="1:4" x14ac:dyDescent="0.2">
      <c r="A99" s="17">
        <v>39326</v>
      </c>
      <c r="B99" s="19">
        <v>83.4</v>
      </c>
      <c r="C99" s="19">
        <v>97.9</v>
      </c>
      <c r="D99" s="19">
        <v>74.099999999999994</v>
      </c>
    </row>
    <row r="100" spans="1:4" x14ac:dyDescent="0.2">
      <c r="A100" s="17">
        <v>39356</v>
      </c>
      <c r="B100" s="19">
        <v>80.900000000000006</v>
      </c>
      <c r="C100" s="19">
        <v>97.6</v>
      </c>
      <c r="D100" s="19">
        <v>70.099999999999994</v>
      </c>
    </row>
    <row r="101" spans="1:4" x14ac:dyDescent="0.2">
      <c r="A101" s="17">
        <v>39387</v>
      </c>
      <c r="B101" s="19">
        <v>76.099999999999994</v>
      </c>
      <c r="C101" s="19">
        <v>91.5</v>
      </c>
      <c r="D101" s="19">
        <v>66.2</v>
      </c>
    </row>
    <row r="102" spans="1:4" x14ac:dyDescent="0.2">
      <c r="A102" s="17">
        <v>39417</v>
      </c>
      <c r="B102" s="19">
        <v>75.5</v>
      </c>
      <c r="C102" s="19">
        <v>91</v>
      </c>
      <c r="D102" s="19">
        <v>65.599999999999994</v>
      </c>
    </row>
    <row r="103" spans="1:4" x14ac:dyDescent="0.2">
      <c r="A103" s="17">
        <v>39448</v>
      </c>
      <c r="B103" s="19">
        <v>78.400000000000006</v>
      </c>
      <c r="C103" s="19">
        <v>94.4</v>
      </c>
      <c r="D103" s="19">
        <v>68.099999999999994</v>
      </c>
    </row>
    <row r="104" spans="1:4" x14ac:dyDescent="0.2">
      <c r="A104" s="17">
        <v>39479</v>
      </c>
      <c r="B104" s="19">
        <v>70.8</v>
      </c>
      <c r="C104" s="19">
        <v>83.8</v>
      </c>
      <c r="D104" s="19">
        <v>62.4</v>
      </c>
    </row>
    <row r="105" spans="1:4" x14ac:dyDescent="0.2">
      <c r="A105" s="17">
        <v>39508</v>
      </c>
      <c r="B105" s="19">
        <v>69.5</v>
      </c>
      <c r="C105" s="19">
        <v>84.2</v>
      </c>
      <c r="D105" s="19">
        <v>60.1</v>
      </c>
    </row>
    <row r="106" spans="1:4" x14ac:dyDescent="0.2">
      <c r="A106" s="17">
        <v>39539</v>
      </c>
      <c r="B106" s="19">
        <v>62.6</v>
      </c>
      <c r="C106" s="19">
        <v>77</v>
      </c>
      <c r="D106" s="19">
        <v>53.3</v>
      </c>
    </row>
    <row r="107" spans="1:4" x14ac:dyDescent="0.2">
      <c r="A107" s="17">
        <v>39569</v>
      </c>
      <c r="B107" s="19">
        <v>59.8</v>
      </c>
      <c r="C107" s="19">
        <v>73.3</v>
      </c>
      <c r="D107" s="19">
        <v>51.1</v>
      </c>
    </row>
    <row r="108" spans="1:4" x14ac:dyDescent="0.2">
      <c r="A108" s="17">
        <v>39600</v>
      </c>
      <c r="B108" s="19">
        <v>56.4</v>
      </c>
      <c r="C108" s="19">
        <v>67.599999999999994</v>
      </c>
      <c r="D108" s="19">
        <v>49.2</v>
      </c>
    </row>
    <row r="109" spans="1:4" x14ac:dyDescent="0.2">
      <c r="A109" s="17">
        <v>39630</v>
      </c>
      <c r="B109" s="19">
        <v>61.2</v>
      </c>
      <c r="C109" s="19">
        <v>73.099999999999994</v>
      </c>
      <c r="D109" s="19">
        <v>53.5</v>
      </c>
    </row>
    <row r="110" spans="1:4" x14ac:dyDescent="0.2">
      <c r="A110" s="17">
        <v>39661</v>
      </c>
      <c r="B110" s="19">
        <v>63</v>
      </c>
      <c r="C110" s="19">
        <v>71</v>
      </c>
      <c r="D110" s="19">
        <v>57.9</v>
      </c>
    </row>
    <row r="111" spans="1:4" x14ac:dyDescent="0.2">
      <c r="A111" s="17">
        <v>39692</v>
      </c>
      <c r="B111" s="19">
        <v>70.3</v>
      </c>
      <c r="C111" s="19">
        <v>75</v>
      </c>
      <c r="D111" s="19">
        <v>67.2</v>
      </c>
    </row>
    <row r="112" spans="1:4" x14ac:dyDescent="0.2">
      <c r="A112" s="17">
        <v>39722</v>
      </c>
      <c r="B112" s="19">
        <v>57.6</v>
      </c>
      <c r="C112" s="19">
        <v>58.4</v>
      </c>
      <c r="D112" s="19">
        <v>57</v>
      </c>
    </row>
    <row r="113" spans="1:4" x14ac:dyDescent="0.2">
      <c r="A113" s="17">
        <v>39753</v>
      </c>
      <c r="B113" s="19">
        <v>55.3</v>
      </c>
      <c r="C113" s="19">
        <v>57.5</v>
      </c>
      <c r="D113" s="19">
        <v>53.9</v>
      </c>
    </row>
    <row r="114" spans="1:4" x14ac:dyDescent="0.2">
      <c r="A114" s="17">
        <v>39783</v>
      </c>
      <c r="B114" s="19">
        <v>60.1</v>
      </c>
      <c r="C114" s="19">
        <v>69.5</v>
      </c>
      <c r="D114" s="19">
        <v>54</v>
      </c>
    </row>
    <row r="115" spans="1:4" x14ac:dyDescent="0.2">
      <c r="A115" s="17">
        <v>39814</v>
      </c>
      <c r="B115" s="19">
        <v>61.2</v>
      </c>
      <c r="C115" s="19">
        <v>66.5</v>
      </c>
      <c r="D115" s="19">
        <v>57.8</v>
      </c>
    </row>
    <row r="116" spans="1:4" x14ac:dyDescent="0.2">
      <c r="A116" s="17">
        <v>39845</v>
      </c>
      <c r="B116" s="19">
        <v>56.3</v>
      </c>
      <c r="C116" s="19">
        <v>65.5</v>
      </c>
      <c r="D116" s="19">
        <v>50.5</v>
      </c>
    </row>
    <row r="117" spans="1:4" x14ac:dyDescent="0.2">
      <c r="A117" s="17">
        <v>39873</v>
      </c>
      <c r="B117" s="19">
        <v>57.3</v>
      </c>
      <c r="C117" s="19">
        <v>63.3</v>
      </c>
      <c r="D117" s="19">
        <v>53.5</v>
      </c>
    </row>
    <row r="118" spans="1:4" x14ac:dyDescent="0.2">
      <c r="A118" s="17">
        <v>39904</v>
      </c>
      <c r="B118" s="19">
        <v>65.099999999999994</v>
      </c>
      <c r="C118" s="19">
        <v>68.3</v>
      </c>
      <c r="D118" s="19">
        <v>63.1</v>
      </c>
    </row>
    <row r="119" spans="1:4" x14ac:dyDescent="0.2">
      <c r="A119" s="17">
        <v>39934</v>
      </c>
      <c r="B119" s="19">
        <v>68.7</v>
      </c>
      <c r="C119" s="19">
        <v>67.7</v>
      </c>
      <c r="D119" s="19">
        <v>69.400000000000006</v>
      </c>
    </row>
    <row r="120" spans="1:4" x14ac:dyDescent="0.2">
      <c r="A120" s="17">
        <v>39973</v>
      </c>
      <c r="B120" s="19">
        <v>70.8</v>
      </c>
      <c r="C120" s="19">
        <v>73.2</v>
      </c>
      <c r="D120" s="19">
        <v>69.2</v>
      </c>
    </row>
    <row r="121" spans="1:4" x14ac:dyDescent="0.2">
      <c r="A121" s="17">
        <v>39995</v>
      </c>
      <c r="B121" s="19">
        <v>66</v>
      </c>
      <c r="C121" s="19">
        <v>70.5</v>
      </c>
      <c r="D121" s="19">
        <v>63.2</v>
      </c>
    </row>
    <row r="122" spans="1:4" x14ac:dyDescent="0.2">
      <c r="A122" s="17">
        <v>40026</v>
      </c>
      <c r="B122" s="19">
        <v>65.7</v>
      </c>
      <c r="C122" s="19">
        <v>66.599999999999994</v>
      </c>
      <c r="D122" s="19">
        <v>65</v>
      </c>
    </row>
    <row r="123" spans="1:4" x14ac:dyDescent="0.2">
      <c r="A123" s="17">
        <v>40057</v>
      </c>
      <c r="B123" s="19">
        <v>73.5</v>
      </c>
      <c r="C123" s="19">
        <v>73.400000000000006</v>
      </c>
      <c r="D123" s="19">
        <v>73.5</v>
      </c>
    </row>
    <row r="124" spans="1:4" x14ac:dyDescent="0.2">
      <c r="A124" s="17">
        <v>40087</v>
      </c>
      <c r="B124" s="19">
        <v>70.599999999999994</v>
      </c>
      <c r="C124" s="19">
        <v>73.7</v>
      </c>
      <c r="D124" s="19">
        <v>68.599999999999994</v>
      </c>
    </row>
    <row r="125" spans="1:4" x14ac:dyDescent="0.2">
      <c r="A125" s="17">
        <v>40118</v>
      </c>
      <c r="B125" s="19">
        <v>67.400000000000006</v>
      </c>
      <c r="C125" s="19">
        <v>68.8</v>
      </c>
      <c r="D125" s="19">
        <v>66.5</v>
      </c>
    </row>
    <row r="126" spans="1:4" x14ac:dyDescent="0.2">
      <c r="A126" s="17">
        <v>40148</v>
      </c>
      <c r="B126" s="19">
        <v>72.5</v>
      </c>
      <c r="C126" s="19">
        <v>78</v>
      </c>
      <c r="D126" s="19">
        <v>68.900000000000006</v>
      </c>
    </row>
    <row r="127" spans="1:4" x14ac:dyDescent="0.2">
      <c r="A127" s="17">
        <v>40179</v>
      </c>
      <c r="B127" s="19">
        <v>74.400000000000006</v>
      </c>
      <c r="C127" s="19">
        <v>81.099999999999994</v>
      </c>
      <c r="D127" s="19">
        <v>70.099999999999994</v>
      </c>
    </row>
    <row r="128" spans="1:4" x14ac:dyDescent="0.2">
      <c r="A128" s="17">
        <v>40210</v>
      </c>
      <c r="B128" s="19">
        <v>73.599999999999994</v>
      </c>
      <c r="C128" s="19">
        <v>81.8</v>
      </c>
      <c r="D128" s="19">
        <v>68.400000000000006</v>
      </c>
    </row>
    <row r="129" spans="1:4" x14ac:dyDescent="0.2">
      <c r="A129" s="17">
        <v>40238</v>
      </c>
      <c r="B129" s="19">
        <v>73.599999999999994</v>
      </c>
      <c r="C129" s="19">
        <v>82.4</v>
      </c>
      <c r="D129" s="19">
        <v>67.900000000000006</v>
      </c>
    </row>
    <row r="130" spans="1:4" x14ac:dyDescent="0.2">
      <c r="A130" s="17">
        <v>40269</v>
      </c>
      <c r="B130" s="19">
        <v>72.2</v>
      </c>
      <c r="C130" s="19">
        <v>81</v>
      </c>
      <c r="D130" s="19">
        <v>66.5</v>
      </c>
    </row>
    <row r="131" spans="1:4" x14ac:dyDescent="0.2">
      <c r="A131" s="17">
        <v>40299</v>
      </c>
      <c r="B131" s="19">
        <v>73.599999999999994</v>
      </c>
      <c r="C131" s="19">
        <v>81</v>
      </c>
      <c r="D131" s="19">
        <v>68.8</v>
      </c>
    </row>
    <row r="132" spans="1:4" x14ac:dyDescent="0.2">
      <c r="A132" s="17">
        <v>40330</v>
      </c>
      <c r="B132" s="19">
        <v>76</v>
      </c>
      <c r="C132" s="19">
        <v>85.6</v>
      </c>
      <c r="D132" s="19">
        <v>69.8</v>
      </c>
    </row>
    <row r="133" spans="1:4" x14ac:dyDescent="0.2">
      <c r="A133" s="17">
        <v>40360</v>
      </c>
      <c r="B133" s="19">
        <v>67.8</v>
      </c>
      <c r="C133" s="19">
        <v>76.5</v>
      </c>
      <c r="D133" s="19">
        <v>62.3</v>
      </c>
    </row>
    <row r="134" spans="1:4" x14ac:dyDescent="0.2">
      <c r="A134" s="17">
        <v>40391</v>
      </c>
      <c r="B134" s="19">
        <v>68.900000000000006</v>
      </c>
      <c r="C134" s="19">
        <v>78.3</v>
      </c>
      <c r="D134" s="19">
        <v>62.9</v>
      </c>
    </row>
    <row r="135" spans="1:4" x14ac:dyDescent="0.2">
      <c r="A135" s="17">
        <v>40422</v>
      </c>
      <c r="B135" s="19">
        <v>68.2</v>
      </c>
      <c r="C135" s="19">
        <v>79.599999999999994</v>
      </c>
      <c r="D135" s="19">
        <v>60.9</v>
      </c>
    </row>
    <row r="136" spans="1:4" x14ac:dyDescent="0.2">
      <c r="A136" s="17">
        <v>40452</v>
      </c>
      <c r="B136" s="19">
        <v>67.7</v>
      </c>
      <c r="C136" s="19">
        <v>76.599999999999994</v>
      </c>
      <c r="D136" s="19">
        <v>61.9</v>
      </c>
    </row>
    <row r="137" spans="1:4" x14ac:dyDescent="0.2">
      <c r="A137" s="17">
        <v>40483</v>
      </c>
      <c r="B137" s="19">
        <v>71.599999999999994</v>
      </c>
      <c r="C137" s="19">
        <v>82.1</v>
      </c>
      <c r="D137" s="19">
        <v>64.8</v>
      </c>
    </row>
    <row r="138" spans="1:4" x14ac:dyDescent="0.2">
      <c r="A138" s="17">
        <v>40513</v>
      </c>
      <c r="B138" s="19">
        <v>74.5</v>
      </c>
      <c r="C138" s="19">
        <v>85.3</v>
      </c>
      <c r="D138" s="19">
        <v>67.5</v>
      </c>
    </row>
    <row r="139" spans="1:4" x14ac:dyDescent="0.2">
      <c r="A139" s="17">
        <v>40544</v>
      </c>
      <c r="B139" s="19">
        <v>74.2</v>
      </c>
      <c r="C139" s="19">
        <v>81.8</v>
      </c>
      <c r="D139" s="19">
        <v>69.3</v>
      </c>
    </row>
    <row r="140" spans="1:4" x14ac:dyDescent="0.2">
      <c r="A140" s="17">
        <v>40575</v>
      </c>
      <c r="B140" s="19">
        <v>77.5</v>
      </c>
      <c r="C140" s="19">
        <v>86.9</v>
      </c>
      <c r="D140" s="19">
        <v>71.599999999999994</v>
      </c>
    </row>
    <row r="141" spans="1:4" x14ac:dyDescent="0.2">
      <c r="A141" s="17">
        <v>40603</v>
      </c>
      <c r="B141" s="19">
        <v>67.5</v>
      </c>
      <c r="C141" s="19">
        <v>82.5</v>
      </c>
      <c r="D141" s="19">
        <v>57.9</v>
      </c>
    </row>
    <row r="142" spans="1:4" x14ac:dyDescent="0.2">
      <c r="A142" s="17">
        <v>40634</v>
      </c>
      <c r="B142" s="19">
        <v>69.8</v>
      </c>
      <c r="C142" s="19">
        <v>82.5</v>
      </c>
      <c r="D142" s="19">
        <v>61.6</v>
      </c>
    </row>
    <row r="143" spans="1:4" x14ac:dyDescent="0.2">
      <c r="A143" s="17">
        <v>40664</v>
      </c>
      <c r="B143" s="19">
        <v>74.3</v>
      </c>
      <c r="C143" s="19">
        <v>81.900000000000006</v>
      </c>
      <c r="D143" s="19">
        <v>69.5</v>
      </c>
    </row>
    <row r="144" spans="1:4" x14ac:dyDescent="0.2">
      <c r="A144" s="17">
        <v>40695</v>
      </c>
      <c r="B144" s="19">
        <v>71.5</v>
      </c>
      <c r="C144" s="19">
        <v>82</v>
      </c>
      <c r="D144" s="19">
        <v>64.7</v>
      </c>
    </row>
    <row r="145" spans="1:4" x14ac:dyDescent="0.2">
      <c r="A145" s="17">
        <v>40725</v>
      </c>
      <c r="B145" s="19">
        <v>63.7</v>
      </c>
      <c r="C145" s="19">
        <v>75.7</v>
      </c>
      <c r="D145" s="19">
        <v>55.9</v>
      </c>
    </row>
    <row r="146" spans="1:4" x14ac:dyDescent="0.2">
      <c r="A146" s="17">
        <v>40756</v>
      </c>
      <c r="B146" s="19">
        <v>55.8</v>
      </c>
      <c r="C146" s="19">
        <v>68.5</v>
      </c>
      <c r="D146" s="19">
        <v>47.6</v>
      </c>
    </row>
    <row r="147" spans="1:4" x14ac:dyDescent="0.2">
      <c r="A147" s="17">
        <v>40787</v>
      </c>
      <c r="B147" s="19">
        <v>59.5</v>
      </c>
      <c r="C147" s="19">
        <v>75.2</v>
      </c>
      <c r="D147" s="19">
        <v>49.4</v>
      </c>
    </row>
    <row r="148" spans="1:4" x14ac:dyDescent="0.2">
      <c r="A148" s="17">
        <v>40817</v>
      </c>
      <c r="B148" s="19">
        <v>60.8</v>
      </c>
      <c r="C148" s="19">
        <v>74.900000000000006</v>
      </c>
      <c r="D148" s="19">
        <v>51.7</v>
      </c>
    </row>
    <row r="149" spans="1:4" x14ac:dyDescent="0.2">
      <c r="A149" s="17">
        <v>40848</v>
      </c>
      <c r="B149" s="19">
        <v>63.7</v>
      </c>
      <c r="C149" s="19">
        <v>77.400000000000006</v>
      </c>
      <c r="D149" s="19">
        <v>54.9</v>
      </c>
    </row>
    <row r="150" spans="1:4" x14ac:dyDescent="0.2">
      <c r="A150" s="17">
        <v>40878</v>
      </c>
      <c r="B150" s="19">
        <v>69.900000000000006</v>
      </c>
      <c r="C150" s="19">
        <v>79.599999999999994</v>
      </c>
      <c r="D150" s="19">
        <v>63.6</v>
      </c>
    </row>
    <row r="151" spans="1:4" x14ac:dyDescent="0.2">
      <c r="A151" s="17">
        <v>40909</v>
      </c>
      <c r="B151" s="19">
        <v>75</v>
      </c>
      <c r="C151" s="19">
        <v>84.2</v>
      </c>
      <c r="D151" s="19">
        <v>69.099999999999994</v>
      </c>
    </row>
    <row r="152" spans="1:4" x14ac:dyDescent="0.2">
      <c r="A152" s="17">
        <v>40940</v>
      </c>
      <c r="B152" s="19">
        <v>75.3</v>
      </c>
      <c r="C152" s="19">
        <v>83</v>
      </c>
      <c r="D152" s="19">
        <v>70.3</v>
      </c>
    </row>
    <row r="153" spans="1:4" x14ac:dyDescent="0.2">
      <c r="A153" s="17">
        <v>40969</v>
      </c>
      <c r="B153" s="19">
        <v>76.2</v>
      </c>
      <c r="C153" s="19">
        <v>86</v>
      </c>
      <c r="D153" s="19">
        <v>69.8</v>
      </c>
    </row>
    <row r="154" spans="1:4" x14ac:dyDescent="0.2">
      <c r="A154" s="17">
        <v>41000</v>
      </c>
      <c r="B154" s="19">
        <v>76.400000000000006</v>
      </c>
      <c r="C154" s="19">
        <v>82.9</v>
      </c>
      <c r="D154" s="19">
        <v>72.3</v>
      </c>
    </row>
    <row r="155" spans="1:4" x14ac:dyDescent="0.2">
      <c r="A155" s="17">
        <v>41030</v>
      </c>
      <c r="B155" s="19">
        <v>79.3</v>
      </c>
      <c r="C155" s="19">
        <v>87.2</v>
      </c>
      <c r="D155" s="19">
        <v>74.3</v>
      </c>
    </row>
    <row r="156" spans="1:4" x14ac:dyDescent="0.2">
      <c r="A156" s="17">
        <v>41061</v>
      </c>
      <c r="B156" s="19">
        <v>73.2</v>
      </c>
      <c r="C156" s="19">
        <v>81.5</v>
      </c>
      <c r="D156" s="19">
        <v>67.8</v>
      </c>
    </row>
    <row r="157" spans="1:4" x14ac:dyDescent="0.2">
      <c r="A157" s="17">
        <v>41091</v>
      </c>
      <c r="B157" s="19">
        <v>72.3</v>
      </c>
      <c r="C157" s="19">
        <v>82.7</v>
      </c>
      <c r="D157" s="19">
        <v>65.599999999999994</v>
      </c>
    </row>
    <row r="158" spans="1:4" x14ac:dyDescent="0.2">
      <c r="A158" s="17">
        <v>41122</v>
      </c>
      <c r="B158" s="19">
        <v>74.3</v>
      </c>
      <c r="C158" s="19">
        <v>88.7</v>
      </c>
      <c r="D158" s="19">
        <v>65.099999999999994</v>
      </c>
    </row>
    <row r="159" spans="1:4" x14ac:dyDescent="0.2">
      <c r="A159" s="17">
        <v>41153</v>
      </c>
      <c r="B159" s="19">
        <v>78.3</v>
      </c>
      <c r="C159" s="19">
        <v>85.7</v>
      </c>
      <c r="D159" s="19">
        <v>73.5</v>
      </c>
    </row>
    <row r="160" spans="1:4" x14ac:dyDescent="0.2">
      <c r="A160" s="17">
        <v>41183</v>
      </c>
      <c r="B160" s="19">
        <v>82.6</v>
      </c>
      <c r="C160" s="19">
        <v>88.1</v>
      </c>
      <c r="D160" s="19">
        <v>79</v>
      </c>
    </row>
    <row r="161" spans="1:4" x14ac:dyDescent="0.2">
      <c r="A161" s="17">
        <v>41214</v>
      </c>
      <c r="B161" s="19">
        <v>82.7</v>
      </c>
      <c r="C161" s="19">
        <v>90.6</v>
      </c>
      <c r="D161" s="19">
        <v>77.7</v>
      </c>
    </row>
    <row r="162" spans="1:4" x14ac:dyDescent="0.2">
      <c r="A162" s="17">
        <v>41244</v>
      </c>
      <c r="B162" s="19">
        <v>72.900000000000006</v>
      </c>
      <c r="C162" s="19">
        <v>87</v>
      </c>
      <c r="D162" s="19">
        <v>63.8</v>
      </c>
    </row>
    <row r="163" spans="1:4" x14ac:dyDescent="0.2">
      <c r="A163" s="17">
        <v>41275</v>
      </c>
      <c r="B163" s="19">
        <v>73.8</v>
      </c>
      <c r="C163" s="19">
        <v>85</v>
      </c>
      <c r="D163" s="19">
        <v>66.599999999999994</v>
      </c>
    </row>
    <row r="164" spans="1:4" x14ac:dyDescent="0.2">
      <c r="A164" s="17">
        <v>41306</v>
      </c>
      <c r="B164" s="19">
        <v>77.599999999999994</v>
      </c>
      <c r="C164" s="19">
        <v>89</v>
      </c>
      <c r="D164" s="19">
        <v>70.2</v>
      </c>
    </row>
    <row r="165" spans="1:4" x14ac:dyDescent="0.2">
      <c r="A165" s="17">
        <v>41334</v>
      </c>
      <c r="B165" s="19">
        <v>78.599999999999994</v>
      </c>
      <c r="C165" s="19">
        <v>90.7</v>
      </c>
      <c r="D165" s="19">
        <v>70.8</v>
      </c>
    </row>
    <row r="166" spans="1:4" x14ac:dyDescent="0.2">
      <c r="A166" s="17">
        <v>41365</v>
      </c>
      <c r="B166" s="19">
        <v>76.400000000000006</v>
      </c>
      <c r="C166" s="19">
        <v>89.9</v>
      </c>
      <c r="D166" s="19">
        <v>67.8</v>
      </c>
    </row>
    <row r="167" spans="1:4" x14ac:dyDescent="0.2">
      <c r="A167" s="17">
        <v>41395</v>
      </c>
      <c r="B167" s="19">
        <v>84.5</v>
      </c>
      <c r="C167" s="19">
        <v>98</v>
      </c>
      <c r="D167" s="19">
        <v>75.8</v>
      </c>
    </row>
    <row r="168" spans="1:4" x14ac:dyDescent="0.2">
      <c r="A168" s="17">
        <v>41426</v>
      </c>
      <c r="B168" s="19">
        <v>84.1</v>
      </c>
      <c r="C168" s="19">
        <v>93.8</v>
      </c>
      <c r="D168" s="19">
        <v>77.8</v>
      </c>
    </row>
    <row r="169" spans="1:4" x14ac:dyDescent="0.2">
      <c r="A169" s="17">
        <v>41456</v>
      </c>
      <c r="B169" s="19">
        <v>85.1</v>
      </c>
      <c r="C169" s="19">
        <v>98.6</v>
      </c>
      <c r="D169" s="19">
        <v>76.5</v>
      </c>
    </row>
    <row r="170" spans="1:4" x14ac:dyDescent="0.2">
      <c r="A170" s="17">
        <v>41487</v>
      </c>
      <c r="B170" s="19">
        <v>82.1</v>
      </c>
      <c r="C170" s="19">
        <v>95.2</v>
      </c>
      <c r="D170" s="19">
        <v>73.7</v>
      </c>
    </row>
    <row r="171" spans="1:4" x14ac:dyDescent="0.2">
      <c r="A171" s="17">
        <v>41518</v>
      </c>
      <c r="B171" s="19">
        <v>77.5</v>
      </c>
      <c r="C171" s="19">
        <v>92.6</v>
      </c>
      <c r="D171" s="19">
        <v>67.8</v>
      </c>
    </row>
    <row r="172" spans="1:4" x14ac:dyDescent="0.2">
      <c r="A172" s="17">
        <v>41548</v>
      </c>
      <c r="B172" s="19">
        <v>73.2</v>
      </c>
      <c r="C172" s="19">
        <v>89.9</v>
      </c>
      <c r="D172" s="19">
        <v>62.5</v>
      </c>
    </row>
    <row r="173" spans="1:4" x14ac:dyDescent="0.2">
      <c r="A173" s="17">
        <v>41579</v>
      </c>
      <c r="B173" s="19">
        <v>75.099999999999994</v>
      </c>
      <c r="C173" s="19">
        <v>88</v>
      </c>
      <c r="D173" s="19">
        <v>66.8</v>
      </c>
    </row>
    <row r="174" spans="1:4" x14ac:dyDescent="0.2">
      <c r="A174" s="17">
        <v>41609</v>
      </c>
      <c r="B174" s="19">
        <v>82.5</v>
      </c>
      <c r="C174" s="19">
        <v>98.6</v>
      </c>
      <c r="D174" s="19">
        <v>72.099999999999994</v>
      </c>
    </row>
    <row r="175" spans="1:4" x14ac:dyDescent="0.2">
      <c r="A175" s="17">
        <v>41640</v>
      </c>
      <c r="B175" s="19">
        <v>81.2</v>
      </c>
      <c r="C175" s="19">
        <v>96.8</v>
      </c>
      <c r="D175" s="19">
        <v>71.2</v>
      </c>
    </row>
    <row r="176" spans="1:4" x14ac:dyDescent="0.2">
      <c r="A176" s="17">
        <v>41671</v>
      </c>
      <c r="B176" s="19">
        <v>81.599999999999994</v>
      </c>
      <c r="C176" s="19">
        <v>95.4</v>
      </c>
      <c r="D176" s="19">
        <v>72.7</v>
      </c>
    </row>
    <row r="177" spans="1:4" x14ac:dyDescent="0.2">
      <c r="A177" s="17">
        <v>41699</v>
      </c>
      <c r="B177" s="19">
        <v>80</v>
      </c>
      <c r="C177" s="19">
        <v>95.7</v>
      </c>
      <c r="D177" s="19">
        <v>70</v>
      </c>
    </row>
    <row r="178" spans="1:4" x14ac:dyDescent="0.2">
      <c r="A178" s="17">
        <v>41730</v>
      </c>
      <c r="B178" s="19">
        <v>84.1</v>
      </c>
      <c r="C178" s="19">
        <v>98.7</v>
      </c>
      <c r="D178" s="19">
        <v>74.7</v>
      </c>
    </row>
    <row r="179" spans="1:4" x14ac:dyDescent="0.2">
      <c r="A179" s="17">
        <v>41760</v>
      </c>
      <c r="B179" s="19">
        <v>81.900000000000006</v>
      </c>
      <c r="C179" s="19">
        <v>94.5</v>
      </c>
      <c r="D179" s="19">
        <v>73.7</v>
      </c>
    </row>
    <row r="180" spans="1:4" x14ac:dyDescent="0.2">
      <c r="A180" s="17">
        <v>41791</v>
      </c>
      <c r="B180" s="19">
        <v>82.5</v>
      </c>
      <c r="C180" s="19">
        <v>96.6</v>
      </c>
      <c r="D180" s="19">
        <v>73.5</v>
      </c>
    </row>
    <row r="181" spans="1:4" x14ac:dyDescent="0.2">
      <c r="A181" s="17">
        <v>41821</v>
      </c>
      <c r="B181" s="19">
        <v>81.8</v>
      </c>
      <c r="C181" s="19">
        <v>97.4</v>
      </c>
      <c r="D181" s="19">
        <v>71.8</v>
      </c>
    </row>
    <row r="182" spans="1:4" x14ac:dyDescent="0.2">
      <c r="A182" s="17">
        <v>41852</v>
      </c>
      <c r="B182" s="19">
        <v>82.5</v>
      </c>
      <c r="C182" s="19">
        <v>99.8</v>
      </c>
      <c r="D182" s="19">
        <v>71.3</v>
      </c>
    </row>
    <row r="183" spans="1:4" x14ac:dyDescent="0.2">
      <c r="A183" s="17">
        <v>41883</v>
      </c>
      <c r="B183" s="19">
        <v>84.6</v>
      </c>
      <c r="C183" s="19">
        <v>98.9</v>
      </c>
      <c r="D183" s="19">
        <v>75.400000000000006</v>
      </c>
    </row>
    <row r="184" spans="1:4" x14ac:dyDescent="0.2">
      <c r="A184" s="17">
        <v>41913</v>
      </c>
      <c r="B184" s="19">
        <v>86.9</v>
      </c>
      <c r="C184" s="19">
        <v>98.3</v>
      </c>
      <c r="D184" s="19">
        <v>79.599999999999994</v>
      </c>
    </row>
    <row r="185" spans="1:4" x14ac:dyDescent="0.2">
      <c r="A185" s="17">
        <v>41944</v>
      </c>
      <c r="B185" s="19">
        <v>88.8</v>
      </c>
      <c r="C185" s="19">
        <v>102.7</v>
      </c>
      <c r="D185" s="19">
        <v>79.900000000000006</v>
      </c>
    </row>
    <row r="186" spans="1:4" x14ac:dyDescent="0.2">
      <c r="A186" s="17">
        <v>41974</v>
      </c>
      <c r="B186" s="19">
        <v>93.6</v>
      </c>
      <c r="C186" s="19">
        <v>104.8</v>
      </c>
      <c r="D186" s="19">
        <v>86.4</v>
      </c>
    </row>
    <row r="187" spans="1:4" x14ac:dyDescent="0.2">
      <c r="A187" s="17">
        <v>42005</v>
      </c>
      <c r="B187" s="19">
        <v>98.1</v>
      </c>
      <c r="C187" s="19">
        <v>109.3</v>
      </c>
      <c r="D187" s="19">
        <v>91</v>
      </c>
    </row>
    <row r="188" spans="1:4" x14ac:dyDescent="0.2">
      <c r="A188" s="17">
        <v>42036</v>
      </c>
      <c r="B188" s="19">
        <v>95.4</v>
      </c>
      <c r="C188" s="19">
        <v>106.9</v>
      </c>
      <c r="D188" s="19">
        <v>88</v>
      </c>
    </row>
    <row r="189" spans="1:4" x14ac:dyDescent="0.2">
      <c r="A189" s="17">
        <v>42064</v>
      </c>
      <c r="B189" s="19">
        <v>93</v>
      </c>
      <c r="C189" s="19">
        <v>105</v>
      </c>
      <c r="D189" s="19">
        <v>85.3</v>
      </c>
    </row>
    <row r="190" spans="1:4" x14ac:dyDescent="0.2">
      <c r="A190" s="17">
        <v>42095</v>
      </c>
      <c r="B190" s="19">
        <v>95.9</v>
      </c>
      <c r="C190" s="19">
        <v>107</v>
      </c>
      <c r="D190" s="19">
        <v>88.8</v>
      </c>
    </row>
    <row r="191" spans="1:4" x14ac:dyDescent="0.2">
      <c r="A191" s="17">
        <v>42125</v>
      </c>
      <c r="B191" s="19">
        <v>90.7</v>
      </c>
      <c r="C191" s="19">
        <v>100.8</v>
      </c>
      <c r="D191" s="19">
        <v>84.2</v>
      </c>
    </row>
    <row r="192" spans="1:4" x14ac:dyDescent="0.2">
      <c r="A192" s="17">
        <v>42156</v>
      </c>
      <c r="B192" s="19">
        <v>96.1</v>
      </c>
      <c r="C192" s="19">
        <v>108.9</v>
      </c>
      <c r="D192" s="19">
        <v>87.8</v>
      </c>
    </row>
    <row r="193" spans="1:4" x14ac:dyDescent="0.2">
      <c r="A193" s="17">
        <v>42186</v>
      </c>
      <c r="B193" s="19">
        <v>93.1</v>
      </c>
      <c r="C193" s="19">
        <v>107.2</v>
      </c>
      <c r="D193" s="19">
        <v>84.1</v>
      </c>
    </row>
    <row r="194" spans="1:4" x14ac:dyDescent="0.2">
      <c r="A194" s="17">
        <v>42217</v>
      </c>
      <c r="B194" s="19">
        <v>91.9</v>
      </c>
      <c r="C194" s="19">
        <v>105.1</v>
      </c>
      <c r="D194" s="19">
        <v>83.4</v>
      </c>
    </row>
    <row r="195" spans="1:4" x14ac:dyDescent="0.2">
      <c r="A195" s="17">
        <v>42248</v>
      </c>
      <c r="B195" s="19">
        <v>87.2</v>
      </c>
      <c r="C195" s="19">
        <v>101.2</v>
      </c>
      <c r="D195" s="19">
        <v>78.2</v>
      </c>
    </row>
    <row r="196" spans="1:4" x14ac:dyDescent="0.2">
      <c r="A196" s="17">
        <v>42278</v>
      </c>
      <c r="B196" s="19">
        <v>90</v>
      </c>
      <c r="C196" s="19">
        <v>102.3</v>
      </c>
      <c r="D196" s="19">
        <v>82.1</v>
      </c>
    </row>
    <row r="197" spans="1:4" x14ac:dyDescent="0.2">
      <c r="A197" s="17">
        <v>42309</v>
      </c>
      <c r="B197" s="19">
        <v>91.3</v>
      </c>
      <c r="C197" s="19">
        <v>104.3</v>
      </c>
      <c r="D197" s="19">
        <v>82.9</v>
      </c>
    </row>
    <row r="198" spans="1:4" x14ac:dyDescent="0.2">
      <c r="A198" s="17">
        <v>42339</v>
      </c>
      <c r="B198" s="19">
        <v>92.6</v>
      </c>
      <c r="C198" s="19">
        <v>108.1</v>
      </c>
      <c r="D198" s="19">
        <v>82.7</v>
      </c>
    </row>
    <row r="199" spans="1:4" x14ac:dyDescent="0.2">
      <c r="A199" s="17">
        <v>42370</v>
      </c>
      <c r="B199" s="19">
        <v>92</v>
      </c>
      <c r="C199" s="19">
        <v>106.4</v>
      </c>
      <c r="D199" s="19">
        <v>82.7</v>
      </c>
    </row>
    <row r="200" spans="1:4" x14ac:dyDescent="0.2">
      <c r="A200" s="17">
        <v>42401</v>
      </c>
      <c r="B200" s="19">
        <v>91.7</v>
      </c>
      <c r="C200" s="19">
        <v>106.8</v>
      </c>
      <c r="D200" s="19">
        <v>81.900000000000006</v>
      </c>
    </row>
    <row r="201" spans="1:4" x14ac:dyDescent="0.2">
      <c r="A201" s="17">
        <v>42430</v>
      </c>
      <c r="B201" s="19">
        <v>91</v>
      </c>
      <c r="C201" s="19">
        <v>105.6</v>
      </c>
      <c r="D201" s="19">
        <v>81.5</v>
      </c>
    </row>
    <row r="202" spans="1:4" x14ac:dyDescent="0.2">
      <c r="A202" s="17">
        <v>42461</v>
      </c>
      <c r="B202" s="19">
        <v>89</v>
      </c>
      <c r="C202" s="19">
        <v>106.7</v>
      </c>
      <c r="D202" s="19">
        <v>77.599999999999994</v>
      </c>
    </row>
    <row r="203" spans="1:4" x14ac:dyDescent="0.2">
      <c r="A203" s="17">
        <v>42491</v>
      </c>
      <c r="B203" s="19">
        <v>94.7</v>
      </c>
      <c r="C203" s="19">
        <v>109.9</v>
      </c>
      <c r="D203" s="19">
        <v>84.9</v>
      </c>
    </row>
    <row r="204" spans="1:4" x14ac:dyDescent="0.2">
      <c r="A204" s="17">
        <v>42522</v>
      </c>
      <c r="B204" s="19">
        <v>93.5</v>
      </c>
      <c r="C204" s="19">
        <v>110.8</v>
      </c>
      <c r="D204" s="19">
        <v>82.4</v>
      </c>
    </row>
    <row r="205" spans="1:4" x14ac:dyDescent="0.2">
      <c r="A205" s="17">
        <v>42552</v>
      </c>
      <c r="B205" s="19">
        <v>90</v>
      </c>
      <c r="C205" s="19">
        <v>109</v>
      </c>
      <c r="D205" s="19">
        <v>77.8</v>
      </c>
    </row>
    <row r="206" spans="1:4" x14ac:dyDescent="0.2">
      <c r="A206" s="17">
        <v>42583</v>
      </c>
      <c r="B206" s="19">
        <v>89.8</v>
      </c>
      <c r="C206" s="19">
        <v>107</v>
      </c>
      <c r="D206" s="19">
        <v>78.7</v>
      </c>
    </row>
    <row r="207" spans="1:4" x14ac:dyDescent="0.2">
      <c r="A207" s="17">
        <v>42614</v>
      </c>
      <c r="B207" s="19">
        <v>91.2</v>
      </c>
      <c r="C207" s="19">
        <v>104.2</v>
      </c>
      <c r="D207" s="19">
        <v>82.7</v>
      </c>
    </row>
    <row r="208" spans="1:4" x14ac:dyDescent="0.2">
      <c r="A208" s="17">
        <v>42644</v>
      </c>
      <c r="B208" s="19">
        <v>87.2</v>
      </c>
      <c r="C208" s="19">
        <v>103.2</v>
      </c>
      <c r="D208" s="19">
        <v>76.8</v>
      </c>
    </row>
    <row r="209" spans="1:4" x14ac:dyDescent="0.2">
      <c r="A209" s="17">
        <v>42675</v>
      </c>
      <c r="B209" s="19">
        <v>93.8</v>
      </c>
      <c r="C209" s="19">
        <v>107.3</v>
      </c>
      <c r="D209" s="19">
        <v>85.2</v>
      </c>
    </row>
    <row r="210" spans="1:4" x14ac:dyDescent="0.2">
      <c r="A210" s="17">
        <v>42705</v>
      </c>
      <c r="B210" s="19">
        <v>98.2</v>
      </c>
      <c r="C210" s="19">
        <v>111.9</v>
      </c>
      <c r="D210" s="19">
        <v>89.5</v>
      </c>
    </row>
    <row r="211" spans="1:4" x14ac:dyDescent="0.2">
      <c r="A211" s="17">
        <v>42736</v>
      </c>
      <c r="B211" s="19">
        <v>98.5</v>
      </c>
      <c r="C211" s="19">
        <v>111.3</v>
      </c>
      <c r="D211" s="19">
        <v>90.3</v>
      </c>
    </row>
    <row r="212" spans="1:4" x14ac:dyDescent="0.2">
      <c r="A212" s="17">
        <v>42767</v>
      </c>
      <c r="B212" s="19">
        <v>96.3</v>
      </c>
      <c r="C212" s="19">
        <v>111.5</v>
      </c>
      <c r="D212" s="19">
        <v>86.5</v>
      </c>
    </row>
    <row r="213" spans="1:4" x14ac:dyDescent="0.2">
      <c r="A213" s="17">
        <v>42795</v>
      </c>
      <c r="B213" s="19">
        <v>96.9</v>
      </c>
      <c r="C213" s="19">
        <v>113.2</v>
      </c>
      <c r="D213" s="19">
        <v>86.5</v>
      </c>
    </row>
    <row r="214" spans="1:4" x14ac:dyDescent="0.2">
      <c r="A214" s="17">
        <v>42826</v>
      </c>
      <c r="B214" s="19">
        <v>97</v>
      </c>
      <c r="C214" s="19">
        <v>112.7</v>
      </c>
      <c r="D214" s="19">
        <v>87</v>
      </c>
    </row>
    <row r="215" spans="1:4" x14ac:dyDescent="0.2">
      <c r="A215" s="17">
        <v>42856</v>
      </c>
      <c r="B215" s="19">
        <v>97.1</v>
      </c>
      <c r="C215" s="19">
        <v>111.7</v>
      </c>
      <c r="D215" s="19">
        <v>87.7</v>
      </c>
    </row>
    <row r="216" spans="1:4" x14ac:dyDescent="0.2">
      <c r="A216" s="17">
        <v>42887</v>
      </c>
      <c r="B216" s="19">
        <v>95.1</v>
      </c>
      <c r="C216" s="19">
        <v>112.5</v>
      </c>
      <c r="D216" s="19">
        <v>83.9</v>
      </c>
    </row>
    <row r="217" spans="1:4" x14ac:dyDescent="0.2">
      <c r="A217" s="17">
        <v>42917</v>
      </c>
      <c r="B217" s="19">
        <v>93.4</v>
      </c>
      <c r="C217" s="19">
        <v>113.4</v>
      </c>
      <c r="D217" s="19">
        <v>80.5</v>
      </c>
    </row>
    <row r="218" spans="1:4" x14ac:dyDescent="0.2">
      <c r="A218" s="17">
        <v>42948</v>
      </c>
      <c r="B218" s="19">
        <v>96.8</v>
      </c>
      <c r="C218" s="19">
        <v>110.9</v>
      </c>
      <c r="D218" s="19">
        <v>87.7</v>
      </c>
    </row>
    <row r="219" spans="1:4" x14ac:dyDescent="0.2">
      <c r="A219" s="17">
        <v>42979</v>
      </c>
      <c r="B219" s="19">
        <v>95.1</v>
      </c>
      <c r="C219" s="19">
        <v>111.7</v>
      </c>
      <c r="D219" s="19">
        <v>84.4</v>
      </c>
    </row>
    <row r="220" spans="1:4" x14ac:dyDescent="0.2">
      <c r="A220" s="17">
        <v>43009</v>
      </c>
      <c r="B220" s="19">
        <v>100.7</v>
      </c>
      <c r="C220" s="19">
        <v>116.5</v>
      </c>
      <c r="D220" s="19">
        <v>90.5</v>
      </c>
    </row>
    <row r="221" spans="1:4" x14ac:dyDescent="0.2">
      <c r="A221" s="17">
        <v>43040</v>
      </c>
      <c r="B221" s="19">
        <v>98.5</v>
      </c>
      <c r="C221" s="19">
        <v>113.5</v>
      </c>
      <c r="D221" s="19">
        <v>88.9</v>
      </c>
    </row>
    <row r="222" spans="1:4" x14ac:dyDescent="0.2">
      <c r="A222" s="17">
        <v>43070</v>
      </c>
      <c r="B222" s="19">
        <v>95.9</v>
      </c>
      <c r="C222" s="19">
        <v>113.8</v>
      </c>
      <c r="D222" s="19">
        <v>84.3</v>
      </c>
    </row>
    <row r="223" spans="1:4" x14ac:dyDescent="0.2">
      <c r="A223" s="17">
        <v>43101</v>
      </c>
      <c r="B223" s="19">
        <v>95.7</v>
      </c>
      <c r="C223" s="19">
        <v>110.5</v>
      </c>
      <c r="D223" s="19">
        <v>86.3</v>
      </c>
    </row>
    <row r="224" spans="1:4" x14ac:dyDescent="0.2">
      <c r="A224" s="17">
        <v>43132</v>
      </c>
      <c r="B224" s="19">
        <v>99.7</v>
      </c>
      <c r="C224" s="19">
        <v>114.9</v>
      </c>
      <c r="D224" s="19">
        <v>90</v>
      </c>
    </row>
    <row r="225" spans="1:4" x14ac:dyDescent="0.2">
      <c r="A225" s="17">
        <v>43160</v>
      </c>
      <c r="B225" s="19">
        <v>101.4</v>
      </c>
      <c r="C225" s="19">
        <v>121.2</v>
      </c>
      <c r="D225" s="19">
        <v>88.8</v>
      </c>
    </row>
    <row r="226" spans="1:4" x14ac:dyDescent="0.2">
      <c r="A226" s="17">
        <v>43191</v>
      </c>
      <c r="B226" s="19">
        <v>98.8</v>
      </c>
      <c r="C226" s="19">
        <v>114.9</v>
      </c>
      <c r="D226" s="19">
        <v>88.4</v>
      </c>
    </row>
    <row r="227" spans="1:4" x14ac:dyDescent="0.2">
      <c r="A227" s="34">
        <v>43221</v>
      </c>
      <c r="B227" s="18">
        <v>98</v>
      </c>
      <c r="C227" s="18">
        <v>111.8</v>
      </c>
      <c r="D227" s="19">
        <v>89.1</v>
      </c>
    </row>
    <row r="228" spans="1:4" x14ac:dyDescent="0.2">
      <c r="A228" s="34">
        <v>43252</v>
      </c>
      <c r="B228" s="18">
        <v>98.2</v>
      </c>
      <c r="C228" s="18">
        <v>116.5</v>
      </c>
      <c r="D228" s="19">
        <v>86.3</v>
      </c>
    </row>
    <row r="229" spans="1:4" x14ac:dyDescent="0.2">
      <c r="A229" s="34">
        <v>43282</v>
      </c>
      <c r="B229" s="18">
        <v>97.9</v>
      </c>
      <c r="C229" s="18">
        <v>114.4</v>
      </c>
      <c r="D229" s="19">
        <v>87.3</v>
      </c>
    </row>
    <row r="230" spans="1:4" x14ac:dyDescent="0.2">
      <c r="A230" s="34">
        <v>43313</v>
      </c>
      <c r="B230" s="18">
        <v>96.2</v>
      </c>
      <c r="C230" s="18">
        <v>110.3</v>
      </c>
      <c r="D230" s="19">
        <v>87.1</v>
      </c>
    </row>
    <row r="231" spans="1:4" x14ac:dyDescent="0.2">
      <c r="A231" s="34">
        <v>43344</v>
      </c>
      <c r="B231" s="18">
        <v>100.1</v>
      </c>
      <c r="C231" s="18">
        <v>115.2</v>
      </c>
      <c r="D231" s="19">
        <v>90.5</v>
      </c>
    </row>
    <row r="232" spans="1:4" x14ac:dyDescent="0.2">
      <c r="A232" s="34">
        <v>43374</v>
      </c>
      <c r="B232" s="18">
        <v>98.6</v>
      </c>
      <c r="C232" s="18">
        <v>113.1</v>
      </c>
      <c r="D232" s="19">
        <v>89.3</v>
      </c>
    </row>
    <row r="233" spans="1:4" x14ac:dyDescent="0.2">
      <c r="A233" s="34">
        <v>43405</v>
      </c>
      <c r="B233" s="18">
        <v>97.5</v>
      </c>
      <c r="C233" s="18">
        <v>112.3</v>
      </c>
      <c r="D233" s="19">
        <v>88.1</v>
      </c>
    </row>
    <row r="234" spans="1:4" x14ac:dyDescent="0.2">
      <c r="A234" s="34">
        <v>43435</v>
      </c>
      <c r="B234" s="18">
        <v>98.3</v>
      </c>
      <c r="C234" s="18">
        <v>116.1</v>
      </c>
      <c r="D234" s="19">
        <v>87</v>
      </c>
    </row>
    <row r="235" spans="1:4" x14ac:dyDescent="0.2">
      <c r="A235" s="34">
        <v>43466</v>
      </c>
      <c r="B235" s="18">
        <v>91.2</v>
      </c>
      <c r="C235" s="18">
        <v>108.8</v>
      </c>
      <c r="D235" s="19">
        <v>79.900000000000006</v>
      </c>
    </row>
    <row r="236" spans="1:4" x14ac:dyDescent="0.2">
      <c r="A236" s="34">
        <v>43497</v>
      </c>
      <c r="B236" s="18">
        <v>93.8</v>
      </c>
      <c r="C236" s="18">
        <v>108.5</v>
      </c>
      <c r="D236" s="19">
        <v>84.4</v>
      </c>
    </row>
    <row r="237" spans="1:4" x14ac:dyDescent="0.2">
      <c r="A237" s="34">
        <v>43525</v>
      </c>
      <c r="B237" s="18">
        <v>98.4</v>
      </c>
      <c r="C237" s="18">
        <v>113.3</v>
      </c>
      <c r="D237" s="19">
        <v>88.8</v>
      </c>
    </row>
    <row r="238" spans="1:4" x14ac:dyDescent="0.2">
      <c r="A238" s="34">
        <v>43556</v>
      </c>
      <c r="B238" s="18">
        <v>97.2</v>
      </c>
      <c r="C238" s="18">
        <v>112.3</v>
      </c>
      <c r="D238" s="19">
        <v>87.4</v>
      </c>
    </row>
    <row r="239" spans="1:4" x14ac:dyDescent="0.2">
      <c r="A239" s="34">
        <v>43586</v>
      </c>
      <c r="B239" s="18">
        <v>100</v>
      </c>
      <c r="C239" s="18">
        <v>110</v>
      </c>
      <c r="D239" s="19">
        <v>93.5</v>
      </c>
    </row>
    <row r="240" spans="1:4" x14ac:dyDescent="0.2">
      <c r="A240" s="34">
        <v>43617</v>
      </c>
      <c r="B240" s="18">
        <v>98.2</v>
      </c>
      <c r="C240" s="18">
        <v>111.9</v>
      </c>
      <c r="D240" s="19">
        <v>89.3</v>
      </c>
    </row>
    <row r="241" spans="1:4" x14ac:dyDescent="0.2">
      <c r="A241" s="34">
        <v>43647</v>
      </c>
      <c r="B241" s="18">
        <v>98.4</v>
      </c>
      <c r="C241" s="18">
        <v>110.7</v>
      </c>
      <c r="D241" s="19">
        <v>90.5</v>
      </c>
    </row>
    <row r="242" spans="1:4" x14ac:dyDescent="0.2">
      <c r="A242" s="34">
        <v>43678</v>
      </c>
      <c r="B242" s="18">
        <v>89.8</v>
      </c>
      <c r="C242" s="18">
        <v>105.3</v>
      </c>
      <c r="D242" s="19">
        <v>79.900000000000006</v>
      </c>
    </row>
    <row r="243" spans="1:4" x14ac:dyDescent="0.2">
      <c r="A243" s="34">
        <v>43709</v>
      </c>
      <c r="B243" s="18">
        <v>93.2</v>
      </c>
      <c r="C243" s="18">
        <v>108.5</v>
      </c>
      <c r="D243" s="19">
        <v>83.4</v>
      </c>
    </row>
    <row r="244" spans="1:4" x14ac:dyDescent="0.2">
      <c r="A244" s="34">
        <v>43739</v>
      </c>
      <c r="B244" s="18">
        <v>95.5</v>
      </c>
      <c r="C244" s="18">
        <v>113.2</v>
      </c>
      <c r="D244" s="19">
        <v>84.2</v>
      </c>
    </row>
    <row r="245" spans="1:4" x14ac:dyDescent="0.2">
      <c r="A245" s="34">
        <v>43770</v>
      </c>
      <c r="B245" s="18">
        <v>96.8</v>
      </c>
      <c r="C245" s="18">
        <v>111.6</v>
      </c>
      <c r="D245" s="19">
        <v>87.3</v>
      </c>
    </row>
    <row r="246" spans="1:4" x14ac:dyDescent="0.2">
      <c r="A246" s="34">
        <v>43800</v>
      </c>
      <c r="B246" s="18">
        <v>99.3</v>
      </c>
      <c r="C246" s="18">
        <v>115.5</v>
      </c>
      <c r="D246" s="19">
        <v>88.9</v>
      </c>
    </row>
    <row r="247" spans="1:4" x14ac:dyDescent="0.2">
      <c r="A247" s="34">
        <v>43831</v>
      </c>
      <c r="B247" s="18">
        <v>99.8</v>
      </c>
      <c r="C247" s="18">
        <v>114.4</v>
      </c>
      <c r="D247" s="19">
        <v>90.5</v>
      </c>
    </row>
    <row r="248" spans="1:4" x14ac:dyDescent="0.2">
      <c r="A248" s="34">
        <v>43862</v>
      </c>
      <c r="B248" s="18">
        <v>101</v>
      </c>
      <c r="C248" s="18">
        <v>114.8</v>
      </c>
      <c r="D248" s="19">
        <v>92.1</v>
      </c>
    </row>
    <row r="249" spans="1:4" x14ac:dyDescent="0.2">
      <c r="A249" s="34">
        <v>43891</v>
      </c>
      <c r="B249" s="18">
        <v>89.1</v>
      </c>
      <c r="C249" s="18">
        <v>103.7</v>
      </c>
      <c r="D249" s="19">
        <v>79.7</v>
      </c>
    </row>
    <row r="250" spans="1:4" x14ac:dyDescent="0.2">
      <c r="A250" s="34">
        <v>43922</v>
      </c>
      <c r="B250" s="18">
        <v>71.8</v>
      </c>
      <c r="C250" s="18">
        <v>74.3</v>
      </c>
      <c r="D250" s="19">
        <v>70.099999999999994</v>
      </c>
    </row>
    <row r="251" spans="1:4" x14ac:dyDescent="0.2">
      <c r="A251" s="34">
        <v>43952</v>
      </c>
      <c r="B251" s="18">
        <v>72.3</v>
      </c>
      <c r="C251" s="18">
        <v>82.3</v>
      </c>
      <c r="D251" s="19">
        <v>65.900000000000006</v>
      </c>
    </row>
    <row r="252" spans="1:4" x14ac:dyDescent="0.2">
      <c r="A252" s="34">
        <v>43983</v>
      </c>
      <c r="B252" s="18">
        <v>78.099999999999994</v>
      </c>
      <c r="C252" s="18">
        <v>87.1</v>
      </c>
      <c r="D252" s="19">
        <v>72.3</v>
      </c>
    </row>
    <row r="253" spans="1:4" x14ac:dyDescent="0.2">
      <c r="A253" s="34">
        <v>44013</v>
      </c>
      <c r="B253" s="18">
        <v>72.5</v>
      </c>
      <c r="C253" s="18">
        <v>82.8</v>
      </c>
      <c r="D253" s="19">
        <v>65.900000000000006</v>
      </c>
    </row>
    <row r="254" spans="1:4" x14ac:dyDescent="0.2">
      <c r="A254" s="34">
        <v>44044</v>
      </c>
      <c r="B254" s="18">
        <v>74.099999999999994</v>
      </c>
      <c r="C254" s="18">
        <v>82.9</v>
      </c>
      <c r="D254" s="19">
        <v>68.5</v>
      </c>
    </row>
    <row r="255" spans="1:4" x14ac:dyDescent="0.2">
      <c r="A255" s="34">
        <v>44075</v>
      </c>
      <c r="B255" s="18">
        <v>80.400000000000006</v>
      </c>
      <c r="C255" s="18">
        <v>87.8</v>
      </c>
      <c r="D255" s="19">
        <v>75.599999999999994</v>
      </c>
    </row>
    <row r="256" spans="1:4" x14ac:dyDescent="0.2">
      <c r="A256" s="34">
        <v>44105</v>
      </c>
      <c r="B256" s="18">
        <v>81.8</v>
      </c>
      <c r="C256" s="18">
        <v>85.9</v>
      </c>
      <c r="D256" s="19">
        <v>79.2</v>
      </c>
    </row>
    <row r="257" spans="1:4" x14ac:dyDescent="0.2">
      <c r="A257" s="34">
        <v>44136</v>
      </c>
      <c r="B257" s="18">
        <v>76.900000000000006</v>
      </c>
      <c r="C257" s="18">
        <v>87</v>
      </c>
      <c r="D257" s="19">
        <v>70.5</v>
      </c>
    </row>
    <row r="258" spans="1:4" x14ac:dyDescent="0.2">
      <c r="A258" s="34">
        <v>44166</v>
      </c>
      <c r="B258" s="18">
        <v>80.7</v>
      </c>
      <c r="C258" s="18">
        <v>90</v>
      </c>
      <c r="D258" s="19">
        <v>74.599999999999994</v>
      </c>
    </row>
    <row r="259" spans="1:4" x14ac:dyDescent="0.2">
      <c r="A259" s="34">
        <v>44197</v>
      </c>
      <c r="B259" s="18">
        <v>79</v>
      </c>
      <c r="C259" s="18">
        <v>86.7</v>
      </c>
      <c r="D259" s="19">
        <v>74</v>
      </c>
    </row>
    <row r="260" spans="1:4" x14ac:dyDescent="0.2">
      <c r="A260" s="34">
        <v>44228</v>
      </c>
      <c r="B260" s="18">
        <v>76.8</v>
      </c>
      <c r="C260" s="18">
        <v>86.2</v>
      </c>
      <c r="D260" s="19">
        <v>70.7</v>
      </c>
    </row>
    <row r="261" spans="1:4" x14ac:dyDescent="0.2">
      <c r="A261" s="34">
        <v>44256</v>
      </c>
      <c r="B261" s="18">
        <v>84.9</v>
      </c>
      <c r="C261" s="18">
        <v>93</v>
      </c>
      <c r="D261" s="19">
        <v>79.7</v>
      </c>
    </row>
    <row r="262" spans="1:4" x14ac:dyDescent="0.2">
      <c r="A262" s="34">
        <v>44287</v>
      </c>
      <c r="B262" s="18">
        <v>88.3</v>
      </c>
      <c r="C262" s="18">
        <v>97.2</v>
      </c>
      <c r="D262" s="19">
        <v>82.7</v>
      </c>
    </row>
    <row r="263" spans="1:4" x14ac:dyDescent="0.2">
      <c r="A263" s="34">
        <v>44317</v>
      </c>
      <c r="B263" s="18">
        <v>82.9</v>
      </c>
      <c r="C263" s="18">
        <v>89.4</v>
      </c>
      <c r="D263" s="19">
        <v>78.8</v>
      </c>
    </row>
    <row r="264" spans="1:4" x14ac:dyDescent="0.2">
      <c r="A264" s="34">
        <v>44348</v>
      </c>
      <c r="B264" s="18">
        <v>85.5</v>
      </c>
      <c r="C264" s="18">
        <v>88.6</v>
      </c>
      <c r="D264" s="19">
        <v>83.5</v>
      </c>
    </row>
    <row r="265" spans="1:4" x14ac:dyDescent="0.2">
      <c r="A265" s="34">
        <v>44378</v>
      </c>
      <c r="B265" s="18">
        <v>81.2</v>
      </c>
      <c r="C265" s="18">
        <v>84.5</v>
      </c>
      <c r="D265" s="19">
        <v>79</v>
      </c>
    </row>
    <row r="266" spans="1:4" x14ac:dyDescent="0.2">
      <c r="A266" s="34">
        <v>44409</v>
      </c>
      <c r="B266" s="18">
        <v>70.2</v>
      </c>
      <c r="C266" s="18">
        <v>77.900000000000006</v>
      </c>
      <c r="D266" s="19">
        <v>65.2</v>
      </c>
    </row>
  </sheetData>
  <conditionalFormatting sqref="B127:B224">
    <cfRule type="colorScale" priority="2">
      <colorScale>
        <cfvo type="min"/>
        <cfvo type="percentile" val="50"/>
        <cfvo type="max"/>
        <color rgb="FFF8696B"/>
        <color rgb="FFFFEB84"/>
        <color rgb="FF63BE7B"/>
      </colorScale>
    </cfRule>
  </conditionalFormatting>
  <conditionalFormatting sqref="B127:B266">
    <cfRule type="colorScale" priority="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5A5A7-AECD-44C0-9846-2EE491EB5FAA}">
  <dimension ref="A1:D527"/>
  <sheetViews>
    <sheetView tabSelected="1" zoomScale="170" zoomScaleNormal="170" workbookViewId="0">
      <pane ySplit="6" topLeftCell="A470" activePane="bottomLeft" state="frozen"/>
      <selection pane="bottomLeft" activeCell="D520" sqref="D520"/>
    </sheetView>
  </sheetViews>
  <sheetFormatPr baseColWidth="10" defaultColWidth="9.1640625" defaultRowHeight="15" x14ac:dyDescent="0.2"/>
  <cols>
    <col min="1" max="1" width="11.6640625" style="5" customWidth="1"/>
    <col min="2" max="4" width="15" style="5" customWidth="1"/>
    <col min="5" max="16384" width="9.1640625" style="2"/>
  </cols>
  <sheetData>
    <row r="1" spans="1:4" x14ac:dyDescent="0.2">
      <c r="A1" s="32" t="s">
        <v>18</v>
      </c>
    </row>
    <row r="5" spans="1:4" ht="16" thickBot="1" x14ac:dyDescent="0.25"/>
    <row r="6" spans="1:4" ht="16" x14ac:dyDescent="0.2">
      <c r="A6" s="25" t="s">
        <v>1</v>
      </c>
      <c r="B6" s="26" t="s">
        <v>14</v>
      </c>
      <c r="C6" s="27" t="s">
        <v>19</v>
      </c>
      <c r="D6" s="28" t="s">
        <v>20</v>
      </c>
    </row>
    <row r="7" spans="1:4" x14ac:dyDescent="0.2">
      <c r="A7" s="29">
        <v>28491</v>
      </c>
      <c r="B7" s="22">
        <v>83.7</v>
      </c>
      <c r="C7" s="30">
        <v>4.1170696113854294E-2</v>
      </c>
      <c r="D7" s="30">
        <v>1.2828361446133085E-2</v>
      </c>
    </row>
    <row r="8" spans="1:4" x14ac:dyDescent="0.2">
      <c r="A8" s="29">
        <v>28522</v>
      </c>
      <c r="B8" s="22">
        <v>84.3</v>
      </c>
      <c r="C8" s="30"/>
      <c r="D8" s="30"/>
    </row>
    <row r="9" spans="1:4" x14ac:dyDescent="0.2">
      <c r="A9" s="29">
        <v>28550</v>
      </c>
      <c r="B9" s="22">
        <v>78.8</v>
      </c>
      <c r="C9" s="30"/>
      <c r="D9" s="30"/>
    </row>
    <row r="10" spans="1:4" x14ac:dyDescent="0.2">
      <c r="A10" s="29">
        <v>28581</v>
      </c>
      <c r="B10" s="22">
        <v>81.599999999999994</v>
      </c>
      <c r="C10" s="30">
        <v>6.0781394862534283E-2</v>
      </c>
      <c r="D10" s="30">
        <v>0.16376253346313008</v>
      </c>
    </row>
    <row r="11" spans="1:4" x14ac:dyDescent="0.2">
      <c r="A11" s="29">
        <v>28611</v>
      </c>
      <c r="B11" s="22">
        <v>82.9</v>
      </c>
      <c r="C11" s="30"/>
      <c r="D11" s="30"/>
    </row>
    <row r="12" spans="1:4" x14ac:dyDescent="0.2">
      <c r="A12" s="29">
        <v>28642</v>
      </c>
      <c r="B12" s="22">
        <v>80</v>
      </c>
      <c r="C12" s="30"/>
      <c r="D12" s="30"/>
    </row>
    <row r="13" spans="1:4" x14ac:dyDescent="0.2">
      <c r="A13" s="29">
        <v>28672</v>
      </c>
      <c r="B13" s="22">
        <v>82.4</v>
      </c>
      <c r="C13" s="30">
        <v>5.2457764575845327E-2</v>
      </c>
      <c r="D13" s="30">
        <v>4.0831640535800906E-2</v>
      </c>
    </row>
    <row r="14" spans="1:4" x14ac:dyDescent="0.2">
      <c r="A14" s="29">
        <v>28703</v>
      </c>
      <c r="B14" s="22">
        <v>78.400000000000006</v>
      </c>
      <c r="C14" s="30"/>
      <c r="D14" s="30"/>
    </row>
    <row r="15" spans="1:4" x14ac:dyDescent="0.2">
      <c r="A15" s="29">
        <v>28734</v>
      </c>
      <c r="B15" s="22">
        <v>80.400000000000006</v>
      </c>
      <c r="C15" s="30"/>
      <c r="D15" s="30"/>
    </row>
    <row r="16" spans="1:4" x14ac:dyDescent="0.2">
      <c r="A16" s="29">
        <v>28764</v>
      </c>
      <c r="B16" s="22">
        <v>79.3</v>
      </c>
      <c r="C16" s="30">
        <v>6.6581009539036395E-2</v>
      </c>
      <c r="D16" s="30">
        <v>5.4859639548082706E-2</v>
      </c>
    </row>
    <row r="17" spans="1:4" x14ac:dyDescent="0.2">
      <c r="A17" s="29">
        <v>28795</v>
      </c>
      <c r="B17" s="22">
        <v>75</v>
      </c>
      <c r="C17" s="30"/>
      <c r="D17" s="30"/>
    </row>
    <row r="18" spans="1:4" x14ac:dyDescent="0.2">
      <c r="A18" s="29">
        <v>28825</v>
      </c>
      <c r="B18" s="22">
        <v>66.099999999999994</v>
      </c>
      <c r="C18" s="30"/>
      <c r="D18" s="30"/>
    </row>
    <row r="19" spans="1:4" x14ac:dyDescent="0.2">
      <c r="A19" s="29">
        <v>28856</v>
      </c>
      <c r="B19" s="22">
        <v>72.099999999999994</v>
      </c>
      <c r="C19" s="30">
        <v>6.5098989840264881E-2</v>
      </c>
      <c r="D19" s="30">
        <v>7.2107630438911219E-3</v>
      </c>
    </row>
    <row r="20" spans="1:4" x14ac:dyDescent="0.2">
      <c r="A20" s="29">
        <v>28887</v>
      </c>
      <c r="B20" s="22">
        <v>73.900000000000006</v>
      </c>
      <c r="C20" s="30"/>
      <c r="D20" s="30"/>
    </row>
    <row r="21" spans="1:4" x14ac:dyDescent="0.2">
      <c r="A21" s="29">
        <v>28915</v>
      </c>
      <c r="B21" s="22">
        <v>68.400000000000006</v>
      </c>
      <c r="C21" s="30"/>
      <c r="D21" s="30"/>
    </row>
    <row r="22" spans="1:4" x14ac:dyDescent="0.2">
      <c r="A22" s="29">
        <v>28946</v>
      </c>
      <c r="B22" s="22">
        <v>66</v>
      </c>
      <c r="C22" s="30">
        <v>2.6568700670328314E-2</v>
      </c>
      <c r="D22" s="30">
        <v>4.2840269261061881E-3</v>
      </c>
    </row>
    <row r="23" spans="1:4" x14ac:dyDescent="0.2">
      <c r="A23" s="29">
        <v>28976</v>
      </c>
      <c r="B23" s="22">
        <v>68.099999999999994</v>
      </c>
      <c r="C23" s="30"/>
      <c r="D23" s="30"/>
    </row>
    <row r="24" spans="1:4" x14ac:dyDescent="0.2">
      <c r="A24" s="29">
        <v>29007</v>
      </c>
      <c r="B24" s="22">
        <v>65.8</v>
      </c>
      <c r="C24" s="30"/>
      <c r="D24" s="30"/>
    </row>
    <row r="25" spans="1:4" x14ac:dyDescent="0.2">
      <c r="A25" s="29">
        <v>29037</v>
      </c>
      <c r="B25" s="22">
        <v>60.4</v>
      </c>
      <c r="C25" s="30">
        <v>2.3899265371251505E-2</v>
      </c>
      <c r="D25" s="30">
        <v>3.0047699201142253E-2</v>
      </c>
    </row>
    <row r="26" spans="1:4" x14ac:dyDescent="0.2">
      <c r="A26" s="29">
        <v>29068</v>
      </c>
      <c r="B26" s="22">
        <v>64.5</v>
      </c>
      <c r="C26" s="30"/>
      <c r="D26" s="30"/>
    </row>
    <row r="27" spans="1:4" x14ac:dyDescent="0.2">
      <c r="A27" s="29">
        <v>29099</v>
      </c>
      <c r="B27" s="22">
        <v>66.7</v>
      </c>
      <c r="C27" s="30"/>
      <c r="D27" s="30"/>
    </row>
    <row r="28" spans="1:4" x14ac:dyDescent="0.2">
      <c r="A28" s="29">
        <v>29129</v>
      </c>
      <c r="B28" s="22">
        <v>62.1</v>
      </c>
      <c r="C28" s="30">
        <v>1.2845638511357444E-2</v>
      </c>
      <c r="D28" s="30">
        <v>1.0040526181473775E-2</v>
      </c>
    </row>
    <row r="29" spans="1:4" x14ac:dyDescent="0.2">
      <c r="A29" s="29">
        <v>29160</v>
      </c>
      <c r="B29" s="22">
        <v>63.3</v>
      </c>
      <c r="C29" s="30"/>
      <c r="D29" s="30"/>
    </row>
    <row r="30" spans="1:4" x14ac:dyDescent="0.2">
      <c r="A30" s="29">
        <v>29190</v>
      </c>
      <c r="B30" s="22">
        <v>61</v>
      </c>
      <c r="C30" s="30"/>
      <c r="D30" s="30"/>
    </row>
    <row r="31" spans="1:4" x14ac:dyDescent="0.2">
      <c r="A31" s="29">
        <v>29221</v>
      </c>
      <c r="B31" s="22">
        <v>67</v>
      </c>
      <c r="C31" s="30">
        <v>1.4207812865719037E-2</v>
      </c>
      <c r="D31" s="30">
        <v>1.2640087691029533E-2</v>
      </c>
    </row>
    <row r="32" spans="1:4" x14ac:dyDescent="0.2">
      <c r="A32" s="29">
        <v>29252</v>
      </c>
      <c r="B32" s="22">
        <v>66.900000000000006</v>
      </c>
      <c r="C32" s="30"/>
      <c r="D32" s="30"/>
    </row>
    <row r="33" spans="1:4" x14ac:dyDescent="0.2">
      <c r="A33" s="29">
        <v>29342</v>
      </c>
      <c r="B33" s="22">
        <v>51.7</v>
      </c>
      <c r="C33" s="30"/>
      <c r="D33" s="30"/>
    </row>
    <row r="34" spans="1:4" x14ac:dyDescent="0.2">
      <c r="A34" s="29">
        <v>29312</v>
      </c>
      <c r="B34" s="22">
        <v>52.7</v>
      </c>
      <c r="C34" s="30">
        <v>-7.7507055423842392E-3</v>
      </c>
      <c r="D34" s="30">
        <v>-7.9906540958594396E-2</v>
      </c>
    </row>
    <row r="35" spans="1:4" x14ac:dyDescent="0.2">
      <c r="A35" s="29">
        <v>29281</v>
      </c>
      <c r="B35" s="22">
        <v>55.3</v>
      </c>
      <c r="C35" s="30"/>
      <c r="D35" s="30"/>
    </row>
    <row r="36" spans="1:4" x14ac:dyDescent="0.2">
      <c r="A36" s="29">
        <v>29252</v>
      </c>
      <c r="B36" s="23">
        <v>55.7</v>
      </c>
      <c r="C36" s="30"/>
      <c r="D36" s="30"/>
    </row>
    <row r="37" spans="1:4" x14ac:dyDescent="0.2">
      <c r="A37" s="29">
        <v>29403</v>
      </c>
      <c r="B37" s="22">
        <v>62.3</v>
      </c>
      <c r="C37" s="30">
        <v>-1.6238086833745138E-2</v>
      </c>
      <c r="D37" s="30">
        <v>-4.7454773939663575E-3</v>
      </c>
    </row>
    <row r="38" spans="1:4" x14ac:dyDescent="0.2">
      <c r="A38" s="29">
        <v>29434</v>
      </c>
      <c r="B38" s="22">
        <v>67.3</v>
      </c>
      <c r="C38" s="30"/>
      <c r="D38" s="30"/>
    </row>
    <row r="39" spans="1:4" x14ac:dyDescent="0.2">
      <c r="A39" s="29">
        <v>29465</v>
      </c>
      <c r="B39" s="22">
        <v>73.7</v>
      </c>
      <c r="C39" s="30"/>
      <c r="D39" s="30"/>
    </row>
    <row r="40" spans="1:4" x14ac:dyDescent="0.2">
      <c r="A40" s="29">
        <v>29495</v>
      </c>
      <c r="B40" s="22">
        <v>75</v>
      </c>
      <c r="C40" s="30">
        <v>-3.9142026726618538E-4</v>
      </c>
      <c r="D40" s="30">
        <v>7.6709837912640744E-2</v>
      </c>
    </row>
    <row r="41" spans="1:4" x14ac:dyDescent="0.2">
      <c r="A41" s="29">
        <v>29526</v>
      </c>
      <c r="B41" s="22">
        <v>76.7</v>
      </c>
      <c r="C41" s="30"/>
      <c r="D41" s="30"/>
    </row>
    <row r="42" spans="1:4" x14ac:dyDescent="0.2">
      <c r="A42" s="29">
        <v>29556</v>
      </c>
      <c r="B42" s="22">
        <v>64.5</v>
      </c>
      <c r="C42" s="30"/>
      <c r="D42" s="30"/>
    </row>
    <row r="43" spans="1:4" x14ac:dyDescent="0.2">
      <c r="A43" s="29">
        <v>29587</v>
      </c>
      <c r="B43" s="22">
        <v>71.400000000000006</v>
      </c>
      <c r="C43" s="30">
        <v>1.5999816310917868E-2</v>
      </c>
      <c r="D43" s="30">
        <v>8.0711401793945203E-2</v>
      </c>
    </row>
    <row r="44" spans="1:4" x14ac:dyDescent="0.2">
      <c r="A44" s="29">
        <v>29618</v>
      </c>
      <c r="B44" s="22">
        <v>66.900000000000006</v>
      </c>
      <c r="C44" s="30"/>
      <c r="D44" s="30"/>
    </row>
    <row r="45" spans="1:4" x14ac:dyDescent="0.2">
      <c r="A45" s="29">
        <v>29646</v>
      </c>
      <c r="B45" s="22">
        <v>66.5</v>
      </c>
      <c r="C45" s="30"/>
      <c r="D45" s="30"/>
    </row>
    <row r="46" spans="1:4" x14ac:dyDescent="0.2">
      <c r="A46" s="29">
        <v>29677</v>
      </c>
      <c r="B46" s="22">
        <v>72.400000000000006</v>
      </c>
      <c r="C46" s="30">
        <v>2.9686924394553674E-2</v>
      </c>
      <c r="D46" s="30">
        <v>-2.9315227061781579E-2</v>
      </c>
    </row>
    <row r="47" spans="1:4" x14ac:dyDescent="0.2">
      <c r="A47" s="29">
        <v>29707</v>
      </c>
      <c r="B47" s="22">
        <v>76.3</v>
      </c>
      <c r="C47" s="30"/>
      <c r="D47" s="30"/>
    </row>
    <row r="48" spans="1:4" x14ac:dyDescent="0.2">
      <c r="A48" s="29">
        <v>29738</v>
      </c>
      <c r="B48" s="22">
        <v>73.099999999999994</v>
      </c>
      <c r="C48" s="30"/>
      <c r="D48" s="30"/>
    </row>
    <row r="49" spans="1:4" x14ac:dyDescent="0.2">
      <c r="A49" s="29">
        <v>29768</v>
      </c>
      <c r="B49" s="22">
        <v>74.099999999999994</v>
      </c>
      <c r="C49" s="30">
        <v>4.3257573786844139E-2</v>
      </c>
      <c r="D49" s="30">
        <v>4.87683037617479E-2</v>
      </c>
    </row>
    <row r="50" spans="1:4" x14ac:dyDescent="0.2">
      <c r="A50" s="29">
        <v>29799</v>
      </c>
      <c r="B50" s="22">
        <v>77.2</v>
      </c>
      <c r="C50" s="30"/>
      <c r="D50" s="30"/>
    </row>
    <row r="51" spans="1:4" x14ac:dyDescent="0.2">
      <c r="A51" s="29">
        <v>29830</v>
      </c>
      <c r="B51" s="22">
        <v>73.099999999999994</v>
      </c>
      <c r="C51" s="30"/>
      <c r="D51" s="30"/>
    </row>
    <row r="52" spans="1:4" x14ac:dyDescent="0.2">
      <c r="A52" s="29">
        <v>29860</v>
      </c>
      <c r="B52" s="22">
        <v>70.3</v>
      </c>
      <c r="C52" s="30">
        <v>1.2999126004342785E-2</v>
      </c>
      <c r="D52" s="30">
        <v>-4.2874738383305133E-2</v>
      </c>
    </row>
    <row r="53" spans="1:4" x14ac:dyDescent="0.2">
      <c r="A53" s="29">
        <v>29891</v>
      </c>
      <c r="B53" s="22">
        <v>62.5</v>
      </c>
      <c r="C53" s="30"/>
      <c r="D53" s="30"/>
    </row>
    <row r="54" spans="1:4" x14ac:dyDescent="0.2">
      <c r="A54" s="29">
        <v>29921</v>
      </c>
      <c r="B54" s="22">
        <v>64.3</v>
      </c>
      <c r="C54" s="30"/>
      <c r="D54" s="30"/>
    </row>
    <row r="55" spans="1:4" x14ac:dyDescent="0.2">
      <c r="A55" s="29">
        <v>29952</v>
      </c>
      <c r="B55" s="22">
        <v>71</v>
      </c>
      <c r="C55" s="30">
        <v>-2.1903423068408204E-2</v>
      </c>
      <c r="D55" s="30">
        <v>-6.0708468625688017E-2</v>
      </c>
    </row>
    <row r="56" spans="1:4" x14ac:dyDescent="0.2">
      <c r="A56" s="29">
        <v>29983</v>
      </c>
      <c r="B56" s="22">
        <v>66.5</v>
      </c>
      <c r="C56" s="30"/>
      <c r="D56" s="30"/>
    </row>
    <row r="57" spans="1:4" x14ac:dyDescent="0.2">
      <c r="A57" s="29">
        <v>30011</v>
      </c>
      <c r="B57" s="22">
        <v>62</v>
      </c>
      <c r="C57" s="30"/>
      <c r="D57" s="30"/>
    </row>
    <row r="58" spans="1:4" x14ac:dyDescent="0.2">
      <c r="A58" s="29">
        <v>30042</v>
      </c>
      <c r="B58" s="22">
        <v>65.5</v>
      </c>
      <c r="C58" s="30">
        <v>-1.0105489634705466E-2</v>
      </c>
      <c r="D58" s="30">
        <v>1.8373111963559952E-2</v>
      </c>
    </row>
    <row r="59" spans="1:4" x14ac:dyDescent="0.2">
      <c r="A59" s="29">
        <v>30072</v>
      </c>
      <c r="B59" s="22">
        <v>67.5</v>
      </c>
      <c r="C59" s="30"/>
      <c r="D59" s="30"/>
    </row>
    <row r="60" spans="1:4" x14ac:dyDescent="0.2">
      <c r="A60" s="29">
        <v>30103</v>
      </c>
      <c r="B60" s="22">
        <v>65.7</v>
      </c>
      <c r="C60" s="30"/>
      <c r="D60" s="30"/>
    </row>
    <row r="61" spans="1:4" x14ac:dyDescent="0.2">
      <c r="A61" s="29">
        <v>30133</v>
      </c>
      <c r="B61" s="22">
        <v>65.400000000000006</v>
      </c>
      <c r="C61" s="30">
        <v>-2.5558978151038962E-2</v>
      </c>
      <c r="D61" s="30">
        <v>-1.5204343643629881E-2</v>
      </c>
    </row>
    <row r="62" spans="1:4" x14ac:dyDescent="0.2">
      <c r="A62" s="29">
        <v>30164</v>
      </c>
      <c r="B62" s="22">
        <v>65.400000000000006</v>
      </c>
      <c r="C62" s="30"/>
      <c r="D62" s="30"/>
    </row>
    <row r="63" spans="1:4" x14ac:dyDescent="0.2">
      <c r="A63" s="29">
        <v>30195</v>
      </c>
      <c r="B63" s="22">
        <v>69.3</v>
      </c>
      <c r="C63" s="30"/>
      <c r="D63" s="30"/>
    </row>
    <row r="64" spans="1:4" x14ac:dyDescent="0.2">
      <c r="A64" s="29">
        <v>30225</v>
      </c>
      <c r="B64" s="22">
        <v>73.400000000000006</v>
      </c>
      <c r="C64" s="30">
        <v>-1.4431539363715747E-2</v>
      </c>
      <c r="D64" s="30">
        <v>1.5986560092400293E-3</v>
      </c>
    </row>
    <row r="65" spans="1:4" x14ac:dyDescent="0.2">
      <c r="A65" s="29">
        <v>30256</v>
      </c>
      <c r="B65" s="22">
        <v>72.099999999999994</v>
      </c>
      <c r="C65" s="30"/>
      <c r="D65" s="30"/>
    </row>
    <row r="66" spans="1:4" x14ac:dyDescent="0.2">
      <c r="A66" s="29">
        <v>30286</v>
      </c>
      <c r="B66" s="22">
        <v>71.900000000000006</v>
      </c>
      <c r="C66" s="30"/>
      <c r="D66" s="30"/>
    </row>
    <row r="67" spans="1:4" x14ac:dyDescent="0.2">
      <c r="A67" s="29">
        <v>30317</v>
      </c>
      <c r="B67" s="22">
        <v>70.400000000000006</v>
      </c>
      <c r="C67" s="30">
        <v>1.431460579571856E-2</v>
      </c>
      <c r="D67" s="30">
        <v>5.376540169303401E-2</v>
      </c>
    </row>
    <row r="68" spans="1:4" x14ac:dyDescent="0.2">
      <c r="A68" s="29">
        <v>30348</v>
      </c>
      <c r="B68" s="22">
        <v>74.599999999999994</v>
      </c>
      <c r="C68" s="30"/>
      <c r="D68" s="30"/>
    </row>
    <row r="69" spans="1:4" x14ac:dyDescent="0.2">
      <c r="A69" s="29">
        <v>30376</v>
      </c>
      <c r="B69" s="22">
        <v>80.8</v>
      </c>
      <c r="C69" s="30"/>
      <c r="D69" s="30"/>
    </row>
    <row r="70" spans="1:4" x14ac:dyDescent="0.2">
      <c r="A70" s="29">
        <v>30407</v>
      </c>
      <c r="B70" s="22">
        <v>89.1</v>
      </c>
      <c r="C70" s="30">
        <v>3.2685328593721856E-2</v>
      </c>
      <c r="D70" s="30">
        <v>9.4178647269882898E-2</v>
      </c>
    </row>
    <row r="71" spans="1:4" x14ac:dyDescent="0.2">
      <c r="A71" s="29">
        <v>30437</v>
      </c>
      <c r="B71" s="22">
        <v>93.3</v>
      </c>
      <c r="C71" s="30"/>
      <c r="D71" s="30"/>
    </row>
    <row r="72" spans="1:4" x14ac:dyDescent="0.2">
      <c r="A72" s="29">
        <v>30468</v>
      </c>
      <c r="B72" s="22">
        <v>92.2</v>
      </c>
      <c r="C72" s="30"/>
      <c r="D72" s="30"/>
    </row>
    <row r="73" spans="1:4" x14ac:dyDescent="0.2">
      <c r="A73" s="29">
        <v>30498</v>
      </c>
      <c r="B73" s="22">
        <v>92.8</v>
      </c>
      <c r="C73" s="30">
        <v>5.7371700647417881E-2</v>
      </c>
      <c r="D73" s="30">
        <v>8.2392632738203853E-2</v>
      </c>
    </row>
    <row r="74" spans="1:4" x14ac:dyDescent="0.2">
      <c r="A74" s="29">
        <v>30529</v>
      </c>
      <c r="B74" s="22">
        <v>90.9</v>
      </c>
      <c r="C74" s="30"/>
      <c r="D74" s="30"/>
    </row>
    <row r="75" spans="1:4" x14ac:dyDescent="0.2">
      <c r="A75" s="29">
        <v>30560</v>
      </c>
      <c r="B75" s="22">
        <v>89.9</v>
      </c>
      <c r="C75" s="30"/>
      <c r="D75" s="30"/>
    </row>
    <row r="76" spans="1:4" x14ac:dyDescent="0.2">
      <c r="A76" s="29">
        <v>30590</v>
      </c>
      <c r="B76" s="22">
        <v>89.3</v>
      </c>
      <c r="C76" s="30">
        <v>7.8999814332883903E-2</v>
      </c>
      <c r="D76" s="30">
        <v>8.609666868991761E-2</v>
      </c>
    </row>
    <row r="77" spans="1:4" x14ac:dyDescent="0.2">
      <c r="A77" s="29">
        <v>30621</v>
      </c>
      <c r="B77" s="22">
        <v>91.1</v>
      </c>
      <c r="C77" s="30"/>
      <c r="D77" s="30"/>
    </row>
    <row r="78" spans="1:4" x14ac:dyDescent="0.2">
      <c r="A78" s="29">
        <v>30651</v>
      </c>
      <c r="B78" s="22">
        <v>94.2</v>
      </c>
      <c r="C78" s="30"/>
      <c r="D78" s="30"/>
    </row>
    <row r="79" spans="1:4" x14ac:dyDescent="0.2">
      <c r="A79" s="29">
        <v>30682</v>
      </c>
      <c r="B79" s="22">
        <v>100.1</v>
      </c>
      <c r="C79" s="30">
        <v>8.5782740465086021E-2</v>
      </c>
      <c r="D79" s="30">
        <v>8.0513483904528282E-2</v>
      </c>
    </row>
    <row r="80" spans="1:4" x14ac:dyDescent="0.2">
      <c r="A80" s="29">
        <v>30713</v>
      </c>
      <c r="B80" s="22">
        <v>97.4</v>
      </c>
      <c r="C80" s="30"/>
      <c r="D80" s="30"/>
    </row>
    <row r="81" spans="1:4" x14ac:dyDescent="0.2">
      <c r="A81" s="29">
        <v>30742</v>
      </c>
      <c r="B81" s="22">
        <v>101</v>
      </c>
      <c r="C81" s="30"/>
      <c r="D81" s="30"/>
    </row>
    <row r="82" spans="1:4" x14ac:dyDescent="0.2">
      <c r="A82" s="29">
        <v>30773</v>
      </c>
      <c r="B82" s="22">
        <v>96.1</v>
      </c>
      <c r="C82" s="30">
        <v>7.9967008002006484E-2</v>
      </c>
      <c r="D82" s="30">
        <v>7.0923511810991435E-2</v>
      </c>
    </row>
    <row r="83" spans="1:4" x14ac:dyDescent="0.2">
      <c r="A83" s="29">
        <v>30803</v>
      </c>
      <c r="B83" s="22">
        <v>98.1</v>
      </c>
      <c r="C83" s="30"/>
      <c r="D83" s="30"/>
    </row>
    <row r="84" spans="1:4" x14ac:dyDescent="0.2">
      <c r="A84" s="29">
        <v>30834</v>
      </c>
      <c r="B84" s="22">
        <v>95.5</v>
      </c>
      <c r="C84" s="30"/>
      <c r="D84" s="30"/>
    </row>
    <row r="85" spans="1:4" x14ac:dyDescent="0.2">
      <c r="A85" s="29">
        <v>30864</v>
      </c>
      <c r="B85" s="22">
        <v>96.6</v>
      </c>
      <c r="C85" s="30">
        <v>6.900836952300847E-2</v>
      </c>
      <c r="D85" s="30">
        <v>3.9123808882684852E-2</v>
      </c>
    </row>
    <row r="86" spans="1:4" x14ac:dyDescent="0.2">
      <c r="A86" s="29">
        <v>30895</v>
      </c>
      <c r="B86" s="22">
        <v>99.1</v>
      </c>
      <c r="C86" s="30"/>
      <c r="D86" s="30"/>
    </row>
    <row r="87" spans="1:4" x14ac:dyDescent="0.2">
      <c r="A87" s="29">
        <v>30926</v>
      </c>
      <c r="B87" s="22">
        <v>100.9</v>
      </c>
      <c r="C87" s="30"/>
      <c r="D87" s="30"/>
    </row>
    <row r="88" spans="1:4" x14ac:dyDescent="0.2">
      <c r="A88" s="29">
        <v>30956</v>
      </c>
      <c r="B88" s="22">
        <v>96.3</v>
      </c>
      <c r="C88" s="30">
        <v>5.5758033529916554E-2</v>
      </c>
      <c r="D88" s="30">
        <v>3.3241018894134111E-2</v>
      </c>
    </row>
    <row r="89" spans="1:4" x14ac:dyDescent="0.2">
      <c r="A89" s="29">
        <v>30987</v>
      </c>
      <c r="B89" s="22">
        <v>95.7</v>
      </c>
      <c r="C89" s="30"/>
      <c r="D89" s="30"/>
    </row>
    <row r="90" spans="1:4" x14ac:dyDescent="0.2">
      <c r="A90" s="29">
        <v>31017</v>
      </c>
      <c r="B90" s="22">
        <v>92.9</v>
      </c>
      <c r="C90" s="30"/>
      <c r="D90" s="30"/>
    </row>
    <row r="91" spans="1:4" x14ac:dyDescent="0.2">
      <c r="A91" s="29">
        <v>31048</v>
      </c>
      <c r="B91" s="22">
        <v>96</v>
      </c>
      <c r="C91" s="30">
        <v>4.5551129297211133E-2</v>
      </c>
      <c r="D91" s="30">
        <v>3.9330599036749181E-2</v>
      </c>
    </row>
    <row r="92" spans="1:4" x14ac:dyDescent="0.2">
      <c r="A92" s="29">
        <v>31079</v>
      </c>
      <c r="B92" s="22">
        <v>93.7</v>
      </c>
      <c r="C92" s="30"/>
      <c r="D92" s="30"/>
    </row>
    <row r="93" spans="1:4" x14ac:dyDescent="0.2">
      <c r="A93" s="29">
        <v>31107</v>
      </c>
      <c r="B93" s="22">
        <v>93.7</v>
      </c>
      <c r="C93" s="30"/>
      <c r="D93" s="30"/>
    </row>
    <row r="94" spans="1:4" x14ac:dyDescent="0.2">
      <c r="A94" s="29">
        <v>31138</v>
      </c>
      <c r="B94" s="22">
        <v>94.6</v>
      </c>
      <c r="C94" s="30">
        <v>3.6842273957041177E-2</v>
      </c>
      <c r="D94" s="30">
        <v>3.5686070418164295E-2</v>
      </c>
    </row>
    <row r="95" spans="1:4" x14ac:dyDescent="0.2">
      <c r="A95" s="29">
        <v>31168</v>
      </c>
      <c r="B95" s="22">
        <v>91.8</v>
      </c>
      <c r="C95" s="30"/>
      <c r="D95" s="30"/>
    </row>
    <row r="96" spans="1:4" x14ac:dyDescent="0.2">
      <c r="A96" s="29">
        <v>31199</v>
      </c>
      <c r="B96" s="22">
        <v>96.5</v>
      </c>
      <c r="C96" s="30"/>
      <c r="D96" s="30"/>
    </row>
    <row r="97" spans="1:4" x14ac:dyDescent="0.2">
      <c r="A97" s="29">
        <v>31229</v>
      </c>
      <c r="B97" s="22">
        <v>94</v>
      </c>
      <c r="C97" s="30">
        <v>4.2624575221189398E-2</v>
      </c>
      <c r="D97" s="30">
        <v>6.2498538362977252E-2</v>
      </c>
    </row>
    <row r="98" spans="1:4" x14ac:dyDescent="0.2">
      <c r="A98" s="29">
        <v>31260</v>
      </c>
      <c r="B98" s="22">
        <v>92.4</v>
      </c>
      <c r="C98" s="30"/>
      <c r="D98" s="30"/>
    </row>
    <row r="99" spans="1:4" x14ac:dyDescent="0.2">
      <c r="A99" s="29">
        <v>31291</v>
      </c>
      <c r="B99" s="22">
        <v>92.1</v>
      </c>
      <c r="C99" s="30"/>
      <c r="D99" s="30"/>
    </row>
    <row r="100" spans="1:4" x14ac:dyDescent="0.2">
      <c r="A100" s="29">
        <v>31321</v>
      </c>
      <c r="B100" s="22">
        <v>88.4</v>
      </c>
      <c r="C100" s="30">
        <v>4.1822388026765737E-2</v>
      </c>
      <c r="D100" s="30">
        <v>3.0064816624791213E-2</v>
      </c>
    </row>
    <row r="101" spans="1:4" x14ac:dyDescent="0.2">
      <c r="A101" s="29">
        <v>31352</v>
      </c>
      <c r="B101" s="22">
        <v>90.9</v>
      </c>
      <c r="C101" s="30"/>
      <c r="D101" s="30"/>
    </row>
    <row r="102" spans="1:4" x14ac:dyDescent="0.2">
      <c r="A102" s="29">
        <v>31382</v>
      </c>
      <c r="B102" s="22">
        <v>93.9</v>
      </c>
      <c r="C102" s="30"/>
      <c r="D102" s="30"/>
    </row>
    <row r="103" spans="1:4" x14ac:dyDescent="0.2">
      <c r="A103" s="29">
        <v>31413</v>
      </c>
      <c r="B103" s="22">
        <v>95.6</v>
      </c>
      <c r="C103" s="30">
        <v>4.1455235245001817E-2</v>
      </c>
      <c r="D103" s="30">
        <v>3.786627477476312E-2</v>
      </c>
    </row>
    <row r="104" spans="1:4" x14ac:dyDescent="0.2">
      <c r="A104" s="29">
        <v>31444</v>
      </c>
      <c r="B104" s="22">
        <v>95.9</v>
      </c>
      <c r="C104" s="30"/>
      <c r="D104" s="30"/>
    </row>
    <row r="105" spans="1:4" x14ac:dyDescent="0.2">
      <c r="A105" s="29">
        <v>31472</v>
      </c>
      <c r="B105" s="22">
        <v>95.1</v>
      </c>
      <c r="C105" s="30"/>
      <c r="D105" s="30"/>
    </row>
    <row r="106" spans="1:4" x14ac:dyDescent="0.2">
      <c r="A106" s="29">
        <v>31503</v>
      </c>
      <c r="B106" s="22">
        <v>96.2</v>
      </c>
      <c r="C106" s="30">
        <v>3.7015325720980791E-2</v>
      </c>
      <c r="D106" s="30">
        <v>1.813743123624989E-2</v>
      </c>
    </row>
    <row r="107" spans="1:4" x14ac:dyDescent="0.2">
      <c r="A107" s="29">
        <v>31533</v>
      </c>
      <c r="B107" s="22">
        <v>94.8</v>
      </c>
      <c r="C107" s="30"/>
      <c r="D107" s="30"/>
    </row>
    <row r="108" spans="1:4" x14ac:dyDescent="0.2">
      <c r="A108" s="29">
        <v>31564</v>
      </c>
      <c r="B108" s="22">
        <v>99.3</v>
      </c>
      <c r="C108" s="30"/>
      <c r="D108" s="30"/>
    </row>
    <row r="109" spans="1:4" x14ac:dyDescent="0.2">
      <c r="A109" s="29">
        <v>31594</v>
      </c>
      <c r="B109" s="22">
        <v>97.7</v>
      </c>
      <c r="C109" s="30">
        <v>3.1192309544910268E-2</v>
      </c>
      <c r="D109" s="30">
        <v>3.8834356344724874E-2</v>
      </c>
    </row>
    <row r="110" spans="1:4" x14ac:dyDescent="0.2">
      <c r="A110" s="29">
        <v>31625</v>
      </c>
      <c r="B110" s="22">
        <v>94.9</v>
      </c>
      <c r="C110" s="30"/>
      <c r="D110" s="30"/>
    </row>
    <row r="111" spans="1:4" x14ac:dyDescent="0.2">
      <c r="A111" s="29">
        <v>31656</v>
      </c>
      <c r="B111" s="22">
        <v>91.9</v>
      </c>
      <c r="C111" s="30"/>
      <c r="D111" s="30"/>
    </row>
    <row r="112" spans="1:4" x14ac:dyDescent="0.2">
      <c r="A112" s="29">
        <v>31686</v>
      </c>
      <c r="B112" s="22">
        <v>95.6</v>
      </c>
      <c r="C112" s="30">
        <v>2.9081512389265457E-2</v>
      </c>
      <c r="D112" s="30">
        <v>2.1656720168502952E-2</v>
      </c>
    </row>
    <row r="113" spans="1:4" x14ac:dyDescent="0.2">
      <c r="A113" s="29">
        <v>31717</v>
      </c>
      <c r="B113" s="22">
        <v>91.4</v>
      </c>
      <c r="C113" s="30"/>
      <c r="D113" s="30"/>
    </row>
    <row r="114" spans="1:4" x14ac:dyDescent="0.2">
      <c r="A114" s="29">
        <v>31747</v>
      </c>
      <c r="B114" s="22">
        <v>89.1</v>
      </c>
      <c r="C114" s="30"/>
      <c r="D114" s="30"/>
    </row>
    <row r="115" spans="1:4" x14ac:dyDescent="0.2">
      <c r="A115" s="29">
        <v>31778</v>
      </c>
      <c r="B115" s="22">
        <v>90.4</v>
      </c>
      <c r="C115" s="30">
        <v>2.7161342870673687E-2</v>
      </c>
      <c r="D115" s="30">
        <v>3.0141684222216858E-2</v>
      </c>
    </row>
    <row r="116" spans="1:4" x14ac:dyDescent="0.2">
      <c r="A116" s="29">
        <v>31809</v>
      </c>
      <c r="B116" s="22">
        <v>90.2</v>
      </c>
      <c r="C116" s="30"/>
      <c r="D116" s="30"/>
    </row>
    <row r="117" spans="1:4" x14ac:dyDescent="0.2">
      <c r="A117" s="29">
        <v>31837</v>
      </c>
      <c r="B117" s="22">
        <v>90.8</v>
      </c>
      <c r="C117" s="30"/>
      <c r="D117" s="30"/>
    </row>
    <row r="118" spans="1:4" x14ac:dyDescent="0.2">
      <c r="A118" s="29">
        <v>31868</v>
      </c>
      <c r="B118" s="22">
        <v>92.8</v>
      </c>
      <c r="C118" s="30">
        <v>3.3588249573656623E-2</v>
      </c>
      <c r="D118" s="30">
        <v>4.3859365887290336E-2</v>
      </c>
    </row>
    <row r="119" spans="1:4" x14ac:dyDescent="0.2">
      <c r="A119" s="29">
        <v>31898</v>
      </c>
      <c r="B119" s="22">
        <v>91.1</v>
      </c>
      <c r="C119" s="30"/>
      <c r="D119" s="30"/>
    </row>
    <row r="120" spans="1:4" x14ac:dyDescent="0.2">
      <c r="A120" s="29">
        <v>31929</v>
      </c>
      <c r="B120" s="22">
        <v>91.5</v>
      </c>
      <c r="C120" s="30"/>
      <c r="D120" s="30"/>
    </row>
    <row r="121" spans="1:4" x14ac:dyDescent="0.2">
      <c r="A121" s="29">
        <v>31959</v>
      </c>
      <c r="B121" s="22">
        <v>93.7</v>
      </c>
      <c r="C121" s="30">
        <v>3.2672772854671052E-2</v>
      </c>
      <c r="D121" s="30">
        <v>3.5158749981370807E-2</v>
      </c>
    </row>
    <row r="122" spans="1:4" x14ac:dyDescent="0.2">
      <c r="A122" s="29">
        <v>31990</v>
      </c>
      <c r="B122" s="22">
        <v>94.4</v>
      </c>
      <c r="C122" s="30"/>
      <c r="D122" s="30"/>
    </row>
    <row r="123" spans="1:4" x14ac:dyDescent="0.2">
      <c r="A123" s="29">
        <v>32021</v>
      </c>
      <c r="B123" s="22">
        <v>93.6</v>
      </c>
      <c r="C123" s="30"/>
      <c r="D123" s="30"/>
    </row>
    <row r="124" spans="1:4" x14ac:dyDescent="0.2">
      <c r="A124" s="29">
        <v>32051</v>
      </c>
      <c r="B124" s="22">
        <v>89.3</v>
      </c>
      <c r="C124" s="30">
        <v>4.4792977774129314E-2</v>
      </c>
      <c r="D124" s="30">
        <v>7.0471401227784947E-2</v>
      </c>
    </row>
    <row r="125" spans="1:4" x14ac:dyDescent="0.2">
      <c r="A125" s="29">
        <v>32082</v>
      </c>
      <c r="B125" s="22">
        <v>83.1</v>
      </c>
      <c r="C125" s="30"/>
      <c r="D125" s="30"/>
    </row>
    <row r="126" spans="1:4" x14ac:dyDescent="0.2">
      <c r="A126" s="29">
        <v>32112</v>
      </c>
      <c r="B126" s="22">
        <v>86.8</v>
      </c>
      <c r="C126" s="30"/>
      <c r="D126" s="30"/>
    </row>
    <row r="127" spans="1:4" x14ac:dyDescent="0.2">
      <c r="A127" s="29">
        <v>32143</v>
      </c>
      <c r="B127" s="22">
        <v>90.8</v>
      </c>
      <c r="C127" s="30">
        <v>4.24228159614237E-2</v>
      </c>
      <c r="D127" s="30">
        <v>2.0825746014053514E-2</v>
      </c>
    </row>
    <row r="128" spans="1:4" x14ac:dyDescent="0.2">
      <c r="A128" s="29">
        <v>32174</v>
      </c>
      <c r="B128" s="22">
        <v>91.6</v>
      </c>
      <c r="C128" s="30"/>
      <c r="D128" s="30"/>
    </row>
    <row r="129" spans="1:4" x14ac:dyDescent="0.2">
      <c r="A129" s="29">
        <v>32203</v>
      </c>
      <c r="B129" s="22">
        <v>94.6</v>
      </c>
      <c r="C129" s="30"/>
      <c r="D129" s="30"/>
    </row>
    <row r="130" spans="1:4" x14ac:dyDescent="0.2">
      <c r="A130" s="29">
        <v>32234</v>
      </c>
      <c r="B130" s="22">
        <v>91.2</v>
      </c>
      <c r="C130" s="30">
        <v>4.484604620227356E-2</v>
      </c>
      <c r="D130" s="30">
        <v>5.3599542046997684E-2</v>
      </c>
    </row>
    <row r="131" spans="1:4" x14ac:dyDescent="0.2">
      <c r="A131" s="29">
        <v>32264</v>
      </c>
      <c r="B131" s="22">
        <v>94.8</v>
      </c>
      <c r="C131" s="30"/>
      <c r="D131" s="30"/>
    </row>
    <row r="132" spans="1:4" x14ac:dyDescent="0.2">
      <c r="A132" s="29">
        <v>32295</v>
      </c>
      <c r="B132" s="22">
        <v>94.7</v>
      </c>
      <c r="C132" s="30"/>
      <c r="D132" s="30"/>
    </row>
    <row r="133" spans="1:4" x14ac:dyDescent="0.2">
      <c r="A133" s="29">
        <v>32325</v>
      </c>
      <c r="B133" s="22">
        <v>93.4</v>
      </c>
      <c r="C133" s="30">
        <v>4.1928205272430713E-2</v>
      </c>
      <c r="D133" s="30">
        <v>2.364394421908167E-2</v>
      </c>
    </row>
    <row r="134" spans="1:4" x14ac:dyDescent="0.2">
      <c r="A134" s="29">
        <v>32356</v>
      </c>
      <c r="B134" s="22">
        <v>97.4</v>
      </c>
      <c r="C134" s="30"/>
      <c r="D134" s="30"/>
    </row>
    <row r="135" spans="1:4" x14ac:dyDescent="0.2">
      <c r="A135" s="29">
        <v>32387</v>
      </c>
      <c r="B135" s="22">
        <v>97.3</v>
      </c>
      <c r="C135" s="30"/>
      <c r="D135" s="30"/>
    </row>
    <row r="136" spans="1:4" x14ac:dyDescent="0.2">
      <c r="A136" s="29">
        <v>32417</v>
      </c>
      <c r="B136" s="22">
        <v>94.1</v>
      </c>
      <c r="C136" s="30">
        <v>3.7989037531788027E-2</v>
      </c>
      <c r="D136" s="30">
        <v>5.4374655151881779E-2</v>
      </c>
    </row>
    <row r="137" spans="1:4" x14ac:dyDescent="0.2">
      <c r="A137" s="29">
        <v>32448</v>
      </c>
      <c r="B137" s="22">
        <v>93</v>
      </c>
      <c r="C137" s="30"/>
      <c r="D137" s="30"/>
    </row>
    <row r="138" spans="1:4" x14ac:dyDescent="0.2">
      <c r="A138" s="29">
        <v>32478</v>
      </c>
      <c r="B138" s="22">
        <v>91.9</v>
      </c>
      <c r="C138" s="30"/>
      <c r="D138" s="30"/>
    </row>
    <row r="139" spans="1:4" x14ac:dyDescent="0.2">
      <c r="A139" s="29">
        <v>32509</v>
      </c>
      <c r="B139" s="22">
        <v>97.9</v>
      </c>
      <c r="C139" s="30">
        <v>4.3152062015774019E-2</v>
      </c>
      <c r="D139" s="30">
        <v>4.1288401253875229E-2</v>
      </c>
    </row>
    <row r="140" spans="1:4" x14ac:dyDescent="0.2">
      <c r="A140" s="29">
        <v>32540</v>
      </c>
      <c r="B140" s="22">
        <v>95.4</v>
      </c>
      <c r="C140" s="30"/>
      <c r="D140" s="30"/>
    </row>
    <row r="141" spans="1:4" x14ac:dyDescent="0.2">
      <c r="A141" s="29">
        <v>32568</v>
      </c>
      <c r="B141" s="22">
        <v>94.3</v>
      </c>
      <c r="C141" s="30"/>
      <c r="D141" s="30"/>
    </row>
    <row r="142" spans="1:4" x14ac:dyDescent="0.2">
      <c r="A142" s="29">
        <v>32599</v>
      </c>
      <c r="B142" s="22">
        <v>91.5</v>
      </c>
      <c r="C142" s="30">
        <v>3.7482970179445199E-2</v>
      </c>
      <c r="D142" s="30">
        <v>3.088209469600911E-2</v>
      </c>
    </row>
    <row r="143" spans="1:4" x14ac:dyDescent="0.2">
      <c r="A143" s="29">
        <v>32629</v>
      </c>
      <c r="B143" s="22">
        <v>90.7</v>
      </c>
      <c r="C143" s="30"/>
      <c r="D143" s="30"/>
    </row>
    <row r="144" spans="1:4" x14ac:dyDescent="0.2">
      <c r="A144" s="29">
        <v>32660</v>
      </c>
      <c r="B144" s="22">
        <v>90.6</v>
      </c>
      <c r="C144" s="30"/>
      <c r="D144" s="30"/>
    </row>
    <row r="145" spans="1:4" x14ac:dyDescent="0.2">
      <c r="A145" s="29">
        <v>32690</v>
      </c>
      <c r="B145" s="22">
        <v>92</v>
      </c>
      <c r="C145" s="30">
        <v>3.908120567714899E-2</v>
      </c>
      <c r="D145" s="30">
        <v>2.9966200856858638E-2</v>
      </c>
    </row>
    <row r="146" spans="1:4" x14ac:dyDescent="0.2">
      <c r="A146" s="29">
        <v>32721</v>
      </c>
      <c r="B146" s="22">
        <v>89.6</v>
      </c>
      <c r="C146" s="30"/>
      <c r="D146" s="30"/>
    </row>
    <row r="147" spans="1:4" x14ac:dyDescent="0.2">
      <c r="A147" s="29">
        <v>32752</v>
      </c>
      <c r="B147" s="22">
        <v>95.8</v>
      </c>
      <c r="C147" s="30"/>
      <c r="D147" s="30"/>
    </row>
    <row r="148" spans="1:4" x14ac:dyDescent="0.2">
      <c r="A148" s="29">
        <v>32782</v>
      </c>
      <c r="B148" s="22">
        <v>93.9</v>
      </c>
      <c r="C148" s="30">
        <v>2.7438111777549921E-2</v>
      </c>
      <c r="D148" s="30">
        <v>7.9051981573121655E-3</v>
      </c>
    </row>
    <row r="149" spans="1:4" x14ac:dyDescent="0.2">
      <c r="A149" s="29">
        <v>32813</v>
      </c>
      <c r="B149" s="22">
        <v>90.9</v>
      </c>
      <c r="C149" s="30"/>
      <c r="D149" s="30"/>
    </row>
    <row r="150" spans="1:4" x14ac:dyDescent="0.2">
      <c r="A150" s="29">
        <v>32843</v>
      </c>
      <c r="B150" s="22">
        <v>90.5</v>
      </c>
      <c r="C150" s="30"/>
      <c r="D150" s="30"/>
    </row>
    <row r="151" spans="1:4" x14ac:dyDescent="0.2">
      <c r="A151" s="29">
        <v>32874</v>
      </c>
      <c r="B151" s="22">
        <v>93</v>
      </c>
      <c r="C151" s="30">
        <v>2.8213017007731121E-2</v>
      </c>
      <c r="D151" s="30">
        <v>4.4433362054102865E-2</v>
      </c>
    </row>
    <row r="152" spans="1:4" x14ac:dyDescent="0.2">
      <c r="A152" s="29">
        <v>32905</v>
      </c>
      <c r="B152" s="22">
        <v>89.5</v>
      </c>
      <c r="C152" s="30"/>
      <c r="D152" s="30"/>
    </row>
    <row r="153" spans="1:4" x14ac:dyDescent="0.2">
      <c r="A153" s="29">
        <v>32933</v>
      </c>
      <c r="B153" s="22">
        <v>91.3</v>
      </c>
      <c r="C153" s="30"/>
      <c r="D153" s="30"/>
    </row>
    <row r="154" spans="1:4" x14ac:dyDescent="0.2">
      <c r="A154" s="29">
        <v>32964</v>
      </c>
      <c r="B154" s="22">
        <v>93.9</v>
      </c>
      <c r="C154" s="30">
        <v>2.4127636564784692E-2</v>
      </c>
      <c r="D154" s="30">
        <v>1.4595541568659831E-2</v>
      </c>
    </row>
    <row r="155" spans="1:4" x14ac:dyDescent="0.2">
      <c r="A155" s="29">
        <v>32994</v>
      </c>
      <c r="B155" s="22">
        <v>90.6</v>
      </c>
      <c r="C155" s="30"/>
      <c r="D155" s="30"/>
    </row>
    <row r="156" spans="1:4" x14ac:dyDescent="0.2">
      <c r="A156" s="29">
        <v>33025</v>
      </c>
      <c r="B156" s="22">
        <v>88.3</v>
      </c>
      <c r="C156" s="30"/>
      <c r="D156" s="30"/>
    </row>
    <row r="157" spans="1:4" x14ac:dyDescent="0.2">
      <c r="A157" s="29">
        <v>33055</v>
      </c>
      <c r="B157" s="22">
        <v>88.2</v>
      </c>
      <c r="C157" s="30">
        <v>1.7272143084210042E-2</v>
      </c>
      <c r="D157" s="30">
        <v>2.6635733196778144E-3</v>
      </c>
    </row>
    <row r="158" spans="1:4" x14ac:dyDescent="0.2">
      <c r="A158" s="29">
        <v>33086</v>
      </c>
      <c r="B158" s="22">
        <v>76.400000000000006</v>
      </c>
      <c r="C158" s="30"/>
      <c r="D158" s="30"/>
    </row>
    <row r="159" spans="1:4" x14ac:dyDescent="0.2">
      <c r="A159" s="29">
        <v>33117</v>
      </c>
      <c r="B159" s="22">
        <v>72.8</v>
      </c>
      <c r="C159" s="30"/>
      <c r="D159" s="30"/>
    </row>
    <row r="160" spans="1:4" x14ac:dyDescent="0.2">
      <c r="A160" s="29">
        <v>33147</v>
      </c>
      <c r="B160" s="22">
        <v>63.9</v>
      </c>
      <c r="C160" s="30">
        <v>6.0287596757870564E-3</v>
      </c>
      <c r="D160" s="30">
        <v>-3.5920913290381828E-2</v>
      </c>
    </row>
    <row r="161" spans="1:4" x14ac:dyDescent="0.2">
      <c r="A161" s="29">
        <v>33178</v>
      </c>
      <c r="B161" s="22">
        <v>66</v>
      </c>
      <c r="C161" s="30"/>
      <c r="D161" s="30"/>
    </row>
    <row r="162" spans="1:4" x14ac:dyDescent="0.2">
      <c r="A162" s="29">
        <v>33208</v>
      </c>
      <c r="B162" s="22">
        <v>65.5</v>
      </c>
      <c r="C162" s="30"/>
      <c r="D162" s="30"/>
    </row>
    <row r="163" spans="1:4" x14ac:dyDescent="0.2">
      <c r="A163" s="29">
        <v>33239</v>
      </c>
      <c r="B163" s="22">
        <v>66.8</v>
      </c>
      <c r="C163" s="30">
        <v>-9.501950623666407E-3</v>
      </c>
      <c r="D163" s="30">
        <v>-1.858283512850456E-2</v>
      </c>
    </row>
    <row r="164" spans="1:4" x14ac:dyDescent="0.2">
      <c r="A164" s="29">
        <v>33270</v>
      </c>
      <c r="B164" s="22">
        <v>70.400000000000006</v>
      </c>
      <c r="C164" s="30"/>
      <c r="D164" s="30"/>
    </row>
    <row r="165" spans="1:4" x14ac:dyDescent="0.2">
      <c r="A165" s="29">
        <v>33298</v>
      </c>
      <c r="B165" s="22">
        <v>87.7</v>
      </c>
      <c r="C165" s="30"/>
      <c r="D165" s="30"/>
    </row>
    <row r="166" spans="1:4" x14ac:dyDescent="0.2">
      <c r="A166" s="29">
        <v>33329</v>
      </c>
      <c r="B166" s="22">
        <v>81.8</v>
      </c>
      <c r="C166" s="30">
        <v>-5.388378142790304E-3</v>
      </c>
      <c r="D166" s="30">
        <v>3.1555429959438497E-2</v>
      </c>
    </row>
    <row r="167" spans="1:4" x14ac:dyDescent="0.2">
      <c r="A167" s="29">
        <v>33359</v>
      </c>
      <c r="B167" s="22">
        <v>78.3</v>
      </c>
      <c r="C167" s="30"/>
      <c r="D167" s="30"/>
    </row>
    <row r="168" spans="1:4" x14ac:dyDescent="0.2">
      <c r="A168" s="29">
        <v>33390</v>
      </c>
      <c r="B168" s="22">
        <v>82.1</v>
      </c>
      <c r="C168" s="30"/>
      <c r="D168" s="30"/>
    </row>
    <row r="169" spans="1:4" x14ac:dyDescent="0.2">
      <c r="A169" s="29">
        <v>33420</v>
      </c>
      <c r="B169" s="22">
        <v>82.9</v>
      </c>
      <c r="C169" s="30">
        <v>-1.0271852984184444E-3</v>
      </c>
      <c r="D169" s="30">
        <v>2.036557575941389E-2</v>
      </c>
    </row>
    <row r="170" spans="1:4" x14ac:dyDescent="0.2">
      <c r="A170" s="29">
        <v>33451</v>
      </c>
      <c r="B170" s="22">
        <v>82</v>
      </c>
      <c r="C170" s="30"/>
      <c r="D170" s="30"/>
    </row>
    <row r="171" spans="1:4" x14ac:dyDescent="0.2">
      <c r="A171" s="29">
        <v>33482</v>
      </c>
      <c r="B171" s="22">
        <v>83</v>
      </c>
      <c r="C171" s="30"/>
      <c r="D171" s="30"/>
    </row>
    <row r="172" spans="1:4" x14ac:dyDescent="0.2">
      <c r="A172" s="29">
        <v>33512</v>
      </c>
      <c r="B172" s="22">
        <v>78.3</v>
      </c>
      <c r="C172" s="30">
        <v>1.1664204321365066E-2</v>
      </c>
      <c r="D172" s="30">
        <v>1.4012987063876103E-2</v>
      </c>
    </row>
    <row r="173" spans="1:4" x14ac:dyDescent="0.2">
      <c r="A173" s="29">
        <v>33543</v>
      </c>
      <c r="B173" s="22">
        <v>69.099999999999994</v>
      </c>
      <c r="C173" s="30"/>
      <c r="D173" s="30"/>
    </row>
    <row r="174" spans="1:4" x14ac:dyDescent="0.2">
      <c r="A174" s="29">
        <v>33573</v>
      </c>
      <c r="B174" s="22">
        <v>68.2</v>
      </c>
      <c r="C174" s="30"/>
      <c r="D174" s="30"/>
    </row>
    <row r="175" spans="1:4" x14ac:dyDescent="0.2">
      <c r="A175" s="29">
        <v>33604</v>
      </c>
      <c r="B175" s="22">
        <v>67.5</v>
      </c>
      <c r="C175" s="30">
        <v>2.8586525919191606E-2</v>
      </c>
      <c r="D175" s="30">
        <v>4.8748707615335229E-2</v>
      </c>
    </row>
    <row r="176" spans="1:4" x14ac:dyDescent="0.2">
      <c r="A176" s="29">
        <v>33635</v>
      </c>
      <c r="B176" s="22">
        <v>68.8</v>
      </c>
      <c r="C176" s="30"/>
      <c r="D176" s="30"/>
    </row>
    <row r="177" spans="1:4" x14ac:dyDescent="0.2">
      <c r="A177" s="29">
        <v>33664</v>
      </c>
      <c r="B177" s="22">
        <v>76</v>
      </c>
      <c r="C177" s="30"/>
      <c r="D177" s="30"/>
    </row>
    <row r="178" spans="1:4" x14ac:dyDescent="0.2">
      <c r="A178" s="29">
        <v>33695</v>
      </c>
      <c r="B178" s="22">
        <v>77.2</v>
      </c>
      <c r="C178" s="30">
        <v>3.1695712595280374E-2</v>
      </c>
      <c r="D178" s="30">
        <v>4.4084741056062082E-2</v>
      </c>
    </row>
    <row r="179" spans="1:4" x14ac:dyDescent="0.2">
      <c r="A179" s="29">
        <v>33725</v>
      </c>
      <c r="B179" s="22">
        <v>79.2</v>
      </c>
      <c r="C179" s="30"/>
      <c r="D179" s="30"/>
    </row>
    <row r="180" spans="1:4" x14ac:dyDescent="0.2">
      <c r="A180" s="29">
        <v>33756</v>
      </c>
      <c r="B180" s="22">
        <v>80.400000000000006</v>
      </c>
      <c r="C180" s="30"/>
      <c r="D180" s="30"/>
    </row>
    <row r="181" spans="1:4" x14ac:dyDescent="0.2">
      <c r="A181" s="29">
        <v>33786</v>
      </c>
      <c r="B181" s="22">
        <v>76.599999999999994</v>
      </c>
      <c r="C181" s="30">
        <v>3.6653496782618103E-2</v>
      </c>
      <c r="D181" s="30">
        <v>4.01207564718431E-2</v>
      </c>
    </row>
    <row r="182" spans="1:4" x14ac:dyDescent="0.2">
      <c r="A182" s="29">
        <v>33817</v>
      </c>
      <c r="B182" s="22">
        <v>76.099999999999994</v>
      </c>
      <c r="C182" s="30"/>
      <c r="D182" s="30"/>
    </row>
    <row r="183" spans="1:4" x14ac:dyDescent="0.2">
      <c r="A183" s="29">
        <v>33848</v>
      </c>
      <c r="B183" s="22">
        <v>75.599999999999994</v>
      </c>
      <c r="C183" s="30"/>
      <c r="D183" s="30"/>
    </row>
    <row r="184" spans="1:4" x14ac:dyDescent="0.2">
      <c r="A184" s="29">
        <v>33878</v>
      </c>
      <c r="B184" s="22">
        <v>73.3</v>
      </c>
      <c r="C184" s="30">
        <v>4.3829767135290125E-2</v>
      </c>
      <c r="D184" s="30">
        <v>4.2384055549815836E-2</v>
      </c>
    </row>
    <row r="185" spans="1:4" x14ac:dyDescent="0.2">
      <c r="A185" s="29">
        <v>33909</v>
      </c>
      <c r="B185" s="22">
        <v>85.3</v>
      </c>
      <c r="C185" s="30"/>
      <c r="D185" s="30"/>
    </row>
    <row r="186" spans="1:4" x14ac:dyDescent="0.2">
      <c r="A186" s="29">
        <v>33939</v>
      </c>
      <c r="B186" s="22">
        <v>91</v>
      </c>
      <c r="C186" s="30"/>
      <c r="D186" s="30"/>
    </row>
    <row r="187" spans="1:4" x14ac:dyDescent="0.2">
      <c r="A187" s="29">
        <v>33970</v>
      </c>
      <c r="B187" s="22">
        <v>89.3</v>
      </c>
      <c r="C187" s="30">
        <v>3.3209094782169685E-2</v>
      </c>
      <c r="D187" s="30">
        <v>6.7128447974853511E-3</v>
      </c>
    </row>
    <row r="188" spans="1:4" x14ac:dyDescent="0.2">
      <c r="A188" s="29">
        <v>34001</v>
      </c>
      <c r="B188" s="22">
        <v>86.6</v>
      </c>
      <c r="C188" s="30"/>
      <c r="D188" s="30"/>
    </row>
    <row r="189" spans="1:4" x14ac:dyDescent="0.2">
      <c r="A189" s="29">
        <v>34029</v>
      </c>
      <c r="B189" s="22">
        <v>85.9</v>
      </c>
      <c r="C189" s="30"/>
      <c r="D189" s="30"/>
    </row>
    <row r="190" spans="1:4" x14ac:dyDescent="0.2">
      <c r="A190" s="29">
        <v>34060</v>
      </c>
      <c r="B190" s="22">
        <v>85.6</v>
      </c>
      <c r="C190" s="30">
        <v>2.8078701503631745E-2</v>
      </c>
      <c r="D190" s="30">
        <v>2.3501103976496962E-2</v>
      </c>
    </row>
    <row r="191" spans="1:4" x14ac:dyDescent="0.2">
      <c r="A191" s="29">
        <v>34090</v>
      </c>
      <c r="B191" s="22">
        <v>80.3</v>
      </c>
      <c r="C191" s="30"/>
      <c r="D191" s="30"/>
    </row>
    <row r="192" spans="1:4" x14ac:dyDescent="0.2">
      <c r="A192" s="29">
        <v>34121</v>
      </c>
      <c r="B192" s="22">
        <v>81.5</v>
      </c>
      <c r="C192" s="30"/>
      <c r="D192" s="30"/>
    </row>
    <row r="193" spans="1:4" x14ac:dyDescent="0.2">
      <c r="A193" s="29">
        <v>34151</v>
      </c>
      <c r="B193" s="22">
        <v>77</v>
      </c>
      <c r="C193" s="30">
        <v>2.2877065695919026E-2</v>
      </c>
      <c r="D193" s="30">
        <v>1.9229722425525564E-2</v>
      </c>
    </row>
    <row r="194" spans="1:4" x14ac:dyDescent="0.2">
      <c r="A194" s="29">
        <v>34182</v>
      </c>
      <c r="B194" s="22">
        <v>77.3</v>
      </c>
      <c r="C194" s="30"/>
      <c r="D194" s="30"/>
    </row>
    <row r="195" spans="1:4" x14ac:dyDescent="0.2">
      <c r="A195" s="29">
        <v>34213</v>
      </c>
      <c r="B195" s="22">
        <v>77.900000000000006</v>
      </c>
      <c r="C195" s="30"/>
      <c r="D195" s="30"/>
    </row>
    <row r="196" spans="1:4" x14ac:dyDescent="0.2">
      <c r="A196" s="29">
        <v>34243</v>
      </c>
      <c r="B196" s="22">
        <v>82.7</v>
      </c>
      <c r="C196" s="30">
        <v>2.6085590436127543E-2</v>
      </c>
      <c r="D196" s="30">
        <v>5.552457658625265E-2</v>
      </c>
    </row>
    <row r="197" spans="1:4" x14ac:dyDescent="0.2">
      <c r="A197" s="29">
        <v>34274</v>
      </c>
      <c r="B197" s="22">
        <v>81.2</v>
      </c>
      <c r="C197" s="30"/>
      <c r="D197" s="30"/>
    </row>
    <row r="198" spans="1:4" x14ac:dyDescent="0.2">
      <c r="A198" s="29">
        <v>34304</v>
      </c>
      <c r="B198" s="22">
        <v>88.2</v>
      </c>
      <c r="C198" s="30"/>
      <c r="D198" s="30"/>
    </row>
    <row r="199" spans="1:4" x14ac:dyDescent="0.2">
      <c r="A199" s="29">
        <v>34335</v>
      </c>
      <c r="B199" s="22">
        <v>94.3</v>
      </c>
      <c r="C199" s="30">
        <v>3.430940273615609E-2</v>
      </c>
      <c r="D199" s="30">
        <v>3.9377104883244529E-2</v>
      </c>
    </row>
    <row r="200" spans="1:4" x14ac:dyDescent="0.2">
      <c r="A200" s="29">
        <v>34366</v>
      </c>
      <c r="B200" s="22">
        <v>93.2</v>
      </c>
      <c r="C200" s="30"/>
      <c r="D200" s="30"/>
    </row>
    <row r="201" spans="1:4" x14ac:dyDescent="0.2">
      <c r="A201" s="29">
        <v>34394</v>
      </c>
      <c r="B201" s="22">
        <v>91.5</v>
      </c>
      <c r="C201" s="30"/>
      <c r="D201" s="30"/>
    </row>
    <row r="202" spans="1:4" x14ac:dyDescent="0.2">
      <c r="A202" s="29">
        <v>34425</v>
      </c>
      <c r="B202" s="22">
        <v>92.6</v>
      </c>
      <c r="C202" s="30">
        <v>4.2254474939159931E-2</v>
      </c>
      <c r="D202" s="30">
        <v>5.5313510213932826E-2</v>
      </c>
    </row>
    <row r="203" spans="1:4" x14ac:dyDescent="0.2">
      <c r="A203" s="29">
        <v>34455</v>
      </c>
      <c r="B203" s="22">
        <v>92.8</v>
      </c>
      <c r="C203" s="30"/>
      <c r="D203" s="30"/>
    </row>
    <row r="204" spans="1:4" x14ac:dyDescent="0.2">
      <c r="A204" s="29">
        <v>34486</v>
      </c>
      <c r="B204" s="22">
        <v>91.2</v>
      </c>
      <c r="C204" s="30"/>
      <c r="D204" s="30"/>
    </row>
    <row r="205" spans="1:4" x14ac:dyDescent="0.2">
      <c r="A205" s="29">
        <v>34516</v>
      </c>
      <c r="B205" s="22">
        <v>89</v>
      </c>
      <c r="C205" s="30">
        <v>4.3366469321262188E-2</v>
      </c>
      <c r="D205" s="30">
        <v>2.3586404466458655E-2</v>
      </c>
    </row>
    <row r="206" spans="1:4" x14ac:dyDescent="0.2">
      <c r="A206" s="29">
        <v>34547</v>
      </c>
      <c r="B206" s="22">
        <v>91.7</v>
      </c>
      <c r="C206" s="30"/>
      <c r="D206" s="30"/>
    </row>
    <row r="207" spans="1:4" x14ac:dyDescent="0.2">
      <c r="A207" s="29">
        <v>34578</v>
      </c>
      <c r="B207" s="22">
        <v>91.5</v>
      </c>
      <c r="C207" s="30"/>
      <c r="D207" s="30"/>
    </row>
    <row r="208" spans="1:4" x14ac:dyDescent="0.2">
      <c r="A208" s="29">
        <v>34608</v>
      </c>
      <c r="B208" s="22">
        <v>92.7</v>
      </c>
      <c r="C208" s="30">
        <v>4.1157564491065148E-2</v>
      </c>
      <c r="D208" s="30">
        <v>4.6614343518635026E-2</v>
      </c>
    </row>
    <row r="209" spans="1:4" x14ac:dyDescent="0.2">
      <c r="A209" s="29">
        <v>34639</v>
      </c>
      <c r="B209" s="22">
        <v>91.6</v>
      </c>
      <c r="C209" s="30"/>
      <c r="D209" s="30"/>
    </row>
    <row r="210" spans="1:4" x14ac:dyDescent="0.2">
      <c r="A210" s="29">
        <v>34669</v>
      </c>
      <c r="B210" s="22">
        <v>95.1</v>
      </c>
      <c r="C210" s="30"/>
      <c r="D210" s="30"/>
    </row>
    <row r="211" spans="1:4" x14ac:dyDescent="0.2">
      <c r="A211" s="29">
        <v>34700</v>
      </c>
      <c r="B211" s="22">
        <v>97.6</v>
      </c>
      <c r="C211" s="30">
        <v>3.4811227923887036E-2</v>
      </c>
      <c r="D211" s="30">
        <v>1.4265935588543055E-2</v>
      </c>
    </row>
    <row r="212" spans="1:4" x14ac:dyDescent="0.2">
      <c r="A212" s="29">
        <v>34731</v>
      </c>
      <c r="B212" s="22">
        <v>95.1</v>
      </c>
      <c r="C212" s="30"/>
      <c r="D212" s="30"/>
    </row>
    <row r="213" spans="1:4" x14ac:dyDescent="0.2">
      <c r="A213" s="29">
        <v>34759</v>
      </c>
      <c r="B213" s="22">
        <v>90.3</v>
      </c>
      <c r="C213" s="30"/>
      <c r="D213" s="30"/>
    </row>
    <row r="214" spans="1:4" x14ac:dyDescent="0.2">
      <c r="A214" s="29">
        <v>34790</v>
      </c>
      <c r="B214" s="22">
        <v>92.5</v>
      </c>
      <c r="C214" s="30">
        <v>2.4022518018026316E-2</v>
      </c>
      <c r="D214" s="30">
        <v>1.1987145753262096E-2</v>
      </c>
    </row>
    <row r="215" spans="1:4" x14ac:dyDescent="0.2">
      <c r="A215" s="29">
        <v>34820</v>
      </c>
      <c r="B215" s="22">
        <v>89.8</v>
      </c>
      <c r="C215" s="30"/>
      <c r="D215" s="30"/>
    </row>
    <row r="216" spans="1:4" x14ac:dyDescent="0.2">
      <c r="A216" s="29">
        <v>34851</v>
      </c>
      <c r="B216" s="22">
        <v>92.7</v>
      </c>
      <c r="C216" s="30"/>
      <c r="D216" s="30"/>
    </row>
    <row r="217" spans="1:4" x14ac:dyDescent="0.2">
      <c r="A217" s="29">
        <v>34881</v>
      </c>
      <c r="B217" s="22">
        <v>94.4</v>
      </c>
      <c r="C217" s="30">
        <v>2.6732241097901271E-2</v>
      </c>
      <c r="D217" s="30">
        <v>3.44637603753013E-2</v>
      </c>
    </row>
    <row r="218" spans="1:4" x14ac:dyDescent="0.2">
      <c r="A218" s="29">
        <v>34912</v>
      </c>
      <c r="B218" s="22">
        <v>96.2</v>
      </c>
      <c r="C218" s="30"/>
      <c r="D218" s="30"/>
    </row>
    <row r="219" spans="1:4" x14ac:dyDescent="0.2">
      <c r="A219" s="29">
        <v>34943</v>
      </c>
      <c r="B219" s="22">
        <v>88.9</v>
      </c>
      <c r="C219" s="30"/>
      <c r="D219" s="30"/>
    </row>
    <row r="220" spans="1:4" x14ac:dyDescent="0.2">
      <c r="A220" s="29">
        <v>34973</v>
      </c>
      <c r="B220" s="22">
        <v>90.2</v>
      </c>
      <c r="C220" s="30">
        <v>2.1996746355449796E-2</v>
      </c>
      <c r="D220" s="30">
        <v>2.7438737264743107E-2</v>
      </c>
    </row>
    <row r="221" spans="1:4" x14ac:dyDescent="0.2">
      <c r="A221" s="29">
        <v>35004</v>
      </c>
      <c r="B221" s="22">
        <v>88.2</v>
      </c>
      <c r="C221" s="30"/>
      <c r="D221" s="30"/>
    </row>
    <row r="222" spans="1:4" x14ac:dyDescent="0.2">
      <c r="A222" s="29">
        <v>35034</v>
      </c>
      <c r="B222" s="22">
        <v>91</v>
      </c>
      <c r="C222" s="30"/>
      <c r="D222" s="30"/>
    </row>
    <row r="223" spans="1:4" x14ac:dyDescent="0.2">
      <c r="A223" s="29">
        <v>35065</v>
      </c>
      <c r="B223" s="22">
        <v>89.3</v>
      </c>
      <c r="C223" s="30">
        <v>2.6011121012811167E-2</v>
      </c>
      <c r="D223" s="30">
        <v>3.0296109139730465E-2</v>
      </c>
    </row>
    <row r="224" spans="1:4" x14ac:dyDescent="0.2">
      <c r="A224" s="29">
        <v>35096</v>
      </c>
      <c r="B224" s="22">
        <v>88.5</v>
      </c>
      <c r="C224" s="30"/>
      <c r="D224" s="30"/>
    </row>
    <row r="225" spans="1:4" x14ac:dyDescent="0.2">
      <c r="A225" s="29">
        <v>35125</v>
      </c>
      <c r="B225" s="22">
        <v>93.7</v>
      </c>
      <c r="C225" s="30"/>
      <c r="D225" s="30"/>
    </row>
    <row r="226" spans="1:4" x14ac:dyDescent="0.2">
      <c r="A226" s="29">
        <v>35156</v>
      </c>
      <c r="B226" s="22">
        <v>92.7</v>
      </c>
      <c r="C226" s="30">
        <v>4.0020614462274562E-2</v>
      </c>
      <c r="D226" s="30">
        <v>6.8401561352754658E-2</v>
      </c>
    </row>
    <row r="227" spans="1:4" x14ac:dyDescent="0.2">
      <c r="A227" s="29">
        <v>35186</v>
      </c>
      <c r="B227" s="22">
        <v>89.4</v>
      </c>
      <c r="C227" s="30"/>
      <c r="D227" s="30"/>
    </row>
    <row r="228" spans="1:4" x14ac:dyDescent="0.2">
      <c r="A228" s="29">
        <v>35217</v>
      </c>
      <c r="B228" s="22">
        <v>92.4</v>
      </c>
      <c r="C228" s="30"/>
      <c r="D228" s="30"/>
    </row>
    <row r="229" spans="1:4" x14ac:dyDescent="0.2">
      <c r="A229" s="29">
        <v>35247</v>
      </c>
      <c r="B229" s="22">
        <v>94.7</v>
      </c>
      <c r="C229" s="30">
        <v>4.049822504514753E-2</v>
      </c>
      <c r="D229" s="30">
        <v>3.6365304542715471E-2</v>
      </c>
    </row>
    <row r="230" spans="1:4" x14ac:dyDescent="0.2">
      <c r="A230" s="29">
        <v>35278</v>
      </c>
      <c r="B230" s="22">
        <v>95.3</v>
      </c>
      <c r="C230" s="30"/>
      <c r="D230" s="30"/>
    </row>
    <row r="231" spans="1:4" x14ac:dyDescent="0.2">
      <c r="A231" s="29">
        <v>35309</v>
      </c>
      <c r="B231" s="22">
        <v>94.7</v>
      </c>
      <c r="C231" s="30"/>
      <c r="D231" s="30"/>
    </row>
    <row r="232" spans="1:4" x14ac:dyDescent="0.2">
      <c r="A232" s="29">
        <v>35339</v>
      </c>
      <c r="B232" s="22">
        <v>96.5</v>
      </c>
      <c r="C232" s="30">
        <v>4.4212151121520417E-2</v>
      </c>
      <c r="D232" s="30">
        <v>4.2186711927141962E-2</v>
      </c>
    </row>
    <row r="233" spans="1:4" x14ac:dyDescent="0.2">
      <c r="A233" s="29">
        <v>35370</v>
      </c>
      <c r="B233" s="22">
        <v>99.2</v>
      </c>
      <c r="C233" s="30"/>
      <c r="D233" s="30"/>
    </row>
    <row r="234" spans="1:4" x14ac:dyDescent="0.2">
      <c r="A234" s="29">
        <v>35400</v>
      </c>
      <c r="B234" s="22">
        <v>96.9</v>
      </c>
      <c r="C234" s="30"/>
      <c r="D234" s="30"/>
    </row>
    <row r="235" spans="1:4" x14ac:dyDescent="0.2">
      <c r="A235" s="29">
        <v>35431</v>
      </c>
      <c r="B235" s="22">
        <v>97.4</v>
      </c>
      <c r="C235" s="30">
        <v>4.3140643984745174E-2</v>
      </c>
      <c r="D235" s="30">
        <v>2.6073704506984097E-2</v>
      </c>
    </row>
    <row r="236" spans="1:4" x14ac:dyDescent="0.2">
      <c r="A236" s="29">
        <v>35462</v>
      </c>
      <c r="B236" s="22">
        <v>99.7</v>
      </c>
      <c r="C236" s="30"/>
      <c r="D236" s="30"/>
    </row>
    <row r="237" spans="1:4" x14ac:dyDescent="0.2">
      <c r="A237" s="29">
        <v>35490</v>
      </c>
      <c r="B237" s="22">
        <v>100</v>
      </c>
      <c r="C237" s="30"/>
      <c r="D237" s="30"/>
    </row>
    <row r="238" spans="1:4" x14ac:dyDescent="0.2">
      <c r="A238" s="29">
        <v>35521</v>
      </c>
      <c r="B238" s="22">
        <v>101.4</v>
      </c>
      <c r="C238" s="30">
        <v>4.3080662668359818E-2</v>
      </c>
      <c r="D238" s="30">
        <v>6.8155847199688369E-2</v>
      </c>
    </row>
    <row r="239" spans="1:4" x14ac:dyDescent="0.2">
      <c r="A239" s="29">
        <v>35551</v>
      </c>
      <c r="B239" s="22">
        <v>103.2</v>
      </c>
      <c r="C239" s="30"/>
      <c r="D239" s="30"/>
    </row>
    <row r="240" spans="1:4" x14ac:dyDescent="0.2">
      <c r="A240" s="29">
        <v>35582</v>
      </c>
      <c r="B240" s="22">
        <v>104.5</v>
      </c>
      <c r="C240" s="30"/>
      <c r="D240" s="30"/>
    </row>
    <row r="241" spans="1:4" x14ac:dyDescent="0.2">
      <c r="A241" s="29">
        <v>35612</v>
      </c>
      <c r="B241" s="22">
        <v>107.1</v>
      </c>
      <c r="C241" s="30">
        <v>4.6738859307256304E-2</v>
      </c>
      <c r="D241" s="30">
        <v>5.0980546690048811E-2</v>
      </c>
    </row>
    <row r="242" spans="1:4" x14ac:dyDescent="0.2">
      <c r="A242" s="29">
        <v>35643</v>
      </c>
      <c r="B242" s="22">
        <v>104.4</v>
      </c>
      <c r="C242" s="30"/>
      <c r="D242" s="30"/>
    </row>
    <row r="243" spans="1:4" x14ac:dyDescent="0.2">
      <c r="A243" s="29">
        <v>35674</v>
      </c>
      <c r="B243" s="22">
        <v>106</v>
      </c>
      <c r="C243" s="30"/>
      <c r="D243" s="30"/>
    </row>
    <row r="244" spans="1:4" x14ac:dyDescent="0.2">
      <c r="A244" s="29">
        <v>35704</v>
      </c>
      <c r="B244" s="22">
        <v>105.6</v>
      </c>
      <c r="C244" s="30">
        <v>4.4878594353207076E-2</v>
      </c>
      <c r="D244" s="30">
        <v>3.4797739156115615E-2</v>
      </c>
    </row>
    <row r="245" spans="1:4" x14ac:dyDescent="0.2">
      <c r="A245" s="29">
        <v>35735</v>
      </c>
      <c r="B245" s="22">
        <v>107.2</v>
      </c>
      <c r="C245" s="30"/>
      <c r="D245" s="30"/>
    </row>
    <row r="246" spans="1:4" x14ac:dyDescent="0.2">
      <c r="A246" s="29">
        <v>35765</v>
      </c>
      <c r="B246" s="22">
        <v>102.1</v>
      </c>
      <c r="C246" s="30"/>
      <c r="D246" s="30"/>
    </row>
    <row r="247" spans="1:4" x14ac:dyDescent="0.2">
      <c r="A247" s="29">
        <v>35796</v>
      </c>
      <c r="B247" s="22">
        <v>106.6</v>
      </c>
      <c r="C247" s="30">
        <v>4.8552862413130518E-2</v>
      </c>
      <c r="D247" s="30">
        <v>4.0582576402324211E-2</v>
      </c>
    </row>
    <row r="248" spans="1:4" x14ac:dyDescent="0.2">
      <c r="A248" s="29">
        <v>35827</v>
      </c>
      <c r="B248" s="22">
        <v>110.4</v>
      </c>
      <c r="C248" s="30"/>
      <c r="D248" s="30"/>
    </row>
    <row r="249" spans="1:4" x14ac:dyDescent="0.2">
      <c r="A249" s="29">
        <v>35855</v>
      </c>
      <c r="B249" s="22">
        <v>106.5</v>
      </c>
      <c r="C249" s="30"/>
      <c r="D249" s="30"/>
    </row>
    <row r="250" spans="1:4" x14ac:dyDescent="0.2">
      <c r="A250" s="29">
        <v>35886</v>
      </c>
      <c r="B250" s="22">
        <v>108.7</v>
      </c>
      <c r="C250" s="30">
        <v>4.0959674731917743E-2</v>
      </c>
      <c r="D250" s="30">
        <v>3.754973829079189E-2</v>
      </c>
    </row>
    <row r="251" spans="1:4" x14ac:dyDescent="0.2">
      <c r="A251" s="29">
        <v>35916</v>
      </c>
      <c r="B251" s="22">
        <v>106.5</v>
      </c>
      <c r="C251" s="30"/>
      <c r="D251" s="30"/>
    </row>
    <row r="252" spans="1:4" x14ac:dyDescent="0.2">
      <c r="A252" s="29">
        <v>35947</v>
      </c>
      <c r="B252" s="22">
        <v>105.6</v>
      </c>
      <c r="C252" s="30"/>
      <c r="D252" s="30"/>
    </row>
    <row r="253" spans="1:4" x14ac:dyDescent="0.2">
      <c r="A253" s="29">
        <v>35977</v>
      </c>
      <c r="B253" s="22">
        <v>105.2</v>
      </c>
      <c r="C253" s="30">
        <v>4.0977351563013784E-2</v>
      </c>
      <c r="D253" s="30">
        <v>5.1051936501903761E-2</v>
      </c>
    </row>
    <row r="254" spans="1:4" x14ac:dyDescent="0.2">
      <c r="A254" s="29">
        <v>36008</v>
      </c>
      <c r="B254" s="22">
        <v>104.4</v>
      </c>
      <c r="C254" s="30"/>
      <c r="D254" s="30"/>
    </row>
    <row r="255" spans="1:4" x14ac:dyDescent="0.2">
      <c r="A255" s="29">
        <v>36039</v>
      </c>
      <c r="B255" s="22">
        <v>100.9</v>
      </c>
      <c r="C255" s="30"/>
      <c r="D255" s="30"/>
    </row>
    <row r="256" spans="1:4" x14ac:dyDescent="0.2">
      <c r="A256" s="29">
        <v>36069</v>
      </c>
      <c r="B256" s="22">
        <v>97.4</v>
      </c>
      <c r="C256" s="30">
        <v>4.8791107562503447E-2</v>
      </c>
      <c r="D256" s="30">
        <v>6.6218795386465246E-2</v>
      </c>
    </row>
    <row r="257" spans="1:4" x14ac:dyDescent="0.2">
      <c r="A257" s="29">
        <v>36100</v>
      </c>
      <c r="B257" s="22">
        <v>102.7</v>
      </c>
      <c r="C257" s="30"/>
      <c r="D257" s="30"/>
    </row>
    <row r="258" spans="1:4" x14ac:dyDescent="0.2">
      <c r="A258" s="29">
        <v>36130</v>
      </c>
      <c r="B258" s="22">
        <v>100.5</v>
      </c>
      <c r="C258" s="30"/>
      <c r="D258" s="30"/>
    </row>
    <row r="259" spans="1:4" x14ac:dyDescent="0.2">
      <c r="A259" s="29">
        <v>36161</v>
      </c>
      <c r="B259" s="22">
        <v>103.9</v>
      </c>
      <c r="C259" s="30">
        <v>4.8240665571038822E-2</v>
      </c>
      <c r="D259" s="30">
        <v>3.8399760103665859E-2</v>
      </c>
    </row>
    <row r="260" spans="1:4" x14ac:dyDescent="0.2">
      <c r="A260" s="29">
        <v>36192</v>
      </c>
      <c r="B260" s="22">
        <v>108.1</v>
      </c>
      <c r="C260" s="30"/>
      <c r="D260" s="30"/>
    </row>
    <row r="261" spans="1:4" x14ac:dyDescent="0.2">
      <c r="A261" s="29">
        <v>36220</v>
      </c>
      <c r="B261" s="22">
        <v>105.7</v>
      </c>
      <c r="C261" s="30"/>
      <c r="D261" s="30"/>
    </row>
    <row r="262" spans="1:4" x14ac:dyDescent="0.2">
      <c r="A262" s="29">
        <v>36251</v>
      </c>
      <c r="B262" s="22">
        <v>104.6</v>
      </c>
      <c r="C262" s="30">
        <v>4.6613675126645139E-2</v>
      </c>
      <c r="D262" s="30">
        <v>3.1123132341660531E-2</v>
      </c>
    </row>
    <row r="263" spans="1:4" x14ac:dyDescent="0.2">
      <c r="A263" s="29">
        <v>36281</v>
      </c>
      <c r="B263" s="22">
        <v>106.8</v>
      </c>
      <c r="C263" s="30"/>
      <c r="D263" s="30"/>
    </row>
    <row r="264" spans="1:4" x14ac:dyDescent="0.2">
      <c r="A264" s="29">
        <v>36312</v>
      </c>
      <c r="B264" s="22">
        <v>107.3</v>
      </c>
      <c r="C264" s="30"/>
      <c r="D264" s="30"/>
    </row>
    <row r="265" spans="1:4" x14ac:dyDescent="0.2">
      <c r="A265" s="29">
        <v>36342</v>
      </c>
      <c r="B265" s="22">
        <v>106</v>
      </c>
      <c r="C265" s="30">
        <v>4.7203872038918931E-2</v>
      </c>
      <c r="D265" s="30">
        <v>5.3424741420865507E-2</v>
      </c>
    </row>
    <row r="266" spans="1:4" x14ac:dyDescent="0.2">
      <c r="A266" s="29">
        <v>36373</v>
      </c>
      <c r="B266" s="22">
        <v>104.5</v>
      </c>
      <c r="C266" s="30"/>
      <c r="D266" s="30"/>
    </row>
    <row r="267" spans="1:4" x14ac:dyDescent="0.2">
      <c r="A267" s="29">
        <v>36404</v>
      </c>
      <c r="B267" s="22">
        <v>107.2</v>
      </c>
      <c r="C267" s="30"/>
      <c r="D267" s="30"/>
    </row>
    <row r="268" spans="1:4" x14ac:dyDescent="0.2">
      <c r="A268" s="29">
        <v>36434</v>
      </c>
      <c r="B268" s="22">
        <v>103.2</v>
      </c>
      <c r="C268" s="30">
        <v>4.8066493041425962E-2</v>
      </c>
      <c r="D268" s="30">
        <v>6.9736275849260121E-2</v>
      </c>
    </row>
    <row r="269" spans="1:4" x14ac:dyDescent="0.2">
      <c r="A269" s="29">
        <v>36465</v>
      </c>
      <c r="B269" s="22">
        <v>107.2</v>
      </c>
      <c r="C269" s="30"/>
      <c r="D269" s="30"/>
    </row>
    <row r="270" spans="1:4" x14ac:dyDescent="0.2">
      <c r="A270" s="29">
        <v>36495</v>
      </c>
      <c r="B270" s="22">
        <v>105.4</v>
      </c>
      <c r="C270" s="30"/>
      <c r="D270" s="30"/>
    </row>
    <row r="271" spans="1:4" x14ac:dyDescent="0.2">
      <c r="A271" s="29">
        <v>36526</v>
      </c>
      <c r="B271" s="22">
        <v>112</v>
      </c>
      <c r="C271" s="30">
        <v>4.199578289410727E-2</v>
      </c>
      <c r="D271" s="30">
        <v>1.4549117867236783E-2</v>
      </c>
    </row>
    <row r="272" spans="1:4" x14ac:dyDescent="0.2">
      <c r="A272" s="29">
        <v>36557</v>
      </c>
      <c r="B272" s="22">
        <v>111.3</v>
      </c>
      <c r="C272" s="30"/>
      <c r="D272" s="30"/>
    </row>
    <row r="273" spans="1:4" x14ac:dyDescent="0.2">
      <c r="A273" s="29">
        <v>36586</v>
      </c>
      <c r="B273" s="22">
        <v>107.1</v>
      </c>
      <c r="C273" s="30"/>
      <c r="D273" s="30"/>
    </row>
    <row r="274" spans="1:4" x14ac:dyDescent="0.2">
      <c r="A274" s="29">
        <v>36617</v>
      </c>
      <c r="B274" s="22">
        <v>109.2</v>
      </c>
      <c r="C274" s="30">
        <v>5.2977375076148039E-2</v>
      </c>
      <c r="D274" s="30">
        <v>7.5283158534862338E-2</v>
      </c>
    </row>
    <row r="275" spans="1:4" x14ac:dyDescent="0.2">
      <c r="A275" s="29">
        <v>36647</v>
      </c>
      <c r="B275" s="22">
        <v>110.7</v>
      </c>
      <c r="C275" s="30"/>
      <c r="D275" s="30"/>
    </row>
    <row r="276" spans="1:4" x14ac:dyDescent="0.2">
      <c r="A276" s="29">
        <v>36678</v>
      </c>
      <c r="B276" s="22">
        <v>106.4</v>
      </c>
      <c r="C276" s="30"/>
      <c r="D276" s="30"/>
    </row>
    <row r="277" spans="1:4" x14ac:dyDescent="0.2">
      <c r="A277" s="29">
        <v>36708</v>
      </c>
      <c r="B277" s="22">
        <v>108.3</v>
      </c>
      <c r="C277" s="30">
        <v>4.0753302004322221E-2</v>
      </c>
      <c r="D277" s="30">
        <v>5.3529231279185741E-3</v>
      </c>
    </row>
    <row r="278" spans="1:4" x14ac:dyDescent="0.2">
      <c r="A278" s="29">
        <v>36739</v>
      </c>
      <c r="B278" s="22">
        <v>107.3</v>
      </c>
      <c r="C278" s="30"/>
      <c r="D278" s="30"/>
    </row>
    <row r="279" spans="1:4" x14ac:dyDescent="0.2">
      <c r="A279" s="29">
        <v>36770</v>
      </c>
      <c r="B279" s="22">
        <v>106.8</v>
      </c>
      <c r="C279" s="30"/>
      <c r="D279" s="30"/>
    </row>
    <row r="280" spans="1:4" x14ac:dyDescent="0.2">
      <c r="A280" s="29">
        <v>36800</v>
      </c>
      <c r="B280" s="22">
        <v>105.8</v>
      </c>
      <c r="C280" s="30">
        <v>2.9734826997560696E-2</v>
      </c>
      <c r="D280" s="30">
        <v>2.5149346649500526E-2</v>
      </c>
    </row>
    <row r="281" spans="1:4" x14ac:dyDescent="0.2">
      <c r="A281" s="29">
        <v>36831</v>
      </c>
      <c r="B281" s="22">
        <v>107.6</v>
      </c>
      <c r="C281" s="30"/>
      <c r="D281" s="30"/>
    </row>
    <row r="282" spans="1:4" x14ac:dyDescent="0.2">
      <c r="A282" s="29">
        <v>36861</v>
      </c>
      <c r="B282" s="22">
        <v>98.4</v>
      </c>
      <c r="C282" s="30"/>
      <c r="D282" s="30"/>
    </row>
    <row r="283" spans="1:4" x14ac:dyDescent="0.2">
      <c r="A283" s="29">
        <v>36892</v>
      </c>
      <c r="B283" s="22">
        <v>94.7</v>
      </c>
      <c r="C283" s="30">
        <v>2.3097095761363286E-2</v>
      </c>
      <c r="D283" s="30">
        <v>-1.1358403111149551E-2</v>
      </c>
    </row>
    <row r="284" spans="1:4" x14ac:dyDescent="0.2">
      <c r="A284" s="29">
        <v>36923</v>
      </c>
      <c r="B284" s="22">
        <v>90.6</v>
      </c>
      <c r="C284" s="30"/>
      <c r="D284" s="30"/>
    </row>
    <row r="285" spans="1:4" x14ac:dyDescent="0.2">
      <c r="A285" s="29">
        <v>36951</v>
      </c>
      <c r="B285" s="22">
        <v>91.5</v>
      </c>
      <c r="C285" s="30"/>
      <c r="D285" s="30"/>
    </row>
    <row r="286" spans="1:4" x14ac:dyDescent="0.2">
      <c r="A286" s="29">
        <v>36982</v>
      </c>
      <c r="B286" s="22">
        <v>88.4</v>
      </c>
      <c r="C286" s="30">
        <v>1.0572423861634371E-2</v>
      </c>
      <c r="D286" s="30">
        <v>2.3588055037710554E-2</v>
      </c>
    </row>
    <row r="287" spans="1:4" x14ac:dyDescent="0.2">
      <c r="A287" s="29">
        <v>37012</v>
      </c>
      <c r="B287" s="22">
        <v>92</v>
      </c>
      <c r="C287" s="30"/>
      <c r="D287" s="30"/>
    </row>
    <row r="288" spans="1:4" x14ac:dyDescent="0.2">
      <c r="A288" s="29">
        <v>37043</v>
      </c>
      <c r="B288" s="22">
        <v>92.6</v>
      </c>
      <c r="C288" s="30"/>
      <c r="D288" s="30"/>
    </row>
    <row r="289" spans="1:4" x14ac:dyDescent="0.2">
      <c r="A289" s="29">
        <v>37073</v>
      </c>
      <c r="B289" s="22">
        <v>92.4</v>
      </c>
      <c r="C289" s="30">
        <v>5.035884805301742E-3</v>
      </c>
      <c r="D289" s="30">
        <v>-1.649845543534445E-2</v>
      </c>
    </row>
    <row r="290" spans="1:4" x14ac:dyDescent="0.2">
      <c r="A290" s="29">
        <v>37104</v>
      </c>
      <c r="B290" s="22">
        <v>91.5</v>
      </c>
      <c r="C290" s="30"/>
      <c r="D290" s="30"/>
    </row>
    <row r="291" spans="1:4" x14ac:dyDescent="0.2">
      <c r="A291" s="29">
        <v>37135</v>
      </c>
      <c r="B291" s="22">
        <v>81.8</v>
      </c>
      <c r="C291" s="30"/>
      <c r="D291" s="30"/>
    </row>
    <row r="292" spans="1:4" x14ac:dyDescent="0.2">
      <c r="A292" s="29">
        <v>37165</v>
      </c>
      <c r="B292" s="22">
        <v>82.7</v>
      </c>
      <c r="C292" s="30">
        <v>1.534858473726491E-3</v>
      </c>
      <c r="D292" s="30">
        <v>1.0939447489037635E-2</v>
      </c>
    </row>
    <row r="293" spans="1:4" x14ac:dyDescent="0.2">
      <c r="A293" s="29">
        <v>37196</v>
      </c>
      <c r="B293" s="22">
        <v>83.9</v>
      </c>
      <c r="C293" s="30"/>
      <c r="D293" s="30"/>
    </row>
    <row r="294" spans="1:4" x14ac:dyDescent="0.2">
      <c r="A294" s="29">
        <v>37226</v>
      </c>
      <c r="B294" s="22">
        <v>88.8</v>
      </c>
      <c r="C294" s="30"/>
      <c r="D294" s="30"/>
    </row>
    <row r="295" spans="1:4" x14ac:dyDescent="0.2">
      <c r="A295" s="29">
        <v>37257</v>
      </c>
      <c r="B295" s="22">
        <v>93</v>
      </c>
      <c r="C295" s="30">
        <v>1.3182794121317213E-2</v>
      </c>
      <c r="D295" s="30">
        <v>3.5442114795812829E-2</v>
      </c>
    </row>
    <row r="296" spans="1:4" x14ac:dyDescent="0.2">
      <c r="A296" s="29">
        <v>37288</v>
      </c>
      <c r="B296" s="22">
        <v>90.7</v>
      </c>
      <c r="C296" s="30"/>
      <c r="D296" s="30"/>
    </row>
    <row r="297" spans="1:4" x14ac:dyDescent="0.2">
      <c r="A297" s="29">
        <v>37316</v>
      </c>
      <c r="B297" s="22">
        <v>95.7</v>
      </c>
      <c r="C297" s="30"/>
      <c r="D297" s="30"/>
    </row>
    <row r="298" spans="1:4" x14ac:dyDescent="0.2">
      <c r="A298" s="29">
        <v>37347</v>
      </c>
      <c r="B298" s="22">
        <v>93</v>
      </c>
      <c r="C298" s="30">
        <v>1.3396106341180535E-2</v>
      </c>
      <c r="D298" s="30">
        <v>2.4450338942639593E-2</v>
      </c>
    </row>
    <row r="299" spans="1:4" x14ac:dyDescent="0.2">
      <c r="A299" s="29">
        <v>37377</v>
      </c>
      <c r="B299" s="22">
        <v>96.9</v>
      </c>
      <c r="C299" s="30"/>
      <c r="D299" s="30"/>
    </row>
    <row r="300" spans="1:4" x14ac:dyDescent="0.2">
      <c r="A300" s="29">
        <v>37408</v>
      </c>
      <c r="B300" s="22">
        <v>92.4</v>
      </c>
      <c r="C300" s="30"/>
      <c r="D300" s="30"/>
    </row>
    <row r="301" spans="1:4" x14ac:dyDescent="0.2">
      <c r="A301" s="29">
        <v>37438</v>
      </c>
      <c r="B301" s="22">
        <v>88.1</v>
      </c>
      <c r="C301" s="30">
        <v>2.2143660477966304E-2</v>
      </c>
      <c r="D301" s="30">
        <v>1.7901791376487619E-2</v>
      </c>
    </row>
    <row r="302" spans="1:4" x14ac:dyDescent="0.2">
      <c r="A302" s="29">
        <v>37469</v>
      </c>
      <c r="B302" s="22">
        <v>87.6</v>
      </c>
      <c r="C302" s="30"/>
      <c r="D302" s="30"/>
    </row>
    <row r="303" spans="1:4" x14ac:dyDescent="0.2">
      <c r="A303" s="29">
        <v>37500</v>
      </c>
      <c r="B303" s="22">
        <v>86.1</v>
      </c>
      <c r="C303" s="30"/>
      <c r="D303" s="30"/>
    </row>
    <row r="304" spans="1:4" x14ac:dyDescent="0.2">
      <c r="A304" s="29">
        <v>37530</v>
      </c>
      <c r="B304" s="22">
        <v>80.599999999999994</v>
      </c>
      <c r="C304" s="30">
        <v>2.0945407221023796E-2</v>
      </c>
      <c r="D304" s="30">
        <v>6.207302338938403E-3</v>
      </c>
    </row>
    <row r="305" spans="1:4" x14ac:dyDescent="0.2">
      <c r="A305" s="29">
        <v>37561</v>
      </c>
      <c r="B305" s="22">
        <v>84.2</v>
      </c>
      <c r="C305" s="30"/>
      <c r="D305" s="30"/>
    </row>
    <row r="306" spans="1:4" x14ac:dyDescent="0.2">
      <c r="A306" s="29">
        <v>37591</v>
      </c>
      <c r="B306" s="22">
        <v>86.7</v>
      </c>
      <c r="C306" s="30"/>
      <c r="D306" s="30"/>
    </row>
    <row r="307" spans="1:4" x14ac:dyDescent="0.2">
      <c r="A307" s="29">
        <v>37622</v>
      </c>
      <c r="B307" s="22">
        <v>82.4</v>
      </c>
      <c r="C307" s="30">
        <v>1.7709260624130696E-2</v>
      </c>
      <c r="D307" s="30">
        <v>2.2376013241751203E-2</v>
      </c>
    </row>
    <row r="308" spans="1:4" x14ac:dyDescent="0.2">
      <c r="A308" s="29">
        <v>37653</v>
      </c>
      <c r="B308" s="22">
        <v>79.900000000000006</v>
      </c>
      <c r="C308" s="30"/>
      <c r="D308" s="30"/>
    </row>
    <row r="309" spans="1:4" x14ac:dyDescent="0.2">
      <c r="A309" s="29">
        <v>37681</v>
      </c>
      <c r="B309" s="22">
        <v>77.599999999999994</v>
      </c>
      <c r="C309" s="30"/>
      <c r="D309" s="30"/>
    </row>
    <row r="310" spans="1:4" x14ac:dyDescent="0.2">
      <c r="A310" s="29">
        <v>37712</v>
      </c>
      <c r="B310" s="22">
        <v>86</v>
      </c>
      <c r="C310" s="30">
        <v>2.0284012229569721E-2</v>
      </c>
      <c r="D310" s="30">
        <v>3.4856972886925019E-2</v>
      </c>
    </row>
    <row r="311" spans="1:4" x14ac:dyDescent="0.2">
      <c r="A311" s="29">
        <v>37742</v>
      </c>
      <c r="B311" s="22">
        <v>92.1</v>
      </c>
      <c r="C311" s="30"/>
      <c r="D311" s="30"/>
    </row>
    <row r="312" spans="1:4" x14ac:dyDescent="0.2">
      <c r="A312" s="29">
        <v>37773</v>
      </c>
      <c r="B312" s="22">
        <v>89.7</v>
      </c>
      <c r="C312" s="30"/>
      <c r="D312" s="30"/>
    </row>
    <row r="313" spans="1:4" x14ac:dyDescent="0.2">
      <c r="A313" s="29">
        <v>37803</v>
      </c>
      <c r="B313" s="22">
        <v>90.9</v>
      </c>
      <c r="C313" s="30">
        <v>3.3018069338085973E-2</v>
      </c>
      <c r="D313" s="30">
        <v>6.9678399500041177E-2</v>
      </c>
    </row>
    <row r="314" spans="1:4" x14ac:dyDescent="0.2">
      <c r="A314" s="29">
        <v>37834</v>
      </c>
      <c r="B314" s="22">
        <v>89.3</v>
      </c>
      <c r="C314" s="30"/>
      <c r="D314" s="30"/>
    </row>
    <row r="315" spans="1:4" x14ac:dyDescent="0.2">
      <c r="A315" s="29">
        <v>37865</v>
      </c>
      <c r="B315" s="22">
        <v>87.7</v>
      </c>
      <c r="C315" s="30"/>
      <c r="D315" s="30"/>
    </row>
    <row r="316" spans="1:4" x14ac:dyDescent="0.2">
      <c r="A316" s="29">
        <v>37895</v>
      </c>
      <c r="B316" s="22">
        <v>89.6</v>
      </c>
      <c r="C316" s="30">
        <v>4.3263634159134756E-2</v>
      </c>
      <c r="D316" s="30">
        <v>4.6723726350152983E-2</v>
      </c>
    </row>
    <row r="317" spans="1:4" x14ac:dyDescent="0.2">
      <c r="A317" s="29">
        <v>37926</v>
      </c>
      <c r="B317" s="22">
        <v>93.7</v>
      </c>
      <c r="C317" s="30"/>
      <c r="D317" s="30"/>
    </row>
    <row r="318" spans="1:4" x14ac:dyDescent="0.2">
      <c r="A318" s="29">
        <v>37956</v>
      </c>
      <c r="B318" s="22">
        <v>92.6</v>
      </c>
      <c r="C318" s="30"/>
      <c r="D318" s="30"/>
    </row>
    <row r="319" spans="1:4" x14ac:dyDescent="0.2">
      <c r="A319" s="29">
        <v>37987</v>
      </c>
      <c r="B319" s="22">
        <v>103.8</v>
      </c>
      <c r="C319" s="30">
        <v>4.304555592447934E-2</v>
      </c>
      <c r="D319" s="30">
        <v>2.1521433250030864E-2</v>
      </c>
    </row>
    <row r="320" spans="1:4" x14ac:dyDescent="0.2">
      <c r="A320" s="29">
        <v>38018</v>
      </c>
      <c r="B320" s="22">
        <v>94.4</v>
      </c>
      <c r="C320" s="30"/>
      <c r="D320" s="30"/>
    </row>
    <row r="321" spans="1:4" x14ac:dyDescent="0.2">
      <c r="A321" s="29">
        <v>38047</v>
      </c>
      <c r="B321" s="22">
        <v>95.8</v>
      </c>
      <c r="C321" s="30"/>
      <c r="D321" s="30"/>
    </row>
    <row r="322" spans="1:4" x14ac:dyDescent="0.2">
      <c r="A322" s="29">
        <v>38078</v>
      </c>
      <c r="B322" s="22">
        <v>94.2</v>
      </c>
      <c r="C322" s="30">
        <v>4.2030192539120853E-2</v>
      </c>
      <c r="D322" s="30">
        <v>3.0833284505320524E-2</v>
      </c>
    </row>
    <row r="323" spans="1:4" x14ac:dyDescent="0.2">
      <c r="A323" s="29">
        <v>38108</v>
      </c>
      <c r="B323" s="22">
        <v>90.2</v>
      </c>
      <c r="C323" s="30"/>
      <c r="D323" s="30"/>
    </row>
    <row r="324" spans="1:4" x14ac:dyDescent="0.2">
      <c r="A324" s="29">
        <v>38139</v>
      </c>
      <c r="B324" s="22">
        <v>95.6</v>
      </c>
      <c r="C324" s="30"/>
      <c r="D324" s="30"/>
    </row>
    <row r="325" spans="1:4" x14ac:dyDescent="0.2">
      <c r="A325" s="29">
        <v>38169</v>
      </c>
      <c r="B325" s="22">
        <v>96.7</v>
      </c>
      <c r="C325" s="30">
        <v>3.4315945293957352E-2</v>
      </c>
      <c r="D325" s="30">
        <v>3.8352696109934081E-2</v>
      </c>
    </row>
    <row r="326" spans="1:4" x14ac:dyDescent="0.2">
      <c r="A326" s="29">
        <v>38200</v>
      </c>
      <c r="B326" s="22">
        <v>95.9</v>
      </c>
      <c r="C326" s="30"/>
      <c r="D326" s="30"/>
    </row>
    <row r="327" spans="1:4" x14ac:dyDescent="0.2">
      <c r="A327" s="29">
        <v>38231</v>
      </c>
      <c r="B327" s="22">
        <v>94.2</v>
      </c>
      <c r="C327" s="30"/>
      <c r="D327" s="30"/>
    </row>
    <row r="328" spans="1:4" x14ac:dyDescent="0.2">
      <c r="A328" s="29">
        <v>38261</v>
      </c>
      <c r="B328" s="22">
        <v>91.7</v>
      </c>
      <c r="C328" s="30">
        <v>3.2817945028310813E-2</v>
      </c>
      <c r="D328" s="30">
        <v>4.0673005276731677E-2</v>
      </c>
    </row>
    <row r="329" spans="1:4" x14ac:dyDescent="0.2">
      <c r="A329" s="29">
        <v>38292</v>
      </c>
      <c r="B329" s="22">
        <v>92.8</v>
      </c>
      <c r="C329" s="30"/>
      <c r="D329" s="30"/>
    </row>
    <row r="330" spans="1:4" x14ac:dyDescent="0.2">
      <c r="A330" s="29">
        <v>38322</v>
      </c>
      <c r="B330" s="22">
        <v>97.1</v>
      </c>
      <c r="C330" s="30"/>
      <c r="D330" s="30"/>
    </row>
    <row r="331" spans="1:4" x14ac:dyDescent="0.2">
      <c r="A331" s="29">
        <v>38353</v>
      </c>
      <c r="B331" s="22">
        <v>95.5</v>
      </c>
      <c r="C331" s="30">
        <v>3.8706793481566561E-2</v>
      </c>
      <c r="D331" s="30">
        <v>4.5019203176393408E-2</v>
      </c>
    </row>
    <row r="332" spans="1:4" x14ac:dyDescent="0.2">
      <c r="A332" s="29">
        <v>38384</v>
      </c>
      <c r="B332" s="22">
        <v>94.1</v>
      </c>
      <c r="C332" s="30"/>
      <c r="D332" s="30"/>
    </row>
    <row r="333" spans="1:4" x14ac:dyDescent="0.2">
      <c r="A333" s="29">
        <v>38412</v>
      </c>
      <c r="B333" s="22">
        <v>92.6</v>
      </c>
      <c r="C333" s="30"/>
      <c r="D333" s="30"/>
    </row>
    <row r="334" spans="1:4" x14ac:dyDescent="0.2">
      <c r="A334" s="29">
        <v>38443</v>
      </c>
      <c r="B334" s="22">
        <v>87.7</v>
      </c>
      <c r="C334" s="30">
        <v>3.5608931295200826E-2</v>
      </c>
      <c r="D334" s="30">
        <v>1.8590669564128914E-2</v>
      </c>
    </row>
    <row r="335" spans="1:4" x14ac:dyDescent="0.2">
      <c r="A335" s="29">
        <v>38473</v>
      </c>
      <c r="B335" s="22">
        <v>86.9</v>
      </c>
      <c r="C335" s="30"/>
      <c r="D335" s="30"/>
    </row>
    <row r="336" spans="1:4" x14ac:dyDescent="0.2">
      <c r="A336" s="29">
        <v>38504</v>
      </c>
      <c r="B336" s="22">
        <v>96</v>
      </c>
      <c r="C336" s="30"/>
      <c r="D336" s="30"/>
    </row>
    <row r="337" spans="1:4" x14ac:dyDescent="0.2">
      <c r="A337" s="29">
        <v>38534</v>
      </c>
      <c r="B337" s="22">
        <v>96.5</v>
      </c>
      <c r="C337" s="30">
        <v>3.5054999023849572E-2</v>
      </c>
      <c r="D337" s="30">
        <v>3.6132878440458427E-2</v>
      </c>
    </row>
    <row r="338" spans="1:4" x14ac:dyDescent="0.2">
      <c r="A338" s="29">
        <v>38565</v>
      </c>
      <c r="B338" s="22">
        <v>89.1</v>
      </c>
      <c r="C338" s="30"/>
      <c r="D338" s="30"/>
    </row>
    <row r="339" spans="1:4" x14ac:dyDescent="0.2">
      <c r="A339" s="29">
        <v>38596</v>
      </c>
      <c r="B339" s="22">
        <v>76.900000000000006</v>
      </c>
      <c r="C339" s="30"/>
      <c r="D339" s="30"/>
    </row>
    <row r="340" spans="1:4" x14ac:dyDescent="0.2">
      <c r="A340" s="29">
        <v>38626</v>
      </c>
      <c r="B340" s="22">
        <v>74.2</v>
      </c>
      <c r="C340" s="30">
        <v>3.1261114057367735E-2</v>
      </c>
      <c r="D340" s="30">
        <v>2.5498781151969796E-2</v>
      </c>
    </row>
    <row r="341" spans="1:4" x14ac:dyDescent="0.2">
      <c r="A341" s="29">
        <v>38657</v>
      </c>
      <c r="B341" s="22">
        <v>81.599999999999994</v>
      </c>
      <c r="C341" s="30"/>
      <c r="D341" s="30"/>
    </row>
    <row r="342" spans="1:4" x14ac:dyDescent="0.2">
      <c r="A342" s="29">
        <v>38687</v>
      </c>
      <c r="B342" s="22">
        <v>91.5</v>
      </c>
      <c r="C342" s="30"/>
      <c r="D342" s="30"/>
    </row>
    <row r="343" spans="1:4" x14ac:dyDescent="0.2">
      <c r="A343" s="29">
        <v>38718</v>
      </c>
      <c r="B343" s="22">
        <v>91.2</v>
      </c>
      <c r="C343" s="30">
        <v>3.3538948585265092E-2</v>
      </c>
      <c r="D343" s="30">
        <v>5.4282731243719295E-2</v>
      </c>
    </row>
    <row r="344" spans="1:4" x14ac:dyDescent="0.2">
      <c r="A344" s="29">
        <v>38749</v>
      </c>
      <c r="B344" s="22">
        <v>86.7</v>
      </c>
      <c r="C344" s="30"/>
      <c r="D344" s="30"/>
    </row>
    <row r="345" spans="1:4" x14ac:dyDescent="0.2">
      <c r="A345" s="29">
        <v>38777</v>
      </c>
      <c r="B345" s="22">
        <v>88.9</v>
      </c>
      <c r="C345" s="30"/>
      <c r="D345" s="30"/>
    </row>
    <row r="346" spans="1:4" x14ac:dyDescent="0.2">
      <c r="A346" s="29">
        <v>38808</v>
      </c>
      <c r="B346" s="22">
        <v>87.4</v>
      </c>
      <c r="C346" s="30">
        <v>3.119473048862852E-2</v>
      </c>
      <c r="D346" s="30">
        <v>9.380810007620255E-3</v>
      </c>
    </row>
    <row r="347" spans="1:4" x14ac:dyDescent="0.2">
      <c r="A347" s="29">
        <v>38838</v>
      </c>
      <c r="B347" s="22">
        <v>79.099999999999994</v>
      </c>
      <c r="C347" s="30"/>
      <c r="D347" s="30"/>
    </row>
    <row r="348" spans="1:4" x14ac:dyDescent="0.2">
      <c r="A348" s="29">
        <v>38869</v>
      </c>
      <c r="B348" s="22">
        <v>84.9</v>
      </c>
      <c r="C348" s="30"/>
      <c r="D348" s="30"/>
    </row>
    <row r="349" spans="1:4" x14ac:dyDescent="0.2">
      <c r="A349" s="29">
        <v>38899</v>
      </c>
      <c r="B349" s="22">
        <v>84.7</v>
      </c>
      <c r="C349" s="30">
        <v>2.3665022848568428E-2</v>
      </c>
      <c r="D349" s="30">
        <v>6.1996732576512503E-3</v>
      </c>
    </row>
    <row r="350" spans="1:4" x14ac:dyDescent="0.2">
      <c r="A350" s="29">
        <v>38930</v>
      </c>
      <c r="B350" s="22">
        <v>82</v>
      </c>
      <c r="C350" s="30"/>
      <c r="D350" s="30"/>
    </row>
    <row r="351" spans="1:4" x14ac:dyDescent="0.2">
      <c r="A351" s="29">
        <v>38961</v>
      </c>
      <c r="B351" s="22">
        <v>85.4</v>
      </c>
      <c r="C351" s="30"/>
      <c r="D351" s="30"/>
    </row>
    <row r="352" spans="1:4" x14ac:dyDescent="0.2">
      <c r="A352" s="29">
        <v>38991</v>
      </c>
      <c r="B352" s="22">
        <v>93.6</v>
      </c>
      <c r="C352" s="30">
        <v>2.5907044570183974E-2</v>
      </c>
      <c r="D352" s="30">
        <v>3.4512491791432121E-2</v>
      </c>
    </row>
    <row r="353" spans="1:4" x14ac:dyDescent="0.2">
      <c r="A353" s="29">
        <v>39022</v>
      </c>
      <c r="B353" s="22">
        <v>92.1</v>
      </c>
      <c r="C353" s="30"/>
      <c r="D353" s="30"/>
    </row>
    <row r="354" spans="1:4" x14ac:dyDescent="0.2">
      <c r="A354" s="29">
        <v>39052</v>
      </c>
      <c r="B354" s="22">
        <v>91.7</v>
      </c>
      <c r="C354" s="30"/>
      <c r="D354" s="30"/>
    </row>
    <row r="355" spans="1:4" x14ac:dyDescent="0.2">
      <c r="A355" s="29">
        <v>39083</v>
      </c>
      <c r="B355" s="22">
        <v>96.9</v>
      </c>
      <c r="C355" s="30">
        <v>1.4822926220208159E-2</v>
      </c>
      <c r="D355" s="30">
        <v>9.453050753365444E-3</v>
      </c>
    </row>
    <row r="356" spans="1:4" x14ac:dyDescent="0.2">
      <c r="A356" s="29">
        <v>39114</v>
      </c>
      <c r="B356" s="22">
        <v>91.3</v>
      </c>
      <c r="C356" s="30"/>
      <c r="D356" s="30"/>
    </row>
    <row r="357" spans="1:4" x14ac:dyDescent="0.2">
      <c r="A357" s="29">
        <v>39142</v>
      </c>
      <c r="B357" s="22">
        <v>88.4</v>
      </c>
      <c r="C357" s="30"/>
      <c r="D357" s="30"/>
    </row>
    <row r="358" spans="1:4" x14ac:dyDescent="0.2">
      <c r="A358" s="29">
        <v>39173</v>
      </c>
      <c r="B358" s="22">
        <v>87.1</v>
      </c>
      <c r="C358" s="30">
        <v>1.8256902946243766E-2</v>
      </c>
      <c r="D358" s="30">
        <v>2.311255878871088E-2</v>
      </c>
    </row>
    <row r="359" spans="1:4" x14ac:dyDescent="0.2">
      <c r="A359" s="29">
        <v>39203</v>
      </c>
      <c r="B359" s="22">
        <v>88.3</v>
      </c>
      <c r="C359" s="30"/>
      <c r="D359" s="30"/>
    </row>
    <row r="360" spans="1:4" x14ac:dyDescent="0.2">
      <c r="A360" s="29">
        <v>39234</v>
      </c>
      <c r="B360" s="22">
        <v>85.3</v>
      </c>
      <c r="C360" s="30"/>
      <c r="D360" s="30"/>
    </row>
    <row r="361" spans="1:4" x14ac:dyDescent="0.2">
      <c r="A361" s="29">
        <v>39264</v>
      </c>
      <c r="B361" s="22">
        <v>90.4</v>
      </c>
      <c r="C361" s="30">
        <v>2.2208131763507111E-2</v>
      </c>
      <c r="D361" s="30">
        <v>2.190858157651876E-2</v>
      </c>
    </row>
    <row r="362" spans="1:4" x14ac:dyDescent="0.2">
      <c r="A362" s="29">
        <v>39295</v>
      </c>
      <c r="B362" s="22">
        <v>83.4</v>
      </c>
      <c r="C362" s="30"/>
      <c r="D362" s="30"/>
    </row>
    <row r="363" spans="1:4" x14ac:dyDescent="0.2">
      <c r="A363" s="29">
        <v>39326</v>
      </c>
      <c r="B363" s="22">
        <v>83.4</v>
      </c>
      <c r="C363" s="30"/>
      <c r="D363" s="30"/>
    </row>
    <row r="364" spans="1:4" x14ac:dyDescent="0.2">
      <c r="A364" s="29">
        <v>39356</v>
      </c>
      <c r="B364" s="22">
        <v>80.900000000000006</v>
      </c>
      <c r="C364" s="30">
        <v>1.9734775241238147E-2</v>
      </c>
      <c r="D364" s="30">
        <v>2.4536259290961926E-2</v>
      </c>
    </row>
    <row r="365" spans="1:4" x14ac:dyDescent="0.2">
      <c r="A365" s="29">
        <v>39387</v>
      </c>
      <c r="B365" s="22">
        <v>76.099999999999994</v>
      </c>
      <c r="C365" s="30"/>
      <c r="D365" s="30"/>
    </row>
    <row r="366" spans="1:4" x14ac:dyDescent="0.2">
      <c r="A366" s="29">
        <v>39417</v>
      </c>
      <c r="B366" s="22">
        <v>75.5</v>
      </c>
      <c r="C366" s="30"/>
      <c r="D366" s="30"/>
    </row>
    <row r="367" spans="1:4" x14ac:dyDescent="0.2">
      <c r="A367" s="29">
        <v>39448</v>
      </c>
      <c r="B367" s="22">
        <v>78.400000000000006</v>
      </c>
      <c r="C367" s="30">
        <v>1.1492366262432467E-2</v>
      </c>
      <c r="D367" s="30">
        <v>-2.2790584029767746E-2</v>
      </c>
    </row>
    <row r="368" spans="1:4" x14ac:dyDescent="0.2">
      <c r="A368" s="29">
        <v>39479</v>
      </c>
      <c r="B368" s="22">
        <v>70.8</v>
      </c>
      <c r="C368" s="30"/>
      <c r="D368" s="30"/>
    </row>
    <row r="369" spans="1:4" x14ac:dyDescent="0.2">
      <c r="A369" s="29">
        <v>39508</v>
      </c>
      <c r="B369" s="22">
        <v>69.5</v>
      </c>
      <c r="C369" s="30"/>
      <c r="D369" s="30"/>
    </row>
    <row r="370" spans="1:4" x14ac:dyDescent="0.2">
      <c r="A370" s="29">
        <v>39539</v>
      </c>
      <c r="B370" s="22">
        <v>62.6</v>
      </c>
      <c r="C370" s="30">
        <v>1.0924276179985013E-2</v>
      </c>
      <c r="D370" s="30">
        <v>2.0816028830630717E-2</v>
      </c>
    </row>
    <row r="371" spans="1:4" x14ac:dyDescent="0.2">
      <c r="A371" s="29">
        <v>39845</v>
      </c>
      <c r="B371" s="22">
        <v>56.3</v>
      </c>
      <c r="C371" s="30"/>
      <c r="D371" s="30"/>
    </row>
    <row r="372" spans="1:4" x14ac:dyDescent="0.2">
      <c r="A372" s="29">
        <v>39600</v>
      </c>
      <c r="B372" s="22">
        <v>56.4</v>
      </c>
      <c r="C372" s="30"/>
      <c r="D372" s="30"/>
    </row>
    <row r="373" spans="1:4" x14ac:dyDescent="0.2">
      <c r="A373" s="29">
        <v>39630</v>
      </c>
      <c r="B373" s="22">
        <v>61.2</v>
      </c>
      <c r="C373" s="30">
        <v>1.876587200219146E-5</v>
      </c>
      <c r="D373" s="30">
        <v>-2.1479017849608706E-2</v>
      </c>
    </row>
    <row r="374" spans="1:4" x14ac:dyDescent="0.2">
      <c r="A374" s="29">
        <v>39661</v>
      </c>
      <c r="B374" s="22">
        <v>63</v>
      </c>
      <c r="C374" s="30"/>
      <c r="D374" s="30"/>
    </row>
    <row r="375" spans="1:4" x14ac:dyDescent="0.2">
      <c r="A375" s="29">
        <v>39692</v>
      </c>
      <c r="B375" s="22">
        <v>70.3</v>
      </c>
      <c r="C375" s="30"/>
      <c r="D375" s="30"/>
    </row>
    <row r="376" spans="1:4" x14ac:dyDescent="0.2">
      <c r="A376" s="29">
        <v>29281</v>
      </c>
      <c r="B376" s="22">
        <v>56.5</v>
      </c>
      <c r="C376" s="30">
        <v>-2.7530827846549893E-2</v>
      </c>
      <c r="D376" s="30">
        <v>-8.3783507619077713E-2</v>
      </c>
    </row>
    <row r="377" spans="1:4" x14ac:dyDescent="0.2">
      <c r="A377" s="29">
        <v>39873</v>
      </c>
      <c r="B377" s="22">
        <v>57.3</v>
      </c>
      <c r="C377" s="30"/>
      <c r="D377" s="30"/>
    </row>
    <row r="378" spans="1:4" x14ac:dyDescent="0.2">
      <c r="A378" s="29">
        <v>39783</v>
      </c>
      <c r="B378" s="22">
        <v>60.1</v>
      </c>
      <c r="C378" s="30"/>
      <c r="D378" s="30"/>
    </row>
    <row r="379" spans="1:4" x14ac:dyDescent="0.2">
      <c r="A379" s="29">
        <v>39814</v>
      </c>
      <c r="B379" s="22">
        <v>61.2</v>
      </c>
      <c r="C379" s="30">
        <v>-3.2890715516301232E-2</v>
      </c>
      <c r="D379" s="30">
        <v>-4.4157179886569198E-2</v>
      </c>
    </row>
    <row r="380" spans="1:4" x14ac:dyDescent="0.2">
      <c r="A380" s="29">
        <v>39722</v>
      </c>
      <c r="B380" s="22">
        <v>57.6</v>
      </c>
      <c r="C380" s="30"/>
      <c r="D380" s="30"/>
    </row>
    <row r="381" spans="1:4" x14ac:dyDescent="0.2">
      <c r="A381" s="29">
        <v>39873</v>
      </c>
      <c r="B381" s="22">
        <v>58.7</v>
      </c>
      <c r="C381" s="30"/>
      <c r="D381" s="30"/>
    </row>
    <row r="382" spans="1:4" x14ac:dyDescent="0.2">
      <c r="A382" s="29">
        <v>39904</v>
      </c>
      <c r="B382" s="22">
        <v>65.099999999999994</v>
      </c>
      <c r="C382" s="30">
        <v>-3.9244471349849222E-2</v>
      </c>
      <c r="D382" s="30">
        <v>-5.7471620777015398E-3</v>
      </c>
    </row>
    <row r="383" spans="1:4" x14ac:dyDescent="0.2">
      <c r="A383" s="29">
        <v>39934</v>
      </c>
      <c r="B383" s="22">
        <v>68.7</v>
      </c>
      <c r="C383" s="30"/>
      <c r="D383" s="30"/>
    </row>
    <row r="384" spans="1:4" x14ac:dyDescent="0.2">
      <c r="A384" s="29">
        <v>39973</v>
      </c>
      <c r="B384" s="22">
        <v>70.8</v>
      </c>
      <c r="C384" s="30"/>
      <c r="D384" s="30"/>
    </row>
    <row r="385" spans="1:4" x14ac:dyDescent="0.2">
      <c r="A385" s="29">
        <v>39995</v>
      </c>
      <c r="B385" s="22">
        <v>66</v>
      </c>
      <c r="C385" s="30">
        <v>-3.0497799455570112E-2</v>
      </c>
      <c r="D385" s="30">
        <v>1.4644183433524915E-2</v>
      </c>
    </row>
    <row r="386" spans="1:4" x14ac:dyDescent="0.2">
      <c r="A386" s="29">
        <v>40026</v>
      </c>
      <c r="B386" s="22">
        <v>65.7</v>
      </c>
      <c r="C386" s="30"/>
      <c r="D386" s="30"/>
    </row>
    <row r="387" spans="1:4" x14ac:dyDescent="0.2">
      <c r="A387" s="29">
        <v>40057</v>
      </c>
      <c r="B387" s="22">
        <v>73.5</v>
      </c>
      <c r="C387" s="30"/>
      <c r="D387" s="30"/>
    </row>
    <row r="388" spans="1:4" x14ac:dyDescent="0.2">
      <c r="A388" s="29">
        <v>40087</v>
      </c>
      <c r="B388" s="22">
        <v>70.599999999999994</v>
      </c>
      <c r="C388" s="30">
        <v>1.8287415594975698E-3</v>
      </c>
      <c r="D388" s="30">
        <v>4.4664547879113226E-2</v>
      </c>
    </row>
    <row r="389" spans="1:4" x14ac:dyDescent="0.2">
      <c r="A389" s="29">
        <v>40118</v>
      </c>
      <c r="B389" s="22">
        <v>67.400000000000006</v>
      </c>
      <c r="C389" s="30"/>
      <c r="D389" s="30"/>
    </row>
    <row r="390" spans="1:4" x14ac:dyDescent="0.2">
      <c r="A390" s="29">
        <v>40148</v>
      </c>
      <c r="B390" s="22">
        <v>72.5</v>
      </c>
      <c r="C390" s="30"/>
      <c r="D390" s="30"/>
    </row>
    <row r="391" spans="1:4" x14ac:dyDescent="0.2">
      <c r="A391" s="29">
        <v>40179</v>
      </c>
      <c r="B391" s="22">
        <v>74.400000000000006</v>
      </c>
      <c r="C391" s="30">
        <v>1.7102535375568915E-2</v>
      </c>
      <c r="D391" s="30">
        <v>1.5480250950848484E-2</v>
      </c>
    </row>
    <row r="392" spans="1:4" x14ac:dyDescent="0.2">
      <c r="A392" s="29">
        <v>40210</v>
      </c>
      <c r="B392" s="22">
        <v>73.599999999999994</v>
      </c>
      <c r="C392" s="30"/>
      <c r="D392" s="30"/>
    </row>
    <row r="393" spans="1:4" x14ac:dyDescent="0.2">
      <c r="A393" s="29">
        <v>40238</v>
      </c>
      <c r="B393" s="22">
        <v>73.599999999999994</v>
      </c>
      <c r="C393" s="30"/>
      <c r="D393" s="30"/>
    </row>
    <row r="394" spans="1:4" x14ac:dyDescent="0.2">
      <c r="A394" s="29">
        <v>40269</v>
      </c>
      <c r="B394" s="22">
        <v>72.2</v>
      </c>
      <c r="C394" s="30">
        <v>2.7960666618343167E-2</v>
      </c>
      <c r="D394" s="30">
        <v>3.7394356501167847E-2</v>
      </c>
    </row>
    <row r="395" spans="1:4" x14ac:dyDescent="0.2">
      <c r="A395" s="29">
        <v>40299</v>
      </c>
      <c r="B395" s="22">
        <v>73.599999999999994</v>
      </c>
      <c r="C395" s="30"/>
      <c r="D395" s="30"/>
    </row>
    <row r="396" spans="1:4" x14ac:dyDescent="0.2">
      <c r="A396" s="29">
        <v>40330</v>
      </c>
      <c r="B396" s="22">
        <v>76</v>
      </c>
      <c r="C396" s="30"/>
      <c r="D396" s="30"/>
    </row>
    <row r="397" spans="1:4" x14ac:dyDescent="0.2">
      <c r="A397" s="29">
        <v>40360</v>
      </c>
      <c r="B397" s="22">
        <v>67.8</v>
      </c>
      <c r="C397" s="30">
        <v>3.1782075474306767E-2</v>
      </c>
      <c r="D397" s="30">
        <v>2.9816144838429537E-2</v>
      </c>
    </row>
    <row r="398" spans="1:4" x14ac:dyDescent="0.2">
      <c r="A398" s="29">
        <v>40391</v>
      </c>
      <c r="B398" s="22">
        <v>68.900000000000006</v>
      </c>
      <c r="C398" s="30"/>
      <c r="D398" s="30"/>
    </row>
    <row r="399" spans="1:4" x14ac:dyDescent="0.2">
      <c r="A399" s="29">
        <v>40422</v>
      </c>
      <c r="B399" s="22">
        <v>68.2</v>
      </c>
      <c r="C399" s="30"/>
      <c r="D399" s="30"/>
    </row>
    <row r="400" spans="1:4" x14ac:dyDescent="0.2">
      <c r="A400" s="29">
        <v>40452</v>
      </c>
      <c r="B400" s="22">
        <v>67.7</v>
      </c>
      <c r="C400" s="30">
        <v>2.5694549994536298E-2</v>
      </c>
      <c r="D400" s="30">
        <v>2.0227751545476291E-2</v>
      </c>
    </row>
    <row r="401" spans="1:4" x14ac:dyDescent="0.2">
      <c r="A401" s="29">
        <v>40483</v>
      </c>
      <c r="B401" s="22">
        <v>71.599999999999994</v>
      </c>
      <c r="C401" s="30"/>
      <c r="D401" s="30"/>
    </row>
    <row r="402" spans="1:4" x14ac:dyDescent="0.2">
      <c r="A402" s="29">
        <v>40513</v>
      </c>
      <c r="B402" s="22">
        <v>74.5</v>
      </c>
      <c r="C402" s="30"/>
      <c r="D402" s="30"/>
    </row>
    <row r="403" spans="1:4" x14ac:dyDescent="0.2">
      <c r="A403" s="29">
        <v>40544</v>
      </c>
      <c r="B403" s="22">
        <v>74.2</v>
      </c>
      <c r="C403" s="30">
        <v>1.9306273148906504E-2</v>
      </c>
      <c r="D403" s="30">
        <v>-9.5830184638887594E-3</v>
      </c>
    </row>
    <row r="404" spans="1:4" x14ac:dyDescent="0.2">
      <c r="A404" s="29">
        <v>40575</v>
      </c>
      <c r="B404" s="22">
        <v>77.5</v>
      </c>
      <c r="C404" s="30"/>
      <c r="D404" s="30"/>
    </row>
    <row r="405" spans="1:4" x14ac:dyDescent="0.2">
      <c r="A405" s="29">
        <v>40603</v>
      </c>
      <c r="B405" s="22">
        <v>67.5</v>
      </c>
      <c r="C405" s="30"/>
      <c r="D405" s="30"/>
    </row>
    <row r="406" spans="1:4" x14ac:dyDescent="0.2">
      <c r="A406" s="29">
        <v>40634</v>
      </c>
      <c r="B406" s="22">
        <v>69.8</v>
      </c>
      <c r="C406" s="30">
        <v>1.7215030625217995E-2</v>
      </c>
      <c r="D406" s="30">
        <v>2.8907109738332437E-2</v>
      </c>
    </row>
    <row r="407" spans="1:4" x14ac:dyDescent="0.2">
      <c r="A407" s="29">
        <v>40664</v>
      </c>
      <c r="B407" s="24">
        <v>74.3</v>
      </c>
      <c r="C407" s="30"/>
      <c r="D407" s="30"/>
    </row>
    <row r="408" spans="1:4" x14ac:dyDescent="0.2">
      <c r="A408" s="29">
        <v>40695</v>
      </c>
      <c r="B408" s="22">
        <v>71.5</v>
      </c>
      <c r="C408" s="30"/>
      <c r="D408" s="30"/>
    </row>
    <row r="409" spans="1:4" x14ac:dyDescent="0.2">
      <c r="A409" s="29">
        <v>40725</v>
      </c>
      <c r="B409" s="23">
        <v>63.7</v>
      </c>
      <c r="C409" s="30">
        <v>9.4903849657161834E-3</v>
      </c>
      <c r="D409" s="30">
        <v>-1.1106835912257917E-3</v>
      </c>
    </row>
    <row r="410" spans="1:4" x14ac:dyDescent="0.2">
      <c r="A410" s="29">
        <v>40787</v>
      </c>
      <c r="B410" s="23">
        <v>59.4</v>
      </c>
      <c r="C410" s="30"/>
      <c r="D410" s="30"/>
    </row>
    <row r="411" spans="1:4" x14ac:dyDescent="0.2">
      <c r="A411" s="29">
        <v>39569</v>
      </c>
      <c r="B411" s="22">
        <v>59.8</v>
      </c>
      <c r="C411" s="30"/>
      <c r="D411" s="30"/>
    </row>
    <row r="412" spans="1:4" x14ac:dyDescent="0.2">
      <c r="A412" s="29">
        <v>40817</v>
      </c>
      <c r="B412" s="23">
        <v>60.9</v>
      </c>
      <c r="C412" s="30">
        <v>1.6093456608864725E-2</v>
      </c>
      <c r="D412" s="30">
        <v>4.718401461224575E-2</v>
      </c>
    </row>
    <row r="413" spans="1:4" x14ac:dyDescent="0.2">
      <c r="A413" s="29">
        <v>40848</v>
      </c>
      <c r="B413" s="23">
        <v>64.099999999999994</v>
      </c>
      <c r="C413" s="30"/>
      <c r="D413" s="30"/>
    </row>
    <row r="414" spans="1:4" x14ac:dyDescent="0.2">
      <c r="A414" s="29">
        <v>40878</v>
      </c>
      <c r="B414" s="23">
        <v>69.900000000000006</v>
      </c>
      <c r="C414" s="30"/>
      <c r="D414" s="30"/>
    </row>
    <row r="415" spans="1:4" x14ac:dyDescent="0.2">
      <c r="A415" s="29">
        <v>40909</v>
      </c>
      <c r="B415" s="23">
        <v>75</v>
      </c>
      <c r="C415" s="30">
        <v>2.6517566557714759E-2</v>
      </c>
      <c r="D415" s="30">
        <v>3.1689481124483221E-2</v>
      </c>
    </row>
    <row r="416" spans="1:4" x14ac:dyDescent="0.2">
      <c r="A416" s="29">
        <v>40940</v>
      </c>
      <c r="B416" s="22">
        <v>75.3</v>
      </c>
      <c r="C416" s="30"/>
      <c r="D416" s="30"/>
    </row>
    <row r="417" spans="1:4" x14ac:dyDescent="0.2">
      <c r="A417" s="31">
        <v>40969</v>
      </c>
      <c r="B417" s="22">
        <v>76.2</v>
      </c>
      <c r="C417" s="30"/>
      <c r="D417" s="30"/>
    </row>
    <row r="418" spans="1:4" x14ac:dyDescent="0.2">
      <c r="A418" s="31">
        <v>41000</v>
      </c>
      <c r="B418" s="22">
        <v>76.400000000000006</v>
      </c>
      <c r="C418" s="30">
        <v>2.3615085810537968E-2</v>
      </c>
      <c r="D418" s="30">
        <v>1.7319423274066326E-2</v>
      </c>
    </row>
    <row r="419" spans="1:4" x14ac:dyDescent="0.2">
      <c r="A419" s="31">
        <v>41030</v>
      </c>
      <c r="B419" s="22">
        <v>79.3</v>
      </c>
      <c r="C419" s="30"/>
      <c r="D419" s="30"/>
    </row>
    <row r="420" spans="1:4" x14ac:dyDescent="0.2">
      <c r="A420" s="31">
        <v>41061</v>
      </c>
      <c r="B420" s="22">
        <v>73.2</v>
      </c>
      <c r="C420" s="30"/>
      <c r="D420" s="30"/>
    </row>
    <row r="421" spans="1:4" x14ac:dyDescent="0.2">
      <c r="A421" s="31">
        <v>41091</v>
      </c>
      <c r="B421" s="22">
        <v>72.3</v>
      </c>
      <c r="C421" s="30">
        <v>2.528124545690132E-2</v>
      </c>
      <c r="D421" s="30">
        <v>5.4088648233405756E-3</v>
      </c>
    </row>
    <row r="422" spans="1:4" x14ac:dyDescent="0.2">
      <c r="A422" s="31">
        <v>41122</v>
      </c>
      <c r="B422" s="22">
        <v>74.3</v>
      </c>
      <c r="C422" s="30"/>
      <c r="D422" s="30"/>
    </row>
    <row r="423" spans="1:4" x14ac:dyDescent="0.2">
      <c r="A423" s="31">
        <v>41153</v>
      </c>
      <c r="B423" s="22">
        <v>78.3</v>
      </c>
      <c r="C423" s="30"/>
      <c r="D423" s="30"/>
    </row>
    <row r="424" spans="1:4" x14ac:dyDescent="0.2">
      <c r="A424" s="31">
        <v>41183</v>
      </c>
      <c r="B424" s="22">
        <v>82.6</v>
      </c>
      <c r="C424" s="30">
        <v>1.4685667872627999E-2</v>
      </c>
      <c r="D424" s="30">
        <v>4.5627160089589669E-3</v>
      </c>
    </row>
    <row r="425" spans="1:4" x14ac:dyDescent="0.2">
      <c r="A425" s="31">
        <v>41214</v>
      </c>
      <c r="B425" s="22">
        <v>82.7</v>
      </c>
      <c r="C425" s="30"/>
      <c r="D425" s="30"/>
    </row>
    <row r="426" spans="1:4" x14ac:dyDescent="0.2">
      <c r="A426" s="31">
        <v>41244</v>
      </c>
      <c r="B426" s="22">
        <v>72.900000000000006</v>
      </c>
      <c r="C426" s="30"/>
      <c r="D426" s="30"/>
    </row>
    <row r="427" spans="1:4" x14ac:dyDescent="0.2">
      <c r="A427" s="31">
        <v>41275</v>
      </c>
      <c r="B427" s="22">
        <v>73.8</v>
      </c>
      <c r="C427" s="30">
        <v>1.5719476053010734E-2</v>
      </c>
      <c r="D427" s="30">
        <v>3.590044091402711E-2</v>
      </c>
    </row>
    <row r="428" spans="1:4" x14ac:dyDescent="0.2">
      <c r="A428" s="31">
        <v>41306</v>
      </c>
      <c r="B428" s="22">
        <v>77.599999999999994</v>
      </c>
      <c r="C428" s="30"/>
      <c r="D428" s="30"/>
    </row>
    <row r="429" spans="1:4" x14ac:dyDescent="0.2">
      <c r="A429" s="31">
        <v>41334</v>
      </c>
      <c r="B429" s="22">
        <v>78.599999999999994</v>
      </c>
      <c r="C429" s="30"/>
      <c r="D429" s="30"/>
    </row>
    <row r="430" spans="1:4" x14ac:dyDescent="0.2">
      <c r="A430" s="31">
        <v>41365</v>
      </c>
      <c r="B430" s="22">
        <v>76.400000000000006</v>
      </c>
      <c r="C430" s="30">
        <v>1.2616546391348423E-2</v>
      </c>
      <c r="D430" s="30">
        <v>4.9450025132720121E-3</v>
      </c>
    </row>
    <row r="431" spans="1:4" x14ac:dyDescent="0.2">
      <c r="A431" s="31">
        <v>41395</v>
      </c>
      <c r="B431" s="22">
        <v>84.5</v>
      </c>
      <c r="C431" s="30"/>
      <c r="D431" s="30"/>
    </row>
    <row r="432" spans="1:4" x14ac:dyDescent="0.2">
      <c r="A432" s="31">
        <v>41426</v>
      </c>
      <c r="B432" s="22">
        <v>84.1</v>
      </c>
      <c r="C432" s="30"/>
      <c r="D432" s="30"/>
    </row>
    <row r="433" spans="1:4" x14ac:dyDescent="0.2">
      <c r="A433" s="31">
        <v>41456</v>
      </c>
      <c r="B433" s="22">
        <v>85.1</v>
      </c>
      <c r="C433" s="30">
        <v>1.9174180691829863E-2</v>
      </c>
      <c r="D433" s="30">
        <v>3.1706777294290056E-2</v>
      </c>
    </row>
    <row r="434" spans="1:4" x14ac:dyDescent="0.2">
      <c r="A434" s="31">
        <v>41487</v>
      </c>
      <c r="B434" s="22">
        <v>82.1</v>
      </c>
      <c r="C434" s="30"/>
      <c r="D434" s="30"/>
    </row>
    <row r="435" spans="1:4" x14ac:dyDescent="0.2">
      <c r="A435" s="31">
        <v>41518</v>
      </c>
      <c r="B435" s="22">
        <v>77.5</v>
      </c>
      <c r="C435" s="30"/>
      <c r="D435" s="30"/>
    </row>
    <row r="436" spans="1:4" x14ac:dyDescent="0.2">
      <c r="A436" s="31">
        <v>41548</v>
      </c>
      <c r="B436" s="22">
        <v>73.2</v>
      </c>
      <c r="C436" s="30">
        <v>2.6141227446924854E-2</v>
      </c>
      <c r="D436" s="30">
        <v>3.2314316995104342E-2</v>
      </c>
    </row>
    <row r="437" spans="1:4" x14ac:dyDescent="0.2">
      <c r="A437" s="31">
        <v>41579</v>
      </c>
      <c r="B437" s="22">
        <v>75.099999999999994</v>
      </c>
      <c r="C437" s="30"/>
      <c r="D437" s="30"/>
    </row>
    <row r="438" spans="1:4" x14ac:dyDescent="0.2">
      <c r="A438" s="31">
        <v>41609</v>
      </c>
      <c r="B438" s="22">
        <v>82.5</v>
      </c>
      <c r="C438" s="30"/>
      <c r="D438" s="30"/>
    </row>
    <row r="439" spans="1:4" x14ac:dyDescent="0.2">
      <c r="A439" s="31">
        <v>41640</v>
      </c>
      <c r="B439" s="22">
        <v>81.2</v>
      </c>
      <c r="C439" s="30">
        <v>1.4257249176644771E-2</v>
      </c>
      <c r="D439" s="30">
        <v>-1.1260344444356418E-2</v>
      </c>
    </row>
    <row r="440" spans="1:4" x14ac:dyDescent="0.2">
      <c r="A440" s="31">
        <v>41671</v>
      </c>
      <c r="B440" s="22">
        <v>81.599999999999994</v>
      </c>
      <c r="C440" s="30"/>
      <c r="D440" s="30"/>
    </row>
    <row r="441" spans="1:4" x14ac:dyDescent="0.2">
      <c r="A441" s="31">
        <v>41699</v>
      </c>
      <c r="B441" s="22">
        <v>80</v>
      </c>
      <c r="C441" s="30"/>
      <c r="D441" s="30"/>
    </row>
    <row r="442" spans="1:4" x14ac:dyDescent="0.2">
      <c r="A442" s="31">
        <v>41730</v>
      </c>
      <c r="B442" s="22">
        <v>84.1</v>
      </c>
      <c r="C442" s="30">
        <v>2.6720123780876529E-2</v>
      </c>
      <c r="D442" s="30">
        <v>5.5256680977402883E-2</v>
      </c>
    </row>
    <row r="443" spans="1:4" x14ac:dyDescent="0.2">
      <c r="A443" s="31">
        <v>41760</v>
      </c>
      <c r="B443" s="22">
        <v>81.900000000000006</v>
      </c>
      <c r="C443" s="30"/>
      <c r="D443" s="30"/>
    </row>
    <row r="444" spans="1:4" x14ac:dyDescent="0.2">
      <c r="A444" s="31">
        <v>41791</v>
      </c>
      <c r="B444" s="22">
        <v>82.5</v>
      </c>
      <c r="C444" s="30"/>
      <c r="D444" s="30"/>
    </row>
    <row r="445" spans="1:4" x14ac:dyDescent="0.2">
      <c r="A445" s="31">
        <v>41821</v>
      </c>
      <c r="B445" s="22">
        <v>81.8</v>
      </c>
      <c r="C445" s="30">
        <v>3.1177281686652052E-2</v>
      </c>
      <c r="D445" s="30">
        <v>4.9738997698089538E-2</v>
      </c>
    </row>
    <row r="446" spans="1:4" x14ac:dyDescent="0.2">
      <c r="A446" s="31">
        <v>41852</v>
      </c>
      <c r="B446" s="22">
        <v>82.5</v>
      </c>
      <c r="C446" s="30"/>
      <c r="D446" s="30"/>
    </row>
    <row r="447" spans="1:4" x14ac:dyDescent="0.2">
      <c r="A447" s="31">
        <v>41883</v>
      </c>
      <c r="B447" s="22">
        <v>84.6</v>
      </c>
      <c r="C447" s="30"/>
      <c r="D447" s="30"/>
    </row>
    <row r="448" spans="1:4" x14ac:dyDescent="0.2">
      <c r="A448" s="31">
        <v>41913</v>
      </c>
      <c r="B448" s="22">
        <f>VLOOKUP(Table48[[#This Row],[Date]],UMCSI!A:B,2,)</f>
        <v>86.9</v>
      </c>
      <c r="C448" s="30">
        <v>2.8768548833451736E-2</v>
      </c>
      <c r="D448" s="30">
        <v>2.2702505615013635E-2</v>
      </c>
    </row>
    <row r="449" spans="1:4" x14ac:dyDescent="0.2">
      <c r="A449" s="31">
        <v>41944</v>
      </c>
      <c r="B449" s="22">
        <f>VLOOKUP(Table48[[#This Row],[Date]],UMCSI!A:B,2,)</f>
        <v>88.8</v>
      </c>
      <c r="C449" s="30"/>
      <c r="D449" s="30"/>
    </row>
    <row r="450" spans="1:4" x14ac:dyDescent="0.2">
      <c r="A450" s="31">
        <v>41974</v>
      </c>
      <c r="B450" s="22">
        <f>VLOOKUP(Table48[[#This Row],[Date]],UMCSI!A:B,2,)</f>
        <v>93.6</v>
      </c>
      <c r="C450" s="30"/>
      <c r="D450" s="30"/>
    </row>
    <row r="451" spans="1:4" x14ac:dyDescent="0.2">
      <c r="A451" s="31">
        <v>42005</v>
      </c>
      <c r="B451" s="22">
        <f>VLOOKUP(Table48[[#This Row],[Date]],UMCSI!A:B,2,)</f>
        <v>98.1</v>
      </c>
      <c r="C451" s="30">
        <v>3.9782048489035673E-2</v>
      </c>
      <c r="D451" s="30">
        <v>3.1764305059085451E-2</v>
      </c>
    </row>
    <row r="452" spans="1:4" x14ac:dyDescent="0.2">
      <c r="A452" s="31">
        <v>42036</v>
      </c>
      <c r="B452" s="22">
        <f>VLOOKUP(Table48[[#This Row],[Date]],UMCSI!A:B,2,)</f>
        <v>95.4</v>
      </c>
      <c r="C452" s="30"/>
      <c r="D452" s="30"/>
    </row>
    <row r="453" spans="1:4" x14ac:dyDescent="0.2">
      <c r="A453" s="31">
        <v>42064</v>
      </c>
      <c r="B453" s="22">
        <f>VLOOKUP(Table48[[#This Row],[Date]],UMCSI!A:B,2,)</f>
        <v>93</v>
      </c>
      <c r="C453" s="30"/>
      <c r="D453" s="30"/>
    </row>
    <row r="454" spans="1:4" x14ac:dyDescent="0.2">
      <c r="A454" s="31">
        <v>42095</v>
      </c>
      <c r="B454" s="22">
        <f>VLOOKUP(Table48[[#This Row],[Date]],UMCSI!A:B,2,)</f>
        <v>95.9</v>
      </c>
      <c r="C454" s="30">
        <v>3.3500272393006146E-2</v>
      </c>
      <c r="D454" s="30">
        <v>2.9985785779977236E-2</v>
      </c>
    </row>
    <row r="455" spans="1:4" x14ac:dyDescent="0.2">
      <c r="A455" s="31">
        <v>42125</v>
      </c>
      <c r="B455" s="22">
        <f>VLOOKUP(Table48[[#This Row],[Date]],UMCSI!A:B,2,)</f>
        <v>90.7</v>
      </c>
      <c r="C455" s="30"/>
      <c r="D455" s="30"/>
    </row>
    <row r="456" spans="1:4" x14ac:dyDescent="0.2">
      <c r="A456" s="31">
        <v>42156</v>
      </c>
      <c r="B456" s="22">
        <f>VLOOKUP(Table48[[#This Row],[Date]],UMCSI!A:B,2,)</f>
        <v>96.1</v>
      </c>
      <c r="C456" s="30"/>
      <c r="D456" s="30"/>
    </row>
    <row r="457" spans="1:4" x14ac:dyDescent="0.2">
      <c r="A457" s="31">
        <v>42186</v>
      </c>
      <c r="B457" s="22">
        <f>VLOOKUP(Table48[[#This Row],[Date]],UMCSI!A:B,2,)</f>
        <v>93.1</v>
      </c>
      <c r="C457" s="30">
        <v>2.4410254460905882E-2</v>
      </c>
      <c r="D457" s="30">
        <v>1.3292010549360134E-2</v>
      </c>
    </row>
    <row r="458" spans="1:4" x14ac:dyDescent="0.2">
      <c r="A458" s="31">
        <v>42217</v>
      </c>
      <c r="B458" s="22">
        <f>VLOOKUP(Table48[[#This Row],[Date]],UMCSI!A:B,2,)</f>
        <v>91.9</v>
      </c>
      <c r="C458" s="30"/>
      <c r="D458" s="30"/>
    </row>
    <row r="459" spans="1:4" x14ac:dyDescent="0.2">
      <c r="A459" s="31">
        <v>42248</v>
      </c>
      <c r="B459" s="22">
        <f>VLOOKUP(Table48[[#This Row],[Date]],UMCSI!A:B,2,)</f>
        <v>87.2</v>
      </c>
      <c r="C459" s="30"/>
      <c r="D459" s="30"/>
    </row>
    <row r="460" spans="1:4" x14ac:dyDescent="0.2">
      <c r="A460" s="31">
        <v>42278</v>
      </c>
      <c r="B460" s="22">
        <f>VLOOKUP(Table48[[#This Row],[Date]],UMCSI!A:B,2,)</f>
        <v>90</v>
      </c>
      <c r="C460" s="30">
        <v>1.9008532793312233E-2</v>
      </c>
      <c r="D460" s="30">
        <v>1.3016548202631206E-3</v>
      </c>
    </row>
    <row r="461" spans="1:4" x14ac:dyDescent="0.2">
      <c r="A461" s="31">
        <v>42309</v>
      </c>
      <c r="B461" s="22">
        <f>VLOOKUP(Table48[[#This Row],[Date]],UMCSI!A:B,2,)</f>
        <v>91.3</v>
      </c>
      <c r="C461" s="30"/>
      <c r="D461" s="30"/>
    </row>
    <row r="462" spans="1:4" x14ac:dyDescent="0.2">
      <c r="A462" s="31">
        <v>42339</v>
      </c>
      <c r="B462" s="22">
        <f>VLOOKUP(Table48[[#This Row],[Date]],UMCSI!A:B,2,)</f>
        <v>92.6</v>
      </c>
      <c r="C462" s="30"/>
      <c r="D462" s="30"/>
    </row>
    <row r="463" spans="1:4" x14ac:dyDescent="0.2">
      <c r="A463" s="31">
        <v>42370</v>
      </c>
      <c r="B463" s="22">
        <f>VLOOKUP(Table48[[#This Row],[Date]],UMCSI!A:B,2,)</f>
        <v>92</v>
      </c>
      <c r="C463" s="30">
        <v>1.616308533949767E-2</v>
      </c>
      <c r="D463" s="30">
        <v>2.0288220169540461E-2</v>
      </c>
    </row>
    <row r="464" spans="1:4" x14ac:dyDescent="0.2">
      <c r="A464" s="31">
        <v>42401</v>
      </c>
      <c r="B464" s="22">
        <f>VLOOKUP(Table48[[#This Row],[Date]],UMCSI!A:B,2,)</f>
        <v>91.7</v>
      </c>
      <c r="C464" s="30"/>
      <c r="D464" s="30"/>
    </row>
    <row r="465" spans="1:4" x14ac:dyDescent="0.2">
      <c r="A465" s="31">
        <v>42430</v>
      </c>
      <c r="B465" s="22">
        <f>VLOOKUP(Table48[[#This Row],[Date]],UMCSI!A:B,2,)</f>
        <v>91</v>
      </c>
      <c r="C465" s="30"/>
      <c r="D465" s="30"/>
    </row>
    <row r="466" spans="1:4" x14ac:dyDescent="0.2">
      <c r="A466" s="31">
        <v>42461</v>
      </c>
      <c r="B466" s="22">
        <f>VLOOKUP(Table48[[#This Row],[Date]],UMCSI!A:B,2,)</f>
        <v>89</v>
      </c>
      <c r="C466" s="30">
        <v>1.3429417737404956E-2</v>
      </c>
      <c r="D466" s="30">
        <v>1.8947017340403383E-2</v>
      </c>
    </row>
    <row r="467" spans="1:4" x14ac:dyDescent="0.2">
      <c r="A467" s="31">
        <v>42491</v>
      </c>
      <c r="B467" s="22">
        <f>VLOOKUP(Table48[[#This Row],[Date]],UMCSI!A:B,2,)</f>
        <v>94.7</v>
      </c>
      <c r="C467" s="30"/>
      <c r="D467" s="30"/>
    </row>
    <row r="468" spans="1:4" x14ac:dyDescent="0.2">
      <c r="A468" s="31">
        <v>42522</v>
      </c>
      <c r="B468" s="22">
        <f>VLOOKUP(Table48[[#This Row],[Date]],UMCSI!A:B,2,)</f>
        <v>93.5</v>
      </c>
      <c r="C468" s="30"/>
      <c r="D468" s="30"/>
    </row>
    <row r="469" spans="1:4" x14ac:dyDescent="0.2">
      <c r="A469" s="31">
        <v>42552</v>
      </c>
      <c r="B469" s="22">
        <f>VLOOKUP(Table48[[#This Row],[Date]],UMCSI!A:B,2,)</f>
        <v>90</v>
      </c>
      <c r="C469" s="30">
        <v>1.556711585067171E-2</v>
      </c>
      <c r="D469" s="30">
        <v>2.1868733208587843E-2</v>
      </c>
    </row>
    <row r="470" spans="1:4" x14ac:dyDescent="0.2">
      <c r="A470" s="31">
        <v>42583</v>
      </c>
      <c r="B470" s="22">
        <f>VLOOKUP(Table48[[#This Row],[Date]],UMCSI!A:B,2,)</f>
        <v>89.8</v>
      </c>
      <c r="C470" s="30"/>
      <c r="D470" s="30"/>
    </row>
    <row r="471" spans="1:4" x14ac:dyDescent="0.2">
      <c r="A471" s="31">
        <v>42614</v>
      </c>
      <c r="B471" s="22">
        <f>VLOOKUP(Table48[[#This Row],[Date]],UMCSI!A:B,2,)</f>
        <v>91.2</v>
      </c>
      <c r="C471" s="30"/>
      <c r="D471" s="30"/>
    </row>
    <row r="472" spans="1:4" x14ac:dyDescent="0.2">
      <c r="A472" s="31">
        <v>42644</v>
      </c>
      <c r="B472" s="22">
        <f>VLOOKUP(Table48[[#This Row],[Date]],UMCSI!A:B,2,)</f>
        <v>87.2</v>
      </c>
      <c r="C472" s="30">
        <v>2.0340660220087192E-2</v>
      </c>
      <c r="D472" s="30">
        <v>2.0260770353534241E-2</v>
      </c>
    </row>
    <row r="473" spans="1:4" x14ac:dyDescent="0.2">
      <c r="A473" s="31">
        <v>42675</v>
      </c>
      <c r="B473" s="22">
        <f>VLOOKUP(Table48[[#This Row],[Date]],UMCSI!A:B,2,)</f>
        <v>93.8</v>
      </c>
      <c r="C473" s="30"/>
      <c r="D473" s="30"/>
    </row>
    <row r="474" spans="1:4" x14ac:dyDescent="0.2">
      <c r="A474" s="31">
        <v>42705</v>
      </c>
      <c r="B474" s="22">
        <f>VLOOKUP(Table48[[#This Row],[Date]],UMCSI!A:B,2,)</f>
        <v>98.2</v>
      </c>
      <c r="C474" s="30"/>
      <c r="D474" s="30"/>
    </row>
    <row r="475" spans="1:4" x14ac:dyDescent="0.2">
      <c r="A475" s="31">
        <v>42736</v>
      </c>
      <c r="B475" s="22">
        <f>VLOOKUP(Table48[[#This Row],[Date]],UMCSI!A:B,2,)</f>
        <v>98.5</v>
      </c>
      <c r="C475" s="30">
        <v>2.0984244373375028E-2</v>
      </c>
      <c r="D475" s="30">
        <v>2.2864861035127859E-2</v>
      </c>
    </row>
    <row r="476" spans="1:4" x14ac:dyDescent="0.2">
      <c r="A476" s="31">
        <v>42767</v>
      </c>
      <c r="B476" s="22">
        <f>VLOOKUP(Table48[[#This Row],[Date]],UMCSI!A:B,2,)</f>
        <v>96.3</v>
      </c>
      <c r="C476" s="30"/>
      <c r="D476" s="30"/>
    </row>
    <row r="477" spans="1:4" x14ac:dyDescent="0.2">
      <c r="A477" s="31">
        <v>42795</v>
      </c>
      <c r="B477" s="22">
        <f>VLOOKUP(Table48[[#This Row],[Date]],UMCSI!A:B,2,)</f>
        <v>96.9</v>
      </c>
      <c r="C477" s="30"/>
      <c r="D477" s="30"/>
    </row>
    <row r="478" spans="1:4" x14ac:dyDescent="0.2">
      <c r="A478" s="31">
        <v>42826</v>
      </c>
      <c r="B478" s="22">
        <f>VLOOKUP(Table48[[#This Row],[Date]],UMCSI!A:B,2,)</f>
        <v>97</v>
      </c>
      <c r="C478" s="30">
        <v>2.1635125469282663E-2</v>
      </c>
      <c r="D478" s="30">
        <v>2.1547832488613139E-2</v>
      </c>
    </row>
    <row r="479" spans="1:4" x14ac:dyDescent="0.2">
      <c r="A479" s="31">
        <v>42856</v>
      </c>
      <c r="B479" s="22">
        <f>VLOOKUP(Table48[[#This Row],[Date]],UMCSI!A:B,2,)</f>
        <v>97.1</v>
      </c>
      <c r="C479" s="30"/>
      <c r="D479" s="30"/>
    </row>
    <row r="480" spans="1:4" x14ac:dyDescent="0.2">
      <c r="A480" s="31">
        <v>42887</v>
      </c>
      <c r="B480" s="22">
        <f>VLOOKUP(Table48[[#This Row],[Date]],UMCSI!A:B,2,)</f>
        <v>95.1</v>
      </c>
      <c r="C480" s="30"/>
      <c r="D480" s="30"/>
    </row>
    <row r="481" spans="1:4" x14ac:dyDescent="0.2">
      <c r="A481" s="31">
        <v>42917</v>
      </c>
      <c r="B481" s="22">
        <f>VLOOKUP(Table48[[#This Row],[Date]],UMCSI!A:B,2,)</f>
        <v>93.4</v>
      </c>
      <c r="C481" s="30">
        <v>2.4160260058683734E-2</v>
      </c>
      <c r="D481" s="30">
        <v>3.2009099125706708E-2</v>
      </c>
    </row>
    <row r="482" spans="1:4" x14ac:dyDescent="0.2">
      <c r="A482" s="31">
        <v>42948</v>
      </c>
      <c r="B482" s="22">
        <f>VLOOKUP(Table48[[#This Row],[Date]],UMCSI!A:B,2,)</f>
        <v>96.8</v>
      </c>
      <c r="C482" s="30"/>
      <c r="D482" s="30"/>
    </row>
    <row r="483" spans="1:4" x14ac:dyDescent="0.2">
      <c r="A483" s="31">
        <v>42979</v>
      </c>
      <c r="B483" s="22">
        <f>VLOOKUP(Table48[[#This Row],[Date]],UMCSI!A:B,2,)</f>
        <v>95.1</v>
      </c>
      <c r="C483" s="30"/>
      <c r="D483" s="30"/>
    </row>
    <row r="484" spans="1:4" x14ac:dyDescent="0.2">
      <c r="A484" s="31">
        <v>43009</v>
      </c>
      <c r="B484" s="22">
        <f>VLOOKUP(Table48[[#This Row],[Date]],UMCSI!A:B,2,)</f>
        <v>100.7</v>
      </c>
      <c r="C484" s="30">
        <v>2.7952566368781923E-2</v>
      </c>
      <c r="D484" s="30">
        <v>3.5456379291381124E-2</v>
      </c>
    </row>
    <row r="485" spans="1:4" x14ac:dyDescent="0.2">
      <c r="A485" s="31">
        <v>43040</v>
      </c>
      <c r="B485" s="22">
        <f>VLOOKUP(Table48[[#This Row],[Date]],UMCSI!A:B,2,)</f>
        <v>98.5</v>
      </c>
      <c r="C485" s="30"/>
      <c r="D485" s="30"/>
    </row>
    <row r="486" spans="1:4" x14ac:dyDescent="0.2">
      <c r="A486" s="31">
        <v>43070</v>
      </c>
      <c r="B486" s="22">
        <f>VLOOKUP(Table48[[#This Row],[Date]],UMCSI!A:B,2,)</f>
        <v>95.9</v>
      </c>
      <c r="C486" s="30"/>
      <c r="D486" s="30"/>
    </row>
    <row r="487" spans="1:4" x14ac:dyDescent="0.2">
      <c r="A487" s="31">
        <v>43101</v>
      </c>
      <c r="B487" s="22">
        <f>VLOOKUP(Table48[[#This Row],[Date]],UMCSI!A:B,2,)</f>
        <v>95.7</v>
      </c>
      <c r="C487" s="30">
        <v>2.8618726561004181E-2</v>
      </c>
      <c r="D487" s="30">
        <v>2.55188920498155E-2</v>
      </c>
    </row>
    <row r="488" spans="1:4" x14ac:dyDescent="0.2">
      <c r="A488" s="31">
        <v>43132</v>
      </c>
      <c r="B488" s="22">
        <f>VLOOKUP(Table48[[#This Row],[Date]],UMCSI!A:B,2,)</f>
        <v>99.7</v>
      </c>
      <c r="C488" s="30"/>
      <c r="D488" s="30"/>
    </row>
    <row r="489" spans="1:4" x14ac:dyDescent="0.2">
      <c r="A489" s="31">
        <v>43160</v>
      </c>
      <c r="B489" s="22">
        <f>VLOOKUP(Table48[[#This Row],[Date]],UMCSI!A:B,2,)</f>
        <v>101.4</v>
      </c>
      <c r="C489" s="30"/>
      <c r="D489" s="30"/>
    </row>
    <row r="490" spans="1:4" x14ac:dyDescent="0.2">
      <c r="A490" s="31">
        <v>43191</v>
      </c>
      <c r="B490" s="22">
        <f>VLOOKUP(Table48[[#This Row],[Date]],UMCSI!A:B,2,)</f>
        <v>98.8</v>
      </c>
      <c r="C490" s="30">
        <v>3.2022943393747109E-2</v>
      </c>
      <c r="D490" s="30">
        <v>3.5138376396687043E-2</v>
      </c>
    </row>
    <row r="491" spans="1:4" x14ac:dyDescent="0.2">
      <c r="A491" s="31">
        <v>43221</v>
      </c>
      <c r="B491" s="22">
        <f>VLOOKUP(Table48[[#This Row],[Date]],UMCSI!A:B,2,)</f>
        <v>98</v>
      </c>
      <c r="C491" s="30"/>
      <c r="D491" s="30"/>
    </row>
    <row r="492" spans="1:4" x14ac:dyDescent="0.2">
      <c r="A492" s="31">
        <v>43252</v>
      </c>
      <c r="B492" s="22">
        <f>VLOOKUP(Table48[[#This Row],[Date]],UMCSI!A:B,2,)</f>
        <v>98.2</v>
      </c>
      <c r="C492" s="30"/>
      <c r="D492" s="30"/>
    </row>
    <row r="493" spans="1:4" x14ac:dyDescent="0.2">
      <c r="A493" s="31">
        <v>43282</v>
      </c>
      <c r="B493" s="22">
        <f>VLOOKUP(Table48[[#This Row],[Date]],UMCSI!A:B,2,)</f>
        <v>97.9</v>
      </c>
      <c r="C493" s="30">
        <v>3.1335380435925618E-2</v>
      </c>
      <c r="D493" s="30">
        <v>2.9261631374489561E-2</v>
      </c>
    </row>
    <row r="494" spans="1:4" x14ac:dyDescent="0.2">
      <c r="A494" s="31">
        <v>43313</v>
      </c>
      <c r="B494" s="22">
        <f>VLOOKUP(Table48[[#This Row],[Date]],UMCSI!A:B,2,)</f>
        <v>96.2</v>
      </c>
      <c r="C494" s="30"/>
      <c r="D494" s="30"/>
    </row>
    <row r="495" spans="1:4" x14ac:dyDescent="0.2">
      <c r="A495" s="31">
        <v>43344</v>
      </c>
      <c r="B495" s="22">
        <f>VLOOKUP(Table48[[#This Row],[Date]],UMCSI!A:B,2,)</f>
        <v>100.1</v>
      </c>
      <c r="C495" s="30"/>
      <c r="D495" s="30"/>
    </row>
    <row r="496" spans="1:4" x14ac:dyDescent="0.2">
      <c r="A496" s="31">
        <v>43374</v>
      </c>
      <c r="B496" s="22">
        <f>VLOOKUP(Table48[[#This Row],[Date]],UMCSI!A:B,2,)</f>
        <v>98.6</v>
      </c>
      <c r="C496" s="30">
        <v>2.51649559797197E-2</v>
      </c>
      <c r="D496" s="30">
        <v>1.0897561903360664E-2</v>
      </c>
    </row>
    <row r="497" spans="1:4" x14ac:dyDescent="0.2">
      <c r="A497" s="31">
        <v>43405</v>
      </c>
      <c r="B497" s="22">
        <f>VLOOKUP(Table48[[#This Row],[Date]],UMCSI!A:B,2,)</f>
        <v>97.5</v>
      </c>
      <c r="C497" s="30"/>
      <c r="D497" s="30"/>
    </row>
    <row r="498" spans="1:4" x14ac:dyDescent="0.2">
      <c r="A498" s="31">
        <v>43435</v>
      </c>
      <c r="B498" s="22">
        <f>VLOOKUP(Table48[[#This Row],[Date]],UMCSI!A:B,2,)</f>
        <v>98.3</v>
      </c>
      <c r="C498" s="30"/>
      <c r="D498" s="30"/>
    </row>
    <row r="499" spans="1:4" x14ac:dyDescent="0.2">
      <c r="A499" s="31">
        <v>43466</v>
      </c>
      <c r="B499" s="22">
        <f>VLOOKUP(Table48[[#This Row],[Date]],UMCSI!A:B,2,)</f>
        <v>91.2</v>
      </c>
      <c r="C499" s="30">
        <v>2.6522413673225144E-2</v>
      </c>
      <c r="D499" s="30">
        <v>3.0961395462358876E-2</v>
      </c>
    </row>
    <row r="500" spans="1:4" x14ac:dyDescent="0.2">
      <c r="A500" s="31">
        <v>43497</v>
      </c>
      <c r="B500" s="22">
        <f>VLOOKUP(Table48[[#This Row],[Date]],UMCSI!A:B,2,)</f>
        <v>93.8</v>
      </c>
      <c r="C500" s="30"/>
      <c r="D500" s="30"/>
    </row>
    <row r="501" spans="1:4" x14ac:dyDescent="0.2">
      <c r="A501" s="31">
        <v>43525</v>
      </c>
      <c r="B501" s="22">
        <f>VLOOKUP(Table48[[#This Row],[Date]],UMCSI!A:B,2,)</f>
        <v>98.4</v>
      </c>
      <c r="C501" s="30"/>
      <c r="D501" s="30"/>
    </row>
    <row r="502" spans="1:4" x14ac:dyDescent="0.2">
      <c r="A502" s="31">
        <v>43556</v>
      </c>
      <c r="B502" s="22">
        <f>VLOOKUP(Table48[[#This Row],[Date]],UMCSI!A:B,2,)</f>
        <v>97.2</v>
      </c>
      <c r="C502" s="30">
        <v>2.2845677805866153E-2</v>
      </c>
      <c r="D502" s="30">
        <v>2.0138186098941802E-2</v>
      </c>
    </row>
    <row r="503" spans="1:4" x14ac:dyDescent="0.2">
      <c r="A503" s="31">
        <v>43586</v>
      </c>
      <c r="B503" s="22">
        <f>VLOOKUP(Table48[[#This Row],[Date]],UMCSI!A:B,2,)</f>
        <v>100</v>
      </c>
      <c r="C503" s="30"/>
      <c r="D503" s="30"/>
    </row>
    <row r="504" spans="1:4" x14ac:dyDescent="0.2">
      <c r="A504" s="31">
        <v>43617</v>
      </c>
      <c r="B504" s="22">
        <f>VLOOKUP(Table48[[#This Row],[Date]],UMCSI!A:B,2,)</f>
        <v>98.2</v>
      </c>
      <c r="C504" s="30"/>
      <c r="D504" s="30"/>
    </row>
    <row r="505" spans="1:4" x14ac:dyDescent="0.2">
      <c r="A505" s="31">
        <v>43647</v>
      </c>
      <c r="B505" s="22">
        <f>VLOOKUP(Table48[[#This Row],[Date]],UMCSI!A:B,2,)</f>
        <v>98.4</v>
      </c>
      <c r="C505" s="30">
        <v>2.0733347853381667E-2</v>
      </c>
      <c r="D505" s="30">
        <v>2.1035065818897358E-2</v>
      </c>
    </row>
    <row r="506" spans="1:4" x14ac:dyDescent="0.2">
      <c r="A506" s="31">
        <v>43678</v>
      </c>
      <c r="B506" s="22">
        <f>VLOOKUP(Table48[[#This Row],[Date]],UMCSI!A:B,2,)</f>
        <v>89.8</v>
      </c>
      <c r="C506" s="30"/>
      <c r="D506" s="30"/>
    </row>
    <row r="507" spans="1:4" x14ac:dyDescent="0.2">
      <c r="A507" s="31">
        <v>43709</v>
      </c>
      <c r="B507" s="22">
        <f>VLOOKUP(Table48[[#This Row],[Date]],UMCSI!A:B,2,)</f>
        <v>93.2</v>
      </c>
      <c r="C507" s="30"/>
      <c r="D507" s="30"/>
    </row>
    <row r="508" spans="1:4" x14ac:dyDescent="0.2">
      <c r="A508" s="31">
        <v>43739</v>
      </c>
      <c r="B508" s="22">
        <f>VLOOKUP(Table48[[#This Row],[Date]],UMCSI!A:B,2,)</f>
        <v>95.5</v>
      </c>
      <c r="C508" s="30">
        <v>2.3223461297088334E-2</v>
      </c>
      <c r="D508" s="30">
        <v>2.0798192572727192E-2</v>
      </c>
    </row>
    <row r="509" spans="1:4" x14ac:dyDescent="0.2">
      <c r="A509" s="31">
        <v>43770</v>
      </c>
      <c r="B509" s="22">
        <f>VLOOKUP(Table48[[#This Row],[Date]],UMCSI!A:B,2,)</f>
        <v>96.8</v>
      </c>
      <c r="C509" s="30"/>
      <c r="D509" s="30"/>
    </row>
    <row r="510" spans="1:4" x14ac:dyDescent="0.2">
      <c r="A510" s="31">
        <v>43800</v>
      </c>
      <c r="B510" s="22">
        <f>VLOOKUP(Table48[[#This Row],[Date]],UMCSI!A:B,2,)</f>
        <v>99.3</v>
      </c>
      <c r="C510" s="30"/>
      <c r="D510" s="30"/>
    </row>
    <row r="511" spans="1:4" x14ac:dyDescent="0.2">
      <c r="A511" s="31">
        <v>43831</v>
      </c>
      <c r="B511" s="22">
        <f>VLOOKUP(Table48[[#This Row],[Date]],UMCSI!A:B,2,)</f>
        <v>99.8</v>
      </c>
      <c r="C511" s="30">
        <v>3.1926064467315664E-3</v>
      </c>
      <c r="D511" s="30">
        <v>-4.9557632983636801E-2</v>
      </c>
    </row>
    <row r="512" spans="1:4" x14ac:dyDescent="0.2">
      <c r="A512" s="31">
        <v>43862</v>
      </c>
      <c r="B512" s="22">
        <f>VLOOKUP(Table48[[#This Row],[Date]],UMCSI!A:B,2,)</f>
        <v>101</v>
      </c>
      <c r="C512" s="30"/>
      <c r="D512" s="30"/>
    </row>
    <row r="513" spans="1:4" x14ac:dyDescent="0.2">
      <c r="A513" s="31">
        <v>43891</v>
      </c>
      <c r="B513" s="22">
        <f>VLOOKUP(Table48[[#This Row],[Date]],UMCSI!A:B,2,)</f>
        <v>89.1</v>
      </c>
      <c r="C513" s="30"/>
      <c r="D513" s="30"/>
    </row>
    <row r="514" spans="1:4" x14ac:dyDescent="0.2">
      <c r="A514" s="31">
        <v>43922</v>
      </c>
      <c r="B514" s="22">
        <f>VLOOKUP(Table48[[#This Row],[Date]],UMCSI!A:B,2,)</f>
        <v>71.8</v>
      </c>
      <c r="C514" s="30">
        <v>-9.0327754662195434E-2</v>
      </c>
      <c r="D514" s="57">
        <v>-0.31383181420365103</v>
      </c>
    </row>
    <row r="515" spans="1:4" x14ac:dyDescent="0.2">
      <c r="A515" s="31">
        <v>43952</v>
      </c>
      <c r="B515" s="22">
        <f>VLOOKUP(Table48[[#This Row],[Date]],UMCSI!A:B,2,)</f>
        <v>72.3</v>
      </c>
      <c r="C515" s="30"/>
      <c r="D515" s="30"/>
    </row>
    <row r="516" spans="1:4" x14ac:dyDescent="0.2">
      <c r="A516" s="31">
        <v>43983</v>
      </c>
      <c r="B516" s="22">
        <f>VLOOKUP(Table48[[#This Row],[Date]],UMCSI!A:B,2,)</f>
        <v>78.099999999999994</v>
      </c>
      <c r="C516" s="30"/>
      <c r="D516" s="30"/>
    </row>
    <row r="517" spans="1:4" x14ac:dyDescent="0.2">
      <c r="A517" s="31">
        <v>44013</v>
      </c>
      <c r="B517" s="22">
        <f>VLOOKUP(Table48[[#This Row],[Date]],UMCSI!A:B,2,)</f>
        <v>72.5</v>
      </c>
      <c r="C517" s="30">
        <v>-2.8483454799102848E-2</v>
      </c>
      <c r="D517" s="30">
        <v>0.3344130589193397</v>
      </c>
    </row>
    <row r="518" spans="1:4" x14ac:dyDescent="0.2">
      <c r="A518" s="31">
        <v>44044</v>
      </c>
      <c r="B518" s="22">
        <f>VLOOKUP(Table48[[#This Row],[Date]],UMCSI!A:B,2,)</f>
        <v>74.099999999999994</v>
      </c>
      <c r="C518" s="30"/>
      <c r="D518" s="30"/>
    </row>
    <row r="519" spans="1:4" x14ac:dyDescent="0.2">
      <c r="A519" s="31">
        <v>44075</v>
      </c>
      <c r="B519" s="22">
        <f>VLOOKUP(Table48[[#This Row],[Date]],UMCSI!A:B,2,)</f>
        <v>80.400000000000006</v>
      </c>
      <c r="C519" s="30"/>
      <c r="D519" s="30"/>
    </row>
    <row r="520" spans="1:4" x14ac:dyDescent="0.2">
      <c r="A520" s="31">
        <v>44105</v>
      </c>
      <c r="B520" s="22">
        <f>VLOOKUP(Table48[[#This Row],[Date]],UMCSI!A:B,2,)</f>
        <v>81.8</v>
      </c>
      <c r="C520" s="30">
        <v>-2.3866935626070434E-2</v>
      </c>
      <c r="D520" s="30">
        <v>4.325252957752701E-2</v>
      </c>
    </row>
    <row r="521" spans="1:4" x14ac:dyDescent="0.2">
      <c r="A521" s="31">
        <v>44136</v>
      </c>
      <c r="B521" s="22">
        <f>VLOOKUP(Table48[[#This Row],[Date]],UMCSI!A:B,2,)</f>
        <v>76.900000000000006</v>
      </c>
      <c r="C521" s="30"/>
      <c r="D521" s="30"/>
    </row>
    <row r="522" spans="1:4" x14ac:dyDescent="0.2">
      <c r="A522" s="31">
        <v>44166</v>
      </c>
      <c r="B522" s="22">
        <f>VLOOKUP(Table48[[#This Row],[Date]],UMCSI!A:B,2,)</f>
        <v>80.7</v>
      </c>
      <c r="C522" s="30"/>
      <c r="D522" s="30"/>
    </row>
    <row r="523" spans="1:4" x14ac:dyDescent="0.2">
      <c r="A523" s="31">
        <v>44197</v>
      </c>
      <c r="B523" s="22">
        <f>VLOOKUP(Table48[[#This Row],[Date]],UMCSI!A:B,2,)</f>
        <v>79</v>
      </c>
      <c r="C523" s="30"/>
      <c r="D523" s="30"/>
    </row>
    <row r="524" spans="1:4" x14ac:dyDescent="0.2">
      <c r="A524" s="31">
        <v>44228</v>
      </c>
      <c r="B524" s="22">
        <f>VLOOKUP(Table48[[#This Row],[Date]],UMCSI!A:B,2,)</f>
        <v>76.8</v>
      </c>
      <c r="C524" s="30"/>
      <c r="D524" s="30"/>
    </row>
    <row r="525" spans="1:4" x14ac:dyDescent="0.2">
      <c r="A525" s="31">
        <v>44256</v>
      </c>
      <c r="B525" s="22">
        <f>VLOOKUP(Table48[[#This Row],[Date]],UMCSI!A:B,2,)</f>
        <v>84.9</v>
      </c>
      <c r="C525" s="30"/>
      <c r="D525" s="30"/>
    </row>
    <row r="526" spans="1:4" x14ac:dyDescent="0.2">
      <c r="A526" s="31">
        <v>44287</v>
      </c>
      <c r="B526" s="22">
        <f>VLOOKUP(Table48[[#This Row],[Date]],UMCSI!A:B,2,)</f>
        <v>88.3</v>
      </c>
      <c r="C526" s="30"/>
      <c r="D526" s="30"/>
    </row>
    <row r="527" spans="1:4" x14ac:dyDescent="0.2">
      <c r="A527" s="31">
        <v>44317</v>
      </c>
      <c r="B527" s="22">
        <f>VLOOKUP(Table48[[#This Row],[Date]],UMCSI!A:B,2,)</f>
        <v>82.9</v>
      </c>
      <c r="C527" s="30"/>
      <c r="D527" s="30"/>
    </row>
  </sheetData>
  <conditionalFormatting sqref="B391:B527">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B7:B417 B448:B505"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Note</vt:lpstr>
      <vt:lpstr>Conference Board</vt:lpstr>
      <vt:lpstr>UMCSI</vt:lpstr>
      <vt:lpstr>UMCSI vs GDP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2021-12-19T13:16:34Z</dcterms:modified>
</cp:coreProperties>
</file>